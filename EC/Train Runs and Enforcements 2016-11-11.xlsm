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Enforcements!$A$6:$AC$43</definedName>
    <definedName name="_xlnm._FilterDatabase" localSheetId="2" hidden="1">'Missing Trips'!$B$2:$I$2</definedName>
    <definedName name="_xlnm._FilterDatabase" localSheetId="0" hidden="1">'Train Runs'!$A$12:$AG$255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2" i="1" l="1"/>
  <c r="X183" i="1"/>
  <c r="X184" i="1"/>
  <c r="X185" i="1"/>
  <c r="X186" i="1"/>
  <c r="X187" i="1"/>
  <c r="K14" i="1" l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A15" i="1" s="1"/>
  <c r="AB15" i="1"/>
  <c r="AC15" i="1"/>
  <c r="AD15" i="1"/>
  <c r="X15" i="1" s="1"/>
  <c r="AE15" i="1"/>
  <c r="AF15" i="1"/>
  <c r="AH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P18" i="1" s="1"/>
  <c r="T18" i="1"/>
  <c r="V18" i="1"/>
  <c r="Y18" i="1"/>
  <c r="Z18" i="1"/>
  <c r="AB18" i="1"/>
  <c r="AC18" i="1"/>
  <c r="AD18" i="1"/>
  <c r="AG18" i="1" s="1"/>
  <c r="AE18" i="1"/>
  <c r="R9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A23" i="1" s="1"/>
  <c r="AB23" i="1"/>
  <c r="AC23" i="1"/>
  <c r="AD23" i="1"/>
  <c r="X23" i="1" s="1"/>
  <c r="AE23" i="1"/>
  <c r="AF23" i="1"/>
  <c r="AG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R14" i="3" s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R7" i="3" s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R31" i="3" s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X39" i="1" s="1"/>
  <c r="AE39" i="1"/>
  <c r="AF39" i="1"/>
  <c r="AH39" i="1"/>
  <c r="K40" i="1"/>
  <c r="L40" i="1"/>
  <c r="M40" i="1"/>
  <c r="N40" i="1" s="1"/>
  <c r="V40" i="1"/>
  <c r="S12" i="3" s="1"/>
  <c r="Y40" i="1"/>
  <c r="Z40" i="1"/>
  <c r="AB40" i="1"/>
  <c r="AC40" i="1"/>
  <c r="AD40" i="1"/>
  <c r="AE40" i="1"/>
  <c r="R12" i="3" s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R28" i="3" s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R32" i="3" s="1"/>
  <c r="AF47" i="1"/>
  <c r="AH47" i="1"/>
  <c r="K48" i="1"/>
  <c r="L48" i="1"/>
  <c r="M48" i="1"/>
  <c r="N48" i="1" s="1"/>
  <c r="V48" i="1"/>
  <c r="S18" i="3" s="1"/>
  <c r="Y48" i="1"/>
  <c r="Z48" i="1"/>
  <c r="AB48" i="1"/>
  <c r="AC48" i="1"/>
  <c r="AD48" i="1"/>
  <c r="AE48" i="1"/>
  <c r="R11" i="3" s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S23" i="3" s="1"/>
  <c r="Y50" i="1"/>
  <c r="Z50" i="1"/>
  <c r="AB50" i="1"/>
  <c r="AC50" i="1"/>
  <c r="AD50" i="1"/>
  <c r="T50" i="1" s="1"/>
  <c r="AE50" i="1"/>
  <c r="R23" i="3" s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S19" i="3" s="1"/>
  <c r="Y52" i="1"/>
  <c r="Z52" i="1"/>
  <c r="AB52" i="1"/>
  <c r="AC52" i="1"/>
  <c r="AD52" i="1"/>
  <c r="T52" i="1" s="1"/>
  <c r="AE52" i="1"/>
  <c r="R19" i="3" s="1"/>
  <c r="AF52" i="1"/>
  <c r="AH52" i="1"/>
  <c r="K53" i="1"/>
  <c r="L53" i="1"/>
  <c r="M53" i="1"/>
  <c r="N53" i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S29" i="3" s="1"/>
  <c r="Y56" i="1"/>
  <c r="Z56" i="1"/>
  <c r="AB56" i="1"/>
  <c r="AC56" i="1"/>
  <c r="AD56" i="1"/>
  <c r="X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S24" i="3" s="1"/>
  <c r="Y58" i="1"/>
  <c r="Z58" i="1"/>
  <c r="AB58" i="1"/>
  <c r="AC58" i="1"/>
  <c r="AD58" i="1"/>
  <c r="AE58" i="1"/>
  <c r="R24" i="3" s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S10" i="3" s="1"/>
  <c r="Y61" i="1"/>
  <c r="Z61" i="1"/>
  <c r="AB61" i="1"/>
  <c r="AC61" i="1"/>
  <c r="AD61" i="1"/>
  <c r="AG61" i="1" s="1"/>
  <c r="AE61" i="1"/>
  <c r="R10" i="3" s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S17" i="3" s="1"/>
  <c r="Y69" i="1"/>
  <c r="Z69" i="1"/>
  <c r="AB69" i="1"/>
  <c r="AC69" i="1"/>
  <c r="AD69" i="1"/>
  <c r="AG69" i="1" s="1"/>
  <c r="AE69" i="1"/>
  <c r="R17" i="3" s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V75" i="1"/>
  <c r="S21" i="3" s="1"/>
  <c r="Y75" i="1"/>
  <c r="Z75" i="1"/>
  <c r="AB75" i="1"/>
  <c r="AC75" i="1"/>
  <c r="AD75" i="1"/>
  <c r="T75" i="1" s="1"/>
  <c r="AE75" i="1"/>
  <c r="R21" i="3" s="1"/>
  <c r="AF75" i="1"/>
  <c r="AH75" i="1"/>
  <c r="K76" i="1"/>
  <c r="L76" i="1"/>
  <c r="M76" i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X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X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S30" i="3" s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L124" i="1"/>
  <c r="M124" i="1"/>
  <c r="N124" i="1" s="1"/>
  <c r="V124" i="1"/>
  <c r="Y124" i="1"/>
  <c r="Z124" i="1"/>
  <c r="AA124" i="1" s="1"/>
  <c r="AB124" i="1"/>
  <c r="AC124" i="1"/>
  <c r="AD124" i="1"/>
  <c r="X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S13" i="3" s="1"/>
  <c r="Y127" i="1"/>
  <c r="Z127" i="1"/>
  <c r="AB127" i="1"/>
  <c r="AC127" i="1"/>
  <c r="AD127" i="1"/>
  <c r="X127" i="1" s="1"/>
  <c r="AE127" i="1"/>
  <c r="R13" i="3" s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V129" i="1"/>
  <c r="S27" i="3" s="1"/>
  <c r="Z129" i="1"/>
  <c r="AB129" i="1"/>
  <c r="AC129" i="1"/>
  <c r="AD129" i="1"/>
  <c r="AE129" i="1"/>
  <c r="R27" i="3" s="1"/>
  <c r="AF129" i="1"/>
  <c r="AH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K140" i="1"/>
  <c r="L140" i="1"/>
  <c r="M140" i="1"/>
  <c r="N140" i="1" s="1"/>
  <c r="V140" i="1"/>
  <c r="S15" i="3" s="1"/>
  <c r="Y140" i="1"/>
  <c r="Z140" i="1"/>
  <c r="AB140" i="1"/>
  <c r="AC140" i="1"/>
  <c r="AD140" i="1"/>
  <c r="T140" i="1" s="1"/>
  <c r="AE140" i="1"/>
  <c r="R15" i="3" s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K157" i="1"/>
  <c r="L157" i="1"/>
  <c r="M157" i="1"/>
  <c r="N157" i="1" s="1"/>
  <c r="V157" i="1"/>
  <c r="Y157" i="1"/>
  <c r="Z157" i="1"/>
  <c r="AA157" i="1" s="1"/>
  <c r="AB157" i="1"/>
  <c r="AC157" i="1"/>
  <c r="AD157" i="1"/>
  <c r="AG157" i="1" s="1"/>
  <c r="AE157" i="1"/>
  <c r="AF157" i="1"/>
  <c r="AH157" i="1"/>
  <c r="K158" i="1"/>
  <c r="L158" i="1"/>
  <c r="M158" i="1"/>
  <c r="N158" i="1" s="1"/>
  <c r="V158" i="1"/>
  <c r="Y158" i="1"/>
  <c r="Z158" i="1"/>
  <c r="AA158" i="1" s="1"/>
  <c r="AB158" i="1"/>
  <c r="AC158" i="1"/>
  <c r="AD158" i="1"/>
  <c r="AG158" i="1" s="1"/>
  <c r="AE158" i="1"/>
  <c r="AF158" i="1"/>
  <c r="AH158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A209" i="1" s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164" i="1"/>
  <c r="K212" i="1"/>
  <c r="L212" i="1"/>
  <c r="M212" i="1"/>
  <c r="N212" i="1" s="1"/>
  <c r="V212" i="1"/>
  <c r="Y212" i="1"/>
  <c r="Z212" i="1"/>
  <c r="AA212" i="1" s="1"/>
  <c r="AB212" i="1"/>
  <c r="AC212" i="1"/>
  <c r="AD212" i="1"/>
  <c r="AG212" i="1" s="1"/>
  <c r="AE212" i="1"/>
  <c r="AF212" i="1"/>
  <c r="AH165" i="1"/>
  <c r="K213" i="1"/>
  <c r="L213" i="1"/>
  <c r="M213" i="1"/>
  <c r="N213" i="1" s="1"/>
  <c r="V213" i="1"/>
  <c r="Y213" i="1"/>
  <c r="Z213" i="1"/>
  <c r="AA213" i="1" s="1"/>
  <c r="AB213" i="1"/>
  <c r="AC213" i="1"/>
  <c r="AD213" i="1"/>
  <c r="AG213" i="1" s="1"/>
  <c r="AE213" i="1"/>
  <c r="AF213" i="1"/>
  <c r="AH166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69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K225" i="1"/>
  <c r="L225" i="1"/>
  <c r="M225" i="1"/>
  <c r="N225" i="1" s="1"/>
  <c r="V225" i="1"/>
  <c r="Y225" i="1"/>
  <c r="Z225" i="1"/>
  <c r="AB225" i="1"/>
  <c r="AC225" i="1"/>
  <c r="AD225" i="1"/>
  <c r="X225" i="1" s="1"/>
  <c r="AE225" i="1"/>
  <c r="AF225" i="1"/>
  <c r="AH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78" i="1"/>
  <c r="K160" i="1"/>
  <c r="L160" i="1"/>
  <c r="M160" i="1"/>
  <c r="N160" i="1" s="1"/>
  <c r="V160" i="1"/>
  <c r="S34" i="3" s="1"/>
  <c r="Y160" i="1"/>
  <c r="Z160" i="1"/>
  <c r="AB160" i="1"/>
  <c r="AC160" i="1"/>
  <c r="AD160" i="1"/>
  <c r="T160" i="1" s="1"/>
  <c r="AE160" i="1"/>
  <c r="AF160" i="1"/>
  <c r="AH179" i="1"/>
  <c r="K161" i="1"/>
  <c r="L161" i="1"/>
  <c r="M161" i="1"/>
  <c r="N161" i="1" s="1"/>
  <c r="V161" i="1"/>
  <c r="S40" i="3" s="1"/>
  <c r="Y161" i="1"/>
  <c r="Z161" i="1"/>
  <c r="AB161" i="1"/>
  <c r="AC161" i="1"/>
  <c r="AD161" i="1"/>
  <c r="AE161" i="1"/>
  <c r="R37" i="3" s="1"/>
  <c r="AF161" i="1"/>
  <c r="AH180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1" i="1"/>
  <c r="K163" i="1"/>
  <c r="L163" i="1"/>
  <c r="M163" i="1"/>
  <c r="N163" i="1" s="1"/>
  <c r="V163" i="1"/>
  <c r="S41" i="3" s="1"/>
  <c r="Y163" i="1"/>
  <c r="Z163" i="1"/>
  <c r="AB163" i="1"/>
  <c r="AC163" i="1"/>
  <c r="AD163" i="1"/>
  <c r="AG163" i="1" s="1"/>
  <c r="AE163" i="1"/>
  <c r="R41" i="3" s="1"/>
  <c r="AF163" i="1"/>
  <c r="AH182" i="1"/>
  <c r="K164" i="1"/>
  <c r="L164" i="1"/>
  <c r="M164" i="1"/>
  <c r="N164" i="1" s="1"/>
  <c r="V164" i="1"/>
  <c r="S35" i="3" s="1"/>
  <c r="Y164" i="1"/>
  <c r="Z164" i="1"/>
  <c r="AB164" i="1"/>
  <c r="AC164" i="1"/>
  <c r="AD164" i="1"/>
  <c r="T164" i="1" s="1"/>
  <c r="AE164" i="1"/>
  <c r="R35" i="3" s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3" i="1"/>
  <c r="K166" i="1"/>
  <c r="L166" i="1"/>
  <c r="M166" i="1"/>
  <c r="N166" i="1" s="1"/>
  <c r="V166" i="1"/>
  <c r="S44" i="3" s="1"/>
  <c r="Y166" i="1"/>
  <c r="Z166" i="1"/>
  <c r="AB166" i="1"/>
  <c r="AC166" i="1"/>
  <c r="AD166" i="1"/>
  <c r="T166" i="1" s="1"/>
  <c r="AE166" i="1"/>
  <c r="R44" i="3" s="1"/>
  <c r="AF166" i="1"/>
  <c r="AH184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6" i="1"/>
  <c r="K169" i="1"/>
  <c r="L169" i="1"/>
  <c r="M169" i="1"/>
  <c r="N169" i="1" s="1"/>
  <c r="V169" i="1"/>
  <c r="S39" i="3" s="1"/>
  <c r="Y169" i="1"/>
  <c r="Z169" i="1"/>
  <c r="AB169" i="1"/>
  <c r="AC169" i="1"/>
  <c r="AD169" i="1"/>
  <c r="X169" i="1" s="1"/>
  <c r="AE169" i="1"/>
  <c r="R38" i="3" s="1"/>
  <c r="AF169" i="1"/>
  <c r="AH187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88" i="1"/>
  <c r="K171" i="1"/>
  <c r="L171" i="1"/>
  <c r="M171" i="1"/>
  <c r="N171" i="1" s="1"/>
  <c r="V171" i="1"/>
  <c r="S33" i="3" s="1"/>
  <c r="Y171" i="1"/>
  <c r="Z171" i="1"/>
  <c r="AB171" i="1"/>
  <c r="AC171" i="1"/>
  <c r="AD171" i="1"/>
  <c r="AG171" i="1" s="1"/>
  <c r="AE171" i="1"/>
  <c r="AF171" i="1"/>
  <c r="AH18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0" i="1"/>
  <c r="K173" i="1"/>
  <c r="L173" i="1"/>
  <c r="M173" i="1"/>
  <c r="N173" i="1" s="1"/>
  <c r="V173" i="1"/>
  <c r="S42" i="3" s="1"/>
  <c r="Y173" i="1"/>
  <c r="Z173" i="1"/>
  <c r="AB173" i="1"/>
  <c r="AC173" i="1"/>
  <c r="AD173" i="1"/>
  <c r="T173" i="1" s="1"/>
  <c r="AE173" i="1"/>
  <c r="AF173" i="1"/>
  <c r="AH19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2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3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95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96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7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8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99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0" i="1"/>
  <c r="AH201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2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3" i="1"/>
  <c r="K185" i="1"/>
  <c r="L185" i="1"/>
  <c r="M185" i="1"/>
  <c r="N185" i="1" s="1"/>
  <c r="V185" i="1"/>
  <c r="S36" i="3" s="1"/>
  <c r="Y185" i="1"/>
  <c r="Z185" i="1"/>
  <c r="AB185" i="1"/>
  <c r="AC185" i="1"/>
  <c r="AD185" i="1"/>
  <c r="AG185" i="1" s="1"/>
  <c r="AE185" i="1"/>
  <c r="R36" i="3" s="1"/>
  <c r="AF185" i="1"/>
  <c r="AH204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7" i="1"/>
  <c r="K189" i="1"/>
  <c r="L189" i="1"/>
  <c r="M189" i="1"/>
  <c r="N189" i="1" s="1"/>
  <c r="V189" i="1"/>
  <c r="S43" i="3" s="1"/>
  <c r="Y189" i="1"/>
  <c r="Z189" i="1"/>
  <c r="AB189" i="1"/>
  <c r="AC189" i="1"/>
  <c r="AD189" i="1"/>
  <c r="AG189" i="1" s="1"/>
  <c r="AE189" i="1"/>
  <c r="R43" i="3" s="1"/>
  <c r="AF189" i="1"/>
  <c r="AH208" i="1"/>
  <c r="K190" i="1"/>
  <c r="L190" i="1"/>
  <c r="M190" i="1"/>
  <c r="N190" i="1" s="1"/>
  <c r="V190" i="1"/>
  <c r="S45" i="3" s="1"/>
  <c r="Y190" i="1"/>
  <c r="Z190" i="1"/>
  <c r="AB190" i="1"/>
  <c r="AC190" i="1"/>
  <c r="AD190" i="1"/>
  <c r="AE190" i="1"/>
  <c r="R45" i="3" s="1"/>
  <c r="AF190" i="1"/>
  <c r="AH20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1" i="1"/>
  <c r="K193" i="1"/>
  <c r="L193" i="1"/>
  <c r="M193" i="1"/>
  <c r="N193" i="1" s="1"/>
  <c r="V193" i="1"/>
  <c r="Y193" i="1"/>
  <c r="Z193" i="1"/>
  <c r="AB193" i="1"/>
  <c r="AC193" i="1"/>
  <c r="AD193" i="1"/>
  <c r="X193" i="1" s="1"/>
  <c r="AE193" i="1"/>
  <c r="AF193" i="1"/>
  <c r="AH212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4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15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7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9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0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2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23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224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25" i="1"/>
  <c r="K217" i="1"/>
  <c r="L217" i="1"/>
  <c r="M217" i="1"/>
  <c r="N217" i="1"/>
  <c r="V217" i="1"/>
  <c r="Y217" i="1"/>
  <c r="Z217" i="1"/>
  <c r="AB217" i="1"/>
  <c r="AC217" i="1"/>
  <c r="AD217" i="1"/>
  <c r="T217" i="1" s="1"/>
  <c r="AE217" i="1"/>
  <c r="AF217" i="1"/>
  <c r="AH226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27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28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9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30" i="1"/>
  <c r="M25" i="3"/>
  <c r="N25" i="3"/>
  <c r="S25" i="3"/>
  <c r="U25" i="3"/>
  <c r="T25" i="3" s="1"/>
  <c r="V25" i="3"/>
  <c r="W25" i="3"/>
  <c r="Y25" i="3" s="1"/>
  <c r="X25" i="3"/>
  <c r="AC25" i="3"/>
  <c r="M9" i="3"/>
  <c r="N9" i="3"/>
  <c r="S9" i="3"/>
  <c r="U9" i="3"/>
  <c r="T9" i="3" s="1"/>
  <c r="V9" i="3"/>
  <c r="W9" i="3"/>
  <c r="X9" i="3"/>
  <c r="AC9" i="3"/>
  <c r="M8" i="3"/>
  <c r="N8" i="3"/>
  <c r="R8" i="3"/>
  <c r="S8" i="3"/>
  <c r="U8" i="3"/>
  <c r="AC8" i="3" s="1"/>
  <c r="V8" i="3"/>
  <c r="W8" i="3"/>
  <c r="X8" i="3"/>
  <c r="M14" i="3"/>
  <c r="N14" i="3"/>
  <c r="S14" i="3"/>
  <c r="U14" i="3"/>
  <c r="T14" i="3" s="1"/>
  <c r="V14" i="3"/>
  <c r="W14" i="3"/>
  <c r="X14" i="3"/>
  <c r="Y14" i="3"/>
  <c r="M34" i="3"/>
  <c r="N34" i="3"/>
  <c r="R34" i="3"/>
  <c r="U34" i="3"/>
  <c r="T34" i="3" s="1"/>
  <c r="V34" i="3"/>
  <c r="W34" i="3"/>
  <c r="Y34" i="3" s="1"/>
  <c r="X34" i="3"/>
  <c r="AC34" i="3"/>
  <c r="M37" i="3"/>
  <c r="N37" i="3"/>
  <c r="U37" i="3"/>
  <c r="T37" i="3" s="1"/>
  <c r="V37" i="3"/>
  <c r="W37" i="3"/>
  <c r="X37" i="3"/>
  <c r="AC37" i="3"/>
  <c r="M40" i="3"/>
  <c r="N40" i="3"/>
  <c r="U40" i="3"/>
  <c r="AC40" i="3" s="1"/>
  <c r="V40" i="3"/>
  <c r="W40" i="3"/>
  <c r="Y40" i="3" s="1"/>
  <c r="X40" i="3"/>
  <c r="M7" i="3"/>
  <c r="N7" i="3"/>
  <c r="S7" i="3"/>
  <c r="U7" i="3"/>
  <c r="T7" i="3" s="1"/>
  <c r="V7" i="3"/>
  <c r="W7" i="3"/>
  <c r="Y7" i="3" s="1"/>
  <c r="X7" i="3"/>
  <c r="AC7" i="3"/>
  <c r="M41" i="3"/>
  <c r="N41" i="3"/>
  <c r="U41" i="3"/>
  <c r="T41" i="3" s="1"/>
  <c r="V41" i="3"/>
  <c r="W41" i="3"/>
  <c r="X41" i="3"/>
  <c r="AC41" i="3"/>
  <c r="M35" i="3"/>
  <c r="N35" i="3"/>
  <c r="T35" i="3"/>
  <c r="U35" i="3"/>
  <c r="V35" i="3"/>
  <c r="W35" i="3"/>
  <c r="Y35" i="3" s="1"/>
  <c r="X35" i="3"/>
  <c r="AC35" i="3"/>
  <c r="M31" i="3"/>
  <c r="N31" i="3"/>
  <c r="S31" i="3"/>
  <c r="U31" i="3"/>
  <c r="AC31" i="3" s="1"/>
  <c r="V31" i="3"/>
  <c r="W31" i="3"/>
  <c r="Y31" i="3" s="1"/>
  <c r="X31" i="3"/>
  <c r="M44" i="3"/>
  <c r="N44" i="3"/>
  <c r="U44" i="3"/>
  <c r="T44" i="3" s="1"/>
  <c r="V44" i="3"/>
  <c r="W44" i="3"/>
  <c r="Y44" i="3" s="1"/>
  <c r="X44" i="3"/>
  <c r="AC44" i="3"/>
  <c r="M12" i="3"/>
  <c r="N12" i="3"/>
  <c r="U12" i="3"/>
  <c r="T12" i="3" s="1"/>
  <c r="V12" i="3"/>
  <c r="W12" i="3"/>
  <c r="X12" i="3"/>
  <c r="AC12" i="3"/>
  <c r="M38" i="3"/>
  <c r="N38" i="3"/>
  <c r="S38" i="3"/>
  <c r="U38" i="3"/>
  <c r="T38" i="3" s="1"/>
  <c r="V38" i="3"/>
  <c r="W38" i="3"/>
  <c r="X38" i="3"/>
  <c r="AC38" i="3"/>
  <c r="M39" i="3"/>
  <c r="N39" i="3"/>
  <c r="R39" i="3"/>
  <c r="U39" i="3"/>
  <c r="AC39" i="3" s="1"/>
  <c r="V39" i="3"/>
  <c r="W39" i="3"/>
  <c r="X39" i="3"/>
  <c r="Y39" i="3"/>
  <c r="M32" i="3"/>
  <c r="N32" i="3"/>
  <c r="S32" i="3"/>
  <c r="U32" i="3"/>
  <c r="T32" i="3" s="1"/>
  <c r="V32" i="3"/>
  <c r="W32" i="3"/>
  <c r="X32" i="3"/>
  <c r="AC32" i="3"/>
  <c r="M28" i="3"/>
  <c r="N28" i="3"/>
  <c r="S28" i="3"/>
  <c r="U28" i="3"/>
  <c r="T28" i="3" s="1"/>
  <c r="V28" i="3"/>
  <c r="W28" i="3"/>
  <c r="Y28" i="3" s="1"/>
  <c r="X28" i="3"/>
  <c r="AC28" i="3"/>
  <c r="M33" i="3"/>
  <c r="N33" i="3"/>
  <c r="R33" i="3"/>
  <c r="U33" i="3"/>
  <c r="T33" i="3" s="1"/>
  <c r="V33" i="3"/>
  <c r="W33" i="3"/>
  <c r="X33" i="3"/>
  <c r="AC33" i="3"/>
  <c r="M18" i="3"/>
  <c r="N18" i="3"/>
  <c r="R18" i="3"/>
  <c r="U18" i="3"/>
  <c r="AC18" i="3" s="1"/>
  <c r="V18" i="3"/>
  <c r="W18" i="3"/>
  <c r="X18" i="3"/>
  <c r="M11" i="3"/>
  <c r="N11" i="3"/>
  <c r="U11" i="3"/>
  <c r="T11" i="3" s="1"/>
  <c r="V11" i="3"/>
  <c r="W11" i="3"/>
  <c r="X11" i="3"/>
  <c r="Y11" i="3"/>
  <c r="M23" i="3"/>
  <c r="N23" i="3"/>
  <c r="U23" i="3"/>
  <c r="T23" i="3" s="1"/>
  <c r="V23" i="3"/>
  <c r="W23" i="3"/>
  <c r="Y23" i="3" s="1"/>
  <c r="X23" i="3"/>
  <c r="AC23" i="3"/>
  <c r="M19" i="3"/>
  <c r="N19" i="3"/>
  <c r="U19" i="3"/>
  <c r="T19" i="3" s="1"/>
  <c r="V19" i="3"/>
  <c r="W19" i="3"/>
  <c r="X19" i="3"/>
  <c r="AC19" i="3"/>
  <c r="M42" i="3"/>
  <c r="N42" i="3"/>
  <c r="R42" i="3"/>
  <c r="U42" i="3"/>
  <c r="AC42" i="3" s="1"/>
  <c r="V42" i="3"/>
  <c r="W42" i="3"/>
  <c r="Y42" i="3" s="1"/>
  <c r="X42" i="3"/>
  <c r="M10" i="3"/>
  <c r="N10" i="3"/>
  <c r="U10" i="3"/>
  <c r="T10" i="3" s="1"/>
  <c r="V10" i="3"/>
  <c r="W10" i="3"/>
  <c r="Y10" i="3" s="1"/>
  <c r="X10" i="3"/>
  <c r="AC10" i="3"/>
  <c r="M20" i="3"/>
  <c r="N20" i="3"/>
  <c r="R20" i="3"/>
  <c r="S20" i="3"/>
  <c r="U20" i="3"/>
  <c r="T20" i="3" s="1"/>
  <c r="V20" i="3"/>
  <c r="W20" i="3"/>
  <c r="X20" i="3"/>
  <c r="AC20" i="3"/>
  <c r="M24" i="3"/>
  <c r="N24" i="3"/>
  <c r="T24" i="3"/>
  <c r="U24" i="3"/>
  <c r="V24" i="3"/>
  <c r="W24" i="3"/>
  <c r="Y24" i="3" s="1"/>
  <c r="X24" i="3"/>
  <c r="AC24" i="3"/>
  <c r="M29" i="3"/>
  <c r="N29" i="3"/>
  <c r="R29" i="3"/>
  <c r="U29" i="3"/>
  <c r="AC29" i="3" s="1"/>
  <c r="V29" i="3"/>
  <c r="W29" i="3"/>
  <c r="Y29" i="3" s="1"/>
  <c r="X29" i="3"/>
  <c r="M17" i="3"/>
  <c r="N17" i="3"/>
  <c r="U17" i="3"/>
  <c r="T17" i="3" s="1"/>
  <c r="V17" i="3"/>
  <c r="W17" i="3"/>
  <c r="X17" i="3"/>
  <c r="AC17" i="3"/>
  <c r="M21" i="3"/>
  <c r="N21" i="3"/>
  <c r="U21" i="3"/>
  <c r="T21" i="3" s="1"/>
  <c r="V21" i="3"/>
  <c r="W21" i="3"/>
  <c r="X21" i="3"/>
  <c r="AC21" i="3"/>
  <c r="M36" i="3"/>
  <c r="N36" i="3"/>
  <c r="U36" i="3"/>
  <c r="T36" i="3" s="1"/>
  <c r="V36" i="3"/>
  <c r="W36" i="3"/>
  <c r="X36" i="3"/>
  <c r="AC36" i="3"/>
  <c r="M43" i="3"/>
  <c r="N43" i="3"/>
  <c r="U43" i="3"/>
  <c r="AC43" i="3" s="1"/>
  <c r="V43" i="3"/>
  <c r="W43" i="3"/>
  <c r="Y43" i="3" s="1"/>
  <c r="X43" i="3"/>
  <c r="M45" i="3"/>
  <c r="N45" i="3"/>
  <c r="U45" i="3"/>
  <c r="T45" i="3" s="1"/>
  <c r="V45" i="3"/>
  <c r="W45" i="3"/>
  <c r="Y45" i="3" s="1"/>
  <c r="X45" i="3"/>
  <c r="M13" i="3"/>
  <c r="N13" i="3"/>
  <c r="U13" i="3"/>
  <c r="T13" i="3" s="1"/>
  <c r="V13" i="3"/>
  <c r="W13" i="3"/>
  <c r="X13" i="3"/>
  <c r="AC13" i="3"/>
  <c r="M46" i="3"/>
  <c r="N46" i="3"/>
  <c r="R46" i="3"/>
  <c r="S46" i="3"/>
  <c r="U46" i="3"/>
  <c r="T46" i="3" s="1"/>
  <c r="V46" i="3"/>
  <c r="W46" i="3"/>
  <c r="X46" i="3"/>
  <c r="M30" i="3"/>
  <c r="N30" i="3"/>
  <c r="R30" i="3"/>
  <c r="U30" i="3"/>
  <c r="AC30" i="3" s="1"/>
  <c r="V30" i="3"/>
  <c r="W30" i="3"/>
  <c r="Y30" i="3" s="1"/>
  <c r="X30" i="3"/>
  <c r="M26" i="3"/>
  <c r="N26" i="3"/>
  <c r="U26" i="3"/>
  <c r="T26" i="3" s="1"/>
  <c r="V26" i="3"/>
  <c r="W26" i="3"/>
  <c r="Y26" i="3" s="1"/>
  <c r="X26" i="3"/>
  <c r="M27" i="3"/>
  <c r="N27" i="3"/>
  <c r="U27" i="3"/>
  <c r="T27" i="3" s="1"/>
  <c r="V27" i="3"/>
  <c r="W27" i="3"/>
  <c r="X27" i="3"/>
  <c r="AC27" i="3"/>
  <c r="M22" i="3"/>
  <c r="N22" i="3"/>
  <c r="U22" i="3"/>
  <c r="T22" i="3" s="1"/>
  <c r="V22" i="3"/>
  <c r="W22" i="3"/>
  <c r="Y22" i="3" s="1"/>
  <c r="X22" i="3"/>
  <c r="M15" i="3"/>
  <c r="N15" i="3"/>
  <c r="U15" i="3"/>
  <c r="AC15" i="3" s="1"/>
  <c r="V15" i="3"/>
  <c r="W15" i="3"/>
  <c r="X15" i="3"/>
  <c r="R40" i="3" l="1"/>
  <c r="S37" i="3"/>
  <c r="AA168" i="1"/>
  <c r="W168" i="1" s="1"/>
  <c r="AA167" i="1"/>
  <c r="AA166" i="1"/>
  <c r="T124" i="1"/>
  <c r="AA28" i="1"/>
  <c r="AA221" i="1"/>
  <c r="W221" i="1" s="1"/>
  <c r="AG151" i="1"/>
  <c r="T133" i="1"/>
  <c r="X133" i="1"/>
  <c r="T132" i="1"/>
  <c r="X132" i="1"/>
  <c r="T131" i="1"/>
  <c r="X131" i="1"/>
  <c r="AG130" i="1"/>
  <c r="X130" i="1"/>
  <c r="T129" i="1"/>
  <c r="X129" i="1"/>
  <c r="X112" i="1"/>
  <c r="T128" i="1"/>
  <c r="X128" i="1"/>
  <c r="AG46" i="1"/>
  <c r="AI46" i="1" s="1"/>
  <c r="R25" i="3"/>
  <c r="T218" i="1"/>
  <c r="AA151" i="1"/>
  <c r="AA150" i="1"/>
  <c r="W150" i="1" s="1"/>
  <c r="AA87" i="1"/>
  <c r="AA84" i="1"/>
  <c r="AA76" i="1"/>
  <c r="AI69" i="1"/>
  <c r="AI65" i="1"/>
  <c r="AA46" i="1"/>
  <c r="T125" i="1"/>
  <c r="X125" i="1"/>
  <c r="X31" i="1"/>
  <c r="R26" i="3"/>
  <c r="AI213" i="1"/>
  <c r="AA122" i="1"/>
  <c r="AG88" i="1"/>
  <c r="U88" i="1" s="1"/>
  <c r="S88" i="1" s="1"/>
  <c r="AI61" i="1"/>
  <c r="R22" i="3"/>
  <c r="AI142" i="1"/>
  <c r="T123" i="1"/>
  <c r="X123" i="1"/>
  <c r="T122" i="1"/>
  <c r="X122" i="1"/>
  <c r="AA105" i="1"/>
  <c r="AA104" i="1"/>
  <c r="AA103" i="1"/>
  <c r="X46" i="1"/>
  <c r="AA45" i="1"/>
  <c r="AA40" i="1"/>
  <c r="AA39" i="1"/>
  <c r="AA35" i="1"/>
  <c r="W35" i="1" s="1"/>
  <c r="AG140" i="1"/>
  <c r="U140" i="1" s="1"/>
  <c r="AA43" i="1"/>
  <c r="AG160" i="1"/>
  <c r="U160" i="1" s="1"/>
  <c r="S160" i="1" s="1"/>
  <c r="X137" i="1"/>
  <c r="AG119" i="1"/>
  <c r="T114" i="1"/>
  <c r="X114" i="1"/>
  <c r="AA112" i="1"/>
  <c r="T111" i="1"/>
  <c r="X111" i="1"/>
  <c r="S22" i="3"/>
  <c r="AG214" i="1"/>
  <c r="W214" i="1" s="1"/>
  <c r="X212" i="1"/>
  <c r="AG137" i="1"/>
  <c r="AA134" i="1"/>
  <c r="W134" i="1" s="1"/>
  <c r="AA133" i="1"/>
  <c r="W133" i="1" s="1"/>
  <c r="AG126" i="1"/>
  <c r="AA96" i="1"/>
  <c r="AA92" i="1"/>
  <c r="AG47" i="1"/>
  <c r="U47" i="1" s="1"/>
  <c r="S47" i="1" s="1"/>
  <c r="X47" i="1"/>
  <c r="T30" i="1"/>
  <c r="AG129" i="1"/>
  <c r="U129" i="1" s="1"/>
  <c r="S129" i="1" s="1"/>
  <c r="AG183" i="1"/>
  <c r="U183" i="1" s="1"/>
  <c r="S183" i="1" s="1"/>
  <c r="S11" i="3"/>
  <c r="AG200" i="1"/>
  <c r="AA192" i="1"/>
  <c r="AA190" i="1"/>
  <c r="AA189" i="1"/>
  <c r="AA186" i="1"/>
  <c r="AA185" i="1"/>
  <c r="W185" i="1" s="1"/>
  <c r="AG176" i="1"/>
  <c r="AI176" i="1" s="1"/>
  <c r="X174" i="1"/>
  <c r="X161" i="1"/>
  <c r="AA160" i="1"/>
  <c r="W160" i="1" s="1"/>
  <c r="AA159" i="1"/>
  <c r="W159" i="1" s="1"/>
  <c r="AA230" i="1"/>
  <c r="AA224" i="1"/>
  <c r="AA223" i="1"/>
  <c r="AA222" i="1"/>
  <c r="AG141" i="1"/>
  <c r="X141" i="1"/>
  <c r="AA140" i="1"/>
  <c r="W140" i="1" s="1"/>
  <c r="AA121" i="1"/>
  <c r="W121" i="1" s="1"/>
  <c r="AA120" i="1"/>
  <c r="AA119" i="1"/>
  <c r="W119" i="1" s="1"/>
  <c r="AA118" i="1"/>
  <c r="AG99" i="1"/>
  <c r="U99" i="1" s="1"/>
  <c r="S99" i="1" s="1"/>
  <c r="AA80" i="1"/>
  <c r="AA65" i="1"/>
  <c r="W65" i="1" s="1"/>
  <c r="AA53" i="1"/>
  <c r="AG34" i="1"/>
  <c r="U34" i="1" s="1"/>
  <c r="S34" i="1" s="1"/>
  <c r="X34" i="1"/>
  <c r="AA30" i="1"/>
  <c r="W30" i="1" s="1"/>
  <c r="X219" i="1"/>
  <c r="AG155" i="1"/>
  <c r="U155" i="1" s="1"/>
  <c r="S155" i="1" s="1"/>
  <c r="AA147" i="1"/>
  <c r="AA146" i="1"/>
  <c r="W146" i="1" s="1"/>
  <c r="AA145" i="1"/>
  <c r="AA144" i="1"/>
  <c r="AA83" i="1"/>
  <c r="T83" i="1"/>
  <c r="AI68" i="1"/>
  <c r="X57" i="1"/>
  <c r="T56" i="1"/>
  <c r="AA27" i="1"/>
  <c r="AG26" i="1"/>
  <c r="AA20" i="1"/>
  <c r="AA19" i="1"/>
  <c r="S26" i="3"/>
  <c r="T204" i="1"/>
  <c r="U204" i="1" s="1"/>
  <c r="S204" i="1" s="1"/>
  <c r="X201" i="1"/>
  <c r="X177" i="1"/>
  <c r="AA176" i="1"/>
  <c r="AA175" i="1"/>
  <c r="W175" i="1" s="1"/>
  <c r="AA174" i="1"/>
  <c r="AG168" i="1"/>
  <c r="AG210" i="1"/>
  <c r="U210" i="1" s="1"/>
  <c r="S210" i="1" s="1"/>
  <c r="X149" i="1"/>
  <c r="T107" i="1"/>
  <c r="U107" i="1" s="1"/>
  <c r="S107" i="1" s="1"/>
  <c r="T79" i="1"/>
  <c r="AI70" i="1"/>
  <c r="T42" i="1"/>
  <c r="AA32" i="1"/>
  <c r="AA31" i="1"/>
  <c r="X30" i="1"/>
  <c r="U42" i="1"/>
  <c r="S42" i="1" s="1"/>
  <c r="AA198" i="1"/>
  <c r="AA195" i="1"/>
  <c r="AG206" i="1"/>
  <c r="W206" i="1" s="1"/>
  <c r="X157" i="1"/>
  <c r="X156" i="1"/>
  <c r="AA155" i="1"/>
  <c r="AA154" i="1"/>
  <c r="W154" i="1" s="1"/>
  <c r="AA153" i="1"/>
  <c r="AA138" i="1"/>
  <c r="W138" i="1" s="1"/>
  <c r="AA132" i="1"/>
  <c r="AA131" i="1"/>
  <c r="AA116" i="1"/>
  <c r="AA108" i="1"/>
  <c r="AA107" i="1"/>
  <c r="X96" i="1"/>
  <c r="AA95" i="1"/>
  <c r="AG83" i="1"/>
  <c r="W83" i="1" s="1"/>
  <c r="AA82" i="1"/>
  <c r="AA81" i="1"/>
  <c r="W81" i="1" s="1"/>
  <c r="P75" i="1"/>
  <c r="T68" i="1"/>
  <c r="U68" i="1" s="1"/>
  <c r="S68" i="1" s="1"/>
  <c r="AA57" i="1"/>
  <c r="W57" i="1" s="1"/>
  <c r="AG56" i="1"/>
  <c r="U56" i="1" s="1"/>
  <c r="S56" i="1" s="1"/>
  <c r="AA55" i="1"/>
  <c r="AA54" i="1"/>
  <c r="W54" i="1" s="1"/>
  <c r="AA44" i="1"/>
  <c r="X27" i="1"/>
  <c r="AA26" i="1"/>
  <c r="W26" i="1" s="1"/>
  <c r="AI200" i="1"/>
  <c r="T193" i="1"/>
  <c r="X189" i="1"/>
  <c r="AA188" i="1"/>
  <c r="T185" i="1"/>
  <c r="U185" i="1" s="1"/>
  <c r="S185" i="1" s="1"/>
  <c r="AA180" i="1"/>
  <c r="AA179" i="1"/>
  <c r="W179" i="1" s="1"/>
  <c r="AA178" i="1"/>
  <c r="W178" i="1" s="1"/>
  <c r="AA172" i="1"/>
  <c r="AA171" i="1"/>
  <c r="AA170" i="1"/>
  <c r="W170" i="1" s="1"/>
  <c r="X166" i="1"/>
  <c r="AA164" i="1"/>
  <c r="AA163" i="1"/>
  <c r="AA162" i="1"/>
  <c r="W162" i="1" s="1"/>
  <c r="X230" i="1"/>
  <c r="AA228" i="1"/>
  <c r="AA227" i="1"/>
  <c r="AA226" i="1"/>
  <c r="W226" i="1" s="1"/>
  <c r="AG224" i="1"/>
  <c r="U224" i="1" s="1"/>
  <c r="S224" i="1" s="1"/>
  <c r="AA142" i="1"/>
  <c r="W142" i="1" s="1"/>
  <c r="X134" i="1"/>
  <c r="AG132" i="1"/>
  <c r="AI132" i="1" s="1"/>
  <c r="X121" i="1"/>
  <c r="AA100" i="1"/>
  <c r="X99" i="1"/>
  <c r="AA98" i="1"/>
  <c r="AA97" i="1"/>
  <c r="T91" i="1"/>
  <c r="U91" i="1" s="1"/>
  <c r="S91" i="1" s="1"/>
  <c r="AA36" i="1"/>
  <c r="W23" i="1"/>
  <c r="AA91" i="1"/>
  <c r="AA88" i="1"/>
  <c r="W88" i="1" s="1"/>
  <c r="X87" i="1"/>
  <c r="AG75" i="1"/>
  <c r="U75" i="1" s="1"/>
  <c r="S75" i="1" s="1"/>
  <c r="X75" i="1"/>
  <c r="AA74" i="1"/>
  <c r="AA73" i="1"/>
  <c r="W73" i="1" s="1"/>
  <c r="X65" i="1"/>
  <c r="T64" i="1"/>
  <c r="AA61" i="1"/>
  <c r="W61" i="1" s="1"/>
  <c r="AG51" i="1"/>
  <c r="U51" i="1" s="1"/>
  <c r="AA48" i="1"/>
  <c r="AG27" i="1"/>
  <c r="AI27" i="1" s="1"/>
  <c r="X19" i="1"/>
  <c r="AA216" i="1"/>
  <c r="AG198" i="1"/>
  <c r="U198" i="1" s="1"/>
  <c r="S198" i="1" s="1"/>
  <c r="AG193" i="1"/>
  <c r="AI193" i="1" s="1"/>
  <c r="AG188" i="1"/>
  <c r="AI188" i="1" s="1"/>
  <c r="X188" i="1"/>
  <c r="AG180" i="1"/>
  <c r="X178" i="1"/>
  <c r="AG172" i="1"/>
  <c r="AI172" i="1" s="1"/>
  <c r="X170" i="1"/>
  <c r="AG164" i="1"/>
  <c r="X162" i="1"/>
  <c r="AG228" i="1"/>
  <c r="AI228" i="1" s="1"/>
  <c r="X226" i="1"/>
  <c r="AI138" i="1"/>
  <c r="AG133" i="1"/>
  <c r="U133" i="1" s="1"/>
  <c r="S133" i="1" s="1"/>
  <c r="W132" i="1"/>
  <c r="AA127" i="1"/>
  <c r="AG123" i="1"/>
  <c r="U123" i="1" s="1"/>
  <c r="S123" i="1" s="1"/>
  <c r="AG120" i="1"/>
  <c r="X120" i="1"/>
  <c r="T110" i="1"/>
  <c r="AG100" i="1"/>
  <c r="AI100" i="1" s="1"/>
  <c r="X100" i="1"/>
  <c r="AG98" i="1"/>
  <c r="U98" i="1" s="1"/>
  <c r="S98" i="1" s="1"/>
  <c r="AA220" i="1"/>
  <c r="AA219" i="1"/>
  <c r="W219" i="1" s="1"/>
  <c r="T219" i="1"/>
  <c r="U219" i="1" s="1"/>
  <c r="S219" i="1" s="1"/>
  <c r="AG216" i="1"/>
  <c r="U216" i="1" s="1"/>
  <c r="S216" i="1" s="1"/>
  <c r="AI204" i="1"/>
  <c r="AA204" i="1"/>
  <c r="W204" i="1" s="1"/>
  <c r="AA203" i="1"/>
  <c r="AA202" i="1"/>
  <c r="AA201" i="1"/>
  <c r="T201" i="1"/>
  <c r="U201" i="1" s="1"/>
  <c r="S201" i="1" s="1"/>
  <c r="AI196" i="1"/>
  <c r="AA196" i="1"/>
  <c r="W196" i="1" s="1"/>
  <c r="AA194" i="1"/>
  <c r="W194" i="1" s="1"/>
  <c r="AA183" i="1"/>
  <c r="AA182" i="1"/>
  <c r="W182" i="1" s="1"/>
  <c r="X208" i="1"/>
  <c r="X153" i="1"/>
  <c r="AA149" i="1"/>
  <c r="W149" i="1" s="1"/>
  <c r="AG147" i="1"/>
  <c r="AI147" i="1" s="1"/>
  <c r="X145" i="1"/>
  <c r="X138" i="1"/>
  <c r="AA117" i="1"/>
  <c r="W117" i="1" s="1"/>
  <c r="AG115" i="1"/>
  <c r="AA111" i="1"/>
  <c r="AA110" i="1"/>
  <c r="X103" i="1"/>
  <c r="X95" i="1"/>
  <c r="AG92" i="1"/>
  <c r="U92" i="1" s="1"/>
  <c r="S92" i="1" s="1"/>
  <c r="T87" i="1"/>
  <c r="AA79" i="1"/>
  <c r="AA75" i="1"/>
  <c r="AA72" i="1"/>
  <c r="X71" i="1"/>
  <c r="AG64" i="1"/>
  <c r="AA62" i="1"/>
  <c r="X60" i="1"/>
  <c r="AA58" i="1"/>
  <c r="AA52" i="1"/>
  <c r="AA51" i="1"/>
  <c r="W51" i="1" s="1"/>
  <c r="AA47" i="1"/>
  <c r="AG43" i="1"/>
  <c r="W43" i="1" s="1"/>
  <c r="X43" i="1"/>
  <c r="AA42" i="1"/>
  <c r="W42" i="1" s="1"/>
  <c r="X18" i="1"/>
  <c r="T196" i="1"/>
  <c r="U196" i="1" s="1"/>
  <c r="S196" i="1" s="1"/>
  <c r="W189" i="1"/>
  <c r="T189" i="1"/>
  <c r="U189" i="1" s="1"/>
  <c r="S189" i="1" s="1"/>
  <c r="T181" i="1"/>
  <c r="X181" i="1"/>
  <c r="AG181" i="1"/>
  <c r="AI181" i="1" s="1"/>
  <c r="AI157" i="1"/>
  <c r="AI149" i="1"/>
  <c r="AI221" i="1"/>
  <c r="AG197" i="1"/>
  <c r="X197" i="1"/>
  <c r="T197" i="1"/>
  <c r="X194" i="1"/>
  <c r="AG184" i="1"/>
  <c r="AI184" i="1" s="1"/>
  <c r="T184" i="1"/>
  <c r="T182" i="1"/>
  <c r="U182" i="1" s="1"/>
  <c r="S182" i="1" s="1"/>
  <c r="T202" i="1"/>
  <c r="AG202" i="1"/>
  <c r="T187" i="1"/>
  <c r="AG187" i="1"/>
  <c r="T220" i="1"/>
  <c r="U220" i="1" s="1"/>
  <c r="S220" i="1" s="1"/>
  <c r="AG220" i="1"/>
  <c r="AG205" i="1"/>
  <c r="T205" i="1"/>
  <c r="T194" i="1"/>
  <c r="U194" i="1" s="1"/>
  <c r="S194" i="1" s="1"/>
  <c r="W212" i="1"/>
  <c r="W157" i="1"/>
  <c r="U141" i="1"/>
  <c r="S141" i="1" s="1"/>
  <c r="AA200" i="1"/>
  <c r="W200" i="1" s="1"/>
  <c r="AA199" i="1"/>
  <c r="AA197" i="1"/>
  <c r="AA193" i="1"/>
  <c r="AA187" i="1"/>
  <c r="AA184" i="1"/>
  <c r="AA177" i="1"/>
  <c r="T177" i="1"/>
  <c r="AG174" i="1"/>
  <c r="U174" i="1" s="1"/>
  <c r="S174" i="1" s="1"/>
  <c r="AG173" i="1"/>
  <c r="AI173" i="1" s="1"/>
  <c r="X173" i="1"/>
  <c r="AA169" i="1"/>
  <c r="T169" i="1"/>
  <c r="AG166" i="1"/>
  <c r="U166" i="1" s="1"/>
  <c r="S166" i="1" s="1"/>
  <c r="AG165" i="1"/>
  <c r="AI165" i="1" s="1"/>
  <c r="X165" i="1"/>
  <c r="AA161" i="1"/>
  <c r="T161" i="1"/>
  <c r="AG230" i="1"/>
  <c r="U230" i="1" s="1"/>
  <c r="S230" i="1" s="1"/>
  <c r="AG229" i="1"/>
  <c r="AI229" i="1" s="1"/>
  <c r="X229" i="1"/>
  <c r="AA225" i="1"/>
  <c r="T225" i="1"/>
  <c r="AG222" i="1"/>
  <c r="U222" i="1" s="1"/>
  <c r="S222" i="1" s="1"/>
  <c r="AG215" i="1"/>
  <c r="X215" i="1"/>
  <c r="AA211" i="1"/>
  <c r="T211" i="1"/>
  <c r="AG208" i="1"/>
  <c r="AG207" i="1"/>
  <c r="X207" i="1"/>
  <c r="AA156" i="1"/>
  <c r="T156" i="1"/>
  <c r="AG153" i="1"/>
  <c r="AG152" i="1"/>
  <c r="U152" i="1" s="1"/>
  <c r="S152" i="1" s="1"/>
  <c r="X152" i="1"/>
  <c r="AA148" i="1"/>
  <c r="T148" i="1"/>
  <c r="AG145" i="1"/>
  <c r="AG127" i="1"/>
  <c r="AI127" i="1" s="1"/>
  <c r="AG124" i="1"/>
  <c r="X108" i="1"/>
  <c r="AG108" i="1"/>
  <c r="AI31" i="1"/>
  <c r="W180" i="1"/>
  <c r="T178" i="1"/>
  <c r="U178" i="1" s="1"/>
  <c r="S178" i="1" s="1"/>
  <c r="T170" i="1"/>
  <c r="U170" i="1" s="1"/>
  <c r="S170" i="1" s="1"/>
  <c r="T162" i="1"/>
  <c r="U162" i="1" s="1"/>
  <c r="S162" i="1" s="1"/>
  <c r="T226" i="1"/>
  <c r="U226" i="1" s="1"/>
  <c r="S226" i="1" s="1"/>
  <c r="X222" i="1"/>
  <c r="T212" i="1"/>
  <c r="U212" i="1" s="1"/>
  <c r="S212" i="1" s="1"/>
  <c r="T157" i="1"/>
  <c r="U157" i="1" s="1"/>
  <c r="S157" i="1" s="1"/>
  <c r="W151" i="1"/>
  <c r="T149" i="1"/>
  <c r="U149" i="1" s="1"/>
  <c r="S149" i="1" s="1"/>
  <c r="T142" i="1"/>
  <c r="T138" i="1"/>
  <c r="U138" i="1" s="1"/>
  <c r="S138" i="1" s="1"/>
  <c r="AG113" i="1"/>
  <c r="T113" i="1"/>
  <c r="AA218" i="1"/>
  <c r="W218" i="1" s="1"/>
  <c r="AA217" i="1"/>
  <c r="AA205" i="1"/>
  <c r="AA181" i="1"/>
  <c r="AG177" i="1"/>
  <c r="AI177" i="1" s="1"/>
  <c r="AA173" i="1"/>
  <c r="W173" i="1" s="1"/>
  <c r="AG169" i="1"/>
  <c r="AI169" i="1" s="1"/>
  <c r="AA165" i="1"/>
  <c r="AG161" i="1"/>
  <c r="AI161" i="1" s="1"/>
  <c r="AA229" i="1"/>
  <c r="AG225" i="1"/>
  <c r="AI225" i="1" s="1"/>
  <c r="AA215" i="1"/>
  <c r="AG211" i="1"/>
  <c r="AA207" i="1"/>
  <c r="W207" i="1" s="1"/>
  <c r="AG156" i="1"/>
  <c r="AA152" i="1"/>
  <c r="AG148" i="1"/>
  <c r="U148" i="1" s="1"/>
  <c r="S148" i="1" s="1"/>
  <c r="X144" i="1"/>
  <c r="AA143" i="1"/>
  <c r="AA141" i="1"/>
  <c r="W141" i="1" s="1"/>
  <c r="AA136" i="1"/>
  <c r="AA135" i="1"/>
  <c r="T127" i="1"/>
  <c r="T112" i="1"/>
  <c r="AG112" i="1"/>
  <c r="T108" i="1"/>
  <c r="T106" i="1"/>
  <c r="AG106" i="1"/>
  <c r="AI106" i="1" s="1"/>
  <c r="X104" i="1"/>
  <c r="AG104" i="1"/>
  <c r="AI35" i="1"/>
  <c r="W224" i="1"/>
  <c r="W155" i="1"/>
  <c r="W147" i="1"/>
  <c r="X142" i="1"/>
  <c r="T136" i="1"/>
  <c r="AG136" i="1"/>
  <c r="AI136" i="1" s="1"/>
  <c r="T116" i="1"/>
  <c r="X116" i="1"/>
  <c r="AG116" i="1"/>
  <c r="AI116" i="1" s="1"/>
  <c r="X117" i="1"/>
  <c r="T61" i="1"/>
  <c r="U61" i="1" s="1"/>
  <c r="S61" i="1" s="1"/>
  <c r="AA41" i="1"/>
  <c r="T38" i="1"/>
  <c r="U38" i="1" s="1"/>
  <c r="S38" i="1" s="1"/>
  <c r="X35" i="1"/>
  <c r="AA29" i="1"/>
  <c r="AA24" i="1"/>
  <c r="T23" i="1"/>
  <c r="U23" i="1" s="1"/>
  <c r="S23" i="1" s="1"/>
  <c r="T14" i="1"/>
  <c r="AA109" i="1"/>
  <c r="W109" i="1" s="1"/>
  <c r="AG102" i="1"/>
  <c r="T96" i="1"/>
  <c r="AG94" i="1"/>
  <c r="U94" i="1" s="1"/>
  <c r="S94" i="1" s="1"/>
  <c r="AG90" i="1"/>
  <c r="AI90" i="1" s="1"/>
  <c r="AG86" i="1"/>
  <c r="AG78" i="1"/>
  <c r="AI78" i="1" s="1"/>
  <c r="AA60" i="1"/>
  <c r="AG59" i="1"/>
  <c r="U59" i="1" s="1"/>
  <c r="X53" i="1"/>
  <c r="AG52" i="1"/>
  <c r="AI52" i="1" s="1"/>
  <c r="X52" i="1"/>
  <c r="AG50" i="1"/>
  <c r="U50" i="1" s="1"/>
  <c r="X50" i="1"/>
  <c r="T39" i="1"/>
  <c r="W31" i="1"/>
  <c r="T19" i="1"/>
  <c r="T15" i="1"/>
  <c r="AA139" i="1"/>
  <c r="AA137" i="1"/>
  <c r="W137" i="1" s="1"/>
  <c r="T134" i="1"/>
  <c r="U134" i="1" s="1"/>
  <c r="S134" i="1" s="1"/>
  <c r="AA129" i="1"/>
  <c r="AA128" i="1"/>
  <c r="AA123" i="1"/>
  <c r="T121" i="1"/>
  <c r="U121" i="1" s="1"/>
  <c r="S121" i="1" s="1"/>
  <c r="AA115" i="1"/>
  <c r="AA114" i="1"/>
  <c r="X110" i="1"/>
  <c r="AG107" i="1"/>
  <c r="W107" i="1" s="1"/>
  <c r="AG103" i="1"/>
  <c r="AI103" i="1" s="1"/>
  <c r="AA99" i="1"/>
  <c r="AG96" i="1"/>
  <c r="AG95" i="1"/>
  <c r="AI95" i="1" s="1"/>
  <c r="AI92" i="1"/>
  <c r="AG91" i="1"/>
  <c r="AI88" i="1"/>
  <c r="AG87" i="1"/>
  <c r="W87" i="1" s="1"/>
  <c r="AG79" i="1"/>
  <c r="AA70" i="1"/>
  <c r="W70" i="1" s="1"/>
  <c r="T65" i="1"/>
  <c r="U65" i="1" s="1"/>
  <c r="S65" i="1" s="1"/>
  <c r="X61" i="1"/>
  <c r="AG60" i="1"/>
  <c r="U60" i="1" s="1"/>
  <c r="S60" i="1" s="1"/>
  <c r="T57" i="1"/>
  <c r="AG39" i="1"/>
  <c r="T35" i="1"/>
  <c r="U35" i="1" s="1"/>
  <c r="S35" i="1" s="1"/>
  <c r="T31" i="1"/>
  <c r="U31" i="1" s="1"/>
  <c r="S31" i="1" s="1"/>
  <c r="AG29" i="1"/>
  <c r="AI29" i="1" s="1"/>
  <c r="AG22" i="1"/>
  <c r="U22" i="1" s="1"/>
  <c r="S22" i="1" s="1"/>
  <c r="AG19" i="1"/>
  <c r="AG17" i="1"/>
  <c r="AI17" i="1" s="1"/>
  <c r="AG15" i="1"/>
  <c r="AG14" i="1"/>
  <c r="AI14" i="1" s="1"/>
  <c r="T130" i="1"/>
  <c r="U130" i="1" s="1"/>
  <c r="S130" i="1" s="1"/>
  <c r="AA126" i="1"/>
  <c r="W126" i="1" s="1"/>
  <c r="AA125" i="1"/>
  <c r="W120" i="1"/>
  <c r="T117" i="1"/>
  <c r="U117" i="1" s="1"/>
  <c r="S117" i="1" s="1"/>
  <c r="AA113" i="1"/>
  <c r="W113" i="1" s="1"/>
  <c r="AA106" i="1"/>
  <c r="AA101" i="1"/>
  <c r="W101" i="1" s="1"/>
  <c r="AA94" i="1"/>
  <c r="AA93" i="1"/>
  <c r="W93" i="1" s="1"/>
  <c r="AA90" i="1"/>
  <c r="W90" i="1" s="1"/>
  <c r="AA89" i="1"/>
  <c r="W89" i="1" s="1"/>
  <c r="AA86" i="1"/>
  <c r="AA85" i="1"/>
  <c r="W85" i="1" s="1"/>
  <c r="AG82" i="1"/>
  <c r="U82" i="1" s="1"/>
  <c r="S82" i="1" s="1"/>
  <c r="AA78" i="1"/>
  <c r="AA77" i="1"/>
  <c r="W77" i="1" s="1"/>
  <c r="AG74" i="1"/>
  <c r="U74" i="1" s="1"/>
  <c r="S74" i="1" s="1"/>
  <c r="AA69" i="1"/>
  <c r="W69" i="1" s="1"/>
  <c r="AA68" i="1"/>
  <c r="W68" i="1" s="1"/>
  <c r="AA66" i="1"/>
  <c r="AA64" i="1"/>
  <c r="AA56" i="1"/>
  <c r="AG55" i="1"/>
  <c r="U55" i="1" s="1"/>
  <c r="T53" i="1"/>
  <c r="U53" i="1" s="1"/>
  <c r="S53" i="1" s="1"/>
  <c r="AA25" i="1"/>
  <c r="AI23" i="1"/>
  <c r="U18" i="1"/>
  <c r="AI220" i="1"/>
  <c r="W201" i="1"/>
  <c r="X221" i="1"/>
  <c r="T221" i="1"/>
  <c r="U221" i="1" s="1"/>
  <c r="S221" i="1" s="1"/>
  <c r="X220" i="1"/>
  <c r="X216" i="1"/>
  <c r="X202" i="1"/>
  <c r="X198" i="1"/>
  <c r="AG192" i="1"/>
  <c r="AI192" i="1" s="1"/>
  <c r="X192" i="1"/>
  <c r="AA191" i="1"/>
  <c r="AG190" i="1"/>
  <c r="AI190" i="1" s="1"/>
  <c r="T190" i="1"/>
  <c r="X190" i="1"/>
  <c r="AG186" i="1"/>
  <c r="AI186" i="1" s="1"/>
  <c r="T186" i="1"/>
  <c r="AI201" i="1"/>
  <c r="AI185" i="1"/>
  <c r="AI178" i="1"/>
  <c r="AI170" i="1"/>
  <c r="AI162" i="1"/>
  <c r="AI154" i="1"/>
  <c r="AI146" i="1"/>
  <c r="U200" i="1"/>
  <c r="S200" i="1" s="1"/>
  <c r="T191" i="1"/>
  <c r="X191" i="1"/>
  <c r="W171" i="1"/>
  <c r="U168" i="1"/>
  <c r="S168" i="1" s="1"/>
  <c r="W163" i="1"/>
  <c r="W227" i="1"/>
  <c r="W213" i="1"/>
  <c r="W158" i="1"/>
  <c r="U147" i="1"/>
  <c r="S147" i="1" s="1"/>
  <c r="X218" i="1"/>
  <c r="AG217" i="1"/>
  <c r="X204" i="1"/>
  <c r="AG203" i="1"/>
  <c r="AI203" i="1" s="1"/>
  <c r="X200" i="1"/>
  <c r="AG199" i="1"/>
  <c r="AI199" i="1" s="1"/>
  <c r="X196" i="1"/>
  <c r="AG195" i="1"/>
  <c r="AI195" i="1" s="1"/>
  <c r="AG191" i="1"/>
  <c r="AI191" i="1" s="1"/>
  <c r="AI189" i="1"/>
  <c r="AI182" i="1"/>
  <c r="AI174" i="1"/>
  <c r="AI166" i="1"/>
  <c r="AI158" i="1"/>
  <c r="AI150" i="1"/>
  <c r="U218" i="1"/>
  <c r="S218" i="1" s="1"/>
  <c r="AI227" i="1"/>
  <c r="X217" i="1"/>
  <c r="AI223" i="1"/>
  <c r="X203" i="1"/>
  <c r="AI219" i="1"/>
  <c r="X199" i="1"/>
  <c r="AI215" i="1"/>
  <c r="X195" i="1"/>
  <c r="AI212" i="1"/>
  <c r="U180" i="1"/>
  <c r="S180" i="1" s="1"/>
  <c r="W167" i="1"/>
  <c r="U164" i="1"/>
  <c r="S164" i="1" s="1"/>
  <c r="U228" i="1"/>
  <c r="S228" i="1" s="1"/>
  <c r="W223" i="1"/>
  <c r="W209" i="1"/>
  <c r="U151" i="1"/>
  <c r="AI198" i="1"/>
  <c r="X179" i="1"/>
  <c r="T179" i="1"/>
  <c r="U179" i="1" s="1"/>
  <c r="S179" i="1" s="1"/>
  <c r="AI194" i="1"/>
  <c r="X175" i="1"/>
  <c r="T175" i="1"/>
  <c r="U175" i="1" s="1"/>
  <c r="S175" i="1" s="1"/>
  <c r="X171" i="1"/>
  <c r="T171" i="1"/>
  <c r="U171" i="1" s="1"/>
  <c r="S171" i="1" s="1"/>
  <c r="X167" i="1"/>
  <c r="T167" i="1"/>
  <c r="U167" i="1" s="1"/>
  <c r="S167" i="1" s="1"/>
  <c r="X163" i="1"/>
  <c r="T163" i="1"/>
  <c r="U163" i="1" s="1"/>
  <c r="S163" i="1" s="1"/>
  <c r="AI179" i="1"/>
  <c r="X159" i="1"/>
  <c r="T159" i="1"/>
  <c r="U159" i="1" s="1"/>
  <c r="S159" i="1" s="1"/>
  <c r="AI175" i="1"/>
  <c r="X227" i="1"/>
  <c r="T227" i="1"/>
  <c r="U227" i="1" s="1"/>
  <c r="S227" i="1" s="1"/>
  <c r="AI171" i="1"/>
  <c r="X223" i="1"/>
  <c r="T223" i="1"/>
  <c r="U223" i="1" s="1"/>
  <c r="S223" i="1" s="1"/>
  <c r="AI167" i="1"/>
  <c r="X213" i="1"/>
  <c r="T213" i="1"/>
  <c r="U213" i="1" s="1"/>
  <c r="S213" i="1" s="1"/>
  <c r="AI163" i="1"/>
  <c r="X209" i="1"/>
  <c r="T209" i="1"/>
  <c r="U209" i="1" s="1"/>
  <c r="S209" i="1" s="1"/>
  <c r="AI159" i="1"/>
  <c r="X158" i="1"/>
  <c r="T158" i="1"/>
  <c r="U158" i="1" s="1"/>
  <c r="S158" i="1" s="1"/>
  <c r="X154" i="1"/>
  <c r="T154" i="1"/>
  <c r="U154" i="1" s="1"/>
  <c r="S154" i="1" s="1"/>
  <c r="AI151" i="1"/>
  <c r="S151" i="1"/>
  <c r="X150" i="1"/>
  <c r="T150" i="1"/>
  <c r="U150" i="1" s="1"/>
  <c r="S150" i="1" s="1"/>
  <c r="X146" i="1"/>
  <c r="T146" i="1"/>
  <c r="U146" i="1" s="1"/>
  <c r="S146" i="1" s="1"/>
  <c r="U142" i="1"/>
  <c r="S142" i="1" s="1"/>
  <c r="AI141" i="1"/>
  <c r="S140" i="1"/>
  <c r="AI140" i="1"/>
  <c r="T139" i="1"/>
  <c r="X139" i="1"/>
  <c r="AG139" i="1"/>
  <c r="W124" i="1"/>
  <c r="AI113" i="1"/>
  <c r="W110" i="1"/>
  <c r="U173" i="1"/>
  <c r="S173" i="1" s="1"/>
  <c r="U215" i="1"/>
  <c r="S215" i="1" s="1"/>
  <c r="U207" i="1"/>
  <c r="S207" i="1" s="1"/>
  <c r="U124" i="1"/>
  <c r="S124" i="1" s="1"/>
  <c r="AI124" i="1"/>
  <c r="U110" i="1"/>
  <c r="S110" i="1" s="1"/>
  <c r="AI110" i="1"/>
  <c r="T144" i="1"/>
  <c r="AI134" i="1"/>
  <c r="W130" i="1"/>
  <c r="AI121" i="1"/>
  <c r="AI207" i="1"/>
  <c r="X180" i="1"/>
  <c r="X176" i="1"/>
  <c r="X172" i="1"/>
  <c r="AI187" i="1"/>
  <c r="X168" i="1"/>
  <c r="X164" i="1"/>
  <c r="AI180" i="1"/>
  <c r="X160" i="1"/>
  <c r="X228" i="1"/>
  <c r="X224" i="1"/>
  <c r="AI168" i="1"/>
  <c r="X214" i="1"/>
  <c r="AI164" i="1"/>
  <c r="X210" i="1"/>
  <c r="X206" i="1"/>
  <c r="X155" i="1"/>
  <c r="X151" i="1"/>
  <c r="X147" i="1"/>
  <c r="AG144" i="1"/>
  <c r="T143" i="1"/>
  <c r="X143" i="1"/>
  <c r="AG143" i="1"/>
  <c r="AI130" i="1"/>
  <c r="AI117" i="1"/>
  <c r="U137" i="1"/>
  <c r="S137" i="1" s="1"/>
  <c r="U120" i="1"/>
  <c r="S120" i="1" s="1"/>
  <c r="U112" i="1"/>
  <c r="S112" i="1" s="1"/>
  <c r="AI102" i="1"/>
  <c r="AI101" i="1"/>
  <c r="AI93" i="1"/>
  <c r="AI89" i="1"/>
  <c r="AI85" i="1"/>
  <c r="AI77" i="1"/>
  <c r="U126" i="1"/>
  <c r="S126" i="1" s="1"/>
  <c r="U119" i="1"/>
  <c r="S119" i="1" s="1"/>
  <c r="U115" i="1"/>
  <c r="S115" i="1" s="1"/>
  <c r="AG111" i="1"/>
  <c r="U102" i="1"/>
  <c r="S102" i="1" s="1"/>
  <c r="W97" i="1"/>
  <c r="U90" i="1"/>
  <c r="S90" i="1" s="1"/>
  <c r="U86" i="1"/>
  <c r="U78" i="1"/>
  <c r="S78" i="1" s="1"/>
  <c r="X140" i="1"/>
  <c r="AI137" i="1"/>
  <c r="X136" i="1"/>
  <c r="AG135" i="1"/>
  <c r="AG131" i="1"/>
  <c r="AG128" i="1"/>
  <c r="X126" i="1"/>
  <c r="AG125" i="1"/>
  <c r="AG122" i="1"/>
  <c r="AI120" i="1"/>
  <c r="X119" i="1"/>
  <c r="AG118" i="1"/>
  <c r="W118" i="1" s="1"/>
  <c r="X115" i="1"/>
  <c r="AG114" i="1"/>
  <c r="AI112" i="1"/>
  <c r="AI109" i="1"/>
  <c r="AA102" i="1"/>
  <c r="W102" i="1" s="1"/>
  <c r="AI97" i="1"/>
  <c r="AI81" i="1"/>
  <c r="AI73" i="1"/>
  <c r="X135" i="1"/>
  <c r="AI126" i="1"/>
  <c r="AI119" i="1"/>
  <c r="X118" i="1"/>
  <c r="AI115" i="1"/>
  <c r="T109" i="1"/>
  <c r="U109" i="1" s="1"/>
  <c r="S109" i="1" s="1"/>
  <c r="X109" i="1"/>
  <c r="AG105" i="1"/>
  <c r="T105" i="1"/>
  <c r="X105" i="1"/>
  <c r="X101" i="1"/>
  <c r="T101" i="1"/>
  <c r="U101" i="1" s="1"/>
  <c r="S101" i="1" s="1"/>
  <c r="X97" i="1"/>
  <c r="T97" i="1"/>
  <c r="U97" i="1" s="1"/>
  <c r="S97" i="1" s="1"/>
  <c r="X93" i="1"/>
  <c r="T93" i="1"/>
  <c r="U93" i="1" s="1"/>
  <c r="S93" i="1" s="1"/>
  <c r="X89" i="1"/>
  <c r="T89" i="1"/>
  <c r="U89" i="1" s="1"/>
  <c r="S89" i="1" s="1"/>
  <c r="AI86" i="1"/>
  <c r="S86" i="1"/>
  <c r="X85" i="1"/>
  <c r="T85" i="1"/>
  <c r="U85" i="1" s="1"/>
  <c r="S85" i="1" s="1"/>
  <c r="AG84" i="1"/>
  <c r="W84" i="1" s="1"/>
  <c r="X81" i="1"/>
  <c r="T81" i="1"/>
  <c r="U81" i="1" s="1"/>
  <c r="S81" i="1" s="1"/>
  <c r="AG80" i="1"/>
  <c r="W80" i="1" s="1"/>
  <c r="X77" i="1"/>
  <c r="T77" i="1"/>
  <c r="U77" i="1" s="1"/>
  <c r="S77" i="1" s="1"/>
  <c r="AG76" i="1"/>
  <c r="AI74" i="1"/>
  <c r="X73" i="1"/>
  <c r="T73" i="1"/>
  <c r="U73" i="1" s="1"/>
  <c r="S73" i="1" s="1"/>
  <c r="AG72" i="1"/>
  <c r="T70" i="1"/>
  <c r="U70" i="1" s="1"/>
  <c r="S70" i="1" s="1"/>
  <c r="X70" i="1"/>
  <c r="X69" i="1"/>
  <c r="AA63" i="1"/>
  <c r="W63" i="1" s="1"/>
  <c r="AG62" i="1"/>
  <c r="T62" i="1"/>
  <c r="X62" i="1"/>
  <c r="AI25" i="1"/>
  <c r="U95" i="1"/>
  <c r="S95" i="1" s="1"/>
  <c r="X92" i="1"/>
  <c r="X88" i="1"/>
  <c r="U87" i="1"/>
  <c r="S87" i="1" s="1"/>
  <c r="X84" i="1"/>
  <c r="X80" i="1"/>
  <c r="U79" i="1"/>
  <c r="S79" i="1" s="1"/>
  <c r="X76" i="1"/>
  <c r="X72" i="1"/>
  <c r="AA71" i="1"/>
  <c r="AA67" i="1"/>
  <c r="AG66" i="1"/>
  <c r="T66" i="1"/>
  <c r="X66" i="1"/>
  <c r="T63" i="1"/>
  <c r="U63" i="1" s="1"/>
  <c r="S63" i="1" s="1"/>
  <c r="X63" i="1"/>
  <c r="S59" i="1"/>
  <c r="AI59" i="1"/>
  <c r="AG58" i="1"/>
  <c r="T58" i="1"/>
  <c r="X58" i="1"/>
  <c r="AI41" i="1"/>
  <c r="T71" i="1"/>
  <c r="T67" i="1"/>
  <c r="X67" i="1"/>
  <c r="AI63" i="1"/>
  <c r="AI57" i="1"/>
  <c r="U57" i="1"/>
  <c r="S57" i="1" s="1"/>
  <c r="AI54" i="1"/>
  <c r="W53" i="1"/>
  <c r="X106" i="1"/>
  <c r="X102" i="1"/>
  <c r="X98" i="1"/>
  <c r="X94" i="1"/>
  <c r="AI91" i="1"/>
  <c r="X90" i="1"/>
  <c r="X86" i="1"/>
  <c r="X82" i="1"/>
  <c r="AI79" i="1"/>
  <c r="X78" i="1"/>
  <c r="AI75" i="1"/>
  <c r="X74" i="1"/>
  <c r="AG71" i="1"/>
  <c r="T69" i="1"/>
  <c r="U69" i="1" s="1"/>
  <c r="S69" i="1" s="1"/>
  <c r="X68" i="1"/>
  <c r="AG67" i="1"/>
  <c r="AA59" i="1"/>
  <c r="W59" i="1" s="1"/>
  <c r="AI53" i="1"/>
  <c r="AI55" i="1"/>
  <c r="S55" i="1"/>
  <c r="X54" i="1"/>
  <c r="T54" i="1"/>
  <c r="U54" i="1" s="1"/>
  <c r="S54" i="1" s="1"/>
  <c r="AI51" i="1"/>
  <c r="S51" i="1"/>
  <c r="AA50" i="1"/>
  <c r="W50" i="1" s="1"/>
  <c r="AA49" i="1"/>
  <c r="W49" i="1" s="1"/>
  <c r="AG48" i="1"/>
  <c r="T48" i="1"/>
  <c r="X48" i="1"/>
  <c r="T45" i="1"/>
  <c r="U45" i="1" s="1"/>
  <c r="S45" i="1" s="1"/>
  <c r="X45" i="1"/>
  <c r="AI42" i="1"/>
  <c r="X42" i="1"/>
  <c r="AA34" i="1"/>
  <c r="AA33" i="1"/>
  <c r="W33" i="1" s="1"/>
  <c r="AG32" i="1"/>
  <c r="T32" i="1"/>
  <c r="X32" i="1"/>
  <c r="T29" i="1"/>
  <c r="X29" i="1"/>
  <c r="AI26" i="1"/>
  <c r="X26" i="1"/>
  <c r="AA18" i="1"/>
  <c r="W18" i="1" s="1"/>
  <c r="AA17" i="1"/>
  <c r="AG16" i="1"/>
  <c r="T16" i="1"/>
  <c r="X16" i="1"/>
  <c r="T49" i="1"/>
  <c r="U49" i="1" s="1"/>
  <c r="S49" i="1" s="1"/>
  <c r="X49" i="1"/>
  <c r="AI45" i="1"/>
  <c r="AA38" i="1"/>
  <c r="W38" i="1" s="1"/>
  <c r="AA37" i="1"/>
  <c r="AG36" i="1"/>
  <c r="T36" i="1"/>
  <c r="X36" i="1"/>
  <c r="T33" i="1"/>
  <c r="U33" i="1" s="1"/>
  <c r="S33" i="1" s="1"/>
  <c r="X33" i="1"/>
  <c r="AI30" i="1"/>
  <c r="AA22" i="1"/>
  <c r="AA21" i="1"/>
  <c r="AG20" i="1"/>
  <c r="T20" i="1"/>
  <c r="X20" i="1"/>
  <c r="T17" i="1"/>
  <c r="X17" i="1"/>
  <c r="S50" i="1"/>
  <c r="AI50" i="1"/>
  <c r="AI49" i="1"/>
  <c r="W41" i="1"/>
  <c r="AG40" i="1"/>
  <c r="T40" i="1"/>
  <c r="X40" i="1"/>
  <c r="T37" i="1"/>
  <c r="X37" i="1"/>
  <c r="AI33" i="1"/>
  <c r="W25" i="1"/>
  <c r="AG24" i="1"/>
  <c r="T24" i="1"/>
  <c r="X24" i="1"/>
  <c r="T21" i="1"/>
  <c r="X21" i="1"/>
  <c r="S18" i="1"/>
  <c r="AI18" i="1"/>
  <c r="X59" i="1"/>
  <c r="X55" i="1"/>
  <c r="X51" i="1"/>
  <c r="W45" i="1"/>
  <c r="AG44" i="1"/>
  <c r="T44" i="1"/>
  <c r="X44" i="1"/>
  <c r="T41" i="1"/>
  <c r="U41" i="1" s="1"/>
  <c r="S41" i="1" s="1"/>
  <c r="X41" i="1"/>
  <c r="AI38" i="1"/>
  <c r="X38" i="1"/>
  <c r="AG37" i="1"/>
  <c r="U30" i="1"/>
  <c r="S30" i="1" s="1"/>
  <c r="AG28" i="1"/>
  <c r="T28" i="1"/>
  <c r="X28" i="1"/>
  <c r="T25" i="1"/>
  <c r="U25" i="1" s="1"/>
  <c r="S25" i="1" s="1"/>
  <c r="X25" i="1"/>
  <c r="AI22" i="1"/>
  <c r="X22" i="1"/>
  <c r="AG21" i="1"/>
  <c r="AA14" i="1"/>
  <c r="AC46" i="3"/>
  <c r="Y15" i="3"/>
  <c r="Y18" i="3"/>
  <c r="Y32" i="3"/>
  <c r="Y12" i="3"/>
  <c r="Y8" i="3"/>
  <c r="AC22" i="3"/>
  <c r="Y36" i="3"/>
  <c r="Y13" i="3"/>
  <c r="AC11" i="3"/>
  <c r="Y33" i="3"/>
  <c r="Y41" i="3"/>
  <c r="AC14" i="3"/>
  <c r="Y9" i="3"/>
  <c r="Y27" i="3"/>
  <c r="Y46" i="3"/>
  <c r="Y21" i="3"/>
  <c r="AC45" i="3"/>
  <c r="Y20" i="3"/>
  <c r="Y19" i="3"/>
  <c r="Y38" i="3"/>
  <c r="Y37" i="3"/>
  <c r="AC26" i="3"/>
  <c r="T30" i="3"/>
  <c r="Y17" i="3"/>
  <c r="T29" i="3"/>
  <c r="T18" i="3"/>
  <c r="T39" i="3"/>
  <c r="T31" i="3"/>
  <c r="T40" i="3"/>
  <c r="T8" i="3"/>
  <c r="T15" i="3"/>
  <c r="T42" i="3"/>
  <c r="T43" i="3"/>
  <c r="B4" i="6"/>
  <c r="K4" i="6"/>
  <c r="W228" i="1" l="1"/>
  <c r="AI34" i="1"/>
  <c r="W72" i="1"/>
  <c r="U172" i="1"/>
  <c r="S172" i="1" s="1"/>
  <c r="U14" i="1"/>
  <c r="S14" i="1" s="1"/>
  <c r="U127" i="1"/>
  <c r="S127" i="1" s="1"/>
  <c r="U188" i="1"/>
  <c r="S188" i="1" s="1"/>
  <c r="W108" i="1"/>
  <c r="U214" i="1"/>
  <c r="S214" i="1" s="1"/>
  <c r="AI47" i="1"/>
  <c r="W183" i="1"/>
  <c r="W112" i="1"/>
  <c r="W47" i="1"/>
  <c r="W192" i="1"/>
  <c r="AI99" i="1"/>
  <c r="W20" i="1"/>
  <c r="W34" i="1"/>
  <c r="AI123" i="1"/>
  <c r="AI155" i="1"/>
  <c r="U176" i="1"/>
  <c r="S176" i="1" s="1"/>
  <c r="U193" i="1"/>
  <c r="S193" i="1" s="1"/>
  <c r="W99" i="1"/>
  <c r="U100" i="1"/>
  <c r="S100" i="1" s="1"/>
  <c r="U197" i="1"/>
  <c r="S197" i="1" s="1"/>
  <c r="W176" i="1"/>
  <c r="U83" i="1"/>
  <c r="S83" i="1" s="1"/>
  <c r="U46" i="1"/>
  <c r="S46" i="1" s="1"/>
  <c r="AI83" i="1"/>
  <c r="AI133" i="1"/>
  <c r="W46" i="1"/>
  <c r="W135" i="1"/>
  <c r="U17" i="1"/>
  <c r="S17" i="1" s="1"/>
  <c r="AI87" i="1"/>
  <c r="W136" i="1"/>
  <c r="W144" i="1"/>
  <c r="AI183" i="1"/>
  <c r="U27" i="1"/>
  <c r="S27" i="1" s="1"/>
  <c r="AI43" i="1"/>
  <c r="U43" i="1"/>
  <c r="S43" i="1" s="1"/>
  <c r="U156" i="1"/>
  <c r="S156" i="1" s="1"/>
  <c r="W205" i="1"/>
  <c r="W193" i="1"/>
  <c r="W220" i="1"/>
  <c r="U64" i="1"/>
  <c r="S64" i="1" s="1"/>
  <c r="AI129" i="1"/>
  <c r="W39" i="1"/>
  <c r="W103" i="1"/>
  <c r="W115" i="1"/>
  <c r="W129" i="1"/>
  <c r="U116" i="1"/>
  <c r="S116" i="1" s="1"/>
  <c r="W181" i="1"/>
  <c r="U205" i="1"/>
  <c r="S205" i="1" s="1"/>
  <c r="U187" i="1"/>
  <c r="S187" i="1" s="1"/>
  <c r="AI56" i="1"/>
  <c r="W62" i="1"/>
  <c r="AI82" i="1"/>
  <c r="W114" i="1"/>
  <c r="AI98" i="1"/>
  <c r="AI152" i="1"/>
  <c r="U181" i="1"/>
  <c r="S181" i="1" s="1"/>
  <c r="AI206" i="1"/>
  <c r="AI216" i="1"/>
  <c r="W202" i="1"/>
  <c r="U184" i="1"/>
  <c r="S184" i="1" s="1"/>
  <c r="U52" i="1"/>
  <c r="S52" i="1" s="1"/>
  <c r="AI94" i="1"/>
  <c r="AI160" i="1"/>
  <c r="U136" i="1"/>
  <c r="S136" i="1" s="1"/>
  <c r="U165" i="1"/>
  <c r="S165" i="1" s="1"/>
  <c r="W56" i="1"/>
  <c r="U211" i="1"/>
  <c r="S211" i="1" s="1"/>
  <c r="U177" i="1"/>
  <c r="S177" i="1" s="1"/>
  <c r="W75" i="1"/>
  <c r="W116" i="1"/>
  <c r="W14" i="1"/>
  <c r="W22" i="1"/>
  <c r="U132" i="1"/>
  <c r="S132" i="1" s="1"/>
  <c r="AI202" i="1"/>
  <c r="U206" i="1"/>
  <c r="S206" i="1" s="1"/>
  <c r="AI230" i="1"/>
  <c r="W210" i="1"/>
  <c r="U113" i="1"/>
  <c r="S113" i="1" s="1"/>
  <c r="U103" i="1"/>
  <c r="S103" i="1" s="1"/>
  <c r="AI148" i="1"/>
  <c r="U161" i="1"/>
  <c r="S161" i="1" s="1"/>
  <c r="W123" i="1"/>
  <c r="W29" i="1"/>
  <c r="U29" i="1"/>
  <c r="S29" i="1" s="1"/>
  <c r="W127" i="1"/>
  <c r="W186" i="1"/>
  <c r="W197" i="1"/>
  <c r="W78" i="1"/>
  <c r="W79" i="1"/>
  <c r="W91" i="1"/>
  <c r="W229" i="1"/>
  <c r="AI197" i="1"/>
  <c r="AI224" i="1"/>
  <c r="U26" i="1"/>
  <c r="S26" i="1" s="1"/>
  <c r="AI64" i="1"/>
  <c r="W66" i="1"/>
  <c r="U229" i="1"/>
  <c r="S229" i="1" s="1"/>
  <c r="W64" i="1"/>
  <c r="W95" i="1"/>
  <c r="W52" i="1"/>
  <c r="W172" i="1"/>
  <c r="AI107" i="1"/>
  <c r="W86" i="1"/>
  <c r="W215" i="1"/>
  <c r="W92" i="1"/>
  <c r="W100" i="1"/>
  <c r="W164" i="1"/>
  <c r="AI60" i="1"/>
  <c r="W216" i="1"/>
  <c r="W188" i="1"/>
  <c r="W198" i="1"/>
  <c r="W17" i="1"/>
  <c r="AI156" i="1"/>
  <c r="U225" i="1"/>
  <c r="S225" i="1" s="1"/>
  <c r="U169" i="1"/>
  <c r="S169" i="1" s="1"/>
  <c r="W106" i="1"/>
  <c r="W211" i="1"/>
  <c r="W177" i="1"/>
  <c r="W98" i="1"/>
  <c r="W27" i="1"/>
  <c r="U96" i="1"/>
  <c r="S96" i="1" s="1"/>
  <c r="AI96" i="1"/>
  <c r="U104" i="1"/>
  <c r="S104" i="1" s="1"/>
  <c r="AI104" i="1"/>
  <c r="U145" i="1"/>
  <c r="S145" i="1" s="1"/>
  <c r="AI145" i="1"/>
  <c r="W230" i="1"/>
  <c r="U19" i="1"/>
  <c r="S19" i="1" s="1"/>
  <c r="AI19" i="1"/>
  <c r="W60" i="1"/>
  <c r="W82" i="1"/>
  <c r="U153" i="1"/>
  <c r="S153" i="1" s="1"/>
  <c r="AI153" i="1"/>
  <c r="W225" i="1"/>
  <c r="W184" i="1"/>
  <c r="W166" i="1"/>
  <c r="W145" i="1"/>
  <c r="W217" i="1"/>
  <c r="AI217" i="1"/>
  <c r="U39" i="1"/>
  <c r="S39" i="1" s="1"/>
  <c r="AI39" i="1"/>
  <c r="U106" i="1"/>
  <c r="S106" i="1" s="1"/>
  <c r="W152" i="1"/>
  <c r="W165" i="1"/>
  <c r="W19" i="1"/>
  <c r="W148" i="1"/>
  <c r="U208" i="1"/>
  <c r="S208" i="1" s="1"/>
  <c r="AI208" i="1"/>
  <c r="W161" i="1"/>
  <c r="W187" i="1"/>
  <c r="W174" i="1"/>
  <c r="W153" i="1"/>
  <c r="W71" i="1"/>
  <c r="W94" i="1"/>
  <c r="U15" i="1"/>
  <c r="S15" i="1" s="1"/>
  <c r="AI15" i="1"/>
  <c r="W55" i="1"/>
  <c r="W74" i="1"/>
  <c r="W96" i="1"/>
  <c r="W15" i="1"/>
  <c r="W104" i="1"/>
  <c r="U108" i="1"/>
  <c r="S108" i="1" s="1"/>
  <c r="AI108" i="1"/>
  <c r="W156" i="1"/>
  <c r="W169" i="1"/>
  <c r="W222" i="1"/>
  <c r="U202" i="1"/>
  <c r="S202" i="1" s="1"/>
  <c r="W208" i="1"/>
  <c r="AI21" i="1"/>
  <c r="U21" i="1"/>
  <c r="S21" i="1" s="1"/>
  <c r="U28" i="1"/>
  <c r="S28" i="1" s="1"/>
  <c r="AI28" i="1"/>
  <c r="U40" i="1"/>
  <c r="S40" i="1" s="1"/>
  <c r="AI40" i="1"/>
  <c r="U16" i="1"/>
  <c r="S16" i="1" s="1"/>
  <c r="W16" i="1"/>
  <c r="AI16" i="1"/>
  <c r="W21" i="1"/>
  <c r="W67" i="1"/>
  <c r="AI72" i="1"/>
  <c r="U72" i="1"/>
  <c r="S72" i="1" s="1"/>
  <c r="U125" i="1"/>
  <c r="S125" i="1" s="1"/>
  <c r="AI125" i="1"/>
  <c r="W125" i="1"/>
  <c r="U143" i="1"/>
  <c r="S143" i="1" s="1"/>
  <c r="AI143" i="1"/>
  <c r="W143" i="1"/>
  <c r="U195" i="1"/>
  <c r="S195" i="1" s="1"/>
  <c r="AI214" i="1"/>
  <c r="U203" i="1"/>
  <c r="S203" i="1" s="1"/>
  <c r="AI222" i="1"/>
  <c r="U190" i="1"/>
  <c r="S190" i="1" s="1"/>
  <c r="AI209" i="1"/>
  <c r="W203" i="1"/>
  <c r="W195" i="1"/>
  <c r="W28" i="1"/>
  <c r="U58" i="1"/>
  <c r="S58" i="1" s="1"/>
  <c r="AI58" i="1"/>
  <c r="AI76" i="1"/>
  <c r="U76" i="1"/>
  <c r="U122" i="1"/>
  <c r="S122" i="1" s="1"/>
  <c r="AI122" i="1"/>
  <c r="U135" i="1"/>
  <c r="S135" i="1" s="1"/>
  <c r="AI135" i="1"/>
  <c r="AI111" i="1"/>
  <c r="U111" i="1"/>
  <c r="S111" i="1" s="1"/>
  <c r="W122" i="1"/>
  <c r="W191" i="1"/>
  <c r="W190" i="1"/>
  <c r="U24" i="1"/>
  <c r="S24" i="1" s="1"/>
  <c r="AI24" i="1"/>
  <c r="U32" i="1"/>
  <c r="S32" i="1" s="1"/>
  <c r="W32" i="1"/>
  <c r="AI32" i="1"/>
  <c r="U36" i="1"/>
  <c r="S36" i="1" s="1"/>
  <c r="AI36" i="1"/>
  <c r="W36" i="1"/>
  <c r="W40" i="1"/>
  <c r="W24" i="1"/>
  <c r="U62" i="1"/>
  <c r="S62" i="1" s="1"/>
  <c r="AI62" i="1"/>
  <c r="AI80" i="1"/>
  <c r="U80" i="1"/>
  <c r="S80" i="1" s="1"/>
  <c r="U105" i="1"/>
  <c r="S105" i="1" s="1"/>
  <c r="AI105" i="1"/>
  <c r="U118" i="1"/>
  <c r="S118" i="1" s="1"/>
  <c r="AI118" i="1"/>
  <c r="U131" i="1"/>
  <c r="S131" i="1" s="1"/>
  <c r="AI131" i="1"/>
  <c r="W131" i="1"/>
  <c r="U139" i="1"/>
  <c r="S139" i="1" s="1"/>
  <c r="AI139" i="1"/>
  <c r="U191" i="1"/>
  <c r="S191" i="1" s="1"/>
  <c r="AI210" i="1"/>
  <c r="U199" i="1"/>
  <c r="S199" i="1" s="1"/>
  <c r="AI218" i="1"/>
  <c r="U217" i="1"/>
  <c r="S217" i="1" s="1"/>
  <c r="AI226" i="1"/>
  <c r="W199" i="1"/>
  <c r="AI37" i="1"/>
  <c r="U37" i="1"/>
  <c r="S37" i="1" s="1"/>
  <c r="U44" i="1"/>
  <c r="S44" i="1" s="1"/>
  <c r="AI44" i="1"/>
  <c r="U20" i="1"/>
  <c r="S20" i="1" s="1"/>
  <c r="AI20" i="1"/>
  <c r="W37" i="1"/>
  <c r="U48" i="1"/>
  <c r="S48" i="1" s="1"/>
  <c r="W48" i="1"/>
  <c r="AI48" i="1"/>
  <c r="AI67" i="1"/>
  <c r="U67" i="1"/>
  <c r="S67" i="1" s="1"/>
  <c r="AI71" i="1"/>
  <c r="U71" i="1"/>
  <c r="S71" i="1" s="1"/>
  <c r="W44" i="1"/>
  <c r="U66" i="1"/>
  <c r="S66" i="1" s="1"/>
  <c r="AI66" i="1"/>
  <c r="W58" i="1"/>
  <c r="AI84" i="1"/>
  <c r="U84" i="1"/>
  <c r="S84" i="1" s="1"/>
  <c r="W105" i="1"/>
  <c r="U114" i="1"/>
  <c r="S114" i="1" s="1"/>
  <c r="AI114" i="1"/>
  <c r="U128" i="1"/>
  <c r="S128" i="1" s="1"/>
  <c r="AI128" i="1"/>
  <c r="W76" i="1"/>
  <c r="W139" i="1"/>
  <c r="AI144" i="1"/>
  <c r="U144" i="1"/>
  <c r="S144" i="1" s="1"/>
  <c r="W128" i="1"/>
  <c r="W111" i="1"/>
  <c r="U186" i="1"/>
  <c r="S186" i="1" s="1"/>
  <c r="AI205" i="1"/>
  <c r="AI211" i="1"/>
  <c r="U192" i="1"/>
  <c r="S192" i="1" s="1"/>
  <c r="J4" i="6"/>
  <c r="F4" i="6"/>
  <c r="I4" i="6"/>
  <c r="B3" i="6"/>
  <c r="F3" i="6" s="1"/>
  <c r="K3" i="6"/>
  <c r="B5" i="6"/>
  <c r="F5" i="6" s="1"/>
  <c r="K5" i="6"/>
  <c r="B6" i="6"/>
  <c r="K6" i="6"/>
  <c r="B7" i="6"/>
  <c r="K7" i="6"/>
  <c r="B8" i="6"/>
  <c r="F8" i="6" s="1"/>
  <c r="K8" i="6"/>
  <c r="B9" i="6"/>
  <c r="F9" i="6" s="1"/>
  <c r="K9" i="6"/>
  <c r="B10" i="6"/>
  <c r="K10" i="6"/>
  <c r="B11" i="6"/>
  <c r="K11" i="6"/>
  <c r="R16" i="3"/>
  <c r="M16" i="3"/>
  <c r="N16" i="3"/>
  <c r="S16" i="3"/>
  <c r="U16" i="3"/>
  <c r="T16" i="3" s="1"/>
  <c r="V16" i="3"/>
  <c r="W16" i="3"/>
  <c r="X16" i="3"/>
  <c r="I11" i="6" l="1"/>
  <c r="F6" i="6"/>
  <c r="F10" i="6"/>
  <c r="I7" i="6"/>
  <c r="J10" i="6"/>
  <c r="I8" i="6"/>
  <c r="J6" i="6"/>
  <c r="I3" i="6"/>
  <c r="J11" i="6"/>
  <c r="F11" i="6"/>
  <c r="I10" i="6"/>
  <c r="I9" i="6"/>
  <c r="J7" i="6"/>
  <c r="F7" i="6"/>
  <c r="I6" i="6"/>
  <c r="I5" i="6"/>
  <c r="Y16" i="3"/>
  <c r="J8" i="6"/>
  <c r="J3" i="6"/>
  <c r="J9" i="6"/>
  <c r="J5" i="6"/>
  <c r="AC16" i="3"/>
  <c r="V13" i="1" l="1"/>
  <c r="Z13" i="1" l="1"/>
  <c r="Y13" i="1"/>
  <c r="M30" i="5" l="1"/>
  <c r="M29" i="5"/>
  <c r="M28" i="5"/>
  <c r="M27" i="5"/>
  <c r="AE13" i="1" l="1"/>
  <c r="AD13" i="1"/>
  <c r="X14" i="1" s="1"/>
  <c r="AC13" i="1"/>
  <c r="AB13" i="1"/>
  <c r="M13" i="1"/>
  <c r="N13" i="1" s="1"/>
  <c r="L13" i="1"/>
  <c r="K13" i="1"/>
  <c r="AA13" i="1" l="1"/>
  <c r="AG13" i="1"/>
  <c r="AI13" i="1" s="1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4" i="6" s="1"/>
  <c r="G99" i="4"/>
  <c r="H4" i="6" s="1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6" i="6" s="1"/>
  <c r="G106" i="4"/>
  <c r="H6" i="6" s="1"/>
  <c r="F107" i="4"/>
  <c r="G3" i="6" s="1"/>
  <c r="G107" i="4"/>
  <c r="H3" i="6" s="1"/>
  <c r="F108" i="4"/>
  <c r="G108" i="4"/>
  <c r="F109" i="4"/>
  <c r="G109" i="4"/>
  <c r="F110" i="4"/>
  <c r="G110" i="4"/>
  <c r="F111" i="4"/>
  <c r="G111" i="4"/>
  <c r="F112" i="4"/>
  <c r="G5" i="6" s="1"/>
  <c r="G112" i="4"/>
  <c r="H5" i="6" s="1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7" i="6" s="1"/>
  <c r="G121" i="4"/>
  <c r="H7" i="6" s="1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8" i="6" s="1"/>
  <c r="G128" i="4"/>
  <c r="H8" i="6" s="1"/>
  <c r="F129" i="4"/>
  <c r="G129" i="4"/>
  <c r="F130" i="4"/>
  <c r="G130" i="4"/>
  <c r="F131" i="4"/>
  <c r="G9" i="6" s="1"/>
  <c r="G131" i="4"/>
  <c r="H9" i="6" s="1"/>
  <c r="F132" i="4"/>
  <c r="G132" i="4"/>
  <c r="F133" i="4"/>
  <c r="G11" i="6" s="1"/>
  <c r="G133" i="4"/>
  <c r="H11" i="6" s="1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0" i="6" s="1"/>
  <c r="G140" i="4"/>
  <c r="H10" i="6" s="1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<sst xmlns="http://schemas.openxmlformats.org/spreadsheetml/2006/main" count="2278" uniqueCount="796">
  <si>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</si>
  <si>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</si>
  <si>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</si>
  <si>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</si>
  <si>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</si>
  <si>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</si>
  <si>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</si>
  <si>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</si>
  <si>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</si>
  <si>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</si>
  <si>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</si>
  <si>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</si>
  <si>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</si>
  <si>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</si>
  <si>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</si>
  <si>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</si>
  <si>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</si>
  <si>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</si>
  <si>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</si>
  <si>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</si>
  <si>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</si>
  <si>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</si>
  <si>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</si>
  <si>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</si>
  <si>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</si>
  <si>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</si>
  <si>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</si>
  <si>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</si>
  <si>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</si>
  <si>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</si>
  <si>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</si>
  <si>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</si>
  <si>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</si>
  <si>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</si>
  <si>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</si>
  <si>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</si>
  <si>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</si>
  <si>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</si>
  <si>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</si>
  <si>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</si>
  <si>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</si>
  <si>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</si>
  <si>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</si>
  <si>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</si>
  <si>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</si>
  <si>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</si>
  <si>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</si>
  <si>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</si>
  <si>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</si>
  <si>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</si>
  <si>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</si>
  <si>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</si>
  <si>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</si>
  <si>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</si>
  <si>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</si>
  <si>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</si>
  <si>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</si>
  <si>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</si>
  <si>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</si>
  <si>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</si>
  <si>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</si>
  <si>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</si>
  <si>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</si>
  <si>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</si>
  <si>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</si>
  <si>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</si>
  <si>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</si>
  <si>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</si>
  <si>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</si>
  <si>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</si>
  <si>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</si>
  <si>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</si>
  <si>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</si>
  <si>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</si>
  <si>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</si>
  <si>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</si>
  <si>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</si>
  <si>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</si>
  <si>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</si>
  <si>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</si>
  <si>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</si>
  <si>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</si>
  <si>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</si>
  <si>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</si>
  <si>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</si>
  <si>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</si>
  <si>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</si>
  <si>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</si>
  <si>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</si>
  <si>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</si>
  <si>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</si>
  <si>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</si>
  <si>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</si>
  <si>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</si>
  <si>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</si>
  <si>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</si>
  <si>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</si>
  <si>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</si>
  <si>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</si>
  <si>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</si>
  <si>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</si>
  <si>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</si>
  <si>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</si>
  <si>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</si>
  <si>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</si>
  <si>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</si>
  <si>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</si>
  <si>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</si>
  <si>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</si>
  <si>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</si>
  <si>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</si>
  <si>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</si>
  <si>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</si>
  <si>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</si>
  <si>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</si>
  <si>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</si>
  <si>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</si>
  <si>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</si>
  <si>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</si>
  <si>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</si>
  <si>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</si>
  <si>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</si>
  <si>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</si>
  <si>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</si>
  <si>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</si>
  <si>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</si>
  <si>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</si>
  <si>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</si>
  <si>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</si>
  <si>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</si>
  <si>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</si>
  <si>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</si>
  <si>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</si>
  <si>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</si>
  <si>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</si>
  <si>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</si>
  <si>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</si>
  <si>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</si>
  <si>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</si>
  <si>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</si>
  <si>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</si>
  <si>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</si>
  <si>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</si>
  <si>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</si>
  <si>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</si>
  <si>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</si>
  <si>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</si>
  <si>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</si>
  <si>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</si>
  <si>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</si>
  <si>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</si>
  <si>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</si>
  <si>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</si>
  <si>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</si>
  <si>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</si>
  <si>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</si>
  <si>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</si>
  <si>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</si>
  <si>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</si>
  <si>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</si>
  <si>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</si>
  <si>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</si>
  <si>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</si>
  <si>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</si>
  <si>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</si>
  <si>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</si>
  <si>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</si>
  <si>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</si>
  <si>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</si>
  <si>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</si>
  <si>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</si>
  <si>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</si>
  <si>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</si>
  <si>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</si>
  <si>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</si>
  <si>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</si>
  <si>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</si>
  <si>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</si>
  <si>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</si>
  <si>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</si>
  <si>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</si>
  <si>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</si>
  <si>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</si>
  <si>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</si>
  <si>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</si>
  <si>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</si>
  <si>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</si>
  <si>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</si>
  <si>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</si>
  <si>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</si>
  <si>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</si>
  <si>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</si>
  <si>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</si>
  <si>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</si>
  <si>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</si>
  <si>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</si>
  <si>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</si>
  <si>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204:145</t>
  </si>
  <si>
    <t>204:149</t>
  </si>
  <si>
    <t>204:143</t>
  </si>
  <si>
    <t>204:447</t>
  </si>
  <si>
    <t>204:453</t>
  </si>
  <si>
    <t>204:455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</si>
  <si>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</si>
  <si>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</si>
  <si>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</si>
  <si>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</si>
  <si>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</si>
  <si>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</si>
  <si>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</si>
  <si>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</si>
  <si>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</si>
  <si>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</si>
  <si>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</si>
  <si>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</si>
  <si>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</si>
  <si>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</si>
  <si>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</si>
  <si>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</si>
  <si>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</si>
  <si>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204:232985</t>
  </si>
  <si>
    <t>rtdc.l.rtdc.4011:itc</t>
  </si>
  <si>
    <t>204:457</t>
  </si>
  <si>
    <t>204:161</t>
  </si>
  <si>
    <t>204:464</t>
  </si>
  <si>
    <t>DE.1.0.8.0</t>
  </si>
  <si>
    <t>rtdc.l.rtdc.4040:itc</t>
  </si>
  <si>
    <t>204:458</t>
  </si>
  <si>
    <t>partly-cloudy-night</t>
  </si>
  <si>
    <t>Partly Cloudy</t>
  </si>
  <si>
    <t>204:158</t>
  </si>
  <si>
    <t>rtdc.l.rtdc.4003:itc</t>
  </si>
  <si>
    <t>clear-night</t>
  </si>
  <si>
    <t>Clear</t>
  </si>
  <si>
    <t>rtdc.l.rtdc.4039:itc</t>
  </si>
  <si>
    <t>rtdc.l.rtdc.4032:itc</t>
  </si>
  <si>
    <t>Y</t>
  </si>
  <si>
    <t>rtdc.l.rtdc.4004:itc</t>
  </si>
  <si>
    <t>204:233298</t>
  </si>
  <si>
    <t>204:232982</t>
  </si>
  <si>
    <t>204:233312</t>
  </si>
  <si>
    <t>Human Factors</t>
  </si>
  <si>
    <t>rtdc.l.rtdc.4041:itc</t>
  </si>
  <si>
    <t>rtdc.l.rtdc.4042:itc</t>
  </si>
  <si>
    <t>STAMBAUGH</t>
  </si>
  <si>
    <t>204:469</t>
  </si>
  <si>
    <t>204:233306</t>
  </si>
  <si>
    <t>204:232991</t>
  </si>
  <si>
    <t>rtdc.l.rtdc.4031:itc</t>
  </si>
  <si>
    <t>rtdc.l.rtdc.4025:itc</t>
  </si>
  <si>
    <t>clear-day</t>
  </si>
  <si>
    <t>rtdc.l.rtdc.4012:itc</t>
  </si>
  <si>
    <t>204:160</t>
  </si>
  <si>
    <t>204:150</t>
  </si>
  <si>
    <t>204:139</t>
  </si>
  <si>
    <t>204:437</t>
  </si>
  <si>
    <t>204:233002</t>
  </si>
  <si>
    <t>204:467</t>
  </si>
  <si>
    <t>204:232990</t>
  </si>
  <si>
    <t>204:233317</t>
  </si>
  <si>
    <t>204:440</t>
  </si>
  <si>
    <t>204:477</t>
  </si>
  <si>
    <t>204:232979</t>
  </si>
  <si>
    <t>rtdc.l.rtdc.4001:itc</t>
  </si>
  <si>
    <t>rtdc.l.rtdc.4002:itc</t>
  </si>
  <si>
    <t>RICHARDSON</t>
  </si>
  <si>
    <t>PERKINS</t>
  </si>
  <si>
    <t>MACDONALD</t>
  </si>
  <si>
    <t>BADERTSCHER</t>
  </si>
  <si>
    <t>MAGEE</t>
  </si>
  <si>
    <t>YANAI</t>
  </si>
  <si>
    <t>204:232978</t>
  </si>
  <si>
    <t>204:233319</t>
  </si>
  <si>
    <t>204:232992</t>
  </si>
  <si>
    <t>204:233293</t>
  </si>
  <si>
    <t>204:165</t>
  </si>
  <si>
    <t>204:677</t>
  </si>
  <si>
    <t>rtdc.l.rtdc.4016:itc</t>
  </si>
  <si>
    <t>Track device (7)</t>
  </si>
  <si>
    <t>rtdc.l.rtdc.4015:itc</t>
  </si>
  <si>
    <t>rtdc.l.rtdc.4043:itc</t>
  </si>
  <si>
    <t>204:233299</t>
  </si>
  <si>
    <t>204:233302</t>
  </si>
  <si>
    <t>204:438</t>
  </si>
  <si>
    <t>204:232981</t>
  </si>
  <si>
    <t>204:232973</t>
  </si>
  <si>
    <t>204:233309</t>
  </si>
  <si>
    <t>204:174</t>
  </si>
  <si>
    <t>204:446</t>
  </si>
  <si>
    <t>300:58611</t>
  </si>
  <si>
    <t>204:692</t>
  </si>
  <si>
    <t>300:58628</t>
  </si>
  <si>
    <t>204:691</t>
  </si>
  <si>
    <t>204:687</t>
  </si>
  <si>
    <t>:.+((SYSTEM_STATE.+slice.+state.+changed )|(ment ac)|(system.+state.+changed )|(\[timeout)|(PRM\|1\|D)|(kpr)|(kdp)|(\|lc)|(penalty))</t>
  </si>
  <si>
    <t>rtdc.l.rtdc.4026:itc</t>
  </si>
  <si>
    <t>rtdc.l.rtdc.4010:itc</t>
  </si>
  <si>
    <t>rtdc.l.rtdc.4022:itc</t>
  </si>
  <si>
    <t>SWITCH UNKNOWN</t>
  </si>
  <si>
    <t>rtdc.l.rtdc.4021:itc</t>
  </si>
  <si>
    <t>MAELZER</t>
  </si>
  <si>
    <t>MOSES</t>
  </si>
  <si>
    <t>BROWN</t>
  </si>
  <si>
    <t>HOLCOMB</t>
  </si>
  <si>
    <t>204:136</t>
  </si>
  <si>
    <t>204:233347</t>
  </si>
  <si>
    <t>204:473</t>
  </si>
  <si>
    <t>204:233303</t>
  </si>
  <si>
    <t>204:233304</t>
  </si>
  <si>
    <t>204:233310</t>
  </si>
  <si>
    <t>204:232993</t>
  </si>
  <si>
    <t>204:232998</t>
  </si>
  <si>
    <t>204:233305</t>
  </si>
  <si>
    <t>204:176</t>
  </si>
  <si>
    <t>204:442</t>
  </si>
  <si>
    <t>204:471</t>
  </si>
  <si>
    <t>204:480</t>
  </si>
  <si>
    <t>204:233013</t>
  </si>
  <si>
    <t>204:232996</t>
  </si>
  <si>
    <t>204:424</t>
  </si>
  <si>
    <t>204:233331</t>
  </si>
  <si>
    <t>204:134</t>
  </si>
  <si>
    <t>300:58937</t>
  </si>
  <si>
    <t>204:979</t>
  </si>
  <si>
    <t>300:58619</t>
  </si>
  <si>
    <t>204:992</t>
  </si>
  <si>
    <t>rtdc.l.rtdc.4054:itc</t>
  </si>
  <si>
    <t>rtdc.l.rtdc.4008:itc</t>
  </si>
  <si>
    <t>rtdc.l.rtdc.4007:itc</t>
  </si>
  <si>
    <t>rtdc.l.rtdc.4053:itc</t>
  </si>
  <si>
    <t>rtdc.l.rtdc.4038:itc</t>
  </si>
  <si>
    <t>845-10</t>
  </si>
  <si>
    <t>232-10</t>
  </si>
  <si>
    <t>236-10</t>
  </si>
  <si>
    <t>239-10</t>
  </si>
  <si>
    <t>ISHMAEL</t>
  </si>
  <si>
    <t>rtdc.l.rtdc.4037:itc</t>
  </si>
  <si>
    <t>GEBRETEKLE</t>
  </si>
  <si>
    <t>HILLS</t>
  </si>
  <si>
    <t>NELSON</t>
  </si>
  <si>
    <t>SHOOK</t>
  </si>
  <si>
    <t>ROCHA</t>
  </si>
  <si>
    <t>STORY</t>
  </si>
  <si>
    <t>DAVIDSON</t>
  </si>
  <si>
    <t>SMITH</t>
  </si>
  <si>
    <t>229-10</t>
  </si>
  <si>
    <t>226-10</t>
  </si>
  <si>
    <t>231-10</t>
  </si>
  <si>
    <t>228-10</t>
  </si>
  <si>
    <t>844-10</t>
  </si>
  <si>
    <t>230-10</t>
  </si>
  <si>
    <t>233-10</t>
  </si>
  <si>
    <t>847-10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</si>
  <si>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</si>
  <si>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</si>
  <si>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</si>
  <si>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</si>
  <si>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</si>
  <si>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</si>
  <si>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</si>
  <si>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</si>
  <si>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</si>
  <si>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</si>
  <si>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</si>
  <si>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</si>
  <si>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</si>
  <si>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</si>
  <si>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204:233314</t>
  </si>
  <si>
    <t>204:752</t>
  </si>
  <si>
    <t>204:759</t>
  </si>
  <si>
    <t>204:233038</t>
  </si>
  <si>
    <t>204:138</t>
  </si>
  <si>
    <t>204:233291</t>
  </si>
  <si>
    <t>204:466</t>
  </si>
  <si>
    <t>204:233300</t>
  </si>
  <si>
    <t>204:232974</t>
  </si>
  <si>
    <t>204:232980</t>
  </si>
  <si>
    <t>204:232968</t>
  </si>
  <si>
    <t>204:232965</t>
  </si>
  <si>
    <t>204:232988</t>
  </si>
  <si>
    <t>204:233049</t>
  </si>
  <si>
    <t>204:233336</t>
  </si>
  <si>
    <t>204:233357</t>
  </si>
  <si>
    <t>204:431</t>
  </si>
  <si>
    <t>204:449</t>
  </si>
  <si>
    <t>204:127</t>
  </si>
  <si>
    <t>204:233318</t>
  </si>
  <si>
    <t>204:233329</t>
  </si>
  <si>
    <t>204:233008</t>
  </si>
  <si>
    <t>204:233322</t>
  </si>
  <si>
    <t>204:232976</t>
  </si>
  <si>
    <t>204:141</t>
  </si>
  <si>
    <t>300:23310</t>
  </si>
  <si>
    <t>300:58606</t>
  </si>
  <si>
    <t>300:58929</t>
  </si>
  <si>
    <t>300:58617</t>
  </si>
  <si>
    <t>300:58922</t>
  </si>
  <si>
    <t>204:705</t>
  </si>
  <si>
    <t>300:58621</t>
  </si>
  <si>
    <t>204:981</t>
  </si>
  <si>
    <t>300:58933</t>
  </si>
  <si>
    <t>204:1020</t>
  </si>
  <si>
    <t>300:58924</t>
  </si>
  <si>
    <t>300:58613</t>
  </si>
  <si>
    <t>204:743</t>
  </si>
  <si>
    <t>204:965</t>
  </si>
  <si>
    <t>300:58608</t>
  </si>
  <si>
    <t>300:58602</t>
  </si>
  <si>
    <t>300:28782</t>
  </si>
  <si>
    <t>107-11</t>
  </si>
  <si>
    <t>106-11</t>
  </si>
  <si>
    <t>117-11</t>
  </si>
  <si>
    <t>801-11</t>
  </si>
  <si>
    <t>802-11</t>
  </si>
  <si>
    <t>119-11</t>
  </si>
  <si>
    <t>EQUIPMENT RESTRICTION</t>
  </si>
  <si>
    <t>804-11</t>
  </si>
  <si>
    <t>805-11</t>
  </si>
  <si>
    <t>123-11</t>
  </si>
  <si>
    <t>807-11</t>
  </si>
  <si>
    <t>rtdc.l.rtdc.4017:itc</t>
  </si>
  <si>
    <t>128-11</t>
  </si>
  <si>
    <t>810-11</t>
  </si>
  <si>
    <t>135-11</t>
  </si>
  <si>
    <t>130-11</t>
  </si>
  <si>
    <t>812-11</t>
  </si>
  <si>
    <t>136-11</t>
  </si>
  <si>
    <t>138-11</t>
  </si>
  <si>
    <t>140-11</t>
  </si>
  <si>
    <t>814-11</t>
  </si>
  <si>
    <t>149-11</t>
  </si>
  <si>
    <t>144-11</t>
  </si>
  <si>
    <t>146-11</t>
  </si>
  <si>
    <t>157-11</t>
  </si>
  <si>
    <t>163-11</t>
  </si>
  <si>
    <t>826-11</t>
  </si>
  <si>
    <t>830-11</t>
  </si>
  <si>
    <t>831-11</t>
  </si>
  <si>
    <t>215-11</t>
  </si>
  <si>
    <t>64-11</t>
  </si>
  <si>
    <t>208-11</t>
  </si>
  <si>
    <t>217-11</t>
  </si>
  <si>
    <t>228-11</t>
  </si>
  <si>
    <t>101-11</t>
  </si>
  <si>
    <t>304-11</t>
  </si>
  <si>
    <t>DAVIS</t>
  </si>
  <si>
    <t>103-11</t>
  </si>
  <si>
    <t>306-11</t>
  </si>
  <si>
    <t>MALAVE</t>
  </si>
  <si>
    <t>102-11</t>
  </si>
  <si>
    <t>308-11</t>
  </si>
  <si>
    <t>105-11</t>
  </si>
  <si>
    <t>310-11</t>
  </si>
  <si>
    <t>104-11</t>
  </si>
  <si>
    <t>109-11</t>
  </si>
  <si>
    <t>901-11</t>
  </si>
  <si>
    <t>STRICKLAND</t>
  </si>
  <si>
    <t>111-11</t>
  </si>
  <si>
    <t>rtdc.l.rtdc.4018:itc</t>
  </si>
  <si>
    <t>113-11</t>
  </si>
  <si>
    <t>800-11</t>
  </si>
  <si>
    <t>108-11</t>
  </si>
  <si>
    <t>110-11</t>
  </si>
  <si>
    <t>116-11</t>
  </si>
  <si>
    <t>115-11</t>
  </si>
  <si>
    <t>112-11</t>
  </si>
  <si>
    <t>902-11</t>
  </si>
  <si>
    <t>HAITHCOX</t>
  </si>
  <si>
    <t>114-11</t>
  </si>
  <si>
    <t>121-11</t>
  </si>
  <si>
    <t>803-11</t>
  </si>
  <si>
    <t>125-11</t>
  </si>
  <si>
    <t>118-11</t>
  </si>
  <si>
    <t>120-11</t>
  </si>
  <si>
    <t>127-11</t>
  </si>
  <si>
    <t>SANTIZO</t>
  </si>
  <si>
    <t>122-11</t>
  </si>
  <si>
    <t>129-11</t>
  </si>
  <si>
    <t>806-11</t>
  </si>
  <si>
    <t>124-11</t>
  </si>
  <si>
    <t>131-11</t>
  </si>
  <si>
    <t>809-11</t>
  </si>
  <si>
    <t>126-11</t>
  </si>
  <si>
    <t>808-11</t>
  </si>
  <si>
    <t>133-11</t>
  </si>
  <si>
    <t>137-11</t>
  </si>
  <si>
    <t>811-11</t>
  </si>
  <si>
    <t>132-11</t>
  </si>
  <si>
    <t>139-11</t>
  </si>
  <si>
    <t>NICHOLSON</t>
  </si>
  <si>
    <t>903-11</t>
  </si>
  <si>
    <t>141-11</t>
  </si>
  <si>
    <t>134-11</t>
  </si>
  <si>
    <t>143-11</t>
  </si>
  <si>
    <t>145-11</t>
  </si>
  <si>
    <t>813-11</t>
  </si>
  <si>
    <t>147-11</t>
  </si>
  <si>
    <t>142-11</t>
  </si>
  <si>
    <t>151-11</t>
  </si>
  <si>
    <t>153-11</t>
  </si>
  <si>
    <t>815-11</t>
  </si>
  <si>
    <t>155-11</t>
  </si>
  <si>
    <t>148-11</t>
  </si>
  <si>
    <t>50-11</t>
  </si>
  <si>
    <t>LALONDE</t>
  </si>
  <si>
    <t>150-11</t>
  </si>
  <si>
    <t>816-11</t>
  </si>
  <si>
    <t>152-11</t>
  </si>
  <si>
    <t>159-11</t>
  </si>
  <si>
    <t>52-11</t>
  </si>
  <si>
    <t>154-11</t>
  </si>
  <si>
    <t>161-11</t>
  </si>
  <si>
    <t>CLARK</t>
  </si>
  <si>
    <t>156-11</t>
  </si>
  <si>
    <t>53-11</t>
  </si>
  <si>
    <t>BEAM</t>
  </si>
  <si>
    <t>817-11</t>
  </si>
  <si>
    <t>158-11</t>
  </si>
  <si>
    <t>818-11</t>
  </si>
  <si>
    <t>165-11</t>
  </si>
  <si>
    <t>55-11</t>
  </si>
  <si>
    <t>160-11</t>
  </si>
  <si>
    <t>167-11</t>
  </si>
  <si>
    <t>162-11</t>
  </si>
  <si>
    <t>169-11</t>
  </si>
  <si>
    <t>819-11</t>
  </si>
  <si>
    <t>164-11</t>
  </si>
  <si>
    <t>171-11</t>
  </si>
  <si>
    <t>820-11</t>
  </si>
  <si>
    <t>173-11</t>
  </si>
  <si>
    <t>166-11</t>
  </si>
  <si>
    <t>168-11</t>
  </si>
  <si>
    <t>175-11</t>
  </si>
  <si>
    <t>170-11</t>
  </si>
  <si>
    <t>177-11</t>
  </si>
  <si>
    <t>821-11</t>
  </si>
  <si>
    <t>172-11</t>
  </si>
  <si>
    <t>179-11</t>
  </si>
  <si>
    <t>174-11</t>
  </si>
  <si>
    <t>822-11</t>
  </si>
  <si>
    <t>181-11</t>
  </si>
  <si>
    <t>176-11</t>
  </si>
  <si>
    <t>183-11</t>
  </si>
  <si>
    <t>178-11</t>
  </si>
  <si>
    <t>185-11</t>
  </si>
  <si>
    <t>823-11</t>
  </si>
  <si>
    <t>180-11</t>
  </si>
  <si>
    <t>187-11</t>
  </si>
  <si>
    <t>182-11</t>
  </si>
  <si>
    <t>824-11</t>
  </si>
  <si>
    <t>189-11</t>
  </si>
  <si>
    <t>184-11</t>
  </si>
  <si>
    <t>191-11</t>
  </si>
  <si>
    <t>SWANSON</t>
  </si>
  <si>
    <t>186-11</t>
  </si>
  <si>
    <t>193-11</t>
  </si>
  <si>
    <t>188-11</t>
  </si>
  <si>
    <t>825-11</t>
  </si>
  <si>
    <t>904-11</t>
  </si>
  <si>
    <t>SAFIEF</t>
  </si>
  <si>
    <t>195-11</t>
  </si>
  <si>
    <t>190-11</t>
  </si>
  <si>
    <t>827-11</t>
  </si>
  <si>
    <t>192-11</t>
  </si>
  <si>
    <t>197-11</t>
  </si>
  <si>
    <t>199-11</t>
  </si>
  <si>
    <t>828-11</t>
  </si>
  <si>
    <t>194-11</t>
  </si>
  <si>
    <t>201-11</t>
  </si>
  <si>
    <t>196-11</t>
  </si>
  <si>
    <t>829-11</t>
  </si>
  <si>
    <t>203-11</t>
  </si>
  <si>
    <t>198-11</t>
  </si>
  <si>
    <t>205-11</t>
  </si>
  <si>
    <t>200-11</t>
  </si>
  <si>
    <t>207-11</t>
  </si>
  <si>
    <t>211-11</t>
  </si>
  <si>
    <t>202-11</t>
  </si>
  <si>
    <t>832-11</t>
  </si>
  <si>
    <t>209-11</t>
  </si>
  <si>
    <t>833-11</t>
  </si>
  <si>
    <t>66-11</t>
  </si>
  <si>
    <t>204-11</t>
  </si>
  <si>
    <t>835-11</t>
  </si>
  <si>
    <t>60-11</t>
  </si>
  <si>
    <t>206-11</t>
  </si>
  <si>
    <t>834-11</t>
  </si>
  <si>
    <t>213-11</t>
  </si>
  <si>
    <t>62-11</t>
  </si>
  <si>
    <t>WHITED</t>
  </si>
  <si>
    <t>210-11</t>
  </si>
  <si>
    <t>836-11</t>
  </si>
  <si>
    <t>837-11</t>
  </si>
  <si>
    <t>212-11</t>
  </si>
  <si>
    <t>67-11</t>
  </si>
  <si>
    <t>214-11</t>
  </si>
  <si>
    <t>219-11</t>
  </si>
  <si>
    <t>839-11</t>
  </si>
  <si>
    <t>838-11</t>
  </si>
  <si>
    <t>303-11</t>
  </si>
  <si>
    <t>221-11</t>
  </si>
  <si>
    <t>216-11</t>
  </si>
  <si>
    <t>906-11</t>
  </si>
  <si>
    <t>218-11</t>
  </si>
  <si>
    <t>305-11</t>
  </si>
  <si>
    <t>841-11</t>
  </si>
  <si>
    <t>220-11</t>
  </si>
  <si>
    <t>223-11</t>
  </si>
  <si>
    <t>840-11</t>
  </si>
  <si>
    <t>69-11</t>
  </si>
  <si>
    <t>ROMERO</t>
  </si>
  <si>
    <t>307-11</t>
  </si>
  <si>
    <t>222-11</t>
  </si>
  <si>
    <t>225-11</t>
  </si>
  <si>
    <t>CHANDLER</t>
  </si>
  <si>
    <t>227-11</t>
  </si>
  <si>
    <t>843-11</t>
  </si>
  <si>
    <t>224-11</t>
  </si>
  <si>
    <t>842-11</t>
  </si>
  <si>
    <t>226-11</t>
  </si>
  <si>
    <t>229-11</t>
  </si>
  <si>
    <t>845-11</t>
  </si>
  <si>
    <t>231-11</t>
  </si>
  <si>
    <t>844-11</t>
  </si>
  <si>
    <t>230-11</t>
  </si>
  <si>
    <t>847-11</t>
  </si>
  <si>
    <t>233-11</t>
  </si>
  <si>
    <t>235-11</t>
  </si>
  <si>
    <t>232-11</t>
  </si>
  <si>
    <t>908-11</t>
  </si>
  <si>
    <t>237-11</t>
  </si>
  <si>
    <t>234-11</t>
  </si>
  <si>
    <t>239-11</t>
  </si>
  <si>
    <t>236-11</t>
  </si>
  <si>
    <t>238-11</t>
  </si>
  <si>
    <t>241-11</t>
  </si>
  <si>
    <t>243-11</t>
  </si>
  <si>
    <t>240-11</t>
  </si>
  <si>
    <t>242-11</t>
  </si>
  <si>
    <t>245-11</t>
  </si>
  <si>
    <t>309-11</t>
  </si>
  <si>
    <t>244-11</t>
  </si>
  <si>
    <t>311-11</t>
  </si>
  <si>
    <t>partly-cloudy-day</t>
  </si>
  <si>
    <t>Mostly Cloudy</t>
  </si>
  <si>
    <t>204:728</t>
  </si>
  <si>
    <t>204:232704</t>
  </si>
  <si>
    <t>204:737</t>
  </si>
  <si>
    <t>204:232685</t>
  </si>
  <si>
    <t>204:772</t>
  </si>
  <si>
    <t>204:153915</t>
  </si>
  <si>
    <t>204:444</t>
  </si>
  <si>
    <t>204:233286</t>
  </si>
  <si>
    <t>204:232984</t>
  </si>
  <si>
    <t>204:232987</t>
  </si>
  <si>
    <t>204:163</t>
  </si>
  <si>
    <t>204:754</t>
  </si>
  <si>
    <t>204:233278</t>
  </si>
  <si>
    <t>204:427</t>
  </si>
  <si>
    <t>204:233270</t>
  </si>
  <si>
    <t>204:232953</t>
  </si>
  <si>
    <t>204:233276</t>
  </si>
  <si>
    <t>204:233370</t>
  </si>
  <si>
    <t>204:233288</t>
  </si>
  <si>
    <t>204:233226</t>
  </si>
  <si>
    <t>204:232892</t>
  </si>
  <si>
    <t>204:132</t>
  </si>
  <si>
    <t>204:233315</t>
  </si>
  <si>
    <t>204:233010</t>
  </si>
  <si>
    <t>204:233308</t>
  </si>
  <si>
    <t>204:232983</t>
  </si>
  <si>
    <t>204:233215</t>
  </si>
  <si>
    <t>204:232929</t>
  </si>
  <si>
    <t>204:422</t>
  </si>
  <si>
    <t>204:233334</t>
  </si>
  <si>
    <t>204:233019</t>
  </si>
  <si>
    <t>204:233332</t>
  </si>
  <si>
    <t>204:233025</t>
  </si>
  <si>
    <t>204:19126</t>
  </si>
  <si>
    <t>204:435</t>
  </si>
  <si>
    <t>204:1078</t>
  </si>
  <si>
    <t>204:233284</t>
  </si>
  <si>
    <t>204:233053</t>
  </si>
  <si>
    <t>204:233349</t>
  </si>
  <si>
    <t>204:167</t>
  </si>
  <si>
    <t>204:429</t>
  </si>
  <si>
    <t>204:233005</t>
  </si>
  <si>
    <t>204:233393</t>
  </si>
  <si>
    <t>204:484</t>
  </si>
  <si>
    <t>204:233032</t>
  </si>
  <si>
    <t>204:232709</t>
  </si>
  <si>
    <t>204:385</t>
  </si>
  <si>
    <t>204:233353</t>
  </si>
  <si>
    <t>204:125</t>
  </si>
  <si>
    <t>204:185</t>
  </si>
  <si>
    <t>204:124847</t>
  </si>
  <si>
    <t>204:233006</t>
  </si>
  <si>
    <t>204:233328</t>
  </si>
  <si>
    <t>204:116</t>
  </si>
  <si>
    <t>204:129</t>
  </si>
  <si>
    <t>204:233281</t>
  </si>
  <si>
    <t>204:232966</t>
  </si>
  <si>
    <t>204:233366</t>
  </si>
  <si>
    <t>204:233076</t>
  </si>
  <si>
    <t>246-11</t>
  </si>
  <si>
    <t>300:23302</t>
  </si>
  <si>
    <t>204:114</t>
  </si>
  <si>
    <t>204:413</t>
  </si>
  <si>
    <t>300:23312</t>
  </si>
  <si>
    <t>300:23569</t>
  </si>
  <si>
    <t>204:178</t>
  </si>
  <si>
    <t>300:23308</t>
  </si>
  <si>
    <t>300:23610</t>
  </si>
  <si>
    <t>300:23546</t>
  </si>
  <si>
    <t>204:1645</t>
  </si>
  <si>
    <t>300:22261</t>
  </si>
  <si>
    <t>315-11</t>
  </si>
  <si>
    <t>300:23466</t>
  </si>
  <si>
    <t>204:146</t>
  </si>
  <si>
    <t>300:23550</t>
  </si>
  <si>
    <t>300:24224</t>
  </si>
  <si>
    <t>300:21973</t>
  </si>
  <si>
    <t>204:148</t>
  </si>
  <si>
    <t>300:23502</t>
  </si>
  <si>
    <t>204:448</t>
  </si>
  <si>
    <t>300:22144</t>
  </si>
  <si>
    <t>204:871</t>
  </si>
  <si>
    <t>204:233040</t>
  </si>
  <si>
    <t>204:1198</t>
  </si>
  <si>
    <t>204:1475</t>
  </si>
  <si>
    <t>204:771</t>
  </si>
  <si>
    <t>204:1048</t>
  </si>
  <si>
    <t>204:790</t>
  </si>
  <si>
    <t>204:986</t>
  </si>
  <si>
    <t>204:722</t>
  </si>
  <si>
    <t>204:1093</t>
  </si>
  <si>
    <t>300:58939</t>
  </si>
  <si>
    <t>300:58626</t>
  </si>
  <si>
    <t>204:124</t>
  </si>
  <si>
    <t>300:58946</t>
  </si>
  <si>
    <t>204:1056</t>
  </si>
  <si>
    <t>204:951</t>
  </si>
  <si>
    <t>204:983</t>
  </si>
  <si>
    <t>204:741</t>
  </si>
  <si>
    <t>204:1039</t>
  </si>
  <si>
    <t>300:58920</t>
  </si>
  <si>
    <t>300:58615</t>
  </si>
  <si>
    <t>204:698</t>
  </si>
  <si>
    <t>204:988</t>
  </si>
  <si>
    <t>204:1025</t>
  </si>
  <si>
    <t>300:58931</t>
  </si>
  <si>
    <t>204:1030</t>
  </si>
  <si>
    <t>300:58609</t>
  </si>
  <si>
    <t>204:776</t>
  </si>
  <si>
    <t>204:962</t>
  </si>
  <si>
    <t>300:58918</t>
  </si>
  <si>
    <t>204:1055</t>
  </si>
  <si>
    <t>204:792</t>
  </si>
  <si>
    <t>204:953</t>
  </si>
  <si>
    <t>300:58928</t>
  </si>
  <si>
    <t>204:673</t>
  </si>
  <si>
    <t>204:1079</t>
  </si>
  <si>
    <t>204:766</t>
  </si>
  <si>
    <t>204:1044</t>
  </si>
  <si>
    <t>204:745</t>
  </si>
  <si>
    <t>204:967</t>
  </si>
  <si>
    <t>204:761</t>
  </si>
  <si>
    <t>204:1051</t>
  </si>
  <si>
    <t>204:1037</t>
  </si>
  <si>
    <t>300:30487</t>
  </si>
  <si>
    <t>300:22229</t>
  </si>
  <si>
    <t>204:701</t>
  </si>
  <si>
    <t>300:25758</t>
  </si>
  <si>
    <t>300:23495</t>
  </si>
  <si>
    <t>204:680</t>
  </si>
  <si>
    <t>300:28793</t>
  </si>
  <si>
    <t>aws s3 cp s3://rtdc.mdm.uploadarchive.raw/RTDC4030/ "%USERPROFILE%\AppData\Local\Temp\OnboardLogs"\RTDC4030\2016-11-11 --exclude "*" --recursive --include "*20161111*" &amp; "%USERPROFILE%\Documents\GitHub\mrs-test-scripts\Headless Mode &amp; Sideloading\WalkAndUnGZ.bat" "%USERPROFILE%\AppData\Local\Temp\OnboardLogs"\RTDC4030\2016-11-11 &amp; 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</t>
  </si>
  <si>
    <t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t>
  </si>
  <si>
    <t>aws s3 cp s3://rtdc.mdm.uploadarchive.raw/RTDC4017/ "%USERPROFILE%\AppData\Local\Temp\OnboardLogs"\RTDC4017\2016-11-11 --exclude "*" --recursive --include "*20161111*" &amp; "%USERPROFILE%\Documents\GitHub\mrs-test-scripts\Headless Mode &amp; Sideloading\WalkAndUnGZ.bat" "%USERPROFILE%\AppData\Local\Temp\OnboardLogs"\RTDC4017\2016-11-11 &amp; aws s3 cp s3://rtdc.mdm.uploadarchive.raw/RTDC4017/ "%USERPROFILE%\AppData\Local\Temp\OnboardLogs"\RTDC4017\2016-11-12 --exclude "*" --recursive --include "*20161112*" &amp; "%USERPROFILE%\Documents\GitHub\mrs-test-scripts\Headless Mode &amp; Sideloading\WalkAndUnGZ.bat" "%USERPROFILE%\AppData\Local\Temp\OnboardLogs"\RTDC4017\2016-11-12</t>
  </si>
  <si>
    <t>aws s3 cp s3://rtdc.mdm.uploadarchive.raw/RTDC4029/ "%USERPROFILE%\AppData\Local\Temp\OnboardLogs"\RTDC4029\2016-11-11 --exclude "*" --recursive --include "*20161111*" &amp; "%USERPROFILE%\Documents\GitHub\mrs-test-scripts\Headless Mode &amp; Sideloading\WalkAndUnGZ.bat" "%USERPROFILE%\AppData\Local\Temp\OnboardLogs"\RTDC4029\2016-11-11 &amp; 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</t>
  </si>
  <si>
    <t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t>
  </si>
  <si>
    <t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t>
  </si>
  <si>
    <t>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 &amp; aws s3 cp s3://rtdc.mdm.uploadarchive.raw/RTDC4043/ "%USERPROFILE%\AppData\Local\Temp\OnboardLogs"\RTDC4043\2016-11-12 --exclude "*" --recursive --include "*20161112*" &amp; "%USERPROFILE%\Documents\GitHub\mrs-test-scripts\Headless Mode &amp; Sideloading\WalkAndUnGZ.bat" "%USERPROFILE%\AppData\Local\Temp\OnboardLogs"\RTDC4043\2016-11-12</t>
  </si>
  <si>
    <t>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 &amp; 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</t>
  </si>
  <si>
    <t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t>
  </si>
  <si>
    <t>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 &amp; 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</t>
  </si>
  <si>
    <t>CCROC/equipment/crew mismatch</t>
  </si>
  <si>
    <t>See title</t>
  </si>
  <si>
    <t>DUS 2N stuck at STOP due to 20N also STOP</t>
  </si>
  <si>
    <t>Early arrival</t>
  </si>
  <si>
    <t>Wi-MAX data drop</t>
  </si>
  <si>
    <t>http://stevetu21.github.io/eaglep3/load_kml.html?kml=http://rtdc.gmaps-snips.s3.amazonaws.com/9cf0c444-1a25-423e-a5f2-05957bce7f58.kml</t>
  </si>
  <si>
    <t>Overspeed</t>
  </si>
  <si>
    <t>40th 4S STOP</t>
  </si>
  <si>
    <t>RESTRICTING aspects</t>
  </si>
  <si>
    <t>Replaced by 66, mechanical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</si>
</sst>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0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9cf0c444-1a25-423e-a5f2-05957bce7f58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5"/>
  <sheetViews>
    <sheetView tabSelected="1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42685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42685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145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COUNTIFS($N$13:$N$9388,"&gt;0",$AG$13:$AG$9388,I1)</f>
        <v>143</v>
      </c>
      <c r="K5" s="44"/>
      <c r="L5" s="44"/>
      <c r="M5" s="45">
        <f>AVERAGEIFS($N$13:$N$9388,$AG$13:$AG$9388,I1)</f>
        <v>37.673776223832235</v>
      </c>
      <c r="N5" s="43">
        <f t="array" ref="N5">MIN(IF($AG$13:$AG$9388=I1,IF(ISNUMBER($N$13:$N$9388),IF($N$13:$N$9388&gt;0,$N$13:$N$9388))))</f>
        <v>31.499999997904524</v>
      </c>
      <c r="O5" s="3">
        <f t="array" ref="O5">MAX(IF($AG$13:$AG$9388=I1,IF(ISNUMBER($N$13:$N$9388),IF($N$13:$N$9388&gt;0,$N$13:$N$9388))))</f>
        <v>46.166666666977108</v>
      </c>
      <c r="P5" s="2"/>
      <c r="R5" s="80" t="s">
        <v>17</v>
      </c>
      <c r="S5" s="55">
        <f>COUNTIFS($N$13:$N$9388,"&gt;0",$AG$13:$AG$9388,R1)</f>
        <v>47</v>
      </c>
      <c r="T5" s="44"/>
      <c r="U5" s="169"/>
      <c r="V5" s="45">
        <f>AVERAGEIFS($N$13:$N$9388,$AG$13:$AG$9388,R1)</f>
        <v>15.369858155844415</v>
      </c>
      <c r="W5" s="43">
        <f t="array" ref="W5">MIN(IF($AG$13:$AG$9388=R1,IF(ISNUMBER($N$13:$N$9388),IF($N$13:$N$9388&gt;0,$N$13:$N$9388))))</f>
        <v>13.000000000465661</v>
      </c>
      <c r="X5" s="173">
        <f t="array" ref="X5">MAX(IF($AG$13:$AG$9388=R1,IF(ISNUMBER($N$13:$N$9388),IF($N$13:$N$9388&gt;0,$N$13:$N$9388))))</f>
        <v>20.900000003166497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COUNT($O$13:$O$161)</f>
        <v>0</v>
      </c>
      <c r="K6" s="44"/>
      <c r="L6" s="44"/>
      <c r="M6" s="45">
        <f>IFERROR(AVERAGE($O$13:$O$161),0)</f>
        <v>0</v>
      </c>
      <c r="N6" s="43">
        <f>MIN($O$13:$O$161)</f>
        <v>0</v>
      </c>
      <c r="O6" s="3">
        <f>MAX($O$13:$O$161)</f>
        <v>0</v>
      </c>
      <c r="P6" s="2"/>
      <c r="R6" s="81" t="s">
        <v>43</v>
      </c>
      <c r="S6" s="55">
        <f>COUNT($O$13:$O$161)</f>
        <v>0</v>
      </c>
      <c r="T6" s="44"/>
      <c r="U6" s="169"/>
      <c r="V6" s="45">
        <f>IFERROR(AVERAGE($O$13:$O$161),0)</f>
        <v>0</v>
      </c>
      <c r="W6" s="43">
        <f>MIN($O$13:$O$161)</f>
        <v>0</v>
      </c>
      <c r="X6" s="173">
        <f>MAX($O$13:$O$161)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COUNTIFS($P$13:$P$9388,"&gt;0",$AG$13:$AG$9388,I1)</f>
        <v>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COUNTIFS($P$13:$P$9388,"&gt;0",$AG$13:$AG$9388,R1)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143</v>
      </c>
      <c r="K8" s="44"/>
      <c r="L8" s="44"/>
      <c r="M8" s="45">
        <f>M5</f>
        <v>37.673776223832235</v>
      </c>
      <c r="N8" s="43">
        <f>N5</f>
        <v>31.499999997904524</v>
      </c>
      <c r="O8" s="3">
        <f>O5</f>
        <v>46.166666666977108</v>
      </c>
      <c r="P8" s="2"/>
      <c r="R8" s="80" t="s">
        <v>16</v>
      </c>
      <c r="S8" s="55">
        <f>S5</f>
        <v>47</v>
      </c>
      <c r="T8" s="44"/>
      <c r="U8" s="169"/>
      <c r="V8" s="45">
        <f>V5</f>
        <v>15.369858155844415</v>
      </c>
      <c r="W8" s="43">
        <f>W5</f>
        <v>13.000000000465661</v>
      </c>
      <c r="X8" s="173">
        <f>X5</f>
        <v>20.900000003166497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0.98620689655172411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- 2016-11-11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AVERAGE(S13:S110)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443</v>
      </c>
      <c r="B13" s="7">
        <v>4003</v>
      </c>
      <c r="C13" s="22" t="s">
        <v>225</v>
      </c>
      <c r="D13" s="22" t="s">
        <v>645</v>
      </c>
      <c r="E13" s="13">
        <v>42685.137997685182</v>
      </c>
      <c r="F13" s="13">
        <v>42685.13958333333</v>
      </c>
      <c r="G13" s="7">
        <v>1</v>
      </c>
      <c r="H13" s="22" t="s">
        <v>305</v>
      </c>
      <c r="I13" s="13">
        <v>42685.163877314815</v>
      </c>
      <c r="J13" s="7">
        <v>0</v>
      </c>
      <c r="K13" s="109" t="str">
        <f t="shared" ref="K13:K76" si="0">IF(ISEVEN(B13),(B13-1)&amp;"/"&amp;B13,B13&amp;"/"&amp;(B13+1))</f>
        <v>4003/4004</v>
      </c>
      <c r="L13" s="22" t="str">
        <f>VLOOKUP(A13,'Trips&amp;Operators'!$C$1:$E$10000,3,FALSE)</f>
        <v>MAELZER</v>
      </c>
      <c r="M13" s="6">
        <f t="shared" ref="M13:M76" si="1">I13-F13</f>
        <v>2.4293981485243421E-2</v>
      </c>
      <c r="N13" s="7">
        <f t="shared" ref="N13:P74" si="2">24*60*SUM($M13:$M13)</f>
        <v>34.983333338750526</v>
      </c>
      <c r="O13" s="7"/>
      <c r="P13" s="7"/>
      <c r="Q13" s="23"/>
      <c r="R13" s="23"/>
      <c r="S13" s="35">
        <f t="shared" ref="S13:S75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https://search-rtdc-monitor-bjffxe2xuh6vdkpspy63sjmuny.us-east-1.es.amazonaws.com/_plugin/kibana/#/discover/Steve-Slow-Train-Analysis-(2080s-and-2083s)?_g=(refreshInterval:(display:Off,section:0,value:0),time:(from:'2016-11-11 02:18:43-700',mode:absolute,to:'2016-11-11 04:55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7.2800000000000004E-2</v>
      </c>
      <c r="Z13" s="67">
        <f t="shared" ref="Z13:Z76" si="9">RIGHT(H13,LEN(H13)-4)/10000</f>
        <v>23.334700000000002</v>
      </c>
      <c r="AA13" s="67">
        <f t="shared" ref="AA13:AA76" si="10">ABS(Z13-Y13)</f>
        <v>23.261900000000001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11">IF(LEN(A13)=6,"0"&amp;A13,A13)</f>
        <v>0101-11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 &amp; aws s3 cp s3://rtdc.mdm.uploadarchive.raw/RTDC4003/ "%USERPROFILE%\AppData\Local\Temp\OnboardLogs"\RTDC4003\2016-11-12 --exclude "*" --recursive --include "*20161112*" &amp; "%USERPROFILE%\Documents\GitHub\mrs-test-scripts\Headless Mode &amp; Sideloading\WalkAndUnGZ.bat" "%USERPROFILE%\AppData\Local\Temp\OnboardLogs"\RTDC4003\2016-11-12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/stypes="app*4003*20161111*" /stext=" 10:.+((SYSTEM_STATE.+slice.+state.+changed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4003 --swversion DE.1.0.8.0 --startMP 204:728 --initTime 2016-11-11T03:18:43 --startdatetime 2016-11-11T03:21:00 --delay 1 --endMP 204:233347 --enddatetime 2016-11-11T03:55:59 --enforcementcount 0 &gt;&gt;C:\Users\stu\Documents\GitHub\eaglep3-reporting\EC\2016-11-11-refined-times.txt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{"issue":{"subject":"","project_id":79,"tracker_id":40,"status_id":1,"priority_id":2,"assigned_to_id":23,"start_date":"2016-11-11","description":"","custom_fields":[{"id":1,"name":"Subdivision","value":"EC"},{"id":4,"name":"Milepost","value":"23.3347"},{"id":17,"name":"Train ID","value":"101-11"},{"id":16,"name":"Locomotive ID","value":"4003"},{"id":130,"name":"Impact","value":""},{"id":150,"name":"Time of Event (Mountain Time)","value":"03:55:59"},{"id":151,"name":"Denver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449</v>
      </c>
      <c r="B14" s="7">
        <v>4017</v>
      </c>
      <c r="C14" s="22" t="s">
        <v>225</v>
      </c>
      <c r="D14" s="22" t="s">
        <v>646</v>
      </c>
      <c r="E14" s="13">
        <v>42685.17046296296</v>
      </c>
      <c r="F14" s="13">
        <v>42685.174629629626</v>
      </c>
      <c r="G14" s="7">
        <v>1</v>
      </c>
      <c r="H14" s="22" t="s">
        <v>304</v>
      </c>
      <c r="I14" s="13">
        <v>42685.200740740744</v>
      </c>
      <c r="J14" s="7">
        <v>0</v>
      </c>
      <c r="K14" s="109" t="str">
        <f t="shared" si="0"/>
        <v>4017/4018</v>
      </c>
      <c r="L14" s="22" t="str">
        <f>VLOOKUP(A14,'Trips&amp;Operators'!$C$1:$E$10000,3,FALSE)</f>
        <v>MAELZER</v>
      </c>
      <c r="M14" s="6">
        <f t="shared" si="1"/>
        <v>2.6111111117643304E-2</v>
      </c>
      <c r="N14" s="7">
        <f t="shared" si="2"/>
        <v>37.600000009406358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03:05:28-700',mode:absolute,to:'2016-11-11 05:49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23.270399999999999</v>
      </c>
      <c r="Z14" s="67">
        <f t="shared" si="9"/>
        <v>1.3599999999999999E-2</v>
      </c>
      <c r="AA14" s="67">
        <f t="shared" si="10"/>
        <v>23.256799999999998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0102-11</v>
      </c>
      <c r="AE14" s="91" t="str">
        <f t="shared" si="12"/>
        <v>aws s3 cp s3://rtdc.mdm.uploadarchive.raw/RTDC4017/ "%USERPROFILE%\AppData\Local\Temp\OnboardLogs"\RTDC4017\2016-11-11 --exclude "*" --recursive --include "*20161111*" &amp; "%USERPROFILE%\Documents\GitHub\mrs-test-scripts\Headless Mode &amp; Sideloading\WalkAndUnGZ.bat" "%USERPROFILE%\AppData\Local\Temp\OnboardLogs"\RTDC4017\2016-11-11 &amp; aws s3 cp s3://rtdc.mdm.uploadarchive.raw/RTDC4017/ "%USERPROFILE%\AppData\Local\Temp\OnboardLogs"\RTDC4017\2016-11-12 --exclude "*" --recursive --include "*20161112*" &amp; "%USERPROFILE%\Documents\GitHub\mrs-test-scripts\Headless Mode &amp; Sideloading\WalkAndUnGZ.bat" "%USERPROFILE%\AppData\Local\Temp\OnboardLogs"\RTDC4017\2016-11-12</v>
      </c>
      <c r="AF14" s="88" t="str">
        <f t="shared" si="13"/>
        <v>"C:\Program Files (x86)\AstroGrep\AstroGrep.exe" /spath="%USERPROFILE%\AppData\Local\Temp\OnboardLogs" /stypes="app*4017*20161111*"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102-11 --locoid 4017 --swversion DE.1.0.8.0 --startMP 204:232704 --initTime 2016-11-11T04:05:28 --startdatetime 2016-11-11T04:11:28 --delay 1 --endMP 204:136 --enddatetime 2016-11-11T04:49:04 --enforcementcount 0 &gt;&gt;C:\Users\stu\Documents\GitHub\eaglep3-reporting\EC\2016-11-11-refined-times.txt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{"issue":{"subject":"","project_id":79,"tracker_id":40,"status_id":1,"priority_id":2,"assigned_to_id":23,"start_date":"2016-11-11","description":"","custom_fields":[{"id":1,"name":"Subdivision","value":"EC"},{"id":4,"name":"Milepost","value":"0.0136"},{"id":17,"name":"Train ID","value":"102-11"},{"id":16,"name":"Locomotive ID","value":"4017"},{"id":130,"name":"Impact","value":""},{"id":150,"name":"Time of Event (Mountain Time)","value":"04:49:04"},{"id":151,"name":"Denver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446</v>
      </c>
      <c r="B15" s="7">
        <v>4031</v>
      </c>
      <c r="C15" s="22" t="s">
        <v>225</v>
      </c>
      <c r="D15" s="22" t="s">
        <v>647</v>
      </c>
      <c r="E15" s="13">
        <v>42685.153298611112</v>
      </c>
      <c r="F15" s="13">
        <v>42685.156712962962</v>
      </c>
      <c r="G15" s="7">
        <v>1</v>
      </c>
      <c r="H15" s="22" t="s">
        <v>367</v>
      </c>
      <c r="I15" s="13">
        <v>42685.182789351849</v>
      </c>
      <c r="J15" s="7">
        <v>0</v>
      </c>
      <c r="K15" s="109" t="str">
        <f t="shared" si="0"/>
        <v>4031/4032</v>
      </c>
      <c r="L15" s="22" t="str">
        <f>VLOOKUP(A15,'Trips&amp;Operators'!$C$1:$E$10000,3,FALSE)</f>
        <v>DAVIS</v>
      </c>
      <c r="M15" s="6">
        <f t="shared" si="1"/>
        <v>2.6076388887304347E-2</v>
      </c>
      <c r="N15" s="7">
        <f t="shared" si="2"/>
        <v>37.54999999771826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02:40:45-700',mode:absolute,to:'2016-11-11 05:23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7.3700000000000002E-2</v>
      </c>
      <c r="Z15" s="67">
        <f t="shared" si="9"/>
        <v>23.331399999999999</v>
      </c>
      <c r="AA15" s="67">
        <f t="shared" si="10"/>
        <v>23.2577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0103-11</v>
      </c>
      <c r="AE15" s="91" t="str">
        <f t="shared" si="12"/>
        <v>aws s3 cp s3://rtdc.mdm.uploadarchive.raw/RTDC4031/ "%USERPROFILE%\AppData\Local\Temp\OnboardLogs"\RTDC4031\2016-11-11 --exclude "*" --recursive --include "*20161111*" &amp; "%USERPROFILE%\Documents\GitHub\mrs-test-scripts\Headless Mode &amp; Sideloading\WalkAndUnGZ.bat" "%USERPROFILE%\AppData\Local\Temp\OnboardLogs"\RTDC4031\2016-11-11 &amp; aws s3 cp s3://rtdc.mdm.uploadarchive.raw/RTDC4031/ "%USERPROFILE%\AppData\Local\Temp\OnboardLogs"\RTDC4031\2016-11-12 --exclude "*" --recursive --include "*20161112*" &amp; "%USERPROFILE%\Documents\GitHub\mrs-test-scripts\Headless Mode &amp; Sideloading\WalkAndUnGZ.bat" "%USERPROFILE%\AppData\Local\Temp\OnboardLogs"\RTDC4031\2016-11-12</v>
      </c>
      <c r="AF15" s="88" t="str">
        <f t="shared" si="13"/>
        <v>"C:\Program Files (x86)\AstroGrep\AstroGrep.exe" /spath="%USERPROFILE%\AppData\Local\Temp\OnboardLogs" /stypes="app*4031*20161111*"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103-11 --locoid 4031 --swversion DE.1.0.8.0 --startMP 204:737 --initTime 2016-11-11T03:40:45 --startdatetime 2016-11-11T03:45:40 --delay 1 --endMP 204:233314 --enddatetime 2016-11-11T04:23:13 --enforcementcount 0 &gt;&gt;C:\Users\stu\Documents\GitHub\eaglep3-reporting\EC\2016-11-11-refined-times.txt</v>
      </c>
      <c r="AI15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{"issue":{"subject":"","project_id":79,"tracker_id":40,"status_id":1,"priority_id":2,"assigned_to_id":23,"start_date":"2016-11-11","description":"","custom_fields":[{"id":1,"name":"Subdivision","value":"EC"},{"id":4,"name":"Milepost","value":"23.3314"},{"id":17,"name":"Train ID","value":"103-11"},{"id":16,"name":"Locomotive ID","value":"4031"},{"id":130,"name":"Impact","value":""},{"id":150,"name":"Time of Event (Mountain Time)","value":"04:23:13"},{"id":151,"name":"Denver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453</v>
      </c>
      <c r="B16" s="7">
        <v>4026</v>
      </c>
      <c r="C16" s="22" t="s">
        <v>225</v>
      </c>
      <c r="D16" s="22" t="s">
        <v>648</v>
      </c>
      <c r="E16" s="13">
        <v>42685.19159722222</v>
      </c>
      <c r="F16" s="13">
        <v>42685.195289351854</v>
      </c>
      <c r="G16" s="7">
        <v>1</v>
      </c>
      <c r="H16" s="22" t="s">
        <v>197</v>
      </c>
      <c r="I16" s="13">
        <v>42685.222453703704</v>
      </c>
      <c r="J16" s="7">
        <v>0</v>
      </c>
      <c r="K16" s="109" t="str">
        <f t="shared" si="0"/>
        <v>4025/4026</v>
      </c>
      <c r="L16" s="22" t="str">
        <f>VLOOKUP(A16,'Trips&amp;Operators'!$C$1:$E$10000,3,FALSE)</f>
        <v>DAVIS</v>
      </c>
      <c r="M16" s="6">
        <f t="shared" si="1"/>
        <v>2.7164351849933155E-2</v>
      </c>
      <c r="N16" s="7">
        <f t="shared" si="2"/>
        <v>39.116666663903743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03:35:54-700',mode:absolute,to:'2016-11-11 06:20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23.2685</v>
      </c>
      <c r="Z16" s="67">
        <f t="shared" si="9"/>
        <v>1.4500000000000001E-2</v>
      </c>
      <c r="AA16" s="67">
        <f t="shared" si="10"/>
        <v>23.253999999999998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0104-11</v>
      </c>
      <c r="AE16" s="91" t="str">
        <f t="shared" si="12"/>
        <v>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 &amp; 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</v>
      </c>
      <c r="AF16" s="88" t="str">
        <f t="shared" si="13"/>
        <v>"C:\Program Files (x86)\AstroGrep\AstroGrep.exe" /spath="%USERPROFILE%\AppData\Local\Temp\OnboardLogs" /stypes="app*4026*20161111*"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104-11 --locoid 4026 --swversion DE.1.0.8.0 --startMP 204:232685 --initTime 2016-11-11T04:35:54 --startdatetime 2016-11-11T04:41:13 --delay 1 --endMP 204:145 --enddatetime 2016-11-11T05:20:20 --enforcementcount 0 &gt;&gt;C:\Users\stu\Documents\GitHub\eaglep3-reporting\EC\2016-11-11-refined-times.txt</v>
      </c>
      <c r="AI16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{"issue":{"subject":"","project_id":79,"tracker_id":40,"status_id":1,"priority_id":2,"assigned_to_id":23,"start_date":"2016-11-11","description":"","custom_fields":[{"id":1,"name":"Subdivision","value":"EC"},{"id":4,"name":"Milepost","value":"0.0145"},{"id":17,"name":"Train ID","value":"104-11"},{"id":16,"name":"Locomotive ID","value":"4026"},{"id":130,"name":"Impact","value":""},{"id":150,"name":"Time of Event (Mountain Time)","value":"05:20:20"},{"id":151,"name":"Denver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451</v>
      </c>
      <c r="B17" s="7">
        <v>4040</v>
      </c>
      <c r="C17" s="22" t="s">
        <v>225</v>
      </c>
      <c r="D17" s="22" t="s">
        <v>649</v>
      </c>
      <c r="E17" s="13">
        <v>42685.173842592594</v>
      </c>
      <c r="F17" s="13">
        <v>42685.177337962959</v>
      </c>
      <c r="G17" s="7">
        <v>1</v>
      </c>
      <c r="H17" s="22" t="s">
        <v>238</v>
      </c>
      <c r="I17" s="13">
        <v>42685.202453703707</v>
      </c>
      <c r="J17" s="7">
        <v>0</v>
      </c>
      <c r="K17" s="109" t="str">
        <f t="shared" si="0"/>
        <v>4039/4040</v>
      </c>
      <c r="L17" s="22" t="str">
        <f>VLOOKUP(A17,'Trips&amp;Operators'!$C$1:$E$10000,3,FALSE)</f>
        <v>MALAVE</v>
      </c>
      <c r="M17" s="6">
        <f t="shared" si="1"/>
        <v>2.5115740747423843E-2</v>
      </c>
      <c r="N17" s="7">
        <f t="shared" si="2"/>
        <v>36.166666676290333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03:10:20-700',mode:absolute,to:'2016-11-11 05:51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7.7200000000000005E-2</v>
      </c>
      <c r="Z17" s="67">
        <f t="shared" si="9"/>
        <v>23.329799999999999</v>
      </c>
      <c r="AA17" s="67">
        <f t="shared" si="10"/>
        <v>23.252599999999997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0105-11</v>
      </c>
      <c r="AE17" s="91" t="str">
        <f t="shared" si="12"/>
        <v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v>
      </c>
      <c r="AF17" s="88" t="str">
        <f t="shared" si="13"/>
        <v>"C:\Program Files (x86)\AstroGrep\AstroGrep.exe" /spath="%USERPROFILE%\AppData\Local\Temp\OnboardLogs" /stypes="app*4040*20161111*"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105-11 --locoid 4040 --swversion DE.1.0.8.0 --startMP 204:772 --initTime 2016-11-11T04:10:20 --startdatetime 2016-11-11T04:15:22 --delay 1 --endMP 204:233298 --enddatetime 2016-11-11T04:51:32 --enforcementcount 0 &gt;&gt;C:\Users\stu\Documents\GitHub\eaglep3-reporting\EC\2016-11-11-refined-times.txt</v>
      </c>
      <c r="AI17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{"issue":{"subject":"","project_id":79,"tracker_id":40,"status_id":1,"priority_id":2,"assigned_to_id":23,"start_date":"2016-11-11","description":"","custom_fields":[{"id":1,"name":"Subdivision","value":"EC"},{"id":4,"name":"Milepost","value":"23.3298"},{"id":17,"name":"Train ID","value":"105-11"},{"id":16,"name":"Locomotive ID","value":"4040"},{"id":130,"name":"Impact","value":""},{"id":150,"name":"Time of Event (Mountain Time)","value":"04:51:32"},{"id":151,"name":"Denver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410</v>
      </c>
      <c r="B18" s="7">
        <v>4030</v>
      </c>
      <c r="C18" s="22" t="s">
        <v>225</v>
      </c>
      <c r="D18" s="22" t="s">
        <v>650</v>
      </c>
      <c r="E18" s="13">
        <v>42685.226018518515</v>
      </c>
      <c r="F18" s="13">
        <v>42685.226898148147</v>
      </c>
      <c r="G18" s="7">
        <v>1</v>
      </c>
      <c r="H18" s="22" t="s">
        <v>252</v>
      </c>
      <c r="I18" s="13">
        <v>42685.24763888889</v>
      </c>
      <c r="J18" s="7">
        <v>0</v>
      </c>
      <c r="K18" s="109" t="str">
        <f t="shared" si="0"/>
        <v>4029/4030</v>
      </c>
      <c r="L18" s="22" t="str">
        <f>VLOOKUP(A18,'Trips&amp;Operators'!$C$1:$E$10000,3,FALSE)</f>
        <v>MALAVE</v>
      </c>
      <c r="M18" s="6">
        <f t="shared" si="1"/>
        <v>2.0740740743349306E-2</v>
      </c>
      <c r="N18" s="7"/>
      <c r="O18" s="7"/>
      <c r="P18" s="7">
        <f t="shared" si="2"/>
        <v>29.866666670423001</v>
      </c>
      <c r="Q18" s="23"/>
      <c r="R18" s="23" t="s">
        <v>786</v>
      </c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04:25:28-700',mode:absolute,to:'2016-11-11 06:56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" s="52" t="str">
        <f t="shared" si="6"/>
        <v>Y</v>
      </c>
      <c r="X18" s="177">
        <f t="shared" si="7"/>
        <v>1</v>
      </c>
      <c r="Y18" s="67">
        <f t="shared" si="8"/>
        <v>15.391500000000001</v>
      </c>
      <c r="Z18" s="67">
        <f t="shared" si="9"/>
        <v>1.6E-2</v>
      </c>
      <c r="AA18" s="67">
        <f t="shared" si="10"/>
        <v>15.375500000000001</v>
      </c>
      <c r="AB18" s="64" t="str">
        <f>VLOOKUP(A18,Enforcements!$C$7:$K$20,8,0)</f>
        <v>Bulletin (2)</v>
      </c>
      <c r="AC18" s="60" t="str">
        <f>VLOOKUP(A18,Enforcements!$C$7:$E$20,3,0)</f>
        <v>GRADE CROSSING</v>
      </c>
      <c r="AD18" s="61" t="str">
        <f t="shared" si="11"/>
        <v>0106-11</v>
      </c>
      <c r="AE18" s="91" t="str">
        <f t="shared" si="12"/>
        <v>aws s3 cp s3://rtdc.mdm.uploadarchive.raw/RTDC4030/ "%USERPROFILE%\AppData\Local\Temp\OnboardLogs"\RTDC4030\2016-11-11 --exclude "*" --recursive --include "*20161111*" &amp; "%USERPROFILE%\Documents\GitHub\mrs-test-scripts\Headless Mode &amp; Sideloading\WalkAndUnGZ.bat" "%USERPROFILE%\AppData\Local\Temp\OnboardLogs"\RTDC4030\2016-11-11 &amp; 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</v>
      </c>
      <c r="AF18" s="88" t="str">
        <f t="shared" si="13"/>
        <v>"C:\Program Files (x86)\AstroGrep\AstroGrep.exe" /spath="%USERPROFILE%\AppData\Local\Temp\OnboardLogs" /stypes="app*4030*20161111*"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106-11 --locoid 4030 --swversion DE.1.0.8.0 --startMP 204:153915 --initTime 2016-11-11T05:25:28 --startdatetime 2016-11-11T05:26:44 --delay 1 --endMP 204:160 --enddatetime 2016-11-11T05:56:36 --enforcementcount 0 &gt;&gt;C:\Users\stu\Documents\GitHub\eaglep3-reporting\EC\2016-11-11-refined-times.txt</v>
      </c>
      <c r="AI18" s="119" t="str">
        <f t="shared" si="18"/>
        <v>echo {"issue":{"subject":"CCROC/equipment/crew mismatch","project_id":79,"tracker_id":40,"status_id":1,"priority_id":2,"assigned_to_id":23,"start_date":"2016-11-11","description":"See title","custom_fields":[{"id":1,"name":"Subdivision","value":"EC"},{"id":4,"name":"Milepost","value":"0.016"},{"id":17,"name":"Train ID","value":"106-11"},{"id":16,"name":"Locomotive ID","value":"4030"},{"id":130,"name":"Impact","value":"Initialization Problem"},{"id":150,"name":"Time of Event (Mountain Time)","value":"05:56:36"},{"id":151,"name":"Denver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18" s="53" t="s">
        <v>787</v>
      </c>
      <c r="AK18" s="53" t="s">
        <v>133</v>
      </c>
      <c r="AL18" s="53" t="s">
        <v>241</v>
      </c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409</v>
      </c>
      <c r="B19" s="7">
        <v>4009</v>
      </c>
      <c r="C19" s="22" t="s">
        <v>225</v>
      </c>
      <c r="D19" s="22" t="s">
        <v>651</v>
      </c>
      <c r="E19" s="13">
        <v>42685.183483796296</v>
      </c>
      <c r="F19" s="13">
        <v>42685.187662037039</v>
      </c>
      <c r="G19" s="7">
        <v>3</v>
      </c>
      <c r="H19" s="22" t="s">
        <v>652</v>
      </c>
      <c r="I19" s="13">
        <v>42685.213321759256</v>
      </c>
      <c r="J19" s="7">
        <v>0</v>
      </c>
      <c r="K19" s="109" t="str">
        <f t="shared" si="0"/>
        <v>4009/4010</v>
      </c>
      <c r="L19" s="22" t="str">
        <f>VLOOKUP(A19,'Trips&amp;Operators'!$C$1:$E$10000,3,FALSE)</f>
        <v>RICHARDSON</v>
      </c>
      <c r="M19" s="6">
        <f t="shared" si="1"/>
        <v>2.565972221782431E-2</v>
      </c>
      <c r="N19" s="7">
        <f t="shared" si="2"/>
        <v>36.949999993667006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03:24:13-700',mode:absolute,to:'2016-11-11 06:07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4.4400000000000002E-2</v>
      </c>
      <c r="Z19" s="67">
        <f t="shared" si="9"/>
        <v>23.328600000000002</v>
      </c>
      <c r="AA19" s="67">
        <f t="shared" si="10"/>
        <v>23.284200000000002</v>
      </c>
      <c r="AB19" s="64" t="str">
        <f>VLOOKUP(A19,Enforcements!$C$7:$K$20,8,0)</f>
        <v>Speed (6)</v>
      </c>
      <c r="AC19" s="60" t="str">
        <f>VLOOKUP(A19,Enforcements!$C$7:$E$20,3,0)</f>
        <v>PERMANENT SPEED RESTRICTION</v>
      </c>
      <c r="AD19" s="61" t="str">
        <f t="shared" si="11"/>
        <v>0107-11</v>
      </c>
      <c r="AE19" s="91" t="str">
        <f t="shared" si="12"/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AF19" s="88" t="str">
        <f t="shared" si="13"/>
        <v>"C:\Program Files (x86)\AstroGrep\AstroGrep.exe" /spath="%USERPROFILE%\AppData\Local\Temp\OnboardLogs" /stypes="app*4009*20161111*"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107-11 --locoid 4009 --swversion DE.1.0.8.0 --startMP 204:444 --initTime 2016-11-11T04:24:13 --startdatetime 2016-11-11T04:30:14 --delay 3 --endMP 204:233286 --enddatetime 2016-11-11T05:07:11 --enforcementcount 0 &gt;&gt;C:\Users\stu\Documents\GitHub\eaglep3-reporting\EC\2016-11-11-refined-times.txt</v>
      </c>
      <c r="AI19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{"issue":{"subject":"","project_id":79,"tracker_id":40,"status_id":1,"priority_id":2,"assigned_to_id":23,"start_date":"2016-11-11","description":"","custom_fields":[{"id":1,"name":"Subdivision","value":"EC"},{"id":4,"name":"Milepost","value":"23.3286"},{"id":17,"name":"Train ID","value":"107-11"},{"id":16,"name":"Locomotive ID","value":"4009"},{"id":130,"name":"Impact","value":""},{"id":150,"name":"Time of Event (Mountain Time)","value":"05:07:11"},{"id":151,"name":"Denver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461</v>
      </c>
      <c r="B20" s="7">
        <v>4010</v>
      </c>
      <c r="C20" s="22" t="s">
        <v>225</v>
      </c>
      <c r="D20" s="22" t="s">
        <v>653</v>
      </c>
      <c r="E20" s="13">
        <v>42685.220486111109</v>
      </c>
      <c r="F20" s="13">
        <v>42685.2265625</v>
      </c>
      <c r="G20" s="7">
        <v>5</v>
      </c>
      <c r="H20" s="22" t="s">
        <v>176</v>
      </c>
      <c r="I20" s="13">
        <v>42685.253460648149</v>
      </c>
      <c r="J20" s="7">
        <v>0</v>
      </c>
      <c r="K20" s="109" t="str">
        <f t="shared" si="0"/>
        <v>4009/4010</v>
      </c>
      <c r="L20" s="22" t="str">
        <f>VLOOKUP(A20,'Trips&amp;Operators'!$C$1:$E$10000,3,FALSE)</f>
        <v>RICHARDSON</v>
      </c>
      <c r="M20" s="6">
        <f t="shared" si="1"/>
        <v>2.6898148149484769E-2</v>
      </c>
      <c r="N20" s="7">
        <f t="shared" si="2"/>
        <v>38.733333335258067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04:17:30-700',mode:absolute,to:'2016-11-11 07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23.298400000000001</v>
      </c>
      <c r="Z20" s="67">
        <f t="shared" si="9"/>
        <v>1.52E-2</v>
      </c>
      <c r="AA20" s="67">
        <f t="shared" si="10"/>
        <v>23.283200000000001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0108-11</v>
      </c>
      <c r="AE20" s="91" t="str">
        <f t="shared" si="12"/>
        <v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v>
      </c>
      <c r="AF20" s="88" t="str">
        <f t="shared" si="13"/>
        <v>"C:\Program Files (x86)\AstroGrep\AstroGrep.exe" /spath="%USERPROFILE%\AppData\Local\Temp\OnboardLogs" /stypes="app*4010*20161111*" /stext=" 13:.+((SYSTEM_STATE.+slice.+state.+changed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108-11 --locoid 4010 --swversion DE.1.0.8.0 --startMP 204:232984 --initTime 2016-11-11T05:17:30 --startdatetime 2016-11-11T05:26:15 --delay 5 --endMP 204:152 --enddatetime 2016-11-11T06:04:59 --enforcementcount 0 &gt;&gt;C:\Users\stu\Documents\GitHub\eaglep3-reporting\EC\2016-11-11-refined-times.txt</v>
      </c>
      <c r="AI20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{"issue":{"subject":"","project_id":79,"tracker_id":40,"status_id":1,"priority_id":2,"assigned_to_id":23,"start_date":"2016-11-11","description":"","custom_fields":[{"id":1,"name":"Subdivision","value":"EC"},{"id":4,"name":"Milepost","value":"0.0152"},{"id":17,"name":"Train ID","value":"108-11"},{"id":16,"name":"Locomotive ID","value":"4010"},{"id":130,"name":"Impact","value":""},{"id":150,"name":"Time of Event (Mountain Time)","value":"06:04:59"},{"id":151,"name":"Denver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454</v>
      </c>
      <c r="B21" s="7">
        <v>4044</v>
      </c>
      <c r="C21" s="22" t="s">
        <v>225</v>
      </c>
      <c r="D21" s="22" t="s">
        <v>227</v>
      </c>
      <c r="E21" s="13">
        <v>42685.194016203706</v>
      </c>
      <c r="F21" s="13">
        <v>42685.198101851849</v>
      </c>
      <c r="G21" s="7">
        <v>2</v>
      </c>
      <c r="H21" s="22" t="s">
        <v>282</v>
      </c>
      <c r="I21" s="13">
        <v>42685.222581018519</v>
      </c>
      <c r="J21" s="7">
        <v>0</v>
      </c>
      <c r="K21" s="109" t="str">
        <f t="shared" si="0"/>
        <v>4043/4044</v>
      </c>
      <c r="L21" s="22" t="str">
        <f>VLOOKUP(A21,'Trips&amp;Operators'!$C$1:$E$10000,3,FALSE)</f>
        <v>MACDONALD</v>
      </c>
      <c r="M21" s="6">
        <f t="shared" si="1"/>
        <v>2.4479166670062114E-2</v>
      </c>
      <c r="N21" s="7">
        <f t="shared" si="2"/>
        <v>35.250000004889444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03:39:23-700',mode:absolute,to:'2016-11-11 06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4.58E-2</v>
      </c>
      <c r="Z21" s="67">
        <f t="shared" si="9"/>
        <v>23.330200000000001</v>
      </c>
      <c r="AA21" s="67">
        <f t="shared" si="10"/>
        <v>23.284400000000002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0109-11</v>
      </c>
      <c r="AE21" s="91" t="str">
        <f t="shared" si="12"/>
        <v>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 &amp; aws s3 cp s3://rtdc.mdm.uploadarchive.raw/RTDC4044/ "%USERPROFILE%\AppData\Local\Temp\OnboardLogs"\RTDC4044\2016-11-12 --exclude "*" --recursive --include "*20161112*" &amp; "%USERPROFILE%\Documents\GitHub\mrs-test-scripts\Headless Mode &amp; Sideloading\WalkAndUnGZ.bat" "%USERPROFILE%\AppData\Local\Temp\OnboardLogs"\RTDC4044\2016-11-12</v>
      </c>
      <c r="AF21" s="88" t="str">
        <f t="shared" si="13"/>
        <v>"C:\Program Files (x86)\AstroGrep\AstroGrep.exe" /spath="%USERPROFILE%\AppData\Local\Temp\OnboardLogs" /stypes="app*4044*20161111*"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109-11 --locoid 4044 --swversion DE.1.0.8.0 --startMP 204:458 --initTime 2016-11-11T04:39:23 --startdatetime 2016-11-11T04:45:16 --delay 2 --endMP 204:233302 --enddatetime 2016-11-11T05:20:31 --enforcementcount 0 &gt;&gt;C:\Users\stu\Documents\GitHub\eaglep3-reporting\EC\2016-11-11-refined-times.txt</v>
      </c>
      <c r="AI21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{"issue":{"subject":"","project_id":79,"tracker_id":40,"status_id":1,"priority_id":2,"assigned_to_id":23,"start_date":"2016-11-11","description":"","custom_fields":[{"id":1,"name":"Subdivision","value":"EC"},{"id":4,"name":"Milepost","value":"23.3302"},{"id":17,"name":"Train ID","value":"109-11"},{"id":16,"name":"Locomotive ID","value":"4044"},{"id":130,"name":"Impact","value":""},{"id":150,"name":"Time of Event (Mountain Time)","value":"05:20:31"},{"id":151,"name":"Denver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462</v>
      </c>
      <c r="B22" s="7">
        <v>4043</v>
      </c>
      <c r="C22" s="22" t="s">
        <v>225</v>
      </c>
      <c r="D22" s="22" t="s">
        <v>654</v>
      </c>
      <c r="E22" s="13">
        <v>42685.224189814813</v>
      </c>
      <c r="F22" s="13">
        <v>42685.236990740741</v>
      </c>
      <c r="G22" s="7">
        <v>1</v>
      </c>
      <c r="H22" s="22" t="s">
        <v>176</v>
      </c>
      <c r="I22" s="13">
        <v>42685.263495370367</v>
      </c>
      <c r="J22" s="7">
        <v>0</v>
      </c>
      <c r="K22" s="109" t="str">
        <f t="shared" si="0"/>
        <v>4043/4044</v>
      </c>
      <c r="L22" s="22" t="str">
        <f>VLOOKUP(A22,'Trips&amp;Operators'!$C$1:$E$10000,3,FALSE)</f>
        <v>MACDONALD</v>
      </c>
      <c r="M22" s="6">
        <f t="shared" si="1"/>
        <v>2.6504629626288079E-2</v>
      </c>
      <c r="N22" s="7">
        <f t="shared" si="2"/>
        <v>38.166666661854833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04:22:50-700',mode:absolute,to:'2016-11-11 07:19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23.2987</v>
      </c>
      <c r="Z22" s="67">
        <f t="shared" si="9"/>
        <v>1.52E-2</v>
      </c>
      <c r="AA22" s="67">
        <f t="shared" si="10"/>
        <v>23.2835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0110-11</v>
      </c>
      <c r="AE22" s="91" t="str">
        <f t="shared" si="12"/>
        <v>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 &amp; aws s3 cp s3://rtdc.mdm.uploadarchive.raw/RTDC4043/ "%USERPROFILE%\AppData\Local\Temp\OnboardLogs"\RTDC4043\2016-11-12 --exclude "*" --recursive --include "*20161112*" &amp; "%USERPROFILE%\Documents\GitHub\mrs-test-scripts\Headless Mode &amp; Sideloading\WalkAndUnGZ.bat" "%USERPROFILE%\AppData\Local\Temp\OnboardLogs"\RTDC4043\2016-11-12</v>
      </c>
      <c r="AF22" s="88" t="str">
        <f t="shared" si="13"/>
        <v>"C:\Program Files (x86)\AstroGrep\AstroGrep.exe" /spath="%USERPROFILE%\AppData\Local\Temp\OnboardLogs" /stypes="app*4043*20161111*"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110-11 --locoid 4043 --swversion DE.1.0.8.0 --startMP 204:232987 --initTime 2016-11-11T05:22:50 --startdatetime 2016-11-11T05:41:16 --delay 1 --endMP 204:152 --enddatetime 2016-11-11T06:19:26 --enforcementcount 0 &gt;&gt;C:\Users\stu\Documents\GitHub\eaglep3-reporting\EC\2016-11-11-refined-times.txt</v>
      </c>
      <c r="AI22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{"issue":{"subject":"","project_id":79,"tracker_id":40,"status_id":1,"priority_id":2,"assigned_to_id":23,"start_date":"2016-11-11","description":"","custom_fields":[{"id":1,"name":"Subdivision","value":"EC"},{"id":4,"name":"Milepost","value":"0.0152"},{"id":17,"name":"Train ID","value":"110-11"},{"id":16,"name":"Locomotive ID","value":"4043"},{"id":130,"name":"Impact","value":""},{"id":150,"name":"Time of Event (Mountain Time)","value":"06:19:26"},{"id":151,"name":"Denver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457</v>
      </c>
      <c r="B23" s="7">
        <v>4003</v>
      </c>
      <c r="C23" s="22" t="s">
        <v>225</v>
      </c>
      <c r="D23" s="22" t="s">
        <v>404</v>
      </c>
      <c r="E23" s="13">
        <v>42685.202638888892</v>
      </c>
      <c r="F23" s="13">
        <v>42685.208657407406</v>
      </c>
      <c r="G23" s="7">
        <v>1</v>
      </c>
      <c r="H23" s="22" t="s">
        <v>188</v>
      </c>
      <c r="I23" s="13">
        <v>42685.233356481483</v>
      </c>
      <c r="J23" s="7">
        <v>0</v>
      </c>
      <c r="K23" s="109" t="str">
        <f t="shared" si="0"/>
        <v>4003/4004</v>
      </c>
      <c r="L23" s="22" t="str">
        <f>VLOOKUP(A23,'Trips&amp;Operators'!$C$1:$E$10000,3,FALSE)</f>
        <v>ISHMAEL</v>
      </c>
      <c r="M23" s="6">
        <f t="shared" si="1"/>
        <v>2.4699074077943806E-2</v>
      </c>
      <c r="N23" s="7">
        <f t="shared" si="2"/>
        <v>35.56666667223908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03:51:48-700',mode:absolute,to:'2016-11-11 06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7.4300000000000005E-2</v>
      </c>
      <c r="Z23" s="67">
        <f t="shared" si="9"/>
        <v>23.329699999999999</v>
      </c>
      <c r="AA23" s="67">
        <f t="shared" si="10"/>
        <v>23.255399999999998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0111-11</v>
      </c>
      <c r="AE23" s="91" t="str">
        <f t="shared" si="12"/>
        <v>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 &amp; aws s3 cp s3://rtdc.mdm.uploadarchive.raw/RTDC4003/ "%USERPROFILE%\AppData\Local\Temp\OnboardLogs"\RTDC4003\2016-11-12 --exclude "*" --recursive --include "*20161112*" &amp; "%USERPROFILE%\Documents\GitHub\mrs-test-scripts\Headless Mode &amp; Sideloading\WalkAndUnGZ.bat" "%USERPROFILE%\AppData\Local\Temp\OnboardLogs"\RTDC4003\2016-11-12</v>
      </c>
      <c r="AF23" s="88" t="str">
        <f t="shared" si="13"/>
        <v>"C:\Program Files (x86)\AstroGrep\AstroGrep.exe" /spath="%USERPROFILE%\AppData\Local\Temp\OnboardLogs" /stypes="app*4003*20161111*"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111-11 --locoid 4003 --swversion DE.1.0.8.0 --startMP 204:743 --initTime 2016-11-11T04:51:48 --startdatetime 2016-11-11T05:00:28 --delay 1 --endMP 204:233297 --enddatetime 2016-11-11T05:36:02 --enforcementcount 0 &gt;&gt;C:\Users\stu\Documents\GitHub\eaglep3-reporting\EC\2016-11-11-refined-times.txt</v>
      </c>
      <c r="AI23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{"issue":{"subject":"","project_id":79,"tracker_id":40,"status_id":1,"priority_id":2,"assigned_to_id":23,"start_date":"2016-11-11","description":"","custom_fields":[{"id":1,"name":"Subdivision","value":"EC"},{"id":4,"name":"Milepost","value":"23.3297"},{"id":17,"name":"Train ID","value":"111-11"},{"id":16,"name":"Locomotive ID","value":"4003"},{"id":130,"name":"Impact","value":""},{"id":150,"name":"Time of Event (Mountain Time)","value":"05:36:02"},{"id":151,"name":"Denver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465</v>
      </c>
      <c r="B24" s="7">
        <v>4004</v>
      </c>
      <c r="C24" s="22" t="s">
        <v>225</v>
      </c>
      <c r="D24" s="22" t="s">
        <v>214</v>
      </c>
      <c r="E24" s="13">
        <v>42685.242002314815</v>
      </c>
      <c r="F24" s="13">
        <v>42685.247407407405</v>
      </c>
      <c r="G24" s="7">
        <v>1</v>
      </c>
      <c r="H24" s="22" t="s">
        <v>655</v>
      </c>
      <c r="I24" s="13">
        <v>42685.273425925923</v>
      </c>
      <c r="J24" s="7">
        <v>0</v>
      </c>
      <c r="K24" s="109" t="str">
        <f t="shared" si="0"/>
        <v>4003/4004</v>
      </c>
      <c r="L24" s="22" t="str">
        <f>VLOOKUP(A24,'Trips&amp;Operators'!$C$1:$E$10000,3,FALSE)</f>
        <v>ISHMAEL</v>
      </c>
      <c r="M24" s="6">
        <f t="shared" si="1"/>
        <v>2.6018518517958E-2</v>
      </c>
      <c r="N24" s="7">
        <f t="shared" si="2"/>
        <v>37.46666666585952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04:48:29-700',mode:absolute,to:'2016-11-11 07:33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23.297699999999999</v>
      </c>
      <c r="Z24" s="67">
        <f t="shared" si="9"/>
        <v>1.6299999999999999E-2</v>
      </c>
      <c r="AA24" s="67">
        <f t="shared" si="10"/>
        <v>23.281399999999998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0112-11</v>
      </c>
      <c r="AE24" s="91" t="str">
        <f t="shared" si="12"/>
        <v>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 &amp; 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</v>
      </c>
      <c r="AF24" s="88" t="str">
        <f t="shared" si="13"/>
        <v>"C:\Program Files (x86)\AstroGrep\AstroGrep.exe" /spath="%USERPROFILE%\AppData\Local\Temp\OnboardLogs" /stypes="app*4004*20161111*"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112-11 --locoid 4004 --swversion DE.1.0.8.0 --startMP 204:232977 --initTime 2016-11-11T05:48:29 --startdatetime 2016-11-11T05:56:16 --delay 1 --endMP 204:163 --enddatetime 2016-11-11T06:33:44 --enforcementcount 0 &gt;&gt;C:\Users\stu\Documents\GitHub\eaglep3-reporting\EC\2016-11-11-refined-times.txt</v>
      </c>
      <c r="AI24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{"issue":{"subject":"","project_id":79,"tracker_id":40,"status_id":1,"priority_id":2,"assigned_to_id":23,"start_date":"2016-11-11","description":"","custom_fields":[{"id":1,"name":"Subdivision","value":"EC"},{"id":4,"name":"Milepost","value":"0.0163"},{"id":17,"name":"Train ID","value":"112-11"},{"id":16,"name":"Locomotive ID","value":"4004"},{"id":130,"name":"Impact","value":""},{"id":150,"name":"Time of Event (Mountain Time)","value":"06:33:44"},{"id":151,"name":"Denver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459</v>
      </c>
      <c r="B25" s="7">
        <v>4018</v>
      </c>
      <c r="C25" s="22" t="s">
        <v>225</v>
      </c>
      <c r="D25" s="22" t="s">
        <v>384</v>
      </c>
      <c r="E25" s="13">
        <v>42685.204143518517</v>
      </c>
      <c r="F25" s="13">
        <v>42685.219074074077</v>
      </c>
      <c r="G25" s="7">
        <v>1</v>
      </c>
      <c r="H25" s="22" t="s">
        <v>246</v>
      </c>
      <c r="I25" s="13">
        <v>42685.244791666664</v>
      </c>
      <c r="J25" s="7">
        <v>0</v>
      </c>
      <c r="K25" s="109" t="str">
        <f t="shared" si="0"/>
        <v>4017/4018</v>
      </c>
      <c r="L25" s="22" t="str">
        <f>VLOOKUP(A25,'Trips&amp;Operators'!$C$1:$E$10000,3,FALSE)</f>
        <v>MAELZER</v>
      </c>
      <c r="M25" s="6">
        <f t="shared" si="1"/>
        <v>2.5717592587170657E-2</v>
      </c>
      <c r="N25" s="7">
        <f t="shared" si="2"/>
        <v>37.033333325525746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03:53:58-700',mode:absolute,to:'2016-11-11 06:52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4.4900000000000002E-2</v>
      </c>
      <c r="Z25" s="67">
        <f t="shared" si="9"/>
        <v>23.3306</v>
      </c>
      <c r="AA25" s="67">
        <f t="shared" si="10"/>
        <v>23.285700000000002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0113-11</v>
      </c>
      <c r="AE25" s="91" t="str">
        <f t="shared" si="12"/>
        <v>aws s3 cp s3://rtdc.mdm.uploadarchive.raw/RTDC4018/ "%USERPROFILE%\AppData\Local\Temp\OnboardLogs"\RTDC4018\2016-11-11 --exclude "*" --recursive --include "*20161111*" &amp; "%USERPROFILE%\Documents\GitHub\mrs-test-scripts\Headless Mode &amp; Sideloading\WalkAndUnGZ.bat" "%USERPROFILE%\AppData\Local\Temp\OnboardLogs"\RTDC4018\2016-11-11 &amp; aws s3 cp s3://rtdc.mdm.uploadarchive.raw/RTDC4018/ "%USERPROFILE%\AppData\Local\Temp\OnboardLogs"\RTDC4018\2016-11-12 --exclude "*" --recursive --include "*20161112*" &amp; "%USERPROFILE%\Documents\GitHub\mrs-test-scripts\Headless Mode &amp; Sideloading\WalkAndUnGZ.bat" "%USERPROFILE%\AppData\Local\Temp\OnboardLogs"\RTDC4018\2016-11-12</v>
      </c>
      <c r="AF25" s="88" t="str">
        <f t="shared" si="13"/>
        <v>"C:\Program Files (x86)\AstroGrep\AstroGrep.exe" /spath="%USERPROFILE%\AppData\Local\Temp\OnboardLogs" /stypes="app*4018*20161111*"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113-11 --locoid 4018 --swversion DE.1.0.8.0 --startMP 204:449 --initTime 2016-11-11T04:53:58 --startdatetime 2016-11-11T05:15:28 --delay 1 --endMP 204:233306 --enddatetime 2016-11-11T05:52:30 --enforcementcount 0 &gt;&gt;C:\Users\stu\Documents\GitHub\eaglep3-reporting\EC\2016-11-11-refined-times.txt</v>
      </c>
      <c r="AI25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{"issue":{"subject":"","project_id":79,"tracker_id":40,"status_id":1,"priority_id":2,"assigned_to_id":23,"start_date":"2016-11-11","description":"","custom_fields":[{"id":1,"name":"Subdivision","value":"EC"},{"id":4,"name":"Milepost","value":"23.3306"},{"id":17,"name":"Train ID","value":"113-11"},{"id":16,"name":"Locomotive ID","value":"4018"},{"id":130,"name":"Impact","value":""},{"id":150,"name":"Time of Event (Mountain Time)","value":"05:52:30"},{"id":151,"name":"Denver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468</v>
      </c>
      <c r="B26" s="7">
        <v>4017</v>
      </c>
      <c r="C26" s="22" t="s">
        <v>225</v>
      </c>
      <c r="D26" s="22" t="s">
        <v>284</v>
      </c>
      <c r="E26" s="13">
        <v>42685.253541666665</v>
      </c>
      <c r="F26" s="13">
        <v>42685.257986111108</v>
      </c>
      <c r="G26" s="7">
        <v>2</v>
      </c>
      <c r="H26" s="22" t="s">
        <v>175</v>
      </c>
      <c r="I26" s="13">
        <v>42685.284074074072</v>
      </c>
      <c r="J26" s="7">
        <v>0</v>
      </c>
      <c r="K26" s="109" t="str">
        <f t="shared" si="0"/>
        <v>4017/4018</v>
      </c>
      <c r="L26" s="22" t="str">
        <f>VLOOKUP(A26,'Trips&amp;Operators'!$C$1:$E$10000,3,FALSE)</f>
        <v>MAELZER</v>
      </c>
      <c r="M26" s="6">
        <f t="shared" si="1"/>
        <v>2.6087962964083999E-2</v>
      </c>
      <c r="N26" s="7">
        <f t="shared" si="2"/>
        <v>37.566666668280959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05:05:06-700',mode:absolute,to:'2016-11-11 07:49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23.298100000000002</v>
      </c>
      <c r="Z26" s="67">
        <f t="shared" si="9"/>
        <v>1.47E-2</v>
      </c>
      <c r="AA26" s="67">
        <f t="shared" si="10"/>
        <v>23.2834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0114-11</v>
      </c>
      <c r="AE26" s="91" t="str">
        <f t="shared" si="12"/>
        <v>aws s3 cp s3://rtdc.mdm.uploadarchive.raw/RTDC4017/ "%USERPROFILE%\AppData\Local\Temp\OnboardLogs"\RTDC4017\2016-11-11 --exclude "*" --recursive --include "*20161111*" &amp; "%USERPROFILE%\Documents\GitHub\mrs-test-scripts\Headless Mode &amp; Sideloading\WalkAndUnGZ.bat" "%USERPROFILE%\AppData\Local\Temp\OnboardLogs"\RTDC4017\2016-11-11 &amp; aws s3 cp s3://rtdc.mdm.uploadarchive.raw/RTDC4017/ "%USERPROFILE%\AppData\Local\Temp\OnboardLogs"\RTDC4017\2016-11-12 --exclude "*" --recursive --include "*20161112*" &amp; "%USERPROFILE%\Documents\GitHub\mrs-test-scripts\Headless Mode &amp; Sideloading\WalkAndUnGZ.bat" "%USERPROFILE%\AppData\Local\Temp\OnboardLogs"\RTDC4017\2016-11-12</v>
      </c>
      <c r="AF26" s="88" t="str">
        <f t="shared" si="13"/>
        <v>"C:\Program Files (x86)\AstroGrep\AstroGrep.exe" /spath="%USERPROFILE%\AppData\Local\Temp\OnboardLogs" /stypes="app*4017*20161111*" /stext=" 13:.+((SYSTEM_STATE.+slice.+state.+changed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114-11 --locoid 4017 --swversion DE.1.0.8.0 --startMP 204:232981 --initTime 2016-11-11T06:05:06 --startdatetime 2016-11-11T06:11:30 --delay 2 --endMP 204:147 --enddatetime 2016-11-11T06:49:04 --enforcementcount 0 &gt;&gt;C:\Users\stu\Documents\GitHub\eaglep3-reporting\EC\2016-11-11-refined-times.txt</v>
      </c>
      <c r="AI26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{"issue":{"subject":"","project_id":79,"tracker_id":40,"status_id":1,"priority_id":2,"assigned_to_id":23,"start_date":"2016-11-11","description":"","custom_fields":[{"id":1,"name":"Subdivision","value":"EC"},{"id":4,"name":"Milepost","value":"0.0147"},{"id":17,"name":"Train ID","value":"114-11"},{"id":16,"name":"Locomotive ID","value":"4017"},{"id":130,"name":"Impact","value":""},{"id":150,"name":"Time of Event (Mountain Time)","value":"06:49:04"},{"id":151,"name":"Denver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464</v>
      </c>
      <c r="B27" s="7">
        <v>4031</v>
      </c>
      <c r="C27" s="22" t="s">
        <v>225</v>
      </c>
      <c r="D27" s="22" t="s">
        <v>656</v>
      </c>
      <c r="E27" s="13">
        <v>42685.230324074073</v>
      </c>
      <c r="F27" s="13">
        <v>42685.231712962966</v>
      </c>
      <c r="G27" s="7">
        <v>1</v>
      </c>
      <c r="H27" s="22" t="s">
        <v>657</v>
      </c>
      <c r="I27" s="13">
        <v>42685.253587962965</v>
      </c>
      <c r="J27" s="7">
        <v>0</v>
      </c>
      <c r="K27" s="109" t="str">
        <f t="shared" si="0"/>
        <v>4031/4032</v>
      </c>
      <c r="L27" s="22" t="str">
        <f>VLOOKUP(A27,'Trips&amp;Operators'!$C$1:$E$10000,3,FALSE)</f>
        <v>PERKINS</v>
      </c>
      <c r="M27" s="6">
        <f t="shared" si="1"/>
        <v>2.1874999998544808E-2</v>
      </c>
      <c r="N27" s="7">
        <f t="shared" si="2"/>
        <v>31.499999997904524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04:31:40-700',mode:absolute,to:'2016-11-11 07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7.5399999999999995E-2</v>
      </c>
      <c r="Z27" s="67">
        <f t="shared" si="9"/>
        <v>23.3278</v>
      </c>
      <c r="AA27" s="67">
        <f t="shared" si="10"/>
        <v>23.252400000000002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0115-11</v>
      </c>
      <c r="AE27" s="91" t="str">
        <f t="shared" si="12"/>
        <v>aws s3 cp s3://rtdc.mdm.uploadarchive.raw/RTDC4031/ "%USERPROFILE%\AppData\Local\Temp\OnboardLogs"\RTDC4031\2016-11-11 --exclude "*" --recursive --include "*20161111*" &amp; "%USERPROFILE%\Documents\GitHub\mrs-test-scripts\Headless Mode &amp; Sideloading\WalkAndUnGZ.bat" "%USERPROFILE%\AppData\Local\Temp\OnboardLogs"\RTDC4031\2016-11-11 &amp; aws s3 cp s3://rtdc.mdm.uploadarchive.raw/RTDC4031/ "%USERPROFILE%\AppData\Local\Temp\OnboardLogs"\RTDC4031\2016-11-12 --exclude "*" --recursive --include "*20161112*" &amp; "%USERPROFILE%\Documents\GitHub\mrs-test-scripts\Headless Mode &amp; Sideloading\WalkAndUnGZ.bat" "%USERPROFILE%\AppData\Local\Temp\OnboardLogs"\RTDC4031\2016-11-12</v>
      </c>
      <c r="AF27" s="88" t="str">
        <f t="shared" si="13"/>
        <v>"C:\Program Files (x86)\AstroGrep\AstroGrep.exe" /spath="%USERPROFILE%\AppData\Local\Temp\OnboardLogs" /stypes="app*4031*20161111*"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115-11 --locoid 4031 --swversion DE.1.0.8.0 --startMP 204:754 --initTime 2016-11-11T05:31:40 --startdatetime 2016-11-11T05:33:40 --delay 1 --endMP 204:233278 --enddatetime 2016-11-11T06:05:10 --enforcementcount 0 &gt;&gt;C:\Users\stu\Documents\GitHub\eaglep3-reporting\EC\2016-11-11-refined-times.txt</v>
      </c>
      <c r="AI27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{"issue":{"subject":"","project_id":79,"tracker_id":40,"status_id":1,"priority_id":2,"assigned_to_id":23,"start_date":"2016-11-11","description":"","custom_fields":[{"id":1,"name":"Subdivision","value":"EC"},{"id":4,"name":"Milepost","value":"23.3278"},{"id":17,"name":"Train ID","value":"115-11"},{"id":16,"name":"Locomotive ID","value":"4031"},{"id":130,"name":"Impact","value":""},{"id":150,"name":"Time of Event (Mountain Time)","value":"06:05:10"},{"id":151,"name":"Denver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463</v>
      </c>
      <c r="B28" s="7">
        <v>4032</v>
      </c>
      <c r="C28" s="22" t="s">
        <v>225</v>
      </c>
      <c r="D28" s="22" t="s">
        <v>214</v>
      </c>
      <c r="E28" s="13">
        <v>42685.267094907409</v>
      </c>
      <c r="F28" s="13">
        <v>42685.268935185188</v>
      </c>
      <c r="G28" s="7">
        <v>1</v>
      </c>
      <c r="H28" s="22" t="s">
        <v>252</v>
      </c>
      <c r="I28" s="13">
        <v>42685.295289351852</v>
      </c>
      <c r="J28" s="7">
        <v>0</v>
      </c>
      <c r="K28" s="109" t="str">
        <f t="shared" si="0"/>
        <v>4031/4032</v>
      </c>
      <c r="L28" s="22" t="str">
        <f>VLOOKUP(A28,'Trips&amp;Operators'!$C$1:$E$10000,3,FALSE)</f>
        <v>ROCHA</v>
      </c>
      <c r="M28" s="6">
        <f t="shared" si="1"/>
        <v>2.6354166664532386E-2</v>
      </c>
      <c r="N28" s="7">
        <f t="shared" si="2"/>
        <v>37.949999996926636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05:24:37-700',mode:absolute,to:'2016-11-11 08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23.297699999999999</v>
      </c>
      <c r="Z28" s="67">
        <f t="shared" si="9"/>
        <v>1.6E-2</v>
      </c>
      <c r="AA28" s="67">
        <f t="shared" si="10"/>
        <v>23.281700000000001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0116-11</v>
      </c>
      <c r="AE28" s="91" t="str">
        <f t="shared" si="12"/>
        <v>aws s3 cp s3://rtdc.mdm.uploadarchive.raw/RTDC4032/ "%USERPROFILE%\AppData\Local\Temp\OnboardLogs"\RTDC4032\2016-11-11 --exclude "*" --recursive --include "*20161111*" &amp; "%USERPROFILE%\Documents\GitHub\mrs-test-scripts\Headless Mode &amp; Sideloading\WalkAndUnGZ.bat" "%USERPROFILE%\AppData\Local\Temp\OnboardLogs"\RTDC4032\2016-11-11 &amp; aws s3 cp s3://rtdc.mdm.uploadarchive.raw/RTDC4032/ "%USERPROFILE%\AppData\Local\Temp\OnboardLogs"\RTDC4032\2016-11-12 --exclude "*" --recursive --include "*20161112*" &amp; "%USERPROFILE%\Documents\GitHub\mrs-test-scripts\Headless Mode &amp; Sideloading\WalkAndUnGZ.bat" "%USERPROFILE%\AppData\Local\Temp\OnboardLogs"\RTDC4032\2016-11-12</v>
      </c>
      <c r="AF28" s="88" t="str">
        <f t="shared" si="13"/>
        <v>"C:\Program Files (x86)\AstroGrep\AstroGrep.exe" /spath="%USERPROFILE%\AppData\Local\Temp\OnboardLogs" /stypes="app*4032*20161111*" /stext=" 14:.+((SYSTEM_STATE.+slice.+state.+changed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116-11 --locoid 4032 --swversion DE.1.0.8.0 --startMP 204:232977 --initTime 2016-11-11T06:24:37 --startdatetime 2016-11-11T06:27:16 --delay 1 --endMP 204:160 --enddatetime 2016-11-11T07:05:13 --enforcementcount 0 &gt;&gt;C:\Users\stu\Documents\GitHub\eaglep3-reporting\EC\2016-11-11-refined-times.txt</v>
      </c>
      <c r="AI28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{"issue":{"subject":"","project_id":79,"tracker_id":40,"status_id":1,"priority_id":2,"assigned_to_id":23,"start_date":"2016-11-11","description":"","custom_fields":[{"id":1,"name":"Subdivision","value":"EC"},{"id":4,"name":"Milepost","value":"0.016"},{"id":17,"name":"Train ID","value":"116-11"},{"id":16,"name":"Locomotive ID","value":"4032"},{"id":130,"name":"Impact","value":""},{"id":150,"name":"Time of Event (Mountain Time)","value":"07:05:13"},{"id":151,"name":"Denver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411</v>
      </c>
      <c r="B29" s="7">
        <v>4025</v>
      </c>
      <c r="C29" s="22" t="s">
        <v>225</v>
      </c>
      <c r="D29" s="22" t="s">
        <v>658</v>
      </c>
      <c r="E29" s="13">
        <v>42685.231562499997</v>
      </c>
      <c r="F29" s="13">
        <v>42685.240011574075</v>
      </c>
      <c r="G29" s="7">
        <v>1</v>
      </c>
      <c r="H29" s="22" t="s">
        <v>203</v>
      </c>
      <c r="I29" s="13">
        <v>42685.266180555554</v>
      </c>
      <c r="J29" s="7">
        <v>0</v>
      </c>
      <c r="K29" s="109" t="str">
        <f t="shared" si="0"/>
        <v>4025/4026</v>
      </c>
      <c r="L29" s="22" t="str">
        <f>VLOOKUP(A29,'Trips&amp;Operators'!$C$1:$E$10000,3,FALSE)</f>
        <v>DAVIS</v>
      </c>
      <c r="M29" s="6">
        <f t="shared" si="1"/>
        <v>2.6168981479713693E-2</v>
      </c>
      <c r="N29" s="7">
        <f t="shared" si="2"/>
        <v>37.683333330787718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04:33:27-700',mode:absolute,to:'2016-11-11 07:23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4.2700000000000002E-2</v>
      </c>
      <c r="Z29" s="67">
        <f t="shared" si="9"/>
        <v>23.329499999999999</v>
      </c>
      <c r="AA29" s="67">
        <f t="shared" si="10"/>
        <v>23.286799999999999</v>
      </c>
      <c r="AB29" s="64" t="str">
        <f>VLOOKUP(A29,Enforcements!$C$7:$K$20,8,0)</f>
        <v>Speed (6)</v>
      </c>
      <c r="AC29" s="60" t="str">
        <f>VLOOKUP(A29,Enforcements!$C$7:$E$20,3,0)</f>
        <v>PERMANENT SPEED RESTRICTION</v>
      </c>
      <c r="AD29" s="61" t="str">
        <f t="shared" si="11"/>
        <v>0117-11</v>
      </c>
      <c r="AE29" s="91" t="str">
        <f t="shared" si="12"/>
        <v>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 &amp; 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</v>
      </c>
      <c r="AF29" s="88" t="str">
        <f t="shared" si="13"/>
        <v>"C:\Program Files (x86)\AstroGrep\AstroGrep.exe" /spath="%USERPROFILE%\AppData\Local\Temp\OnboardLogs" /stypes="app*4025*20161111*"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117-11 --locoid 4025 --swversion DE.1.0.8.0 --startMP 204:427 --initTime 2016-11-11T05:33:27 --startdatetime 2016-11-11T05:45:37 --delay 1 --endMP 204:233295 --enddatetime 2016-11-11T06:23:18 --enforcementcount 0 &gt;&gt;C:\Users\stu\Documents\GitHub\eaglep3-reporting\EC\2016-11-11-refined-times.txt</v>
      </c>
      <c r="AI29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{"issue":{"subject":"","project_id":79,"tracker_id":40,"status_id":1,"priority_id":2,"assigned_to_id":23,"start_date":"2016-11-11","description":"","custom_fields":[{"id":1,"name":"Subdivision","value":"EC"},{"id":4,"name":"Milepost","value":"23.3295"},{"id":17,"name":"Train ID","value":"117-11"},{"id":16,"name":"Locomotive ID","value":"4025"},{"id":130,"name":"Impact","value":""},{"id":150,"name":"Time of Event (Mountain Time)","value":"06:23:18"},{"id":151,"name":"Denver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472</v>
      </c>
      <c r="B30" s="7">
        <v>4026</v>
      </c>
      <c r="C30" s="22" t="s">
        <v>225</v>
      </c>
      <c r="D30" s="22" t="s">
        <v>262</v>
      </c>
      <c r="E30" s="13">
        <v>42685.27616898148</v>
      </c>
      <c r="F30" s="13">
        <v>42685.278680555559</v>
      </c>
      <c r="G30" s="7">
        <v>1</v>
      </c>
      <c r="H30" s="22" t="s">
        <v>253</v>
      </c>
      <c r="I30" s="13">
        <v>42685.305231481485</v>
      </c>
      <c r="J30" s="7">
        <v>0</v>
      </c>
      <c r="K30" s="109" t="str">
        <f t="shared" si="0"/>
        <v>4025/4026</v>
      </c>
      <c r="L30" s="22" t="str">
        <f>VLOOKUP(A30,'Trips&amp;Operators'!$C$1:$E$10000,3,FALSE)</f>
        <v>DAVIS</v>
      </c>
      <c r="M30" s="6">
        <f t="shared" si="1"/>
        <v>2.6550925926130731E-2</v>
      </c>
      <c r="N30" s="7">
        <f t="shared" si="2"/>
        <v>38.233333333628252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05:37:41-700',mode:absolute,to:'2016-11-11 08:19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23.297899999999998</v>
      </c>
      <c r="Z30" s="67">
        <f t="shared" si="9"/>
        <v>1.4999999999999999E-2</v>
      </c>
      <c r="AA30" s="67">
        <f t="shared" si="10"/>
        <v>23.282899999999998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0118-11</v>
      </c>
      <c r="AE30" s="91" t="str">
        <f t="shared" si="12"/>
        <v>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 &amp; 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</v>
      </c>
      <c r="AF30" s="88" t="str">
        <f t="shared" si="13"/>
        <v>"C:\Program Files (x86)\AstroGrep\AstroGrep.exe" /spath="%USERPROFILE%\AppData\Local\Temp\OnboardLogs" /stypes="app*4026*20161111*" /stext=" 14:.+((SYSTEM_STATE.+slice.+state.+changed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118-11 --locoid 4026 --swversion DE.1.0.8.0 --startMP 204:232979 --initTime 2016-11-11T06:37:41 --startdatetime 2016-11-11T06:41:18 --delay 1 --endMP 204:150 --enddatetime 2016-11-11T07:19:32 --enforcementcount 0 &gt;&gt;C:\Users\stu\Documents\GitHub\eaglep3-reporting\EC\2016-11-11-refined-times.txt</v>
      </c>
      <c r="AI30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{"issue":{"subject":"","project_id":79,"tracker_id":40,"status_id":1,"priority_id":2,"assigned_to_id":23,"start_date":"2016-11-11","description":"","custom_fields":[{"id":1,"name":"Subdivision","value":"EC"},{"id":4,"name":"Milepost","value":"0.015"},{"id":17,"name":"Train ID","value":"118-11"},{"id":16,"name":"Locomotive ID","value":"4026"},{"id":130,"name":"Impact","value":""},{"id":150,"name":"Time of Event (Mountain Time)","value":"07:19:32"},{"id":151,"name":"Denver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414</v>
      </c>
      <c r="B31" s="7">
        <v>4040</v>
      </c>
      <c r="C31" s="22" t="s">
        <v>225</v>
      </c>
      <c r="D31" s="22" t="s">
        <v>656</v>
      </c>
      <c r="E31" s="13">
        <v>42685.251261574071</v>
      </c>
      <c r="F31" s="13">
        <v>42685.252500000002</v>
      </c>
      <c r="G31" s="7">
        <v>1</v>
      </c>
      <c r="H31" s="22" t="s">
        <v>659</v>
      </c>
      <c r="I31" s="13">
        <v>42685.278113425928</v>
      </c>
      <c r="J31" s="7">
        <v>0</v>
      </c>
      <c r="K31" s="109" t="str">
        <f t="shared" si="0"/>
        <v>4039/4040</v>
      </c>
      <c r="L31" s="22" t="str">
        <f>VLOOKUP(A31,'Trips&amp;Operators'!$C$1:$E$10000,3,FALSE)</f>
        <v>MALAVE</v>
      </c>
      <c r="M31" s="6">
        <f t="shared" si="1"/>
        <v>2.5613425925257616E-2</v>
      </c>
      <c r="N31" s="7">
        <f t="shared" si="2"/>
        <v>36.883333332370967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05:01:49-700',mode:absolute,to:'2016-11-11 07:40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7.5399999999999995E-2</v>
      </c>
      <c r="Z31" s="67">
        <f t="shared" si="9"/>
        <v>23.327000000000002</v>
      </c>
      <c r="AA31" s="67">
        <f t="shared" si="10"/>
        <v>23.251600000000003</v>
      </c>
      <c r="AB31" s="64" t="str">
        <f>VLOOKUP(A31,Enforcements!$C$7:$K$20,8,0)</f>
        <v>Speed (6)</v>
      </c>
      <c r="AC31" s="60" t="str">
        <f>VLOOKUP(A31,Enforcements!$C$7:$E$20,3,0)</f>
        <v>EQUIPMENT RESTRICTION</v>
      </c>
      <c r="AD31" s="61" t="str">
        <f t="shared" si="11"/>
        <v>0119-11</v>
      </c>
      <c r="AE31" s="91" t="str">
        <f t="shared" si="12"/>
        <v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v>
      </c>
      <c r="AF31" s="88" t="str">
        <f t="shared" si="13"/>
        <v>"C:\Program Files (x86)\AstroGrep\AstroGrep.exe" /spath="%USERPROFILE%\AppData\Local\Temp\OnboardLogs" /stypes="app*4040*20161111*"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119-11 --locoid 4040 --swversion DE.1.0.8.0 --startMP 204:754 --initTime 2016-11-11T06:01:49 --startdatetime 2016-11-11T06:03:36 --delay 1 --endMP 204:233270 --enddatetime 2016-11-11T06:40:29 --enforcementcount 0 &gt;&gt;C:\Users\stu\Documents\GitHub\eaglep3-reporting\EC\2016-11-11-refined-times.txt</v>
      </c>
      <c r="AI31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{"issue":{"subject":"","project_id":79,"tracker_id":40,"status_id":1,"priority_id":2,"assigned_to_id":23,"start_date":"2016-11-11","description":"","custom_fields":[{"id":1,"name":"Subdivision","value":"EC"},{"id":4,"name":"Milepost","value":"23.327"},{"id":17,"name":"Train ID","value":"119-11"},{"id":16,"name":"Locomotive ID","value":"4040"},{"id":130,"name":"Impact","value":""},{"id":150,"name":"Time of Event (Mountain Time)","value":"06:40:29"},{"id":151,"name":"Denver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473</v>
      </c>
      <c r="B32" s="7">
        <v>4039</v>
      </c>
      <c r="C32" s="22" t="s">
        <v>225</v>
      </c>
      <c r="D32" s="22" t="s">
        <v>660</v>
      </c>
      <c r="E32" s="13">
        <v>42685.28707175926</v>
      </c>
      <c r="F32" s="13">
        <v>42685.289120370369</v>
      </c>
      <c r="G32" s="7">
        <v>2</v>
      </c>
      <c r="H32" s="22" t="s">
        <v>223</v>
      </c>
      <c r="I32" s="13">
        <v>42685.315150462964</v>
      </c>
      <c r="J32" s="7">
        <v>0</v>
      </c>
      <c r="K32" s="109" t="str">
        <f t="shared" si="0"/>
        <v>4039/4040</v>
      </c>
      <c r="L32" s="22" t="str">
        <f>VLOOKUP(A32,'Trips&amp;Operators'!$C$1:$E$10000,3,FALSE)</f>
        <v>MALAVE</v>
      </c>
      <c r="M32" s="6">
        <f t="shared" si="1"/>
        <v>2.6030092594737653E-2</v>
      </c>
      <c r="N32" s="7">
        <f t="shared" si="2"/>
        <v>37.48333333642222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05:53:23-700',mode:absolute,to:'2016-11-11 08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23.295300000000001</v>
      </c>
      <c r="Z32" s="67">
        <f t="shared" si="9"/>
        <v>1.61E-2</v>
      </c>
      <c r="AA32" s="67">
        <f t="shared" si="10"/>
        <v>23.279199999999999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0120-11</v>
      </c>
      <c r="AE32" s="91" t="str">
        <f t="shared" si="12"/>
        <v>aws s3 cp s3://rtdc.mdm.uploadarchive.raw/RTDC4039/ "%USERPROFILE%\AppData\Local\Temp\OnboardLogs"\RTDC4039\2016-11-11 --exclude "*" --recursive --include "*20161111*" &amp; "%USERPROFILE%\Documents\GitHub\mrs-test-scripts\Headless Mode &amp; Sideloading\WalkAndUnGZ.bat" "%USERPROFILE%\AppData\Local\Temp\OnboardLogs"\RTDC4039\2016-11-11 &amp; aws s3 cp s3://rtdc.mdm.uploadarchive.raw/RTDC4039/ "%USERPROFILE%\AppData\Local\Temp\OnboardLogs"\RTDC4039\2016-11-12 --exclude "*" --recursive --include "*20161112*" &amp; "%USERPROFILE%\Documents\GitHub\mrs-test-scripts\Headless Mode &amp; Sideloading\WalkAndUnGZ.bat" "%USERPROFILE%\AppData\Local\Temp\OnboardLogs"\RTDC4039\2016-11-12</v>
      </c>
      <c r="AF32" s="88" t="str">
        <f t="shared" si="13"/>
        <v>"C:\Program Files (x86)\AstroGrep\AstroGrep.exe" /spath="%USERPROFILE%\AppData\Local\Temp\OnboardLogs" /stypes="app*4039*20161111*" /stext=" 14:.+((SYSTEM_STATE.+slice.+state.+changed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120-11 --locoid 4039 --swversion DE.1.0.8.0 --startMP 204:232953 --initTime 2016-11-11T06:53:23 --startdatetime 2016-11-11T06:56:20 --delay 2 --endMP 204:161 --enddatetime 2016-11-11T07:33:49 --enforcementcount 0 &gt;&gt;C:\Users\stu\Documents\GitHub\eaglep3-reporting\EC\2016-11-11-refined-times.txt</v>
      </c>
      <c r="AI32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{"issue":{"subject":"","project_id":79,"tracker_id":40,"status_id":1,"priority_id":2,"assigned_to_id":23,"start_date":"2016-11-11","description":"","custom_fields":[{"id":1,"name":"Subdivision","value":"EC"},{"id":4,"name":"Milepost","value":"0.0161"},{"id":17,"name":"Train ID","value":"120-11"},{"id":16,"name":"Locomotive ID","value":"4039"},{"id":130,"name":"Impact","value":""},{"id":150,"name":"Time of Event (Mountain Time)","value":"07:33:49"},{"id":151,"name":"Denver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469</v>
      </c>
      <c r="B33" s="7">
        <v>4009</v>
      </c>
      <c r="C33" s="22" t="s">
        <v>225</v>
      </c>
      <c r="D33" s="22" t="s">
        <v>288</v>
      </c>
      <c r="E33" s="13">
        <v>42685.254965277774</v>
      </c>
      <c r="F33" s="13">
        <v>42685.260601851849</v>
      </c>
      <c r="G33" s="7">
        <v>1</v>
      </c>
      <c r="H33" s="22" t="s">
        <v>661</v>
      </c>
      <c r="I33" s="13">
        <v>42685.285393518519</v>
      </c>
      <c r="J33" s="7">
        <v>0</v>
      </c>
      <c r="K33" s="109" t="str">
        <f t="shared" si="0"/>
        <v>4009/4010</v>
      </c>
      <c r="L33" s="22" t="str">
        <f>VLOOKUP(A33,'Trips&amp;Operators'!$C$1:$E$10000,3,FALSE)</f>
        <v>RICHARDSON</v>
      </c>
      <c r="M33" s="6">
        <f t="shared" si="1"/>
        <v>2.4791666670353152E-2</v>
      </c>
      <c r="N33" s="7">
        <f t="shared" si="2"/>
        <v>35.700000005308539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05:07:09-700',mode:absolute,to:'2016-11-11 07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4.4600000000000001E-2</v>
      </c>
      <c r="Z33" s="67">
        <f t="shared" si="9"/>
        <v>23.3276</v>
      </c>
      <c r="AA33" s="67">
        <f t="shared" si="10"/>
        <v>23.283000000000001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0121-11</v>
      </c>
      <c r="AE33" s="91" t="str">
        <f t="shared" si="12"/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AF33" s="88" t="str">
        <f t="shared" si="13"/>
        <v>"C:\Program Files (x86)\AstroGrep\AstroGrep.exe" /spath="%USERPROFILE%\AppData\Local\Temp\OnboardLogs" /stypes="app*4009*20161111*"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121-11 --locoid 4009 --swversion DE.1.0.8.0 --startMP 204:446 --initTime 2016-11-11T06:07:09 --startdatetime 2016-11-11T06:15:16 --delay 1 --endMP 204:233276 --enddatetime 2016-11-11T06:50:58 --enforcementcount 0 &gt;&gt;C:\Users\stu\Documents\GitHub\eaglep3-reporting\EC\2016-11-11-refined-times.txt</v>
      </c>
      <c r="AI33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{"issue":{"subject":"","project_id":79,"tracker_id":40,"status_id":1,"priority_id":2,"assigned_to_id":23,"start_date":"2016-11-11","description":"","custom_fields":[{"id":1,"name":"Subdivision","value":"EC"},{"id":4,"name":"Milepost","value":"23.3276"},{"id":17,"name":"Train ID","value":"121-11"},{"id":16,"name":"Locomotive ID","value":"4009"},{"id":130,"name":"Impact","value":""},{"id":150,"name":"Time of Event (Mountain Time)","value":"06:50:58"},{"id":151,"name":"Denver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476</v>
      </c>
      <c r="B34" s="7">
        <v>4010</v>
      </c>
      <c r="C34" s="22" t="s">
        <v>225</v>
      </c>
      <c r="D34" s="22" t="s">
        <v>284</v>
      </c>
      <c r="E34" s="13">
        <v>42685.290914351855</v>
      </c>
      <c r="F34" s="13">
        <v>42685.299479166664</v>
      </c>
      <c r="G34" s="7">
        <v>5</v>
      </c>
      <c r="H34" s="22" t="s">
        <v>252</v>
      </c>
      <c r="I34" s="13">
        <v>42685.325370370374</v>
      </c>
      <c r="J34" s="7">
        <v>0</v>
      </c>
      <c r="K34" s="109" t="str">
        <f t="shared" si="0"/>
        <v>4009/4010</v>
      </c>
      <c r="L34" s="22" t="str">
        <f>VLOOKUP(A34,'Trips&amp;Operators'!$C$1:$E$10000,3,FALSE)</f>
        <v>RICHARDSON</v>
      </c>
      <c r="M34" s="6">
        <f t="shared" si="1"/>
        <v>2.5891203709761612E-2</v>
      </c>
      <c r="N34" s="7">
        <f t="shared" si="2"/>
        <v>37.283333342056721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05:58:55-700',mode:absolute,to:'2016-11-11 08:48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23.298100000000002</v>
      </c>
      <c r="Z34" s="67">
        <f t="shared" si="9"/>
        <v>1.6E-2</v>
      </c>
      <c r="AA34" s="67">
        <f t="shared" si="10"/>
        <v>23.282100000000003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0122-11</v>
      </c>
      <c r="AE34" s="91" t="str">
        <f t="shared" si="12"/>
        <v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v>
      </c>
      <c r="AF34" s="88" t="str">
        <f t="shared" si="13"/>
        <v>"C:\Program Files (x86)\AstroGrep\AstroGrep.exe" /spath="%USERPROFILE%\AppData\Local\Temp\OnboardLogs" /stypes="app*4010*20161111*" /stext=" 14:.+((SYSTEM_STATE.+slice.+state.+changed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122-11 --locoid 4010 --swversion DE.1.0.8.0 --startMP 204:232981 --initTime 2016-11-11T06:58:55 --startdatetime 2016-11-11T07:11:15 --delay 5 --endMP 204:160 --enddatetime 2016-11-11T07:48:32 --enforcementcount 0 &gt;&gt;C:\Users\stu\Documents\GitHub\eaglep3-reporting\EC\2016-11-11-refined-times.txt</v>
      </c>
      <c r="AI34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{"issue":{"subject":"","project_id":79,"tracker_id":40,"status_id":1,"priority_id":2,"assigned_to_id":23,"start_date":"2016-11-11","description":"","custom_fields":[{"id":1,"name":"Subdivision","value":"EC"},{"id":4,"name":"Milepost","value":"0.016"},{"id":17,"name":"Train ID","value":"122-11"},{"id":16,"name":"Locomotive ID","value":"4010"},{"id":130,"name":"Impact","value":""},{"id":150,"name":"Time of Event (Mountain Time)","value":"07:48:32"},{"id":151,"name":"Denver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418</v>
      </c>
      <c r="B35" s="7">
        <v>4044</v>
      </c>
      <c r="C35" s="22" t="s">
        <v>225</v>
      </c>
      <c r="D35" s="22" t="s">
        <v>205</v>
      </c>
      <c r="E35" s="13">
        <v>42685.267418981479</v>
      </c>
      <c r="F35" s="13">
        <v>42685.271145833336</v>
      </c>
      <c r="G35" s="7">
        <v>1</v>
      </c>
      <c r="H35" s="22" t="s">
        <v>274</v>
      </c>
      <c r="I35" s="13">
        <v>42685.29546296296</v>
      </c>
      <c r="J35" s="7">
        <v>0</v>
      </c>
      <c r="K35" s="109" t="str">
        <f t="shared" si="0"/>
        <v>4043/4044</v>
      </c>
      <c r="L35" s="22" t="str">
        <f>VLOOKUP(A35,'Trips&amp;Operators'!$C$1:$E$10000,3,FALSE)</f>
        <v>MACDONALD</v>
      </c>
      <c r="M35" s="6">
        <f t="shared" si="1"/>
        <v>2.4317129624250811E-2</v>
      </c>
      <c r="N35" s="7">
        <f t="shared" si="2"/>
        <v>35.016666658921167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05:25:05-700',mode:absolute,to:'2016-11-11 08:05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4.5100000000000001E-2</v>
      </c>
      <c r="Z35" s="67">
        <f t="shared" si="9"/>
        <v>23.3293</v>
      </c>
      <c r="AA35" s="67">
        <f t="shared" si="10"/>
        <v>23.284199999999998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0123-11</v>
      </c>
      <c r="AE35" s="91" t="str">
        <f t="shared" si="12"/>
        <v>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 &amp; aws s3 cp s3://rtdc.mdm.uploadarchive.raw/RTDC4044/ "%USERPROFILE%\AppData\Local\Temp\OnboardLogs"\RTDC4044\2016-11-12 --exclude "*" --recursive --include "*20161112*" &amp; "%USERPROFILE%\Documents\GitHub\mrs-test-scripts\Headless Mode &amp; Sideloading\WalkAndUnGZ.bat" "%USERPROFILE%\AppData\Local\Temp\OnboardLogs"\RTDC4044\2016-11-12</v>
      </c>
      <c r="AF35" s="88" t="str">
        <f t="shared" si="13"/>
        <v>"C:\Program Files (x86)\AstroGrep\AstroGrep.exe" /spath="%USERPROFILE%\AppData\Local\Temp\OnboardLogs" /stypes="app*4044*20161111*"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123-11 --locoid 4044 --swversion DE.1.0.8.0 --startMP 204:451 --initTime 2016-11-11T06:25:05 --startdatetime 2016-11-11T06:30:27 --delay 1 --endMP 204:233293 --enddatetime 2016-11-11T07:05:28 --enforcementcount 0 &gt;&gt;C:\Users\stu\Documents\GitHub\eaglep3-reporting\EC\2016-11-11-refined-times.txt</v>
      </c>
      <c r="AI35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{"issue":{"subject":"","project_id":79,"tracker_id":40,"status_id":1,"priority_id":2,"assigned_to_id":23,"start_date":"2016-11-11","description":"","custom_fields":[{"id":1,"name":"Subdivision","value":"EC"},{"id":4,"name":"Milepost","value":"23.3293"},{"id":17,"name":"Train ID","value":"123-11"},{"id":16,"name":"Locomotive ID","value":"4044"},{"id":130,"name":"Impact","value":""},{"id":150,"name":"Time of Event (Mountain Time)","value":"07:05:28"},{"id":151,"name":"Denver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479</v>
      </c>
      <c r="B36" s="7">
        <v>4043</v>
      </c>
      <c r="C36" s="22" t="s">
        <v>225</v>
      </c>
      <c r="D36" s="22" t="s">
        <v>239</v>
      </c>
      <c r="E36" s="13">
        <v>42685.302152777775</v>
      </c>
      <c r="F36" s="13">
        <v>42685.309988425928</v>
      </c>
      <c r="G36" s="7">
        <v>1</v>
      </c>
      <c r="H36" s="22" t="s">
        <v>655</v>
      </c>
      <c r="I36" s="13">
        <v>42685.335868055554</v>
      </c>
      <c r="J36" s="7">
        <v>0</v>
      </c>
      <c r="K36" s="109" t="str">
        <f t="shared" si="0"/>
        <v>4043/4044</v>
      </c>
      <c r="L36" s="22" t="str">
        <f>VLOOKUP(A36,'Trips&amp;Operators'!$C$1:$E$10000,3,FALSE)</f>
        <v>MACDONALD</v>
      </c>
      <c r="M36" s="6">
        <f t="shared" si="1"/>
        <v>2.5879629625706002E-2</v>
      </c>
      <c r="N36" s="7">
        <f t="shared" si="2"/>
        <v>37.266666661016643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06:15:06-700',mode:absolute,to:'2016-11-11 09:03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23.298200000000001</v>
      </c>
      <c r="Z36" s="67">
        <f t="shared" si="9"/>
        <v>1.6299999999999999E-2</v>
      </c>
      <c r="AA36" s="67">
        <f t="shared" si="10"/>
        <v>23.2819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0124-11</v>
      </c>
      <c r="AE36" s="91" t="str">
        <f t="shared" si="12"/>
        <v>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 &amp; aws s3 cp s3://rtdc.mdm.uploadarchive.raw/RTDC4043/ "%USERPROFILE%\AppData\Local\Temp\OnboardLogs"\RTDC4043\2016-11-12 --exclude "*" --recursive --include "*20161112*" &amp; "%USERPROFILE%\Documents\GitHub\mrs-test-scripts\Headless Mode &amp; Sideloading\WalkAndUnGZ.bat" "%USERPROFILE%\AppData\Local\Temp\OnboardLogs"\RTDC4043\2016-11-12</v>
      </c>
      <c r="AF36" s="88" t="str">
        <f t="shared" si="13"/>
        <v>"C:\Program Files (x86)\AstroGrep\AstroGrep.exe" /spath="%USERPROFILE%\AppData\Local\Temp\OnboardLogs" /stypes="app*4043*20161111*" /stext=" 15:.+((SYSTEM_STATE.+slice.+state.+changed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124-11 --locoid 4043 --swversion DE.1.0.8.0 --startMP 204:232982 --initTime 2016-11-11T07:15:06 --startdatetime 2016-11-11T07:26:23 --delay 1 --endMP 204:163 --enddatetime 2016-11-11T08:03:39 --enforcementcount 0 &gt;&gt;C:\Users\stu\Documents\GitHub\eaglep3-reporting\EC\2016-11-11-refined-times.txt</v>
      </c>
      <c r="AI36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{"issue":{"subject":"","project_id":79,"tracker_id":40,"status_id":1,"priority_id":2,"assigned_to_id":23,"start_date":"2016-11-11","description":"","custom_fields":[{"id":1,"name":"Subdivision","value":"EC"},{"id":4,"name":"Milepost","value":"0.0163"},{"id":17,"name":"Train ID","value":"124-11"},{"id":16,"name":"Locomotive ID","value":"4043"},{"id":130,"name":"Impact","value":""},{"id":150,"name":"Time of Event (Mountain Time)","value":"08:03:39"},{"id":151,"name":"Denver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471</v>
      </c>
      <c r="B37" s="7">
        <v>4003</v>
      </c>
      <c r="C37" s="22" t="s">
        <v>225</v>
      </c>
      <c r="D37" s="22" t="s">
        <v>204</v>
      </c>
      <c r="E37" s="13">
        <v>42685.27484953704</v>
      </c>
      <c r="F37" s="13">
        <v>42685.281435185185</v>
      </c>
      <c r="G37" s="7">
        <v>0</v>
      </c>
      <c r="H37" s="22" t="s">
        <v>246</v>
      </c>
      <c r="I37" s="13">
        <v>42685.305810185186</v>
      </c>
      <c r="J37" s="7">
        <v>0</v>
      </c>
      <c r="K37" s="109" t="str">
        <f t="shared" si="0"/>
        <v>4003/4004</v>
      </c>
      <c r="L37" s="22" t="str">
        <f>VLOOKUP(A37,'Trips&amp;Operators'!$C$1:$E$10000,3,FALSE)</f>
        <v>ISHMAEL</v>
      </c>
      <c r="M37" s="6">
        <f t="shared" si="1"/>
        <v>2.4375000000873115E-2</v>
      </c>
      <c r="N37" s="7">
        <f t="shared" si="2"/>
        <v>35.100000001257285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05:35:47-700',mode:absolute,to:'2016-11-11 08:20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4.5999999999999999E-2</v>
      </c>
      <c r="Z37" s="67">
        <f t="shared" si="9"/>
        <v>23.3306</v>
      </c>
      <c r="AA37" s="67">
        <f t="shared" si="10"/>
        <v>23.284600000000001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0125-11</v>
      </c>
      <c r="AE37" s="91" t="str">
        <f t="shared" si="12"/>
        <v>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 &amp; aws s3 cp s3://rtdc.mdm.uploadarchive.raw/RTDC4003/ "%USERPROFILE%\AppData\Local\Temp\OnboardLogs"\RTDC4003\2016-11-12 --exclude "*" --recursive --include "*20161112*" &amp; "%USERPROFILE%\Documents\GitHub\mrs-test-scripts\Headless Mode &amp; Sideloading\WalkAndUnGZ.bat" "%USERPROFILE%\AppData\Local\Temp\OnboardLogs"\RTDC4003\2016-11-12</v>
      </c>
      <c r="AF37" s="88" t="str">
        <f t="shared" si="13"/>
        <v>"C:\Program Files (x86)\AstroGrep\AstroGrep.exe" /spath="%USERPROFILE%\AppData\Local\Temp\OnboardLogs" /stypes="app*4003*20161111*"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125-11 --locoid 4003 --swversion DE.1.0.8.0 --startMP 204:460 --initTime 2016-11-11T06:35:47 --startdatetime 2016-11-11T06:45:16 --delay 0 --endMP 204:233306 --enddatetime 2016-11-11T07:20:22 --enforcementcount 0 &gt;&gt;C:\Users\stu\Documents\GitHub\eaglep3-reporting\EC\2016-11-11-refined-times.txt</v>
      </c>
      <c r="AI37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{"issue":{"subject":"","project_id":79,"tracker_id":40,"status_id":1,"priority_id":2,"assigned_to_id":23,"start_date":"2016-11-11","description":"","custom_fields":[{"id":1,"name":"Subdivision","value":"EC"},{"id":4,"name":"Milepost","value":"23.3306"},{"id":17,"name":"Train ID","value":"125-11"},{"id":16,"name":"Locomotive ID","value":"4003"},{"id":130,"name":"Impact","value":""},{"id":150,"name":"Time of Event (Mountain Time)","value":"07:20:22"},{"id":151,"name":"Denver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482</v>
      </c>
      <c r="B38" s="7">
        <v>4004</v>
      </c>
      <c r="C38" s="22" t="s">
        <v>225</v>
      </c>
      <c r="D38" s="22" t="s">
        <v>256</v>
      </c>
      <c r="E38" s="13">
        <v>42685.315995370373</v>
      </c>
      <c r="F38" s="13">
        <v>42685.320451388892</v>
      </c>
      <c r="G38" s="7">
        <v>1</v>
      </c>
      <c r="H38" s="22" t="s">
        <v>254</v>
      </c>
      <c r="I38" s="13">
        <v>42685.347349537034</v>
      </c>
      <c r="J38" s="7">
        <v>0</v>
      </c>
      <c r="K38" s="109" t="str">
        <f t="shared" si="0"/>
        <v>4003/4004</v>
      </c>
      <c r="L38" s="22" t="str">
        <f>VLOOKUP(A38,'Trips&amp;Operators'!$C$1:$E$10000,3,FALSE)</f>
        <v>ISHMAEL</v>
      </c>
      <c r="M38" s="6">
        <f t="shared" si="1"/>
        <v>2.6898148142208811E-2</v>
      </c>
      <c r="N38" s="7">
        <f t="shared" si="2"/>
        <v>38.733333324780688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06:35:02-700',mode:absolute,to:'2016-11-11 09:20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23.3002</v>
      </c>
      <c r="Z38" s="67">
        <f t="shared" si="9"/>
        <v>1.3899999999999999E-2</v>
      </c>
      <c r="AA38" s="67">
        <f t="shared" si="10"/>
        <v>23.286300000000001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0126-11</v>
      </c>
      <c r="AE38" s="91" t="str">
        <f t="shared" si="12"/>
        <v>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 &amp; 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</v>
      </c>
      <c r="AF38" s="88" t="str">
        <f t="shared" si="13"/>
        <v>"C:\Program Files (x86)\AstroGrep\AstroGrep.exe" /spath="%USERPROFILE%\AppData\Local\Temp\OnboardLogs" /stypes="app*4004*20161111*" /stext=" 15:.+((SYSTEM_STATE.+slice.+state.+changed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126-11 --locoid 4004 --swversion DE.1.0.8.0 --startMP 204:233002 --initTime 2016-11-11T07:35:02 --startdatetime 2016-11-11T07:41:27 --delay 1 --endMP 204:139 --enddatetime 2016-11-11T08:20:11 --enforcementcount 0 &gt;&gt;C:\Users\stu\Documents\GitHub\eaglep3-reporting\EC\2016-11-11-refined-times.txt</v>
      </c>
      <c r="AI38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{"issue":{"subject":"","project_id":79,"tracker_id":40,"status_id":1,"priority_id":2,"assigned_to_id":23,"start_date":"2016-11-11","description":"","custom_fields":[{"id":1,"name":"Subdivision","value":"EC"},{"id":4,"name":"Milepost","value":"0.0139"},{"id":17,"name":"Train ID","value":"126-11"},{"id":16,"name":"Locomotive ID","value":"4004"},{"id":130,"name":"Impact","value":""},{"id":150,"name":"Time of Event (Mountain Time)","value":"08:20:11"},{"id":151,"name":"Denver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474</v>
      </c>
      <c r="B39" s="7">
        <v>4018</v>
      </c>
      <c r="C39" s="22" t="s">
        <v>225</v>
      </c>
      <c r="D39" s="22" t="s">
        <v>651</v>
      </c>
      <c r="E39" s="13">
        <v>42685.288391203707</v>
      </c>
      <c r="F39" s="13">
        <v>42685.291909722226</v>
      </c>
      <c r="G39" s="7">
        <v>1</v>
      </c>
      <c r="H39" s="22" t="s">
        <v>367</v>
      </c>
      <c r="I39" s="13">
        <v>42685.316076388888</v>
      </c>
      <c r="J39" s="7">
        <v>0</v>
      </c>
      <c r="K39" s="109" t="str">
        <f t="shared" si="0"/>
        <v>4017/4018</v>
      </c>
      <c r="L39" s="22" t="str">
        <f>VLOOKUP(A39,'Trips&amp;Operators'!$C$1:$E$10000,3,FALSE)</f>
        <v>SANTIZO</v>
      </c>
      <c r="M39" s="6">
        <f t="shared" si="1"/>
        <v>2.4166666662495118E-2</v>
      </c>
      <c r="N39" s="7">
        <f t="shared" si="2"/>
        <v>34.799999993992969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05:55:17-700',mode:absolute,to:'2016-11-11 08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4.4400000000000002E-2</v>
      </c>
      <c r="Z39" s="67">
        <f t="shared" si="9"/>
        <v>23.331399999999999</v>
      </c>
      <c r="AA39" s="67">
        <f t="shared" si="10"/>
        <v>23.286999999999999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0127-11</v>
      </c>
      <c r="AE39" s="91" t="str">
        <f t="shared" si="12"/>
        <v>aws s3 cp s3://rtdc.mdm.uploadarchive.raw/RTDC4018/ "%USERPROFILE%\AppData\Local\Temp\OnboardLogs"\RTDC4018\2016-11-11 --exclude "*" --recursive --include "*20161111*" &amp; "%USERPROFILE%\Documents\GitHub\mrs-test-scripts\Headless Mode &amp; Sideloading\WalkAndUnGZ.bat" "%USERPROFILE%\AppData\Local\Temp\OnboardLogs"\RTDC4018\2016-11-11 &amp; aws s3 cp s3://rtdc.mdm.uploadarchive.raw/RTDC4018/ "%USERPROFILE%\AppData\Local\Temp\OnboardLogs"\RTDC4018\2016-11-12 --exclude "*" --recursive --include "*20161112*" &amp; "%USERPROFILE%\Documents\GitHub\mrs-test-scripts\Headless Mode &amp; Sideloading\WalkAndUnGZ.bat" "%USERPROFILE%\AppData\Local\Temp\OnboardLogs"\RTDC4018\2016-11-12</v>
      </c>
      <c r="AF39" s="88" t="str">
        <f t="shared" si="13"/>
        <v>"C:\Program Files (x86)\AstroGrep\AstroGrep.exe" /spath="%USERPROFILE%\AppData\Local\Temp\OnboardLogs" /stypes="app*4018*20161111*"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127-11 --locoid 4018 --swversion DE.1.0.8.0 --startMP 204:444 --initTime 2016-11-11T06:55:17 --startdatetime 2016-11-11T07:00:21 --delay 1 --endMP 204:233314 --enddatetime 2016-11-11T07:35:09 --enforcementcount 0 &gt;&gt;C:\Users\stu\Documents\GitHub\eaglep3-reporting\EC\2016-11-11-refined-times.txt</v>
      </c>
      <c r="AI39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{"issue":{"subject":"","project_id":79,"tracker_id":40,"status_id":1,"priority_id":2,"assigned_to_id":23,"start_date":"2016-11-11","description":"","custom_fields":[{"id":1,"name":"Subdivision","value":"EC"},{"id":4,"name":"Milepost","value":"23.3314"},{"id":17,"name":"Train ID","value":"127-11"},{"id":16,"name":"Locomotive ID","value":"4018"},{"id":130,"name":"Impact","value":""},{"id":150,"name":"Time of Event (Mountain Time)","value":"07:35:09"},{"id":151,"name":"Denver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421</v>
      </c>
      <c r="B40" s="7">
        <v>4017</v>
      </c>
      <c r="C40" s="22" t="s">
        <v>225</v>
      </c>
      <c r="D40" s="22" t="s">
        <v>258</v>
      </c>
      <c r="E40" s="13">
        <v>42685.31795138889</v>
      </c>
      <c r="F40" s="13">
        <v>42685.33085648148</v>
      </c>
      <c r="G40" s="7">
        <v>1</v>
      </c>
      <c r="H40" s="22" t="s">
        <v>197</v>
      </c>
      <c r="I40" s="13">
        <v>42685.356585648151</v>
      </c>
      <c r="J40" s="7">
        <v>0</v>
      </c>
      <c r="K40" s="109" t="str">
        <f t="shared" si="0"/>
        <v>4017/4018</v>
      </c>
      <c r="L40" s="22" t="str">
        <f>VLOOKUP(A40,'Trips&amp;Operators'!$C$1:$E$10000,3,FALSE)</f>
        <v>SANTIZO</v>
      </c>
      <c r="M40" s="6">
        <f t="shared" si="1"/>
        <v>2.5729166671226267E-2</v>
      </c>
      <c r="N40" s="7">
        <f t="shared" si="2"/>
        <v>37.050000006565824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06:37:51-700',mode:absolute,to:'2016-11-11 09:33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23.298999999999999</v>
      </c>
      <c r="Z40" s="67">
        <f t="shared" si="9"/>
        <v>1.4500000000000001E-2</v>
      </c>
      <c r="AA40" s="67">
        <f t="shared" si="10"/>
        <v>23.284499999999998</v>
      </c>
      <c r="AB40" s="64" t="str">
        <f>VLOOKUP(A40,Enforcements!$C$7:$K$20,8,0)</f>
        <v>Bulletin (2)</v>
      </c>
      <c r="AC40" s="60" t="str">
        <f>VLOOKUP(A40,Enforcements!$C$7:$E$20,3,0)</f>
        <v>GRADE CROSSING</v>
      </c>
      <c r="AD40" s="61" t="str">
        <f t="shared" si="11"/>
        <v>0128-11</v>
      </c>
      <c r="AE40" s="91" t="str">
        <f t="shared" si="12"/>
        <v>aws s3 cp s3://rtdc.mdm.uploadarchive.raw/RTDC4017/ "%USERPROFILE%\AppData\Local\Temp\OnboardLogs"\RTDC4017\2016-11-11 --exclude "*" --recursive --include "*20161111*" &amp; "%USERPROFILE%\Documents\GitHub\mrs-test-scripts\Headless Mode &amp; Sideloading\WalkAndUnGZ.bat" "%USERPROFILE%\AppData\Local\Temp\OnboardLogs"\RTDC4017\2016-11-11 &amp; aws s3 cp s3://rtdc.mdm.uploadarchive.raw/RTDC4017/ "%USERPROFILE%\AppData\Local\Temp\OnboardLogs"\RTDC4017\2016-11-12 --exclude "*" --recursive --include "*20161112*" &amp; "%USERPROFILE%\Documents\GitHub\mrs-test-scripts\Headless Mode &amp; Sideloading\WalkAndUnGZ.bat" "%USERPROFILE%\AppData\Local\Temp\OnboardLogs"\RTDC4017\2016-11-12</v>
      </c>
      <c r="AF40" s="88" t="str">
        <f t="shared" si="13"/>
        <v>"C:\Program Files (x86)\AstroGrep\AstroGrep.exe" /spath="%USERPROFILE%\AppData\Local\Temp\OnboardLogs" /stypes="app*4017*20161111*" /stext=" 15:.+((SYSTEM_STATE.+slice.+state.+changed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128-11 --locoid 4017 --swversion DE.1.0.8.0 --startMP 204:232990 --initTime 2016-11-11T07:37:51 --startdatetime 2016-11-11T07:56:26 --delay 1 --endMP 204:145 --enddatetime 2016-11-11T08:33:29 --enforcementcount 0 &gt;&gt;C:\Users\stu\Documents\GitHub\eaglep3-reporting\EC\2016-11-11-refined-times.txt</v>
      </c>
      <c r="AI40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{"issue":{"subject":"","project_id":79,"tracker_id":40,"status_id":1,"priority_id":2,"assigned_to_id":23,"start_date":"2016-11-11","description":"","custom_fields":[{"id":1,"name":"Subdivision","value":"EC"},{"id":4,"name":"Milepost","value":"0.0145"},{"id":17,"name":"Train ID","value":"128-11"},{"id":16,"name":"Locomotive ID","value":"4017"},{"id":130,"name":"Impact","value":""},{"id":150,"name":"Time of Event (Mountain Time)","value":"08:33:29"},{"id":151,"name":"Denver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477</v>
      </c>
      <c r="B41" s="7">
        <v>4031</v>
      </c>
      <c r="C41" s="22" t="s">
        <v>225</v>
      </c>
      <c r="D41" s="22" t="s">
        <v>288</v>
      </c>
      <c r="E41" s="13">
        <v>42685.296782407408</v>
      </c>
      <c r="F41" s="13">
        <v>42685.302349537036</v>
      </c>
      <c r="G41" s="7">
        <v>1</v>
      </c>
      <c r="H41" s="22" t="s">
        <v>662</v>
      </c>
      <c r="I41" s="13">
        <v>42685.326944444445</v>
      </c>
      <c r="J41" s="7">
        <v>0</v>
      </c>
      <c r="K41" s="109" t="str">
        <f t="shared" si="0"/>
        <v>4031/4032</v>
      </c>
      <c r="L41" s="22" t="str">
        <f>VLOOKUP(A41,'Trips&amp;Operators'!$C$1:$E$10000,3,FALSE)</f>
        <v>PERKINS</v>
      </c>
      <c r="M41" s="6">
        <f t="shared" si="1"/>
        <v>2.4594907408754807E-2</v>
      </c>
      <c r="N41" s="7">
        <f t="shared" si="2"/>
        <v>35.416666668606922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06:07:22-700',mode:absolute,to:'2016-11-11 08:50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4.4600000000000001E-2</v>
      </c>
      <c r="Z41" s="67">
        <f t="shared" si="9"/>
        <v>23.337</v>
      </c>
      <c r="AA41" s="67">
        <f t="shared" si="10"/>
        <v>23.292400000000001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0129-11</v>
      </c>
      <c r="AE41" s="91" t="str">
        <f t="shared" si="12"/>
        <v>aws s3 cp s3://rtdc.mdm.uploadarchive.raw/RTDC4031/ "%USERPROFILE%\AppData\Local\Temp\OnboardLogs"\RTDC4031\2016-11-11 --exclude "*" --recursive --include "*20161111*" &amp; "%USERPROFILE%\Documents\GitHub\mrs-test-scripts\Headless Mode &amp; Sideloading\WalkAndUnGZ.bat" "%USERPROFILE%\AppData\Local\Temp\OnboardLogs"\RTDC4031\2016-11-11 &amp; aws s3 cp s3://rtdc.mdm.uploadarchive.raw/RTDC4031/ "%USERPROFILE%\AppData\Local\Temp\OnboardLogs"\RTDC4031\2016-11-12 --exclude "*" --recursive --include "*20161112*" &amp; "%USERPROFILE%\Documents\GitHub\mrs-test-scripts\Headless Mode &amp; Sideloading\WalkAndUnGZ.bat" "%USERPROFILE%\AppData\Local\Temp\OnboardLogs"\RTDC4031\2016-11-12</v>
      </c>
      <c r="AF41" s="88" t="str">
        <f t="shared" si="13"/>
        <v>"C:\Program Files (x86)\AstroGrep\AstroGrep.exe" /spath="%USERPROFILE%\AppData\Local\Temp\OnboardLogs" /stypes="app*4031*20161111*"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129-11 --locoid 4031 --swversion DE.1.0.8.0 --startMP 204:446 --initTime 2016-11-11T07:07:22 --startdatetime 2016-11-11T07:15:23 --delay 1 --endMP 204:233370 --enddatetime 2016-11-11T07:50:48 --enforcementcount 0 &gt;&gt;C:\Users\stu\Documents\GitHub\eaglep3-reporting\EC\2016-11-11-refined-times.txt</v>
      </c>
      <c r="AI41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{"issue":{"subject":"","project_id":79,"tracker_id":40,"status_id":1,"priority_id":2,"assigned_to_id":23,"start_date":"2016-11-11","description":"","custom_fields":[{"id":1,"name":"Subdivision","value":"EC"},{"id":4,"name":"Milepost","value":"23.337"},{"id":17,"name":"Train ID","value":"129-11"},{"id":16,"name":"Locomotive ID","value":"4031"},{"id":130,"name":"Impact","value":""},{"id":150,"name":"Time of Event (Mountain Time)","value":"07:50:48"},{"id":151,"name":"Denver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424</v>
      </c>
      <c r="B42" s="7">
        <v>4032</v>
      </c>
      <c r="C42" s="22" t="s">
        <v>225</v>
      </c>
      <c r="D42" s="22" t="s">
        <v>654</v>
      </c>
      <c r="E42" s="13">
        <v>42685.336493055554</v>
      </c>
      <c r="F42" s="13">
        <v>42685.341215277775</v>
      </c>
      <c r="G42" s="7">
        <v>1</v>
      </c>
      <c r="H42" s="22" t="s">
        <v>197</v>
      </c>
      <c r="I42" s="13">
        <v>42685.367303240739</v>
      </c>
      <c r="J42" s="7">
        <v>0</v>
      </c>
      <c r="K42" s="109" t="str">
        <f t="shared" si="0"/>
        <v>4031/4032</v>
      </c>
      <c r="L42" s="22" t="str">
        <f>VLOOKUP(A42,'Trips&amp;Operators'!$C$1:$E$10000,3,FALSE)</f>
        <v>PERKINS</v>
      </c>
      <c r="M42" s="6">
        <f t="shared" si="1"/>
        <v>2.6087962964083999E-2</v>
      </c>
      <c r="N42" s="7">
        <f t="shared" si="2"/>
        <v>37.566666668280959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07:04:33-700',mode:absolute,to:'2016-11-11 09:48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23.2987</v>
      </c>
      <c r="Z42" s="67">
        <f t="shared" si="9"/>
        <v>1.4500000000000001E-2</v>
      </c>
      <c r="AA42" s="67">
        <f t="shared" si="10"/>
        <v>23.284199999999998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0130-11</v>
      </c>
      <c r="AE42" s="91" t="str">
        <f t="shared" si="12"/>
        <v>aws s3 cp s3://rtdc.mdm.uploadarchive.raw/RTDC4032/ "%USERPROFILE%\AppData\Local\Temp\OnboardLogs"\RTDC4032\2016-11-11 --exclude "*" --recursive --include "*20161111*" &amp; "%USERPROFILE%\Documents\GitHub\mrs-test-scripts\Headless Mode &amp; Sideloading\WalkAndUnGZ.bat" "%USERPROFILE%\AppData\Local\Temp\OnboardLogs"\RTDC4032\2016-11-11 &amp; aws s3 cp s3://rtdc.mdm.uploadarchive.raw/RTDC4032/ "%USERPROFILE%\AppData\Local\Temp\OnboardLogs"\RTDC4032\2016-11-12 --exclude "*" --recursive --include "*20161112*" &amp; "%USERPROFILE%\Documents\GitHub\mrs-test-scripts\Headless Mode &amp; Sideloading\WalkAndUnGZ.bat" "%USERPROFILE%\AppData\Local\Temp\OnboardLogs"\RTDC4032\2016-11-12</v>
      </c>
      <c r="AF42" s="88" t="str">
        <f t="shared" si="13"/>
        <v>"C:\Program Files (x86)\AstroGrep\AstroGrep.exe" /spath="%USERPROFILE%\AppData\Local\Temp\OnboardLogs" /stypes="app*4032*20161111*"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130-11 --locoid 4032 --swversion DE.1.0.8.0 --startMP 204:232987 --initTime 2016-11-11T08:04:33 --startdatetime 2016-11-11T08:11:21 --delay 1 --endMP 204:145 --enddatetime 2016-11-11T08:48:55 --enforcementcount 0 &gt;&gt;C:\Users\stu\Documents\GitHub\eaglep3-reporting\EC\2016-11-11-refined-times.txt</v>
      </c>
      <c r="AI42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{"issue":{"subject":"","project_id":79,"tracker_id":40,"status_id":1,"priority_id":2,"assigned_to_id":23,"start_date":"2016-11-11","description":"","custom_fields":[{"id":1,"name":"Subdivision","value":"EC"},{"id":4,"name":"Milepost","value":"0.0145"},{"id":17,"name":"Train ID","value":"130-11"},{"id":16,"name":"Locomotive ID","value":"4032"},{"id":130,"name":"Impact","value":""},{"id":150,"name":"Time of Event (Mountain Time)","value":"08:48:55"},{"id":151,"name":"Denver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480</v>
      </c>
      <c r="B43" s="7">
        <v>4025</v>
      </c>
      <c r="C43" s="22" t="s">
        <v>225</v>
      </c>
      <c r="D43" s="22" t="s">
        <v>227</v>
      </c>
      <c r="E43" s="13">
        <v>42685.306631944448</v>
      </c>
      <c r="F43" s="13">
        <v>42685.312662037039</v>
      </c>
      <c r="G43" s="7">
        <v>1</v>
      </c>
      <c r="H43" s="22" t="s">
        <v>663</v>
      </c>
      <c r="I43" s="13">
        <v>42685.338194444441</v>
      </c>
      <c r="J43" s="7">
        <v>0</v>
      </c>
      <c r="K43" s="109" t="str">
        <f t="shared" si="0"/>
        <v>4025/4026</v>
      </c>
      <c r="L43" s="22" t="str">
        <f>VLOOKUP(A43,'Trips&amp;Operators'!$C$1:$E$10000,3,FALSE)</f>
        <v>DAVIS</v>
      </c>
      <c r="M43" s="6">
        <f t="shared" si="1"/>
        <v>2.5532407402351964E-2</v>
      </c>
      <c r="N43" s="7">
        <f t="shared" si="2"/>
        <v>36.766666659386829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06:21:33-700',mode:absolute,to:'2016-11-11 09:07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4.58E-2</v>
      </c>
      <c r="Z43" s="67">
        <f t="shared" si="9"/>
        <v>23.328800000000001</v>
      </c>
      <c r="AA43" s="67">
        <f t="shared" si="10"/>
        <v>23.283000000000001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0131-11</v>
      </c>
      <c r="AE43" s="91" t="str">
        <f t="shared" si="12"/>
        <v>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 &amp; 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</v>
      </c>
      <c r="AF43" s="88" t="str">
        <f t="shared" si="13"/>
        <v>"C:\Program Files (x86)\AstroGrep\AstroGrep.exe" /spath="%USERPROFILE%\AppData\Local\Temp\OnboardLogs" /stypes="app*4025*20161111*"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131-11 --locoid 4025 --swversion DE.1.0.8.0 --startMP 204:458 --initTime 2016-11-11T07:21:33 --startdatetime 2016-11-11T07:30:14 --delay 1 --endMP 204:233288 --enddatetime 2016-11-11T08:07:00 --enforcementcount 0 &gt;&gt;C:\Users\stu\Documents\GitHub\eaglep3-reporting\EC\2016-11-11-refined-times.txt</v>
      </c>
      <c r="AI43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{"issue":{"subject":"","project_id":79,"tracker_id":40,"status_id":1,"priority_id":2,"assigned_to_id":23,"start_date":"2016-11-11","description":"","custom_fields":[{"id":1,"name":"Subdivision","value":"EC"},{"id":4,"name":"Milepost","value":"23.3288"},{"id":17,"name":"Train ID","value":"131-11"},{"id":16,"name":"Locomotive ID","value":"4025"},{"id":130,"name":"Impact","value":""},{"id":150,"name":"Time of Event (Mountain Time)","value":"08:07:00"},{"id":151,"name":"Denver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487</v>
      </c>
      <c r="B44" s="7">
        <v>4026</v>
      </c>
      <c r="C44" s="22" t="s">
        <v>225</v>
      </c>
      <c r="D44" s="22" t="s">
        <v>271</v>
      </c>
      <c r="E44" s="13">
        <v>42685.350381944445</v>
      </c>
      <c r="F44" s="13">
        <v>42685.3515625</v>
      </c>
      <c r="G44" s="7">
        <v>1</v>
      </c>
      <c r="H44" s="22" t="s">
        <v>371</v>
      </c>
      <c r="I44" s="13">
        <v>42685.378518518519</v>
      </c>
      <c r="J44" s="7">
        <v>0</v>
      </c>
      <c r="K44" s="109" t="str">
        <f t="shared" si="0"/>
        <v>4025/4026</v>
      </c>
      <c r="L44" s="22" t="str">
        <f>VLOOKUP(A44,'Trips&amp;Operators'!$C$1:$E$10000,3,FALSE)</f>
        <v>DAVIS</v>
      </c>
      <c r="M44" s="6">
        <f t="shared" si="1"/>
        <v>2.6956018518831115E-2</v>
      </c>
      <c r="N44" s="7">
        <f t="shared" si="2"/>
        <v>38.816666667116806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07:24:33-700',mode:absolute,to:'2016-11-11 10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23.297799999999999</v>
      </c>
      <c r="Z44" s="67">
        <f t="shared" si="9"/>
        <v>1.38E-2</v>
      </c>
      <c r="AA44" s="67">
        <f t="shared" si="10"/>
        <v>23.283999999999999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0132-11</v>
      </c>
      <c r="AE44" s="91" t="str">
        <f t="shared" si="12"/>
        <v>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 &amp; 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</v>
      </c>
      <c r="AF44" s="88" t="str">
        <f t="shared" si="13"/>
        <v>"C:\Program Files (x86)\AstroGrep\AstroGrep.exe" /spath="%USERPROFILE%\AppData\Local\Temp\OnboardLogs" /stypes="app*4026*20161111*" /stext=" 16:.+((SYSTEM_STATE.+slice.+state.+changed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132-11 --locoid 4026 --swversion DE.1.0.8.0 --startMP 204:232978 --initTime 2016-11-11T08:24:33 --startdatetime 2016-11-11T08:26:15 --delay 1 --endMP 204:138 --enddatetime 2016-11-11T09:05:04 --enforcementcount 0 &gt;&gt;C:\Users\stu\Documents\GitHub\eaglep3-reporting\EC\2016-11-11-refined-times.txt</v>
      </c>
      <c r="AI44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{"issue":{"subject":"","project_id":79,"tracker_id":40,"status_id":1,"priority_id":2,"assigned_to_id":23,"start_date":"2016-11-11","description":"","custom_fields":[{"id":1,"name":"Subdivision","value":"EC"},{"id":4,"name":"Milepost","value":"0.0138"},{"id":17,"name":"Train ID","value":"132-11"},{"id":16,"name":"Locomotive ID","value":"4026"},{"id":130,"name":"Impact","value":""},{"id":150,"name":"Time of Event (Mountain Time)","value":"09:05:04"},{"id":151,"name":"Denver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484</v>
      </c>
      <c r="B45" s="7">
        <v>4040</v>
      </c>
      <c r="C45" s="22" t="s">
        <v>225</v>
      </c>
      <c r="D45" s="22" t="s">
        <v>261</v>
      </c>
      <c r="E45" s="13">
        <v>42685.321481481478</v>
      </c>
      <c r="F45" s="13">
        <v>42685.323148148149</v>
      </c>
      <c r="G45" s="7">
        <v>1</v>
      </c>
      <c r="H45" s="22" t="s">
        <v>238</v>
      </c>
      <c r="I45" s="13">
        <v>42685.347546296296</v>
      </c>
      <c r="J45" s="7">
        <v>0</v>
      </c>
      <c r="K45" s="109" t="str">
        <f t="shared" si="0"/>
        <v>4039/4040</v>
      </c>
      <c r="L45" s="22" t="str">
        <f>VLOOKUP(A45,'Trips&amp;Operators'!$C$1:$E$10000,3,FALSE)</f>
        <v>MALAVE</v>
      </c>
      <c r="M45" s="6">
        <f t="shared" si="1"/>
        <v>2.4398148147156462E-2</v>
      </c>
      <c r="N45" s="7">
        <f t="shared" si="2"/>
        <v>35.133333331905305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06:42:56-700',mode:absolute,to:'2016-11-11 09:20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4.7699999999999999E-2</v>
      </c>
      <c r="Z45" s="67">
        <f t="shared" si="9"/>
        <v>23.329799999999999</v>
      </c>
      <c r="AA45" s="67">
        <f t="shared" si="10"/>
        <v>23.2821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0133-11</v>
      </c>
      <c r="AE45" s="91" t="str">
        <f t="shared" si="12"/>
        <v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v>
      </c>
      <c r="AF45" s="88" t="str">
        <f t="shared" si="13"/>
        <v>"C:\Program Files (x86)\AstroGrep\AstroGrep.exe" /spath="%USERPROFILE%\AppData\Local\Temp\OnboardLogs" /stypes="app*4040*20161111*"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133-11 --locoid 4040 --swversion DE.1.0.8.0 --startMP 204:477 --initTime 2016-11-11T07:42:56 --startdatetime 2016-11-11T07:45:20 --delay 1 --endMP 204:233298 --enddatetime 2016-11-11T08:20:28 --enforcementcount 0 &gt;&gt;C:\Users\stu\Documents\GitHub\eaglep3-reporting\EC\2016-11-11-refined-times.txt</v>
      </c>
      <c r="AI45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{"issue":{"subject":"","project_id":79,"tracker_id":40,"status_id":1,"priority_id":2,"assigned_to_id":23,"start_date":"2016-11-11","description":"","custom_fields":[{"id":1,"name":"Subdivision","value":"EC"},{"id":4,"name":"Milepost","value":"23.3298"},{"id":17,"name":"Train ID","value":"133-11"},{"id":16,"name":"Locomotive ID","value":"4040"},{"id":130,"name":"Impact","value":""},{"id":150,"name":"Time of Event (Mountain Time)","value":"08:20:28"},{"id":151,"name":"Denver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492</v>
      </c>
      <c r="B46" s="7">
        <v>4039</v>
      </c>
      <c r="C46" s="22" t="s">
        <v>225</v>
      </c>
      <c r="D46" s="22" t="s">
        <v>375</v>
      </c>
      <c r="E46" s="13">
        <v>42685.360115740739</v>
      </c>
      <c r="F46" s="13">
        <v>42685.36209490741</v>
      </c>
      <c r="G46" s="7">
        <v>2</v>
      </c>
      <c r="H46" s="22" t="s">
        <v>176</v>
      </c>
      <c r="I46" s="13">
        <v>42685.390590277777</v>
      </c>
      <c r="J46" s="7">
        <v>0</v>
      </c>
      <c r="K46" s="109" t="str">
        <f t="shared" si="0"/>
        <v>4039/4040</v>
      </c>
      <c r="L46" s="22" t="str">
        <f>VLOOKUP(A46,'Trips&amp;Operators'!$C$1:$E$10000,3,FALSE)</f>
        <v>MALAVE</v>
      </c>
      <c r="M46" s="6">
        <f t="shared" si="1"/>
        <v>2.8495370366727002E-2</v>
      </c>
      <c r="N46" s="7">
        <f t="shared" si="2"/>
        <v>41.033333328086883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07:38:34-700',mode:absolute,to:'2016-11-11 10:22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23.2974</v>
      </c>
      <c r="Z46" s="67">
        <f t="shared" si="9"/>
        <v>1.52E-2</v>
      </c>
      <c r="AA46" s="67">
        <f t="shared" si="10"/>
        <v>23.2822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1"/>
        <v>0134-11</v>
      </c>
      <c r="AE46" s="91" t="str">
        <f t="shared" si="12"/>
        <v>aws s3 cp s3://rtdc.mdm.uploadarchive.raw/RTDC4039/ "%USERPROFILE%\AppData\Local\Temp\OnboardLogs"\RTDC4039\2016-11-11 --exclude "*" --recursive --include "*20161111*" &amp; "%USERPROFILE%\Documents\GitHub\mrs-test-scripts\Headless Mode &amp; Sideloading\WalkAndUnGZ.bat" "%USERPROFILE%\AppData\Local\Temp\OnboardLogs"\RTDC4039\2016-11-11 &amp; aws s3 cp s3://rtdc.mdm.uploadarchive.raw/RTDC4039/ "%USERPROFILE%\AppData\Local\Temp\OnboardLogs"\RTDC4039\2016-11-12 --exclude "*" --recursive --include "*20161112*" &amp; "%USERPROFILE%\Documents\GitHub\mrs-test-scripts\Headless Mode &amp; Sideloading\WalkAndUnGZ.bat" "%USERPROFILE%\AppData\Local\Temp\OnboardLogs"\RTDC4039\2016-11-12</v>
      </c>
      <c r="AF46" s="88" t="str">
        <f t="shared" si="13"/>
        <v>"C:\Program Files (x86)\AstroGrep\AstroGrep.exe" /spath="%USERPROFILE%\AppData\Local\Temp\OnboardLogs" /stypes="app*4039*20161111*" /stext=" 16:.+((SYSTEM_STATE.+slice.+state.+changed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134-11 --locoid 4039 --swversion DE.1.0.8.0 --startMP 204:232974 --initTime 2016-11-11T08:38:34 --startdatetime 2016-11-11T08:41:25 --delay 2 --endMP 204:152 --enddatetime 2016-11-11T09:22:27 --enforcementcount 0 &gt;&gt;C:\Users\stu\Documents\GitHub\eaglep3-reporting\EC\2016-11-11-refined-times.txt</v>
      </c>
      <c r="AI46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{"issue":{"subject":"","project_id":79,"tracker_id":40,"status_id":1,"priority_id":2,"assigned_to_id":23,"start_date":"2016-11-11","description":"","custom_fields":[{"id":1,"name":"Subdivision","value":"EC"},{"id":4,"name":"Milepost","value":"0.0152"},{"id":17,"name":"Train ID","value":"134-11"},{"id":16,"name":"Locomotive ID","value":"4039"},{"id":130,"name":"Impact","value":""},{"id":150,"name":"Time of Event (Mountain Time)","value":"09:22:27"},{"id":151,"name":"Denver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423</v>
      </c>
      <c r="B47" s="7">
        <v>4009</v>
      </c>
      <c r="C47" s="22" t="s">
        <v>225</v>
      </c>
      <c r="D47" s="22" t="s">
        <v>201</v>
      </c>
      <c r="E47" s="13">
        <v>42685.328900462962</v>
      </c>
      <c r="F47" s="13">
        <v>42685.333518518521</v>
      </c>
      <c r="G47" s="7">
        <v>1</v>
      </c>
      <c r="H47" s="22" t="s">
        <v>664</v>
      </c>
      <c r="I47" s="13">
        <v>42685.365370370368</v>
      </c>
      <c r="J47" s="7">
        <v>0</v>
      </c>
      <c r="K47" s="109" t="str">
        <f t="shared" si="0"/>
        <v>4009/4010</v>
      </c>
      <c r="L47" s="22" t="str">
        <f>VLOOKUP(A47,'Trips&amp;Operators'!$C$1:$E$10000,3,FALSE)</f>
        <v>RICHARDSON</v>
      </c>
      <c r="M47" s="6">
        <f t="shared" si="1"/>
        <v>3.1851851847022772E-2</v>
      </c>
      <c r="N47" s="7">
        <f t="shared" si="2"/>
        <v>45.866666659712791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06:53:37-700',mode:absolute,to:'2016-11-11 09:46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4.53E-2</v>
      </c>
      <c r="Z47" s="67">
        <f t="shared" si="9"/>
        <v>23.322600000000001</v>
      </c>
      <c r="AA47" s="67">
        <f t="shared" si="10"/>
        <v>23.2773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0135-11</v>
      </c>
      <c r="AE47" s="91" t="str">
        <f t="shared" si="12"/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AF47" s="88" t="str">
        <f t="shared" si="13"/>
        <v>"C:\Program Files (x86)\AstroGrep\AstroGrep.exe" /spath="%USERPROFILE%\AppData\Local\Temp\OnboardLogs" /stypes="app*4009*20161111*"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135-11 --locoid 4009 --swversion DE.1.0.8.0 --startMP 204:453 --initTime 2016-11-11T07:53:37 --startdatetime 2016-11-11T08:00:16 --delay 1 --endMP 204:233226 --enddatetime 2016-11-11T08:46:08 --enforcementcount 0 &gt;&gt;C:\Users\stu\Documents\GitHub\eaglep3-reporting\EC\2016-11-11-refined-times.txt</v>
      </c>
      <c r="AI47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{"issue":{"subject":"","project_id":79,"tracker_id":40,"status_id":1,"priority_id":2,"assigned_to_id":23,"start_date":"2016-11-11","description":"","custom_fields":[{"id":1,"name":"Subdivision","value":"EC"},{"id":4,"name":"Milepost","value":"23.3226"},{"id":17,"name":"Train ID","value":"135-11"},{"id":16,"name":"Locomotive ID","value":"4009"},{"id":130,"name":"Impact","value":""},{"id":150,"name":"Time of Event (Mountain Time)","value":"08:46:08"},{"id":151,"name":"Denver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426</v>
      </c>
      <c r="B48" s="7">
        <v>4010</v>
      </c>
      <c r="C48" s="22" t="s">
        <v>225</v>
      </c>
      <c r="D48" s="22" t="s">
        <v>665</v>
      </c>
      <c r="E48" s="13">
        <v>42685.370289351849</v>
      </c>
      <c r="F48" s="13">
        <v>42685.372407407405</v>
      </c>
      <c r="G48" s="7">
        <v>1</v>
      </c>
      <c r="H48" s="22" t="s">
        <v>254</v>
      </c>
      <c r="I48" s="13">
        <v>42685.399768518517</v>
      </c>
      <c r="J48" s="7">
        <v>0</v>
      </c>
      <c r="K48" s="109" t="str">
        <f t="shared" si="0"/>
        <v>4009/4010</v>
      </c>
      <c r="L48" s="22" t="str">
        <f>VLOOKUP(A48,'Trips&amp;Operators'!$C$1:$E$10000,3,FALSE)</f>
        <v>RICHARDSON</v>
      </c>
      <c r="M48" s="6">
        <f t="shared" si="1"/>
        <v>2.73611111115315E-2</v>
      </c>
      <c r="N48" s="7">
        <f t="shared" si="2"/>
        <v>39.40000000060536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07:53:13-700',mode:absolute,to:'2016-11-11 10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23.289200000000001</v>
      </c>
      <c r="Z48" s="67">
        <f t="shared" si="9"/>
        <v>1.3899999999999999E-2</v>
      </c>
      <c r="AA48" s="67">
        <f t="shared" si="10"/>
        <v>23.275300000000001</v>
      </c>
      <c r="AB48" s="64" t="str">
        <f>VLOOKUP(A48,Enforcements!$C$7:$K$20,8,0)</f>
        <v>Bulletin (2)</v>
      </c>
      <c r="AC48" s="60" t="str">
        <f>VLOOKUP(A48,Enforcements!$C$7:$E$20,3,0)</f>
        <v>GRADE CROSSING</v>
      </c>
      <c r="AD48" s="61" t="str">
        <f t="shared" si="11"/>
        <v>0136-11</v>
      </c>
      <c r="AE48" s="91" t="str">
        <f t="shared" si="12"/>
        <v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v>
      </c>
      <c r="AF48" s="88" t="str">
        <f t="shared" si="13"/>
        <v>"C:\Program Files (x86)\AstroGrep\AstroGrep.exe" /spath="%USERPROFILE%\AppData\Local\Temp\OnboardLogs" /stypes="app*4010*20161111*" /stext=" 16:.+((SYSTEM_STATE.+slice.+state.+changed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136-11 --locoid 4010 --swversion DE.1.0.8.0 --startMP 204:232892 --initTime 2016-11-11T08:53:13 --startdatetime 2016-11-11T08:56:16 --delay 1 --endMP 204:139 --enddatetime 2016-11-11T09:35:40 --enforcementcount 0 &gt;&gt;C:\Users\stu\Documents\GitHub\eaglep3-reporting\EC\2016-11-11-refined-times.txt</v>
      </c>
      <c r="AI48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{"issue":{"subject":"","project_id":79,"tracker_id":40,"status_id":1,"priority_id":2,"assigned_to_id":23,"start_date":"2016-11-11","description":"","custom_fields":[{"id":1,"name":"Subdivision","value":"EC"},{"id":4,"name":"Milepost","value":"0.0139"},{"id":17,"name":"Train ID","value":"136-11"},{"id":16,"name":"Locomotive ID","value":"4010"},{"id":130,"name":"Impact","value":""},{"id":150,"name":"Time of Event (Mountain Time)","value":"09:35:40"},{"id":151,"name":"Denver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485</v>
      </c>
      <c r="B49" s="7">
        <v>4044</v>
      </c>
      <c r="C49" s="22" t="s">
        <v>225</v>
      </c>
      <c r="D49" s="22" t="s">
        <v>314</v>
      </c>
      <c r="E49" s="13">
        <v>42685.33898148148</v>
      </c>
      <c r="F49" s="13">
        <v>42685.344004629631</v>
      </c>
      <c r="G49" s="7">
        <v>1</v>
      </c>
      <c r="H49" s="22" t="s">
        <v>203</v>
      </c>
      <c r="I49" s="13">
        <v>42685.370162037034</v>
      </c>
      <c r="J49" s="7">
        <v>0</v>
      </c>
      <c r="K49" s="109" t="str">
        <f t="shared" si="0"/>
        <v>4043/4044</v>
      </c>
      <c r="L49" s="22" t="str">
        <f>VLOOKUP(A49,'Trips&amp;Operators'!$C$1:$E$10000,3,FALSE)</f>
        <v>MACDONALD</v>
      </c>
      <c r="M49" s="6">
        <f t="shared" si="1"/>
        <v>2.6157407402934041E-2</v>
      </c>
      <c r="N49" s="7">
        <f t="shared" si="2"/>
        <v>37.666666660225019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07:08:08-700',mode:absolute,to:'2016-11-11 09:53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4.4200000000000003E-2</v>
      </c>
      <c r="Z49" s="67">
        <f t="shared" si="9"/>
        <v>23.329499999999999</v>
      </c>
      <c r="AA49" s="67">
        <f t="shared" si="10"/>
        <v>23.285299999999999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0137-11</v>
      </c>
      <c r="AE49" s="91" t="str">
        <f t="shared" si="12"/>
        <v>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 &amp; aws s3 cp s3://rtdc.mdm.uploadarchive.raw/RTDC4044/ "%USERPROFILE%\AppData\Local\Temp\OnboardLogs"\RTDC4044\2016-11-12 --exclude "*" --recursive --include "*20161112*" &amp; "%USERPROFILE%\Documents\GitHub\mrs-test-scripts\Headless Mode &amp; Sideloading\WalkAndUnGZ.bat" "%USERPROFILE%\AppData\Local\Temp\OnboardLogs"\RTDC4044\2016-11-12</v>
      </c>
      <c r="AF49" s="88" t="str">
        <f t="shared" si="13"/>
        <v>"C:\Program Files (x86)\AstroGrep\AstroGrep.exe" /spath="%USERPROFILE%\AppData\Local\Temp\OnboardLogs" /stypes="app*4044*20161111*"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137-11 --locoid 4044 --swversion DE.1.0.8.0 --startMP 204:442 --initTime 2016-11-11T08:08:08 --startdatetime 2016-11-11T08:15:22 --delay 1 --endMP 204:233295 --enddatetime 2016-11-11T08:53:02 --enforcementcount 0 &gt;&gt;C:\Users\stu\Documents\GitHub\eaglep3-reporting\EC\2016-11-11-refined-times.txt</v>
      </c>
      <c r="AI49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{"issue":{"subject":"","project_id":79,"tracker_id":40,"status_id":1,"priority_id":2,"assigned_to_id":23,"start_date":"2016-11-11","description":"","custom_fields":[{"id":1,"name":"Subdivision","value":"EC"},{"id":4,"name":"Milepost","value":"23.3295"},{"id":17,"name":"Train ID","value":"137-11"},{"id":16,"name":"Locomotive ID","value":"4044"},{"id":130,"name":"Impact","value":""},{"id":150,"name":"Time of Event (Mountain Time)","value":"08:53:02"},{"id":151,"name":"Denver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427</v>
      </c>
      <c r="B50" s="7">
        <v>4043</v>
      </c>
      <c r="C50" s="22" t="s">
        <v>225</v>
      </c>
      <c r="D50" s="22" t="s">
        <v>284</v>
      </c>
      <c r="E50" s="13">
        <v>42685.379930555559</v>
      </c>
      <c r="F50" s="13">
        <v>42685.3830787037</v>
      </c>
      <c r="G50" s="7">
        <v>2</v>
      </c>
      <c r="H50" s="22" t="s">
        <v>252</v>
      </c>
      <c r="I50" s="13">
        <v>42685.408321759256</v>
      </c>
      <c r="J50" s="7">
        <v>0</v>
      </c>
      <c r="K50" s="109" t="str">
        <f t="shared" si="0"/>
        <v>4043/4044</v>
      </c>
      <c r="L50" s="22" t="str">
        <f>VLOOKUP(A50,'Trips&amp;Operators'!$C$1:$E$10000,3,FALSE)</f>
        <v>MACDONALD</v>
      </c>
      <c r="M50" s="6">
        <f t="shared" si="1"/>
        <v>2.5243055555620231E-2</v>
      </c>
      <c r="N50" s="7">
        <f t="shared" si="2"/>
        <v>36.350000000093132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08:07:06-700',mode:absolute,to:'2016-11-11 10:47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23.298100000000002</v>
      </c>
      <c r="Z50" s="67">
        <f t="shared" si="9"/>
        <v>1.6E-2</v>
      </c>
      <c r="AA50" s="67">
        <f t="shared" si="10"/>
        <v>23.282100000000003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0138-11</v>
      </c>
      <c r="AE50" s="91" t="str">
        <f t="shared" si="12"/>
        <v>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 &amp; aws s3 cp s3://rtdc.mdm.uploadarchive.raw/RTDC4043/ "%USERPROFILE%\AppData\Local\Temp\OnboardLogs"\RTDC4043\2016-11-12 --exclude "*" --recursive --include "*20161112*" &amp; "%USERPROFILE%\Documents\GitHub\mrs-test-scripts\Headless Mode &amp; Sideloading\WalkAndUnGZ.bat" "%USERPROFILE%\AppData\Local\Temp\OnboardLogs"\RTDC4043\2016-11-12</v>
      </c>
      <c r="AF50" s="88" t="str">
        <f t="shared" si="13"/>
        <v>"C:\Program Files (x86)\AstroGrep\AstroGrep.exe" /spath="%USERPROFILE%\AppData\Local\Temp\OnboardLogs" /stypes="app*4043*20161111*" /stext=" 16:.+((SYSTEM_STATE.+slice.+state.+changed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138-11 --locoid 4043 --swversion DE.1.0.8.0 --startMP 204:232981 --initTime 2016-11-11T09:07:06 --startdatetime 2016-11-11T09:11:38 --delay 2 --endMP 204:160 --enddatetime 2016-11-11T09:47:59 --enforcementcount 0 &gt;&gt;C:\Users\stu\Documents\GitHub\eaglep3-reporting\EC\2016-11-11-refined-times.txt</v>
      </c>
      <c r="AI50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{"issue":{"subject":"","project_id":79,"tracker_id":40,"status_id":1,"priority_id":2,"assigned_to_id":23,"start_date":"2016-11-11","description":"","custom_fields":[{"id":1,"name":"Subdivision","value":"EC"},{"id":4,"name":"Milepost","value":"0.016"},{"id":17,"name":"Train ID","value":"138-11"},{"id":16,"name":"Locomotive ID","value":"4043"},{"id":130,"name":"Impact","value":""},{"id":150,"name":"Time of Event (Mountain Time)","value":"09:47:59"},{"id":151,"name":"Denver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488</v>
      </c>
      <c r="B51" s="7">
        <v>4003</v>
      </c>
      <c r="C51" s="22" t="s">
        <v>225</v>
      </c>
      <c r="D51" s="22" t="s">
        <v>227</v>
      </c>
      <c r="E51" s="13">
        <v>42685.353391203702</v>
      </c>
      <c r="F51" s="13">
        <v>42685.355844907404</v>
      </c>
      <c r="G51" s="7">
        <v>2</v>
      </c>
      <c r="H51" s="22" t="s">
        <v>203</v>
      </c>
      <c r="I51" s="13">
        <v>42685.387152777781</v>
      </c>
      <c r="J51" s="7">
        <v>0</v>
      </c>
      <c r="K51" s="109" t="str">
        <f t="shared" si="0"/>
        <v>4003/4004</v>
      </c>
      <c r="L51" s="22" t="str">
        <f>VLOOKUP(A51,'Trips&amp;Operators'!$C$1:$E$10000,3,FALSE)</f>
        <v>NICHOLSON</v>
      </c>
      <c r="M51" s="6">
        <f t="shared" si="1"/>
        <v>3.1307870376622304E-2</v>
      </c>
      <c r="N51" s="7">
        <f t="shared" si="2"/>
        <v>45.083333342336118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07:28:53-700',mode:absolute,to:'2016-11-11 10:17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4.58E-2</v>
      </c>
      <c r="Z51" s="67">
        <f t="shared" si="9"/>
        <v>23.329499999999999</v>
      </c>
      <c r="AA51" s="67">
        <f t="shared" si="10"/>
        <v>23.2837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1"/>
        <v>0139-11</v>
      </c>
      <c r="AE51" s="91" t="str">
        <f t="shared" si="12"/>
        <v>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 &amp; aws s3 cp s3://rtdc.mdm.uploadarchive.raw/RTDC4003/ "%USERPROFILE%\AppData\Local\Temp\OnboardLogs"\RTDC4003\2016-11-12 --exclude "*" --recursive --include "*20161112*" &amp; "%USERPROFILE%\Documents\GitHub\mrs-test-scripts\Headless Mode &amp; Sideloading\WalkAndUnGZ.bat" "%USERPROFILE%\AppData\Local\Temp\OnboardLogs"\RTDC4003\2016-11-12</v>
      </c>
      <c r="AF51" s="88" t="str">
        <f t="shared" si="13"/>
        <v>"C:\Program Files (x86)\AstroGrep\AstroGrep.exe" /spath="%USERPROFILE%\AppData\Local\Temp\OnboardLogs" /stypes="app*4003*20161111*" /stext=" 16:.+((SYSTEM_STATE.+slice.+state.+changed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139-11 --locoid 4003 --swversion DE.1.0.8.0 --startMP 204:458 --initTime 2016-11-11T08:28:53 --startdatetime 2016-11-11T08:32:25 --delay 2 --endMP 204:233295 --enddatetime 2016-11-11T09:17:30 --enforcementcount 0 &gt;&gt;C:\Users\stu\Documents\GitHub\eaglep3-reporting\EC\2016-11-11-refined-times.txt</v>
      </c>
      <c r="AI51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{"issue":{"subject":"","project_id":79,"tracker_id":40,"status_id":1,"priority_id":2,"assigned_to_id":23,"start_date":"2016-11-11","description":"","custom_fields":[{"id":1,"name":"Subdivision","value":"EC"},{"id":4,"name":"Milepost","value":"23.3295"},{"id":17,"name":"Train ID","value":"139-11"},{"id":16,"name":"Locomotive ID","value":"4003"},{"id":130,"name":"Impact","value":""},{"id":150,"name":"Time of Event (Mountain Time)","value":"09:17:30"},{"id":151,"name":"Denver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428</v>
      </c>
      <c r="B52" s="7">
        <v>4004</v>
      </c>
      <c r="C52" s="22" t="s">
        <v>225</v>
      </c>
      <c r="D52" s="22" t="s">
        <v>271</v>
      </c>
      <c r="E52" s="13">
        <v>42685.389548611114</v>
      </c>
      <c r="F52" s="13">
        <v>42685.393310185187</v>
      </c>
      <c r="G52" s="7">
        <v>2</v>
      </c>
      <c r="H52" s="22" t="s">
        <v>666</v>
      </c>
      <c r="I52" s="13">
        <v>42685.422395833331</v>
      </c>
      <c r="J52" s="7">
        <v>0</v>
      </c>
      <c r="K52" s="109" t="str">
        <f t="shared" si="0"/>
        <v>4003/4004</v>
      </c>
      <c r="L52" s="22" t="str">
        <f>VLOOKUP(A52,'Trips&amp;Operators'!$C$1:$E$10000,3,FALSE)</f>
        <v>NICHOLSON</v>
      </c>
      <c r="M52" s="6">
        <f t="shared" si="1"/>
        <v>2.9085648144246079E-2</v>
      </c>
      <c r="N52" s="7">
        <f t="shared" si="2"/>
        <v>41.883333327714354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08:20:57-700',mode:absolute,to:'2016-11-11 11:08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23.297799999999999</v>
      </c>
      <c r="Z52" s="67">
        <f t="shared" si="9"/>
        <v>1.32E-2</v>
      </c>
      <c r="AA52" s="67">
        <f t="shared" si="10"/>
        <v>23.284599999999998</v>
      </c>
      <c r="AB52" s="64" t="str">
        <f>VLOOKUP(A52,Enforcements!$C$7:$K$20,8,0)</f>
        <v>Speed (6)</v>
      </c>
      <c r="AC52" s="60" t="str">
        <f>VLOOKUP(A52,Enforcements!$C$7:$E$20,3,0)</f>
        <v>PERMANENT SPEED RESTRICTION</v>
      </c>
      <c r="AD52" s="61" t="str">
        <f t="shared" si="11"/>
        <v>0140-11</v>
      </c>
      <c r="AE52" s="91" t="str">
        <f t="shared" si="12"/>
        <v>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 &amp; 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</v>
      </c>
      <c r="AF52" s="88" t="str">
        <f t="shared" si="13"/>
        <v>"C:\Program Files (x86)\AstroGrep\AstroGrep.exe" /spath="%USERPROFILE%\AppData\Local\Temp\OnboardLogs" /stypes="app*4004*20161111*" /stext=" 17:.+((SYSTEM_STATE.+slice.+state.+changed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140-11 --locoid 4004 --swversion DE.1.0.8.0 --startMP 204:232978 --initTime 2016-11-11T09:20:57 --startdatetime 2016-11-11T09:26:22 --delay 2 --endMP 204:132 --enddatetime 2016-11-11T10:08:15 --enforcementcount 0 &gt;&gt;C:\Users\stu\Documents\GitHub\eaglep3-reporting\EC\2016-11-11-refined-times.txt</v>
      </c>
      <c r="AI52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{"issue":{"subject":"","project_id":79,"tracker_id":40,"status_id":1,"priority_id":2,"assigned_to_id":23,"start_date":"2016-11-11","description":"","custom_fields":[{"id":1,"name":"Subdivision","value":"EC"},{"id":4,"name":"Milepost","value":"0.0132"},{"id":17,"name":"Train ID","value":"140-11"},{"id":16,"name":"Locomotive ID","value":"4004"},{"id":130,"name":"Impact","value":""},{"id":150,"name":"Time of Event (Mountain Time)","value":"10:08:15"},{"id":151,"name":"Denver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491</v>
      </c>
      <c r="B53" s="7">
        <v>4018</v>
      </c>
      <c r="C53" s="22" t="s">
        <v>225</v>
      </c>
      <c r="D53" s="22" t="s">
        <v>261</v>
      </c>
      <c r="E53" s="13">
        <v>42685.358749999999</v>
      </c>
      <c r="F53" s="13">
        <v>42685.36482638889</v>
      </c>
      <c r="G53" s="7">
        <v>2</v>
      </c>
      <c r="H53" s="22" t="s">
        <v>667</v>
      </c>
      <c r="I53" s="13">
        <v>42685.389155092591</v>
      </c>
      <c r="J53" s="7">
        <v>0</v>
      </c>
      <c r="K53" s="109" t="str">
        <f t="shared" si="0"/>
        <v>4017/4018</v>
      </c>
      <c r="L53" s="22" t="str">
        <f>VLOOKUP(A53,'Trips&amp;Operators'!$C$1:$E$10000,3,FALSE)</f>
        <v>MAELZER</v>
      </c>
      <c r="M53" s="6">
        <f t="shared" si="1"/>
        <v>2.4328703701030463E-2</v>
      </c>
      <c r="N53" s="7">
        <f t="shared" si="2"/>
        <v>35.033333329483867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07:36:36-700',mode:absolute,to:'2016-11-11 10:20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4.7699999999999999E-2</v>
      </c>
      <c r="Z53" s="67">
        <f t="shared" si="9"/>
        <v>23.331499999999998</v>
      </c>
      <c r="AA53" s="67">
        <f t="shared" si="10"/>
        <v>23.283799999999999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0141-11</v>
      </c>
      <c r="AE53" s="91" t="str">
        <f t="shared" si="12"/>
        <v>aws s3 cp s3://rtdc.mdm.uploadarchive.raw/RTDC4018/ "%USERPROFILE%\AppData\Local\Temp\OnboardLogs"\RTDC4018\2016-11-11 --exclude "*" --recursive --include "*20161111*" &amp; "%USERPROFILE%\Documents\GitHub\mrs-test-scripts\Headless Mode &amp; Sideloading\WalkAndUnGZ.bat" "%USERPROFILE%\AppData\Local\Temp\OnboardLogs"\RTDC4018\2016-11-11 &amp; aws s3 cp s3://rtdc.mdm.uploadarchive.raw/RTDC4018/ "%USERPROFILE%\AppData\Local\Temp\OnboardLogs"\RTDC4018\2016-11-12 --exclude "*" --recursive --include "*20161112*" &amp; "%USERPROFILE%\Documents\GitHub\mrs-test-scripts\Headless Mode &amp; Sideloading\WalkAndUnGZ.bat" "%USERPROFILE%\AppData\Local\Temp\OnboardLogs"\RTDC4018\2016-11-12</v>
      </c>
      <c r="AF53" s="88" t="str">
        <f t="shared" si="13"/>
        <v>"C:\Program Files (x86)\AstroGrep\AstroGrep.exe" /spath="%USERPROFILE%\AppData\Local\Temp\OnboardLogs" /stypes="app*4018*20161111*"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141-11 --locoid 4018 --swversion DE.1.0.8.0 --startMP 204:477 --initTime 2016-11-11T08:36:36 --startdatetime 2016-11-11T08:45:21 --delay 2 --endMP 204:233315 --enddatetime 2016-11-11T09:20:23 --enforcementcount 0 &gt;&gt;C:\Users\stu\Documents\GitHub\eaglep3-reporting\EC\2016-11-11-refined-times.txt</v>
      </c>
      <c r="AI53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{"issue":{"subject":"","project_id":79,"tracker_id":40,"status_id":1,"priority_id":2,"assigned_to_id":23,"start_date":"2016-11-11","description":"","custom_fields":[{"id":1,"name":"Subdivision","value":"EC"},{"id":4,"name":"Milepost","value":"23.3315"},{"id":17,"name":"Train ID","value":"141-11"},{"id":16,"name":"Locomotive ID","value":"4018"},{"id":130,"name":"Impact","value":""},{"id":150,"name":"Time of Event (Mountain Time)","value":"09:20:23"},{"id":151,"name":"Denver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497</v>
      </c>
      <c r="B54" s="7">
        <v>4017</v>
      </c>
      <c r="C54" s="22" t="s">
        <v>225</v>
      </c>
      <c r="D54" s="22" t="s">
        <v>668</v>
      </c>
      <c r="E54" s="13">
        <v>42685.39949074074</v>
      </c>
      <c r="F54" s="13">
        <v>42685.40384259259</v>
      </c>
      <c r="G54" s="7">
        <v>1</v>
      </c>
      <c r="H54" s="22" t="s">
        <v>666</v>
      </c>
      <c r="I54" s="13">
        <v>42685.429398148146</v>
      </c>
      <c r="J54" s="7">
        <v>0</v>
      </c>
      <c r="K54" s="109" t="str">
        <f t="shared" si="0"/>
        <v>4017/4018</v>
      </c>
      <c r="L54" s="22" t="str">
        <f>VLOOKUP(A54,'Trips&amp;Operators'!$C$1:$E$10000,3,FALSE)</f>
        <v>MAELZER</v>
      </c>
      <c r="M54" s="6">
        <f t="shared" si="1"/>
        <v>2.5555555555911269E-2</v>
      </c>
      <c r="N54" s="7">
        <f t="shared" si="2"/>
        <v>36.800000000512227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08:35:16-700',mode:absolute,to:'2016-11-11 11:18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23.300999999999998</v>
      </c>
      <c r="Z54" s="67">
        <f t="shared" si="9"/>
        <v>1.32E-2</v>
      </c>
      <c r="AA54" s="67">
        <f t="shared" si="10"/>
        <v>23.287799999999997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0142-11</v>
      </c>
      <c r="AE54" s="91" t="str">
        <f t="shared" si="12"/>
        <v>aws s3 cp s3://rtdc.mdm.uploadarchive.raw/RTDC4017/ "%USERPROFILE%\AppData\Local\Temp\OnboardLogs"\RTDC4017\2016-11-11 --exclude "*" --recursive --include "*20161111*" &amp; "%USERPROFILE%\Documents\GitHub\mrs-test-scripts\Headless Mode &amp; Sideloading\WalkAndUnGZ.bat" "%USERPROFILE%\AppData\Local\Temp\OnboardLogs"\RTDC4017\2016-11-11 &amp; aws s3 cp s3://rtdc.mdm.uploadarchive.raw/RTDC4017/ "%USERPROFILE%\AppData\Local\Temp\OnboardLogs"\RTDC4017\2016-11-12 --exclude "*" --recursive --include "*20161112*" &amp; "%USERPROFILE%\Documents\GitHub\mrs-test-scripts\Headless Mode &amp; Sideloading\WalkAndUnGZ.bat" "%USERPROFILE%\AppData\Local\Temp\OnboardLogs"\RTDC4017\2016-11-12</v>
      </c>
      <c r="AF54" s="88" t="str">
        <f t="shared" si="13"/>
        <v>"C:\Program Files (x86)\AstroGrep\AstroGrep.exe" /spath="%USERPROFILE%\AppData\Local\Temp\OnboardLogs" /stypes="app*4017*20161111*" /stext=" 17:.+((SYSTEM_STATE.+slice.+state.+changed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142-11 --locoid 4017 --swversion DE.1.0.8.0 --startMP 204:233010 --initTime 2016-11-11T09:35:16 --startdatetime 2016-11-11T09:41:32 --delay 1 --endMP 204:132 --enddatetime 2016-11-11T10:18:20 --enforcementcount 0 &gt;&gt;C:\Users\stu\Documents\GitHub\eaglep3-reporting\EC\2016-11-11-refined-times.txt</v>
      </c>
      <c r="AI54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{"issue":{"subject":"","project_id":79,"tracker_id":40,"status_id":1,"priority_id":2,"assigned_to_id":23,"start_date":"2016-11-11","description":"","custom_fields":[{"id":1,"name":"Subdivision","value":"EC"},{"id":4,"name":"Milepost","value":"0.0132"},{"id":17,"name":"Train ID","value":"142-11"},{"id":16,"name":"Locomotive ID","value":"4017"},{"id":130,"name":"Impact","value":""},{"id":150,"name":"Time of Event (Mountain Time)","value":"10:18:20"},{"id":151,"name":"Denver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493</v>
      </c>
      <c r="B55" s="7">
        <v>4031</v>
      </c>
      <c r="C55" s="22" t="s">
        <v>225</v>
      </c>
      <c r="D55" s="22" t="s">
        <v>222</v>
      </c>
      <c r="E55" s="13">
        <v>42685.370266203703</v>
      </c>
      <c r="F55" s="13">
        <v>42685.375462962962</v>
      </c>
      <c r="G55" s="7">
        <v>1</v>
      </c>
      <c r="H55" s="22" t="s">
        <v>281</v>
      </c>
      <c r="I55" s="13">
        <v>42685.40079861111</v>
      </c>
      <c r="J55" s="7">
        <v>0</v>
      </c>
      <c r="K55" s="109" t="str">
        <f t="shared" si="0"/>
        <v>4031/4032</v>
      </c>
      <c r="L55" s="22" t="str">
        <f>VLOOKUP(A55,'Trips&amp;Operators'!$C$1:$E$10000,3,FALSE)</f>
        <v>PERKINS</v>
      </c>
      <c r="M55" s="6">
        <f t="shared" si="1"/>
        <v>2.5335648148029577E-2</v>
      </c>
      <c r="N55" s="7">
        <f t="shared" si="2"/>
        <v>36.483333333162591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07:53:11-700',mode:absolute,to:'2016-11-11 10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4.5699999999999998E-2</v>
      </c>
      <c r="Z55" s="67">
        <f t="shared" si="9"/>
        <v>23.329899999999999</v>
      </c>
      <c r="AA55" s="67">
        <f t="shared" si="10"/>
        <v>23.284199999999998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0143-11</v>
      </c>
      <c r="AE55" s="91" t="str">
        <f t="shared" si="12"/>
        <v>aws s3 cp s3://rtdc.mdm.uploadarchive.raw/RTDC4031/ "%USERPROFILE%\AppData\Local\Temp\OnboardLogs"\RTDC4031\2016-11-11 --exclude "*" --recursive --include "*20161111*" &amp; "%USERPROFILE%\Documents\GitHub\mrs-test-scripts\Headless Mode &amp; Sideloading\WalkAndUnGZ.bat" "%USERPROFILE%\AppData\Local\Temp\OnboardLogs"\RTDC4031\2016-11-11 &amp; aws s3 cp s3://rtdc.mdm.uploadarchive.raw/RTDC4031/ "%USERPROFILE%\AppData\Local\Temp\OnboardLogs"\RTDC4031\2016-11-12 --exclude "*" --recursive --include "*20161112*" &amp; "%USERPROFILE%\Documents\GitHub\mrs-test-scripts\Headless Mode &amp; Sideloading\WalkAndUnGZ.bat" "%USERPROFILE%\AppData\Local\Temp\OnboardLogs"\RTDC4031\2016-11-12</v>
      </c>
      <c r="AF55" s="88" t="str">
        <f t="shared" si="13"/>
        <v>"C:\Program Files (x86)\AstroGrep\AstroGrep.exe" /spath="%USERPROFILE%\AppData\Local\Temp\OnboardLogs" /stypes="app*4031*20161111*"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143-11 --locoid 4031 --swversion DE.1.0.8.0 --startMP 204:457 --initTime 2016-11-11T08:53:11 --startdatetime 2016-11-11T09:00:40 --delay 1 --endMP 204:233299 --enddatetime 2016-11-11T09:37:09 --enforcementcount 0 &gt;&gt;C:\Users\stu\Documents\GitHub\eaglep3-reporting\EC\2016-11-11-refined-times.txt</v>
      </c>
      <c r="AI55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{"issue":{"subject":"","project_id":79,"tracker_id":40,"status_id":1,"priority_id":2,"assigned_to_id":23,"start_date":"2016-11-11","description":"","custom_fields":[{"id":1,"name":"Subdivision","value":"EC"},{"id":4,"name":"Milepost","value":"23.3299"},{"id":17,"name":"Train ID","value":"143-11"},{"id":16,"name":"Locomotive ID","value":"4031"},{"id":130,"name":"Impact","value":""},{"id":150,"name":"Time of Event (Mountain Time)","value":"09:37:09"},{"id":151,"name":"Denver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431</v>
      </c>
      <c r="B56" s="7">
        <v>4032</v>
      </c>
      <c r="C56" s="22" t="s">
        <v>225</v>
      </c>
      <c r="D56" s="22" t="s">
        <v>239</v>
      </c>
      <c r="E56" s="13">
        <v>42685.408101851855</v>
      </c>
      <c r="F56" s="13">
        <v>42685.414236111108</v>
      </c>
      <c r="G56" s="7">
        <v>1</v>
      </c>
      <c r="H56" s="22" t="s">
        <v>313</v>
      </c>
      <c r="I56" s="13">
        <v>42685.441192129627</v>
      </c>
      <c r="J56" s="7">
        <v>0</v>
      </c>
      <c r="K56" s="109" t="str">
        <f t="shared" si="0"/>
        <v>4031/4032</v>
      </c>
      <c r="L56" s="22" t="str">
        <f>VLOOKUP(A56,'Trips&amp;Operators'!$C$1:$E$10000,3,FALSE)</f>
        <v>PERKINS</v>
      </c>
      <c r="M56" s="6">
        <f t="shared" si="1"/>
        <v>2.6956018518831115E-2</v>
      </c>
      <c r="N56" s="7">
        <f t="shared" si="2"/>
        <v>38.816666667116806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08:47:40-700',mode:absolute,to:'2016-11-11 11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23.298200000000001</v>
      </c>
      <c r="Z56" s="67">
        <f t="shared" si="9"/>
        <v>1.7600000000000001E-2</v>
      </c>
      <c r="AA56" s="67">
        <f t="shared" si="10"/>
        <v>23.2806</v>
      </c>
      <c r="AB56" s="64" t="str">
        <f>VLOOKUP(A56,Enforcements!$C$7:$K$20,8,0)</f>
        <v>Speed (6)</v>
      </c>
      <c r="AC56" s="60" t="str">
        <f>VLOOKUP(A56,Enforcements!$C$7:$E$20,3,0)</f>
        <v>PERMANENT SPEED RESTRICTION</v>
      </c>
      <c r="AD56" s="61" t="str">
        <f t="shared" si="11"/>
        <v>0144-11</v>
      </c>
      <c r="AE56" s="91" t="str">
        <f t="shared" si="12"/>
        <v>aws s3 cp s3://rtdc.mdm.uploadarchive.raw/RTDC4032/ "%USERPROFILE%\AppData\Local\Temp\OnboardLogs"\RTDC4032\2016-11-11 --exclude "*" --recursive --include "*20161111*" &amp; "%USERPROFILE%\Documents\GitHub\mrs-test-scripts\Headless Mode &amp; Sideloading\WalkAndUnGZ.bat" "%USERPROFILE%\AppData\Local\Temp\OnboardLogs"\RTDC4032\2016-11-11 &amp; aws s3 cp s3://rtdc.mdm.uploadarchive.raw/RTDC4032/ "%USERPROFILE%\AppData\Local\Temp\OnboardLogs"\RTDC4032\2016-11-12 --exclude "*" --recursive --include "*20161112*" &amp; "%USERPROFILE%\Documents\GitHub\mrs-test-scripts\Headless Mode &amp; Sideloading\WalkAndUnGZ.bat" "%USERPROFILE%\AppData\Local\Temp\OnboardLogs"\RTDC4032\2016-11-12</v>
      </c>
      <c r="AF56" s="88" t="str">
        <f t="shared" si="13"/>
        <v>"C:\Program Files (x86)\AstroGrep\AstroGrep.exe" /spath="%USERPROFILE%\AppData\Local\Temp\OnboardLogs" /stypes="app*4032*20161111*" /stext=" 17:.+((SYSTEM_STATE.+slice.+state.+changed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144-11 --locoid 4032 --swversion DE.1.0.8.0 --startMP 204:232982 --initTime 2016-11-11T09:47:40 --startdatetime 2016-11-11T09:56:30 --delay 1 --endMP 204:176 --enddatetime 2016-11-11T10:35:19 --enforcementcount 0 &gt;&gt;C:\Users\stu\Documents\GitHub\eaglep3-reporting\EC\2016-11-11-refined-times.txt</v>
      </c>
      <c r="AI56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{"issue":{"subject":"","project_id":79,"tracker_id":40,"status_id":1,"priority_id":2,"assigned_to_id":23,"start_date":"2016-11-11","description":"","custom_fields":[{"id":1,"name":"Subdivision","value":"EC"},{"id":4,"name":"Milepost","value":"0.0176"},{"id":17,"name":"Train ID","value":"144-11"},{"id":16,"name":"Locomotive ID","value":"4032"},{"id":130,"name":"Impact","value":""},{"id":150,"name":"Time of Event (Mountain Time)","value":"10:35:19"},{"id":151,"name":"Denver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494</v>
      </c>
      <c r="B57" s="7">
        <v>4025</v>
      </c>
      <c r="C57" s="22" t="s">
        <v>225</v>
      </c>
      <c r="D57" s="22" t="s">
        <v>260</v>
      </c>
      <c r="E57" s="13">
        <v>42685.379918981482</v>
      </c>
      <c r="F57" s="13">
        <v>42685.385625000003</v>
      </c>
      <c r="G57" s="7">
        <v>1</v>
      </c>
      <c r="H57" s="22" t="s">
        <v>669</v>
      </c>
      <c r="I57" s="13">
        <v>42685.411064814813</v>
      </c>
      <c r="J57" s="7">
        <v>0</v>
      </c>
      <c r="K57" s="109" t="str">
        <f t="shared" si="0"/>
        <v>4025/4026</v>
      </c>
      <c r="L57" s="22" t="str">
        <f>VLOOKUP(A57,'Trips&amp;Operators'!$C$1:$E$10000,3,FALSE)</f>
        <v>DAVIS</v>
      </c>
      <c r="M57" s="6">
        <f t="shared" si="1"/>
        <v>2.5439814809942618E-2</v>
      </c>
      <c r="N57" s="7">
        <f t="shared" si="2"/>
        <v>36.63333332631737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08:07:05-700',mode:absolute,to:'2016-11-11 10:51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4.3999999999999997E-2</v>
      </c>
      <c r="Z57" s="67">
        <f t="shared" si="9"/>
        <v>23.3308</v>
      </c>
      <c r="AA57" s="67">
        <f t="shared" si="10"/>
        <v>23.286799999999999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0145-11</v>
      </c>
      <c r="AE57" s="91" t="str">
        <f t="shared" si="12"/>
        <v>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 &amp; 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</v>
      </c>
      <c r="AF57" s="88" t="str">
        <f t="shared" si="13"/>
        <v>"C:\Program Files (x86)\AstroGrep\AstroGrep.exe" /spath="%USERPROFILE%\AppData\Local\Temp\OnboardLogs" /stypes="app*4025*20161111*"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145-11 --locoid 4025 --swversion DE.1.0.8.0 --startMP 204:440 --initTime 2016-11-11T09:07:05 --startdatetime 2016-11-11T09:15:18 --delay 1 --endMP 204:233308 --enddatetime 2016-11-11T09:51:56 --enforcementcount 0 &gt;&gt;C:\Users\stu\Documents\GitHub\eaglep3-reporting\EC\2016-11-11-refined-times.txt</v>
      </c>
      <c r="AI57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{"issue":{"subject":"","project_id":79,"tracker_id":40,"status_id":1,"priority_id":2,"assigned_to_id":23,"start_date":"2016-11-11","description":"","custom_fields":[{"id":1,"name":"Subdivision","value":"EC"},{"id":4,"name":"Milepost","value":"23.3308"},{"id":17,"name":"Train ID","value":"145-11"},{"id":16,"name":"Locomotive ID","value":"4025"},{"id":130,"name":"Impact","value":""},{"id":150,"name":"Time of Event (Mountain Time)","value":"09:51:56"},{"id":151,"name":"Denver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432</v>
      </c>
      <c r="B58" s="7">
        <v>4026</v>
      </c>
      <c r="C58" s="22" t="s">
        <v>225</v>
      </c>
      <c r="D58" s="22" t="s">
        <v>654</v>
      </c>
      <c r="E58" s="13">
        <v>42685.421215277776</v>
      </c>
      <c r="F58" s="13">
        <v>42685.424479166664</v>
      </c>
      <c r="G58" s="7">
        <v>1</v>
      </c>
      <c r="H58" s="22" t="s">
        <v>199</v>
      </c>
      <c r="I58" s="13">
        <v>42685.451874999999</v>
      </c>
      <c r="J58" s="7">
        <v>0</v>
      </c>
      <c r="K58" s="109" t="str">
        <f t="shared" si="0"/>
        <v>4025/4026</v>
      </c>
      <c r="L58" s="22" t="str">
        <f>VLOOKUP(A58,'Trips&amp;Operators'!$C$1:$E$10000,3,FALSE)</f>
        <v>DAVIS</v>
      </c>
      <c r="M58" s="6">
        <f t="shared" si="1"/>
        <v>2.7395833334594499E-2</v>
      </c>
      <c r="N58" s="7">
        <f t="shared" si="2"/>
        <v>39.450000001816079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09:06:33-700',mode:absolute,to:'2016-11-11 11:50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23.2987</v>
      </c>
      <c r="Z58" s="67">
        <f t="shared" si="9"/>
        <v>1.43E-2</v>
      </c>
      <c r="AA58" s="67">
        <f t="shared" si="10"/>
        <v>23.284400000000002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0146-11</v>
      </c>
      <c r="AE58" s="91" t="str">
        <f t="shared" si="12"/>
        <v>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 &amp; 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</v>
      </c>
      <c r="AF58" s="88" t="str">
        <f t="shared" si="13"/>
        <v>"C:\Program Files (x86)\AstroGrep\AstroGrep.exe" /spath="%USERPROFILE%\AppData\Local\Temp\OnboardLogs" /stypes="app*4026*20161111*" /stext=" 17:.+((SYSTEM_STATE.+slice.+state.+changed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146-11 --locoid 4026 --swversion DE.1.0.8.0 --startMP 204:232987 --initTime 2016-11-11T10:06:33 --startdatetime 2016-11-11T10:11:15 --delay 1 --endMP 204:143 --enddatetime 2016-11-11T10:50:42 --enforcementcount 0 &gt;&gt;C:\Users\stu\Documents\GitHub\eaglep3-reporting\EC\2016-11-11-refined-times.txt</v>
      </c>
      <c r="AI58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{"issue":{"subject":"","project_id":79,"tracker_id":40,"status_id":1,"priority_id":2,"assigned_to_id":23,"start_date":"2016-11-11","description":"","custom_fields":[{"id":1,"name":"Subdivision","value":"EC"},{"id":4,"name":"Milepost","value":"0.0143"},{"id":17,"name":"Train ID","value":"146-11"},{"id":16,"name":"Locomotive ID","value":"4026"},{"id":130,"name":"Impact","value":""},{"id":150,"name":"Time of Event (Mountain Time)","value":"10:50:42"},{"id":151,"name":"Denver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496</v>
      </c>
      <c r="B59" s="7">
        <v>4040</v>
      </c>
      <c r="C59" s="22" t="s">
        <v>225</v>
      </c>
      <c r="D59" s="22" t="s">
        <v>200</v>
      </c>
      <c r="E59" s="13">
        <v>42685.392013888886</v>
      </c>
      <c r="F59" s="13">
        <v>42685.396597222221</v>
      </c>
      <c r="G59" s="7">
        <v>1</v>
      </c>
      <c r="H59" s="22" t="s">
        <v>203</v>
      </c>
      <c r="I59" s="13">
        <v>42685.420254629629</v>
      </c>
      <c r="J59" s="7">
        <v>0</v>
      </c>
      <c r="K59" s="109" t="str">
        <f t="shared" si="0"/>
        <v>4039/4040</v>
      </c>
      <c r="L59" s="22" t="str">
        <f>VLOOKUP(A59,'Trips&amp;Operators'!$C$1:$E$10000,3,FALSE)</f>
        <v>MALAVE</v>
      </c>
      <c r="M59" s="6">
        <f t="shared" si="1"/>
        <v>2.3657407407881692E-2</v>
      </c>
      <c r="N59" s="7">
        <f t="shared" si="2"/>
        <v>34.066666667349637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08:24:30-700',mode:absolute,to:'2016-11-11 11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4.4699999999999997E-2</v>
      </c>
      <c r="Z59" s="67">
        <f t="shared" si="9"/>
        <v>23.329499999999999</v>
      </c>
      <c r="AA59" s="67">
        <f t="shared" si="10"/>
        <v>23.284800000000001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1"/>
        <v>0147-11</v>
      </c>
      <c r="AE59" s="91" t="str">
        <f t="shared" si="12"/>
        <v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v>
      </c>
      <c r="AF59" s="88" t="str">
        <f t="shared" si="13"/>
        <v>"C:\Program Files (x86)\AstroGrep\AstroGrep.exe" /spath="%USERPROFILE%\AppData\Local\Temp\OnboardLogs" /stypes="app*4040*20161111*" /stext=" 17:.+((SYSTEM_STATE.+slice.+state.+changed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147-11 --locoid 4040 --swversion DE.1.0.8.0 --startMP 204:447 --initTime 2016-11-11T09:24:30 --startdatetime 2016-11-11T09:31:06 --delay 1 --endMP 204:233295 --enddatetime 2016-11-11T10:05:10 --enforcementcount 0 &gt;&gt;C:\Users\stu\Documents\GitHub\eaglep3-reporting\EC\2016-11-11-refined-times.txt</v>
      </c>
      <c r="AI59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{"issue":{"subject":"","project_id":79,"tracker_id":40,"status_id":1,"priority_id":2,"assigned_to_id":23,"start_date":"2016-11-11","description":"","custom_fields":[{"id":1,"name":"Subdivision","value":"EC"},{"id":4,"name":"Milepost","value":"23.3295"},{"id":17,"name":"Train ID","value":"147-11"},{"id":16,"name":"Locomotive ID","value":"4040"},{"id":130,"name":"Impact","value":""},{"id":150,"name":"Time of Event (Mountain Time)","value":"10:05:10"},{"id":151,"name":"Denver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29" customFormat="1" x14ac:dyDescent="0.25">
      <c r="A60" s="37" t="s">
        <v>502</v>
      </c>
      <c r="B60" s="7">
        <v>4039</v>
      </c>
      <c r="C60" s="22" t="s">
        <v>225</v>
      </c>
      <c r="D60" s="22" t="s">
        <v>285</v>
      </c>
      <c r="E60" s="13">
        <v>42685.433854166666</v>
      </c>
      <c r="F60" s="13">
        <v>42685.434976851851</v>
      </c>
      <c r="G60" s="7">
        <v>1</v>
      </c>
      <c r="H60" s="22" t="s">
        <v>223</v>
      </c>
      <c r="I60" s="13">
        <v>42685.463460648149</v>
      </c>
      <c r="J60" s="7">
        <v>0</v>
      </c>
      <c r="K60" s="109" t="str">
        <f t="shared" si="0"/>
        <v>4039/4040</v>
      </c>
      <c r="L60" s="22" t="str">
        <f>VLOOKUP(A60,'Trips&amp;Operators'!$C$1:$E$10000,3,FALSE)</f>
        <v>MALAVE</v>
      </c>
      <c r="M60" s="6">
        <f t="shared" si="1"/>
        <v>2.8483796297223307E-2</v>
      </c>
      <c r="N60" s="7">
        <f t="shared" si="2"/>
        <v>41.016666668001562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09:24:45-700',mode:absolute,to:'2016-11-11 12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23.2973</v>
      </c>
      <c r="Z60" s="67">
        <f t="shared" si="9"/>
        <v>1.61E-2</v>
      </c>
      <c r="AA60" s="67">
        <f t="shared" si="10"/>
        <v>23.281199999999998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1"/>
        <v>0148-11</v>
      </c>
      <c r="AE60" s="91" t="str">
        <f t="shared" si="12"/>
        <v>aws s3 cp s3://rtdc.mdm.uploadarchive.raw/RTDC4039/ "%USERPROFILE%\AppData\Local\Temp\OnboardLogs"\RTDC4039\2016-11-11 --exclude "*" --recursive --include "*20161111*" &amp; "%USERPROFILE%\Documents\GitHub\mrs-test-scripts\Headless Mode &amp; Sideloading\WalkAndUnGZ.bat" "%USERPROFILE%\AppData\Local\Temp\OnboardLogs"\RTDC4039\2016-11-11 &amp; aws s3 cp s3://rtdc.mdm.uploadarchive.raw/RTDC4039/ "%USERPROFILE%\AppData\Local\Temp\OnboardLogs"\RTDC4039\2016-11-12 --exclude "*" --recursive --include "*20161112*" &amp; "%USERPROFILE%\Documents\GitHub\mrs-test-scripts\Headless Mode &amp; Sideloading\WalkAndUnGZ.bat" "%USERPROFILE%\AppData\Local\Temp\OnboardLogs"\RTDC4039\2016-11-12</v>
      </c>
      <c r="AF60" s="88" t="str">
        <f t="shared" si="13"/>
        <v>"C:\Program Files (x86)\AstroGrep\AstroGrep.exe" /spath="%USERPROFILE%\AppData\Local\Temp\OnboardLogs" /stypes="app*4039*20161111*" /stext=" 18:.+((SYSTEM_STATE.+slice.+state.+changed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148-11 --locoid 4039 --swversion DE.1.0.8.0 --startMP 204:232973 --initTime 2016-11-11T10:24:45 --startdatetime 2016-11-11T10:26:22 --delay 1 --endMP 204:161 --enddatetime 2016-11-11T11:07:23 --enforcementcount 0 &gt;&gt;C:\Users\stu\Documents\GitHub\eaglep3-reporting\EC\2016-11-11-refined-times.txt</v>
      </c>
      <c r="AI60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{"issue":{"subject":"","project_id":79,"tracker_id":40,"status_id":1,"priority_id":2,"assigned_to_id":23,"start_date":"2016-11-11","description":"","custom_fields":[{"id":1,"name":"Subdivision","value":"EC"},{"id":4,"name":"Milepost","value":"0.0161"},{"id":17,"name":"Train ID","value":"148-11"},{"id":16,"name":"Locomotive ID","value":"4039"},{"id":130,"name":"Impact","value":""},{"id":150,"name":"Time of Event (Mountain Time)","value":"11:07:23"},{"id":151,"name":"Denver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430</v>
      </c>
      <c r="B61" s="7">
        <v>4009</v>
      </c>
      <c r="C61" s="22" t="s">
        <v>225</v>
      </c>
      <c r="D61" s="22" t="s">
        <v>227</v>
      </c>
      <c r="E61" s="13">
        <v>42685.402233796296</v>
      </c>
      <c r="F61" s="13">
        <v>42685.406412037039</v>
      </c>
      <c r="G61" s="7">
        <v>2</v>
      </c>
      <c r="H61" s="22" t="s">
        <v>238</v>
      </c>
      <c r="I61" s="13">
        <v>42685.432256944441</v>
      </c>
      <c r="J61" s="7">
        <v>0</v>
      </c>
      <c r="K61" s="109" t="str">
        <f t="shared" si="0"/>
        <v>4009/4010</v>
      </c>
      <c r="L61" s="22" t="str">
        <f>VLOOKUP(A61,'Trips&amp;Operators'!$C$1:$E$10000,3,FALSE)</f>
        <v>RICHARDSON</v>
      </c>
      <c r="M61" s="6">
        <f t="shared" si="1"/>
        <v>2.5844907402643003E-2</v>
      </c>
      <c r="N61" s="7">
        <f t="shared" si="2"/>
        <v>37.216666659805924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08:39:13-700',mode:absolute,to:'2016-11-11 11:22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4.58E-2</v>
      </c>
      <c r="Z61" s="67">
        <f t="shared" si="9"/>
        <v>23.329799999999999</v>
      </c>
      <c r="AA61" s="67">
        <f t="shared" si="10"/>
        <v>23.283999999999999</v>
      </c>
      <c r="AB61" s="64" t="str">
        <f>VLOOKUP(A61,Enforcements!$C$7:$K$20,8,0)</f>
        <v>Bulletin (2)</v>
      </c>
      <c r="AC61" s="60" t="str">
        <f>VLOOKUP(A61,Enforcements!$C$7:$E$20,3,0)</f>
        <v>GRADE CROSSING</v>
      </c>
      <c r="AD61" s="61" t="str">
        <f t="shared" si="11"/>
        <v>0149-11</v>
      </c>
      <c r="AE61" s="91" t="str">
        <f t="shared" si="12"/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AF61" s="88" t="str">
        <f t="shared" si="13"/>
        <v>"C:\Program Files (x86)\AstroGrep\AstroGrep.exe" /spath="%USERPROFILE%\AppData\Local\Temp\OnboardLogs" /stypes="app*4009*20161111*"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149-11 --locoid 4009 --swversion DE.1.0.8.0 --startMP 204:458 --initTime 2016-11-11T09:39:13 --startdatetime 2016-11-11T09:45:14 --delay 2 --endMP 204:233298 --enddatetime 2016-11-11T10:22:27 --enforcementcount 0 &gt;&gt;C:\Users\stu\Documents\GitHub\eaglep3-reporting\EC\2016-11-11-refined-times.txt</v>
      </c>
      <c r="AI61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{"issue":{"subject":"","project_id":79,"tracker_id":40,"status_id":1,"priority_id":2,"assigned_to_id":23,"start_date":"2016-11-11","description":"","custom_fields":[{"id":1,"name":"Subdivision","value":"EC"},{"id":4,"name":"Milepost","value":"23.3298"},{"id":17,"name":"Train ID","value":"149-11"},{"id":16,"name":"Locomotive ID","value":"4009"},{"id":130,"name":"Impact","value":""},{"id":150,"name":"Time of Event (Mountain Time)","value":"10:22:27"},{"id":151,"name":"Denver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505</v>
      </c>
      <c r="B62" s="7">
        <v>4010</v>
      </c>
      <c r="C62" s="22" t="s">
        <v>225</v>
      </c>
      <c r="D62" s="22" t="s">
        <v>670</v>
      </c>
      <c r="E62" s="13">
        <v>42685.438981481479</v>
      </c>
      <c r="F62" s="13">
        <v>42685.445324074077</v>
      </c>
      <c r="G62" s="7">
        <v>1</v>
      </c>
      <c r="H62" s="22" t="s">
        <v>198</v>
      </c>
      <c r="I62" s="13">
        <v>42685.473391203705</v>
      </c>
      <c r="J62" s="7">
        <v>0</v>
      </c>
      <c r="K62" s="109" t="str">
        <f t="shared" si="0"/>
        <v>4009/4010</v>
      </c>
      <c r="L62" s="22" t="str">
        <f>VLOOKUP(A62,'Trips&amp;Operators'!$C$1:$E$10000,3,FALSE)</f>
        <v>RICHARDSON</v>
      </c>
      <c r="M62" s="6">
        <f t="shared" si="1"/>
        <v>2.806712962774327E-2</v>
      </c>
      <c r="N62" s="7">
        <f t="shared" si="2"/>
        <v>40.416666663950309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09:32:08-700',mode:absolute,to:'2016-11-11 12:21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23.298300000000001</v>
      </c>
      <c r="Z62" s="67">
        <f t="shared" si="9"/>
        <v>1.49E-2</v>
      </c>
      <c r="AA62" s="67">
        <f t="shared" si="10"/>
        <v>23.2834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0150-11</v>
      </c>
      <c r="AE62" s="91" t="str">
        <f t="shared" si="12"/>
        <v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v>
      </c>
      <c r="AF62" s="88" t="str">
        <f t="shared" si="13"/>
        <v>"C:\Program Files (x86)\AstroGrep\AstroGrep.exe" /spath="%USERPROFILE%\AppData\Local\Temp\OnboardLogs" /stypes="app*4010*20161111*" /stext=" 18:.+((SYSTEM_STATE.+slice.+state.+changed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150-11 --locoid 4010 --swversion DE.1.0.8.0 --startMP 204:232983 --initTime 2016-11-11T10:32:08 --startdatetime 2016-11-11T10:41:16 --delay 1 --endMP 204:149 --enddatetime 2016-11-11T11:21:41 --enforcementcount 0 &gt;&gt;C:\Users\stu\Documents\GitHub\eaglep3-reporting\EC\2016-11-11-refined-times.txt</v>
      </c>
      <c r="AI62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{"issue":{"subject":"","project_id":79,"tracker_id":40,"status_id":1,"priority_id":2,"assigned_to_id":23,"start_date":"2016-11-11","description":"","custom_fields":[{"id":1,"name":"Subdivision","value":"EC"},{"id":4,"name":"Milepost","value":"0.0149"},{"id":17,"name":"Train ID","value":"150-11"},{"id":16,"name":"Locomotive ID","value":"4010"},{"id":130,"name":"Impact","value":""},{"id":150,"name":"Time of Event (Mountain Time)","value":"11:21:41"},{"id":151,"name":"Denver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498</v>
      </c>
      <c r="B63" s="7">
        <v>4044</v>
      </c>
      <c r="C63" s="22" t="s">
        <v>225</v>
      </c>
      <c r="D63" s="22" t="s">
        <v>204</v>
      </c>
      <c r="E63" s="13">
        <v>42685.410787037035</v>
      </c>
      <c r="F63" s="13">
        <v>42685.416886574072</v>
      </c>
      <c r="G63" s="7">
        <v>6</v>
      </c>
      <c r="H63" s="22" t="s">
        <v>671</v>
      </c>
      <c r="I63" s="13">
        <v>42685.442442129628</v>
      </c>
      <c r="J63" s="7">
        <v>0</v>
      </c>
      <c r="K63" s="109" t="str">
        <f t="shared" si="0"/>
        <v>4043/4044</v>
      </c>
      <c r="L63" s="22" t="str">
        <f>VLOOKUP(A63,'Trips&amp;Operators'!$C$1:$E$10000,3,FALSE)</f>
        <v>MACDONALD</v>
      </c>
      <c r="M63" s="6">
        <f t="shared" si="1"/>
        <v>2.5555555555911269E-2</v>
      </c>
      <c r="N63" s="7">
        <f t="shared" si="2"/>
        <v>36.800000000512227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08:51:32-700',mode:absolute,to:'2016-11-11 11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4.5999999999999999E-2</v>
      </c>
      <c r="Z63" s="67">
        <f t="shared" si="9"/>
        <v>23.3215</v>
      </c>
      <c r="AA63" s="67">
        <f t="shared" si="10"/>
        <v>23.275500000000001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0151-11</v>
      </c>
      <c r="AE63" s="91" t="str">
        <f t="shared" si="12"/>
        <v>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 &amp; aws s3 cp s3://rtdc.mdm.uploadarchive.raw/RTDC4044/ "%USERPROFILE%\AppData\Local\Temp\OnboardLogs"\RTDC4044\2016-11-12 --exclude "*" --recursive --include "*20161112*" &amp; "%USERPROFILE%\Documents\GitHub\mrs-test-scripts\Headless Mode &amp; Sideloading\WalkAndUnGZ.bat" "%USERPROFILE%\AppData\Local\Temp\OnboardLogs"\RTDC4044\2016-11-12</v>
      </c>
      <c r="AF63" s="88" t="str">
        <f t="shared" si="13"/>
        <v>"C:\Program Files (x86)\AstroGrep\AstroGrep.exe" /spath="%USERPROFILE%\AppData\Local\Temp\OnboardLogs" /stypes="app*4044*20161111*"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151-11 --locoid 4044 --swversion DE.1.0.8.0 --startMP 204:460 --initTime 2016-11-11T09:51:32 --startdatetime 2016-11-11T10:00:19 --delay 6 --endMP 204:233215 --enddatetime 2016-11-11T10:37:07 --enforcementcount 0 &gt;&gt;C:\Users\stu\Documents\GitHub\eaglep3-reporting\EC\2016-11-11-refined-times.txt</v>
      </c>
      <c r="AI63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{"issue":{"subject":"","project_id":79,"tracker_id":40,"status_id":1,"priority_id":2,"assigned_to_id":23,"start_date":"2016-11-11","description":"","custom_fields":[{"id":1,"name":"Subdivision","value":"EC"},{"id":4,"name":"Milepost","value":"23.3215"},{"id":17,"name":"Train ID","value":"151-11"},{"id":16,"name":"Locomotive ID","value":"4044"},{"id":130,"name":"Impact","value":""},{"id":150,"name":"Time of Event (Mountain Time)","value":"10:37:07"},{"id":151,"name":"Denver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507</v>
      </c>
      <c r="B64" s="7">
        <v>4043</v>
      </c>
      <c r="C64" s="22" t="s">
        <v>225</v>
      </c>
      <c r="D64" s="22" t="s">
        <v>672</v>
      </c>
      <c r="E64" s="13">
        <v>42685.443749999999</v>
      </c>
      <c r="F64" s="13">
        <v>42685.45616898148</v>
      </c>
      <c r="G64" s="7">
        <v>0</v>
      </c>
      <c r="H64" s="22" t="s">
        <v>230</v>
      </c>
      <c r="I64" s="13">
        <v>42685.482430555552</v>
      </c>
      <c r="J64" s="7">
        <v>0</v>
      </c>
      <c r="K64" s="109" t="str">
        <f t="shared" si="0"/>
        <v>4043/4044</v>
      </c>
      <c r="L64" s="22" t="str">
        <f>VLOOKUP(A64,'Trips&amp;Operators'!$C$1:$E$10000,3,FALSE)</f>
        <v>MACDONALD</v>
      </c>
      <c r="M64" s="6">
        <f t="shared" si="1"/>
        <v>2.626157407212304E-2</v>
      </c>
      <c r="N64" s="7">
        <f t="shared" si="2"/>
        <v>37.816666663857177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09:39:00-700',mode:absolute,to:'2016-11-11 12:34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23.292899999999999</v>
      </c>
      <c r="Z64" s="67">
        <f t="shared" si="9"/>
        <v>1.5800000000000002E-2</v>
      </c>
      <c r="AA64" s="67">
        <f t="shared" si="10"/>
        <v>23.277100000000001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0152-11</v>
      </c>
      <c r="AE64" s="91" t="str">
        <f t="shared" si="12"/>
        <v>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 &amp; aws s3 cp s3://rtdc.mdm.uploadarchive.raw/RTDC4043/ "%USERPROFILE%\AppData\Local\Temp\OnboardLogs"\RTDC4043\2016-11-12 --exclude "*" --recursive --include "*20161112*" &amp; "%USERPROFILE%\Documents\GitHub\mrs-test-scripts\Headless Mode &amp; Sideloading\WalkAndUnGZ.bat" "%USERPROFILE%\AppData\Local\Temp\OnboardLogs"\RTDC4043\2016-11-12</v>
      </c>
      <c r="AF64" s="88" t="str">
        <f t="shared" si="13"/>
        <v>"C:\Program Files (x86)\AstroGrep\AstroGrep.exe" /spath="%USERPROFILE%\AppData\Local\Temp\OnboardLogs" /stypes="app*4043*20161111*" /stext=" 18:.+((SYSTEM_STATE.+slice.+state.+changed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152-11 --locoid 4043 --swversion DE.1.0.8.0 --startMP 204:232929 --initTime 2016-11-11T10:39:00 --startdatetime 2016-11-11T10:56:53 --delay 0 --endMP 204:158 --enddatetime 2016-11-11T11:34:42 --enforcementcount 0 &gt;&gt;C:\Users\stu\Documents\GitHub\eaglep3-reporting\EC\2016-11-11-refined-times.txt</v>
      </c>
      <c r="AI64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{"issue":{"subject":"","project_id":79,"tracker_id":40,"status_id":1,"priority_id":2,"assigned_to_id":23,"start_date":"2016-11-11","description":"","custom_fields":[{"id":1,"name":"Subdivision","value":"EC"},{"id":4,"name":"Milepost","value":"0.0158"},{"id":17,"name":"Train ID","value":"152-11"},{"id":16,"name":"Locomotive ID","value":"4043"},{"id":130,"name":"Impact","value":""},{"id":150,"name":"Time of Event (Mountain Time)","value":"11:34:42"},{"id":151,"name":"Denver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499</v>
      </c>
      <c r="B65" s="7">
        <v>4003</v>
      </c>
      <c r="C65" s="22" t="s">
        <v>225</v>
      </c>
      <c r="D65" s="22" t="s">
        <v>673</v>
      </c>
      <c r="E65" s="13">
        <v>42685.423530092594</v>
      </c>
      <c r="F65" s="13">
        <v>42685.427291666667</v>
      </c>
      <c r="G65" s="7">
        <v>1</v>
      </c>
      <c r="H65" s="22" t="s">
        <v>674</v>
      </c>
      <c r="I65" s="13">
        <v>42685.451736111114</v>
      </c>
      <c r="J65" s="7">
        <v>0</v>
      </c>
      <c r="K65" s="109" t="str">
        <f t="shared" si="0"/>
        <v>4003/4004</v>
      </c>
      <c r="L65" s="22" t="str">
        <f>VLOOKUP(A65,'Trips&amp;Operators'!$C$1:$E$10000,3,FALSE)</f>
        <v>ISHMAEL</v>
      </c>
      <c r="M65" s="6">
        <f t="shared" si="1"/>
        <v>2.4444444446999114E-2</v>
      </c>
      <c r="N65" s="7">
        <f t="shared" si="2"/>
        <v>35.200000003678724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09:09:53-700',mode:absolute,to:'2016-11-11 11:50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4.2200000000000001E-2</v>
      </c>
      <c r="Z65" s="67">
        <f t="shared" si="9"/>
        <v>23.333400000000001</v>
      </c>
      <c r="AA65" s="67">
        <f t="shared" si="10"/>
        <v>23.2912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0153-11</v>
      </c>
      <c r="AE65" s="91" t="str">
        <f t="shared" si="12"/>
        <v>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 &amp; aws s3 cp s3://rtdc.mdm.uploadarchive.raw/RTDC4003/ "%USERPROFILE%\AppData\Local\Temp\OnboardLogs"\RTDC4003\2016-11-12 --exclude "*" --recursive --include "*20161112*" &amp; "%USERPROFILE%\Documents\GitHub\mrs-test-scripts\Headless Mode &amp; Sideloading\WalkAndUnGZ.bat" "%USERPROFILE%\AppData\Local\Temp\OnboardLogs"\RTDC4003\2016-11-12</v>
      </c>
      <c r="AF65" s="88" t="str">
        <f t="shared" si="13"/>
        <v>"C:\Program Files (x86)\AstroGrep\AstroGrep.exe" /spath="%USERPROFILE%\AppData\Local\Temp\OnboardLogs" /stypes="app*4003*20161111*"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153-11 --locoid 4003 --swversion DE.1.0.8.0 --startMP 204:422 --initTime 2016-11-11T10:09:53 --startdatetime 2016-11-11T10:15:18 --delay 1 --endMP 204:233334 --enddatetime 2016-11-11T10:50:30 --enforcementcount 0 &gt;&gt;C:\Users\stu\Documents\GitHub\eaglep3-reporting\EC\2016-11-11-refined-times.txt</v>
      </c>
      <c r="AI65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{"issue":{"subject":"","project_id":79,"tracker_id":40,"status_id":1,"priority_id":2,"assigned_to_id":23,"start_date":"2016-11-11","description":"","custom_fields":[{"id":1,"name":"Subdivision","value":"EC"},{"id":4,"name":"Milepost","value":"23.3334"},{"id":17,"name":"Train ID","value":"153-11"},{"id":16,"name":"Locomotive ID","value":"4003"},{"id":130,"name":"Impact","value":""},{"id":150,"name":"Time of Event (Mountain Time)","value":"10:50:30"},{"id":151,"name":"Denver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510</v>
      </c>
      <c r="B66" s="7">
        <v>4004</v>
      </c>
      <c r="C66" s="22" t="s">
        <v>225</v>
      </c>
      <c r="D66" s="22" t="s">
        <v>675</v>
      </c>
      <c r="E66" s="13">
        <v>42685.459305555552</v>
      </c>
      <c r="F66" s="13">
        <v>42685.466145833336</v>
      </c>
      <c r="G66" s="7">
        <v>1</v>
      </c>
      <c r="H66" s="22" t="s">
        <v>176</v>
      </c>
      <c r="I66" s="13">
        <v>42685.492002314815</v>
      </c>
      <c r="J66" s="7">
        <v>0</v>
      </c>
      <c r="K66" s="109" t="str">
        <f t="shared" si="0"/>
        <v>4003/4004</v>
      </c>
      <c r="L66" s="22" t="str">
        <f>VLOOKUP(A66,'Trips&amp;Operators'!$C$1:$E$10000,3,FALSE)</f>
        <v>ISHMAEL</v>
      </c>
      <c r="M66" s="6">
        <f t="shared" si="1"/>
        <v>2.5856481479422655E-2</v>
      </c>
      <c r="N66" s="7">
        <f t="shared" si="2"/>
        <v>37.233333330368623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10:01:24-700',mode:absolute,to:'2016-11-11 12:48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23.3019</v>
      </c>
      <c r="Z66" s="67">
        <f t="shared" si="9"/>
        <v>1.52E-2</v>
      </c>
      <c r="AA66" s="67">
        <f t="shared" si="10"/>
        <v>23.2867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1"/>
        <v>0154-11</v>
      </c>
      <c r="AE66" s="91" t="str">
        <f t="shared" si="12"/>
        <v>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 &amp; 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</v>
      </c>
      <c r="AF66" s="88" t="str">
        <f t="shared" si="13"/>
        <v>"C:\Program Files (x86)\AstroGrep\AstroGrep.exe" /spath="%USERPROFILE%\AppData\Local\Temp\OnboardLogs" /stypes="app*4004*20161111*" /stext=" 18:.+((SYSTEM_STATE.+slice.+state.+changed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154-11 --locoid 4004 --swversion DE.1.0.8.0 --startMP 204:233019 --initTime 2016-11-11T11:01:24 --startdatetime 2016-11-11T11:11:15 --delay 1 --endMP 204:152 --enddatetime 2016-11-11T11:48:29 --enforcementcount 0 &gt;&gt;C:\Users\stu\Documents\GitHub\eaglep3-reporting\EC\2016-11-11-refined-times.txt</v>
      </c>
      <c r="AI66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{"issue":{"subject":"","project_id":79,"tracker_id":40,"status_id":1,"priority_id":2,"assigned_to_id":23,"start_date":"2016-11-11","description":"","custom_fields":[{"id":1,"name":"Subdivision","value":"EC"},{"id":4,"name":"Milepost","value":"0.0152"},{"id":17,"name":"Train ID","value":"154-11"},{"id":16,"name":"Locomotive ID","value":"4004"},{"id":130,"name":"Impact","value":""},{"id":150,"name":"Time of Event (Mountain Time)","value":"11:48:29"},{"id":151,"name":"Denver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501</v>
      </c>
      <c r="B67" s="7">
        <v>4018</v>
      </c>
      <c r="C67" s="22" t="s">
        <v>225</v>
      </c>
      <c r="D67" s="22" t="s">
        <v>200</v>
      </c>
      <c r="E67" s="13">
        <v>42685.431006944447</v>
      </c>
      <c r="F67" s="13">
        <v>42685.437754629631</v>
      </c>
      <c r="G67" s="7">
        <v>2</v>
      </c>
      <c r="H67" s="22" t="s">
        <v>312</v>
      </c>
      <c r="I67" s="13">
        <v>42685.464166666665</v>
      </c>
      <c r="J67" s="7">
        <v>0</v>
      </c>
      <c r="K67" s="109" t="str">
        <f t="shared" si="0"/>
        <v>4017/4018</v>
      </c>
      <c r="L67" s="22" t="str">
        <f>VLOOKUP(A67,'Trips&amp;Operators'!$C$1:$E$10000,3,FALSE)</f>
        <v>STRICKLAND</v>
      </c>
      <c r="M67" s="6">
        <f t="shared" si="1"/>
        <v>2.6412037033878732E-2</v>
      </c>
      <c r="N67" s="7">
        <f t="shared" si="2"/>
        <v>38.033333328785375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09:20:39-700',mode:absolute,to:'2016-11-11 12:08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4.4699999999999997E-2</v>
      </c>
      <c r="Z67" s="67">
        <f t="shared" si="9"/>
        <v>23.330500000000001</v>
      </c>
      <c r="AA67" s="67">
        <f t="shared" si="10"/>
        <v>23.285800000000002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1"/>
        <v>0155-11</v>
      </c>
      <c r="AE67" s="91" t="str">
        <f t="shared" si="12"/>
        <v>aws s3 cp s3://rtdc.mdm.uploadarchive.raw/RTDC4018/ "%USERPROFILE%\AppData\Local\Temp\OnboardLogs"\RTDC4018\2016-11-11 --exclude "*" --recursive --include "*20161111*" &amp; "%USERPROFILE%\Documents\GitHub\mrs-test-scripts\Headless Mode &amp; Sideloading\WalkAndUnGZ.bat" "%USERPROFILE%\AppData\Local\Temp\OnboardLogs"\RTDC4018\2016-11-11 &amp; aws s3 cp s3://rtdc.mdm.uploadarchive.raw/RTDC4018/ "%USERPROFILE%\AppData\Local\Temp\OnboardLogs"\RTDC4018\2016-11-12 --exclude "*" --recursive --include "*20161112*" &amp; "%USERPROFILE%\Documents\GitHub\mrs-test-scripts\Headless Mode &amp; Sideloading\WalkAndUnGZ.bat" "%USERPROFILE%\AppData\Local\Temp\OnboardLogs"\RTDC4018\2016-11-12</v>
      </c>
      <c r="AF67" s="88" t="str">
        <f t="shared" si="13"/>
        <v>"C:\Program Files (x86)\AstroGrep\AstroGrep.exe" /spath="%USERPROFILE%\AppData\Local\Temp\OnboardLogs" /stypes="app*4018*20161111*" /stext=" 18:.+((SYSTEM_STATE.+slice.+state.+changed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155-11 --locoid 4018 --swversion DE.1.0.8.0 --startMP 204:447 --initTime 2016-11-11T10:20:39 --startdatetime 2016-11-11T10:30:22 --delay 2 --endMP 204:233305 --enddatetime 2016-11-11T11:08:24 --enforcementcount 0 &gt;&gt;C:\Users\stu\Documents\GitHub\eaglep3-reporting\EC\2016-11-11-refined-times.txt</v>
      </c>
      <c r="AI67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{"issue":{"subject":"","project_id":79,"tracker_id":40,"status_id":1,"priority_id":2,"assigned_to_id":23,"start_date":"2016-11-11","description":"","custom_fields":[{"id":1,"name":"Subdivision","value":"EC"},{"id":4,"name":"Milepost","value":"23.3305"},{"id":17,"name":"Train ID","value":"155-11"},{"id":16,"name":"Locomotive ID","value":"4018"},{"id":130,"name":"Impact","value":""},{"id":150,"name":"Time of Event (Mountain Time)","value":"11:08:24"},{"id":151,"name":"Denver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513</v>
      </c>
      <c r="B68" s="7">
        <v>4017</v>
      </c>
      <c r="C68" s="22" t="s">
        <v>225</v>
      </c>
      <c r="D68" s="22" t="s">
        <v>273</v>
      </c>
      <c r="E68" s="13">
        <v>42685.465462962966</v>
      </c>
      <c r="F68" s="13">
        <v>42685.476736111108</v>
      </c>
      <c r="G68" s="7">
        <v>1</v>
      </c>
      <c r="H68" s="22" t="s">
        <v>230</v>
      </c>
      <c r="I68" s="13">
        <v>42685.503298611111</v>
      </c>
      <c r="J68" s="7">
        <v>0</v>
      </c>
      <c r="K68" s="109" t="str">
        <f t="shared" si="0"/>
        <v>4017/4018</v>
      </c>
      <c r="L68" s="22" t="str">
        <f>VLOOKUP(A68,'Trips&amp;Operators'!$C$1:$E$10000,3,FALSE)</f>
        <v>STRICKLAND</v>
      </c>
      <c r="M68" s="6">
        <f t="shared" si="1"/>
        <v>2.6562500002910383E-2</v>
      </c>
      <c r="N68" s="7">
        <f t="shared" si="2"/>
        <v>38.250000004190952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10:10:16-700',mode:absolute,to:'2016-11-11 13:04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23.299199999999999</v>
      </c>
      <c r="Z68" s="67">
        <f t="shared" si="9"/>
        <v>1.5800000000000002E-2</v>
      </c>
      <c r="AA68" s="67">
        <f t="shared" si="10"/>
        <v>23.2834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0156-11</v>
      </c>
      <c r="AE68" s="91" t="str">
        <f t="shared" si="12"/>
        <v>aws s3 cp s3://rtdc.mdm.uploadarchive.raw/RTDC4017/ "%USERPROFILE%\AppData\Local\Temp\OnboardLogs"\RTDC4017\2016-11-11 --exclude "*" --recursive --include "*20161111*" &amp; "%USERPROFILE%\Documents\GitHub\mrs-test-scripts\Headless Mode &amp; Sideloading\WalkAndUnGZ.bat" "%USERPROFILE%\AppData\Local\Temp\OnboardLogs"\RTDC4017\2016-11-11 &amp; aws s3 cp s3://rtdc.mdm.uploadarchive.raw/RTDC4017/ "%USERPROFILE%\AppData\Local\Temp\OnboardLogs"\RTDC4017\2016-11-12 --exclude "*" --recursive --include "*20161112*" &amp; "%USERPROFILE%\Documents\GitHub\mrs-test-scripts\Headless Mode &amp; Sideloading\WalkAndUnGZ.bat" "%USERPROFILE%\AppData\Local\Temp\OnboardLogs"\RTDC4017\2016-11-12</v>
      </c>
      <c r="AF68" s="88" t="str">
        <f t="shared" si="13"/>
        <v>"C:\Program Files (x86)\AstroGrep\AstroGrep.exe" /spath="%USERPROFILE%\AppData\Local\Temp\OnboardLogs" /stypes="app*4017*20161111*" /stext=" 19:.+((SYSTEM_STATE.+slice.+state.+changed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156-11 --locoid 4017 --swversion DE.1.0.8.0 --startMP 204:232992 --initTime 2016-11-11T11:10:16 --startdatetime 2016-11-11T11:26:30 --delay 1 --endMP 204:158 --enddatetime 2016-11-11T12:04:45 --enforcementcount 0 &gt;&gt;C:\Users\stu\Documents\GitHub\eaglep3-reporting\EC\2016-11-11-refined-times.txt</v>
      </c>
      <c r="AI68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{"issue":{"subject":"","project_id":79,"tracker_id":40,"status_id":1,"priority_id":2,"assigned_to_id":23,"start_date":"2016-11-11","description":"","custom_fields":[{"id":1,"name":"Subdivision","value":"EC"},{"id":4,"name":"Milepost","value":"0.0158"},{"id":17,"name":"Train ID","value":"156-11"},{"id":16,"name":"Locomotive ID","value":"4017"},{"id":130,"name":"Impact","value":""},{"id":150,"name":"Time of Event (Mountain Time)","value":"12:04:45"},{"id":151,"name":"Denver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433</v>
      </c>
      <c r="B69" s="7">
        <v>4031</v>
      </c>
      <c r="C69" s="22" t="s">
        <v>225</v>
      </c>
      <c r="D69" s="22" t="s">
        <v>204</v>
      </c>
      <c r="E69" s="13">
        <v>42685.443101851852</v>
      </c>
      <c r="F69" s="13">
        <v>42685.448472222219</v>
      </c>
      <c r="G69" s="7">
        <v>1</v>
      </c>
      <c r="H69" s="22" t="s">
        <v>308</v>
      </c>
      <c r="I69" s="13">
        <v>42685.474745370368</v>
      </c>
      <c r="J69" s="7">
        <v>0</v>
      </c>
      <c r="K69" s="109" t="str">
        <f t="shared" si="0"/>
        <v>4031/4032</v>
      </c>
      <c r="L69" s="22" t="str">
        <f>VLOOKUP(A69,'Trips&amp;Operators'!$C$1:$E$10000,3,FALSE)</f>
        <v>PERKINS</v>
      </c>
      <c r="M69" s="6">
        <f t="shared" si="1"/>
        <v>2.6273148148902692E-2</v>
      </c>
      <c r="N69" s="7">
        <f t="shared" si="2"/>
        <v>37.833333334419876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09:38:04-700',mode:absolute,to:'2016-11-11 12:23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4.5999999999999999E-2</v>
      </c>
      <c r="Z69" s="67">
        <f t="shared" si="9"/>
        <v>23.330400000000001</v>
      </c>
      <c r="AA69" s="67">
        <f t="shared" si="10"/>
        <v>23.284400000000002</v>
      </c>
      <c r="AB69" s="64" t="str">
        <f>VLOOKUP(A69,Enforcements!$C$7:$K$20,8,0)</f>
        <v>Speed (6)</v>
      </c>
      <c r="AC69" s="60" t="str">
        <f>VLOOKUP(A69,Enforcements!$C$7:$E$20,3,0)</f>
        <v>PERMANENT SPEED RESTRICTION</v>
      </c>
      <c r="AD69" s="61" t="str">
        <f t="shared" si="11"/>
        <v>0157-11</v>
      </c>
      <c r="AE69" s="91" t="str">
        <f t="shared" si="12"/>
        <v>aws s3 cp s3://rtdc.mdm.uploadarchive.raw/RTDC4031/ "%USERPROFILE%\AppData\Local\Temp\OnboardLogs"\RTDC4031\2016-11-11 --exclude "*" --recursive --include "*20161111*" &amp; "%USERPROFILE%\Documents\GitHub\mrs-test-scripts\Headless Mode &amp; Sideloading\WalkAndUnGZ.bat" "%USERPROFILE%\AppData\Local\Temp\OnboardLogs"\RTDC4031\2016-11-11 &amp; aws s3 cp s3://rtdc.mdm.uploadarchive.raw/RTDC4031/ "%USERPROFILE%\AppData\Local\Temp\OnboardLogs"\RTDC4031\2016-11-12 --exclude "*" --recursive --include "*20161112*" &amp; "%USERPROFILE%\Documents\GitHub\mrs-test-scripts\Headless Mode &amp; Sideloading\WalkAndUnGZ.bat" "%USERPROFILE%\AppData\Local\Temp\OnboardLogs"\RTDC4031\2016-11-12</v>
      </c>
      <c r="AF69" s="88" t="str">
        <f t="shared" si="13"/>
        <v>"C:\Program Files (x86)\AstroGrep\AstroGrep.exe" /spath="%USERPROFILE%\AppData\Local\Temp\OnboardLogs" /stypes="app*4031*20161111*"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157-11 --locoid 4031 --swversion DE.1.0.8.0 --startMP 204:460 --initTime 2016-11-11T10:38:04 --startdatetime 2016-11-11T10:45:48 --delay 1 --endMP 204:233304 --enddatetime 2016-11-11T11:23:38 --enforcementcount 0 &gt;&gt;C:\Users\stu\Documents\GitHub\eaglep3-reporting\EC\2016-11-11-refined-times.txt</v>
      </c>
      <c r="AI69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{"issue":{"subject":"","project_id":79,"tracker_id":40,"status_id":1,"priority_id":2,"assigned_to_id":23,"start_date":"2016-11-11","description":"","custom_fields":[{"id":1,"name":"Subdivision","value":"EC"},{"id":4,"name":"Milepost","value":"23.3304"},{"id":17,"name":"Train ID","value":"157-11"},{"id":16,"name":"Locomotive ID","value":"4031"},{"id":130,"name":"Impact","value":""},{"id":150,"name":"Time of Event (Mountain Time)","value":"11:23:38"},{"id":151,"name":"Denver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517</v>
      </c>
      <c r="B70" s="7">
        <v>4032</v>
      </c>
      <c r="C70" s="22" t="s">
        <v>225</v>
      </c>
      <c r="D70" s="22" t="s">
        <v>311</v>
      </c>
      <c r="E70" s="13">
        <v>42685.480995370373</v>
      </c>
      <c r="F70" s="13">
        <v>42685.487581018519</v>
      </c>
      <c r="G70" s="7">
        <v>1</v>
      </c>
      <c r="H70" s="22" t="s">
        <v>176</v>
      </c>
      <c r="I70" s="13">
        <v>42685.515127314815</v>
      </c>
      <c r="J70" s="7">
        <v>0</v>
      </c>
      <c r="K70" s="109" t="str">
        <f t="shared" si="0"/>
        <v>4031/4032</v>
      </c>
      <c r="L70" s="22" t="str">
        <f>VLOOKUP(A70,'Trips&amp;Operators'!$C$1:$E$10000,3,FALSE)</f>
        <v>PERKINS</v>
      </c>
      <c r="M70" s="6">
        <f t="shared" si="1"/>
        <v>2.7546296296350192E-2</v>
      </c>
      <c r="N70" s="7">
        <f t="shared" si="2"/>
        <v>39.666666666744277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10:32:38-700',mode:absolute,to:'2016-11-11 13:21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23.299800000000001</v>
      </c>
      <c r="Z70" s="67">
        <f t="shared" si="9"/>
        <v>1.52E-2</v>
      </c>
      <c r="AA70" s="67">
        <f t="shared" si="10"/>
        <v>23.284600000000001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1"/>
        <v>0158-11</v>
      </c>
      <c r="AE70" s="91" t="str">
        <f t="shared" si="12"/>
        <v>aws s3 cp s3://rtdc.mdm.uploadarchive.raw/RTDC4032/ "%USERPROFILE%\AppData\Local\Temp\OnboardLogs"\RTDC4032\2016-11-11 --exclude "*" --recursive --include "*20161111*" &amp; "%USERPROFILE%\Documents\GitHub\mrs-test-scripts\Headless Mode &amp; Sideloading\WalkAndUnGZ.bat" "%USERPROFILE%\AppData\Local\Temp\OnboardLogs"\RTDC4032\2016-11-11 &amp; aws s3 cp s3://rtdc.mdm.uploadarchive.raw/RTDC4032/ "%USERPROFILE%\AppData\Local\Temp\OnboardLogs"\RTDC4032\2016-11-12 --exclude "*" --recursive --include "*20161112*" &amp; "%USERPROFILE%\Documents\GitHub\mrs-test-scripts\Headless Mode &amp; Sideloading\WalkAndUnGZ.bat" "%USERPROFILE%\AppData\Local\Temp\OnboardLogs"\RTDC4032\2016-11-12</v>
      </c>
      <c r="AF70" s="88" t="str">
        <f t="shared" si="13"/>
        <v>"C:\Program Files (x86)\AstroGrep\AstroGrep.exe" /spath="%USERPROFILE%\AppData\Local\Temp\OnboardLogs" /stypes="app*4032*20161111*" /stext=" 19:.+((SYSTEM_STATE.+slice.+state.+changed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158-11 --locoid 4032 --swversion DE.1.0.8.0 --startMP 204:232998 --initTime 2016-11-11T11:32:38 --startdatetime 2016-11-11T11:42:07 --delay 1 --endMP 204:152 --enddatetime 2016-11-11T12:21:47 --enforcementcount 0 &gt;&gt;C:\Users\stu\Documents\GitHub\eaglep3-reporting\EC\2016-11-11-refined-times.txt</v>
      </c>
      <c r="AI70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{"issue":{"subject":"","project_id":79,"tracker_id":40,"status_id":1,"priority_id":2,"assigned_to_id":23,"start_date":"2016-11-11","description":"","custom_fields":[{"id":1,"name":"Subdivision","value":"EC"},{"id":4,"name":"Milepost","value":"0.0152"},{"id":17,"name":"Train ID","value":"158-11"},{"id":16,"name":"Locomotive ID","value":"4032"},{"id":130,"name":"Impact","value":""},{"id":150,"name":"Time of Event (Mountain Time)","value":"12:21:47"},{"id":151,"name":"Denver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508</v>
      </c>
      <c r="B71" s="7">
        <v>4025</v>
      </c>
      <c r="C71" s="22" t="s">
        <v>225</v>
      </c>
      <c r="D71" s="22" t="s">
        <v>283</v>
      </c>
      <c r="E71" s="13">
        <v>42685.45548611111</v>
      </c>
      <c r="F71" s="13">
        <v>42685.458599537036</v>
      </c>
      <c r="G71" s="7">
        <v>2</v>
      </c>
      <c r="H71" s="22" t="s">
        <v>307</v>
      </c>
      <c r="I71" s="13">
        <v>42685.483715277776</v>
      </c>
      <c r="J71" s="7">
        <v>0</v>
      </c>
      <c r="K71" s="109" t="str">
        <f t="shared" si="0"/>
        <v>4025/4026</v>
      </c>
      <c r="L71" s="22" t="str">
        <f>VLOOKUP(A71,'Trips&amp;Operators'!$C$1:$E$10000,3,FALSE)</f>
        <v>LALONDE</v>
      </c>
      <c r="M71" s="6">
        <f t="shared" si="1"/>
        <v>2.5115740740147885E-2</v>
      </c>
      <c r="N71" s="7">
        <f t="shared" si="2"/>
        <v>36.166666665812954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09:55:54-700',mode:absolute,to:'2016-11-11 12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4.3799999999999999E-2</v>
      </c>
      <c r="Z71" s="67">
        <f t="shared" si="9"/>
        <v>23.330300000000001</v>
      </c>
      <c r="AA71" s="67">
        <f t="shared" si="10"/>
        <v>23.2865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1"/>
        <v>0159-11</v>
      </c>
      <c r="AE71" s="91" t="str">
        <f t="shared" si="12"/>
        <v>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 &amp; 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</v>
      </c>
      <c r="AF71" s="88" t="str">
        <f t="shared" si="13"/>
        <v>"C:\Program Files (x86)\AstroGrep\AstroGrep.exe" /spath="%USERPROFILE%\AppData\Local\Temp\OnboardLogs" /stypes="app*4025*20161111*"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159-11 --locoid 4025 --swversion DE.1.0.8.0 --startMP 204:438 --initTime 2016-11-11T10:55:54 --startdatetime 2016-11-11T11:00:23 --delay 2 --endMP 204:233303 --enddatetime 2016-11-11T11:36:33 --enforcementcount 0 &gt;&gt;C:\Users\stu\Documents\GitHub\eaglep3-reporting\EC\2016-11-11-refined-times.txt</v>
      </c>
      <c r="AI71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{"issue":{"subject":"","project_id":79,"tracker_id":40,"status_id":1,"priority_id":2,"assigned_to_id":23,"start_date":"2016-11-11","description":"","custom_fields":[{"id":1,"name":"Subdivision","value":"EC"},{"id":4,"name":"Milepost","value":"23.3303"},{"id":17,"name":"Train ID","value":"159-11"},{"id":16,"name":"Locomotive ID","value":"4025"},{"id":130,"name":"Impact","value":""},{"id":150,"name":"Time of Event (Mountain Time)","value":"11:36:33"},{"id":151,"name":"Denver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521</v>
      </c>
      <c r="B72" s="7">
        <v>4026</v>
      </c>
      <c r="C72" s="22" t="s">
        <v>225</v>
      </c>
      <c r="D72" s="22" t="s">
        <v>653</v>
      </c>
      <c r="E72" s="13">
        <v>42685.493761574071</v>
      </c>
      <c r="F72" s="13">
        <v>42685.497465277775</v>
      </c>
      <c r="G72" s="7">
        <v>1</v>
      </c>
      <c r="H72" s="22" t="s">
        <v>230</v>
      </c>
      <c r="I72" s="13">
        <v>42685.524780092594</v>
      </c>
      <c r="J72" s="7">
        <v>0</v>
      </c>
      <c r="K72" s="109" t="str">
        <f t="shared" si="0"/>
        <v>4025/4026</v>
      </c>
      <c r="L72" s="22" t="str">
        <f>VLOOKUP(A72,'Trips&amp;Operators'!$C$1:$E$10000,3,FALSE)</f>
        <v>LALONDE</v>
      </c>
      <c r="M72" s="6">
        <f t="shared" si="1"/>
        <v>2.7314814818964805E-2</v>
      </c>
      <c r="N72" s="7">
        <f t="shared" si="2"/>
        <v>39.33333333930932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10:51:01-700',mode:absolute,to:'2016-11-11 13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23.298400000000001</v>
      </c>
      <c r="Z72" s="67">
        <f t="shared" si="9"/>
        <v>1.5800000000000002E-2</v>
      </c>
      <c r="AA72" s="67">
        <f t="shared" si="10"/>
        <v>23.282600000000002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1"/>
        <v>0160-11</v>
      </c>
      <c r="AE72" s="91" t="str">
        <f t="shared" si="12"/>
        <v>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 &amp; 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</v>
      </c>
      <c r="AF72" s="88" t="str">
        <f t="shared" si="13"/>
        <v>"C:\Program Files (x86)\AstroGrep\AstroGrep.exe" /spath="%USERPROFILE%\AppData\Local\Temp\OnboardLogs" /stypes="app*4026*20161111*" /stext=" 19:.+((SYSTEM_STATE.+slice.+state.+changed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160-11 --locoid 4026 --swversion DE.1.0.8.0 --startMP 204:232984 --initTime 2016-11-11T11:51:01 --startdatetime 2016-11-11T11:56:21 --delay 1 --endMP 204:158 --enddatetime 2016-11-11T12:35:41 --enforcementcount 0 &gt;&gt;C:\Users\stu\Documents\GitHub\eaglep3-reporting\EC\2016-11-11-refined-times.txt</v>
      </c>
      <c r="AI72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{"issue":{"subject":"","project_id":79,"tracker_id":40,"status_id":1,"priority_id":2,"assigned_to_id":23,"start_date":"2016-11-11","description":"","custom_fields":[{"id":1,"name":"Subdivision","value":"EC"},{"id":4,"name":"Milepost","value":"0.0158"},{"id":17,"name":"Train ID","value":"160-11"},{"id":16,"name":"Locomotive ID","value":"4026"},{"id":130,"name":"Impact","value":""},{"id":150,"name":"Time of Event (Mountain Time)","value":"12:35:41"},{"id":151,"name":"Denver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511</v>
      </c>
      <c r="B73" s="7">
        <v>4040</v>
      </c>
      <c r="C73" s="22" t="s">
        <v>225</v>
      </c>
      <c r="D73" s="22" t="s">
        <v>315</v>
      </c>
      <c r="E73" s="13">
        <v>42685.46534722222</v>
      </c>
      <c r="F73" s="13">
        <v>42685.468969907408</v>
      </c>
      <c r="G73" s="7">
        <v>1</v>
      </c>
      <c r="H73" s="22" t="s">
        <v>676</v>
      </c>
      <c r="I73" s="13">
        <v>42685.494525462964</v>
      </c>
      <c r="J73" s="7">
        <v>0</v>
      </c>
      <c r="K73" s="109" t="str">
        <f t="shared" si="0"/>
        <v>4039/4040</v>
      </c>
      <c r="L73" s="22" t="str">
        <f>VLOOKUP(A73,'Trips&amp;Operators'!$C$1:$E$10000,3,FALSE)</f>
        <v>CLARK</v>
      </c>
      <c r="M73" s="6">
        <f t="shared" si="1"/>
        <v>2.5555555555911269E-2</v>
      </c>
      <c r="N73" s="7">
        <f t="shared" si="2"/>
        <v>36.800000000512227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10:10:06-700',mode:absolute,to:'2016-11-11 12:52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4.7100000000000003E-2</v>
      </c>
      <c r="Z73" s="67">
        <f t="shared" si="9"/>
        <v>23.333200000000001</v>
      </c>
      <c r="AA73" s="67">
        <f t="shared" si="10"/>
        <v>23.286100000000001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0161-11</v>
      </c>
      <c r="AE73" s="91" t="str">
        <f t="shared" si="12"/>
        <v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v>
      </c>
      <c r="AF73" s="88" t="str">
        <f t="shared" si="13"/>
        <v>"C:\Program Files (x86)\AstroGrep\AstroGrep.exe" /spath="%USERPROFILE%\AppData\Local\Temp\OnboardLogs" /stypes="app*4040*20161111*"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161-11 --locoid 4040 --swversion DE.1.0.8.0 --startMP 204:471 --initTime 2016-11-11T11:10:06 --startdatetime 2016-11-11T11:15:19 --delay 1 --endMP 204:233332 --enddatetime 2016-11-11T11:52:07 --enforcementcount 0 &gt;&gt;C:\Users\stu\Documents\GitHub\eaglep3-reporting\EC\2016-11-11-refined-times.txt</v>
      </c>
      <c r="AI73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{"issue":{"subject":"","project_id":79,"tracker_id":40,"status_id":1,"priority_id":2,"assigned_to_id":23,"start_date":"2016-11-11","description":"","custom_fields":[{"id":1,"name":"Subdivision","value":"EC"},{"id":4,"name":"Milepost","value":"23.3332"},{"id":17,"name":"Train ID","value":"161-11"},{"id":16,"name":"Locomotive ID","value":"4040"},{"id":130,"name":"Impact","value":""},{"id":150,"name":"Time of Event (Mountain Time)","value":"11:52:07"},{"id":151,"name":"Denver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523</v>
      </c>
      <c r="B74" s="7">
        <v>4039</v>
      </c>
      <c r="C74" s="22" t="s">
        <v>225</v>
      </c>
      <c r="D74" s="22" t="s">
        <v>677</v>
      </c>
      <c r="E74" s="13">
        <v>42685.502627314818</v>
      </c>
      <c r="F74" s="13">
        <v>42685.5078125</v>
      </c>
      <c r="G74" s="7">
        <v>1</v>
      </c>
      <c r="H74" s="22" t="s">
        <v>304</v>
      </c>
      <c r="I74" s="13">
        <v>42685.534988425927</v>
      </c>
      <c r="J74" s="7">
        <v>0</v>
      </c>
      <c r="K74" s="109" t="str">
        <f t="shared" si="0"/>
        <v>4039/4040</v>
      </c>
      <c r="L74" s="22" t="str">
        <f>VLOOKUP(A74,'Trips&amp;Operators'!$C$1:$E$10000,3,FALSE)</f>
        <v>CLARK</v>
      </c>
      <c r="M74" s="6">
        <f t="shared" si="1"/>
        <v>2.7175925926712807E-2</v>
      </c>
      <c r="N74" s="7">
        <f t="shared" si="2"/>
        <v>39.133333334466442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11:03:47-700',mode:absolute,to:'2016-11-11 13:50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23.302499999999998</v>
      </c>
      <c r="Z74" s="67">
        <f t="shared" si="9"/>
        <v>1.3599999999999999E-2</v>
      </c>
      <c r="AA74" s="67">
        <f t="shared" si="10"/>
        <v>23.288899999999998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0162-11</v>
      </c>
      <c r="AE74" s="91" t="str">
        <f t="shared" si="12"/>
        <v>aws s3 cp s3://rtdc.mdm.uploadarchive.raw/RTDC4039/ "%USERPROFILE%\AppData\Local\Temp\OnboardLogs"\RTDC4039\2016-11-11 --exclude "*" --recursive --include "*20161111*" &amp; "%USERPROFILE%\Documents\GitHub\mrs-test-scripts\Headless Mode &amp; Sideloading\WalkAndUnGZ.bat" "%USERPROFILE%\AppData\Local\Temp\OnboardLogs"\RTDC4039\2016-11-11 &amp; aws s3 cp s3://rtdc.mdm.uploadarchive.raw/RTDC4039/ "%USERPROFILE%\AppData\Local\Temp\OnboardLogs"\RTDC4039\2016-11-12 --exclude "*" --recursive --include "*20161112*" &amp; "%USERPROFILE%\Documents\GitHub\mrs-test-scripts\Headless Mode &amp; Sideloading\WalkAndUnGZ.bat" "%USERPROFILE%\AppData\Local\Temp\OnboardLogs"\RTDC4039\2016-11-12</v>
      </c>
      <c r="AF74" s="88" t="str">
        <f t="shared" si="13"/>
        <v>"C:\Program Files (x86)\AstroGrep\AstroGrep.exe" /spath="%USERPROFILE%\AppData\Local\Temp\OnboardLogs" /stypes="app*4039*20161111*" /stext=" 19:.+((SYSTEM_STATE.+slice.+state.+changed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162-11 --locoid 4039 --swversion DE.1.0.8.0 --startMP 204:233025 --initTime 2016-11-11T12:03:47 --startdatetime 2016-11-11T12:11:15 --delay 1 --endMP 204:136 --enddatetime 2016-11-11T12:50:23 --enforcementcount 0 &gt;&gt;C:\Users\stu\Documents\GitHub\eaglep3-reporting\EC\2016-11-11-refined-times.txt</v>
      </c>
      <c r="AI74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{"issue":{"subject":"","project_id":79,"tracker_id":40,"status_id":1,"priority_id":2,"assigned_to_id":23,"start_date":"2016-11-11","description":"","custom_fields":[{"id":1,"name":"Subdivision","value":"EC"},{"id":4,"name":"Milepost","value":"0.0136"},{"id":17,"name":"Train ID","value":"162-11"},{"id":16,"name":"Locomotive ID","value":"4039"},{"id":130,"name":"Impact","value":""},{"id":150,"name":"Time of Event (Mountain Time)","value":"12:50:23"},{"id":151,"name":"Denver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434</v>
      </c>
      <c r="B75" s="7">
        <v>4009</v>
      </c>
      <c r="C75" s="22" t="s">
        <v>225</v>
      </c>
      <c r="D75" s="22" t="s">
        <v>678</v>
      </c>
      <c r="E75" s="13">
        <v>42685.483842592592</v>
      </c>
      <c r="F75" s="13">
        <v>42685.484722222223</v>
      </c>
      <c r="G75" s="7">
        <v>1</v>
      </c>
      <c r="H75" s="22" t="s">
        <v>281</v>
      </c>
      <c r="I75" s="13">
        <v>42685.506307870368</v>
      </c>
      <c r="J75" s="7">
        <v>0</v>
      </c>
      <c r="K75" s="109" t="str">
        <f t="shared" si="0"/>
        <v>4009/4010</v>
      </c>
      <c r="L75" s="22" t="str">
        <f>VLOOKUP(A75,'Trips&amp;Operators'!$C$1:$E$10000,3,FALSE)</f>
        <v>NELSON</v>
      </c>
      <c r="M75" s="6">
        <f t="shared" si="1"/>
        <v>2.1585648144537117E-2</v>
      </c>
      <c r="N75" s="7"/>
      <c r="O75" s="7"/>
      <c r="P75" s="7">
        <f>24*60*SUM($M75:$M76)</f>
        <v>33.433333332650363</v>
      </c>
      <c r="Q75" s="23"/>
      <c r="R75" s="23" t="s">
        <v>788</v>
      </c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10:36:44-700',mode:absolute,to:'2016-11-11 13:09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5" s="52" t="str">
        <f t="shared" si="6"/>
        <v>Y</v>
      </c>
      <c r="X75" s="177">
        <f t="shared" si="7"/>
        <v>1</v>
      </c>
      <c r="Y75" s="67">
        <f t="shared" si="8"/>
        <v>1.9126000000000001</v>
      </c>
      <c r="Z75" s="67">
        <f t="shared" si="9"/>
        <v>23.329899999999999</v>
      </c>
      <c r="AA75" s="67">
        <f t="shared" si="10"/>
        <v>21.417299999999997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1"/>
        <v>0163-11</v>
      </c>
      <c r="AE75" s="91" t="str">
        <f t="shared" si="12"/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AF75" s="88" t="str">
        <f t="shared" si="13"/>
        <v>"C:\Program Files (x86)\AstroGrep\AstroGrep.exe" /spath="%USERPROFILE%\AppData\Local\Temp\OnboardLogs" /stypes="app*4009*20161111*" /stext=" 19:.+((SYSTEM_STATE.+slice.+state.+changed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163-11 --locoid 4009 --swversion DE.1.0.8.0 --startMP 204:19126 --initTime 2016-11-11T11:36:44 --startdatetime 2016-11-11T11:38:00 --delay 1 --endMP 204:233299 --enddatetime 2016-11-11T12:09:05 --enforcementcount 0 &gt;&gt;C:\Users\stu\Documents\GitHub\eaglep3-reporting\EC\2016-11-11-refined-times.txt</v>
      </c>
      <c r="AI75" s="119" t="str">
        <f t="shared" si="18"/>
        <v>echo {"issue":{"subject":"DUS 2N stuck at STOP due to 20N also STOP","project_id":79,"tracker_id":40,"status_id":1,"priority_id":2,"assigned_to_id":23,"start_date":"2016-11-11","description":"See title","custom_fields":[{"id":1,"name":"Subdivision","value":"EC"},{"id":4,"name":"Milepost","value":"23.3299"},{"id":17,"name":"Train ID","value":"163-11"},{"id":16,"name":"Locomotive ID","value":"4009"},{"id":130,"name":"Impact","value":"Enforcement"},{"id":150,"name":"Time of Event (Mountain Time)","value":"12:09:05"},{"id":151,"name":"Denver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75" s="53" t="s">
        <v>787</v>
      </c>
      <c r="AK75" s="53" t="s">
        <v>125</v>
      </c>
      <c r="AL75" s="53" t="s">
        <v>241</v>
      </c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434</v>
      </c>
      <c r="B76" s="7">
        <v>4009</v>
      </c>
      <c r="C76" s="22" t="s">
        <v>225</v>
      </c>
      <c r="D76" s="22" t="s">
        <v>679</v>
      </c>
      <c r="E76" s="13">
        <v>42685.475555555553</v>
      </c>
      <c r="F76" s="13">
        <v>42685.479016203702</v>
      </c>
      <c r="G76" s="7">
        <v>4</v>
      </c>
      <c r="H76" s="22" t="s">
        <v>680</v>
      </c>
      <c r="I76" s="13">
        <v>42685.48064814815</v>
      </c>
      <c r="J76" s="7">
        <v>1</v>
      </c>
      <c r="K76" s="109" t="str">
        <f t="shared" si="0"/>
        <v>4009/4010</v>
      </c>
      <c r="L76" s="22" t="str">
        <f>VLOOKUP(A76,'Trips&amp;Operators'!$C$1:$E$10000,3,FALSE)</f>
        <v>NELSON</v>
      </c>
      <c r="M76" s="6">
        <f t="shared" si="1"/>
        <v>1.6319444475811906E-3</v>
      </c>
      <c r="N76" s="7"/>
      <c r="O76" s="7"/>
      <c r="P76" s="7"/>
      <c r="Q76" s="23"/>
      <c r="R76" s="23"/>
      <c r="S76" s="35"/>
      <c r="T76" s="50" t="str">
        <f t="shared" si="4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0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https://search-rtdc-monitor-bjffxe2xuh6vdkpspy63sjmuny.us-east-1.es.amazonaws.com/_plugin/kibana/#/discover/Steve-Slow-Train-Analysis-(2080s-and-2083s)?_g=(refreshInterval:(display:Off,section:0,value:0),time:(from:'2016-11-11 10:24:48-700',mode:absolute,to:'2016-11-11 12:32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6" s="52" t="str">
        <f t="shared" si="6"/>
        <v>Y</v>
      </c>
      <c r="X76" s="177">
        <f t="shared" si="7"/>
        <v>0</v>
      </c>
      <c r="Y76" s="67">
        <f t="shared" si="8"/>
        <v>4.3499999999999997E-2</v>
      </c>
      <c r="Z76" s="67">
        <f t="shared" si="9"/>
        <v>0.10780000000000001</v>
      </c>
      <c r="AA76" s="67">
        <f t="shared" si="10"/>
        <v>6.430000000000001E-2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0163-11</v>
      </c>
      <c r="AE76" s="91" t="str">
        <f t="shared" si="12"/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AF76" s="88" t="str">
        <f t="shared" si="13"/>
        <v>"C:\Program Files (x86)\AstroGrep\AstroGrep.exe" /spath="%USERPROFILE%\AppData\Local\Temp\OnboardLogs" /stypes="app*4009*20161111*" /stext=" 18:.+((SYSTEM_STATE.+slice.+state.+changed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163-11 --locoid 4009 --swversion DE.1.0.8.0 --startMP 204:435 --initTime 2016-11-11T11:24:48 --startdatetime 2016-11-11T11:29:47 --delay 4 --endMP 204:1078 --enddatetime 2016-11-11T11:32:08 --enforcementcount 1 &gt;&gt;C:\Users\stu\Documents\GitHub\eaglep3-reporting\EC\2016-11-11-refined-times.txt</v>
      </c>
      <c r="AI76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{"issue":{"subject":"","project_id":79,"tracker_id":40,"status_id":1,"priority_id":2,"assigned_to_id":23,"start_date":"2016-11-11","description":"","custom_fields":[{"id":1,"name":"Subdivision","value":"EC"},{"id":4,"name":"Milepost","value":"0.1078"},{"id":17,"name":"Train ID","value":"163-11"},{"id":16,"name":"Locomotive ID","value":"4009"},{"id":130,"name":"Impact","value":""},{"id":150,"name":"Time of Event (Mountain Time)","value":"11:32:08"},{"id":151,"name":"Denver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526</v>
      </c>
      <c r="B77" s="7">
        <v>4010</v>
      </c>
      <c r="C77" s="22" t="s">
        <v>225</v>
      </c>
      <c r="D77" s="22" t="s">
        <v>271</v>
      </c>
      <c r="E77" s="13">
        <v>42685.511724537035</v>
      </c>
      <c r="F77" s="13">
        <v>42685.51866898148</v>
      </c>
      <c r="G77" s="7">
        <v>1</v>
      </c>
      <c r="H77" s="22" t="s">
        <v>391</v>
      </c>
      <c r="I77" s="13">
        <v>42685.544398148151</v>
      </c>
      <c r="J77" s="7">
        <v>0</v>
      </c>
      <c r="K77" s="109" t="str">
        <f t="shared" ref="K77:K136" si="19">IF(ISEVEN(B77),(B77-1)&amp;"/"&amp;B77,B77&amp;"/"&amp;(B77+1))</f>
        <v>4009/4010</v>
      </c>
      <c r="L77" s="22" t="str">
        <f>VLOOKUP(A77,'Trips&amp;Operators'!$C$1:$E$10000,3,FALSE)</f>
        <v>NELSON</v>
      </c>
      <c r="M77" s="6">
        <f t="shared" ref="M77:M136" si="20">I77-F77</f>
        <v>2.5729166671226267E-2</v>
      </c>
      <c r="N77" s="7">
        <f t="shared" ref="N77:N136" si="21">24*60*SUM($M77:$M77)</f>
        <v>37.050000006565824</v>
      </c>
      <c r="O77" s="7"/>
      <c r="P77" s="7"/>
      <c r="Q77" s="23"/>
      <c r="R77" s="23"/>
      <c r="S77" s="35">
        <f t="shared" ref="S77:S136" si="22">SUM(U77:U77)/IF(AG77="EC",12,1)</f>
        <v>1</v>
      </c>
      <c r="T77" s="50" t="str">
        <f t="shared" ref="T77:T136" si="23">IF(ISEVEN(LEFT(AD77,4)),"Southbound","NorthBound")</f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36" si="24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https://search-rtdc-monitor-bjffxe2xuh6vdkpspy63sjmuny.us-east-1.es.amazonaws.com/_plugin/kibana/#/discover/Steve-Slow-Train-Analysis-(2080s-and-2083s)?_g=(refreshInterval:(display:Off,section:0,value:0),time:(from:'2016-11-11 11:16:53-700',mode:absolute,to:'2016-11-11 14:03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7" s="52" t="str">
        <f t="shared" ref="W77:W136" si="25">IF(AA77&lt;IF(AG77="EC",23,5.65),"Y","N")</f>
        <v>N</v>
      </c>
      <c r="X77" s="177">
        <f t="shared" ref="X77:X136" si="26">VALUE(LEFT(AD77,4))-VALUE(LEFT(AD76,4))</f>
        <v>1</v>
      </c>
      <c r="Y77" s="67">
        <f t="shared" ref="Y77:Y136" si="27">RIGHT(D77,LEN(D77)-4)/10000</f>
        <v>23.297799999999999</v>
      </c>
      <c r="Z77" s="67">
        <f t="shared" ref="Z77:Z136" si="28">RIGHT(H77,LEN(H77)-4)/10000</f>
        <v>1.41E-2</v>
      </c>
      <c r="AA77" s="67">
        <f t="shared" ref="AA77:AA136" si="29">ABS(Z77-Y77)</f>
        <v>23.2837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36" si="30">IF(LEN(A77)=6,"0"&amp;A77,A77)</f>
        <v>0164-11</v>
      </c>
      <c r="AE77" s="91" t="str">
        <f t="shared" ref="AE77:AE136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v>
      </c>
      <c r="AF77" s="88" t="str">
        <f t="shared" ref="AF77:AF136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/stypes="app*4010*20161111*" /stext=" 20:.+((SYSTEM_STATE.+slice.+state.+changed )|(ment ac)|(system.+state.+changed )|(\[timeout)|(PRM\|1\|D)|(kpr)|(kdp)|(\|lc)|(penalty))" /e /r /s</v>
      </c>
      <c r="AG77" s="1" t="str">
        <f t="shared" ref="AG77:AG136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164-11 --locoid 4010 --swversion DE.1.0.8.0 --startMP 204:232978 --initTime 2016-11-11T12:16:53 --startdatetime 2016-11-11T12:26:53 --delay 1 --endMP 204:141 --enddatetime 2016-11-11T13:03:56 --enforcementcount 0 &gt;&gt;C:\Users\stu\Documents\GitHub\eaglep3-reporting\EC\2016-11-11-refined-times.txt</v>
      </c>
      <c r="AI77" s="119" t="str">
        <f t="shared" si="18"/>
        <v>echo {"issue":{"subject":"","project_id":79,"tracker_id":40,"status_id":1,"priority_id":2,"assigned_to_id":23,"start_date":"2016-11-11","description":"","custom_fields":[{"id":1,"name":"Subdivision","value":"EC"},{"id":4,"name":"Milepost","value":"0.0141"},{"id":17,"name":"Train ID","value":"164-11"},{"id":16,"name":"Locomotive ID","value":"4010"},{"id":130,"name":"Impact","value":""},{"id":150,"name":"Time of Event (Mountain Time)","value":"13:03:56"},{"id":151,"name":"Denver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519</v>
      </c>
      <c r="B78" s="7">
        <v>4044</v>
      </c>
      <c r="C78" s="22" t="s">
        <v>225</v>
      </c>
      <c r="D78" s="22" t="s">
        <v>202</v>
      </c>
      <c r="E78" s="13">
        <v>42685.485439814816</v>
      </c>
      <c r="F78" s="13">
        <v>42685.489861111113</v>
      </c>
      <c r="G78" s="7">
        <v>1</v>
      </c>
      <c r="H78" s="22" t="s">
        <v>657</v>
      </c>
      <c r="I78" s="13">
        <v>42685.515046296299</v>
      </c>
      <c r="J78" s="7">
        <v>0</v>
      </c>
      <c r="K78" s="109" t="str">
        <f t="shared" si="19"/>
        <v>4043/4044</v>
      </c>
      <c r="L78" s="22" t="str">
        <f>VLOOKUP(A78,'Trips&amp;Operators'!$C$1:$E$10000,3,FALSE)</f>
        <v>MOSES</v>
      </c>
      <c r="M78" s="6">
        <f t="shared" si="20"/>
        <v>2.5185185186273884E-2</v>
      </c>
      <c r="N78" s="7">
        <f t="shared" si="21"/>
        <v>36.266666668234393</v>
      </c>
      <c r="O78" s="7"/>
      <c r="P78" s="7"/>
      <c r="Q78" s="23"/>
      <c r="R78" s="23"/>
      <c r="S78" s="35">
        <f t="shared" si="22"/>
        <v>1</v>
      </c>
      <c r="T78" s="50" t="str">
        <f t="shared" si="23"/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10:39:02-700',mode:absolute,to:'2016-11-11 13:21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8" s="52" t="str">
        <f t="shared" si="25"/>
        <v>N</v>
      </c>
      <c r="X78" s="177">
        <f t="shared" si="26"/>
        <v>1</v>
      </c>
      <c r="Y78" s="67">
        <f t="shared" si="27"/>
        <v>4.5499999999999999E-2</v>
      </c>
      <c r="Z78" s="67">
        <f t="shared" si="28"/>
        <v>23.3278</v>
      </c>
      <c r="AA78" s="67">
        <f t="shared" si="29"/>
        <v>23.282299999999999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0"/>
        <v>0165-11</v>
      </c>
      <c r="AE78" s="91" t="str">
        <f t="shared" si="31"/>
        <v>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 &amp; aws s3 cp s3://rtdc.mdm.uploadarchive.raw/RTDC4044/ "%USERPROFILE%\AppData\Local\Temp\OnboardLogs"\RTDC4044\2016-11-12 --exclude "*" --recursive --include "*20161112*" &amp; "%USERPROFILE%\Documents\GitHub\mrs-test-scripts\Headless Mode &amp; Sideloading\WalkAndUnGZ.bat" "%USERPROFILE%\AppData\Local\Temp\OnboardLogs"\RTDC4044\2016-11-12</v>
      </c>
      <c r="AF78" s="88" t="str">
        <f t="shared" si="32"/>
        <v>"C:\Program Files (x86)\AstroGrep\AstroGrep.exe" /spath="%USERPROFILE%\AppData\Local\Temp\OnboardLogs" /stypes="app*4044*20161111*" /stext=" 19:.+((SYSTEM_STATE.+slice.+state.+changed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ref="AH78:AH137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165-11 --locoid 4044 --swversion DE.1.0.8.0 --startMP 204:455 --initTime 2016-11-11T11:39:02 --startdatetime 2016-11-11T11:45:24 --delay 1 --endMP 204:233278 --enddatetime 2016-11-11T12:21:40 --enforcementcount 0 &gt;&gt;C:\Users\stu\Documents\GitHub\eaglep3-reporting\EC\2016-11-11-refined-times.txt</v>
      </c>
      <c r="AI78" s="119" t="str">
        <f t="shared" ref="AI78:AI137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{"issue":{"subject":"","project_id":79,"tracker_id":40,"status_id":1,"priority_id":2,"assigned_to_id":23,"start_date":"2016-11-11","description":"","custom_fields":[{"id":1,"name":"Subdivision","value":"EC"},{"id":4,"name":"Milepost","value":"23.3278"},{"id":17,"name":"Train ID","value":"165-11"},{"id":16,"name":"Locomotive ID","value":"4044"},{"id":130,"name":"Impact","value":""},{"id":150,"name":"Time of Event (Mountain Time)","value":"12:21:40"},{"id":151,"name":"Denver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530</v>
      </c>
      <c r="B79" s="7">
        <v>4043</v>
      </c>
      <c r="C79" s="22" t="s">
        <v>225</v>
      </c>
      <c r="D79" s="22" t="s">
        <v>668</v>
      </c>
      <c r="E79" s="13">
        <v>42685.525937500002</v>
      </c>
      <c r="F79" s="13">
        <v>42685.528726851851</v>
      </c>
      <c r="G79" s="7">
        <v>2</v>
      </c>
      <c r="H79" s="22" t="s">
        <v>199</v>
      </c>
      <c r="I79" s="13">
        <v>42685.555520833332</v>
      </c>
      <c r="J79" s="7">
        <v>0</v>
      </c>
      <c r="K79" s="109" t="str">
        <f t="shared" si="19"/>
        <v>4043/4044</v>
      </c>
      <c r="L79" s="22" t="str">
        <f>VLOOKUP(A79,'Trips&amp;Operators'!$C$1:$E$10000,3,FALSE)</f>
        <v>MOSES</v>
      </c>
      <c r="M79" s="6">
        <f t="shared" si="20"/>
        <v>2.679398148029577E-2</v>
      </c>
      <c r="N79" s="7">
        <f t="shared" si="21"/>
        <v>38.583333331625909</v>
      </c>
      <c r="O79" s="7"/>
      <c r="P79" s="7"/>
      <c r="Q79" s="23"/>
      <c r="R79" s="23"/>
      <c r="S79" s="35">
        <f t="shared" si="22"/>
        <v>1</v>
      </c>
      <c r="T79" s="50" t="str">
        <f t="shared" si="23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11:37:21-700',mode:absolute,to:'2016-11-11 14:19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9" s="52" t="str">
        <f t="shared" si="25"/>
        <v>N</v>
      </c>
      <c r="X79" s="177">
        <f t="shared" si="26"/>
        <v>1</v>
      </c>
      <c r="Y79" s="67">
        <f t="shared" si="27"/>
        <v>23.300999999999998</v>
      </c>
      <c r="Z79" s="67">
        <f t="shared" si="28"/>
        <v>1.43E-2</v>
      </c>
      <c r="AA79" s="67">
        <f t="shared" si="29"/>
        <v>23.2867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0"/>
        <v>0166-11</v>
      </c>
      <c r="AE79" s="91" t="str">
        <f t="shared" si="31"/>
        <v>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 &amp; aws s3 cp s3://rtdc.mdm.uploadarchive.raw/RTDC4043/ "%USERPROFILE%\AppData\Local\Temp\OnboardLogs"\RTDC4043\2016-11-12 --exclude "*" --recursive --include "*20161112*" &amp; "%USERPROFILE%\Documents\GitHub\mrs-test-scripts\Headless Mode &amp; Sideloading\WalkAndUnGZ.bat" "%USERPROFILE%\AppData\Local\Temp\OnboardLogs"\RTDC4043\2016-11-12</v>
      </c>
      <c r="AF79" s="88" t="str">
        <f t="shared" si="32"/>
        <v>"C:\Program Files (x86)\AstroGrep\AstroGrep.exe" /spath="%USERPROFILE%\AppData\Local\Temp\OnboardLogs" /stypes="app*4043*20161111*" /stext=" 20:.+((SYSTEM_STATE.+slice.+state.+changed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166-11 --locoid 4043 --swversion DE.1.0.8.0 --startMP 204:233010 --initTime 2016-11-11T12:37:21 --startdatetime 2016-11-11T12:41:22 --delay 2 --endMP 204:143 --enddatetime 2016-11-11T13:19:57 --enforcementcount 0 &gt;&gt;C:\Users\stu\Documents\GitHub\eaglep3-reporting\EC\2016-11-11-refined-times.txt</v>
      </c>
      <c r="AI79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{"issue":{"subject":"","project_id":79,"tracker_id":40,"status_id":1,"priority_id":2,"assigned_to_id":23,"start_date":"2016-11-11","description":"","custom_fields":[{"id":1,"name":"Subdivision","value":"EC"},{"id":4,"name":"Milepost","value":"0.0143"},{"id":17,"name":"Train ID","value":"166-11"},{"id":16,"name":"Locomotive ID","value":"4043"},{"id":130,"name":"Impact","value":""},{"id":150,"name":"Time of Event (Mountain Time)","value":"13:19:57"},{"id":151,"name":"Denver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522</v>
      </c>
      <c r="B80" s="7">
        <v>4003</v>
      </c>
      <c r="C80" s="22" t="s">
        <v>225</v>
      </c>
      <c r="D80" s="22" t="s">
        <v>373</v>
      </c>
      <c r="E80" s="13">
        <v>42685.495393518519</v>
      </c>
      <c r="F80" s="13">
        <v>42685.500243055554</v>
      </c>
      <c r="G80" s="7">
        <v>6</v>
      </c>
      <c r="H80" s="22" t="s">
        <v>681</v>
      </c>
      <c r="I80" s="13">
        <v>42685.526030092595</v>
      </c>
      <c r="J80" s="7">
        <v>0</v>
      </c>
      <c r="K80" s="109" t="str">
        <f t="shared" si="19"/>
        <v>4003/4004</v>
      </c>
      <c r="L80" s="22" t="str">
        <f>VLOOKUP(A80,'Trips&amp;Operators'!$C$1:$E$10000,3,FALSE)</f>
        <v>SMITH</v>
      </c>
      <c r="M80" s="6">
        <f t="shared" si="20"/>
        <v>2.5787037040572613E-2</v>
      </c>
      <c r="N80" s="7">
        <f t="shared" si="21"/>
        <v>37.133333338424563</v>
      </c>
      <c r="O80" s="7"/>
      <c r="P80" s="7"/>
      <c r="Q80" s="23"/>
      <c r="R80" s="23"/>
      <c r="S80" s="35">
        <f t="shared" si="22"/>
        <v>1</v>
      </c>
      <c r="T80" s="50" t="str">
        <f t="shared" si="23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10:53:22-700',mode:absolute,to:'2016-11-11 13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4.6600000000000003E-2</v>
      </c>
      <c r="Z80" s="67">
        <f t="shared" si="28"/>
        <v>23.328399999999998</v>
      </c>
      <c r="AA80" s="67">
        <f t="shared" si="29"/>
        <v>23.281799999999997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0"/>
        <v>0167-11</v>
      </c>
      <c r="AE80" s="91" t="str">
        <f t="shared" si="31"/>
        <v>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 &amp; aws s3 cp s3://rtdc.mdm.uploadarchive.raw/RTDC4003/ "%USERPROFILE%\AppData\Local\Temp\OnboardLogs"\RTDC4003\2016-11-12 --exclude "*" --recursive --include "*20161112*" &amp; "%USERPROFILE%\Documents\GitHub\mrs-test-scripts\Headless Mode &amp; Sideloading\WalkAndUnGZ.bat" "%USERPROFILE%\AppData\Local\Temp\OnboardLogs"\RTDC4003\2016-11-12</v>
      </c>
      <c r="AF80" s="88" t="str">
        <f t="shared" si="32"/>
        <v>"C:\Program Files (x86)\AstroGrep\AstroGrep.exe" /spath="%USERPROFILE%\AppData\Local\Temp\OnboardLogs" /stypes="app*4003*20161111*" /stext=" 19:.+((SYSTEM_STATE.+slice.+state.+changed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167-11 --locoid 4003 --swversion DE.1.0.8.0 --startMP 204:466 --initTime 2016-11-11T11:53:22 --startdatetime 2016-11-11T12:00:21 --delay 6 --endMP 204:233284 --enddatetime 2016-11-11T12:37:29 --enforcementcount 0 &gt;&gt;C:\Users\stu\Documents\GitHub\eaglep3-reporting\EC\2016-11-11-refined-times.txt</v>
      </c>
      <c r="AI80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{"issue":{"subject":"","project_id":79,"tracker_id":40,"status_id":1,"priority_id":2,"assigned_to_id":23,"start_date":"2016-11-11","description":"","custom_fields":[{"id":1,"name":"Subdivision","value":"EC"},{"id":4,"name":"Milepost","value":"23.3284"},{"id":17,"name":"Train ID","value":"167-11"},{"id":16,"name":"Locomotive ID","value":"4003"},{"id":130,"name":"Impact","value":""},{"id":150,"name":"Time of Event (Mountain Time)","value":"12:37:29"},{"id":151,"name":"Denver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531</v>
      </c>
      <c r="B81" s="7">
        <v>4004</v>
      </c>
      <c r="C81" s="22" t="s">
        <v>225</v>
      </c>
      <c r="D81" s="22" t="s">
        <v>214</v>
      </c>
      <c r="E81" s="13">
        <v>42685.531585648147</v>
      </c>
      <c r="F81" s="13">
        <v>42685.539212962962</v>
      </c>
      <c r="G81" s="7">
        <v>1</v>
      </c>
      <c r="H81" s="22" t="s">
        <v>223</v>
      </c>
      <c r="I81" s="13">
        <v>42685.566284722219</v>
      </c>
      <c r="J81" s="7">
        <v>0</v>
      </c>
      <c r="K81" s="109" t="str">
        <f t="shared" si="19"/>
        <v>4003/4004</v>
      </c>
      <c r="L81" s="22" t="str">
        <f>VLOOKUP(A81,'Trips&amp;Operators'!$C$1:$E$10000,3,FALSE)</f>
        <v>SMITH</v>
      </c>
      <c r="M81" s="6">
        <f t="shared" si="20"/>
        <v>2.7071759257523809E-2</v>
      </c>
      <c r="N81" s="7">
        <f t="shared" si="21"/>
        <v>38.983333330834284</v>
      </c>
      <c r="O81" s="7"/>
      <c r="P81" s="7"/>
      <c r="Q81" s="23"/>
      <c r="R81" s="23"/>
      <c r="S81" s="35">
        <f t="shared" si="22"/>
        <v>1</v>
      </c>
      <c r="T81" s="50" t="str">
        <f t="shared" si="23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11:45:29-700',mode:absolute,to:'2016-11-11 14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23.297699999999999</v>
      </c>
      <c r="Z81" s="67">
        <f t="shared" si="28"/>
        <v>1.61E-2</v>
      </c>
      <c r="AA81" s="67">
        <f t="shared" si="29"/>
        <v>23.281599999999997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0"/>
        <v>0168-11</v>
      </c>
      <c r="AE81" s="91" t="str">
        <f t="shared" si="31"/>
        <v>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 &amp; 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</v>
      </c>
      <c r="AF81" s="88" t="str">
        <f t="shared" si="32"/>
        <v>"C:\Program Files (x86)\AstroGrep\AstroGrep.exe" /spath="%USERPROFILE%\AppData\Local\Temp\OnboardLogs" /stypes="app*4004*20161111*" /stext=" 20:.+((SYSTEM_STATE.+slice.+state.+changed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168-11 --locoid 4004 --swversion DE.1.0.8.0 --startMP 204:232977 --initTime 2016-11-11T12:45:29 --startdatetime 2016-11-11T12:56:28 --delay 1 --endMP 204:161 --enddatetime 2016-11-11T13:35:27 --enforcementcount 0 &gt;&gt;C:\Users\stu\Documents\GitHub\eaglep3-reporting\EC\2016-11-11-refined-times.txt</v>
      </c>
      <c r="AI81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{"issue":{"subject":"","project_id":79,"tracker_id":40,"status_id":1,"priority_id":2,"assigned_to_id":23,"start_date":"2016-11-11","description":"","custom_fields":[{"id":1,"name":"Subdivision","value":"EC"},{"id":4,"name":"Milepost","value":"0.0161"},{"id":17,"name":"Train ID","value":"168-11"},{"id":16,"name":"Locomotive ID","value":"4004"},{"id":130,"name":"Impact","value":""},{"id":150,"name":"Time of Event (Mountain Time)","value":"13:35:27"},{"id":151,"name":"Denver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524</v>
      </c>
      <c r="B82" s="7">
        <v>4018</v>
      </c>
      <c r="C82" s="22" t="s">
        <v>225</v>
      </c>
      <c r="D82" s="22" t="s">
        <v>316</v>
      </c>
      <c r="E82" s="13">
        <v>42685.505497685182</v>
      </c>
      <c r="F82" s="13">
        <v>42685.510578703703</v>
      </c>
      <c r="G82" s="7">
        <v>2</v>
      </c>
      <c r="H82" s="22" t="s">
        <v>382</v>
      </c>
      <c r="I82" s="13">
        <v>42685.536134259259</v>
      </c>
      <c r="J82" s="7">
        <v>0</v>
      </c>
      <c r="K82" s="109" t="str">
        <f t="shared" si="19"/>
        <v>4017/4018</v>
      </c>
      <c r="L82" s="22" t="str">
        <f>VLOOKUP(A82,'Trips&amp;Operators'!$C$1:$E$10000,3,FALSE)</f>
        <v>SHOOK</v>
      </c>
      <c r="M82" s="6">
        <f t="shared" si="20"/>
        <v>2.5555555555911269E-2</v>
      </c>
      <c r="N82" s="7">
        <f t="shared" si="21"/>
        <v>36.800000000512227</v>
      </c>
      <c r="O82" s="7"/>
      <c r="P82" s="7"/>
      <c r="Q82" s="23"/>
      <c r="R82" s="23"/>
      <c r="S82" s="35">
        <f t="shared" si="22"/>
        <v>1</v>
      </c>
      <c r="T82" s="50" t="str">
        <f t="shared" si="23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11:07:55-700',mode:absolute,to:'2016-11-11 13:52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4.8000000000000001E-2</v>
      </c>
      <c r="Z82" s="67">
        <f t="shared" si="28"/>
        <v>23.335699999999999</v>
      </c>
      <c r="AA82" s="67">
        <f t="shared" si="29"/>
        <v>23.287700000000001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0"/>
        <v>0169-11</v>
      </c>
      <c r="AE82" s="91" t="str">
        <f t="shared" si="31"/>
        <v>aws s3 cp s3://rtdc.mdm.uploadarchive.raw/RTDC4018/ "%USERPROFILE%\AppData\Local\Temp\OnboardLogs"\RTDC4018\2016-11-11 --exclude "*" --recursive --include "*20161111*" &amp; "%USERPROFILE%\Documents\GitHub\mrs-test-scripts\Headless Mode &amp; Sideloading\WalkAndUnGZ.bat" "%USERPROFILE%\AppData\Local\Temp\OnboardLogs"\RTDC4018\2016-11-11 &amp; aws s3 cp s3://rtdc.mdm.uploadarchive.raw/RTDC4018/ "%USERPROFILE%\AppData\Local\Temp\OnboardLogs"\RTDC4018\2016-11-12 --exclude "*" --recursive --include "*20161112*" &amp; "%USERPROFILE%\Documents\GitHub\mrs-test-scripts\Headless Mode &amp; Sideloading\WalkAndUnGZ.bat" "%USERPROFILE%\AppData\Local\Temp\OnboardLogs"\RTDC4018\2016-11-12</v>
      </c>
      <c r="AF82" s="88" t="str">
        <f t="shared" si="32"/>
        <v>"C:\Program Files (x86)\AstroGrep\AstroGrep.exe" /spath="%USERPROFILE%\AppData\Local\Temp\OnboardLogs" /stypes="app*4018*20161111*" /stext=" 19:.+((SYSTEM_STATE.+slice.+state.+changed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169-11 --locoid 4018 --swversion DE.1.0.8.0 --startMP 204:480 --initTime 2016-11-11T12:07:55 --startdatetime 2016-11-11T12:15:14 --delay 2 --endMP 204:233357 --enddatetime 2016-11-11T12:52:02 --enforcementcount 0 &gt;&gt;C:\Users\stu\Documents\GitHub\eaglep3-reporting\EC\2016-11-11-refined-times.txt</v>
      </c>
      <c r="AI82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{"issue":{"subject":"","project_id":79,"tracker_id":40,"status_id":1,"priority_id":2,"assigned_to_id":23,"start_date":"2016-11-11","description":"","custom_fields":[{"id":1,"name":"Subdivision","value":"EC"},{"id":4,"name":"Milepost","value":"23.3357"},{"id":17,"name":"Train ID","value":"169-11"},{"id":16,"name":"Locomotive ID","value":"4018"},{"id":130,"name":"Impact","value":""},{"id":150,"name":"Time of Event (Mountain Time)","value":"12:52:02"},{"id":151,"name":"Denver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533</v>
      </c>
      <c r="B83" s="7">
        <v>4017</v>
      </c>
      <c r="C83" s="22" t="s">
        <v>225</v>
      </c>
      <c r="D83" s="22" t="s">
        <v>682</v>
      </c>
      <c r="E83" s="13">
        <v>42685.544398148151</v>
      </c>
      <c r="F83" s="13">
        <v>42685.549537037034</v>
      </c>
      <c r="G83" s="7">
        <v>1</v>
      </c>
      <c r="H83" s="22" t="s">
        <v>176</v>
      </c>
      <c r="I83" s="13">
        <v>42685.575706018521</v>
      </c>
      <c r="J83" s="7">
        <v>0</v>
      </c>
      <c r="K83" s="109" t="str">
        <f t="shared" si="19"/>
        <v>4017/4018</v>
      </c>
      <c r="L83" s="22" t="str">
        <f>VLOOKUP(A83,'Trips&amp;Operators'!$C$1:$E$10000,3,FALSE)</f>
        <v>SHOOK</v>
      </c>
      <c r="M83" s="6">
        <f t="shared" si="20"/>
        <v>2.6168981486989651E-2</v>
      </c>
      <c r="N83" s="7">
        <f t="shared" si="21"/>
        <v>37.683333341265097</v>
      </c>
      <c r="O83" s="7"/>
      <c r="P83" s="7"/>
      <c r="Q83" s="23"/>
      <c r="R83" s="23"/>
      <c r="S83" s="35">
        <f t="shared" si="22"/>
        <v>1</v>
      </c>
      <c r="T83" s="50" t="str">
        <f t="shared" si="23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12:03:56-700',mode:absolute,to:'2016-11-11 14:49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23.305299999999999</v>
      </c>
      <c r="Z83" s="67">
        <f t="shared" si="28"/>
        <v>1.52E-2</v>
      </c>
      <c r="AA83" s="67">
        <f t="shared" si="29"/>
        <v>23.290099999999999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0"/>
        <v>0170-11</v>
      </c>
      <c r="AE83" s="91" t="str">
        <f t="shared" si="31"/>
        <v>aws s3 cp s3://rtdc.mdm.uploadarchive.raw/RTDC4017/ "%USERPROFILE%\AppData\Local\Temp\OnboardLogs"\RTDC4017\2016-11-11 --exclude "*" --recursive --include "*20161111*" &amp; "%USERPROFILE%\Documents\GitHub\mrs-test-scripts\Headless Mode &amp; Sideloading\WalkAndUnGZ.bat" "%USERPROFILE%\AppData\Local\Temp\OnboardLogs"\RTDC4017\2016-11-11 &amp; aws s3 cp s3://rtdc.mdm.uploadarchive.raw/RTDC4017/ "%USERPROFILE%\AppData\Local\Temp\OnboardLogs"\RTDC4017\2016-11-12 --exclude "*" --recursive --include "*20161112*" &amp; "%USERPROFILE%\Documents\GitHub\mrs-test-scripts\Headless Mode &amp; Sideloading\WalkAndUnGZ.bat" "%USERPROFILE%\AppData\Local\Temp\OnboardLogs"\RTDC4017\2016-11-12</v>
      </c>
      <c r="AF83" s="88" t="str">
        <f t="shared" si="32"/>
        <v>"C:\Program Files (x86)\AstroGrep\AstroGrep.exe" /spath="%USERPROFILE%\AppData\Local\Temp\OnboardLogs" /stypes="app*4017*20161111*" /stext=" 20:.+((SYSTEM_STATE.+slice.+state.+changed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170-11 --locoid 4017 --swversion DE.1.0.8.0 --startMP 204:233053 --initTime 2016-11-11T13:03:56 --startdatetime 2016-11-11T13:11:20 --delay 1 --endMP 204:152 --enddatetime 2016-11-11T13:49:01 --enforcementcount 0 &gt;&gt;C:\Users\stu\Documents\GitHub\eaglep3-reporting\EC\2016-11-11-refined-times.txt</v>
      </c>
      <c r="AI83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{"issue":{"subject":"","project_id":79,"tracker_id":40,"status_id":1,"priority_id":2,"assigned_to_id":23,"start_date":"2016-11-11","description":"","custom_fields":[{"id":1,"name":"Subdivision","value":"EC"},{"id":4,"name":"Milepost","value":"0.0152"},{"id":17,"name":"Train ID","value":"170-11"},{"id":16,"name":"Locomotive ID","value":"4017"},{"id":130,"name":"Impact","value":""},{"id":150,"name":"Time of Event (Mountain Time)","value":"13:49:01"},{"id":151,"name":"Denver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527</v>
      </c>
      <c r="B84" s="7">
        <v>4031</v>
      </c>
      <c r="C84" s="22" t="s">
        <v>225</v>
      </c>
      <c r="D84" s="22" t="s">
        <v>257</v>
      </c>
      <c r="E84" s="13">
        <v>42685.520208333335</v>
      </c>
      <c r="F84" s="13">
        <v>42685.522083333337</v>
      </c>
      <c r="G84" s="7">
        <v>1</v>
      </c>
      <c r="H84" s="22" t="s">
        <v>683</v>
      </c>
      <c r="I84" s="13">
        <v>42685.547210648147</v>
      </c>
      <c r="J84" s="7">
        <v>0</v>
      </c>
      <c r="K84" s="109" t="str">
        <f t="shared" si="19"/>
        <v>4031/4032</v>
      </c>
      <c r="L84" s="22" t="str">
        <f>VLOOKUP(A84,'Trips&amp;Operators'!$C$1:$E$10000,3,FALSE)</f>
        <v>BADERTSCHER</v>
      </c>
      <c r="M84" s="6">
        <f t="shared" si="20"/>
        <v>2.512731480965158E-2</v>
      </c>
      <c r="N84" s="7">
        <f t="shared" si="21"/>
        <v>36.183333325898275</v>
      </c>
      <c r="O84" s="7"/>
      <c r="P84" s="7"/>
      <c r="Q84" s="23"/>
      <c r="R84" s="23"/>
      <c r="S84" s="35">
        <f t="shared" si="22"/>
        <v>1</v>
      </c>
      <c r="T84" s="50" t="str">
        <f t="shared" si="23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11:29:06-700',mode:absolute,to:'2016-11-11 14:07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4.6699999999999998E-2</v>
      </c>
      <c r="Z84" s="67">
        <f t="shared" si="28"/>
        <v>23.334900000000001</v>
      </c>
      <c r="AA84" s="67">
        <f t="shared" si="29"/>
        <v>23.2882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0"/>
        <v>0171-11</v>
      </c>
      <c r="AE84" s="91" t="str">
        <f t="shared" si="31"/>
        <v>aws s3 cp s3://rtdc.mdm.uploadarchive.raw/RTDC4031/ "%USERPROFILE%\AppData\Local\Temp\OnboardLogs"\RTDC4031\2016-11-11 --exclude "*" --recursive --include "*20161111*" &amp; "%USERPROFILE%\Documents\GitHub\mrs-test-scripts\Headless Mode &amp; Sideloading\WalkAndUnGZ.bat" "%USERPROFILE%\AppData\Local\Temp\OnboardLogs"\RTDC4031\2016-11-11 &amp; aws s3 cp s3://rtdc.mdm.uploadarchive.raw/RTDC4031/ "%USERPROFILE%\AppData\Local\Temp\OnboardLogs"\RTDC4031\2016-11-12 --exclude "*" --recursive --include "*20161112*" &amp; "%USERPROFILE%\Documents\GitHub\mrs-test-scripts\Headless Mode &amp; Sideloading\WalkAndUnGZ.bat" "%USERPROFILE%\AppData\Local\Temp\OnboardLogs"\RTDC4031\2016-11-12</v>
      </c>
      <c r="AF84" s="88" t="str">
        <f t="shared" si="32"/>
        <v>"C:\Program Files (x86)\AstroGrep\AstroGrep.exe" /spath="%USERPROFILE%\AppData\Local\Temp\OnboardLogs" /stypes="app*4031*20161111*" /stext=" 20:.+((SYSTEM_STATE.+slice.+state.+changed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171-11 --locoid 4031 --swversion DE.1.0.8.0 --startMP 204:467 --initTime 2016-11-11T12:29:06 --startdatetime 2016-11-11T12:31:48 --delay 1 --endMP 204:233349 --enddatetime 2016-11-11T13:07:59 --enforcementcount 0 &gt;&gt;C:\Users\stu\Documents\GitHub\eaglep3-reporting\EC\2016-11-11-refined-times.txt</v>
      </c>
      <c r="AI84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{"issue":{"subject":"","project_id":79,"tracker_id":40,"status_id":1,"priority_id":2,"assigned_to_id":23,"start_date":"2016-11-11","description":"","custom_fields":[{"id":1,"name":"Subdivision","value":"EC"},{"id":4,"name":"Milepost","value":"23.3349"},{"id":17,"name":"Train ID","value":"171-11"},{"id":16,"name":"Locomotive ID","value":"4031"},{"id":130,"name":"Impact","value":""},{"id":150,"name":"Time of Event (Mountain Time)","value":"13:07:59"},{"id":151,"name":"Denver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536</v>
      </c>
      <c r="B85" s="7">
        <v>4032</v>
      </c>
      <c r="C85" s="22" t="s">
        <v>225</v>
      </c>
      <c r="D85" s="22" t="s">
        <v>317</v>
      </c>
      <c r="E85" s="13">
        <v>42685.55572916667</v>
      </c>
      <c r="F85" s="13">
        <v>42685.559988425928</v>
      </c>
      <c r="G85" s="7">
        <v>1</v>
      </c>
      <c r="H85" s="22" t="s">
        <v>684</v>
      </c>
      <c r="I85" s="13">
        <v>42685.586875000001</v>
      </c>
      <c r="J85" s="7">
        <v>0</v>
      </c>
      <c r="K85" s="109" t="str">
        <f t="shared" si="19"/>
        <v>4031/4032</v>
      </c>
      <c r="L85" s="22" t="str">
        <f>VLOOKUP(A85,'Trips&amp;Operators'!$C$1:$E$10000,3,FALSE)</f>
        <v>BADERTSCHER</v>
      </c>
      <c r="M85" s="6">
        <f t="shared" si="20"/>
        <v>2.6886574072705116E-2</v>
      </c>
      <c r="N85" s="7">
        <f t="shared" si="21"/>
        <v>38.716666664695367</v>
      </c>
      <c r="O85" s="7"/>
      <c r="P85" s="7"/>
      <c r="Q85" s="23"/>
      <c r="R85" s="23"/>
      <c r="S85" s="35">
        <f t="shared" si="22"/>
        <v>1</v>
      </c>
      <c r="T85" s="50" t="str">
        <f t="shared" si="23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12:20:15-700',mode:absolute,to:'2016-11-11 15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23.301300000000001</v>
      </c>
      <c r="Z85" s="67">
        <f t="shared" si="28"/>
        <v>1.67E-2</v>
      </c>
      <c r="AA85" s="67">
        <f t="shared" si="29"/>
        <v>23.284600000000001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0"/>
        <v>0172-11</v>
      </c>
      <c r="AE85" s="91" t="str">
        <f t="shared" si="31"/>
        <v>aws s3 cp s3://rtdc.mdm.uploadarchive.raw/RTDC4032/ "%USERPROFILE%\AppData\Local\Temp\OnboardLogs"\RTDC4032\2016-11-11 --exclude "*" --recursive --include "*20161111*" &amp; "%USERPROFILE%\Documents\GitHub\mrs-test-scripts\Headless Mode &amp; Sideloading\WalkAndUnGZ.bat" "%USERPROFILE%\AppData\Local\Temp\OnboardLogs"\RTDC4032\2016-11-11 &amp; aws s3 cp s3://rtdc.mdm.uploadarchive.raw/RTDC4032/ "%USERPROFILE%\AppData\Local\Temp\OnboardLogs"\RTDC4032\2016-11-12 --exclude "*" --recursive --include "*20161112*" &amp; "%USERPROFILE%\Documents\GitHub\mrs-test-scripts\Headless Mode &amp; Sideloading\WalkAndUnGZ.bat" "%USERPROFILE%\AppData\Local\Temp\OnboardLogs"\RTDC4032\2016-11-12</v>
      </c>
      <c r="AF85" s="88" t="str">
        <f t="shared" si="32"/>
        <v>"C:\Program Files (x86)\AstroGrep\AstroGrep.exe" /spath="%USERPROFILE%\AppData\Local\Temp\OnboardLogs" /stypes="app*4032*20161111*" /stext=" 21:.+((SYSTEM_STATE.+slice.+state.+changed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172-11 --locoid 4032 --swversion DE.1.0.8.0 --startMP 204:233013 --initTime 2016-11-11T13:20:15 --startdatetime 2016-11-11T13:26:23 --delay 1 --endMP 204:167 --enddatetime 2016-11-11T14:05:06 --enforcementcount 0 &gt;&gt;C:\Users\stu\Documents\GitHub\eaglep3-reporting\EC\2016-11-11-refined-times.txt</v>
      </c>
      <c r="AI85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{"issue":{"subject":"","project_id":79,"tracker_id":40,"status_id":1,"priority_id":2,"assigned_to_id":23,"start_date":"2016-11-11","description":"","custom_fields":[{"id":1,"name":"Subdivision","value":"EC"},{"id":4,"name":"Milepost","value":"0.0167"},{"id":17,"name":"Train ID","value":"172-11"},{"id":16,"name":"Locomotive ID","value":"4032"},{"id":130,"name":"Impact","value":""},{"id":150,"name":"Time of Event (Mountain Time)","value":"14:05:06"},{"id":151,"name":"Denver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529</v>
      </c>
      <c r="B86" s="7">
        <v>4025</v>
      </c>
      <c r="C86" s="22" t="s">
        <v>225</v>
      </c>
      <c r="D86" s="22" t="s">
        <v>283</v>
      </c>
      <c r="E86" s="13">
        <v>42685.526678240742</v>
      </c>
      <c r="F86" s="13">
        <v>42685.531504629631</v>
      </c>
      <c r="G86" s="7">
        <v>1</v>
      </c>
      <c r="H86" s="22" t="s">
        <v>203</v>
      </c>
      <c r="I86" s="13">
        <v>42685.556030092594</v>
      </c>
      <c r="J86" s="7">
        <v>0</v>
      </c>
      <c r="K86" s="109" t="str">
        <f t="shared" si="19"/>
        <v>4025/4026</v>
      </c>
      <c r="L86" s="22" t="str">
        <f>VLOOKUP(A86,'Trips&amp;Operators'!$C$1:$E$10000,3,FALSE)</f>
        <v>LALONDE</v>
      </c>
      <c r="M86" s="6">
        <f t="shared" si="20"/>
        <v>2.4525462962628808E-2</v>
      </c>
      <c r="N86" s="7">
        <f t="shared" si="21"/>
        <v>35.316666666185483</v>
      </c>
      <c r="O86" s="7"/>
      <c r="P86" s="7"/>
      <c r="Q86" s="23"/>
      <c r="R86" s="23"/>
      <c r="S86" s="35">
        <f t="shared" si="22"/>
        <v>1</v>
      </c>
      <c r="T86" s="50" t="str">
        <f t="shared" si="23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11:38:25-700',mode:absolute,to:'2016-11-11 14:20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4.3799999999999999E-2</v>
      </c>
      <c r="Z86" s="67">
        <f t="shared" si="28"/>
        <v>23.329499999999999</v>
      </c>
      <c r="AA86" s="67">
        <f t="shared" si="29"/>
        <v>23.285699999999999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0"/>
        <v>0173-11</v>
      </c>
      <c r="AE86" s="91" t="str">
        <f t="shared" si="31"/>
        <v>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 &amp; 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</v>
      </c>
      <c r="AF86" s="88" t="str">
        <f t="shared" si="32"/>
        <v>"C:\Program Files (x86)\AstroGrep\AstroGrep.exe" /spath="%USERPROFILE%\AppData\Local\Temp\OnboardLogs" /stypes="app*4025*20161111*" /stext=" 20:.+((SYSTEM_STATE.+slice.+state.+changed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173-11 --locoid 4025 --swversion DE.1.0.8.0 --startMP 204:438 --initTime 2016-11-11T12:38:25 --startdatetime 2016-11-11T12:45:22 --delay 1 --endMP 204:233295 --enddatetime 2016-11-11T13:20:41 --enforcementcount 0 &gt;&gt;C:\Users\stu\Documents\GitHub\eaglep3-reporting\EC\2016-11-11-refined-times.txt</v>
      </c>
      <c r="AI86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{"issue":{"subject":"","project_id":79,"tracker_id":40,"status_id":1,"priority_id":2,"assigned_to_id":23,"start_date":"2016-11-11","description":"","custom_fields":[{"id":1,"name":"Subdivision","value":"EC"},{"id":4,"name":"Milepost","value":"23.3295"},{"id":17,"name":"Train ID","value":"173-11"},{"id":16,"name":"Locomotive ID","value":"4025"},{"id":130,"name":"Impact","value":""},{"id":150,"name":"Time of Event (Mountain Time)","value":"13:20:41"},{"id":151,"name":"Denver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538</v>
      </c>
      <c r="B87" s="7">
        <v>4026</v>
      </c>
      <c r="C87" s="22" t="s">
        <v>225</v>
      </c>
      <c r="D87" s="22" t="s">
        <v>390</v>
      </c>
      <c r="E87" s="13">
        <v>42685.565497685187</v>
      </c>
      <c r="F87" s="13">
        <v>42685.570347222223</v>
      </c>
      <c r="G87" s="7">
        <v>1</v>
      </c>
      <c r="H87" s="22" t="s">
        <v>391</v>
      </c>
      <c r="I87" s="13">
        <v>42685.596666666665</v>
      </c>
      <c r="J87" s="7">
        <v>0</v>
      </c>
      <c r="K87" s="109" t="str">
        <f t="shared" si="19"/>
        <v>4025/4026</v>
      </c>
      <c r="L87" s="22" t="str">
        <f>VLOOKUP(A87,'Trips&amp;Operators'!$C$1:$E$10000,3,FALSE)</f>
        <v>LALONDE</v>
      </c>
      <c r="M87" s="6">
        <f t="shared" si="20"/>
        <v>2.6319444441469386E-2</v>
      </c>
      <c r="N87" s="7">
        <f t="shared" si="21"/>
        <v>37.899999995715916</v>
      </c>
      <c r="O87" s="7"/>
      <c r="P87" s="7"/>
      <c r="Q87" s="23"/>
      <c r="R87" s="23"/>
      <c r="S87" s="35">
        <f t="shared" si="22"/>
        <v>1</v>
      </c>
      <c r="T87" s="50" t="str">
        <f t="shared" si="23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12:34:19-700',mode:absolute,to:'2016-11-11 15:19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7" s="52" t="str">
        <f t="shared" si="25"/>
        <v>N</v>
      </c>
      <c r="X87" s="177">
        <f t="shared" si="26"/>
        <v>1</v>
      </c>
      <c r="Y87" s="67">
        <f t="shared" si="27"/>
        <v>23.297599999999999</v>
      </c>
      <c r="Z87" s="67">
        <f t="shared" si="28"/>
        <v>1.41E-2</v>
      </c>
      <c r="AA87" s="67">
        <f t="shared" si="29"/>
        <v>23.2835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0"/>
        <v>0174-11</v>
      </c>
      <c r="AE87" s="91" t="str">
        <f t="shared" si="31"/>
        <v>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 &amp; 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</v>
      </c>
      <c r="AF87" s="88" t="str">
        <f t="shared" si="32"/>
        <v>"C:\Program Files (x86)\AstroGrep\AstroGrep.exe" /spath="%USERPROFILE%\AppData\Local\Temp\OnboardLogs" /stypes="app*4026*20161111*" /stext=" 21:.+((SYSTEM_STATE.+slice.+state.+changed )|(ment ac)|(system.+state.+changed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174-11 --locoid 4026 --swversion DE.1.0.8.0 --startMP 204:232976 --initTime 2016-11-11T13:34:19 --startdatetime 2016-11-11T13:41:18 --delay 1 --endMP 204:141 --enddatetime 2016-11-11T14:19:12 --enforcementcount 0 &gt;&gt;C:\Users\stu\Documents\GitHub\eaglep3-reporting\EC\2016-11-11-refined-times.txt</v>
      </c>
      <c r="AI87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{"issue":{"subject":"","project_id":79,"tracker_id":40,"status_id":1,"priority_id":2,"assigned_to_id":23,"start_date":"2016-11-11","description":"","custom_fields":[{"id":1,"name":"Subdivision","value":"EC"},{"id":4,"name":"Milepost","value":"0.0141"},{"id":17,"name":"Train ID","value":"174-11"},{"id":16,"name":"Locomotive ID","value":"4026"},{"id":130,"name":"Impact","value":""},{"id":150,"name":"Time of Event (Mountain Time)","value":"14:19:12"},{"id":151,"name":"Denver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532</v>
      </c>
      <c r="B88" s="7">
        <v>4040</v>
      </c>
      <c r="C88" s="22" t="s">
        <v>225</v>
      </c>
      <c r="D88" s="22" t="s">
        <v>255</v>
      </c>
      <c r="E88" s="13">
        <v>42685.53833333333</v>
      </c>
      <c r="F88" s="13">
        <v>42685.541851851849</v>
      </c>
      <c r="G88" s="7">
        <v>1</v>
      </c>
      <c r="H88" s="22" t="s">
        <v>286</v>
      </c>
      <c r="I88" s="13">
        <v>42685.568020833336</v>
      </c>
      <c r="J88" s="7">
        <v>0</v>
      </c>
      <c r="K88" s="109" t="str">
        <f t="shared" si="19"/>
        <v>4039/4040</v>
      </c>
      <c r="L88" s="22" t="str">
        <f>VLOOKUP(A88,'Trips&amp;Operators'!$C$1:$E$10000,3,FALSE)</f>
        <v>CLARK</v>
      </c>
      <c r="M88" s="6">
        <f t="shared" si="20"/>
        <v>2.6168981486989651E-2</v>
      </c>
      <c r="N88" s="7">
        <f t="shared" si="21"/>
        <v>37.683333341265097</v>
      </c>
      <c r="O88" s="7"/>
      <c r="P88" s="7"/>
      <c r="Q88" s="23"/>
      <c r="R88" s="23"/>
      <c r="S88" s="35">
        <f t="shared" si="22"/>
        <v>1</v>
      </c>
      <c r="T88" s="50" t="str">
        <f t="shared" si="23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11:55:12-700',mode:absolute,to:'2016-11-11 14:37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8" s="52" t="str">
        <f t="shared" si="25"/>
        <v>N</v>
      </c>
      <c r="X88" s="177">
        <f t="shared" si="26"/>
        <v>1</v>
      </c>
      <c r="Y88" s="67">
        <f t="shared" si="27"/>
        <v>4.3700000000000003E-2</v>
      </c>
      <c r="Z88" s="67">
        <f t="shared" si="28"/>
        <v>23.3309</v>
      </c>
      <c r="AA88" s="67">
        <f t="shared" si="29"/>
        <v>23.287199999999999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0"/>
        <v>0175-11</v>
      </c>
      <c r="AE88" s="91" t="str">
        <f t="shared" si="31"/>
        <v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v>
      </c>
      <c r="AF88" s="88" t="str">
        <f t="shared" si="32"/>
        <v>"C:\Program Files (x86)\AstroGrep\AstroGrep.exe" /spath="%USERPROFILE%\AppData\Local\Temp\OnboardLogs" /stypes="app*4040*20161111*" /stext=" 20:.+((SYSTEM_STATE.+slice.+state.+changed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175-11 --locoid 4040 --swversion DE.1.0.8.0 --startMP 204:437 --initTime 2016-11-11T12:55:12 --startdatetime 2016-11-11T13:00:16 --delay 1 --endMP 204:233309 --enddatetime 2016-11-11T13:37:57 --enforcementcount 0 &gt;&gt;C:\Users\stu\Documents\GitHub\eaglep3-reporting\EC\2016-11-11-refined-times.txt</v>
      </c>
      <c r="AI88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{"issue":{"subject":"","project_id":79,"tracker_id":40,"status_id":1,"priority_id":2,"assigned_to_id":23,"start_date":"2016-11-11","description":"","custom_fields":[{"id":1,"name":"Subdivision","value":"EC"},{"id":4,"name":"Milepost","value":"23.3309"},{"id":17,"name":"Train ID","value":"175-11"},{"id":16,"name":"Locomotive ID","value":"4040"},{"id":130,"name":"Impact","value":""},{"id":150,"name":"Time of Event (Mountain Time)","value":"13:37:57"},{"id":151,"name":"Denver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541</v>
      </c>
      <c r="B89" s="7">
        <v>4039</v>
      </c>
      <c r="C89" s="22" t="s">
        <v>225</v>
      </c>
      <c r="D89" s="22" t="s">
        <v>653</v>
      </c>
      <c r="E89" s="13">
        <v>42685.57471064815</v>
      </c>
      <c r="F89" s="13">
        <v>42685.580729166664</v>
      </c>
      <c r="G89" s="7">
        <v>1</v>
      </c>
      <c r="H89" s="22" t="s">
        <v>304</v>
      </c>
      <c r="I89" s="13">
        <v>42685.608703703707</v>
      </c>
      <c r="J89" s="7">
        <v>0</v>
      </c>
      <c r="K89" s="109" t="str">
        <f t="shared" si="19"/>
        <v>4039/4040</v>
      </c>
      <c r="L89" s="22" t="str">
        <f>VLOOKUP(A89,'Trips&amp;Operators'!$C$1:$E$10000,3,FALSE)</f>
        <v>CLARK</v>
      </c>
      <c r="M89" s="6">
        <f t="shared" si="20"/>
        <v>2.7974537042609882E-2</v>
      </c>
      <c r="N89" s="7">
        <f t="shared" si="21"/>
        <v>40.28333334135823</v>
      </c>
      <c r="O89" s="7"/>
      <c r="P89" s="7"/>
      <c r="Q89" s="23"/>
      <c r="R89" s="23"/>
      <c r="S89" s="35">
        <f t="shared" si="22"/>
        <v>1</v>
      </c>
      <c r="T89" s="50" t="str">
        <f t="shared" si="23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12:47:35-700',mode:absolute,to:'2016-11-11 15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23.298400000000001</v>
      </c>
      <c r="Z89" s="67">
        <f t="shared" si="28"/>
        <v>1.3599999999999999E-2</v>
      </c>
      <c r="AA89" s="67">
        <f t="shared" si="29"/>
        <v>23.284800000000001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0"/>
        <v>0176-11</v>
      </c>
      <c r="AE89" s="91" t="str">
        <f t="shared" si="31"/>
        <v>aws s3 cp s3://rtdc.mdm.uploadarchive.raw/RTDC4039/ "%USERPROFILE%\AppData\Local\Temp\OnboardLogs"\RTDC4039\2016-11-11 --exclude "*" --recursive --include "*20161111*" &amp; "%USERPROFILE%\Documents\GitHub\mrs-test-scripts\Headless Mode &amp; Sideloading\WalkAndUnGZ.bat" "%USERPROFILE%\AppData\Local\Temp\OnboardLogs"\RTDC4039\2016-11-11 &amp; aws s3 cp s3://rtdc.mdm.uploadarchive.raw/RTDC4039/ "%USERPROFILE%\AppData\Local\Temp\OnboardLogs"\RTDC4039\2016-11-12 --exclude "*" --recursive --include "*20161112*" &amp; "%USERPROFILE%\Documents\GitHub\mrs-test-scripts\Headless Mode &amp; Sideloading\WalkAndUnGZ.bat" "%USERPROFILE%\AppData\Local\Temp\OnboardLogs"\RTDC4039\2016-11-12</v>
      </c>
      <c r="AF89" s="88" t="str">
        <f t="shared" si="32"/>
        <v>"C:\Program Files (x86)\AstroGrep\AstroGrep.exe" /spath="%USERPROFILE%\AppData\Local\Temp\OnboardLogs" /stypes="app*4039*20161111*" /stext=" 21:.+((SYSTEM_STATE.+slice.+state.+changed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176-11 --locoid 4039 --swversion DE.1.0.8.0 --startMP 204:232984 --initTime 2016-11-11T13:47:35 --startdatetime 2016-11-11T13:56:15 --delay 1 --endMP 204:136 --enddatetime 2016-11-11T14:36:32 --enforcementcount 0 &gt;&gt;C:\Users\stu\Documents\GitHub\eaglep3-reporting\EC\2016-11-11-refined-times.txt</v>
      </c>
      <c r="AI89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{"issue":{"subject":"","project_id":79,"tracker_id":40,"status_id":1,"priority_id":2,"assigned_to_id":23,"start_date":"2016-11-11","description":"","custom_fields":[{"id":1,"name":"Subdivision","value":"EC"},{"id":4,"name":"Milepost","value":"0.0136"},{"id":17,"name":"Train ID","value":"176-11"},{"id":16,"name":"Locomotive ID","value":"4039"},{"id":130,"name":"Impact","value":""},{"id":150,"name":"Time of Event (Mountain Time)","value":"14:36:32"},{"id":151,"name":"Denver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534</v>
      </c>
      <c r="B90" s="7">
        <v>4009</v>
      </c>
      <c r="C90" s="22" t="s">
        <v>225</v>
      </c>
      <c r="D90" s="22" t="s">
        <v>685</v>
      </c>
      <c r="E90" s="13">
        <v>42685.546111111114</v>
      </c>
      <c r="F90" s="13">
        <v>42685.552685185183</v>
      </c>
      <c r="G90" s="7">
        <v>1</v>
      </c>
      <c r="H90" s="22" t="s">
        <v>320</v>
      </c>
      <c r="I90" s="13">
        <v>42685.577210648145</v>
      </c>
      <c r="J90" s="7">
        <v>0</v>
      </c>
      <c r="K90" s="109" t="str">
        <f t="shared" si="19"/>
        <v>4009/4010</v>
      </c>
      <c r="L90" s="22" t="str">
        <f>VLOOKUP(A90,'Trips&amp;Operators'!$C$1:$E$10000,3,FALSE)</f>
        <v>NELSON</v>
      </c>
      <c r="M90" s="6">
        <f t="shared" si="20"/>
        <v>2.4525462962628808E-2</v>
      </c>
      <c r="N90" s="7">
        <f t="shared" si="21"/>
        <v>35.316666666185483</v>
      </c>
      <c r="O90" s="7"/>
      <c r="P90" s="7"/>
      <c r="Q90" s="23"/>
      <c r="R90" s="23"/>
      <c r="S90" s="35">
        <f t="shared" si="22"/>
        <v>1</v>
      </c>
      <c r="T90" s="50" t="str">
        <f t="shared" si="23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12:06:24-700',mode:absolute,to:'2016-11-11 14:51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4.2900000000000001E-2</v>
      </c>
      <c r="Z90" s="67">
        <f t="shared" si="28"/>
        <v>23.333100000000002</v>
      </c>
      <c r="AA90" s="67">
        <f t="shared" si="29"/>
        <v>23.290200000000002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0"/>
        <v>0177-11</v>
      </c>
      <c r="AE90" s="91" t="str">
        <f t="shared" si="31"/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AF90" s="88" t="str">
        <f t="shared" si="32"/>
        <v>"C:\Program Files (x86)\AstroGrep\AstroGrep.exe" /spath="%USERPROFILE%\AppData\Local\Temp\OnboardLogs" /stypes="app*4009*20161111*" /stext=" 20:.+((SYSTEM_STATE.+slice.+state.+changed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177-11 --locoid 4009 --swversion DE.1.0.8.0 --startMP 204:429 --initTime 2016-11-11T13:06:24 --startdatetime 2016-11-11T13:15:52 --delay 1 --endMP 204:233331 --enddatetime 2016-11-11T13:51:11 --enforcementcount 0 &gt;&gt;C:\Users\stu\Documents\GitHub\eaglep3-reporting\EC\2016-11-11-refined-times.txt</v>
      </c>
      <c r="AI90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{"issue":{"subject":"","project_id":79,"tracker_id":40,"status_id":1,"priority_id":2,"assigned_to_id":23,"start_date":"2016-11-11","description":"","custom_fields":[{"id":1,"name":"Subdivision","value":"EC"},{"id":4,"name":"Milepost","value":"23.3331"},{"id":17,"name":"Train ID","value":"177-11"},{"id":16,"name":"Locomotive ID","value":"4009"},{"id":130,"name":"Impact","value":""},{"id":150,"name":"Time of Event (Mountain Time)","value":"13:51:11"},{"id":151,"name":"Denver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543</v>
      </c>
      <c r="B91" s="7">
        <v>4010</v>
      </c>
      <c r="C91" s="22" t="s">
        <v>225</v>
      </c>
      <c r="D91" s="22" t="s">
        <v>388</v>
      </c>
      <c r="E91" s="13">
        <v>42685.581724537034</v>
      </c>
      <c r="F91" s="13">
        <v>42685.591180555559</v>
      </c>
      <c r="G91" s="7">
        <v>1</v>
      </c>
      <c r="H91" s="22" t="s">
        <v>197</v>
      </c>
      <c r="I91" s="13">
        <v>42685.618703703702</v>
      </c>
      <c r="J91" s="7">
        <v>0</v>
      </c>
      <c r="K91" s="109" t="str">
        <f t="shared" si="19"/>
        <v>4009/4010</v>
      </c>
      <c r="L91" s="22" t="str">
        <f>VLOOKUP(A91,'Trips&amp;Operators'!$C$1:$E$10000,3,FALSE)</f>
        <v>NELSON</v>
      </c>
      <c r="M91" s="6">
        <f t="shared" si="20"/>
        <v>2.7523148142790888E-2</v>
      </c>
      <c r="N91" s="7">
        <f t="shared" si="21"/>
        <v>39.633333325618878</v>
      </c>
      <c r="O91" s="7"/>
      <c r="P91" s="7"/>
      <c r="Q91" s="23"/>
      <c r="R91" s="23"/>
      <c r="S91" s="35">
        <f t="shared" si="22"/>
        <v>1</v>
      </c>
      <c r="T91" s="50" t="str">
        <f t="shared" si="23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12:57:41-700',mode:absolute,to:'2016-11-11 15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23.300799999999999</v>
      </c>
      <c r="Z91" s="67">
        <f t="shared" si="28"/>
        <v>1.4500000000000001E-2</v>
      </c>
      <c r="AA91" s="67">
        <f t="shared" si="29"/>
        <v>23.286299999999997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0"/>
        <v>0178-11</v>
      </c>
      <c r="AE91" s="91" t="str">
        <f t="shared" si="31"/>
        <v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v>
      </c>
      <c r="AF91" s="88" t="str">
        <f t="shared" si="32"/>
        <v>"C:\Program Files (x86)\AstroGrep\AstroGrep.exe" /spath="%USERPROFILE%\AppData\Local\Temp\OnboardLogs" /stypes="app*4010*20161111*" /stext=" 21:.+((SYSTEM_STATE.+slice.+state.+changed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178-11 --locoid 4010 --swversion DE.1.0.8.0 --startMP 204:233008 --initTime 2016-11-11T13:57:41 --startdatetime 2016-11-11T14:11:18 --delay 1 --endMP 204:145 --enddatetime 2016-11-11T14:50:56 --enforcementcount 0 &gt;&gt;C:\Users\stu\Documents\GitHub\eaglep3-reporting\EC\2016-11-11-refined-times.txt</v>
      </c>
      <c r="AI91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{"issue":{"subject":"","project_id":79,"tracker_id":40,"status_id":1,"priority_id":2,"assigned_to_id":23,"start_date":"2016-11-11","description":"","custom_fields":[{"id":1,"name":"Subdivision","value":"EC"},{"id":4,"name":"Milepost","value":"0.0145"},{"id":17,"name":"Train ID","value":"178-11"},{"id":16,"name":"Locomotive ID","value":"4010"},{"id":130,"name":"Impact","value":""},{"id":150,"name":"Time of Event (Mountain Time)","value":"14:50:56"},{"id":151,"name":"Denver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537</v>
      </c>
      <c r="B92" s="7">
        <v>4044</v>
      </c>
      <c r="C92" s="22" t="s">
        <v>225</v>
      </c>
      <c r="D92" s="22" t="s">
        <v>227</v>
      </c>
      <c r="E92" s="13">
        <v>42685.559641203705</v>
      </c>
      <c r="F92" s="13">
        <v>42685.562847222223</v>
      </c>
      <c r="G92" s="7">
        <v>1</v>
      </c>
      <c r="H92" s="22" t="s">
        <v>674</v>
      </c>
      <c r="I92" s="13">
        <v>42685.587488425925</v>
      </c>
      <c r="J92" s="7">
        <v>0</v>
      </c>
      <c r="K92" s="109" t="str">
        <f t="shared" si="19"/>
        <v>4043/4044</v>
      </c>
      <c r="L92" s="22" t="str">
        <f>VLOOKUP(A92,'Trips&amp;Operators'!$C$1:$E$10000,3,FALSE)</f>
        <v>MOSES</v>
      </c>
      <c r="M92" s="6">
        <f t="shared" si="20"/>
        <v>2.4641203701321501E-2</v>
      </c>
      <c r="N92" s="7">
        <f t="shared" si="21"/>
        <v>35.483333329902962</v>
      </c>
      <c r="O92" s="7"/>
      <c r="P92" s="7"/>
      <c r="Q92" s="23"/>
      <c r="R92" s="23"/>
      <c r="S92" s="35">
        <f t="shared" si="22"/>
        <v>1</v>
      </c>
      <c r="T92" s="50" t="str">
        <f t="shared" si="23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12:25:53-700',mode:absolute,to:'2016-11-11 15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4.58E-2</v>
      </c>
      <c r="Z92" s="67">
        <f t="shared" si="28"/>
        <v>23.333400000000001</v>
      </c>
      <c r="AA92" s="67">
        <f t="shared" si="29"/>
        <v>23.287600000000001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0"/>
        <v>0179-11</v>
      </c>
      <c r="AE92" s="91" t="str">
        <f t="shared" si="31"/>
        <v>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 &amp; aws s3 cp s3://rtdc.mdm.uploadarchive.raw/RTDC4044/ "%USERPROFILE%\AppData\Local\Temp\OnboardLogs"\RTDC4044\2016-11-12 --exclude "*" --recursive --include "*20161112*" &amp; "%USERPROFILE%\Documents\GitHub\mrs-test-scripts\Headless Mode &amp; Sideloading\WalkAndUnGZ.bat" "%USERPROFILE%\AppData\Local\Temp\OnboardLogs"\RTDC4044\2016-11-12</v>
      </c>
      <c r="AF92" s="88" t="str">
        <f t="shared" si="32"/>
        <v>"C:\Program Files (x86)\AstroGrep\AstroGrep.exe" /spath="%USERPROFILE%\AppData\Local\Temp\OnboardLogs" /stypes="app*4044*20161111*" /stext=" 21:.+((SYSTEM_STATE.+slice.+state.+changed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179-11 --locoid 4044 --swversion DE.1.0.8.0 --startMP 204:458 --initTime 2016-11-11T13:25:53 --startdatetime 2016-11-11T13:30:30 --delay 1 --endMP 204:233334 --enddatetime 2016-11-11T14:05:59 --enforcementcount 0 &gt;&gt;C:\Users\stu\Documents\GitHub\eaglep3-reporting\EC\2016-11-11-refined-times.txt</v>
      </c>
      <c r="AI92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{"issue":{"subject":"","project_id":79,"tracker_id":40,"status_id":1,"priority_id":2,"assigned_to_id":23,"start_date":"2016-11-11","description":"","custom_fields":[{"id":1,"name":"Subdivision","value":"EC"},{"id":4,"name":"Milepost","value":"23.3334"},{"id":17,"name":"Train ID","value":"179-11"},{"id":16,"name":"Locomotive ID","value":"4044"},{"id":130,"name":"Impact","value":""},{"id":150,"name":"Time of Event (Mountain Time)","value":"14:05:59"},{"id":151,"name":"Denver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546</v>
      </c>
      <c r="B93" s="7">
        <v>4043</v>
      </c>
      <c r="C93" s="22" t="s">
        <v>225</v>
      </c>
      <c r="D93" s="22" t="s">
        <v>686</v>
      </c>
      <c r="E93" s="13">
        <v>42685.59578703704</v>
      </c>
      <c r="F93" s="13">
        <v>42685.601597222223</v>
      </c>
      <c r="G93" s="7">
        <v>1</v>
      </c>
      <c r="H93" s="22" t="s">
        <v>197</v>
      </c>
      <c r="I93" s="13">
        <v>42685.627754629626</v>
      </c>
      <c r="J93" s="7">
        <v>0</v>
      </c>
      <c r="K93" s="109" t="str">
        <f t="shared" si="19"/>
        <v>4043/4044</v>
      </c>
      <c r="L93" s="22" t="str">
        <f>VLOOKUP(A93,'Trips&amp;Operators'!$C$1:$E$10000,3,FALSE)</f>
        <v>MOSES</v>
      </c>
      <c r="M93" s="6">
        <f t="shared" si="20"/>
        <v>2.6157407402934041E-2</v>
      </c>
      <c r="N93" s="7">
        <f t="shared" si="21"/>
        <v>37.666666660225019</v>
      </c>
      <c r="O93" s="7"/>
      <c r="P93" s="7"/>
      <c r="Q93" s="23"/>
      <c r="R93" s="23"/>
      <c r="S93" s="35">
        <f t="shared" si="22"/>
        <v>1</v>
      </c>
      <c r="T93" s="50" t="str">
        <f t="shared" si="23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13:17:56-700',mode:absolute,to:'2016-11-11 16:03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3" s="52" t="str">
        <f t="shared" si="25"/>
        <v>N</v>
      </c>
      <c r="X93" s="177">
        <f t="shared" si="26"/>
        <v>1</v>
      </c>
      <c r="Y93" s="67">
        <f t="shared" si="27"/>
        <v>23.3005</v>
      </c>
      <c r="Z93" s="67">
        <f t="shared" si="28"/>
        <v>1.4500000000000001E-2</v>
      </c>
      <c r="AA93" s="67">
        <f t="shared" si="29"/>
        <v>23.285999999999998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0"/>
        <v>0180-11</v>
      </c>
      <c r="AE93" s="91" t="str">
        <f t="shared" si="31"/>
        <v>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 &amp; aws s3 cp s3://rtdc.mdm.uploadarchive.raw/RTDC4043/ "%USERPROFILE%\AppData\Local\Temp\OnboardLogs"\RTDC4043\2016-11-12 --exclude "*" --recursive --include "*20161112*" &amp; "%USERPROFILE%\Documents\GitHub\mrs-test-scripts\Headless Mode &amp; Sideloading\WalkAndUnGZ.bat" "%USERPROFILE%\AppData\Local\Temp\OnboardLogs"\RTDC4043\2016-11-12</v>
      </c>
      <c r="AF93" s="88" t="str">
        <f t="shared" si="32"/>
        <v>"C:\Program Files (x86)\AstroGrep\AstroGrep.exe" /spath="%USERPROFILE%\AppData\Local\Temp\OnboardLogs" /stypes="app*4043*20161111*" /stext=" 22:.+((SYSTEM_STATE.+slice.+state.+changed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180-11 --locoid 4043 --swversion DE.1.0.8.0 --startMP 204:233005 --initTime 2016-11-11T14:17:56 --startdatetime 2016-11-11T14:26:18 --delay 1 --endMP 204:145 --enddatetime 2016-11-11T15:03:58 --enforcementcount 0 &gt;&gt;C:\Users\stu\Documents\GitHub\eaglep3-reporting\EC\2016-11-11-refined-times.txt</v>
      </c>
      <c r="AI93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{"issue":{"subject":"","project_id":79,"tracker_id":40,"status_id":1,"priority_id":2,"assigned_to_id":23,"start_date":"2016-11-11","description":"","custom_fields":[{"id":1,"name":"Subdivision","value":"EC"},{"id":4,"name":"Milepost","value":"0.0145"},{"id":17,"name":"Train ID","value":"180-11"},{"id":16,"name":"Locomotive ID","value":"4043"},{"id":130,"name":"Impact","value":""},{"id":150,"name":"Time of Event (Mountain Time)","value":"15:03:58"},{"id":151,"name":"Denver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540</v>
      </c>
      <c r="B94" s="7">
        <v>4003</v>
      </c>
      <c r="C94" s="22" t="s">
        <v>225</v>
      </c>
      <c r="D94" s="22" t="s">
        <v>224</v>
      </c>
      <c r="E94" s="13">
        <v>42685.568726851852</v>
      </c>
      <c r="F94" s="13">
        <v>42685.573321759257</v>
      </c>
      <c r="G94" s="7">
        <v>1</v>
      </c>
      <c r="H94" s="22" t="s">
        <v>669</v>
      </c>
      <c r="I94" s="13">
        <v>42685.598622685182</v>
      </c>
      <c r="J94" s="7">
        <v>0</v>
      </c>
      <c r="K94" s="109" t="str">
        <f t="shared" si="19"/>
        <v>4003/4004</v>
      </c>
      <c r="L94" s="22" t="str">
        <f>VLOOKUP(A94,'Trips&amp;Operators'!$C$1:$E$10000,3,FALSE)</f>
        <v>SMITH</v>
      </c>
      <c r="M94" s="6">
        <f t="shared" si="20"/>
        <v>2.5300925924966577E-2</v>
      </c>
      <c r="N94" s="7">
        <f t="shared" si="21"/>
        <v>36.433333331951872</v>
      </c>
      <c r="O94" s="7"/>
      <c r="P94" s="7"/>
      <c r="Q94" s="23"/>
      <c r="R94" s="23"/>
      <c r="S94" s="35">
        <f t="shared" si="22"/>
        <v>1</v>
      </c>
      <c r="T94" s="50" t="str">
        <f t="shared" si="23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12:38:58-700',mode:absolute,to:'2016-11-11 15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4" s="52" t="str">
        <f t="shared" si="25"/>
        <v>N</v>
      </c>
      <c r="X94" s="177">
        <f t="shared" si="26"/>
        <v>1</v>
      </c>
      <c r="Y94" s="67">
        <f t="shared" si="27"/>
        <v>4.6399999999999997E-2</v>
      </c>
      <c r="Z94" s="67">
        <f t="shared" si="28"/>
        <v>23.3308</v>
      </c>
      <c r="AA94" s="67">
        <f t="shared" si="29"/>
        <v>23.284400000000002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0"/>
        <v>0181-11</v>
      </c>
      <c r="AE94" s="91" t="str">
        <f t="shared" si="31"/>
        <v>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 &amp; aws s3 cp s3://rtdc.mdm.uploadarchive.raw/RTDC4003/ "%USERPROFILE%\AppData\Local\Temp\OnboardLogs"\RTDC4003\2016-11-12 --exclude "*" --recursive --include "*20161112*" &amp; "%USERPROFILE%\Documents\GitHub\mrs-test-scripts\Headless Mode &amp; Sideloading\WalkAndUnGZ.bat" "%USERPROFILE%\AppData\Local\Temp\OnboardLogs"\RTDC4003\2016-11-12</v>
      </c>
      <c r="AF94" s="88" t="str">
        <f t="shared" si="32"/>
        <v>"C:\Program Files (x86)\AstroGrep\AstroGrep.exe" /spath="%USERPROFILE%\AppData\Local\Temp\OnboardLogs" /stypes="app*4003*20161111*" /stext=" 21:.+((SYSTEM_STATE.+slice.+state.+changed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181-11 --locoid 4003 --swversion DE.1.0.8.0 --startMP 204:464 --initTime 2016-11-11T13:38:58 --startdatetime 2016-11-11T13:45:35 --delay 1 --endMP 204:233308 --enddatetime 2016-11-11T14:22:01 --enforcementcount 0 &gt;&gt;C:\Users\stu\Documents\GitHub\eaglep3-reporting\EC\2016-11-11-refined-times.txt</v>
      </c>
      <c r="AI94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{"issue":{"subject":"","project_id":79,"tracker_id":40,"status_id":1,"priority_id":2,"assigned_to_id":23,"start_date":"2016-11-11","description":"","custom_fields":[{"id":1,"name":"Subdivision","value":"EC"},{"id":4,"name":"Milepost","value":"23.3308"},{"id":17,"name":"Train ID","value":"181-11"},{"id":16,"name":"Locomotive ID","value":"4003"},{"id":130,"name":"Impact","value":""},{"id":150,"name":"Time of Event (Mountain Time)","value":"14:22:01"},{"id":151,"name":"Denver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548</v>
      </c>
      <c r="B95" s="7">
        <v>4004</v>
      </c>
      <c r="C95" s="22" t="s">
        <v>225</v>
      </c>
      <c r="D95" s="22" t="s">
        <v>220</v>
      </c>
      <c r="E95" s="13">
        <v>42685.606296296297</v>
      </c>
      <c r="F95" s="13">
        <v>42685.612534722219</v>
      </c>
      <c r="G95" s="7">
        <v>1</v>
      </c>
      <c r="H95" s="22" t="s">
        <v>216</v>
      </c>
      <c r="I95" s="13">
        <v>42685.638726851852</v>
      </c>
      <c r="J95" s="7">
        <v>0</v>
      </c>
      <c r="K95" s="109" t="str">
        <f t="shared" si="19"/>
        <v>4003/4004</v>
      </c>
      <c r="L95" s="22" t="str">
        <f>VLOOKUP(A95,'Trips&amp;Operators'!$C$1:$E$10000,3,FALSE)</f>
        <v>SMITH</v>
      </c>
      <c r="M95" s="6">
        <f t="shared" si="20"/>
        <v>2.6192129633272998E-2</v>
      </c>
      <c r="N95" s="7">
        <f t="shared" si="21"/>
        <v>37.716666671913117</v>
      </c>
      <c r="O95" s="7"/>
      <c r="P95" s="7"/>
      <c r="Q95" s="23"/>
      <c r="R95" s="23"/>
      <c r="S95" s="35">
        <f t="shared" si="22"/>
        <v>1</v>
      </c>
      <c r="T95" s="50" t="str">
        <f t="shared" si="23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13:33:04-700',mode:absolute,to:'2016-11-11 16:19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23.298500000000001</v>
      </c>
      <c r="Z95" s="67">
        <f t="shared" si="28"/>
        <v>1.5599999999999999E-2</v>
      </c>
      <c r="AA95" s="67">
        <f t="shared" si="29"/>
        <v>23.282900000000001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0"/>
        <v>0182-11</v>
      </c>
      <c r="AE95" s="91" t="str">
        <f t="shared" si="31"/>
        <v>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 &amp; 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</v>
      </c>
      <c r="AF95" s="88" t="str">
        <f t="shared" si="32"/>
        <v>"C:\Program Files (x86)\AstroGrep\AstroGrep.exe" /spath="%USERPROFILE%\AppData\Local\Temp\OnboardLogs" /stypes="app*4004*20161111*" /stext=" 22:.+((SYSTEM_STATE.+slice.+state.+changed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182-11 --locoid 4004 --swversion DE.1.0.8.0 --startMP 204:232985 --initTime 2016-11-11T14:33:04 --startdatetime 2016-11-11T14:42:03 --delay 1 --endMP 204:156 --enddatetime 2016-11-11T15:19:46 --enforcementcount 0 &gt;&gt;C:\Users\stu\Documents\GitHub\eaglep3-reporting\EC\2016-11-11-refined-times.txt</v>
      </c>
      <c r="AI95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{"issue":{"subject":"","project_id":79,"tracker_id":40,"status_id":1,"priority_id":2,"assigned_to_id":23,"start_date":"2016-11-11","description":"","custom_fields":[{"id":1,"name":"Subdivision","value":"EC"},{"id":4,"name":"Milepost","value":"0.0156"},{"id":17,"name":"Train ID","value":"182-11"},{"id":16,"name":"Locomotive ID","value":"4004"},{"id":130,"name":"Impact","value":""},{"id":150,"name":"Time of Event (Mountain Time)","value":"15:19:46"},{"id":151,"name":"Denver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542</v>
      </c>
      <c r="B96" s="7">
        <v>4018</v>
      </c>
      <c r="C96" s="22" t="s">
        <v>225</v>
      </c>
      <c r="D96" s="22" t="s">
        <v>201</v>
      </c>
      <c r="E96" s="13">
        <v>42685.580451388887</v>
      </c>
      <c r="F96" s="13">
        <v>42685.583518518521</v>
      </c>
      <c r="G96" s="7">
        <v>1</v>
      </c>
      <c r="H96" s="22" t="s">
        <v>687</v>
      </c>
      <c r="I96" s="13">
        <v>42685.608993055554</v>
      </c>
      <c r="J96" s="7">
        <v>0</v>
      </c>
      <c r="K96" s="109" t="str">
        <f t="shared" si="19"/>
        <v>4017/4018</v>
      </c>
      <c r="L96" s="22" t="str">
        <f>VLOOKUP(A96,'Trips&amp;Operators'!$C$1:$E$10000,3,FALSE)</f>
        <v>SHOOK</v>
      </c>
      <c r="M96" s="6">
        <f t="shared" si="20"/>
        <v>2.5474537033005618E-2</v>
      </c>
      <c r="N96" s="7">
        <f t="shared" si="21"/>
        <v>36.683333327528089</v>
      </c>
      <c r="O96" s="7"/>
      <c r="P96" s="7"/>
      <c r="Q96" s="23"/>
      <c r="R96" s="23"/>
      <c r="S96" s="35">
        <f t="shared" si="22"/>
        <v>1</v>
      </c>
      <c r="T96" s="50" t="str">
        <f t="shared" si="23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12:55:51-700',mode:absolute,to:'2016-11-11 15:36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4.53E-2</v>
      </c>
      <c r="Z96" s="67">
        <f t="shared" si="28"/>
        <v>23.339300000000001</v>
      </c>
      <c r="AA96" s="67">
        <f t="shared" si="29"/>
        <v>23.294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0"/>
        <v>0183-11</v>
      </c>
      <c r="AE96" s="91" t="str">
        <f t="shared" si="31"/>
        <v>aws s3 cp s3://rtdc.mdm.uploadarchive.raw/RTDC4018/ "%USERPROFILE%\AppData\Local\Temp\OnboardLogs"\RTDC4018\2016-11-11 --exclude "*" --recursive --include "*20161111*" &amp; "%USERPROFILE%\Documents\GitHub\mrs-test-scripts\Headless Mode &amp; Sideloading\WalkAndUnGZ.bat" "%USERPROFILE%\AppData\Local\Temp\OnboardLogs"\RTDC4018\2016-11-11 &amp; aws s3 cp s3://rtdc.mdm.uploadarchive.raw/RTDC4018/ "%USERPROFILE%\AppData\Local\Temp\OnboardLogs"\RTDC4018\2016-11-12 --exclude "*" --recursive --include "*20161112*" &amp; "%USERPROFILE%\Documents\GitHub\mrs-test-scripts\Headless Mode &amp; Sideloading\WalkAndUnGZ.bat" "%USERPROFILE%\AppData\Local\Temp\OnboardLogs"\RTDC4018\2016-11-12</v>
      </c>
      <c r="AF96" s="88" t="str">
        <f t="shared" si="32"/>
        <v>"C:\Program Files (x86)\AstroGrep\AstroGrep.exe" /spath="%USERPROFILE%\AppData\Local\Temp\OnboardLogs" /stypes="app*4018*20161111*" /stext=" 21:.+((SYSTEM_STATE.+slice.+state.+changed )|(ment ac)|(system.+state.+changed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183-11 --locoid 4018 --swversion DE.1.0.8.0 --startMP 204:453 --initTime 2016-11-11T13:55:51 --startdatetime 2016-11-11T14:00:16 --delay 1 --endMP 204:233393 --enddatetime 2016-11-11T14:36:57 --enforcementcount 0 &gt;&gt;C:\Users\stu\Documents\GitHub\eaglep3-reporting\EC\2016-11-11-refined-times.txt</v>
      </c>
      <c r="AI96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{"issue":{"subject":"","project_id":79,"tracker_id":40,"status_id":1,"priority_id":2,"assigned_to_id":23,"start_date":"2016-11-11","description":"","custom_fields":[{"id":1,"name":"Subdivision","value":"EC"},{"id":4,"name":"Milepost","value":"23.3393"},{"id":17,"name":"Train ID","value":"183-11"},{"id":16,"name":"Locomotive ID","value":"4018"},{"id":130,"name":"Impact","value":""},{"id":150,"name":"Time of Event (Mountain Time)","value":"14:36:57"},{"id":151,"name":"Denver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551</v>
      </c>
      <c r="B97" s="7">
        <v>4017</v>
      </c>
      <c r="C97" s="22" t="s">
        <v>225</v>
      </c>
      <c r="D97" s="22" t="s">
        <v>380</v>
      </c>
      <c r="E97" s="13">
        <v>42685.617395833331</v>
      </c>
      <c r="F97" s="13">
        <v>42685.622407407405</v>
      </c>
      <c r="G97" s="7">
        <v>1</v>
      </c>
      <c r="H97" s="22" t="s">
        <v>253</v>
      </c>
      <c r="I97" s="13">
        <v>42685.648796296293</v>
      </c>
      <c r="J97" s="7">
        <v>0</v>
      </c>
      <c r="K97" s="109" t="str">
        <f t="shared" si="19"/>
        <v>4017/4018</v>
      </c>
      <c r="L97" s="22" t="str">
        <f>VLOOKUP(A97,'Trips&amp;Operators'!$C$1:$E$10000,3,FALSE)</f>
        <v>SHOOK</v>
      </c>
      <c r="M97" s="6">
        <f t="shared" si="20"/>
        <v>2.6388888887595385E-2</v>
      </c>
      <c r="N97" s="7">
        <f t="shared" si="21"/>
        <v>37.999999998137355</v>
      </c>
      <c r="O97" s="7"/>
      <c r="P97" s="7"/>
      <c r="Q97" s="23"/>
      <c r="R97" s="23"/>
      <c r="S97" s="35">
        <f t="shared" si="22"/>
        <v>1</v>
      </c>
      <c r="T97" s="50" t="str">
        <f t="shared" si="23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13:49:03-700',mode:absolute,to:'2016-11-11 16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7" s="52" t="str">
        <f t="shared" si="25"/>
        <v>N</v>
      </c>
      <c r="X97" s="177">
        <f t="shared" si="26"/>
        <v>1</v>
      </c>
      <c r="Y97" s="67">
        <f t="shared" si="27"/>
        <v>23.3049</v>
      </c>
      <c r="Z97" s="67">
        <f t="shared" si="28"/>
        <v>1.4999999999999999E-2</v>
      </c>
      <c r="AA97" s="67">
        <f t="shared" si="29"/>
        <v>23.289899999999999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0"/>
        <v>0184-11</v>
      </c>
      <c r="AE97" s="91" t="str">
        <f t="shared" si="31"/>
        <v>aws s3 cp s3://rtdc.mdm.uploadarchive.raw/RTDC4017/ "%USERPROFILE%\AppData\Local\Temp\OnboardLogs"\RTDC4017\2016-11-11 --exclude "*" --recursive --include "*20161111*" &amp; "%USERPROFILE%\Documents\GitHub\mrs-test-scripts\Headless Mode &amp; Sideloading\WalkAndUnGZ.bat" "%USERPROFILE%\AppData\Local\Temp\OnboardLogs"\RTDC4017\2016-11-11 &amp; aws s3 cp s3://rtdc.mdm.uploadarchive.raw/RTDC4017/ "%USERPROFILE%\AppData\Local\Temp\OnboardLogs"\RTDC4017\2016-11-12 --exclude "*" --recursive --include "*20161112*" &amp; "%USERPROFILE%\Documents\GitHub\mrs-test-scripts\Headless Mode &amp; Sideloading\WalkAndUnGZ.bat" "%USERPROFILE%\AppData\Local\Temp\OnboardLogs"\RTDC4017\2016-11-12</v>
      </c>
      <c r="AF97" s="88" t="str">
        <f t="shared" si="32"/>
        <v>"C:\Program Files (x86)\AstroGrep\AstroGrep.exe" /spath="%USERPROFILE%\AppData\Local\Temp\OnboardLogs" /stypes="app*4017*20161111*" /stext=" 22:.+((SYSTEM_STATE.+slice.+state.+changed )|(ment ac)|(system.+state.+changed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184-11 --locoid 4017 --swversion DE.1.0.8.0 --startMP 204:233049 --initTime 2016-11-11T14:49:03 --startdatetime 2016-11-11T14:56:16 --delay 1 --endMP 204:150 --enddatetime 2016-11-11T15:34:16 --enforcementcount 0 &gt;&gt;C:\Users\stu\Documents\GitHub\eaglep3-reporting\EC\2016-11-11-refined-times.txt</v>
      </c>
      <c r="AI97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{"issue":{"subject":"","project_id":79,"tracker_id":40,"status_id":1,"priority_id":2,"assigned_to_id":23,"start_date":"2016-11-11","description":"","custom_fields":[{"id":1,"name":"Subdivision","value":"EC"},{"id":4,"name":"Milepost","value":"0.015"},{"id":17,"name":"Train ID","value":"184-11"},{"id":16,"name":"Locomotive ID","value":"4017"},{"id":130,"name":"Impact","value":""},{"id":150,"name":"Time of Event (Mountain Time)","value":"15:34:16"},{"id":151,"name":"Denver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544</v>
      </c>
      <c r="B98" s="7">
        <v>4031</v>
      </c>
      <c r="C98" s="22" t="s">
        <v>225</v>
      </c>
      <c r="D98" s="22" t="s">
        <v>201</v>
      </c>
      <c r="E98" s="13">
        <v>42685.588946759257</v>
      </c>
      <c r="F98" s="13">
        <v>42685.59412037037</v>
      </c>
      <c r="G98" s="7">
        <v>1</v>
      </c>
      <c r="H98" s="22" t="s">
        <v>240</v>
      </c>
      <c r="I98" s="13">
        <v>42685.618726851855</v>
      </c>
      <c r="J98" s="7">
        <v>0</v>
      </c>
      <c r="K98" s="109" t="str">
        <f t="shared" si="19"/>
        <v>4031/4032</v>
      </c>
      <c r="L98" s="22" t="str">
        <f>VLOOKUP(A98,'Trips&amp;Operators'!$C$1:$E$10000,3,FALSE)</f>
        <v>BADERTSCHER</v>
      </c>
      <c r="M98" s="6">
        <f t="shared" si="20"/>
        <v>2.4606481485534459E-2</v>
      </c>
      <c r="N98" s="7">
        <f t="shared" si="21"/>
        <v>35.433333339169621</v>
      </c>
      <c r="O98" s="7"/>
      <c r="P98" s="7"/>
      <c r="Q98" s="23"/>
      <c r="R98" s="23"/>
      <c r="S98" s="35">
        <f t="shared" si="22"/>
        <v>1</v>
      </c>
      <c r="T98" s="50" t="str">
        <f t="shared" si="23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13:08:05-700',mode:absolute,to:'2016-11-11 15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8" s="52" t="str">
        <f t="shared" si="25"/>
        <v>N</v>
      </c>
      <c r="X98" s="177">
        <f t="shared" si="26"/>
        <v>1</v>
      </c>
      <c r="Y98" s="67">
        <f t="shared" si="27"/>
        <v>4.53E-2</v>
      </c>
      <c r="Z98" s="67">
        <f t="shared" si="28"/>
        <v>23.331199999999999</v>
      </c>
      <c r="AA98" s="67">
        <f t="shared" si="29"/>
        <v>23.285899999999998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0"/>
        <v>0185-11</v>
      </c>
      <c r="AE98" s="91" t="str">
        <f t="shared" si="31"/>
        <v>aws s3 cp s3://rtdc.mdm.uploadarchive.raw/RTDC4031/ "%USERPROFILE%\AppData\Local\Temp\OnboardLogs"\RTDC4031\2016-11-11 --exclude "*" --recursive --include "*20161111*" &amp; "%USERPROFILE%\Documents\GitHub\mrs-test-scripts\Headless Mode &amp; Sideloading\WalkAndUnGZ.bat" "%USERPROFILE%\AppData\Local\Temp\OnboardLogs"\RTDC4031\2016-11-11 &amp; aws s3 cp s3://rtdc.mdm.uploadarchive.raw/RTDC4031/ "%USERPROFILE%\AppData\Local\Temp\OnboardLogs"\RTDC4031\2016-11-12 --exclude "*" --recursive --include "*20161112*" &amp; "%USERPROFILE%\Documents\GitHub\mrs-test-scripts\Headless Mode &amp; Sideloading\WalkAndUnGZ.bat" "%USERPROFILE%\AppData\Local\Temp\OnboardLogs"\RTDC4031\2016-11-12</v>
      </c>
      <c r="AF98" s="88" t="str">
        <f t="shared" si="32"/>
        <v>"C:\Program Files (x86)\AstroGrep\AstroGrep.exe" /spath="%USERPROFILE%\AppData\Local\Temp\OnboardLogs" /stypes="app*4031*20161111*" /stext=" 21:.+((SYSTEM_STATE.+slice.+state.+changed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185-11 --locoid 4031 --swversion DE.1.0.8.0 --startMP 204:453 --initTime 2016-11-11T14:08:05 --startdatetime 2016-11-11T14:15:32 --delay 1 --endMP 204:233312 --enddatetime 2016-11-11T14:50:58 --enforcementcount 0 &gt;&gt;C:\Users\stu\Documents\GitHub\eaglep3-reporting\EC\2016-11-11-refined-times.txt</v>
      </c>
      <c r="AI98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{"issue":{"subject":"","project_id":79,"tracker_id":40,"status_id":1,"priority_id":2,"assigned_to_id":23,"start_date":"2016-11-11","description":"","custom_fields":[{"id":1,"name":"Subdivision","value":"EC"},{"id":4,"name":"Milepost","value":"23.3312"},{"id":17,"name":"Train ID","value":"185-11"},{"id":16,"name":"Locomotive ID","value":"4031"},{"id":130,"name":"Impact","value":""},{"id":150,"name":"Time of Event (Mountain Time)","value":"14:50:58"},{"id":151,"name":"Denver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554</v>
      </c>
      <c r="B99" s="7">
        <v>4032</v>
      </c>
      <c r="C99" s="22" t="s">
        <v>225</v>
      </c>
      <c r="D99" s="22" t="s">
        <v>247</v>
      </c>
      <c r="E99" s="13">
        <v>42685.627812500003</v>
      </c>
      <c r="F99" s="13">
        <v>42685.632928240739</v>
      </c>
      <c r="G99" s="7">
        <v>1</v>
      </c>
      <c r="H99" s="22" t="s">
        <v>253</v>
      </c>
      <c r="I99" s="13">
        <v>42685.659236111111</v>
      </c>
      <c r="J99" s="7">
        <v>0</v>
      </c>
      <c r="K99" s="109" t="str">
        <f t="shared" si="19"/>
        <v>4031/4032</v>
      </c>
      <c r="L99" s="22" t="str">
        <f>VLOOKUP(A99,'Trips&amp;Operators'!$C$1:$E$10000,3,FALSE)</f>
        <v>BADERTSCHER</v>
      </c>
      <c r="M99" s="6">
        <f t="shared" si="20"/>
        <v>2.6307870371965691E-2</v>
      </c>
      <c r="N99" s="7">
        <f t="shared" si="21"/>
        <v>37.883333335630596</v>
      </c>
      <c r="O99" s="7"/>
      <c r="P99" s="7"/>
      <c r="Q99" s="23"/>
      <c r="R99" s="23"/>
      <c r="S99" s="35">
        <f t="shared" si="22"/>
        <v>1</v>
      </c>
      <c r="T99" s="50" t="str">
        <f t="shared" si="23"/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14:04:03-700',mode:absolute,to:'2016-11-11 16:49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23.299099999999999</v>
      </c>
      <c r="Z99" s="67">
        <f t="shared" si="28"/>
        <v>1.4999999999999999E-2</v>
      </c>
      <c r="AA99" s="67">
        <f t="shared" si="29"/>
        <v>23.284099999999999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0"/>
        <v>0186-11</v>
      </c>
      <c r="AE99" s="91" t="str">
        <f t="shared" si="31"/>
        <v>aws s3 cp s3://rtdc.mdm.uploadarchive.raw/RTDC4032/ "%USERPROFILE%\AppData\Local\Temp\OnboardLogs"\RTDC4032\2016-11-11 --exclude "*" --recursive --include "*20161111*" &amp; "%USERPROFILE%\Documents\GitHub\mrs-test-scripts\Headless Mode &amp; Sideloading\WalkAndUnGZ.bat" "%USERPROFILE%\AppData\Local\Temp\OnboardLogs"\RTDC4032\2016-11-11 &amp; aws s3 cp s3://rtdc.mdm.uploadarchive.raw/RTDC4032/ "%USERPROFILE%\AppData\Local\Temp\OnboardLogs"\RTDC4032\2016-11-12 --exclude "*" --recursive --include "*20161112*" &amp; "%USERPROFILE%\Documents\GitHub\mrs-test-scripts\Headless Mode &amp; Sideloading\WalkAndUnGZ.bat" "%USERPROFILE%\AppData\Local\Temp\OnboardLogs"\RTDC4032\2016-11-12</v>
      </c>
      <c r="AF99" s="88" t="str">
        <f t="shared" si="32"/>
        <v>"C:\Program Files (x86)\AstroGrep\AstroGrep.exe" /spath="%USERPROFILE%\AppData\Local\Temp\OnboardLogs" /stypes="app*4032*20161111*" /stext=" 22:.+((SYSTEM_STATE.+slice.+state.+changed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186-11 --locoid 4032 --swversion DE.1.0.8.0 --startMP 204:232991 --initTime 2016-11-11T15:04:03 --startdatetime 2016-11-11T15:11:25 --delay 1 --endMP 204:150 --enddatetime 2016-11-11T15:49:18 --enforcementcount 0 &gt;&gt;C:\Users\stu\Documents\GitHub\eaglep3-reporting\EC\2016-11-11-refined-times.txt</v>
      </c>
      <c r="AI99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{"issue":{"subject":"","project_id":79,"tracker_id":40,"status_id":1,"priority_id":2,"assigned_to_id":23,"start_date":"2016-11-11","description":"","custom_fields":[{"id":1,"name":"Subdivision","value":"EC"},{"id":4,"name":"Milepost","value":"0.015"},{"id":17,"name":"Train ID","value":"186-11"},{"id":16,"name":"Locomotive ID","value":"4032"},{"id":130,"name":"Impact","value":""},{"id":150,"name":"Time of Event (Mountain Time)","value":"15:49:18"},{"id":151,"name":"Denver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547</v>
      </c>
      <c r="B100" s="7">
        <v>4025</v>
      </c>
      <c r="C100" s="22" t="s">
        <v>225</v>
      </c>
      <c r="D100" s="22" t="s">
        <v>373</v>
      </c>
      <c r="E100" s="13">
        <v>42685.598645833335</v>
      </c>
      <c r="F100" s="13">
        <v>42685.604537037034</v>
      </c>
      <c r="G100" s="7">
        <v>1</v>
      </c>
      <c r="H100" s="22" t="s">
        <v>681</v>
      </c>
      <c r="I100" s="13">
        <v>42685.629178240742</v>
      </c>
      <c r="J100" s="7">
        <v>0</v>
      </c>
      <c r="K100" s="109" t="str">
        <f t="shared" si="19"/>
        <v>4025/4026</v>
      </c>
      <c r="L100" s="22" t="str">
        <f>VLOOKUP(A100,'Trips&amp;Operators'!$C$1:$E$10000,3,FALSE)</f>
        <v>LALONDE</v>
      </c>
      <c r="M100" s="6">
        <f t="shared" si="20"/>
        <v>2.4641203708597459E-2</v>
      </c>
      <c r="N100" s="7">
        <f t="shared" si="21"/>
        <v>35.483333340380341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13:22:03-700',mode:absolute,to:'2016-11-11 16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4.6600000000000003E-2</v>
      </c>
      <c r="Z100" s="67">
        <f t="shared" si="28"/>
        <v>23.328399999999998</v>
      </c>
      <c r="AA100" s="67">
        <f t="shared" si="29"/>
        <v>23.281799999999997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0"/>
        <v>0187-11</v>
      </c>
      <c r="AE100" s="91" t="str">
        <f t="shared" si="31"/>
        <v>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 &amp; 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</v>
      </c>
      <c r="AF100" s="88" t="str">
        <f t="shared" si="32"/>
        <v>"C:\Program Files (x86)\AstroGrep\AstroGrep.exe" /spath="%USERPROFILE%\AppData\Local\Temp\OnboardLogs" /stypes="app*4025*20161111*" /stext=" 22:.+((SYSTEM_STATE.+slice.+state.+changed )|(ment ac)|(system.+state.+changed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187-11 --locoid 4025 --swversion DE.1.0.8.0 --startMP 204:466 --initTime 2016-11-11T14:22:03 --startdatetime 2016-11-11T14:30:32 --delay 1 --endMP 204:233284 --enddatetime 2016-11-11T15:06:01 --enforcementcount 0 &gt;&gt;C:\Users\stu\Documents\GitHub\eaglep3-reporting\EC\2016-11-11-refined-times.txt</v>
      </c>
      <c r="AI100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{"issue":{"subject":"","project_id":79,"tracker_id":40,"status_id":1,"priority_id":2,"assigned_to_id":23,"start_date":"2016-11-11","description":"","custom_fields":[{"id":1,"name":"Subdivision","value":"EC"},{"id":4,"name":"Milepost","value":"23.3284"},{"id":17,"name":"Train ID","value":"187-11"},{"id":16,"name":"Locomotive ID","value":"4025"},{"id":130,"name":"Impact","value":""},{"id":150,"name":"Time of Event (Mountain Time)","value":"15:06:01"},{"id":151,"name":"Denver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556</v>
      </c>
      <c r="B101" s="7">
        <v>4026</v>
      </c>
      <c r="C101" s="22" t="s">
        <v>225</v>
      </c>
      <c r="D101" s="22" t="s">
        <v>214</v>
      </c>
      <c r="E101" s="13">
        <v>42685.631365740737</v>
      </c>
      <c r="F101" s="13">
        <v>42685.643333333333</v>
      </c>
      <c r="G101" s="7">
        <v>1</v>
      </c>
      <c r="H101" s="22" t="s">
        <v>391</v>
      </c>
      <c r="I101" s="13">
        <v>42685.669814814813</v>
      </c>
      <c r="J101" s="7">
        <v>0</v>
      </c>
      <c r="K101" s="109" t="str">
        <f t="shared" si="19"/>
        <v>4025/4026</v>
      </c>
      <c r="L101" s="22" t="str">
        <f>VLOOKUP(A101,'Trips&amp;Operators'!$C$1:$E$10000,3,FALSE)</f>
        <v>LALONDE</v>
      </c>
      <c r="M101" s="6">
        <f t="shared" si="20"/>
        <v>2.6481481480004732E-2</v>
      </c>
      <c r="N101" s="7">
        <f t="shared" si="21"/>
        <v>38.133333331206813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14:09:10-700',mode:absolute,to:'2016-11-11 17:04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23.297699999999999</v>
      </c>
      <c r="Z101" s="67">
        <f t="shared" si="28"/>
        <v>1.41E-2</v>
      </c>
      <c r="AA101" s="67">
        <f t="shared" si="29"/>
        <v>23.2836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0"/>
        <v>0188-11</v>
      </c>
      <c r="AE101" s="91" t="str">
        <f t="shared" si="31"/>
        <v>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 &amp; 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</v>
      </c>
      <c r="AF101" s="88" t="str">
        <f t="shared" si="32"/>
        <v>"C:\Program Files (x86)\AstroGrep\AstroGrep.exe" /spath="%USERPROFILE%\AppData\Local\Temp\OnboardLogs" /stypes="app*4026*20161111*" /stext=" 23:.+((SYSTEM_STATE.+slice.+state.+changed )|(ment ac)|(system.+state.+changed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188-11 --locoid 4026 --swversion DE.1.0.8.0 --startMP 204:232977 --initTime 2016-11-11T15:09:10 --startdatetime 2016-11-11T15:26:24 --delay 1 --endMP 204:141 --enddatetime 2016-11-11T16:04:32 --enforcementcount 0 &gt;&gt;C:\Users\stu\Documents\GitHub\eaglep3-reporting\EC\2016-11-11-refined-times.txt</v>
      </c>
      <c r="AI101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{"issue":{"subject":"","project_id":79,"tracker_id":40,"status_id":1,"priority_id":2,"assigned_to_id":23,"start_date":"2016-11-11","description":"","custom_fields":[{"id":1,"name":"Subdivision","value":"EC"},{"id":4,"name":"Milepost","value":"0.0141"},{"id":17,"name":"Train ID","value":"188-11"},{"id":16,"name":"Locomotive ID","value":"4026"},{"id":130,"name":"Impact","value":""},{"id":150,"name":"Time of Event (Mountain Time)","value":"16:04:32"},{"id":151,"name":"Denver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550</v>
      </c>
      <c r="B102" s="7">
        <v>4040</v>
      </c>
      <c r="C102" s="22" t="s">
        <v>225</v>
      </c>
      <c r="D102" s="22" t="s">
        <v>202</v>
      </c>
      <c r="E102" s="13">
        <v>42685.610138888886</v>
      </c>
      <c r="F102" s="13">
        <v>42685.614756944444</v>
      </c>
      <c r="G102" s="7">
        <v>1</v>
      </c>
      <c r="H102" s="22" t="s">
        <v>669</v>
      </c>
      <c r="I102" s="13">
        <v>42685.640185185184</v>
      </c>
      <c r="J102" s="7">
        <v>0</v>
      </c>
      <c r="K102" s="109" t="str">
        <f t="shared" si="19"/>
        <v>4039/4040</v>
      </c>
      <c r="L102" s="22" t="str">
        <f>VLOOKUP(A102,'Trips&amp;Operators'!$C$1:$E$10000,3,FALSE)</f>
        <v>CLARK</v>
      </c>
      <c r="M102" s="6">
        <f t="shared" si="20"/>
        <v>2.5428240740438923E-2</v>
      </c>
      <c r="N102" s="7">
        <f t="shared" si="21"/>
        <v>36.616666666232049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13:38:36-700',mode:absolute,to:'2016-11-11 16:21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4.5499999999999999E-2</v>
      </c>
      <c r="Z102" s="67">
        <f t="shared" si="28"/>
        <v>23.3308</v>
      </c>
      <c r="AA102" s="67">
        <f t="shared" si="29"/>
        <v>23.285299999999999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0"/>
        <v>0189-11</v>
      </c>
      <c r="AE102" s="91" t="str">
        <f t="shared" si="31"/>
        <v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v>
      </c>
      <c r="AF102" s="88" t="str">
        <f t="shared" si="32"/>
        <v>"C:\Program Files (x86)\AstroGrep\AstroGrep.exe" /spath="%USERPROFILE%\AppData\Local\Temp\OnboardLogs" /stypes="app*4040*20161111*" /stext=" 22:.+((SYSTEM_STATE.+slice.+state.+changed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189-11 --locoid 4040 --swversion DE.1.0.8.0 --startMP 204:455 --initTime 2016-11-11T14:38:36 --startdatetime 2016-11-11T14:45:15 --delay 1 --endMP 204:233308 --enddatetime 2016-11-11T15:21:52 --enforcementcount 0 &gt;&gt;C:\Users\stu\Documents\GitHub\eaglep3-reporting\EC\2016-11-11-refined-times.txt</v>
      </c>
      <c r="AI102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{"issue":{"subject":"","project_id":79,"tracker_id":40,"status_id":1,"priority_id":2,"assigned_to_id":23,"start_date":"2016-11-11","description":"","custom_fields":[{"id":1,"name":"Subdivision","value":"EC"},{"id":4,"name":"Milepost","value":"23.3308"},{"id":17,"name":"Train ID","value":"189-11"},{"id":16,"name":"Locomotive ID","value":"4040"},{"id":130,"name":"Impact","value":""},{"id":150,"name":"Time of Event (Mountain Time)","value":"15:21:52"},{"id":151,"name":"Denver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561</v>
      </c>
      <c r="B103" s="7">
        <v>4039</v>
      </c>
      <c r="C103" s="22" t="s">
        <v>225</v>
      </c>
      <c r="D103" s="22" t="s">
        <v>310</v>
      </c>
      <c r="E103" s="13">
        <v>42685.6487037037</v>
      </c>
      <c r="F103" s="13">
        <v>42685.653657407405</v>
      </c>
      <c r="G103" s="7">
        <v>1</v>
      </c>
      <c r="H103" s="22" t="s">
        <v>198</v>
      </c>
      <c r="I103" s="13">
        <v>42685.682129629633</v>
      </c>
      <c r="J103" s="7">
        <v>0</v>
      </c>
      <c r="K103" s="109" t="str">
        <f t="shared" si="19"/>
        <v>4039/4040</v>
      </c>
      <c r="L103" s="22" t="str">
        <f>VLOOKUP(A103,'Trips&amp;Operators'!$C$1:$E$10000,3,FALSE)</f>
        <v>CLARK</v>
      </c>
      <c r="M103" s="6">
        <f t="shared" si="20"/>
        <v>2.8472222227719612E-2</v>
      </c>
      <c r="N103" s="7">
        <f t="shared" si="21"/>
        <v>41.000000007916242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14:34:08-700',mode:absolute,to:'2016-11-11 17:22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23.299299999999999</v>
      </c>
      <c r="Z103" s="67">
        <f t="shared" si="28"/>
        <v>1.49E-2</v>
      </c>
      <c r="AA103" s="67">
        <f t="shared" si="29"/>
        <v>23.284399999999998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0"/>
        <v>0190-11</v>
      </c>
      <c r="AE103" s="91" t="str">
        <f t="shared" si="31"/>
        <v>aws s3 cp s3://rtdc.mdm.uploadarchive.raw/RTDC4039/ "%USERPROFILE%\AppData\Local\Temp\OnboardLogs"\RTDC4039\2016-11-11 --exclude "*" --recursive --include "*20161111*" &amp; "%USERPROFILE%\Documents\GitHub\mrs-test-scripts\Headless Mode &amp; Sideloading\WalkAndUnGZ.bat" "%USERPROFILE%\AppData\Local\Temp\OnboardLogs"\RTDC4039\2016-11-11 &amp; aws s3 cp s3://rtdc.mdm.uploadarchive.raw/RTDC4039/ "%USERPROFILE%\AppData\Local\Temp\OnboardLogs"\RTDC4039\2016-11-12 --exclude "*" --recursive --include "*20161112*" &amp; "%USERPROFILE%\Documents\GitHub\mrs-test-scripts\Headless Mode &amp; Sideloading\WalkAndUnGZ.bat" "%USERPROFILE%\AppData\Local\Temp\OnboardLogs"\RTDC4039\2016-11-12</v>
      </c>
      <c r="AF103" s="88" t="str">
        <f t="shared" si="32"/>
        <v>"C:\Program Files (x86)\AstroGrep\AstroGrep.exe" /spath="%USERPROFILE%\AppData\Local\Temp\OnboardLogs" /stypes="app*4039*20161111*" /stext=" 23:.+((SYSTEM_STATE.+slice.+state.+changed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190-11 --locoid 4039 --swversion DE.1.0.8.0 --startMP 204:232993 --initTime 2016-11-11T15:34:08 --startdatetime 2016-11-11T15:41:16 --delay 1 --endMP 204:149 --enddatetime 2016-11-11T16:22:16 --enforcementcount 0 &gt;&gt;C:\Users\stu\Documents\GitHub\eaglep3-reporting\EC\2016-11-11-refined-times.txt</v>
      </c>
      <c r="AI103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{"issue":{"subject":"","project_id":79,"tracker_id":40,"status_id":1,"priority_id":2,"assigned_to_id":23,"start_date":"2016-11-11","description":"","custom_fields":[{"id":1,"name":"Subdivision","value":"EC"},{"id":4,"name":"Milepost","value":"0.0149"},{"id":17,"name":"Train ID","value":"190-11"},{"id":16,"name":"Locomotive ID","value":"4039"},{"id":130,"name":"Impact","value":""},{"id":150,"name":"Time of Event (Mountain Time)","value":"16:22:16"},{"id":151,"name":"Denver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552</v>
      </c>
      <c r="B104" s="7">
        <v>4009</v>
      </c>
      <c r="C104" s="22" t="s">
        <v>225</v>
      </c>
      <c r="D104" s="22" t="s">
        <v>205</v>
      </c>
      <c r="E104" s="13">
        <v>42685.621354166666</v>
      </c>
      <c r="F104" s="13">
        <v>42685.62537037037</v>
      </c>
      <c r="G104" s="7">
        <v>1</v>
      </c>
      <c r="H104" s="22" t="s">
        <v>681</v>
      </c>
      <c r="I104" s="13">
        <v>42685.650254629632</v>
      </c>
      <c r="J104" s="7">
        <v>0</v>
      </c>
      <c r="K104" s="109" t="str">
        <f t="shared" si="19"/>
        <v>4009/4010</v>
      </c>
      <c r="L104" s="22" t="str">
        <f>VLOOKUP(A104,'Trips&amp;Operators'!$C$1:$E$10000,3,FALSE)</f>
        <v>SWANSON</v>
      </c>
      <c r="M104" s="6">
        <f t="shared" si="20"/>
        <v>2.4884259262762498E-2</v>
      </c>
      <c r="N104" s="7">
        <f t="shared" si="21"/>
        <v>35.833333338377997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13:54:45-700',mode:absolute,to:'2016-11-11 16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4.5100000000000001E-2</v>
      </c>
      <c r="Z104" s="67">
        <f t="shared" si="28"/>
        <v>23.328399999999998</v>
      </c>
      <c r="AA104" s="67">
        <f t="shared" si="29"/>
        <v>23.283299999999997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0"/>
        <v>0191-11</v>
      </c>
      <c r="AE104" s="91" t="str">
        <f t="shared" si="31"/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AF104" s="88" t="str">
        <f t="shared" si="32"/>
        <v>"C:\Program Files (x86)\AstroGrep\AstroGrep.exe" /spath="%USERPROFILE%\AppData\Local\Temp\OnboardLogs" /stypes="app*4009*20161111*" /stext=" 22:.+((SYSTEM_STATE.+slice.+state.+changed )|(ment ac)|(system.+state.+changed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191-11 --locoid 4009 --swversion DE.1.0.8.0 --startMP 204:451 --initTime 2016-11-11T14:54:45 --startdatetime 2016-11-11T15:00:32 --delay 1 --endMP 204:233284 --enddatetime 2016-11-11T15:36:22 --enforcementcount 0 &gt;&gt;C:\Users\stu\Documents\GitHub\eaglep3-reporting\EC\2016-11-11-refined-times.txt</v>
      </c>
      <c r="AI104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{"issue":{"subject":"","project_id":79,"tracker_id":40,"status_id":1,"priority_id":2,"assigned_to_id":23,"start_date":"2016-11-11","description":"","custom_fields":[{"id":1,"name":"Subdivision","value":"EC"},{"id":4,"name":"Milepost","value":"23.3284"},{"id":17,"name":"Train ID","value":"191-11"},{"id":16,"name":"Locomotive ID","value":"4009"},{"id":130,"name":"Impact","value":""},{"id":150,"name":"Time of Event (Mountain Time)","value":"15:36:22"},{"id":151,"name":"Denver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x14ac:dyDescent="0.25">
      <c r="A105" s="37" t="s">
        <v>563</v>
      </c>
      <c r="B105" s="7">
        <v>4010</v>
      </c>
      <c r="C105" s="22" t="s">
        <v>225</v>
      </c>
      <c r="D105" s="22" t="s">
        <v>239</v>
      </c>
      <c r="E105" s="13">
        <v>42685.652222222219</v>
      </c>
      <c r="F105" s="13">
        <v>42685.664270833331</v>
      </c>
      <c r="G105" s="7">
        <v>1</v>
      </c>
      <c r="H105" s="22" t="s">
        <v>175</v>
      </c>
      <c r="I105" s="13">
        <v>42685.691053240742</v>
      </c>
      <c r="J105" s="7">
        <v>0</v>
      </c>
      <c r="K105" s="109" t="str">
        <f t="shared" si="19"/>
        <v>4009/4010</v>
      </c>
      <c r="L105" s="22" t="str">
        <f>VLOOKUP(A105,'Trips&amp;Operators'!$C$1:$E$10000,3,FALSE)</f>
        <v>SWANSON</v>
      </c>
      <c r="M105" s="6">
        <f t="shared" si="20"/>
        <v>2.6782407410792075E-2</v>
      </c>
      <c r="N105" s="7">
        <f t="shared" si="21"/>
        <v>38.566666671540588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14:39:12-700',mode:absolute,to:'2016-11-11 17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23.298200000000001</v>
      </c>
      <c r="Z105" s="67">
        <f t="shared" si="28"/>
        <v>1.47E-2</v>
      </c>
      <c r="AA105" s="67">
        <f t="shared" si="29"/>
        <v>23.2835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0"/>
        <v>0192-11</v>
      </c>
      <c r="AE105" s="91" t="str">
        <f t="shared" si="31"/>
        <v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v>
      </c>
      <c r="AF105" s="88" t="str">
        <f t="shared" si="32"/>
        <v>"C:\Program Files (x86)\AstroGrep\AstroGrep.exe" /spath="%USERPROFILE%\AppData\Local\Temp\OnboardLogs" /stypes="app*4010*20161111*" /stext=" 23:.+((SYSTEM_STATE.+slice.+state.+changed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192-11 --locoid 4010 --swversion DE.1.0.8.0 --startMP 204:232982 --initTime 2016-11-11T15:39:12 --startdatetime 2016-11-11T15:56:33 --delay 1 --endMP 204:147 --enddatetime 2016-11-11T16:35:07 --enforcementcount 0 &gt;&gt;C:\Users\stu\Documents\GitHub\eaglep3-reporting\EC\2016-11-11-refined-times.txt</v>
      </c>
      <c r="AI105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{"issue":{"subject":"","project_id":79,"tracker_id":40,"status_id":1,"priority_id":2,"assigned_to_id":23,"start_date":"2016-11-11","description":"","custom_fields":[{"id":1,"name":"Subdivision","value":"EC"},{"id":4,"name":"Milepost","value":"0.0147"},{"id":17,"name":"Train ID","value":"192-11"},{"id":16,"name":"Locomotive ID","value":"4010"},{"id":130,"name":"Impact","value":""},{"id":150,"name":"Time of Event (Mountain Time)","value":"16:35:07"},{"id":151,"name":"Denver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x14ac:dyDescent="0.25">
      <c r="A106" s="37" t="s">
        <v>555</v>
      </c>
      <c r="B106" s="7">
        <v>4044</v>
      </c>
      <c r="C106" s="22" t="s">
        <v>225</v>
      </c>
      <c r="D106" s="22" t="s">
        <v>202</v>
      </c>
      <c r="E106" s="13">
        <v>42685.630810185183</v>
      </c>
      <c r="F106" s="13">
        <v>42685.635914351849</v>
      </c>
      <c r="G106" s="7">
        <v>1</v>
      </c>
      <c r="H106" s="22" t="s">
        <v>259</v>
      </c>
      <c r="I106" s="13">
        <v>42685.660775462966</v>
      </c>
      <c r="J106" s="7">
        <v>0</v>
      </c>
      <c r="K106" s="109" t="str">
        <f t="shared" si="19"/>
        <v>4043/4044</v>
      </c>
      <c r="L106" s="22" t="str">
        <f>VLOOKUP(A106,'Trips&amp;Operators'!$C$1:$E$10000,3,FALSE)</f>
        <v>MOSES</v>
      </c>
      <c r="M106" s="6">
        <f t="shared" si="20"/>
        <v>2.4861111116479151E-2</v>
      </c>
      <c r="N106" s="7">
        <f t="shared" si="21"/>
        <v>35.800000007729977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14:08:22-700',mode:absolute,to:'2016-11-11 16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4.5499999999999999E-2</v>
      </c>
      <c r="Z106" s="67">
        <f t="shared" si="28"/>
        <v>23.331700000000001</v>
      </c>
      <c r="AA106" s="67">
        <f t="shared" si="29"/>
        <v>23.286200000000001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0"/>
        <v>0193-11</v>
      </c>
      <c r="AE106" s="91" t="str">
        <f t="shared" si="31"/>
        <v>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 &amp; aws s3 cp s3://rtdc.mdm.uploadarchive.raw/RTDC4044/ "%USERPROFILE%\AppData\Local\Temp\OnboardLogs"\RTDC4044\2016-11-12 --exclude "*" --recursive --include "*20161112*" &amp; "%USERPROFILE%\Documents\GitHub\mrs-test-scripts\Headless Mode &amp; Sideloading\WalkAndUnGZ.bat" "%USERPROFILE%\AppData\Local\Temp\OnboardLogs"\RTDC4044\2016-11-12</v>
      </c>
      <c r="AF106" s="88" t="str">
        <f t="shared" si="32"/>
        <v>"C:\Program Files (x86)\AstroGrep\AstroGrep.exe" /spath="%USERPROFILE%\AppData\Local\Temp\OnboardLogs" /stypes="app*4044*20161111*" /stext=" 22:.+((SYSTEM_STATE.+slice.+state.+changed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193-11 --locoid 4044 --swversion DE.1.0.8.0 --startMP 204:455 --initTime 2016-11-11T15:08:22 --startdatetime 2016-11-11T15:15:43 --delay 1 --endMP 204:233317 --enddatetime 2016-11-11T15:51:31 --enforcementcount 0 &gt;&gt;C:\Users\stu\Documents\GitHub\eaglep3-reporting\EC\2016-11-11-refined-times.txt</v>
      </c>
      <c r="AI106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{"issue":{"subject":"","project_id":79,"tracker_id":40,"status_id":1,"priority_id":2,"assigned_to_id":23,"start_date":"2016-11-11","description":"","custom_fields":[{"id":1,"name":"Subdivision","value":"EC"},{"id":4,"name":"Milepost","value":"23.3317"},{"id":17,"name":"Train ID","value":"193-11"},{"id":16,"name":"Locomotive ID","value":"4044"},{"id":130,"name":"Impact","value":""},{"id":150,"name":"Time of Event (Mountain Time)","value":"15:51:31"},{"id":151,"name":"Denver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x14ac:dyDescent="0.25">
      <c r="A107" s="37" t="s">
        <v>567</v>
      </c>
      <c r="B107" s="7">
        <v>4043</v>
      </c>
      <c r="C107" s="22" t="s">
        <v>225</v>
      </c>
      <c r="D107" s="22" t="s">
        <v>317</v>
      </c>
      <c r="E107" s="13">
        <v>42685.671597222223</v>
      </c>
      <c r="F107" s="13">
        <v>42685.674583333333</v>
      </c>
      <c r="G107" s="7">
        <v>1</v>
      </c>
      <c r="H107" s="22" t="s">
        <v>216</v>
      </c>
      <c r="I107" s="13">
        <v>42685.701157407406</v>
      </c>
      <c r="J107" s="7">
        <v>0</v>
      </c>
      <c r="K107" s="109" t="str">
        <f t="shared" si="19"/>
        <v>4043/4044</v>
      </c>
      <c r="L107" s="22" t="str">
        <f>VLOOKUP(A107,'Trips&amp;Operators'!$C$1:$E$10000,3,FALSE)</f>
        <v>MOSES</v>
      </c>
      <c r="M107" s="6">
        <f t="shared" si="20"/>
        <v>2.6574074072414078E-2</v>
      </c>
      <c r="N107" s="7">
        <f t="shared" si="21"/>
        <v>38.266666664276272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15:07:06-700',mode:absolute,to:'2016-11-11 17:49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7" s="52" t="str">
        <f t="shared" si="25"/>
        <v>N</v>
      </c>
      <c r="X107" s="177">
        <f t="shared" si="26"/>
        <v>1</v>
      </c>
      <c r="Y107" s="67">
        <f t="shared" si="27"/>
        <v>23.301300000000001</v>
      </c>
      <c r="Z107" s="67">
        <f t="shared" si="28"/>
        <v>1.5599999999999999E-2</v>
      </c>
      <c r="AA107" s="67">
        <f t="shared" si="29"/>
        <v>23.285700000000002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0"/>
        <v>0194-11</v>
      </c>
      <c r="AE107" s="91" t="str">
        <f t="shared" si="31"/>
        <v>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 &amp; aws s3 cp s3://rtdc.mdm.uploadarchive.raw/RTDC4043/ "%USERPROFILE%\AppData\Local\Temp\OnboardLogs"\RTDC4043\2016-11-12 --exclude "*" --recursive --include "*20161112*" &amp; "%USERPROFILE%\Documents\GitHub\mrs-test-scripts\Headless Mode &amp; Sideloading\WalkAndUnGZ.bat" "%USERPROFILE%\AppData\Local\Temp\OnboardLogs"\RTDC4043\2016-11-12</v>
      </c>
      <c r="AF107" s="88" t="str">
        <f t="shared" si="32"/>
        <v>"C:\Program Files (x86)\AstroGrep\AstroGrep.exe" /spath="%USERPROFILE%\AppData\Local\Temp\OnboardLogs" /stypes="app*4043*20161111*" /stext=" 23:.+((SYSTEM_STATE.+slice.+state.+changed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194-11 --locoid 4043 --swversion DE.1.0.8.0 --startMP 204:233013 --initTime 2016-11-11T16:07:06 --startdatetime 2016-11-11T16:11:24 --delay 1 --endMP 204:156 --enddatetime 2016-11-11T16:49:40 --enforcementcount 0 &gt;&gt;C:\Users\stu\Documents\GitHub\eaglep3-reporting\EC\2016-11-11-refined-times.txt</v>
      </c>
      <c r="AI107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{"issue":{"subject":"","project_id":79,"tracker_id":40,"status_id":1,"priority_id":2,"assigned_to_id":23,"start_date":"2016-11-11","description":"","custom_fields":[{"id":1,"name":"Subdivision","value":"EC"},{"id":4,"name":"Milepost","value":"0.0156"},{"id":17,"name":"Train ID","value":"194-11"},{"id":16,"name":"Locomotive ID","value":"4043"},{"id":130,"name":"Impact","value":""},{"id":150,"name":"Time of Event (Mountain Time)","value":"16:49:40"},{"id":151,"name":"Denver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560</v>
      </c>
      <c r="B108" s="7">
        <v>4003</v>
      </c>
      <c r="C108" s="22" t="s">
        <v>225</v>
      </c>
      <c r="D108" s="22" t="s">
        <v>688</v>
      </c>
      <c r="E108" s="13">
        <v>42685.641342592593</v>
      </c>
      <c r="F108" s="13">
        <v>42685.646203703705</v>
      </c>
      <c r="G108" s="7">
        <v>1</v>
      </c>
      <c r="H108" s="22" t="s">
        <v>386</v>
      </c>
      <c r="I108" s="13">
        <v>42685.671030092592</v>
      </c>
      <c r="J108" s="7">
        <v>0</v>
      </c>
      <c r="K108" s="109" t="str">
        <f t="shared" si="19"/>
        <v>4003/4004</v>
      </c>
      <c r="L108" s="22" t="str">
        <f>VLOOKUP(A108,'Trips&amp;Operators'!$C$1:$E$10000,3,FALSE)</f>
        <v>BROWN</v>
      </c>
      <c r="M108" s="6">
        <f t="shared" si="20"/>
        <v>2.4826388886140194E-2</v>
      </c>
      <c r="N108" s="7">
        <f t="shared" si="21"/>
        <v>35.749999996041879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14:23:32-700',mode:absolute,to:'2016-11-11 17:06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8" s="52" t="str">
        <f t="shared" si="25"/>
        <v>N</v>
      </c>
      <c r="X108" s="177">
        <f t="shared" si="26"/>
        <v>1</v>
      </c>
      <c r="Y108" s="67">
        <f t="shared" si="27"/>
        <v>4.8399999999999999E-2</v>
      </c>
      <c r="Z108" s="67">
        <f t="shared" si="28"/>
        <v>23.331800000000001</v>
      </c>
      <c r="AA108" s="67">
        <f t="shared" si="29"/>
        <v>23.2834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0"/>
        <v>0195-11</v>
      </c>
      <c r="AE108" s="91" t="str">
        <f t="shared" si="31"/>
        <v>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 &amp; aws s3 cp s3://rtdc.mdm.uploadarchive.raw/RTDC4003/ "%USERPROFILE%\AppData\Local\Temp\OnboardLogs"\RTDC4003\2016-11-12 --exclude "*" --recursive --include "*20161112*" &amp; "%USERPROFILE%\Documents\GitHub\mrs-test-scripts\Headless Mode &amp; Sideloading\WalkAndUnGZ.bat" "%USERPROFILE%\AppData\Local\Temp\OnboardLogs"\RTDC4003\2016-11-12</v>
      </c>
      <c r="AF108" s="88" t="str">
        <f t="shared" si="32"/>
        <v>"C:\Program Files (x86)\AstroGrep\AstroGrep.exe" /spath="%USERPROFILE%\AppData\Local\Temp\OnboardLogs" /stypes="app*4003*20161111*" /stext=" 23:.+((SYSTEM_STATE.+slice.+state.+changed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195-11 --locoid 4003 --swversion DE.1.0.8.0 --startMP 204:484 --initTime 2016-11-11T15:23:32 --startdatetime 2016-11-11T15:30:32 --delay 1 --endMP 204:233318 --enddatetime 2016-11-11T16:06:17 --enforcementcount 0 &gt;&gt;C:\Users\stu\Documents\GitHub\eaglep3-reporting\EC\2016-11-11-refined-times.txt</v>
      </c>
      <c r="AI108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{"issue":{"subject":"","project_id":79,"tracker_id":40,"status_id":1,"priority_id":2,"assigned_to_id":23,"start_date":"2016-11-11","description":"","custom_fields":[{"id":1,"name":"Subdivision","value":"EC"},{"id":4,"name":"Milepost","value":"23.3318"},{"id":17,"name":"Train ID","value":"195-11"},{"id":16,"name":"Locomotive ID","value":"4003"},{"id":130,"name":"Impact","value":""},{"id":150,"name":"Time of Event (Mountain Time)","value":"16:06:17"},{"id":151,"name":"Denver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569</v>
      </c>
      <c r="B109" s="7">
        <v>4004</v>
      </c>
      <c r="C109" s="22" t="s">
        <v>225</v>
      </c>
      <c r="D109" s="22" t="s">
        <v>311</v>
      </c>
      <c r="E109" s="13">
        <v>42685.675208333334</v>
      </c>
      <c r="F109" s="13">
        <v>42685.685694444444</v>
      </c>
      <c r="G109" s="7">
        <v>1</v>
      </c>
      <c r="H109" s="22" t="s">
        <v>371</v>
      </c>
      <c r="I109" s="13">
        <v>42685.711921296293</v>
      </c>
      <c r="J109" s="7">
        <v>0</v>
      </c>
      <c r="K109" s="109" t="str">
        <f t="shared" si="19"/>
        <v>4003/4004</v>
      </c>
      <c r="L109" s="22" t="str">
        <f>VLOOKUP(A109,'Trips&amp;Operators'!$C$1:$E$10000,3,FALSE)</f>
        <v>BROWN</v>
      </c>
      <c r="M109" s="6">
        <f t="shared" si="20"/>
        <v>2.622685184906004E-2</v>
      </c>
      <c r="N109" s="7">
        <f t="shared" si="21"/>
        <v>37.766666662646458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15:12:18-700',mode:absolute,to:'2016-11-11 18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9" s="52" t="str">
        <f t="shared" si="25"/>
        <v>N</v>
      </c>
      <c r="X109" s="177">
        <f t="shared" si="26"/>
        <v>1</v>
      </c>
      <c r="Y109" s="67">
        <f t="shared" si="27"/>
        <v>23.299800000000001</v>
      </c>
      <c r="Z109" s="67">
        <f t="shared" si="28"/>
        <v>1.38E-2</v>
      </c>
      <c r="AA109" s="67">
        <f t="shared" si="29"/>
        <v>23.286000000000001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0"/>
        <v>0196-11</v>
      </c>
      <c r="AE109" s="91" t="str">
        <f t="shared" si="31"/>
        <v>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 &amp; 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</v>
      </c>
      <c r="AF109" s="88" t="str">
        <f t="shared" si="32"/>
        <v>"C:\Program Files (x86)\AstroGrep\AstroGrep.exe" /spath="%USERPROFILE%\AppData\Local\Temp\OnboardLogs" /stypes="app*4004*20161112*" /stext=" 00:.+((SYSTEM_STATE.+slice.+state.+changed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196-11 --locoid 4004 --swversion DE.1.0.8.0 --startMP 204:232998 --initTime 2016-11-11T16:12:18 --startdatetime 2016-11-11T16:27:24 --delay 1 --endMP 204:138 --enddatetime 2016-11-11T17:05:10 --enforcementcount 0 &gt;&gt;C:\Users\stu\Documents\GitHub\eaglep3-reporting\EC\2016-11-11-refined-times.txt</v>
      </c>
      <c r="AI109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{"issue":{"subject":"","project_id":79,"tracker_id":40,"status_id":1,"priority_id":2,"assigned_to_id":23,"start_date":"2016-11-11","description":"","custom_fields":[{"id":1,"name":"Subdivision","value":"EC"},{"id":4,"name":"Milepost","value":"0.0138"},{"id":17,"name":"Train ID","value":"196-11"},{"id":16,"name":"Locomotive ID","value":"4004"},{"id":130,"name":"Impact","value":""},{"id":150,"name":"Time of Event (Mountain Time)","value":"17:05:10"},{"id":151,"name":"Denver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564</v>
      </c>
      <c r="B110" s="7">
        <v>4018</v>
      </c>
      <c r="C110" s="22" t="s">
        <v>225</v>
      </c>
      <c r="D110" s="22" t="s">
        <v>205</v>
      </c>
      <c r="E110" s="13">
        <v>42685.652708333335</v>
      </c>
      <c r="F110" s="13">
        <v>42685.656458333331</v>
      </c>
      <c r="G110" s="7">
        <v>2</v>
      </c>
      <c r="H110" s="22" t="s">
        <v>387</v>
      </c>
      <c r="I110" s="13">
        <v>42685.681759259256</v>
      </c>
      <c r="J110" s="7">
        <v>0</v>
      </c>
      <c r="K110" s="109" t="str">
        <f t="shared" si="19"/>
        <v>4017/4018</v>
      </c>
      <c r="L110" s="22" t="str">
        <f>VLOOKUP(A110,'Trips&amp;Operators'!$C$1:$E$10000,3,FALSE)</f>
        <v>SHOOK</v>
      </c>
      <c r="M110" s="6">
        <f t="shared" si="20"/>
        <v>2.5300925924966577E-2</v>
      </c>
      <c r="N110" s="7">
        <f t="shared" si="21"/>
        <v>36.433333331951872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14:39:54-700',mode:absolute,to:'2016-11-11 17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0" s="52" t="str">
        <f t="shared" si="25"/>
        <v>N</v>
      </c>
      <c r="X110" s="177">
        <f t="shared" si="26"/>
        <v>1</v>
      </c>
      <c r="Y110" s="67">
        <f t="shared" si="27"/>
        <v>4.5100000000000001E-2</v>
      </c>
      <c r="Z110" s="67">
        <f t="shared" si="28"/>
        <v>23.332899999999999</v>
      </c>
      <c r="AA110" s="67">
        <f t="shared" si="29"/>
        <v>23.287799999999997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0"/>
        <v>0197-11</v>
      </c>
      <c r="AE110" s="91" t="str">
        <f t="shared" si="31"/>
        <v>aws s3 cp s3://rtdc.mdm.uploadarchive.raw/RTDC4018/ "%USERPROFILE%\AppData\Local\Temp\OnboardLogs"\RTDC4018\2016-11-11 --exclude "*" --recursive --include "*20161111*" &amp; "%USERPROFILE%\Documents\GitHub\mrs-test-scripts\Headless Mode &amp; Sideloading\WalkAndUnGZ.bat" "%USERPROFILE%\AppData\Local\Temp\OnboardLogs"\RTDC4018\2016-11-11 &amp; aws s3 cp s3://rtdc.mdm.uploadarchive.raw/RTDC4018/ "%USERPROFILE%\AppData\Local\Temp\OnboardLogs"\RTDC4018\2016-11-12 --exclude "*" --recursive --include "*20161112*" &amp; "%USERPROFILE%\Documents\GitHub\mrs-test-scripts\Headless Mode &amp; Sideloading\WalkAndUnGZ.bat" "%USERPROFILE%\AppData\Local\Temp\OnboardLogs"\RTDC4018\2016-11-12</v>
      </c>
      <c r="AF110" s="88" t="str">
        <f t="shared" si="32"/>
        <v>"C:\Program Files (x86)\AstroGrep\AstroGrep.exe" /spath="%USERPROFILE%\AppData\Local\Temp\OnboardLogs" /stypes="app*4018*20161111*" /stext=" 23:.+((SYSTEM_STATE.+slice.+state.+changed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197-11 --locoid 4018 --swversion DE.1.0.8.0 --startMP 204:451 --initTime 2016-11-11T15:39:54 --startdatetime 2016-11-11T15:45:18 --delay 2 --endMP 204:233329 --enddatetime 2016-11-11T16:21:44 --enforcementcount 0 &gt;&gt;C:\Users\stu\Documents\GitHub\eaglep3-reporting\EC\2016-11-11-refined-times.txt</v>
      </c>
      <c r="AI110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{"issue":{"subject":"","project_id":79,"tracker_id":40,"status_id":1,"priority_id":2,"assigned_to_id":23,"start_date":"2016-11-11","description":"","custom_fields":[{"id":1,"name":"Subdivision","value":"EC"},{"id":4,"name":"Milepost","value":"23.3329"},{"id":17,"name":"Train ID","value":"197-11"},{"id":16,"name":"Locomotive ID","value":"4018"},{"id":130,"name":"Impact","value":""},{"id":150,"name":"Time of Event (Mountain Time)","value":"16:21:44"},{"id":151,"name":"Denver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565</v>
      </c>
      <c r="B111" s="7">
        <v>4031</v>
      </c>
      <c r="C111" s="22" t="s">
        <v>225</v>
      </c>
      <c r="D111" s="22" t="s">
        <v>222</v>
      </c>
      <c r="E111" s="13">
        <v>42685.661585648151</v>
      </c>
      <c r="F111" s="13">
        <v>42685.66710648148</v>
      </c>
      <c r="G111" s="7">
        <v>1</v>
      </c>
      <c r="H111" s="22" t="s">
        <v>188</v>
      </c>
      <c r="I111" s="13">
        <v>42685.692129629628</v>
      </c>
      <c r="J111" s="7">
        <v>0</v>
      </c>
      <c r="K111" s="109" t="str">
        <f t="shared" si="19"/>
        <v>4031/4032</v>
      </c>
      <c r="L111" s="22" t="str">
        <f>VLOOKUP(A111,'Trips&amp;Operators'!$C$1:$E$10000,3,FALSE)</f>
        <v>BADERTSCHER</v>
      </c>
      <c r="M111" s="6">
        <f t="shared" si="20"/>
        <v>2.5023148147738539E-2</v>
      </c>
      <c r="N111" s="7">
        <f t="shared" si="21"/>
        <v>36.033333332743496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14:52:41-700',mode:absolute,to:'2016-11-11 17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1" s="52" t="str">
        <f t="shared" si="25"/>
        <v>N</v>
      </c>
      <c r="X111" s="177">
        <f t="shared" si="26"/>
        <v>2</v>
      </c>
      <c r="Y111" s="67">
        <f t="shared" si="27"/>
        <v>4.5699999999999998E-2</v>
      </c>
      <c r="Z111" s="67">
        <f t="shared" si="28"/>
        <v>23.329699999999999</v>
      </c>
      <c r="AA111" s="67">
        <f t="shared" si="29"/>
        <v>23.283999999999999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0"/>
        <v>0199-11</v>
      </c>
      <c r="AE111" s="91" t="str">
        <f t="shared" si="31"/>
        <v>aws s3 cp s3://rtdc.mdm.uploadarchive.raw/RTDC4031/ "%USERPROFILE%\AppData\Local\Temp\OnboardLogs"\RTDC4031\2016-11-11 --exclude "*" --recursive --include "*20161111*" &amp; "%USERPROFILE%\Documents\GitHub\mrs-test-scripts\Headless Mode &amp; Sideloading\WalkAndUnGZ.bat" "%USERPROFILE%\AppData\Local\Temp\OnboardLogs"\RTDC4031\2016-11-11 &amp; aws s3 cp s3://rtdc.mdm.uploadarchive.raw/RTDC4031/ "%USERPROFILE%\AppData\Local\Temp\OnboardLogs"\RTDC4031\2016-11-12 --exclude "*" --recursive --include "*20161112*" &amp; "%USERPROFILE%\Documents\GitHub\mrs-test-scripts\Headless Mode &amp; Sideloading\WalkAndUnGZ.bat" "%USERPROFILE%\AppData\Local\Temp\OnboardLogs"\RTDC4031\2016-11-12</v>
      </c>
      <c r="AF111" s="88" t="str">
        <f t="shared" si="32"/>
        <v>"C:\Program Files (x86)\AstroGrep\AstroGrep.exe" /spath="%USERPROFILE%\AppData\Local\Temp\OnboardLogs" /stypes="app*4031*20161111*" /stext=" 23:.+((SYSTEM_STATE.+slice.+state.+changed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199-11 --locoid 4031 --swversion DE.1.0.8.0 --startMP 204:457 --initTime 2016-11-11T15:52:41 --startdatetime 2016-11-11T16:00:38 --delay 1 --endMP 204:233297 --enddatetime 2016-11-11T16:36:40 --enforcementcount 0 &gt;&gt;C:\Users\stu\Documents\GitHub\eaglep3-reporting\EC\2016-11-11-refined-times.txt</v>
      </c>
      <c r="AI111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{"issue":{"subject":"","project_id":79,"tracker_id":40,"status_id":1,"priority_id":2,"assigned_to_id":23,"start_date":"2016-11-11","description":"","custom_fields":[{"id":1,"name":"Subdivision","value":"EC"},{"id":4,"name":"Milepost","value":"23.3297"},{"id":17,"name":"Train ID","value":"199-11"},{"id":16,"name":"Locomotive ID","value":"4031"},{"id":130,"name":"Impact","value":""},{"id":150,"name":"Time of Event (Mountain Time)","value":"16:36:40"},{"id":151,"name":"Denver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574</v>
      </c>
      <c r="B112" s="7">
        <v>4032</v>
      </c>
      <c r="C112" s="22" t="s">
        <v>225</v>
      </c>
      <c r="D112" s="22" t="s">
        <v>285</v>
      </c>
      <c r="E112" s="13">
        <v>42685.701192129629</v>
      </c>
      <c r="F112" s="13">
        <v>42685.705740740741</v>
      </c>
      <c r="G112" s="7">
        <v>3</v>
      </c>
      <c r="H112" s="22" t="s">
        <v>176</v>
      </c>
      <c r="I112" s="13">
        <v>42685.733958333331</v>
      </c>
      <c r="J112" s="7">
        <v>0</v>
      </c>
      <c r="K112" s="109" t="str">
        <f t="shared" si="19"/>
        <v>4031/4032</v>
      </c>
      <c r="L112" s="22" t="str">
        <f>VLOOKUP(A112,'Trips&amp;Operators'!$C$1:$E$10000,3,FALSE)</f>
        <v>BADERTSCHER</v>
      </c>
      <c r="M112" s="6">
        <f t="shared" si="20"/>
        <v>2.8217592589498963E-2</v>
      </c>
      <c r="N112" s="7">
        <f t="shared" si="21"/>
        <v>40.633333328878507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15:49:43-700',mode:absolute,to:'2016-11-11 18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23.2973</v>
      </c>
      <c r="Z112" s="67">
        <f t="shared" si="28"/>
        <v>1.52E-2</v>
      </c>
      <c r="AA112" s="67">
        <f t="shared" si="29"/>
        <v>23.2821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0"/>
        <v>0200-11</v>
      </c>
      <c r="AE112" s="91" t="str">
        <f t="shared" si="31"/>
        <v>aws s3 cp s3://rtdc.mdm.uploadarchive.raw/RTDC4032/ "%USERPROFILE%\AppData\Local\Temp\OnboardLogs"\RTDC4032\2016-11-11 --exclude "*" --recursive --include "*20161111*" &amp; "%USERPROFILE%\Documents\GitHub\mrs-test-scripts\Headless Mode &amp; Sideloading\WalkAndUnGZ.bat" "%USERPROFILE%\AppData\Local\Temp\OnboardLogs"\RTDC4032\2016-11-11 &amp; aws s3 cp s3://rtdc.mdm.uploadarchive.raw/RTDC4032/ "%USERPROFILE%\AppData\Local\Temp\OnboardLogs"\RTDC4032\2016-11-12 --exclude "*" --recursive --include "*20161112*" &amp; "%USERPROFILE%\Documents\GitHub\mrs-test-scripts\Headless Mode &amp; Sideloading\WalkAndUnGZ.bat" "%USERPROFILE%\AppData\Local\Temp\OnboardLogs"\RTDC4032\2016-11-12</v>
      </c>
      <c r="AF112" s="88" t="str">
        <f t="shared" si="32"/>
        <v>"C:\Program Files (x86)\AstroGrep\AstroGrep.exe" /spath="%USERPROFILE%\AppData\Local\Temp\OnboardLogs" /stypes="app*4032*20161112*" /stext=" 00:.+((SYSTEM_STATE.+slice.+state.+changed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200-11 --locoid 4032 --swversion DE.1.0.8.0 --startMP 204:232973 --initTime 2016-11-11T16:49:43 --startdatetime 2016-11-11T16:56:16 --delay 3 --endMP 204:152 --enddatetime 2016-11-11T17:36:54 --enforcementcount 0 &gt;&gt;C:\Users\stu\Documents\GitHub\eaglep3-reporting\EC\2016-11-11-refined-times.txt</v>
      </c>
      <c r="AI112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{"issue":{"subject":"","project_id":79,"tracker_id":40,"status_id":1,"priority_id":2,"assigned_to_id":23,"start_date":"2016-11-11","description":"","custom_fields":[{"id":1,"name":"Subdivision","value":"EC"},{"id":4,"name":"Milepost","value":"0.0152"},{"id":17,"name":"Train ID","value":"200-11"},{"id":16,"name":"Locomotive ID","value":"4032"},{"id":130,"name":"Impact","value":""},{"id":150,"name":"Time of Event (Mountain Time)","value":"17:36:54"},{"id":151,"name":"Denver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568</v>
      </c>
      <c r="B113" s="7">
        <v>4025</v>
      </c>
      <c r="C113" s="22" t="s">
        <v>225</v>
      </c>
      <c r="D113" s="22" t="s">
        <v>651</v>
      </c>
      <c r="E113" s="13">
        <v>42685.672511574077</v>
      </c>
      <c r="F113" s="13">
        <v>42685.677546296298</v>
      </c>
      <c r="G113" s="7">
        <v>1</v>
      </c>
      <c r="H113" s="22" t="s">
        <v>689</v>
      </c>
      <c r="I113" s="13">
        <v>42685.704062500001</v>
      </c>
      <c r="J113" s="7">
        <v>0</v>
      </c>
      <c r="K113" s="109" t="str">
        <f t="shared" si="19"/>
        <v>4025/4026</v>
      </c>
      <c r="L113" s="22" t="str">
        <f>VLOOKUP(A113,'Trips&amp;Operators'!$C$1:$E$10000,3,FALSE)</f>
        <v>LALONDE</v>
      </c>
      <c r="M113" s="6">
        <f t="shared" si="20"/>
        <v>2.6516203703067731E-2</v>
      </c>
      <c r="N113" s="7">
        <f t="shared" si="21"/>
        <v>38.183333332417533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15:08:25-700',mode:absolute,to:'2016-11-11 17:53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4.4400000000000002E-2</v>
      </c>
      <c r="Z113" s="67">
        <f t="shared" si="28"/>
        <v>23.3032</v>
      </c>
      <c r="AA113" s="67">
        <f t="shared" si="29"/>
        <v>23.258800000000001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0"/>
        <v>0201-11</v>
      </c>
      <c r="AE113" s="91" t="str">
        <f t="shared" si="31"/>
        <v>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 &amp; 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</v>
      </c>
      <c r="AF113" s="88" t="str">
        <f t="shared" si="32"/>
        <v>"C:\Program Files (x86)\AstroGrep\AstroGrep.exe" /spath="%USERPROFILE%\AppData\Local\Temp\OnboardLogs" /stypes="app*4025*20161111*" /stext=" 23:.+((SYSTEM_STATE.+slice.+state.+changed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201-11 --locoid 4025 --swversion DE.1.0.8.0 --startMP 204:444 --initTime 2016-11-11T16:08:25 --startdatetime 2016-11-11T16:15:40 --delay 1 --endMP 204:233032 --enddatetime 2016-11-11T16:53:51 --enforcementcount 0 &gt;&gt;C:\Users\stu\Documents\GitHub\eaglep3-reporting\EC\2016-11-11-refined-times.txt</v>
      </c>
      <c r="AI113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{"issue":{"subject":"","project_id":79,"tracker_id":40,"status_id":1,"priority_id":2,"assigned_to_id":23,"start_date":"2016-11-11","description":"","custom_fields":[{"id":1,"name":"Subdivision","value":"EC"},{"id":4,"name":"Milepost","value":"23.3032"},{"id":17,"name":"Train ID","value":"201-11"},{"id":16,"name":"Locomotive ID","value":"4025"},{"id":130,"name":"Impact","value":""},{"id":150,"name":"Time of Event (Mountain Time)","value":"16:53:51"},{"id":151,"name":"Denver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7" t="s">
        <v>577</v>
      </c>
      <c r="B114" s="7">
        <v>4026</v>
      </c>
      <c r="C114" s="22" t="s">
        <v>225</v>
      </c>
      <c r="D114" s="22" t="s">
        <v>690</v>
      </c>
      <c r="E114" s="13">
        <v>42685.711875000001</v>
      </c>
      <c r="F114" s="13">
        <v>42685.716331018521</v>
      </c>
      <c r="G114" s="7">
        <v>1</v>
      </c>
      <c r="H114" s="22" t="s">
        <v>198</v>
      </c>
      <c r="I114" s="13">
        <v>42685.744398148148</v>
      </c>
      <c r="J114" s="7">
        <v>0</v>
      </c>
      <c r="K114" s="109" t="str">
        <f t="shared" si="19"/>
        <v>4025/4026</v>
      </c>
      <c r="L114" s="22" t="str">
        <f>VLOOKUP(A114,'Trips&amp;Operators'!$C$1:$E$10000,3,FALSE)</f>
        <v>LALONDE</v>
      </c>
      <c r="M114" s="6">
        <f t="shared" si="20"/>
        <v>2.806712962774327E-2</v>
      </c>
      <c r="N114" s="7">
        <f t="shared" si="21"/>
        <v>40.416666663950309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16:05:06-700',mode:absolute,to:'2016-11-11 18:51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23.270900000000001</v>
      </c>
      <c r="Z114" s="67">
        <f t="shared" si="28"/>
        <v>1.49E-2</v>
      </c>
      <c r="AA114" s="67">
        <f t="shared" si="29"/>
        <v>23.256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0"/>
        <v>0202-11</v>
      </c>
      <c r="AE114" s="91" t="str">
        <f t="shared" si="31"/>
        <v>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 &amp; 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</v>
      </c>
      <c r="AF114" s="88" t="str">
        <f t="shared" si="32"/>
        <v>"C:\Program Files (x86)\AstroGrep\AstroGrep.exe" /spath="%USERPROFILE%\AppData\Local\Temp\OnboardLogs" /stypes="app*4026*20161112*" /stext=" 00:.+((SYSTEM_STATE.+slice.+state.+changed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202-11 --locoid 4026 --swversion DE.1.0.8.0 --startMP 204:232709 --initTime 2016-11-11T17:05:06 --startdatetime 2016-11-11T17:11:31 --delay 1 --endMP 204:149 --enddatetime 2016-11-11T17:51:56 --enforcementcount 0 &gt;&gt;C:\Users\stu\Documents\GitHub\eaglep3-reporting\EC\2016-11-11-refined-times.txt</v>
      </c>
      <c r="AI114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{"issue":{"subject":"","project_id":79,"tracker_id":40,"status_id":1,"priority_id":2,"assigned_to_id":23,"start_date":"2016-11-11","description":"","custom_fields":[{"id":1,"name":"Subdivision","value":"EC"},{"id":4,"name":"Milepost","value":"0.0149"},{"id":17,"name":"Train ID","value":"202-11"},{"id":16,"name":"Locomotive ID","value":"4026"},{"id":130,"name":"Impact","value":""},{"id":150,"name":"Time of Event (Mountain Time)","value":"17:51:56"},{"id":151,"name":"Denver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</row>
    <row r="115" spans="1:91" s="21" customFormat="1" x14ac:dyDescent="0.25">
      <c r="A115" s="37" t="s">
        <v>571</v>
      </c>
      <c r="B115" s="7">
        <v>4040</v>
      </c>
      <c r="C115" s="22" t="s">
        <v>225</v>
      </c>
      <c r="D115" s="22" t="s">
        <v>219</v>
      </c>
      <c r="E115" s="13">
        <v>42685.683888888889</v>
      </c>
      <c r="F115" s="13">
        <v>42685.687673611108</v>
      </c>
      <c r="G115" s="7">
        <v>1</v>
      </c>
      <c r="H115" s="22" t="s">
        <v>372</v>
      </c>
      <c r="I115" s="13">
        <v>42685.713865740741</v>
      </c>
      <c r="J115" s="7">
        <v>0</v>
      </c>
      <c r="K115" s="109" t="str">
        <f t="shared" si="19"/>
        <v>4039/4040</v>
      </c>
      <c r="L115" s="22" t="str">
        <f>VLOOKUP(A115,'Trips&amp;Operators'!$C$1:$E$10000,3,FALSE)</f>
        <v>CLARK</v>
      </c>
      <c r="M115" s="6">
        <f t="shared" si="20"/>
        <v>2.6192129633272998E-2</v>
      </c>
      <c r="N115" s="7">
        <f t="shared" si="21"/>
        <v>37.716666671913117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15:24:48-700',mode:absolute,to:'2016-11-11 18:07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4.6199999999999998E-2</v>
      </c>
      <c r="Z115" s="67">
        <f t="shared" si="28"/>
        <v>23.3291</v>
      </c>
      <c r="AA115" s="67">
        <f t="shared" si="29"/>
        <v>23.282900000000001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0"/>
        <v>0203-11</v>
      </c>
      <c r="AE115" s="91" t="str">
        <f t="shared" si="31"/>
        <v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v>
      </c>
      <c r="AF115" s="88" t="str">
        <f t="shared" si="32"/>
        <v>"C:\Program Files (x86)\AstroGrep\AstroGrep.exe" /spath="%USERPROFILE%\AppData\Local\Temp\OnboardLogs" /stypes="app*4040*20161112*" /stext=" 00:.+((SYSTEM_STATE.+slice.+state.+changed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203-11 --locoid 4040 --swversion DE.1.0.8.0 --startMP 204:462 --initTime 2016-11-11T16:24:48 --startdatetime 2016-11-11T16:30:15 --delay 1 --endMP 204:233291 --enddatetime 2016-11-11T17:07:58 --enforcementcount 0 &gt;&gt;C:\Users\stu\Documents\GitHub\eaglep3-reporting\EC\2016-11-11-refined-times.txt</v>
      </c>
      <c r="AI115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{"issue":{"subject":"","project_id":79,"tracker_id":40,"status_id":1,"priority_id":2,"assigned_to_id":23,"start_date":"2016-11-11","description":"","custom_fields":[{"id":1,"name":"Subdivision","value":"EC"},{"id":4,"name":"Milepost","value":"23.3291"},{"id":17,"name":"Train ID","value":"203-11"},{"id":16,"name":"Locomotive ID","value":"4040"},{"id":130,"name":"Impact","value":""},{"id":150,"name":"Time of Event (Mountain Time)","value":"17:07:58"},{"id":151,"name":"Denver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582</v>
      </c>
      <c r="B116" s="7">
        <v>4039</v>
      </c>
      <c r="C116" s="22" t="s">
        <v>225</v>
      </c>
      <c r="D116" s="22" t="s">
        <v>376</v>
      </c>
      <c r="E116" s="13">
        <v>42685.722800925927</v>
      </c>
      <c r="F116" s="13">
        <v>42685.726585648146</v>
      </c>
      <c r="G116" s="7">
        <v>1</v>
      </c>
      <c r="H116" s="22" t="s">
        <v>287</v>
      </c>
      <c r="I116" s="13">
        <v>42685.757013888891</v>
      </c>
      <c r="J116" s="7">
        <v>0</v>
      </c>
      <c r="K116" s="109" t="str">
        <f t="shared" si="19"/>
        <v>4039/4040</v>
      </c>
      <c r="L116" s="22" t="str">
        <f>VLOOKUP(A116,'Trips&amp;Operators'!$C$1:$E$10000,3,FALSE)</f>
        <v>CLARK</v>
      </c>
      <c r="M116" s="6">
        <f t="shared" si="20"/>
        <v>3.0428240745095536E-2</v>
      </c>
      <c r="N116" s="7">
        <f t="shared" si="21"/>
        <v>43.816666672937572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16:20:50-700',mode:absolute,to:'2016-11-11 19:10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23.297999999999998</v>
      </c>
      <c r="Z116" s="67">
        <f t="shared" si="28"/>
        <v>1.7399999999999999E-2</v>
      </c>
      <c r="AA116" s="67">
        <f t="shared" si="29"/>
        <v>23.2806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0"/>
        <v>0204-11</v>
      </c>
      <c r="AE116" s="91" t="str">
        <f t="shared" si="31"/>
        <v>aws s3 cp s3://rtdc.mdm.uploadarchive.raw/RTDC4039/ "%USERPROFILE%\AppData\Local\Temp\OnboardLogs"\RTDC4039\2016-11-11 --exclude "*" --recursive --include "*20161111*" &amp; "%USERPROFILE%\Documents\GitHub\mrs-test-scripts\Headless Mode &amp; Sideloading\WalkAndUnGZ.bat" "%USERPROFILE%\AppData\Local\Temp\OnboardLogs"\RTDC4039\2016-11-11 &amp; aws s3 cp s3://rtdc.mdm.uploadarchive.raw/RTDC4039/ "%USERPROFILE%\AppData\Local\Temp\OnboardLogs"\RTDC4039\2016-11-12 --exclude "*" --recursive --include "*20161112*" &amp; "%USERPROFILE%\Documents\GitHub\mrs-test-scripts\Headless Mode &amp; Sideloading\WalkAndUnGZ.bat" "%USERPROFILE%\AppData\Local\Temp\OnboardLogs"\RTDC4039\2016-11-12</v>
      </c>
      <c r="AF116" s="88" t="str">
        <f t="shared" si="32"/>
        <v>"C:\Program Files (x86)\AstroGrep\AstroGrep.exe" /spath="%USERPROFILE%\AppData\Local\Temp\OnboardLogs" /stypes="app*4039*20161112*" /stext=" 01:.+((SYSTEM_STATE.+slice.+state.+changed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204-11 --locoid 4039 --swversion DE.1.0.8.0 --startMP 204:232980 --initTime 2016-11-11T17:20:50 --startdatetime 2016-11-11T17:26:17 --delay 1 --endMP 204:174 --enddatetime 2016-11-11T18:10:06 --enforcementcount 0 &gt;&gt;C:\Users\stu\Documents\GitHub\eaglep3-reporting\EC\2016-11-11-refined-times.txt</v>
      </c>
      <c r="AI116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{"issue":{"subject":"","project_id":79,"tracker_id":40,"status_id":1,"priority_id":2,"assigned_to_id":23,"start_date":"2016-11-11","description":"","custom_fields":[{"id":1,"name":"Subdivision","value":"EC"},{"id":4,"name":"Milepost","value":"0.0174"},{"id":17,"name":"Train ID","value":"204-11"},{"id":16,"name":"Locomotive ID","value":"4039"},{"id":130,"name":"Impact","value":""},{"id":150,"name":"Time of Event (Mountain Time)","value":"18:10:06"},{"id":151,"name":"Denver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573</v>
      </c>
      <c r="B117" s="7">
        <v>4009</v>
      </c>
      <c r="C117" s="22" t="s">
        <v>225</v>
      </c>
      <c r="D117" s="22" t="s">
        <v>200</v>
      </c>
      <c r="E117" s="13">
        <v>42685.693564814814</v>
      </c>
      <c r="F117" s="13">
        <v>42685.698194444441</v>
      </c>
      <c r="G117" s="7">
        <v>6</v>
      </c>
      <c r="H117" s="22" t="s">
        <v>282</v>
      </c>
      <c r="I117" s="13">
        <v>42685.726180555554</v>
      </c>
      <c r="J117" s="7">
        <v>0</v>
      </c>
      <c r="K117" s="109" t="str">
        <f t="shared" si="19"/>
        <v>4009/4010</v>
      </c>
      <c r="L117" s="22" t="str">
        <f>VLOOKUP(A117,'Trips&amp;Operators'!$C$1:$E$10000,3,FALSE)</f>
        <v>NELSON</v>
      </c>
      <c r="M117" s="6">
        <f t="shared" si="20"/>
        <v>2.7986111112113576E-2</v>
      </c>
      <c r="N117" s="7">
        <f t="shared" si="21"/>
        <v>40.30000000144355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15:38:44-700',mode:absolute,to:'2016-11-11 18:25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4.4699999999999997E-2</v>
      </c>
      <c r="Z117" s="67">
        <f t="shared" si="28"/>
        <v>23.330200000000001</v>
      </c>
      <c r="AA117" s="67">
        <f t="shared" si="29"/>
        <v>23.285500000000003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0"/>
        <v>0205-11</v>
      </c>
      <c r="AE117" s="91" t="str">
        <f t="shared" si="31"/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AF117" s="88" t="str">
        <f t="shared" si="32"/>
        <v>"C:\Program Files (x86)\AstroGrep\AstroGrep.exe" /spath="%USERPROFILE%\AppData\Local\Temp\OnboardLogs" /stypes="app*4009*20161112*" /stext=" 00:.+((SYSTEM_STATE.+slice.+state.+changed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205-11 --locoid 4009 --swversion DE.1.0.8.0 --startMP 204:447 --initTime 2016-11-11T16:38:44 --startdatetime 2016-11-11T16:45:24 --delay 6 --endMP 204:233302 --enddatetime 2016-11-11T17:25:42 --enforcementcount 0 &gt;&gt;C:\Users\stu\Documents\GitHub\eaglep3-reporting\EC\2016-11-11-refined-times.txt</v>
      </c>
      <c r="AI117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{"issue":{"subject":"","project_id":79,"tracker_id":40,"status_id":1,"priority_id":2,"assigned_to_id":23,"start_date":"2016-11-11","description":"","custom_fields":[{"id":1,"name":"Subdivision","value":"EC"},{"id":4,"name":"Milepost","value":"23.3302"},{"id":17,"name":"Train ID","value":"205-11"},{"id":16,"name":"Locomotive ID","value":"4009"},{"id":130,"name":"Impact","value":""},{"id":150,"name":"Time of Event (Mountain Time)","value":"17:25:42"},{"id":151,"name":"Denver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585</v>
      </c>
      <c r="B118" s="7">
        <v>4010</v>
      </c>
      <c r="C118" s="22" t="s">
        <v>225</v>
      </c>
      <c r="D118" s="22" t="s">
        <v>262</v>
      </c>
      <c r="E118" s="13">
        <v>42685.730254629627</v>
      </c>
      <c r="F118" s="13">
        <v>42685.737013888887</v>
      </c>
      <c r="G118" s="7">
        <v>1</v>
      </c>
      <c r="H118" s="22" t="s">
        <v>275</v>
      </c>
      <c r="I118" s="13">
        <v>42685.767222222225</v>
      </c>
      <c r="J118" s="7">
        <v>0</v>
      </c>
      <c r="K118" s="109" t="str">
        <f t="shared" si="19"/>
        <v>4009/4010</v>
      </c>
      <c r="L118" s="22" t="str">
        <f>VLOOKUP(A118,'Trips&amp;Operators'!$C$1:$E$10000,3,FALSE)</f>
        <v>NELSON</v>
      </c>
      <c r="M118" s="6">
        <f t="shared" si="20"/>
        <v>3.0208333337213844E-2</v>
      </c>
      <c r="N118" s="7">
        <f t="shared" si="21"/>
        <v>43.500000005587935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16:31:34-700',mode:absolute,to:'2016-11-11 19:24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23.297899999999998</v>
      </c>
      <c r="Z118" s="67">
        <f t="shared" si="28"/>
        <v>1.6500000000000001E-2</v>
      </c>
      <c r="AA118" s="67">
        <f t="shared" si="29"/>
        <v>23.281399999999998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0"/>
        <v>0206-11</v>
      </c>
      <c r="AE118" s="91" t="str">
        <f t="shared" si="31"/>
        <v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v>
      </c>
      <c r="AF118" s="88" t="str">
        <f t="shared" si="32"/>
        <v>"C:\Program Files (x86)\AstroGrep\AstroGrep.exe" /spath="%USERPROFILE%\AppData\Local\Temp\OnboardLogs" /stypes="app*4010*20161112*" /stext=" 01:.+((SYSTEM_STATE.+slice.+state.+changed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206-11 --locoid 4010 --swversion DE.1.0.8.0 --startMP 204:232979 --initTime 2016-11-11T17:31:34 --startdatetime 2016-11-11T17:41:18 --delay 1 --endMP 204:165 --enddatetime 2016-11-11T18:24:48 --enforcementcount 0 &gt;&gt;C:\Users\stu\Documents\GitHub\eaglep3-reporting\EC\2016-11-11-refined-times.txt</v>
      </c>
      <c r="AI118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{"issue":{"subject":"","project_id":79,"tracker_id":40,"status_id":1,"priority_id":2,"assigned_to_id":23,"start_date":"2016-11-11","description":"","custom_fields":[{"id":1,"name":"Subdivision","value":"EC"},{"id":4,"name":"Milepost","value":"0.0165"},{"id":17,"name":"Train ID","value":"206-11"},{"id":16,"name":"Locomotive ID","value":"4010"},{"id":130,"name":"Impact","value":""},{"id":150,"name":"Time of Event (Mountain Time)","value":"18:24:48"},{"id":151,"name":"Denver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575</v>
      </c>
      <c r="B119" s="7">
        <v>4044</v>
      </c>
      <c r="C119" s="22" t="s">
        <v>225</v>
      </c>
      <c r="D119" s="22" t="s">
        <v>314</v>
      </c>
      <c r="E119" s="13">
        <v>42685.70516203704</v>
      </c>
      <c r="F119" s="13">
        <v>42685.708611111113</v>
      </c>
      <c r="G119" s="7">
        <v>1</v>
      </c>
      <c r="H119" s="22" t="s">
        <v>203</v>
      </c>
      <c r="I119" s="13">
        <v>42685.736006944448</v>
      </c>
      <c r="J119" s="7">
        <v>0</v>
      </c>
      <c r="K119" s="109" t="str">
        <f t="shared" si="19"/>
        <v>4043/4044</v>
      </c>
      <c r="L119" s="22" t="str">
        <f>VLOOKUP(A119,'Trips&amp;Operators'!$C$1:$E$10000,3,FALSE)</f>
        <v>MOSES</v>
      </c>
      <c r="M119" s="6">
        <f t="shared" si="20"/>
        <v>2.7395833334594499E-2</v>
      </c>
      <c r="N119" s="7">
        <f t="shared" si="21"/>
        <v>39.450000001816079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15:55:26-700',mode:absolute,to:'2016-11-11 18:39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4.4200000000000003E-2</v>
      </c>
      <c r="Z119" s="67">
        <f t="shared" si="28"/>
        <v>23.329499999999999</v>
      </c>
      <c r="AA119" s="67">
        <f t="shared" si="29"/>
        <v>23.285299999999999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0"/>
        <v>0207-11</v>
      </c>
      <c r="AE119" s="91" t="str">
        <f t="shared" si="31"/>
        <v>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 &amp; aws s3 cp s3://rtdc.mdm.uploadarchive.raw/RTDC4044/ "%USERPROFILE%\AppData\Local\Temp\OnboardLogs"\RTDC4044\2016-11-12 --exclude "*" --recursive --include "*20161112*" &amp; "%USERPROFILE%\Documents\GitHub\mrs-test-scripts\Headless Mode &amp; Sideloading\WalkAndUnGZ.bat" "%USERPROFILE%\AppData\Local\Temp\OnboardLogs"\RTDC4044\2016-11-12</v>
      </c>
      <c r="AF119" s="88" t="str">
        <f t="shared" si="32"/>
        <v>"C:\Program Files (x86)\AstroGrep\AstroGrep.exe" /spath="%USERPROFILE%\AppData\Local\Temp\OnboardLogs" /stypes="app*4044*20161112*" /stext=" 00:.+((SYSTEM_STATE.+slice.+state.+changed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207-11 --locoid 4044 --swversion DE.1.0.8.0 --startMP 204:442 --initTime 2016-11-11T16:55:26 --startdatetime 2016-11-11T17:00:24 --delay 1 --endMP 204:233295 --enddatetime 2016-11-11T17:39:51 --enforcementcount 0 &gt;&gt;C:\Users\stu\Documents\GitHub\eaglep3-reporting\EC\2016-11-11-refined-times.txt</v>
      </c>
      <c r="AI119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{"issue":{"subject":"","project_id":79,"tracker_id":40,"status_id":1,"priority_id":2,"assigned_to_id":23,"start_date":"2016-11-11","description":"","custom_fields":[{"id":1,"name":"Subdivision","value":"EC"},{"id":4,"name":"Milepost","value":"23.3295"},{"id":17,"name":"Train ID","value":"207-11"},{"id":16,"name":"Locomotive ID","value":"4044"},{"id":130,"name":"Impact","value":""},{"id":150,"name":"Time of Event (Mountain Time)","value":"17:39:51"},{"id":151,"name":"Denver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440</v>
      </c>
      <c r="B120" s="7">
        <v>4043</v>
      </c>
      <c r="C120" s="22" t="s">
        <v>225</v>
      </c>
      <c r="D120" s="22" t="s">
        <v>379</v>
      </c>
      <c r="E120" s="13">
        <v>42685.743518518517</v>
      </c>
      <c r="F120" s="13">
        <v>42685.747499999998</v>
      </c>
      <c r="G120" s="7">
        <v>1</v>
      </c>
      <c r="H120" s="22" t="s">
        <v>366</v>
      </c>
      <c r="I120" s="13">
        <v>42685.774259259262</v>
      </c>
      <c r="J120" s="7">
        <v>0</v>
      </c>
      <c r="K120" s="109" t="str">
        <f t="shared" si="19"/>
        <v>4043/4044</v>
      </c>
      <c r="L120" s="22" t="str">
        <f>VLOOKUP(A120,'Trips&amp;Operators'!$C$1:$E$10000,3,FALSE)</f>
        <v>MOSES</v>
      </c>
      <c r="M120" s="6">
        <f t="shared" si="20"/>
        <v>2.6759259264508728E-2</v>
      </c>
      <c r="N120" s="7">
        <f t="shared" si="21"/>
        <v>38.533333340892568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16:50:40-700',mode:absolute,to:'2016-11-11 19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23.2988</v>
      </c>
      <c r="Z120" s="67">
        <f t="shared" si="28"/>
        <v>1.54E-2</v>
      </c>
      <c r="AA120" s="67">
        <f t="shared" si="29"/>
        <v>23.2834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0"/>
        <v>0208-11</v>
      </c>
      <c r="AE120" s="91" t="str">
        <f t="shared" si="31"/>
        <v>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 &amp; aws s3 cp s3://rtdc.mdm.uploadarchive.raw/RTDC4043/ "%USERPROFILE%\AppData\Local\Temp\OnboardLogs"\RTDC4043\2016-11-12 --exclude "*" --recursive --include "*20161112*" &amp; "%USERPROFILE%\Documents\GitHub\mrs-test-scripts\Headless Mode &amp; Sideloading\WalkAndUnGZ.bat" "%USERPROFILE%\AppData\Local\Temp\OnboardLogs"\RTDC4043\2016-11-12</v>
      </c>
      <c r="AF120" s="88" t="str">
        <f t="shared" si="32"/>
        <v>"C:\Program Files (x86)\AstroGrep\AstroGrep.exe" /spath="%USERPROFILE%\AppData\Local\Temp\OnboardLogs" /stypes="app*4043*20161112*" /stext=" 01:.+((SYSTEM_STATE.+slice.+state.+changed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208-11 --locoid 4043 --swversion DE.1.0.8.0 --startMP 204:232988 --initTime 2016-11-11T17:50:40 --startdatetime 2016-11-11T17:56:24 --delay 1 --endMP 204:154 --enddatetime 2016-11-11T18:34:56 --enforcementcount 0 &gt;&gt;C:\Users\stu\Documents\GitHub\eaglep3-reporting\EC\2016-11-11-refined-times.txt</v>
      </c>
      <c r="AI120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{"issue":{"subject":"","project_id":79,"tracker_id":40,"status_id":1,"priority_id":2,"assigned_to_id":23,"start_date":"2016-11-11","description":"","custom_fields":[{"id":1,"name":"Subdivision","value":"EC"},{"id":4,"name":"Milepost","value":"0.0154"},{"id":17,"name":"Train ID","value":"208-11"},{"id":16,"name":"Locomotive ID","value":"4043"},{"id":130,"name":"Impact","value":""},{"id":150,"name":"Time of Event (Mountain Time)","value":"18:34:56"},{"id":151,"name":"Denver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579</v>
      </c>
      <c r="B121" s="7">
        <v>4003</v>
      </c>
      <c r="C121" s="22" t="s">
        <v>225</v>
      </c>
      <c r="D121" s="22" t="s">
        <v>383</v>
      </c>
      <c r="E121" s="13">
        <v>42685.713645833333</v>
      </c>
      <c r="F121" s="13">
        <v>42685.71912037037</v>
      </c>
      <c r="G121" s="7">
        <v>1</v>
      </c>
      <c r="H121" s="22" t="s">
        <v>274</v>
      </c>
      <c r="I121" s="13">
        <v>42685.748090277775</v>
      </c>
      <c r="J121" s="7">
        <v>0</v>
      </c>
      <c r="K121" s="109" t="str">
        <f t="shared" si="19"/>
        <v>4003/4004</v>
      </c>
      <c r="L121" s="22" t="str">
        <f>VLOOKUP(A121,'Trips&amp;Operators'!$C$1:$E$10000,3,FALSE)</f>
        <v>SMITH</v>
      </c>
      <c r="M121" s="6">
        <f t="shared" si="20"/>
        <v>2.8969907405553386E-2</v>
      </c>
      <c r="N121" s="7">
        <f t="shared" si="21"/>
        <v>41.716666663996875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16:07:39-700',mode:absolute,to:'2016-11-11 18:57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4.3099999999999999E-2</v>
      </c>
      <c r="Z121" s="67">
        <f t="shared" si="28"/>
        <v>23.3293</v>
      </c>
      <c r="AA121" s="67">
        <f t="shared" si="29"/>
        <v>23.286200000000001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0"/>
        <v>0209-11</v>
      </c>
      <c r="AE121" s="91" t="str">
        <f t="shared" si="31"/>
        <v>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 &amp; aws s3 cp s3://rtdc.mdm.uploadarchive.raw/RTDC4003/ "%USERPROFILE%\AppData\Local\Temp\OnboardLogs"\RTDC4003\2016-11-12 --exclude "*" --recursive --include "*20161112*" &amp; "%USERPROFILE%\Documents\GitHub\mrs-test-scripts\Headless Mode &amp; Sideloading\WalkAndUnGZ.bat" "%USERPROFILE%\AppData\Local\Temp\OnboardLogs"\RTDC4003\2016-11-12</v>
      </c>
      <c r="AF121" s="88" t="str">
        <f t="shared" si="32"/>
        <v>"C:\Program Files (x86)\AstroGrep\AstroGrep.exe" /spath="%USERPROFILE%\AppData\Local\Temp\OnboardLogs" /stypes="app*4003*20161112*" /stext=" 00:.+((SYSTEM_STATE.+slice.+state.+changed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209-11 --locoid 4003 --swversion DE.1.0.8.0 --startMP 204:431 --initTime 2016-11-11T17:07:39 --startdatetime 2016-11-11T17:15:32 --delay 1 --endMP 204:233293 --enddatetime 2016-11-11T17:57:15 --enforcementcount 0 &gt;&gt;C:\Users\stu\Documents\GitHub\eaglep3-reporting\EC\2016-11-11-refined-times.txt</v>
      </c>
      <c r="AI121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{"issue":{"subject":"","project_id":79,"tracker_id":40,"status_id":1,"priority_id":2,"assigned_to_id":23,"start_date":"2016-11-11","description":"","custom_fields":[{"id":1,"name":"Subdivision","value":"EC"},{"id":4,"name":"Milepost","value":"23.3293"},{"id":17,"name":"Train ID","value":"209-11"},{"id":16,"name":"Locomotive ID","value":"4003"},{"id":130,"name":"Impact","value":""},{"id":150,"name":"Time of Event (Mountain Time)","value":"17:57:15"},{"id":151,"name":"Denver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590</v>
      </c>
      <c r="B122" s="7">
        <v>4004</v>
      </c>
      <c r="C122" s="22" t="s">
        <v>225</v>
      </c>
      <c r="D122" s="22" t="s">
        <v>247</v>
      </c>
      <c r="E122" s="13">
        <v>42685.7503125</v>
      </c>
      <c r="F122" s="13">
        <v>42685.757905092592</v>
      </c>
      <c r="G122" s="7">
        <v>6</v>
      </c>
      <c r="H122" s="22" t="s">
        <v>253</v>
      </c>
      <c r="I122" s="13">
        <v>42685.784641203703</v>
      </c>
      <c r="J122" s="7">
        <v>0</v>
      </c>
      <c r="K122" s="109" t="str">
        <f t="shared" si="19"/>
        <v>4003/4004</v>
      </c>
      <c r="L122" s="22" t="str">
        <f>VLOOKUP(A122,'Trips&amp;Operators'!$C$1:$E$10000,3,FALSE)</f>
        <v>SMITH</v>
      </c>
      <c r="M122" s="6">
        <f t="shared" si="20"/>
        <v>2.6736111110949423E-2</v>
      </c>
      <c r="N122" s="7">
        <f t="shared" si="21"/>
        <v>38.499999999767169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17:00:27-700',mode:absolute,to:'2016-11-11 19:49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23.299099999999999</v>
      </c>
      <c r="Z122" s="67">
        <f t="shared" si="28"/>
        <v>1.4999999999999999E-2</v>
      </c>
      <c r="AA122" s="67">
        <f t="shared" si="29"/>
        <v>23.284099999999999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0"/>
        <v>0210-11</v>
      </c>
      <c r="AE122" s="91" t="str">
        <f t="shared" si="31"/>
        <v>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 &amp; 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</v>
      </c>
      <c r="AF122" s="88" t="str">
        <f t="shared" si="32"/>
        <v>"C:\Program Files (x86)\AstroGrep\AstroGrep.exe" /spath="%USERPROFILE%\AppData\Local\Temp\OnboardLogs" /stypes="app*4004*20161112*" /stext=" 01:.+((SYSTEM_STATE.+slice.+state.+changed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210-11 --locoid 4004 --swversion DE.1.0.8.0 --startMP 204:232991 --initTime 2016-11-11T18:00:27 --startdatetime 2016-11-11T18:11:23 --delay 6 --endMP 204:150 --enddatetime 2016-11-11T18:49:53 --enforcementcount 0 &gt;&gt;C:\Users\stu\Documents\GitHub\eaglep3-reporting\EC\2016-11-11-refined-times.txt</v>
      </c>
      <c r="AI122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{"issue":{"subject":"","project_id":79,"tracker_id":40,"status_id":1,"priority_id":2,"assigned_to_id":23,"start_date":"2016-11-11","description":"","custom_fields":[{"id":1,"name":"Subdivision","value":"EC"},{"id":4,"name":"Milepost","value":"0.015"},{"id":17,"name":"Train ID","value":"210-11"},{"id":16,"name":"Locomotive ID","value":"4004"},{"id":130,"name":"Impact","value":""},{"id":150,"name":"Time of Event (Mountain Time)","value":"18:49:53"},{"id":151,"name":"Denver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576</v>
      </c>
      <c r="B123" s="7">
        <v>4029</v>
      </c>
      <c r="C123" s="22" t="s">
        <v>225</v>
      </c>
      <c r="D123" s="22" t="s">
        <v>691</v>
      </c>
      <c r="E123" s="13">
        <v>42685.720347222225</v>
      </c>
      <c r="F123" s="13">
        <v>42685.72934027778</v>
      </c>
      <c r="G123" s="7">
        <v>1</v>
      </c>
      <c r="H123" s="22" t="s">
        <v>692</v>
      </c>
      <c r="I123" s="13">
        <v>42685.754247685189</v>
      </c>
      <c r="J123" s="7">
        <v>0</v>
      </c>
      <c r="K123" s="109" t="str">
        <f t="shared" si="19"/>
        <v>4029/4030</v>
      </c>
      <c r="L123" s="22" t="str">
        <f>VLOOKUP(A123,'Trips&amp;Operators'!$C$1:$E$10000,3,FALSE)</f>
        <v>HILLS</v>
      </c>
      <c r="M123" s="6">
        <f t="shared" si="20"/>
        <v>2.4907407409045845E-2</v>
      </c>
      <c r="N123" s="7">
        <f t="shared" si="21"/>
        <v>35.866666669026017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16:17:18-700',mode:absolute,to:'2016-11-11 19:06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3.85E-2</v>
      </c>
      <c r="Z123" s="67">
        <f t="shared" si="28"/>
        <v>23.3353</v>
      </c>
      <c r="AA123" s="67">
        <f t="shared" si="29"/>
        <v>23.296800000000001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0"/>
        <v>0211-11</v>
      </c>
      <c r="AE123" s="91" t="str">
        <f t="shared" si="31"/>
        <v>aws s3 cp s3://rtdc.mdm.uploadarchive.raw/RTDC4029/ "%USERPROFILE%\AppData\Local\Temp\OnboardLogs"\RTDC4029\2016-11-11 --exclude "*" --recursive --include "*20161111*" &amp; "%USERPROFILE%\Documents\GitHub\mrs-test-scripts\Headless Mode &amp; Sideloading\WalkAndUnGZ.bat" "%USERPROFILE%\AppData\Local\Temp\OnboardLogs"\RTDC4029\2016-11-11 &amp; 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</v>
      </c>
      <c r="AF123" s="88" t="str">
        <f t="shared" si="32"/>
        <v>"C:\Program Files (x86)\AstroGrep\AstroGrep.exe" /spath="%USERPROFILE%\AppData\Local\Temp\OnboardLogs" /stypes="app*4029*20161112*" /stext=" 01:.+((SYSTEM_STATE.+slice.+state.+changed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211-11 --locoid 4029 --swversion DE.1.0.8.0 --startMP 204:385 --initTime 2016-11-11T17:17:18 --startdatetime 2016-11-11T17:30:15 --delay 1 --endMP 204:233353 --enddatetime 2016-11-11T18:06:07 --enforcementcount 0 &gt;&gt;C:\Users\stu\Documents\GitHub\eaglep3-reporting\EC\2016-11-11-refined-times.txt</v>
      </c>
      <c r="AI123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{"issue":{"subject":"","project_id":79,"tracker_id":40,"status_id":1,"priority_id":2,"assigned_to_id":23,"start_date":"2016-11-11","description":"","custom_fields":[{"id":1,"name":"Subdivision","value":"EC"},{"id":4,"name":"Milepost","value":"23.3353"},{"id":17,"name":"Train ID","value":"211-11"},{"id":16,"name":"Locomotive ID","value":"4029"},{"id":130,"name":"Impact","value":""},{"id":150,"name":"Time of Event (Mountain Time)","value":"18:06:07"},{"id":151,"name":"Denver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593</v>
      </c>
      <c r="B124" s="7">
        <v>4030</v>
      </c>
      <c r="C124" s="22" t="s">
        <v>225</v>
      </c>
      <c r="D124" s="22" t="s">
        <v>675</v>
      </c>
      <c r="E124" s="13">
        <v>42685.758738425924</v>
      </c>
      <c r="F124" s="13">
        <v>42685.768425925926</v>
      </c>
      <c r="G124" s="7">
        <v>1</v>
      </c>
      <c r="H124" s="22" t="s">
        <v>693</v>
      </c>
      <c r="I124" s="13">
        <v>42685.794641203705</v>
      </c>
      <c r="J124" s="7">
        <v>0</v>
      </c>
      <c r="K124" s="109" t="str">
        <f t="shared" si="19"/>
        <v>4029/4030</v>
      </c>
      <c r="L124" s="22" t="str">
        <f>VLOOKUP(A124,'Trips&amp;Operators'!$C$1:$E$10000,3,FALSE)</f>
        <v>HILLS</v>
      </c>
      <c r="M124" s="6">
        <f t="shared" si="20"/>
        <v>2.6215277779556345E-2</v>
      </c>
      <c r="N124" s="7">
        <f t="shared" si="21"/>
        <v>37.750000002561137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17:12:35-700',mode:absolute,to:'2016-11-11 20:04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23.3019</v>
      </c>
      <c r="Z124" s="67">
        <f t="shared" si="28"/>
        <v>1.2500000000000001E-2</v>
      </c>
      <c r="AA124" s="67">
        <f t="shared" si="29"/>
        <v>23.289400000000001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0"/>
        <v>0212-11</v>
      </c>
      <c r="AE124" s="91" t="str">
        <f t="shared" si="31"/>
        <v>aws s3 cp s3://rtdc.mdm.uploadarchive.raw/RTDC4030/ "%USERPROFILE%\AppData\Local\Temp\OnboardLogs"\RTDC4030\2016-11-11 --exclude "*" --recursive --include "*20161111*" &amp; "%USERPROFILE%\Documents\GitHub\mrs-test-scripts\Headless Mode &amp; Sideloading\WalkAndUnGZ.bat" "%USERPROFILE%\AppData\Local\Temp\OnboardLogs"\RTDC4030\2016-11-11 &amp; 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</v>
      </c>
      <c r="AF124" s="88" t="str">
        <f t="shared" si="32"/>
        <v>"C:\Program Files (x86)\AstroGrep\AstroGrep.exe" /spath="%USERPROFILE%\AppData\Local\Temp\OnboardLogs" /stypes="app*4030*20161112*" /stext=" 02:.+((SYSTEM_STATE.+slice.+state.+changed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212-11 --locoid 4030 --swversion DE.1.0.8.0 --startMP 204:233019 --initTime 2016-11-11T18:12:35 --startdatetime 2016-11-11T18:26:32 --delay 1 --endMP 204:125 --enddatetime 2016-11-11T19:04:17 --enforcementcount 0 &gt;&gt;C:\Users\stu\Documents\GitHub\eaglep3-reporting\EC\2016-11-11-refined-times.txt</v>
      </c>
      <c r="AI124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{"issue":{"subject":"","project_id":79,"tracker_id":40,"status_id":1,"priority_id":2,"assigned_to_id":23,"start_date":"2016-11-11","description":"","custom_fields":[{"id":1,"name":"Subdivision","value":"EC"},{"id":4,"name":"Milepost","value":"0.0125"},{"id":17,"name":"Train ID","value":"212-11"},{"id":16,"name":"Locomotive ID","value":"4030"},{"id":130,"name":"Impact","value":""},{"id":150,"name":"Time of Event (Mountain Time)","value":"19:04:17"},{"id":151,"name":"Denver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587</v>
      </c>
      <c r="B125" s="7">
        <v>4031</v>
      </c>
      <c r="C125" s="22" t="s">
        <v>225</v>
      </c>
      <c r="D125" s="22" t="s">
        <v>306</v>
      </c>
      <c r="E125" s="13">
        <v>42685.735972222225</v>
      </c>
      <c r="F125" s="13">
        <v>42685.739710648151</v>
      </c>
      <c r="G125" s="7">
        <v>2</v>
      </c>
      <c r="H125" s="22" t="s">
        <v>282</v>
      </c>
      <c r="I125" s="13">
        <v>42685.76462962963</v>
      </c>
      <c r="J125" s="7">
        <v>0</v>
      </c>
      <c r="K125" s="109" t="str">
        <f t="shared" si="19"/>
        <v>4031/4032</v>
      </c>
      <c r="L125" s="22" t="str">
        <f>VLOOKUP(A125,'Trips&amp;Operators'!$C$1:$E$10000,3,FALSE)</f>
        <v>MAGEE</v>
      </c>
      <c r="M125" s="6">
        <f t="shared" si="20"/>
        <v>2.491898147854954E-2</v>
      </c>
      <c r="N125" s="7">
        <f t="shared" si="21"/>
        <v>35.883333329111338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16:39:48-700',mode:absolute,to:'2016-11-11 19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4.7300000000000002E-2</v>
      </c>
      <c r="Z125" s="67">
        <f t="shared" si="28"/>
        <v>23.330200000000001</v>
      </c>
      <c r="AA125" s="67">
        <f t="shared" si="29"/>
        <v>23.282900000000001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0"/>
        <v>0213-11</v>
      </c>
      <c r="AE125" s="91" t="str">
        <f t="shared" si="31"/>
        <v>aws s3 cp s3://rtdc.mdm.uploadarchive.raw/RTDC4031/ "%USERPROFILE%\AppData\Local\Temp\OnboardLogs"\RTDC4031\2016-11-11 --exclude "*" --recursive --include "*20161111*" &amp; "%USERPROFILE%\Documents\GitHub\mrs-test-scripts\Headless Mode &amp; Sideloading\WalkAndUnGZ.bat" "%USERPROFILE%\AppData\Local\Temp\OnboardLogs"\RTDC4031\2016-11-11 &amp; aws s3 cp s3://rtdc.mdm.uploadarchive.raw/RTDC4031/ "%USERPROFILE%\AppData\Local\Temp\OnboardLogs"\RTDC4031\2016-11-12 --exclude "*" --recursive --include "*20161112*" &amp; "%USERPROFILE%\Documents\GitHub\mrs-test-scripts\Headless Mode &amp; Sideloading\WalkAndUnGZ.bat" "%USERPROFILE%\AppData\Local\Temp\OnboardLogs"\RTDC4031\2016-11-12</v>
      </c>
      <c r="AF125" s="88" t="str">
        <f t="shared" si="32"/>
        <v>"C:\Program Files (x86)\AstroGrep\AstroGrep.exe" /spath="%USERPROFILE%\AppData\Local\Temp\OnboardLogs" /stypes="app*4031*20161112*" /stext=" 01:.+((SYSTEM_STATE.+slice.+state.+changed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213-11 --locoid 4031 --swversion DE.1.0.8.0 --startMP 204:473 --initTime 2016-11-11T17:39:48 --startdatetime 2016-11-11T17:45:11 --delay 2 --endMP 204:233302 --enddatetime 2016-11-11T18:21:04 --enforcementcount 0 &gt;&gt;C:\Users\stu\Documents\GitHub\eaglep3-reporting\EC\2016-11-11-refined-times.txt</v>
      </c>
      <c r="AI125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{"issue":{"subject":"","project_id":79,"tracker_id":40,"status_id":1,"priority_id":2,"assigned_to_id":23,"start_date":"2016-11-11","description":"","custom_fields":[{"id":1,"name":"Subdivision","value":"EC"},{"id":4,"name":"Milepost","value":"23.3302"},{"id":17,"name":"Train ID","value":"213-11"},{"id":16,"name":"Locomotive ID","value":"4031"},{"id":130,"name":"Impact","value":""},{"id":150,"name":"Time of Event (Mountain Time)","value":"18:21:04"},{"id":151,"name":"Denver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595</v>
      </c>
      <c r="B126" s="7">
        <v>4032</v>
      </c>
      <c r="C126" s="22" t="s">
        <v>225</v>
      </c>
      <c r="D126" s="22" t="s">
        <v>670</v>
      </c>
      <c r="E126" s="13">
        <v>42685.775300925925</v>
      </c>
      <c r="F126" s="13">
        <v>42685.778645833336</v>
      </c>
      <c r="G126" s="7">
        <v>1</v>
      </c>
      <c r="H126" s="22" t="s">
        <v>694</v>
      </c>
      <c r="I126" s="13">
        <v>42685.805254629631</v>
      </c>
      <c r="J126" s="7">
        <v>0</v>
      </c>
      <c r="K126" s="109" t="str">
        <f t="shared" si="19"/>
        <v>4031/4032</v>
      </c>
      <c r="L126" s="22" t="str">
        <f>VLOOKUP(A126,'Trips&amp;Operators'!$C$1:$E$10000,3,FALSE)</f>
        <v>MAGEE</v>
      </c>
      <c r="M126" s="6">
        <f t="shared" si="20"/>
        <v>2.6608796295477077E-2</v>
      </c>
      <c r="N126" s="7">
        <f t="shared" si="21"/>
        <v>38.316666665486991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17:36:26-700',mode:absolute,to:'2016-11-11 20:19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23.298300000000001</v>
      </c>
      <c r="Z126" s="67">
        <f t="shared" si="28"/>
        <v>1.8499999999999999E-2</v>
      </c>
      <c r="AA126" s="67">
        <f t="shared" si="29"/>
        <v>23.279800000000002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0"/>
        <v>0214-11</v>
      </c>
      <c r="AE126" s="91" t="str">
        <f t="shared" si="31"/>
        <v>aws s3 cp s3://rtdc.mdm.uploadarchive.raw/RTDC4032/ "%USERPROFILE%\AppData\Local\Temp\OnboardLogs"\RTDC4032\2016-11-11 --exclude "*" --recursive --include "*20161111*" &amp; "%USERPROFILE%\Documents\GitHub\mrs-test-scripts\Headless Mode &amp; Sideloading\WalkAndUnGZ.bat" "%USERPROFILE%\AppData\Local\Temp\OnboardLogs"\RTDC4032\2016-11-11 &amp; aws s3 cp s3://rtdc.mdm.uploadarchive.raw/RTDC4032/ "%USERPROFILE%\AppData\Local\Temp\OnboardLogs"\RTDC4032\2016-11-12 --exclude "*" --recursive --include "*20161112*" &amp; "%USERPROFILE%\Documents\GitHub\mrs-test-scripts\Headless Mode &amp; Sideloading\WalkAndUnGZ.bat" "%USERPROFILE%\AppData\Local\Temp\OnboardLogs"\RTDC4032\2016-11-12</v>
      </c>
      <c r="AF126" s="88" t="str">
        <f t="shared" si="32"/>
        <v>"C:\Program Files (x86)\AstroGrep\AstroGrep.exe" /spath="%USERPROFILE%\AppData\Local\Temp\OnboardLogs" /stypes="app*4032*20161112*" /stext=" 02:.+((SYSTEM_STATE.+slice.+state.+changed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214-11 --locoid 4032 --swversion DE.1.0.8.0 --startMP 204:232983 --initTime 2016-11-11T18:36:26 --startdatetime 2016-11-11T18:41:15 --delay 1 --endMP 204:185 --enddatetime 2016-11-11T19:19:34 --enforcementcount 0 &gt;&gt;C:\Users\stu\Documents\GitHub\eaglep3-reporting\EC\2016-11-11-refined-times.txt</v>
      </c>
      <c r="AI126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{"issue":{"subject":"","project_id":79,"tracker_id":40,"status_id":1,"priority_id":2,"assigned_to_id":23,"start_date":"2016-11-11","description":"","custom_fields":[{"id":1,"name":"Subdivision","value":"EC"},{"id":4,"name":"Milepost","value":"0.0185"},{"id":17,"name":"Train ID","value":"214-11"},{"id":16,"name":"Locomotive ID","value":"4032"},{"id":130,"name":"Impact","value":""},{"id":150,"name":"Time of Event (Mountain Time)","value":"19:19:34"},{"id":151,"name":"Denver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438</v>
      </c>
      <c r="B127" s="7">
        <v>4025</v>
      </c>
      <c r="C127" s="22" t="s">
        <v>225</v>
      </c>
      <c r="D127" s="22" t="s">
        <v>205</v>
      </c>
      <c r="E127" s="13">
        <v>42685.747777777775</v>
      </c>
      <c r="F127" s="13">
        <v>42685.75037037037</v>
      </c>
      <c r="G127" s="7">
        <v>1</v>
      </c>
      <c r="H127" s="22" t="s">
        <v>652</v>
      </c>
      <c r="I127" s="13">
        <v>42685.776597222219</v>
      </c>
      <c r="J127" s="7">
        <v>0</v>
      </c>
      <c r="K127" s="109" t="str">
        <f t="shared" si="19"/>
        <v>4025/4026</v>
      </c>
      <c r="L127" s="22" t="str">
        <f>VLOOKUP(A127,'Trips&amp;Operators'!$C$1:$E$10000,3,FALSE)</f>
        <v>BADERTSCHER</v>
      </c>
      <c r="M127" s="6">
        <f t="shared" si="20"/>
        <v>2.622685184906004E-2</v>
      </c>
      <c r="N127" s="7">
        <f t="shared" si="21"/>
        <v>37.766666662646458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16:56:48-700',mode:absolute,to:'2016-11-11 19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7" s="52" t="str">
        <f t="shared" si="25"/>
        <v>N</v>
      </c>
      <c r="X127" s="177">
        <f t="shared" si="26"/>
        <v>1</v>
      </c>
      <c r="Y127" s="67">
        <f t="shared" si="27"/>
        <v>4.5100000000000001E-2</v>
      </c>
      <c r="Z127" s="67">
        <f t="shared" si="28"/>
        <v>23.328600000000002</v>
      </c>
      <c r="AA127" s="67">
        <f t="shared" si="29"/>
        <v>23.2835</v>
      </c>
      <c r="AB127" s="64" t="str">
        <f>VLOOKUP(A127,Enforcements!$C$7:$K$20,8,0)</f>
        <v>Speed (6)</v>
      </c>
      <c r="AC127" s="60" t="str">
        <f>VLOOKUP(A127,Enforcements!$C$7:$E$20,3,0)</f>
        <v>PERMANENT SPEED RESTRICTION</v>
      </c>
      <c r="AD127" s="61" t="str">
        <f t="shared" si="30"/>
        <v>0215-11</v>
      </c>
      <c r="AE127" s="91" t="str">
        <f t="shared" si="31"/>
        <v>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 &amp; 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</v>
      </c>
      <c r="AF127" s="88" t="str">
        <f t="shared" si="32"/>
        <v>"C:\Program Files (x86)\AstroGrep\AstroGrep.exe" /spath="%USERPROFILE%\AppData\Local\Temp\OnboardLogs" /stypes="app*4025*20161112*" /stext=" 01:.+((SYSTEM_STATE.+slice.+state.+changed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215-11 --locoid 4025 --swversion DE.1.0.8.0 --startMP 204:451 --initTime 2016-11-11T17:56:48 --startdatetime 2016-11-11T18:00:32 --delay 1 --endMP 204:233286 --enddatetime 2016-11-11T18:38:18 --enforcementcount 0 &gt;&gt;C:\Users\stu\Documents\GitHub\eaglep3-reporting\EC\2016-11-11-refined-times.txt</v>
      </c>
      <c r="AI127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{"issue":{"subject":"","project_id":79,"tracker_id":40,"status_id":1,"priority_id":2,"assigned_to_id":23,"start_date":"2016-11-11","description":"","custom_fields":[{"id":1,"name":"Subdivision","value":"EC"},{"id":4,"name":"Milepost","value":"23.3286"},{"id":17,"name":"Train ID","value":"215-11"},{"id":16,"name":"Locomotive ID","value":"4025"},{"id":130,"name":"Impact","value":""},{"id":150,"name":"Time of Event (Mountain Time)","value":"18:38:18"},{"id":151,"name":"Denver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601</v>
      </c>
      <c r="B128" s="7">
        <v>4026</v>
      </c>
      <c r="C128" s="22" t="s">
        <v>225</v>
      </c>
      <c r="D128" s="22" t="s">
        <v>220</v>
      </c>
      <c r="E128" s="13">
        <v>42685.787534722222</v>
      </c>
      <c r="F128" s="13">
        <v>42685.789247685185</v>
      </c>
      <c r="G128" s="7">
        <v>1</v>
      </c>
      <c r="H128" s="22" t="s">
        <v>216</v>
      </c>
      <c r="I128" s="13">
        <v>42685.819525462961</v>
      </c>
      <c r="J128" s="7">
        <v>0</v>
      </c>
      <c r="K128" s="109" t="str">
        <f t="shared" si="19"/>
        <v>4025/4026</v>
      </c>
      <c r="L128" s="22" t="str">
        <f>VLOOKUP(A128,'Trips&amp;Operators'!$C$1:$E$10000,3,FALSE)</f>
        <v>STORY</v>
      </c>
      <c r="M128" s="6">
        <f t="shared" si="20"/>
        <v>3.0277777776063886E-2</v>
      </c>
      <c r="N128" s="7">
        <f t="shared" si="21"/>
        <v>43.599999997531995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17:54:03-700',mode:absolute,to:'2016-11-11 20:40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8" s="52" t="str">
        <f t="shared" si="25"/>
        <v>N</v>
      </c>
      <c r="X128" s="177">
        <f t="shared" si="26"/>
        <v>1</v>
      </c>
      <c r="Y128" s="67">
        <f t="shared" si="27"/>
        <v>23.298500000000001</v>
      </c>
      <c r="Z128" s="67">
        <f t="shared" si="28"/>
        <v>1.5599999999999999E-2</v>
      </c>
      <c r="AA128" s="67">
        <f t="shared" si="29"/>
        <v>23.282900000000001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0"/>
        <v>0216-11</v>
      </c>
      <c r="AE128" s="91" t="str">
        <f t="shared" si="31"/>
        <v>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 &amp; 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</v>
      </c>
      <c r="AF128" s="88" t="str">
        <f t="shared" si="32"/>
        <v>"C:\Program Files (x86)\AstroGrep\AstroGrep.exe" /spath="%USERPROFILE%\AppData\Local\Temp\OnboardLogs" /stypes="app*4026*20161112*" /stext=" 02:.+((SYSTEM_STATE.+slice.+state.+changed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216-11 --locoid 4026 --swversion DE.1.0.8.0 --startMP 204:232985 --initTime 2016-11-11T18:54:03 --startdatetime 2016-11-11T18:56:31 --delay 1 --endMP 204:156 --enddatetime 2016-11-11T19:40:07 --enforcementcount 0 &gt;&gt;C:\Users\stu\Documents\GitHub\eaglep3-reporting\EC\2016-11-11-refined-times.txt</v>
      </c>
      <c r="AI128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{"issue":{"subject":"","project_id":79,"tracker_id":40,"status_id":1,"priority_id":2,"assigned_to_id":23,"start_date":"2016-11-11","description":"","custom_fields":[{"id":1,"name":"Subdivision","value":"EC"},{"id":4,"name":"Milepost","value":"0.0156"},{"id":17,"name":"Train ID","value":"216-11"},{"id":16,"name":"Locomotive ID","value":"4026"},{"id":130,"name":"Impact","value":""},{"id":150,"name":"Time of Event (Mountain Time)","value":"19:40:07"},{"id":151,"name":"Denver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441</v>
      </c>
      <c r="B129" s="7">
        <v>4040</v>
      </c>
      <c r="C129" s="22" t="s">
        <v>225</v>
      </c>
      <c r="D129" s="22" t="s">
        <v>695</v>
      </c>
      <c r="E129" s="13">
        <v>42685.785000000003</v>
      </c>
      <c r="F129" s="13">
        <v>42685.764340277776</v>
      </c>
      <c r="G129" s="7">
        <v>1</v>
      </c>
      <c r="H129" s="22" t="s">
        <v>312</v>
      </c>
      <c r="I129" s="13">
        <v>42685.795902777776</v>
      </c>
      <c r="J129" s="7">
        <v>1</v>
      </c>
      <c r="K129" s="109" t="str">
        <f t="shared" si="19"/>
        <v>4039/4040</v>
      </c>
      <c r="L129" s="22" t="str">
        <f>VLOOKUP(A129,'Trips&amp;Operators'!$C$1:$E$10000,3,FALSE)</f>
        <v>HOLCOMB</v>
      </c>
      <c r="M129" s="6">
        <f t="shared" si="20"/>
        <v>3.1562500000291038E-2</v>
      </c>
      <c r="N129" s="7">
        <f t="shared" si="21"/>
        <v>45.450000000419095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17:50:24-700',mode:absolute,to:'2016-11-11 20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9" s="52" t="str">
        <f t="shared" si="25"/>
        <v>N</v>
      </c>
      <c r="X129" s="177">
        <f t="shared" si="26"/>
        <v>1</v>
      </c>
      <c r="Y129" s="67">
        <v>0.04</v>
      </c>
      <c r="Z129" s="67">
        <f t="shared" si="28"/>
        <v>23.330500000000001</v>
      </c>
      <c r="AA129" s="67">
        <f t="shared" si="29"/>
        <v>23.290500000000002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0"/>
        <v>0217-11</v>
      </c>
      <c r="AE129" s="91" t="str">
        <f t="shared" si="31"/>
        <v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v>
      </c>
      <c r="AF129" s="88" t="str">
        <f t="shared" si="32"/>
        <v>"C:\Program Files (x86)\AstroGrep\AstroGrep.exe" /spath="%USERPROFILE%\AppData\Local\Temp\OnboardLogs" /stypes="app*4040*20161112*" /stext=" 02:.+((SYSTEM_STATE.+slice.+state.+changed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217-11 --locoid 4040 --swversion DE.1.0.8.0 --startMP 204:124847 --initTime 2016-11-11T18:50:24 --startdatetime 2016-11-11T18:20:39 --delay 1 --endMP 204:233305 --enddatetime 2016-11-11T19:06:06 --enforcementcount 1 &gt;&gt;C:\Users\stu\Documents\GitHub\eaglep3-reporting\EC\2016-11-11-refined-times.txt</v>
      </c>
      <c r="AI129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{"issue":{"subject":"","project_id":79,"tracker_id":40,"status_id":1,"priority_id":2,"assigned_to_id":23,"start_date":"2016-11-11","description":"","custom_fields":[{"id":1,"name":"Subdivision","value":"EC"},{"id":4,"name":"Milepost","value":"23.3305"},{"id":17,"name":"Train ID","value":"217-11"},{"id":16,"name":"Locomotive ID","value":"4040"},{"id":130,"name":"Impact","value":""},{"id":150,"name":"Time of Event (Mountain Time)","value":"19:06:06"},{"id":151,"name":"Denver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603</v>
      </c>
      <c r="B130" s="7">
        <v>4039</v>
      </c>
      <c r="C130" s="22" t="s">
        <v>225</v>
      </c>
      <c r="D130" s="22" t="s">
        <v>273</v>
      </c>
      <c r="E130" s="13">
        <v>42685.798344907409</v>
      </c>
      <c r="F130" s="13">
        <v>42685.799895833334</v>
      </c>
      <c r="G130" s="7">
        <v>1</v>
      </c>
      <c r="H130" s="22" t="s">
        <v>230</v>
      </c>
      <c r="I130" s="13">
        <v>42685.825752314813</v>
      </c>
      <c r="J130" s="7">
        <v>0</v>
      </c>
      <c r="K130" s="109" t="str">
        <f t="shared" si="19"/>
        <v>4039/4040</v>
      </c>
      <c r="L130" s="22" t="str">
        <f>VLOOKUP(A130,'Trips&amp;Operators'!$C$1:$E$10000,3,FALSE)</f>
        <v>HOLCOMB</v>
      </c>
      <c r="M130" s="6">
        <f t="shared" si="20"/>
        <v>2.5856481479422655E-2</v>
      </c>
      <c r="N130" s="7">
        <f t="shared" si="21"/>
        <v>37.233333330368623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18:09:37-700',mode:absolute,to:'2016-11-11 20:49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23.299199999999999</v>
      </c>
      <c r="Z130" s="67">
        <f t="shared" si="28"/>
        <v>1.5800000000000002E-2</v>
      </c>
      <c r="AA130" s="67">
        <f t="shared" si="29"/>
        <v>23.2834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0"/>
        <v>0218-11</v>
      </c>
      <c r="AE130" s="91" t="str">
        <f t="shared" si="31"/>
        <v>aws s3 cp s3://rtdc.mdm.uploadarchive.raw/RTDC4039/ "%USERPROFILE%\AppData\Local\Temp\OnboardLogs"\RTDC4039\2016-11-11 --exclude "*" --recursive --include "*20161111*" &amp; "%USERPROFILE%\Documents\GitHub\mrs-test-scripts\Headless Mode &amp; Sideloading\WalkAndUnGZ.bat" "%USERPROFILE%\AppData\Local\Temp\OnboardLogs"\RTDC4039\2016-11-11 &amp; aws s3 cp s3://rtdc.mdm.uploadarchive.raw/RTDC4039/ "%USERPROFILE%\AppData\Local\Temp\OnboardLogs"\RTDC4039\2016-11-12 --exclude "*" --recursive --include "*20161112*" &amp; "%USERPROFILE%\Documents\GitHub\mrs-test-scripts\Headless Mode &amp; Sideloading\WalkAndUnGZ.bat" "%USERPROFILE%\AppData\Local\Temp\OnboardLogs"\RTDC4039\2016-11-12</v>
      </c>
      <c r="AF130" s="88" t="str">
        <f t="shared" si="32"/>
        <v>"C:\Program Files (x86)\AstroGrep\AstroGrep.exe" /spath="%USERPROFILE%\AppData\Local\Temp\OnboardLogs" /stypes="app*4039*20161112*" /stext=" 02:.+((SYSTEM_STATE.+slice.+state.+changed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218-11 --locoid 4039 --swversion DE.1.0.8.0 --startMP 204:232992 --initTime 2016-11-11T19:09:37 --startdatetime 2016-11-11T19:11:51 --delay 1 --endMP 204:158 --enddatetime 2016-11-11T19:49:05 --enforcementcount 0 &gt;&gt;C:\Users\stu\Documents\GitHub\eaglep3-reporting\EC\2016-11-11-refined-times.txt</v>
      </c>
      <c r="AI130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{"issue":{"subject":"","project_id":79,"tracker_id":40,"status_id":1,"priority_id":2,"assigned_to_id":23,"start_date":"2016-11-11","description":"","custom_fields":[{"id":1,"name":"Subdivision","value":"EC"},{"id":4,"name":"Milepost","value":"0.0158"},{"id":17,"name":"Train ID","value":"218-11"},{"id":16,"name":"Locomotive ID","value":"4039"},{"id":130,"name":"Impact","value":""},{"id":150,"name":"Time of Event (Mountain Time)","value":"19:49:05"},{"id":151,"name":"Denver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596</v>
      </c>
      <c r="B131" s="7">
        <v>4009</v>
      </c>
      <c r="C131" s="22" t="s">
        <v>225</v>
      </c>
      <c r="D131" s="22" t="s">
        <v>245</v>
      </c>
      <c r="E131" s="13">
        <v>42685.768912037034</v>
      </c>
      <c r="F131" s="13">
        <v>42685.771284722221</v>
      </c>
      <c r="G131" s="7">
        <v>1</v>
      </c>
      <c r="H131" s="22" t="s">
        <v>282</v>
      </c>
      <c r="I131" s="13">
        <v>42685.798518518517</v>
      </c>
      <c r="J131" s="7">
        <v>0</v>
      </c>
      <c r="K131" s="109" t="str">
        <f t="shared" si="19"/>
        <v>4009/4010</v>
      </c>
      <c r="L131" s="22" t="str">
        <f>VLOOKUP(A131,'Trips&amp;Operators'!$C$1:$E$10000,3,FALSE)</f>
        <v>STAMBAUGH</v>
      </c>
      <c r="M131" s="6">
        <f t="shared" si="20"/>
        <v>2.7233796296059154E-2</v>
      </c>
      <c r="N131" s="7">
        <f t="shared" si="21"/>
        <v>39.216666666325182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17:27:14-700',mode:absolute,to:'2016-11-11 20:09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4.6899999999999997E-2</v>
      </c>
      <c r="Z131" s="67">
        <f t="shared" si="28"/>
        <v>23.330200000000001</v>
      </c>
      <c r="AA131" s="67">
        <f t="shared" si="29"/>
        <v>23.283300000000001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0"/>
        <v>0219-11</v>
      </c>
      <c r="AE131" s="91" t="str">
        <f t="shared" si="31"/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AF131" s="88" t="str">
        <f t="shared" si="32"/>
        <v>"C:\Program Files (x86)\AstroGrep\AstroGrep.exe" /spath="%USERPROFILE%\AppData\Local\Temp\OnboardLogs" /stypes="app*4009*20161112*" /stext=" 02:.+((SYSTEM_STATE.+slice.+state.+changed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219-11 --locoid 4009 --swversion DE.1.0.8.0 --startMP 204:469 --initTime 2016-11-11T18:27:14 --startdatetime 2016-11-11T18:30:39 --delay 1 --endMP 204:233302 --enddatetime 2016-11-11T19:09:52 --enforcementcount 0 &gt;&gt;C:\Users\stu\Documents\GitHub\eaglep3-reporting\EC\2016-11-11-refined-times.txt</v>
      </c>
      <c r="AI131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{"issue":{"subject":"","project_id":79,"tracker_id":40,"status_id":1,"priority_id":2,"assigned_to_id":23,"start_date":"2016-11-11","description":"","custom_fields":[{"id":1,"name":"Subdivision","value":"EC"},{"id":4,"name":"Milepost","value":"23.3302"},{"id":17,"name":"Train ID","value":"219-11"},{"id":16,"name":"Locomotive ID","value":"4009"},{"id":130,"name":"Impact","value":""},{"id":150,"name":"Time of Event (Mountain Time)","value":"19:09:52"},{"id":151,"name":"Denver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606</v>
      </c>
      <c r="B132" s="7">
        <v>4010</v>
      </c>
      <c r="C132" s="22" t="s">
        <v>225</v>
      </c>
      <c r="D132" s="22" t="s">
        <v>696</v>
      </c>
      <c r="E132" s="13">
        <v>42685.806134259263</v>
      </c>
      <c r="F132" s="13">
        <v>42685.810162037036</v>
      </c>
      <c r="G132" s="7">
        <v>1</v>
      </c>
      <c r="H132" s="22" t="s">
        <v>176</v>
      </c>
      <c r="I132" s="13">
        <v>42685.837534722225</v>
      </c>
      <c r="J132" s="7">
        <v>0</v>
      </c>
      <c r="K132" s="109" t="str">
        <f t="shared" si="19"/>
        <v>4009/4010</v>
      </c>
      <c r="L132" s="22" t="str">
        <f>VLOOKUP(A132,'Trips&amp;Operators'!$C$1:$E$10000,3,FALSE)</f>
        <v>STAMBAUGH</v>
      </c>
      <c r="M132" s="6">
        <f t="shared" si="20"/>
        <v>2.7372685188311152E-2</v>
      </c>
      <c r="N132" s="7">
        <f t="shared" si="21"/>
        <v>39.416666671168059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18:20:50-700',mode:absolute,to:'2016-11-11 21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2" s="52" t="str">
        <f t="shared" si="25"/>
        <v>N</v>
      </c>
      <c r="X132" s="177">
        <f t="shared" si="26"/>
        <v>1</v>
      </c>
      <c r="Y132" s="67">
        <f t="shared" si="27"/>
        <v>23.300599999999999</v>
      </c>
      <c r="Z132" s="67">
        <f t="shared" si="28"/>
        <v>1.52E-2</v>
      </c>
      <c r="AA132" s="67">
        <f t="shared" si="29"/>
        <v>23.285399999999999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0"/>
        <v>0220-11</v>
      </c>
      <c r="AE132" s="91" t="str">
        <f t="shared" si="31"/>
        <v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v>
      </c>
      <c r="AF132" s="88" t="str">
        <f t="shared" si="32"/>
        <v>"C:\Program Files (x86)\AstroGrep\AstroGrep.exe" /spath="%USERPROFILE%\AppData\Local\Temp\OnboardLogs" /stypes="app*4010*20161112*" /stext=" 03:.+((SYSTEM_STATE.+slice.+state.+changed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220-11 --locoid 4010 --swversion DE.1.0.8.0 --startMP 204:233006 --initTime 2016-11-11T19:20:50 --startdatetime 2016-11-11T19:26:38 --delay 1 --endMP 204:152 --enddatetime 2016-11-11T20:06:03 --enforcementcount 0 &gt;&gt;C:\Users\stu\Documents\GitHub\eaglep3-reporting\EC\2016-11-11-refined-times.txt</v>
      </c>
      <c r="AI132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{"issue":{"subject":"","project_id":79,"tracker_id":40,"status_id":1,"priority_id":2,"assigned_to_id":23,"start_date":"2016-11-11","description":"","custom_fields":[{"id":1,"name":"Subdivision","value":"EC"},{"id":4,"name":"Milepost","value":"0.0152"},{"id":17,"name":"Train ID","value":"220-11"},{"id":16,"name":"Locomotive ID","value":"4010"},{"id":130,"name":"Impact","value":""},{"id":150,"name":"Time of Event (Mountain Time)","value":"20:06:03"},{"id":151,"name":"Denver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600</v>
      </c>
      <c r="B133" s="7">
        <v>4003</v>
      </c>
      <c r="C133" s="22" t="s">
        <v>225</v>
      </c>
      <c r="D133" s="22" t="s">
        <v>283</v>
      </c>
      <c r="E133" s="13">
        <v>42685.787129629629</v>
      </c>
      <c r="F133" s="13">
        <v>42685.792280092595</v>
      </c>
      <c r="G133" s="7">
        <v>2</v>
      </c>
      <c r="H133" s="22" t="s">
        <v>389</v>
      </c>
      <c r="I133" s="13">
        <v>42685.816250000003</v>
      </c>
      <c r="J133" s="7">
        <v>0</v>
      </c>
      <c r="K133" s="109" t="str">
        <f t="shared" si="19"/>
        <v>4003/4004</v>
      </c>
      <c r="L133" s="22" t="str">
        <f>VLOOKUP(A133,'Trips&amp;Operators'!$C$1:$E$10000,3,FALSE)</f>
        <v>LEVIN</v>
      </c>
      <c r="M133" s="6">
        <f t="shared" si="20"/>
        <v>2.396990740817273E-2</v>
      </c>
      <c r="N133" s="7">
        <f t="shared" si="21"/>
        <v>34.516666667768732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17:53:28-700',mode:absolute,to:'2016-11-11 20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3" s="52" t="str">
        <f t="shared" si="25"/>
        <v>N</v>
      </c>
      <c r="X133" s="177">
        <f t="shared" si="26"/>
        <v>1</v>
      </c>
      <c r="Y133" s="67">
        <f t="shared" si="27"/>
        <v>4.3799999999999999E-2</v>
      </c>
      <c r="Z133" s="67">
        <f t="shared" si="28"/>
        <v>23.3322</v>
      </c>
      <c r="AA133" s="67">
        <f t="shared" si="29"/>
        <v>23.288399999999999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0"/>
        <v>0221-11</v>
      </c>
      <c r="AE133" s="91" t="str">
        <f t="shared" si="31"/>
        <v>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 &amp; aws s3 cp s3://rtdc.mdm.uploadarchive.raw/RTDC4003/ "%USERPROFILE%\AppData\Local\Temp\OnboardLogs"\RTDC4003\2016-11-12 --exclude "*" --recursive --include "*20161112*" &amp; "%USERPROFILE%\Documents\GitHub\mrs-test-scripts\Headless Mode &amp; Sideloading\WalkAndUnGZ.bat" "%USERPROFILE%\AppData\Local\Temp\OnboardLogs"\RTDC4003\2016-11-12</v>
      </c>
      <c r="AF133" s="88" t="str">
        <f t="shared" si="32"/>
        <v>"C:\Program Files (x86)\AstroGrep\AstroGrep.exe" /spath="%USERPROFILE%\AppData\Local\Temp\OnboardLogs" /stypes="app*4003*20161112*" /stext=" 02:.+((SYSTEM_STATE.+slice.+state.+changed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221-11 --locoid 4003 --swversion DE.1.0.8.0 --startMP 204:438 --initTime 2016-11-11T18:53:28 --startdatetime 2016-11-11T19:00:53 --delay 2 --endMP 204:233322 --enddatetime 2016-11-11T19:35:24 --enforcementcount 0 &gt;&gt;C:\Users\stu\Documents\GitHub\eaglep3-reporting\EC\2016-11-11-refined-times.txt</v>
      </c>
      <c r="AI133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{"issue":{"subject":"","project_id":79,"tracker_id":40,"status_id":1,"priority_id":2,"assigned_to_id":23,"start_date":"2016-11-11","description":"","custom_fields":[{"id":1,"name":"Subdivision","value":"EC"},{"id":4,"name":"Milepost","value":"23.3322"},{"id":17,"name":"Train ID","value":"221-11"},{"id":16,"name":"Locomotive ID","value":"4003"},{"id":130,"name":"Impact","value":""},{"id":150,"name":"Time of Event (Mountain Time)","value":"19:35:24"},{"id":151,"name":"Denver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612</v>
      </c>
      <c r="B134" s="7">
        <v>4004</v>
      </c>
      <c r="C134" s="22" t="s">
        <v>225</v>
      </c>
      <c r="D134" s="22" t="s">
        <v>318</v>
      </c>
      <c r="E134" s="13">
        <v>42685.825972222221</v>
      </c>
      <c r="F134" s="13">
        <v>42685.830752314818</v>
      </c>
      <c r="G134" s="7">
        <v>2</v>
      </c>
      <c r="H134" s="22" t="s">
        <v>385</v>
      </c>
      <c r="I134" s="13">
        <v>42685.856446759259</v>
      </c>
      <c r="J134" s="7">
        <v>0</v>
      </c>
      <c r="K134" s="109" t="str">
        <f t="shared" si="19"/>
        <v>4003/4004</v>
      </c>
      <c r="L134" s="22" t="str">
        <f>VLOOKUP(A134,'Trips&amp;Operators'!$C$1:$E$10000,3,FALSE)</f>
        <v>LEVIN</v>
      </c>
      <c r="M134" s="6">
        <f t="shared" si="20"/>
        <v>2.569444444088731E-2</v>
      </c>
      <c r="N134" s="7">
        <f t="shared" si="21"/>
        <v>36.999999994877726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18:49:24-700',mode:absolute,to:'2016-11-11 21:33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23.299600000000002</v>
      </c>
      <c r="Z134" s="67">
        <f t="shared" si="28"/>
        <v>1.2699999999999999E-2</v>
      </c>
      <c r="AA134" s="67">
        <f t="shared" si="29"/>
        <v>23.286900000000003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0"/>
        <v>0222-11</v>
      </c>
      <c r="AE134" s="91" t="str">
        <f t="shared" si="31"/>
        <v>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 &amp; 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</v>
      </c>
      <c r="AF134" s="88" t="str">
        <f t="shared" si="32"/>
        <v>"C:\Program Files (x86)\AstroGrep\AstroGrep.exe" /spath="%USERPROFILE%\AppData\Local\Temp\OnboardLogs" /stypes="app*4004*20161112*" /stext=" 03:.+((SYSTEM_STATE.+slice.+state.+changed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222-11 --locoid 4004 --swversion DE.1.0.8.0 --startMP 204:232996 --initTime 2016-11-11T19:49:24 --startdatetime 2016-11-11T19:56:17 --delay 2 --endMP 204:127 --enddatetime 2016-11-11T20:33:17 --enforcementcount 0 &gt;&gt;C:\Users\stu\Documents\GitHub\eaglep3-reporting\EC\2016-11-11-refined-times.txt</v>
      </c>
      <c r="AI134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{"issue":{"subject":"","project_id":79,"tracker_id":40,"status_id":1,"priority_id":2,"assigned_to_id":23,"start_date":"2016-11-11","description":"","custom_fields":[{"id":1,"name":"Subdivision","value":"EC"},{"id":4,"name":"Milepost","value":"0.0127"},{"id":17,"name":"Train ID","value":"222-11"},{"id":16,"name":"Locomotive ID","value":"4004"},{"id":130,"name":"Impact","value":""},{"id":150,"name":"Time of Event (Mountain Time)","value":"20:33:17"},{"id":151,"name":"Denver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607</v>
      </c>
      <c r="B135" s="7">
        <v>4031</v>
      </c>
      <c r="C135" s="22" t="s">
        <v>225</v>
      </c>
      <c r="D135" s="22" t="s">
        <v>224</v>
      </c>
      <c r="E135" s="13">
        <v>42685.808946759258</v>
      </c>
      <c r="F135" s="13">
        <v>42685.81287037037</v>
      </c>
      <c r="G135" s="7">
        <v>1</v>
      </c>
      <c r="H135" s="22" t="s">
        <v>367</v>
      </c>
      <c r="I135" s="13">
        <v>42685.837326388886</v>
      </c>
      <c r="J135" s="7">
        <v>0</v>
      </c>
      <c r="K135" s="109" t="str">
        <f t="shared" si="19"/>
        <v>4031/4032</v>
      </c>
      <c r="L135" s="22" t="str">
        <f>VLOOKUP(A135,'Trips&amp;Operators'!$C$1:$E$10000,3,FALSE)</f>
        <v>MAGEE</v>
      </c>
      <c r="M135" s="6">
        <f t="shared" si="20"/>
        <v>2.4456018516502809E-2</v>
      </c>
      <c r="N135" s="7">
        <f t="shared" si="21"/>
        <v>35.216666663764045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18:24:53-700',mode:absolute,to:'2016-11-11 21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4.6399999999999997E-2</v>
      </c>
      <c r="Z135" s="67">
        <f t="shared" si="28"/>
        <v>23.331399999999999</v>
      </c>
      <c r="AA135" s="67">
        <f t="shared" si="29"/>
        <v>23.285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30"/>
        <v>0223-11</v>
      </c>
      <c r="AE135" s="91" t="str">
        <f t="shared" si="31"/>
        <v>aws s3 cp s3://rtdc.mdm.uploadarchive.raw/RTDC4031/ "%USERPROFILE%\AppData\Local\Temp\OnboardLogs"\RTDC4031\2016-11-11 --exclude "*" --recursive --include "*20161111*" &amp; "%USERPROFILE%\Documents\GitHub\mrs-test-scripts\Headless Mode &amp; Sideloading\WalkAndUnGZ.bat" "%USERPROFILE%\AppData\Local\Temp\OnboardLogs"\RTDC4031\2016-11-11 &amp; aws s3 cp s3://rtdc.mdm.uploadarchive.raw/RTDC4031/ "%USERPROFILE%\AppData\Local\Temp\OnboardLogs"\RTDC4031\2016-11-12 --exclude "*" --recursive --include "*20161112*" &amp; "%USERPROFILE%\Documents\GitHub\mrs-test-scripts\Headless Mode &amp; Sideloading\WalkAndUnGZ.bat" "%USERPROFILE%\AppData\Local\Temp\OnboardLogs"\RTDC4031\2016-11-12</v>
      </c>
      <c r="AF135" s="88" t="str">
        <f t="shared" si="32"/>
        <v>"C:\Program Files (x86)\AstroGrep\AstroGrep.exe" /spath="%USERPROFILE%\AppData\Local\Temp\OnboardLogs" /stypes="app*4031*20161112*" /stext=" 03:.+((SYSTEM_STATE.+slice.+state.+changed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223-11 --locoid 4031 --swversion DE.1.0.8.0 --startMP 204:464 --initTime 2016-11-11T19:24:53 --startdatetime 2016-11-11T19:30:32 --delay 1 --endMP 204:233314 --enddatetime 2016-11-11T20:05:45 --enforcementcount 0 &gt;&gt;C:\Users\stu\Documents\GitHub\eaglep3-reporting\EC\2016-11-11-refined-times.txt</v>
      </c>
      <c r="AI135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{"issue":{"subject":"","project_id":79,"tracker_id":40,"status_id":1,"priority_id":2,"assigned_to_id":23,"start_date":"2016-11-11","description":"","custom_fields":[{"id":1,"name":"Subdivision","value":"EC"},{"id":4,"name":"Milepost","value":"23.3314"},{"id":17,"name":"Train ID","value":"223-11"},{"id":16,"name":"Locomotive ID","value":"4031"},{"id":130,"name":"Impact","value":""},{"id":150,"name":"Time of Event (Mountain Time)","value":"20:05:45"},{"id":151,"name":"Denver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617</v>
      </c>
      <c r="B136" s="7">
        <v>4032</v>
      </c>
      <c r="C136" s="22" t="s">
        <v>225</v>
      </c>
      <c r="D136" s="22" t="s">
        <v>310</v>
      </c>
      <c r="E136" s="13">
        <v>42685.848194444443</v>
      </c>
      <c r="F136" s="13">
        <v>42685.8516087963</v>
      </c>
      <c r="G136" s="7">
        <v>1</v>
      </c>
      <c r="H136" s="22" t="s">
        <v>216</v>
      </c>
      <c r="I136" s="13">
        <v>42685.878344907411</v>
      </c>
      <c r="J136" s="7">
        <v>0</v>
      </c>
      <c r="K136" s="109" t="str">
        <f t="shared" si="19"/>
        <v>4031/4032</v>
      </c>
      <c r="L136" s="22" t="str">
        <f>VLOOKUP(A136,'Trips&amp;Operators'!$C$1:$E$10000,3,FALSE)</f>
        <v>MAGEE</v>
      </c>
      <c r="M136" s="6">
        <f t="shared" si="20"/>
        <v>2.6736111110949423E-2</v>
      </c>
      <c r="N136" s="7">
        <f t="shared" si="21"/>
        <v>38.499999999767169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https://search-rtdc-monitor-bjffxe2xuh6vdkpspy63sjmuny.us-east-1.es.amazonaws.com/_plugin/kibana/#/discover/Steve-Slow-Train-Analysis-(2080s-and-2083s)?_g=(refreshInterval:(display:Off,section:0,value:0),time:(from:'2016-11-11 19:21:24-700',mode:absolute,to:'2016-11-11 22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23.299299999999999</v>
      </c>
      <c r="Z136" s="67">
        <f t="shared" si="28"/>
        <v>1.5599999999999999E-2</v>
      </c>
      <c r="AA136" s="67">
        <f t="shared" si="29"/>
        <v>23.2837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0"/>
        <v>0224-11</v>
      </c>
      <c r="AE136" s="91" t="str">
        <f t="shared" si="31"/>
        <v>aws s3 cp s3://rtdc.mdm.uploadarchive.raw/RTDC4032/ "%USERPROFILE%\AppData\Local\Temp\OnboardLogs"\RTDC4032\2016-11-11 --exclude "*" --recursive --include "*20161111*" &amp; "%USERPROFILE%\Documents\GitHub\mrs-test-scripts\Headless Mode &amp; Sideloading\WalkAndUnGZ.bat" "%USERPROFILE%\AppData\Local\Temp\OnboardLogs"\RTDC4032\2016-11-11 &amp; aws s3 cp s3://rtdc.mdm.uploadarchive.raw/RTDC4032/ "%USERPROFILE%\AppData\Local\Temp\OnboardLogs"\RTDC4032\2016-11-12 --exclude "*" --recursive --include "*20161112*" &amp; "%USERPROFILE%\Documents\GitHub\mrs-test-scripts\Headless Mode &amp; Sideloading\WalkAndUnGZ.bat" "%USERPROFILE%\AppData\Local\Temp\OnboardLogs"\RTDC4032\2016-11-12</v>
      </c>
      <c r="AF136" s="88" t="str">
        <f t="shared" si="32"/>
        <v>"C:\Program Files (x86)\AstroGrep\AstroGrep.exe" /spath="%USERPROFILE%\AppData\Local\Temp\OnboardLogs" /stypes="app*4032*20161112*" /stext=" 04:.+((SYSTEM_STATE.+slice.+state.+changed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224-11 --locoid 4032 --swversion DE.1.0.8.0 --startMP 204:232993 --initTime 2016-11-11T20:21:24 --startdatetime 2016-11-11T20:26:19 --delay 1 --endMP 204:156 --enddatetime 2016-11-11T21:04:49 --enforcementcount 0 &gt;&gt;C:\Users\stu\Documents\GitHub\eaglep3-reporting\EC\2016-11-11-refined-times.txt</v>
      </c>
      <c r="AI136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{"issue":{"subject":"","project_id":79,"tracker_id":40,"status_id":1,"priority_id":2,"assigned_to_id":23,"start_date":"2016-11-11","description":"","custom_fields":[{"id":1,"name":"Subdivision","value":"EC"},{"id":4,"name":"Milepost","value":"0.0156"},{"id":17,"name":"Train ID","value":"224-11"},{"id":16,"name":"Locomotive ID","value":"4032"},{"id":130,"name":"Impact","value":""},{"id":150,"name":"Time of Event (Mountain Time)","value":"21:04:49"},{"id":151,"name":"Denver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613</v>
      </c>
      <c r="B137" s="7">
        <v>4040</v>
      </c>
      <c r="C137" s="22" t="s">
        <v>225</v>
      </c>
      <c r="D137" s="22" t="s">
        <v>224</v>
      </c>
      <c r="E137" s="13">
        <v>42685.831250000003</v>
      </c>
      <c r="F137" s="13">
        <v>42685.83452546296</v>
      </c>
      <c r="G137" s="7">
        <v>2</v>
      </c>
      <c r="H137" s="22" t="s">
        <v>663</v>
      </c>
      <c r="I137" s="13">
        <v>42685.860138888886</v>
      </c>
      <c r="J137" s="7">
        <v>0</v>
      </c>
      <c r="K137" s="109" t="str">
        <f t="shared" ref="K137:K199" si="36">IF(ISEVEN(B137),(B137-1)&amp;"/"&amp;B137,B137&amp;"/"&amp;(B137+1))</f>
        <v>4039/4040</v>
      </c>
      <c r="L137" s="22" t="str">
        <f>VLOOKUP(A137,'Trips&amp;Operators'!$C$1:$E$10000,3,FALSE)</f>
        <v>CHANDLER</v>
      </c>
      <c r="M137" s="6">
        <f t="shared" ref="M137:M199" si="37">I137-F137</f>
        <v>2.5613425925257616E-2</v>
      </c>
      <c r="N137" s="7">
        <f t="shared" ref="N137:N199" si="38">24*60*SUM($M137:$M137)</f>
        <v>36.883333332370967</v>
      </c>
      <c r="O137" s="7"/>
      <c r="P137" s="7"/>
      <c r="Q137" s="23"/>
      <c r="R137" s="23"/>
      <c r="S137" s="35">
        <f t="shared" ref="S137:S199" si="39">SUM(U137:U137)/IF(AG137="EC",12,1)</f>
        <v>1</v>
      </c>
      <c r="T137" s="50" t="str">
        <f t="shared" ref="T137:T199" si="40">IF(ISEVEN(LEFT(AD137,4)),"Southbound","NorthBound")</f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ref="V137:V199" si="41">"https://search-rtdc-monitor-bjffxe2xuh6vdkpspy63sjmuny.us-east-1.es.amazonaws.com/_plugin/kibana/#/discover/Steve-Slow-Train-Analysis-(2080s-and-2083s)?_g=(refreshInterval:(display:Off,section:0,value:0),time:(from:'"&amp;TEXT(E137-1/24,"yyyy-MM-DD hh:mm:ss")&amp;utc_offset&amp;"00',mode:absolute,to:'"&amp;TEXT(I137+1/24,"yyyy-MM-DD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https://search-rtdc-monitor-bjffxe2xuh6vdkpspy63sjmuny.us-east-1.es.amazonaws.com/_plugin/kibana/#/discover/Steve-Slow-Train-Analysis-(2080s-and-2083s)?_g=(refreshInterval:(display:Off,section:0,value:0),time:(from:'2016-11-11 18:57:00-700',mode:absolute,to:'2016-11-11 21:38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7" s="52" t="str">
        <f t="shared" ref="W137:W199" si="42">IF(AA137&lt;IF(AG137="EC",23,5.65),"Y","N")</f>
        <v>N</v>
      </c>
      <c r="X137" s="177">
        <f t="shared" ref="X137:X199" si="43">VALUE(LEFT(AD137,4))-VALUE(LEFT(AD136,4))</f>
        <v>1</v>
      </c>
      <c r="Y137" s="67">
        <f t="shared" ref="Y137:Y199" si="44">RIGHT(D137,LEN(D137)-4)/10000</f>
        <v>4.6399999999999997E-2</v>
      </c>
      <c r="Z137" s="67">
        <f t="shared" ref="Z137:Z199" si="45">RIGHT(H137,LEN(H137)-4)/10000</f>
        <v>23.328800000000001</v>
      </c>
      <c r="AA137" s="67">
        <f t="shared" ref="AA137:AA199" si="46">ABS(Z137-Y137)</f>
        <v>23.282400000000003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ref="AD137:AD199" si="47">IF(LEN(A137)=6,"0"&amp;A137,A137)</f>
        <v>0225-11</v>
      </c>
      <c r="AE137" s="91" t="str">
        <f t="shared" ref="AE137:AE199" si="48"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v>
      </c>
      <c r="AF137" s="88" t="str">
        <f t="shared" ref="AF137:AF199" si="49"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/stypes="app*4040*20161112*" /stext=" 03:.+((SYSTEM_STATE.+slice.+state.+changed )|(ment ac)|(system.+state.+changed )|(\[timeout)|(PRM\|1\|D)|(kpr)|(kdp)|(\|lc)|(penalty))" /e /r /s</v>
      </c>
      <c r="AG137" s="1" t="str">
        <f t="shared" ref="AG137:AG199" si="50">IFERROR(IF(VALUE(LEFT(AD137,2))&lt;=2,"EC",IF(OR(VALUE(LEFT(AD137,2))=8,VALUE(LEFT(AD137,2))=18),"NW","Other")),"Other")</f>
        <v>EC</v>
      </c>
      <c r="AH137" s="92" t="str">
        <f t="shared" si="34"/>
        <v>"%USERPROFILE%\Documents\GitHub\eaglep3\Utilities\RefineRTDCRunTimes.py" --tripid 225-11 --locoid 4040 --swversion DE.1.0.8.0 --startMP 204:464 --initTime 2016-11-11T19:57:00 --startdatetime 2016-11-11T20:01:43 --delay 2 --endMP 204:233288 --enddatetime 2016-11-11T20:38:36 --enforcementcount 0 &gt;&gt;C:\Users\stu\Documents\GitHub\eaglep3-reporting\EC\2016-11-11-refined-times.txt</v>
      </c>
      <c r="AI137" s="119" t="str">
        <f t="shared" si="35"/>
        <v>echo {"issue":{"subject":"","project_id":79,"tracker_id":40,"status_id":1,"priority_id":2,"assigned_to_id":23,"start_date":"2016-11-11","description":"","custom_fields":[{"id":1,"name":"Subdivision","value":"EC"},{"id":4,"name":"Milepost","value":"23.3288"},{"id":17,"name":"Train ID","value":"225-11"},{"id":16,"name":"Locomotive ID","value":"4040"},{"id":130,"name":"Impact","value":""},{"id":150,"name":"Time of Event (Mountain Time)","value":"20:38:36"},{"id":151,"name":"Denver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619</v>
      </c>
      <c r="B138" s="7">
        <v>4039</v>
      </c>
      <c r="C138" s="22" t="s">
        <v>225</v>
      </c>
      <c r="D138" s="22" t="s">
        <v>378</v>
      </c>
      <c r="E138" s="13">
        <v>42685.87023148148</v>
      </c>
      <c r="F138" s="13">
        <v>42685.872627314813</v>
      </c>
      <c r="G138" s="7">
        <v>1</v>
      </c>
      <c r="H138" s="22" t="s">
        <v>655</v>
      </c>
      <c r="I138" s="13">
        <v>42685.904687499999</v>
      </c>
      <c r="J138" s="7">
        <v>0</v>
      </c>
      <c r="K138" s="109" t="str">
        <f t="shared" si="36"/>
        <v>4039/4040</v>
      </c>
      <c r="L138" s="22" t="str">
        <f>VLOOKUP(A138,'Trips&amp;Operators'!$C$1:$E$10000,3,FALSE)</f>
        <v>CHANDLER</v>
      </c>
      <c r="M138" s="6">
        <f t="shared" si="37"/>
        <v>3.2060185185400769E-2</v>
      </c>
      <c r="N138" s="7">
        <f t="shared" si="38"/>
        <v>46.166666666977108</v>
      </c>
      <c r="O138" s="7"/>
      <c r="P138" s="7"/>
      <c r="Q138" s="23"/>
      <c r="R138" s="23"/>
      <c r="S138" s="35">
        <f t="shared" si="39"/>
        <v>1</v>
      </c>
      <c r="T138" s="50" t="str">
        <f t="shared" si="40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19:53:08-700',mode:absolute,to:'2016-11-11 22:42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8" s="52" t="str">
        <f t="shared" si="42"/>
        <v>N</v>
      </c>
      <c r="X138" s="177">
        <f t="shared" si="43"/>
        <v>1</v>
      </c>
      <c r="Y138" s="67">
        <f t="shared" si="44"/>
        <v>23.296500000000002</v>
      </c>
      <c r="Z138" s="67">
        <f t="shared" si="45"/>
        <v>1.6299999999999999E-2</v>
      </c>
      <c r="AA138" s="67">
        <f t="shared" si="46"/>
        <v>23.280200000000001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47"/>
        <v>0226-11</v>
      </c>
      <c r="AE138" s="91" t="str">
        <f t="shared" si="48"/>
        <v>aws s3 cp s3://rtdc.mdm.uploadarchive.raw/RTDC4039/ "%USERPROFILE%\AppData\Local\Temp\OnboardLogs"\RTDC4039\2016-11-11 --exclude "*" --recursive --include "*20161111*" &amp; "%USERPROFILE%\Documents\GitHub\mrs-test-scripts\Headless Mode &amp; Sideloading\WalkAndUnGZ.bat" "%USERPROFILE%\AppData\Local\Temp\OnboardLogs"\RTDC4039\2016-11-11 &amp; aws s3 cp s3://rtdc.mdm.uploadarchive.raw/RTDC4039/ "%USERPROFILE%\AppData\Local\Temp\OnboardLogs"\RTDC4039\2016-11-12 --exclude "*" --recursive --include "*20161112*" &amp; "%USERPROFILE%\Documents\GitHub\mrs-test-scripts\Headless Mode &amp; Sideloading\WalkAndUnGZ.bat" "%USERPROFILE%\AppData\Local\Temp\OnboardLogs"\RTDC4039\2016-11-12</v>
      </c>
      <c r="AF138" s="88" t="str">
        <f t="shared" si="49"/>
        <v>"C:\Program Files (x86)\AstroGrep\AstroGrep.exe" /spath="%USERPROFILE%\AppData\Local\Temp\OnboardLogs" /stypes="app*4039*20161112*" /stext=" 04:.+((SYSTEM_STATE.+slice.+state.+changed )|(ment ac)|(system.+state.+changed )|(\[timeout)|(PRM\|1\|D)|(kpr)|(kdp)|(\|lc)|(penalty))" /e /r /s</v>
      </c>
      <c r="AG138" s="1" t="str">
        <f t="shared" si="50"/>
        <v>EC</v>
      </c>
      <c r="AH138" s="92" t="str">
        <f t="shared" ref="AH138:AH200" si="51"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226-11 --locoid 4039 --swversion DE.1.0.8.0 --startMP 204:232965 --initTime 2016-11-11T20:53:08 --startdatetime 2016-11-11T20:56:35 --delay 1 --endMP 204:163 --enddatetime 2016-11-11T21:42:45 --enforcementcount 0 &gt;&gt;C:\Users\stu\Documents\GitHub\eaglep3-reporting\EC\2016-11-11-refined-times.txt</v>
      </c>
      <c r="AI138" s="119" t="str">
        <f t="shared" ref="AI138:AI200" si="52"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Z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{"issue":{"subject":"","project_id":79,"tracker_id":40,"status_id":1,"priority_id":2,"assigned_to_id":23,"start_date":"2016-11-11","description":"","custom_fields":[{"id":1,"name":"Subdivision","value":"EC"},{"id":4,"name":"Milepost","value":"0.0163"},{"id":17,"name":"Train ID","value":"226-11"},{"id":16,"name":"Locomotive ID","value":"4039"},{"id":130,"name":"Impact","value":""},{"id":150,"name":"Time of Event (Mountain Time)","value":"21:42:45"},{"id":151,"name":"Denver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615</v>
      </c>
      <c r="B139" s="7">
        <v>4009</v>
      </c>
      <c r="C139" s="22" t="s">
        <v>225</v>
      </c>
      <c r="D139" s="22" t="s">
        <v>201</v>
      </c>
      <c r="E139" s="13">
        <v>42685.838854166665</v>
      </c>
      <c r="F139" s="13">
        <v>42685.854641203703</v>
      </c>
      <c r="G139" s="7">
        <v>1</v>
      </c>
      <c r="H139" s="22" t="s">
        <v>374</v>
      </c>
      <c r="I139" s="13">
        <v>42685.878599537034</v>
      </c>
      <c r="J139" s="7">
        <v>0</v>
      </c>
      <c r="K139" s="109" t="str">
        <f t="shared" si="36"/>
        <v>4009/4010</v>
      </c>
      <c r="L139" s="22" t="str">
        <f>VLOOKUP(A139,'Trips&amp;Operators'!$C$1:$E$10000,3,FALSE)</f>
        <v>STAMBAUGH</v>
      </c>
      <c r="M139" s="6">
        <f t="shared" si="37"/>
        <v>2.3958333331393078E-2</v>
      </c>
      <c r="N139" s="7">
        <f t="shared" si="38"/>
        <v>34.499999997206032</v>
      </c>
      <c r="O139" s="7"/>
      <c r="P139" s="7"/>
      <c r="Q139" s="23"/>
      <c r="R139" s="23"/>
      <c r="S139" s="35">
        <f t="shared" si="39"/>
        <v>1</v>
      </c>
      <c r="T139" s="50" t="str">
        <f t="shared" si="40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19:07:57-700',mode:absolute,to:'2016-11-11 22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9" s="52" t="str">
        <f t="shared" si="42"/>
        <v>N</v>
      </c>
      <c r="X139" s="177">
        <f t="shared" si="43"/>
        <v>1</v>
      </c>
      <c r="Y139" s="67">
        <f t="shared" si="44"/>
        <v>4.53E-2</v>
      </c>
      <c r="Z139" s="67">
        <f t="shared" si="45"/>
        <v>23.33</v>
      </c>
      <c r="AA139" s="67">
        <f t="shared" si="46"/>
        <v>23.284699999999997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47"/>
        <v>0227-11</v>
      </c>
      <c r="AE139" s="91" t="str">
        <f t="shared" si="48"/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AF139" s="88" t="str">
        <f t="shared" si="49"/>
        <v>"C:\Program Files (x86)\AstroGrep\AstroGrep.exe" /spath="%USERPROFILE%\AppData\Local\Temp\OnboardLogs" /stypes="app*4009*20161112*" /stext=" 04:.+((SYSTEM_STATE.+slice.+state.+changed )|(ment ac)|(system.+state.+changed )|(\[timeout)|(PRM\|1\|D)|(kpr)|(kdp)|(\|lc)|(penalty))" /e /r /s</v>
      </c>
      <c r="AG139" s="1" t="str">
        <f t="shared" si="50"/>
        <v>EC</v>
      </c>
      <c r="AH139" s="92" t="str">
        <f t="shared" si="51"/>
        <v>"%USERPROFILE%\Documents\GitHub\eaglep3\Utilities\RefineRTDCRunTimes.py" --tripid 227-11 --locoid 4009 --swversion DE.1.0.8.0 --startMP 204:453 --initTime 2016-11-11T20:07:57 --startdatetime 2016-11-11T20:30:41 --delay 1 --endMP 204:233300 --enddatetime 2016-11-11T21:05:11 --enforcementcount 0 &gt;&gt;C:\Users\stu\Documents\GitHub\eaglep3-reporting\EC\2016-11-11-refined-times.txt</v>
      </c>
      <c r="AI139" s="119" t="str">
        <f t="shared" si="52"/>
        <v>echo {"issue":{"subject":"","project_id":79,"tracker_id":40,"status_id":1,"priority_id":2,"assigned_to_id":23,"start_date":"2016-11-11","description":"","custom_fields":[{"id":1,"name":"Subdivision","value":"EC"},{"id":4,"name":"Milepost","value":"23.33"},{"id":17,"name":"Train ID","value":"227-11"},{"id":16,"name":"Locomotive ID","value":"4009"},{"id":130,"name":"Impact","value":""},{"id":150,"name":"Time of Event (Mountain Time)","value":"21:05:11"},{"id":151,"name":"Denver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x14ac:dyDescent="0.25">
      <c r="A140" s="37" t="s">
        <v>442</v>
      </c>
      <c r="B140" s="7">
        <v>4010</v>
      </c>
      <c r="C140" s="22" t="s">
        <v>225</v>
      </c>
      <c r="D140" s="22" t="s">
        <v>220</v>
      </c>
      <c r="E140" s="13">
        <v>42685.890381944446</v>
      </c>
      <c r="F140" s="13">
        <v>42685.893622685187</v>
      </c>
      <c r="G140" s="7">
        <v>1</v>
      </c>
      <c r="H140" s="22" t="s">
        <v>371</v>
      </c>
      <c r="I140" s="13">
        <v>42685.921018518522</v>
      </c>
      <c r="J140" s="7">
        <v>0</v>
      </c>
      <c r="K140" s="109" t="str">
        <f t="shared" si="36"/>
        <v>4009/4010</v>
      </c>
      <c r="L140" s="22" t="str">
        <f>VLOOKUP(A140,'Trips&amp;Operators'!$C$1:$E$10000,3,FALSE)</f>
        <v>STAMBAUGH</v>
      </c>
      <c r="M140" s="6">
        <f t="shared" si="37"/>
        <v>2.7395833334594499E-2</v>
      </c>
      <c r="N140" s="7">
        <f t="shared" si="38"/>
        <v>39.450000001816079</v>
      </c>
      <c r="O140" s="7"/>
      <c r="P140" s="7"/>
      <c r="Q140" s="23"/>
      <c r="R140" s="23"/>
      <c r="S140" s="35">
        <f t="shared" si="39"/>
        <v>1</v>
      </c>
      <c r="T140" s="50" t="str">
        <f t="shared" si="40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20:22:09-700',mode:absolute,to:'2016-11-11 23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0" s="52" t="str">
        <f t="shared" si="42"/>
        <v>N</v>
      </c>
      <c r="X140" s="177">
        <f t="shared" si="43"/>
        <v>1</v>
      </c>
      <c r="Y140" s="67">
        <f t="shared" si="44"/>
        <v>23.298500000000001</v>
      </c>
      <c r="Z140" s="67">
        <f t="shared" si="45"/>
        <v>1.38E-2</v>
      </c>
      <c r="AA140" s="67">
        <f t="shared" si="46"/>
        <v>23.284700000000001</v>
      </c>
      <c r="AB140" s="64" t="str">
        <f>VLOOKUP(A140,Enforcements!$C$7:$K$20,8,0)</f>
        <v>Speed (6)</v>
      </c>
      <c r="AC140" s="60" t="str">
        <f>VLOOKUP(A140,Enforcements!$C$7:$E$20,3,0)</f>
        <v>PERMANENT SPEED RESTRICTION</v>
      </c>
      <c r="AD140" s="61" t="str">
        <f t="shared" si="47"/>
        <v>0228-11</v>
      </c>
      <c r="AE140" s="91" t="str">
        <f t="shared" si="48"/>
        <v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v>
      </c>
      <c r="AF140" s="88" t="str">
        <f t="shared" si="49"/>
        <v>"C:\Program Files (x86)\AstroGrep\AstroGrep.exe" /spath="%USERPROFILE%\AppData\Local\Temp\OnboardLogs" /stypes="app*4010*20161112*" /stext=" 05:.+((SYSTEM_STATE.+slice.+state.+changed )|(ment ac)|(system.+state.+changed )|(\[timeout)|(PRM\|1\|D)|(kpr)|(kdp)|(\|lc)|(penalty))" /e /r /s</v>
      </c>
      <c r="AG140" s="1" t="str">
        <f t="shared" si="50"/>
        <v>EC</v>
      </c>
      <c r="AH140" s="92" t="str">
        <f t="shared" si="51"/>
        <v>"%USERPROFILE%\Documents\GitHub\eaglep3\Utilities\RefineRTDCRunTimes.py" --tripid 228-11 --locoid 4010 --swversion DE.1.0.8.0 --startMP 204:232985 --initTime 2016-11-11T21:22:09 --startdatetime 2016-11-11T21:26:49 --delay 1 --endMP 204:138 --enddatetime 2016-11-11T22:06:16 --enforcementcount 0 &gt;&gt;C:\Users\stu\Documents\GitHub\eaglep3-reporting\EC\2016-11-11-refined-times.txt</v>
      </c>
      <c r="AI140" s="119" t="str">
        <f t="shared" si="52"/>
        <v>echo {"issue":{"subject":"","project_id":79,"tracker_id":40,"status_id":1,"priority_id":2,"assigned_to_id":23,"start_date":"2016-11-11","description":"","custom_fields":[{"id":1,"name":"Subdivision","value":"EC"},{"id":4,"name":"Milepost","value":"0.0138"},{"id":17,"name":"Train ID","value":"228-11"},{"id":16,"name":"Locomotive ID","value":"4010"},{"id":130,"name":"Impact","value":""},{"id":150,"name":"Time of Event (Mountain Time)","value":"22:06:16"},{"id":151,"name":"Denver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x14ac:dyDescent="0.25">
      <c r="A141" s="37" t="s">
        <v>620</v>
      </c>
      <c r="B141" s="7">
        <v>4003</v>
      </c>
      <c r="C141" s="22" t="s">
        <v>225</v>
      </c>
      <c r="D141" s="22" t="s">
        <v>679</v>
      </c>
      <c r="E141" s="13">
        <v>42685.872060185182</v>
      </c>
      <c r="F141" s="13">
        <v>42685.875185185185</v>
      </c>
      <c r="G141" s="7">
        <v>0</v>
      </c>
      <c r="H141" s="22" t="s">
        <v>697</v>
      </c>
      <c r="I141" s="13">
        <v>42685.90111111111</v>
      </c>
      <c r="J141" s="7">
        <v>0</v>
      </c>
      <c r="K141" s="109" t="str">
        <f t="shared" si="36"/>
        <v>4003/4004</v>
      </c>
      <c r="L141" s="22" t="str">
        <f>VLOOKUP(A141,'Trips&amp;Operators'!$C$1:$E$10000,3,FALSE)</f>
        <v>LEVIN</v>
      </c>
      <c r="M141" s="6">
        <f t="shared" si="37"/>
        <v>2.5925925925548654E-2</v>
      </c>
      <c r="N141" s="7">
        <f t="shared" si="38"/>
        <v>37.333333332790062</v>
      </c>
      <c r="O141" s="7"/>
      <c r="P141" s="7"/>
      <c r="Q141" s="23"/>
      <c r="R141" s="23"/>
      <c r="S141" s="35">
        <f t="shared" si="39"/>
        <v>1</v>
      </c>
      <c r="T141" s="50" t="str">
        <f t="shared" si="40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19:55:46-700',mode:absolute,to:'2016-11-11 22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1" s="52" t="str">
        <f t="shared" si="42"/>
        <v>N</v>
      </c>
      <c r="X141" s="177">
        <f t="shared" si="43"/>
        <v>1</v>
      </c>
      <c r="Y141" s="67">
        <f t="shared" si="44"/>
        <v>4.3499999999999997E-2</v>
      </c>
      <c r="Z141" s="67">
        <f t="shared" si="45"/>
        <v>23.332799999999999</v>
      </c>
      <c r="AA141" s="67">
        <f t="shared" si="46"/>
        <v>23.289299999999997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si="47"/>
        <v>0229-11</v>
      </c>
      <c r="AE141" s="91" t="str">
        <f t="shared" si="48"/>
        <v>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 &amp; aws s3 cp s3://rtdc.mdm.uploadarchive.raw/RTDC4003/ "%USERPROFILE%\AppData\Local\Temp\OnboardLogs"\RTDC4003\2016-11-12 --exclude "*" --recursive --include "*20161112*" &amp; "%USERPROFILE%\Documents\GitHub\mrs-test-scripts\Headless Mode &amp; Sideloading\WalkAndUnGZ.bat" "%USERPROFILE%\AppData\Local\Temp\OnboardLogs"\RTDC4003\2016-11-12</v>
      </c>
      <c r="AF141" s="88" t="str">
        <f t="shared" si="49"/>
        <v>"C:\Program Files (x86)\AstroGrep\AstroGrep.exe" /spath="%USERPROFILE%\AppData\Local\Temp\OnboardLogs" /stypes="app*4003*20161112*" /stext=" 04:.+((SYSTEM_STATE.+slice.+state.+changed )|(ment ac)|(system.+state.+changed )|(\[timeout)|(PRM\|1\|D)|(kpr)|(kdp)|(\|lc)|(penalty))" /e /r /s</v>
      </c>
      <c r="AG141" s="1" t="str">
        <f t="shared" si="50"/>
        <v>EC</v>
      </c>
      <c r="AH141" s="92" t="str">
        <f t="shared" si="51"/>
        <v>"%USERPROFILE%\Documents\GitHub\eaglep3\Utilities\RefineRTDCRunTimes.py" --tripid 229-11 --locoid 4003 --swversion DE.1.0.8.0 --startMP 204:435 --initTime 2016-11-11T20:55:46 --startdatetime 2016-11-11T21:00:16 --delay 0 --endMP 204:233328 --enddatetime 2016-11-11T21:37:36 --enforcementcount 0 &gt;&gt;C:\Users\stu\Documents\GitHub\eaglep3-reporting\EC\2016-11-11-refined-times.txt</v>
      </c>
      <c r="AI141" s="119" t="str">
        <f t="shared" si="52"/>
        <v>echo {"issue":{"subject":"","project_id":79,"tracker_id":40,"status_id":1,"priority_id":2,"assigned_to_id":23,"start_date":"2016-11-11","description":"","custom_fields":[{"id":1,"name":"Subdivision","value":"EC"},{"id":4,"name":"Milepost","value":"23.3328"},{"id":17,"name":"Train ID","value":"229-11"},{"id":16,"name":"Locomotive ID","value":"4003"},{"id":130,"name":"Impact","value":""},{"id":150,"name":"Time of Event (Mountain Time)","value":"21:37:36"},{"id":151,"name":"Denver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s="21" customFormat="1" x14ac:dyDescent="0.25">
      <c r="A142" s="37" t="s">
        <v>624</v>
      </c>
      <c r="B142" s="7">
        <v>4004</v>
      </c>
      <c r="C142" s="22" t="s">
        <v>225</v>
      </c>
      <c r="D142" s="22" t="s">
        <v>258</v>
      </c>
      <c r="E142" s="13">
        <v>42685.908541666664</v>
      </c>
      <c r="F142" s="13">
        <v>42685.914259259262</v>
      </c>
      <c r="G142" s="7">
        <v>1</v>
      </c>
      <c r="H142" s="22" t="s">
        <v>698</v>
      </c>
      <c r="I142" s="13">
        <v>42685.939525462964</v>
      </c>
      <c r="J142" s="7">
        <v>0</v>
      </c>
      <c r="K142" s="109" t="str">
        <f t="shared" si="36"/>
        <v>4003/4004</v>
      </c>
      <c r="L142" s="22" t="str">
        <f>VLOOKUP(A142,'Trips&amp;Operators'!$C$1:$E$10000,3,FALSE)</f>
        <v>LEVIN</v>
      </c>
      <c r="M142" s="6">
        <f t="shared" si="37"/>
        <v>2.5266203701903578E-2</v>
      </c>
      <c r="N142" s="7">
        <f t="shared" si="38"/>
        <v>36.383333330741152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20:48:18-700',mode:absolute,to:'2016-11-11 23:32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23.298999999999999</v>
      </c>
      <c r="Z142" s="67">
        <f t="shared" si="45"/>
        <v>1.1599999999999999E-2</v>
      </c>
      <c r="AA142" s="67">
        <f t="shared" si="46"/>
        <v>23.287399999999998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47"/>
        <v>0230-11</v>
      </c>
      <c r="AE142" s="91" t="str">
        <f t="shared" si="48"/>
        <v>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 &amp; 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</v>
      </c>
      <c r="AF142" s="88" t="str">
        <f t="shared" si="49"/>
        <v>"C:\Program Files (x86)\AstroGrep\AstroGrep.exe" /spath="%USERPROFILE%\AppData\Local\Temp\OnboardLogs" /stypes="app*4004*20161112*" /stext=" 05:.+((SYSTEM_STATE.+slice.+state.+changed )|(ment ac)|(system.+state.+changed )|(\[timeout)|(PRM\|1\|D)|(kpr)|(kdp)|(\|lc)|(penalty))" /e /r /s</v>
      </c>
      <c r="AG142" s="1" t="str">
        <f t="shared" si="50"/>
        <v>EC</v>
      </c>
      <c r="AH142" s="92" t="str">
        <f t="shared" si="51"/>
        <v>"%USERPROFILE%\Documents\GitHub\eaglep3\Utilities\RefineRTDCRunTimes.py" --tripid 230-11 --locoid 4004 --swversion DE.1.0.8.0 --startMP 204:232990 --initTime 2016-11-11T21:48:18 --startdatetime 2016-11-11T21:56:32 --delay 1 --endMP 204:116 --enddatetime 2016-11-11T22:32:55 --enforcementcount 0 &gt;&gt;C:\Users\stu\Documents\GitHub\eaglep3-reporting\EC\2016-11-11-refined-times.txt</v>
      </c>
      <c r="AI142" s="119" t="str">
        <f t="shared" si="52"/>
        <v>echo {"issue":{"subject":"","project_id":79,"tracker_id":40,"status_id":1,"priority_id":2,"assigned_to_id":23,"start_date":"2016-11-11","description":"","custom_fields":[{"id":1,"name":"Subdivision","value":"EC"},{"id":4,"name":"Milepost","value":"0.0116"},{"id":17,"name":"Train ID","value":"230-11"},{"id":16,"name":"Locomotive ID","value":"4004"},{"id":130,"name":"Impact","value":""},{"id":150,"name":"Time of Event (Mountain Time)","value":"22:32:55"},{"id":151,"name":"Denver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622</v>
      </c>
      <c r="B143" s="7">
        <v>4031</v>
      </c>
      <c r="C143" s="22" t="s">
        <v>225</v>
      </c>
      <c r="D143" s="22" t="s">
        <v>224</v>
      </c>
      <c r="E143" s="13">
        <v>42685.882986111108</v>
      </c>
      <c r="F143" s="13">
        <v>42685.895995370367</v>
      </c>
      <c r="G143" s="7">
        <v>1</v>
      </c>
      <c r="H143" s="22" t="s">
        <v>308</v>
      </c>
      <c r="I143" s="13">
        <v>42685.920254629629</v>
      </c>
      <c r="J143" s="7">
        <v>0</v>
      </c>
      <c r="K143" s="109" t="str">
        <f t="shared" si="36"/>
        <v>4031/4032</v>
      </c>
      <c r="L143" s="22" t="str">
        <f>VLOOKUP(A143,'Trips&amp;Operators'!$C$1:$E$10000,3,FALSE)</f>
        <v>YANAI</v>
      </c>
      <c r="M143" s="6">
        <f t="shared" si="37"/>
        <v>2.4259259262180422E-2</v>
      </c>
      <c r="N143" s="7">
        <f t="shared" si="38"/>
        <v>34.933333337539807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20:11:30-700',mode:absolute,to:'2016-11-11 23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4.6399999999999997E-2</v>
      </c>
      <c r="Z143" s="67">
        <f t="shared" si="45"/>
        <v>23.330400000000001</v>
      </c>
      <c r="AA143" s="67">
        <f t="shared" si="46"/>
        <v>23.284000000000002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47"/>
        <v>0231-11</v>
      </c>
      <c r="AE143" s="91" t="str">
        <f t="shared" si="48"/>
        <v>aws s3 cp s3://rtdc.mdm.uploadarchive.raw/RTDC4031/ "%USERPROFILE%\AppData\Local\Temp\OnboardLogs"\RTDC4031\2016-11-11 --exclude "*" --recursive --include "*20161111*" &amp; "%USERPROFILE%\Documents\GitHub\mrs-test-scripts\Headless Mode &amp; Sideloading\WalkAndUnGZ.bat" "%USERPROFILE%\AppData\Local\Temp\OnboardLogs"\RTDC4031\2016-11-11 &amp; aws s3 cp s3://rtdc.mdm.uploadarchive.raw/RTDC4031/ "%USERPROFILE%\AppData\Local\Temp\OnboardLogs"\RTDC4031\2016-11-12 --exclude "*" --recursive --include "*20161112*" &amp; "%USERPROFILE%\Documents\GitHub\mrs-test-scripts\Headless Mode &amp; Sideloading\WalkAndUnGZ.bat" "%USERPROFILE%\AppData\Local\Temp\OnboardLogs"\RTDC4031\2016-11-12</v>
      </c>
      <c r="AF143" s="88" t="str">
        <f t="shared" si="49"/>
        <v>"C:\Program Files (x86)\AstroGrep\AstroGrep.exe" /spath="%USERPROFILE%\AppData\Local\Temp\OnboardLogs" /stypes="app*4031*20161112*" /stext=" 05:.+((SYSTEM_STATE.+slice.+state.+changed )|(ment ac)|(system.+state.+changed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231-11 --locoid 4031 --swversion DE.1.0.8.0 --startMP 204:464 --initTime 2016-11-11T21:11:30 --startdatetime 2016-11-11T21:30:14 --delay 1 --endMP 204:233304 --enddatetime 2016-11-11T22:05:10 --enforcementcount 0 &gt;&gt;C:\Users\stu\Documents\GitHub\eaglep3-reporting\EC\2016-11-11-refined-times.txt</v>
      </c>
      <c r="AI143" s="119" t="str">
        <f t="shared" si="52"/>
        <v>echo {"issue":{"subject":"","project_id":79,"tracker_id":40,"status_id":1,"priority_id":2,"assigned_to_id":23,"start_date":"2016-11-11","description":"","custom_fields":[{"id":1,"name":"Subdivision","value":"EC"},{"id":4,"name":"Milepost","value":"23.3304"},{"id":17,"name":"Train ID","value":"231-11"},{"id":16,"name":"Locomotive ID","value":"4031"},{"id":130,"name":"Impact","value":""},{"id":150,"name":"Time of Event (Mountain Time)","value":"22:05:10"},{"id":151,"name":"Denver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628</v>
      </c>
      <c r="B144" s="7">
        <v>4032</v>
      </c>
      <c r="C144" s="22" t="s">
        <v>225</v>
      </c>
      <c r="D144" s="22" t="s">
        <v>377</v>
      </c>
      <c r="E144" s="13">
        <v>42685.929895833331</v>
      </c>
      <c r="F144" s="13">
        <v>42685.934872685182</v>
      </c>
      <c r="G144" s="7">
        <v>0</v>
      </c>
      <c r="H144" s="22" t="s">
        <v>321</v>
      </c>
      <c r="I144" s="13">
        <v>42685.960520833331</v>
      </c>
      <c r="J144" s="7">
        <v>0</v>
      </c>
      <c r="K144" s="109" t="str">
        <f t="shared" si="36"/>
        <v>4031/4032</v>
      </c>
      <c r="L144" s="22" t="str">
        <f>VLOOKUP(A144,'Trips&amp;Operators'!$C$1:$E$10000,3,FALSE)</f>
        <v>YANAI</v>
      </c>
      <c r="M144" s="6">
        <f t="shared" si="37"/>
        <v>2.5648148148320615E-2</v>
      </c>
      <c r="N144" s="7">
        <f t="shared" si="38"/>
        <v>36.933333333581686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21:19:03-700',mode:absolute,to:'2016-11-12 00:03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4" s="52" t="str">
        <f t="shared" si="42"/>
        <v>N</v>
      </c>
      <c r="X144" s="177">
        <f t="shared" si="43"/>
        <v>1</v>
      </c>
      <c r="Y144" s="67">
        <f t="shared" si="44"/>
        <v>23.296800000000001</v>
      </c>
      <c r="Z144" s="67">
        <f t="shared" si="45"/>
        <v>1.34E-2</v>
      </c>
      <c r="AA144" s="67">
        <f t="shared" si="46"/>
        <v>23.2834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47"/>
        <v>0232-11</v>
      </c>
      <c r="AE144" s="91" t="str">
        <f t="shared" si="48"/>
        <v>aws s3 cp s3://rtdc.mdm.uploadarchive.raw/RTDC4032/ "%USERPROFILE%\AppData\Local\Temp\OnboardLogs"\RTDC4032\2016-11-11 --exclude "*" --recursive --include "*20161111*" &amp; "%USERPROFILE%\Documents\GitHub\mrs-test-scripts\Headless Mode &amp; Sideloading\WalkAndUnGZ.bat" "%USERPROFILE%\AppData\Local\Temp\OnboardLogs"\RTDC4032\2016-11-11 &amp; aws s3 cp s3://rtdc.mdm.uploadarchive.raw/RTDC4032/ "%USERPROFILE%\AppData\Local\Temp\OnboardLogs"\RTDC4032\2016-11-12 --exclude "*" --recursive --include "*20161112*" &amp; "%USERPROFILE%\Documents\GitHub\mrs-test-scripts\Headless Mode &amp; Sideloading\WalkAndUnGZ.bat" "%USERPROFILE%\AppData\Local\Temp\OnboardLogs"\RTDC4032\2016-11-12</v>
      </c>
      <c r="AF144" s="88" t="str">
        <f t="shared" si="49"/>
        <v>"C:\Program Files (x86)\AstroGrep\AstroGrep.exe" /spath="%USERPROFILE%\AppData\Local\Temp\OnboardLogs" /stypes="app*4032*20161112*" /stext=" 06:.+((SYSTEM_STATE.+slice.+state.+changed )|(ment ac)|(system.+state.+changed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232-11 --locoid 4032 --swversion DE.1.0.8.0 --startMP 204:232968 --initTime 2016-11-11T22:19:03 --startdatetime 2016-11-11T22:26:13 --delay 0 --endMP 204:134 --enddatetime 2016-11-11T23:03:09 --enforcementcount 0 &gt;&gt;C:\Users\stu\Documents\GitHub\eaglep3-reporting\EC\2016-11-11-refined-times.txt</v>
      </c>
      <c r="AI144" s="119" t="str">
        <f t="shared" si="52"/>
        <v>echo {"issue":{"subject":"","project_id":79,"tracker_id":40,"status_id":1,"priority_id":2,"assigned_to_id":23,"start_date":"2016-11-11","description":"","custom_fields":[{"id":1,"name":"Subdivision","value":"EC"},{"id":4,"name":"Milepost","value":"0.0134"},{"id":17,"name":"Train ID","value":"232-11"},{"id":16,"name":"Locomotive ID","value":"4032"},{"id":130,"name":"Impact","value":""},{"id":150,"name":"Time of Event (Mountain Time)","value":"23:03:09"},{"id":151,"name":"Denver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626</v>
      </c>
      <c r="B145" s="7">
        <v>4040</v>
      </c>
      <c r="C145" s="22" t="s">
        <v>225</v>
      </c>
      <c r="D145" s="22" t="s">
        <v>316</v>
      </c>
      <c r="E145" s="13">
        <v>42685.916261574072</v>
      </c>
      <c r="F145" s="13">
        <v>42685.917291666665</v>
      </c>
      <c r="G145" s="7">
        <v>1</v>
      </c>
      <c r="H145" s="22" t="s">
        <v>669</v>
      </c>
      <c r="I145" s="13">
        <v>42685.94327546296</v>
      </c>
      <c r="J145" s="7">
        <v>0</v>
      </c>
      <c r="K145" s="109" t="str">
        <f t="shared" si="36"/>
        <v>4039/4040</v>
      </c>
      <c r="L145" s="22" t="str">
        <f>VLOOKUP(A145,'Trips&amp;Operators'!$C$1:$E$10000,3,FALSE)</f>
        <v>CHANDLER</v>
      </c>
      <c r="M145" s="6">
        <f t="shared" si="37"/>
        <v>2.5983796294895001E-2</v>
      </c>
      <c r="N145" s="7">
        <f t="shared" si="38"/>
        <v>37.416666664648801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20:59:25-700',mode:absolute,to:'2016-11-11 23:38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5" s="52" t="str">
        <f t="shared" si="42"/>
        <v>N</v>
      </c>
      <c r="X145" s="177">
        <f t="shared" si="43"/>
        <v>1</v>
      </c>
      <c r="Y145" s="67">
        <f t="shared" si="44"/>
        <v>4.8000000000000001E-2</v>
      </c>
      <c r="Z145" s="67">
        <f t="shared" si="45"/>
        <v>23.3308</v>
      </c>
      <c r="AA145" s="67">
        <f t="shared" si="46"/>
        <v>23.282800000000002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47"/>
        <v>0233-11</v>
      </c>
      <c r="AE145" s="91" t="str">
        <f t="shared" si="48"/>
        <v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v>
      </c>
      <c r="AF145" s="88" t="str">
        <f t="shared" si="49"/>
        <v>"C:\Program Files (x86)\AstroGrep\AstroGrep.exe" /spath="%USERPROFILE%\AppData\Local\Temp\OnboardLogs" /stypes="app*4040*20161112*" /stext=" 05:.+((SYSTEM_STATE.+slice.+state.+changed )|(ment ac)|(system.+state.+changed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233-11 --locoid 4040 --swversion DE.1.0.8.0 --startMP 204:480 --initTime 2016-11-11T21:59:25 --startdatetime 2016-11-11T22:00:54 --delay 1 --endMP 204:233308 --enddatetime 2016-11-11T22:38:19 --enforcementcount 0 &gt;&gt;C:\Users\stu\Documents\GitHub\eaglep3-reporting\EC\2016-11-11-refined-times.txt</v>
      </c>
      <c r="AI145" s="119" t="str">
        <f t="shared" si="52"/>
        <v>echo {"issue":{"subject":"","project_id":79,"tracker_id":40,"status_id":1,"priority_id":2,"assigned_to_id":23,"start_date":"2016-11-11","description":"","custom_fields":[{"id":1,"name":"Subdivision","value":"EC"},{"id":4,"name":"Milepost","value":"23.3308"},{"id":17,"name":"Train ID","value":"233-11"},{"id":16,"name":"Locomotive ID","value":"4040"},{"id":130,"name":"Impact","value":""},{"id":150,"name":"Time of Event (Mountain Time)","value":"22:38:19"},{"id":151,"name":"Denver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7" t="s">
        <v>631</v>
      </c>
      <c r="B146" s="7">
        <v>4039</v>
      </c>
      <c r="C146" s="22" t="s">
        <v>225</v>
      </c>
      <c r="D146" s="22" t="s">
        <v>220</v>
      </c>
      <c r="E146" s="13">
        <v>42685.954143518517</v>
      </c>
      <c r="F146" s="13">
        <v>42685.95585648148</v>
      </c>
      <c r="G146" s="7">
        <v>1</v>
      </c>
      <c r="H146" s="22" t="s">
        <v>230</v>
      </c>
      <c r="I146" s="13">
        <v>42685.983912037038</v>
      </c>
      <c r="J146" s="7">
        <v>0</v>
      </c>
      <c r="K146" s="109" t="str">
        <f t="shared" si="36"/>
        <v>4039/4040</v>
      </c>
      <c r="L146" s="22" t="str">
        <f>VLOOKUP(A146,'Trips&amp;Operators'!$C$1:$E$10000,3,FALSE)</f>
        <v>CHANDLER</v>
      </c>
      <c r="M146" s="6">
        <f t="shared" si="37"/>
        <v>2.8055555558239575E-2</v>
      </c>
      <c r="N146" s="7">
        <f t="shared" si="38"/>
        <v>40.400000003864989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21:53:58-700',mode:absolute,to:'2016-11-12 00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23.298500000000001</v>
      </c>
      <c r="Z146" s="67">
        <f t="shared" si="45"/>
        <v>1.5800000000000002E-2</v>
      </c>
      <c r="AA146" s="67">
        <f t="shared" si="46"/>
        <v>23.282700000000002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47"/>
        <v>0234-11</v>
      </c>
      <c r="AE146" s="91" t="str">
        <f t="shared" si="48"/>
        <v>aws s3 cp s3://rtdc.mdm.uploadarchive.raw/RTDC4039/ "%USERPROFILE%\AppData\Local\Temp\OnboardLogs"\RTDC4039\2016-11-11 --exclude "*" --recursive --include "*20161111*" &amp; "%USERPROFILE%\Documents\GitHub\mrs-test-scripts\Headless Mode &amp; Sideloading\WalkAndUnGZ.bat" "%USERPROFILE%\AppData\Local\Temp\OnboardLogs"\RTDC4039\2016-11-11 &amp; aws s3 cp s3://rtdc.mdm.uploadarchive.raw/RTDC4039/ "%USERPROFILE%\AppData\Local\Temp\OnboardLogs"\RTDC4039\2016-11-12 --exclude "*" --recursive --include "*20161112*" &amp; "%USERPROFILE%\Documents\GitHub\mrs-test-scripts\Headless Mode &amp; Sideloading\WalkAndUnGZ.bat" "%USERPROFILE%\AppData\Local\Temp\OnboardLogs"\RTDC4039\2016-11-12</v>
      </c>
      <c r="AF146" s="88" t="str">
        <f t="shared" si="49"/>
        <v>"C:\Program Files (x86)\AstroGrep\AstroGrep.exe" /spath="%USERPROFILE%\AppData\Local\Temp\OnboardLogs" /stypes="app*4039*20161112*" /stext=" 06:.+((SYSTEM_STATE.+slice.+state.+changed )|(ment ac)|(system.+state.+changed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234-11 --locoid 4039 --swversion DE.1.0.8.0 --startMP 204:232985 --initTime 2016-11-11T22:53:58 --startdatetime 2016-11-11T22:56:26 --delay 1 --endMP 204:158 --enddatetime 2016-11-11T23:36:50 --enforcementcount 0 &gt;&gt;C:\Users\stu\Documents\GitHub\eaglep3-reporting\EC\2016-11-11-refined-times.txt</v>
      </c>
      <c r="AI146" s="119" t="str">
        <f t="shared" si="52"/>
        <v>echo {"issue":{"subject":"","project_id":79,"tracker_id":40,"status_id":1,"priority_id":2,"assigned_to_id":23,"start_date":"2016-11-11","description":"","custom_fields":[{"id":1,"name":"Subdivision","value":"EC"},{"id":4,"name":"Milepost","value":"0.0158"},{"id":17,"name":"Train ID","value":"234-11"},{"id":16,"name":"Locomotive ID","value":"4039"},{"id":130,"name":"Impact","value":""},{"id":150,"name":"Time of Event (Mountain Time)","value":"23:36:50"},{"id":151,"name":"Denver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s="21" customFormat="1" x14ac:dyDescent="0.25">
      <c r="A147" s="37" t="s">
        <v>627</v>
      </c>
      <c r="B147" s="7">
        <v>4009</v>
      </c>
      <c r="C147" s="22" t="s">
        <v>225</v>
      </c>
      <c r="D147" s="22" t="s">
        <v>679</v>
      </c>
      <c r="E147" s="13">
        <v>42685.926770833335</v>
      </c>
      <c r="F147" s="13">
        <v>42685.93787037037</v>
      </c>
      <c r="G147" s="7">
        <v>1</v>
      </c>
      <c r="H147" s="22" t="s">
        <v>309</v>
      </c>
      <c r="I147" s="13">
        <v>42685.961712962962</v>
      </c>
      <c r="J147" s="7">
        <v>0</v>
      </c>
      <c r="K147" s="109" t="str">
        <f t="shared" si="36"/>
        <v>4009/4010</v>
      </c>
      <c r="L147" s="22" t="str">
        <f>VLOOKUP(A147,'Trips&amp;Operators'!$C$1:$E$10000,3,FALSE)</f>
        <v>STAMBAUGH</v>
      </c>
      <c r="M147" s="6">
        <f t="shared" si="37"/>
        <v>2.3842592592700385E-2</v>
      </c>
      <c r="N147" s="7">
        <f t="shared" si="38"/>
        <v>34.333333333488554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21:14:33-700',mode:absolute,to:'2016-11-12 00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4.3499999999999997E-2</v>
      </c>
      <c r="Z147" s="67">
        <f t="shared" si="45"/>
        <v>23.331</v>
      </c>
      <c r="AA147" s="67">
        <f t="shared" si="46"/>
        <v>23.287499999999998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47"/>
        <v>0235-11</v>
      </c>
      <c r="AE147" s="91" t="str">
        <f t="shared" si="48"/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AF147" s="88" t="str">
        <f t="shared" si="49"/>
        <v>"C:\Program Files (x86)\AstroGrep\AstroGrep.exe" /spath="%USERPROFILE%\AppData\Local\Temp\OnboardLogs" /stypes="app*4009*20161112*" /stext=" 06:.+((SYSTEM_STATE.+slice.+state.+changed )|(ment ac)|(system.+state.+changed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235-11 --locoid 4009 --swversion DE.1.0.8.0 --startMP 204:435 --initTime 2016-11-11T22:14:33 --startdatetime 2016-11-11T22:30:32 --delay 1 --endMP 204:233310 --enddatetime 2016-11-11T23:04:52 --enforcementcount 0 &gt;&gt;C:\Users\stu\Documents\GitHub\eaglep3-reporting\EC\2016-11-11-refined-times.txt</v>
      </c>
      <c r="AI147" s="119" t="str">
        <f t="shared" si="52"/>
        <v>echo {"issue":{"subject":"","project_id":79,"tracker_id":40,"status_id":1,"priority_id":2,"assigned_to_id":23,"start_date":"2016-11-11","description":"","custom_fields":[{"id":1,"name":"Subdivision","value":"EC"},{"id":4,"name":"Milepost","value":"23.331"},{"id":17,"name":"Train ID","value":"235-11"},{"id":16,"name":"Locomotive ID","value":"4009"},{"id":130,"name":"Impact","value":""},{"id":150,"name":"Time of Event (Mountain Time)","value":"23:04:52"},{"id":151,"name":"Denver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633</v>
      </c>
      <c r="B148" s="7">
        <v>4010</v>
      </c>
      <c r="C148" s="22" t="s">
        <v>225</v>
      </c>
      <c r="D148" s="22" t="s">
        <v>247</v>
      </c>
      <c r="E148" s="13">
        <v>42685.972546296296</v>
      </c>
      <c r="F148" s="13">
        <v>42685.977164351854</v>
      </c>
      <c r="G148" s="7">
        <v>0</v>
      </c>
      <c r="H148" s="22" t="s">
        <v>371</v>
      </c>
      <c r="I148" s="13">
        <v>42686.001944444448</v>
      </c>
      <c r="J148" s="7">
        <v>0</v>
      </c>
      <c r="K148" s="109" t="str">
        <f t="shared" si="36"/>
        <v>4009/4010</v>
      </c>
      <c r="L148" s="22" t="str">
        <f>VLOOKUP(A148,'Trips&amp;Operators'!$C$1:$E$10000,3,FALSE)</f>
        <v>STAMBAUGH</v>
      </c>
      <c r="M148" s="6">
        <f t="shared" si="37"/>
        <v>2.4780092593573499E-2</v>
      </c>
      <c r="N148" s="7">
        <f t="shared" si="38"/>
        <v>35.683333334745839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22:20:28-700',mode:absolute,to:'2016-11-12 01:02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23.299099999999999</v>
      </c>
      <c r="Z148" s="67">
        <f t="shared" si="45"/>
        <v>1.38E-2</v>
      </c>
      <c r="AA148" s="67">
        <f t="shared" si="46"/>
        <v>23.285299999999999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47"/>
        <v>0236-11</v>
      </c>
      <c r="AE148" s="91" t="str">
        <f t="shared" si="48"/>
        <v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v>
      </c>
      <c r="AF148" s="88" t="str">
        <f t="shared" si="49"/>
        <v>"C:\Program Files (x86)\AstroGrep\AstroGrep.exe" /spath="%USERPROFILE%\AppData\Local\Temp\OnboardLogs" /stypes="app*4010*20161112*" /stext=" 07:.+((SYSTEM_STATE.+slice.+state.+changed )|(ment ac)|(system.+state.+changed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236-11 --locoid 4010 --swversion DE.1.0.8.0 --startMP 204:232991 --initTime 2016-11-11T23:20:28 --startdatetime 2016-11-11T23:27:07 --delay 0 --endMP 204:138 --enddatetime 2016-11-12T00:02:48 --enforcementcount 0 &gt;&gt;C:\Users\stu\Documents\GitHub\eaglep3-reporting\EC\2016-11-11-refined-times.txt</v>
      </c>
      <c r="AI148" s="119" t="str">
        <f t="shared" si="52"/>
        <v>echo {"issue":{"subject":"","project_id":79,"tracker_id":40,"status_id":1,"priority_id":2,"assigned_to_id":23,"start_date":"2016-11-12","description":"","custom_fields":[{"id":1,"name":"Subdivision","value":"EC"},{"id":4,"name":"Milepost","value":"0.0138"},{"id":17,"name":"Train ID","value":"236-11"},{"id":16,"name":"Locomotive ID","value":"4010"},{"id":130,"name":"Impact","value":""},{"id":150,"name":"Time of Event (Mountain Time)","value":"00:02:48"},{"id":151,"name":"Denver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630</v>
      </c>
      <c r="B149" s="7">
        <v>4003</v>
      </c>
      <c r="C149" s="22" t="s">
        <v>225</v>
      </c>
      <c r="D149" s="22" t="s">
        <v>200</v>
      </c>
      <c r="E149" s="13">
        <v>42685.953877314816</v>
      </c>
      <c r="F149" s="13">
        <v>42685.95857638889</v>
      </c>
      <c r="G149" s="7">
        <v>1</v>
      </c>
      <c r="H149" s="22" t="s">
        <v>381</v>
      </c>
      <c r="I149" s="13">
        <v>42685.982951388891</v>
      </c>
      <c r="J149" s="7">
        <v>0</v>
      </c>
      <c r="K149" s="109" t="str">
        <f t="shared" si="36"/>
        <v>4003/4004</v>
      </c>
      <c r="L149" s="22" t="str">
        <f>VLOOKUP(A149,'Trips&amp;Operators'!$C$1:$E$10000,3,FALSE)</f>
        <v>LEVIN</v>
      </c>
      <c r="M149" s="6">
        <f t="shared" si="37"/>
        <v>2.4375000000873115E-2</v>
      </c>
      <c r="N149" s="7">
        <f t="shared" si="38"/>
        <v>35.100000001257285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21:53:35-700',mode:absolute,to:'2016-11-12 00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4.4699999999999997E-2</v>
      </c>
      <c r="Z149" s="67">
        <f t="shared" si="45"/>
        <v>23.333600000000001</v>
      </c>
      <c r="AA149" s="67">
        <f t="shared" si="46"/>
        <v>23.288900000000002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47"/>
        <v>0237-11</v>
      </c>
      <c r="AE149" s="91" t="str">
        <f t="shared" si="48"/>
        <v>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 &amp; aws s3 cp s3://rtdc.mdm.uploadarchive.raw/RTDC4003/ "%USERPROFILE%\AppData\Local\Temp\OnboardLogs"\RTDC4003\2016-11-12 --exclude "*" --recursive --include "*20161112*" &amp; "%USERPROFILE%\Documents\GitHub\mrs-test-scripts\Headless Mode &amp; Sideloading\WalkAndUnGZ.bat" "%USERPROFILE%\AppData\Local\Temp\OnboardLogs"\RTDC4003\2016-11-12</v>
      </c>
      <c r="AF149" s="88" t="str">
        <f t="shared" si="49"/>
        <v>"C:\Program Files (x86)\AstroGrep\AstroGrep.exe" /spath="%USERPROFILE%\AppData\Local\Temp\OnboardLogs" /stypes="app*4003*20161112*" /stext=" 06:.+((SYSTEM_STATE.+slice.+state.+changed )|(ment ac)|(system.+state.+changed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237-11 --locoid 4003 --swversion DE.1.0.8.0 --startMP 204:447 --initTime 2016-11-11T22:53:35 --startdatetime 2016-11-11T23:00:21 --delay 1 --endMP 204:233336 --enddatetime 2016-11-11T23:35:27 --enforcementcount 0 &gt;&gt;C:\Users\stu\Documents\GitHub\eaglep3-reporting\EC\2016-11-11-refined-times.txt</v>
      </c>
      <c r="AI149" s="119" t="str">
        <f t="shared" si="52"/>
        <v>echo {"issue":{"subject":"","project_id":79,"tracker_id":40,"status_id":1,"priority_id":2,"assigned_to_id":23,"start_date":"2016-11-11","description":"","custom_fields":[{"id":1,"name":"Subdivision","value":"EC"},{"id":4,"name":"Milepost","value":"23.3336"},{"id":17,"name":"Train ID","value":"237-11"},{"id":16,"name":"Locomotive ID","value":"4003"},{"id":130,"name":"Impact","value":""},{"id":150,"name":"Time of Event (Mountain Time)","value":"23:35:27"},{"id":151,"name":"Denver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634</v>
      </c>
      <c r="B150" s="7">
        <v>4004</v>
      </c>
      <c r="C150" s="22" t="s">
        <v>225</v>
      </c>
      <c r="D150" s="22" t="s">
        <v>370</v>
      </c>
      <c r="E150" s="13">
        <v>42685.993032407408</v>
      </c>
      <c r="F150" s="13">
        <v>42685.997453703705</v>
      </c>
      <c r="G150" s="7">
        <v>1</v>
      </c>
      <c r="H150" s="22" t="s">
        <v>699</v>
      </c>
      <c r="I150" s="13">
        <v>42686.022928240738</v>
      </c>
      <c r="J150" s="7">
        <v>0</v>
      </c>
      <c r="K150" s="109" t="str">
        <f t="shared" si="36"/>
        <v>4003/4004</v>
      </c>
      <c r="L150" s="22" t="str">
        <f>VLOOKUP(A150,'Trips&amp;Operators'!$C$1:$E$10000,3,FALSE)</f>
        <v>LEVIN</v>
      </c>
      <c r="M150" s="6">
        <f t="shared" si="37"/>
        <v>2.5474537033005618E-2</v>
      </c>
      <c r="N150" s="7">
        <f t="shared" si="38"/>
        <v>36.683333327528089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22:49:58-700',mode:absolute,to:'2016-11-12 01:33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23.303799999999999</v>
      </c>
      <c r="Z150" s="67">
        <f t="shared" si="45"/>
        <v>1.29E-2</v>
      </c>
      <c r="AA150" s="67">
        <f t="shared" si="46"/>
        <v>23.290900000000001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47"/>
        <v>0238-11</v>
      </c>
      <c r="AE150" s="91" t="str">
        <f t="shared" si="48"/>
        <v>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 &amp; 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</v>
      </c>
      <c r="AF150" s="88" t="str">
        <f t="shared" si="49"/>
        <v>"C:\Program Files (x86)\AstroGrep\AstroGrep.exe" /spath="%USERPROFILE%\AppData\Local\Temp\OnboardLogs" /stypes="app*4004*20161112*" /stext=" 07:.+((SYSTEM_STATE.+slice.+state.+changed )|(ment ac)|(system.+state.+changed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238-11 --locoid 4004 --swversion DE.1.0.8.0 --startMP 204:233038 --initTime 2016-11-11T23:49:58 --startdatetime 2016-11-11T23:56:20 --delay 1 --endMP 204:129 --enddatetime 2016-11-12T00:33:01 --enforcementcount 0 &gt;&gt;C:\Users\stu\Documents\GitHub\eaglep3-reporting\EC\2016-11-11-refined-times.txt</v>
      </c>
      <c r="AI150" s="119" t="str">
        <f t="shared" si="52"/>
        <v>echo {"issue":{"subject":"","project_id":79,"tracker_id":40,"status_id":1,"priority_id":2,"assigned_to_id":23,"start_date":"2016-11-12","description":"","custom_fields":[{"id":1,"name":"Subdivision","value":"EC"},{"id":4,"name":"Milepost","value":"0.0129"},{"id":17,"name":"Train ID","value":"238-11"},{"id":16,"name":"Locomotive ID","value":"4004"},{"id":130,"name":"Impact","value":""},{"id":150,"name":"Time of Event (Mountain Time)","value":"00:33:01"},{"id":151,"name":"Denver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7" t="s">
        <v>632</v>
      </c>
      <c r="B151" s="7">
        <v>4031</v>
      </c>
      <c r="C151" s="22" t="s">
        <v>225</v>
      </c>
      <c r="D151" s="22" t="s">
        <v>260</v>
      </c>
      <c r="E151" s="13">
        <v>42685.96234953704</v>
      </c>
      <c r="F151" s="13">
        <v>42685.97934027778</v>
      </c>
      <c r="G151" s="7">
        <v>1</v>
      </c>
      <c r="H151" s="22" t="s">
        <v>676</v>
      </c>
      <c r="I151" s="13">
        <v>42686.003645833334</v>
      </c>
      <c r="J151" s="7">
        <v>0</v>
      </c>
      <c r="K151" s="109" t="str">
        <f t="shared" si="36"/>
        <v>4031/4032</v>
      </c>
      <c r="L151" s="22" t="str">
        <f>VLOOKUP(A151,'Trips&amp;Operators'!$C$1:$E$10000,3,FALSE)</f>
        <v>YANAI</v>
      </c>
      <c r="M151" s="6">
        <f t="shared" si="37"/>
        <v>2.4305555554747116E-2</v>
      </c>
      <c r="N151" s="7">
        <f t="shared" si="38"/>
        <v>34.999999998835847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22:05:47-700',mode:absolute,to:'2016-11-12 01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4.3999999999999997E-2</v>
      </c>
      <c r="Z151" s="67">
        <f t="shared" si="45"/>
        <v>23.333200000000001</v>
      </c>
      <c r="AA151" s="67">
        <f t="shared" si="46"/>
        <v>23.289200000000001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47"/>
        <v>0239-11</v>
      </c>
      <c r="AE151" s="91" t="str">
        <f t="shared" si="48"/>
        <v>aws s3 cp s3://rtdc.mdm.uploadarchive.raw/RTDC4031/ "%USERPROFILE%\AppData\Local\Temp\OnboardLogs"\RTDC4031\2016-11-11 --exclude "*" --recursive --include "*20161111*" &amp; "%USERPROFILE%\Documents\GitHub\mrs-test-scripts\Headless Mode &amp; Sideloading\WalkAndUnGZ.bat" "%USERPROFILE%\AppData\Local\Temp\OnboardLogs"\RTDC4031\2016-11-11 &amp; aws s3 cp s3://rtdc.mdm.uploadarchive.raw/RTDC4031/ "%USERPROFILE%\AppData\Local\Temp\OnboardLogs"\RTDC4031\2016-11-12 --exclude "*" --recursive --include "*20161112*" &amp; "%USERPROFILE%\Documents\GitHub\mrs-test-scripts\Headless Mode &amp; Sideloading\WalkAndUnGZ.bat" "%USERPROFILE%\AppData\Local\Temp\OnboardLogs"\RTDC4031\2016-11-12</v>
      </c>
      <c r="AF151" s="88" t="str">
        <f t="shared" si="49"/>
        <v>"C:\Program Files (x86)\AstroGrep\AstroGrep.exe" /spath="%USERPROFILE%\AppData\Local\Temp\OnboardLogs" /stypes="app*4031*20161112*" /stext=" 07:.+((SYSTEM_STATE.+slice.+state.+changed )|(ment ac)|(system.+state.+changed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239-11 --locoid 4031 --swversion DE.1.0.8.0 --startMP 204:440 --initTime 2016-11-11T23:05:47 --startdatetime 2016-11-11T23:30:15 --delay 1 --endMP 204:233332 --enddatetime 2016-11-12T00:05:15 --enforcementcount 0 &gt;&gt;C:\Users\stu\Documents\GitHub\eaglep3-reporting\EC\2016-11-11-refined-times.txt</v>
      </c>
      <c r="AI151" s="119" t="str">
        <f t="shared" si="52"/>
        <v>echo {"issue":{"subject":"","project_id":79,"tracker_id":40,"status_id":1,"priority_id":2,"assigned_to_id":23,"start_date":"2016-11-12","description":"","custom_fields":[{"id":1,"name":"Subdivision","value":"EC"},{"id":4,"name":"Milepost","value":"23.3332"},{"id":17,"name":"Train ID","value":"239-11"},{"id":16,"name":"Locomotive ID","value":"4031"},{"id":130,"name":"Impact","value":""},{"id":150,"name":"Time of Event (Mountain Time)","value":"00:05:15"},{"id":151,"name":"Denver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s="21" customFormat="1" x14ac:dyDescent="0.25">
      <c r="A152" s="37" t="s">
        <v>637</v>
      </c>
      <c r="B152" s="7">
        <v>4032</v>
      </c>
      <c r="C152" s="22" t="s">
        <v>225</v>
      </c>
      <c r="D152" s="22" t="s">
        <v>696</v>
      </c>
      <c r="E152" s="13">
        <v>42686.013356481482</v>
      </c>
      <c r="F152" s="13">
        <v>42686.018576388888</v>
      </c>
      <c r="G152" s="7">
        <v>1</v>
      </c>
      <c r="H152" s="22" t="s">
        <v>366</v>
      </c>
      <c r="I152" s="13">
        <v>42686.043402777781</v>
      </c>
      <c r="J152" s="7">
        <v>0</v>
      </c>
      <c r="K152" s="109" t="str">
        <f t="shared" si="36"/>
        <v>4031/4032</v>
      </c>
      <c r="L152" s="22" t="str">
        <f>VLOOKUP(A152,'Trips&amp;Operators'!$C$1:$E$10000,3,FALSE)</f>
        <v>YANAI</v>
      </c>
      <c r="M152" s="6">
        <f t="shared" si="37"/>
        <v>2.4826388893416151E-2</v>
      </c>
      <c r="N152" s="7">
        <f t="shared" si="38"/>
        <v>35.750000006519258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23:19:14-700',mode:absolute,to:'2016-11-12 02:02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2" s="52" t="str">
        <f t="shared" si="42"/>
        <v>N</v>
      </c>
      <c r="X152" s="177">
        <f t="shared" si="43"/>
        <v>1</v>
      </c>
      <c r="Y152" s="67">
        <f t="shared" si="44"/>
        <v>23.300599999999999</v>
      </c>
      <c r="Z152" s="67">
        <f t="shared" si="45"/>
        <v>1.54E-2</v>
      </c>
      <c r="AA152" s="67">
        <f t="shared" si="46"/>
        <v>23.2852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47"/>
        <v>0240-11</v>
      </c>
      <c r="AE152" s="91" t="str">
        <f t="shared" si="48"/>
        <v>aws s3 cp s3://rtdc.mdm.uploadarchive.raw/RTDC4032/ "%USERPROFILE%\AppData\Local\Temp\OnboardLogs"\RTDC4032\2016-11-12 --exclude "*" --recursive --include "*20161112*" &amp; "%USERPROFILE%\Documents\GitHub\mrs-test-scripts\Headless Mode &amp; Sideloading\WalkAndUnGZ.bat" "%USERPROFILE%\AppData\Local\Temp\OnboardLogs"\RTDC4032\2016-11-12 &amp; 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</v>
      </c>
      <c r="AF152" s="88" t="str">
        <f t="shared" si="49"/>
        <v>"C:\Program Files (x86)\AstroGrep\AstroGrep.exe" /spath="%USERPROFILE%\AppData\Local\Temp\OnboardLogs" /stypes="app*4032*20161112*" /stext=" 08:.+((SYSTEM_STATE.+slice.+state.+changed )|(ment ac)|(system.+state.+changed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240-11 --locoid 4032 --swversion DE.1.0.8.0 --startMP 204:233006 --initTime 2016-11-12T00:19:14 --startdatetime 2016-11-12T00:26:45 --delay 1 --endMP 204:154 --enddatetime 2016-11-12T01:02:30 --enforcementcount 0 &gt;&gt;C:\Users\stu\Documents\GitHub\eaglep3-reporting\EC\2016-11-11-refined-times.txt</v>
      </c>
      <c r="AI152" s="119" t="str">
        <f t="shared" si="52"/>
        <v>echo {"issue":{"subject":"","project_id":79,"tracker_id":40,"status_id":1,"priority_id":2,"assigned_to_id":23,"start_date":"2016-11-12","description":"","custom_fields":[{"id":1,"name":"Subdivision","value":"EC"},{"id":4,"name":"Milepost","value":"0.0154"},{"id":17,"name":"Train ID","value":"240-11"},{"id":16,"name":"Locomotive ID","value":"4032"},{"id":130,"name":"Impact","value":""},{"id":150,"name":"Time of Event (Mountain Time)","value":"01:02:30"},{"id":151,"name":"Denver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635</v>
      </c>
      <c r="B153" s="7">
        <v>4040</v>
      </c>
      <c r="C153" s="22" t="s">
        <v>225</v>
      </c>
      <c r="D153" s="22" t="s">
        <v>688</v>
      </c>
      <c r="E153" s="13">
        <v>42685.997141203705</v>
      </c>
      <c r="F153" s="13">
        <v>42686.000231481485</v>
      </c>
      <c r="G153" s="7">
        <v>1</v>
      </c>
      <c r="H153" s="22" t="s">
        <v>700</v>
      </c>
      <c r="I153" s="13">
        <v>42686.026018518518</v>
      </c>
      <c r="J153" s="7">
        <v>0</v>
      </c>
      <c r="K153" s="109" t="str">
        <f t="shared" si="36"/>
        <v>4039/4040</v>
      </c>
      <c r="L153" s="22" t="str">
        <f>VLOOKUP(A153,'Trips&amp;Operators'!$C$1:$E$10000,3,FALSE)</f>
        <v>CHANDLER</v>
      </c>
      <c r="M153" s="6">
        <f t="shared" si="37"/>
        <v>2.5787037033296656E-2</v>
      </c>
      <c r="N153" s="7">
        <f t="shared" si="38"/>
        <v>37.133333327947184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22:55:53-700',mode:absolute,to:'2016-11-12 01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3" s="52" t="str">
        <f t="shared" si="42"/>
        <v>N</v>
      </c>
      <c r="X153" s="177">
        <f t="shared" si="43"/>
        <v>1</v>
      </c>
      <c r="Y153" s="67">
        <f t="shared" si="44"/>
        <v>4.8399999999999999E-2</v>
      </c>
      <c r="Z153" s="67">
        <f t="shared" si="45"/>
        <v>23.328099999999999</v>
      </c>
      <c r="AA153" s="67">
        <f t="shared" si="46"/>
        <v>23.279699999999998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47"/>
        <v>0241-11</v>
      </c>
      <c r="AE153" s="91" t="str">
        <f t="shared" si="48"/>
        <v>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 &amp; aws s3 cp s3://rtdc.mdm.uploadarchive.raw/RTDC4040/ "%USERPROFILE%\AppData\Local\Temp\OnboardLogs"\RTDC4040\2016-11-13 --exclude "*" --recursive --include "*20161113*" &amp; "%USERPROFILE%\Documents\GitHub\mrs-test-scripts\Headless Mode &amp; Sideloading\WalkAndUnGZ.bat" "%USERPROFILE%\AppData\Local\Temp\OnboardLogs"\RTDC4040\2016-11-13</v>
      </c>
      <c r="AF153" s="88" t="str">
        <f t="shared" si="49"/>
        <v>"C:\Program Files (x86)\AstroGrep\AstroGrep.exe" /spath="%USERPROFILE%\AppData\Local\Temp\OnboardLogs" /stypes="app*4040*20161112*" /stext=" 07:.+((SYSTEM_STATE.+slice.+state.+changed )|(ment ac)|(system.+state.+changed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241-11 --locoid 4040 --swversion DE.1.0.8.0 --startMP 204:484 --initTime 2016-11-11T23:55:53 --startdatetime 2016-11-12T00:00:20 --delay 1 --endMP 204:233281 --enddatetime 2016-11-12T00:37:28 --enforcementcount 0 &gt;&gt;C:\Users\stu\Documents\GitHub\eaglep3-reporting\EC\2016-11-11-refined-times.txt</v>
      </c>
      <c r="AI153" s="119" t="str">
        <f t="shared" si="52"/>
        <v>echo {"issue":{"subject":"","project_id":79,"tracker_id":40,"status_id":1,"priority_id":2,"assigned_to_id":23,"start_date":"2016-11-12","description":"","custom_fields":[{"id":1,"name":"Subdivision","value":"EC"},{"id":4,"name":"Milepost","value":"23.3281"},{"id":17,"name":"Train ID","value":"241-11"},{"id":16,"name":"Locomotive ID","value":"4040"},{"id":130,"name":"Impact","value":""},{"id":150,"name":"Time of Event (Mountain Time)","value":"00:37:28"},{"id":151,"name":"Denver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638</v>
      </c>
      <c r="B154" s="7">
        <v>4039</v>
      </c>
      <c r="C154" s="22" t="s">
        <v>225</v>
      </c>
      <c r="D154" s="22" t="s">
        <v>701</v>
      </c>
      <c r="E154" s="13">
        <v>42686.032847222225</v>
      </c>
      <c r="F154" s="13">
        <v>42686.039155092592</v>
      </c>
      <c r="G154" s="7">
        <v>1</v>
      </c>
      <c r="H154" s="22" t="s">
        <v>684</v>
      </c>
      <c r="I154" s="13">
        <v>42686.066180555557</v>
      </c>
      <c r="J154" s="7">
        <v>0</v>
      </c>
      <c r="K154" s="109" t="str">
        <f t="shared" si="36"/>
        <v>4039/4040</v>
      </c>
      <c r="L154" s="22" t="str">
        <f>VLOOKUP(A154,'Trips&amp;Operators'!$C$1:$E$10000,3,FALSE)</f>
        <v>CHANDLER</v>
      </c>
      <c r="M154" s="6">
        <f t="shared" si="37"/>
        <v>2.7025462964957114E-2</v>
      </c>
      <c r="N154" s="7">
        <f t="shared" si="38"/>
        <v>38.916666669538245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23:47:18-700',mode:absolute,to:'2016-11-12 02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4" s="52" t="str">
        <f t="shared" si="42"/>
        <v>N</v>
      </c>
      <c r="X154" s="177">
        <f t="shared" si="43"/>
        <v>1</v>
      </c>
      <c r="Y154" s="67">
        <f t="shared" si="44"/>
        <v>23.296600000000002</v>
      </c>
      <c r="Z154" s="67">
        <f t="shared" si="45"/>
        <v>1.67E-2</v>
      </c>
      <c r="AA154" s="67">
        <f t="shared" si="46"/>
        <v>23.279900000000001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47"/>
        <v>0242-11</v>
      </c>
      <c r="AE154" s="91" t="str">
        <f t="shared" si="48"/>
        <v>aws s3 cp s3://rtdc.mdm.uploadarchive.raw/RTDC4039/ "%USERPROFILE%\AppData\Local\Temp\OnboardLogs"\RTDC4039\2016-11-12 --exclude "*" --recursive --include "*20161112*" &amp; "%USERPROFILE%\Documents\GitHub\mrs-test-scripts\Headless Mode &amp; Sideloading\WalkAndUnGZ.bat" "%USERPROFILE%\AppData\Local\Temp\OnboardLogs"\RTDC4039\2016-11-12 &amp; aws s3 cp s3://rtdc.mdm.uploadarchive.raw/RTDC4039/ "%USERPROFILE%\AppData\Local\Temp\OnboardLogs"\RTDC4039\2016-11-13 --exclude "*" --recursive --include "*20161113*" &amp; "%USERPROFILE%\Documents\GitHub\mrs-test-scripts\Headless Mode &amp; Sideloading\WalkAndUnGZ.bat" "%USERPROFILE%\AppData\Local\Temp\OnboardLogs"\RTDC4039\2016-11-13</v>
      </c>
      <c r="AF154" s="88" t="str">
        <f t="shared" si="49"/>
        <v>"C:\Program Files (x86)\AstroGrep\AstroGrep.exe" /spath="%USERPROFILE%\AppData\Local\Temp\OnboardLogs" /stypes="app*4039*20161112*" /stext=" 08:.+((SYSTEM_STATE.+slice.+state.+changed )|(ment ac)|(system.+state.+changed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242-11 --locoid 4039 --swversion DE.1.0.8.0 --startMP 204:232966 --initTime 2016-11-12T00:47:18 --startdatetime 2016-11-12T00:56:23 --delay 1 --endMP 204:167 --enddatetime 2016-11-12T01:35:18 --enforcementcount 0 &gt;&gt;C:\Users\stu\Documents\GitHub\eaglep3-reporting\EC\2016-11-11-refined-times.txt</v>
      </c>
      <c r="AI154" s="119" t="str">
        <f t="shared" si="52"/>
        <v>echo {"issue":{"subject":"","project_id":79,"tracker_id":40,"status_id":1,"priority_id":2,"assigned_to_id":23,"start_date":"2016-11-12","description":"","custom_fields":[{"id":1,"name":"Subdivision","value":"EC"},{"id":4,"name":"Milepost","value":"0.0167"},{"id":17,"name":"Train ID","value":"242-11"},{"id":16,"name":"Locomotive ID","value":"4039"},{"id":130,"name":"Impact","value":""},{"id":150,"name":"Time of Event (Mountain Time)","value":"01:35:18"},{"id":151,"name":"Denver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636</v>
      </c>
      <c r="B155" s="7">
        <v>4009</v>
      </c>
      <c r="C155" s="22" t="s">
        <v>225</v>
      </c>
      <c r="D155" s="22" t="s">
        <v>201</v>
      </c>
      <c r="E155" s="13">
        <v>42686.002974537034</v>
      </c>
      <c r="F155" s="13">
        <v>42686.021307870367</v>
      </c>
      <c r="G155" s="7">
        <v>1</v>
      </c>
      <c r="H155" s="22" t="s">
        <v>702</v>
      </c>
      <c r="I155" s="13">
        <v>42686.04519675926</v>
      </c>
      <c r="J155" s="7">
        <v>0</v>
      </c>
      <c r="K155" s="109" t="str">
        <f t="shared" si="36"/>
        <v>4009/4010</v>
      </c>
      <c r="L155" s="22" t="str">
        <f>VLOOKUP(A155,'Trips&amp;Operators'!$C$1:$E$10000,3,FALSE)</f>
        <v>STAMBAUGH</v>
      </c>
      <c r="M155" s="6">
        <f t="shared" si="37"/>
        <v>2.3888888892543036E-2</v>
      </c>
      <c r="N155" s="7">
        <f t="shared" si="38"/>
        <v>34.400000005261973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23:04:17-700',mode:absolute,to:'2016-11-12 02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5" s="52" t="str">
        <f t="shared" si="42"/>
        <v>N</v>
      </c>
      <c r="X155" s="177">
        <f t="shared" si="43"/>
        <v>1</v>
      </c>
      <c r="Y155" s="67">
        <f t="shared" si="44"/>
        <v>4.53E-2</v>
      </c>
      <c r="Z155" s="67">
        <f t="shared" si="45"/>
        <v>23.336600000000001</v>
      </c>
      <c r="AA155" s="67">
        <f t="shared" si="46"/>
        <v>23.2913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47"/>
        <v>0243-11</v>
      </c>
      <c r="AE155" s="91" t="str">
        <f t="shared" si="48"/>
        <v>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 &amp; aws s3 cp s3://rtdc.mdm.uploadarchive.raw/RTDC4009/ "%USERPROFILE%\AppData\Local\Temp\OnboardLogs"\RTDC4009\2016-11-13 --exclude "*" --recursive --include "*20161113*" &amp; "%USERPROFILE%\Documents\GitHub\mrs-test-scripts\Headless Mode &amp; Sideloading\WalkAndUnGZ.bat" "%USERPROFILE%\AppData\Local\Temp\OnboardLogs"\RTDC4009\2016-11-13</v>
      </c>
      <c r="AF155" s="88" t="str">
        <f t="shared" si="49"/>
        <v>"C:\Program Files (x86)\AstroGrep\AstroGrep.exe" /spath="%USERPROFILE%\AppData\Local\Temp\OnboardLogs" /stypes="app*4009*20161112*" /stext=" 08:.+((SYSTEM_STATE.+slice.+state.+changed )|(ment ac)|(system.+state.+changed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243-11 --locoid 4009 --swversion DE.1.0.8.0 --startMP 204:453 --initTime 2016-11-12T00:04:17 --startdatetime 2016-11-12T00:30:41 --delay 1 --endMP 204:233366 --enddatetime 2016-11-12T01:05:05 --enforcementcount 0 &gt;&gt;C:\Users\stu\Documents\GitHub\eaglep3-reporting\EC\2016-11-11-refined-times.txt</v>
      </c>
      <c r="AI155" s="119" t="str">
        <f t="shared" si="52"/>
        <v>echo {"issue":{"subject":"","project_id":79,"tracker_id":40,"status_id":1,"priority_id":2,"assigned_to_id":23,"start_date":"2016-11-12","description":"","custom_fields":[{"id":1,"name":"Subdivision","value":"EC"},{"id":4,"name":"Milepost","value":"23.3366"},{"id":17,"name":"Train ID","value":"243-11"},{"id":16,"name":"Locomotive ID","value":"4009"},{"id":130,"name":"Impact","value":""},{"id":150,"name":"Time of Event (Mountain Time)","value":"01:05:05"},{"id":151,"name":"Denver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x14ac:dyDescent="0.25">
      <c r="A156" s="37" t="s">
        <v>641</v>
      </c>
      <c r="B156" s="7">
        <v>4010</v>
      </c>
      <c r="C156" s="22" t="s">
        <v>225</v>
      </c>
      <c r="D156" s="22" t="s">
        <v>703</v>
      </c>
      <c r="E156" s="13">
        <v>42686.051724537036</v>
      </c>
      <c r="F156" s="13">
        <v>42686.059895833336</v>
      </c>
      <c r="G156" s="7">
        <v>1</v>
      </c>
      <c r="H156" s="22" t="s">
        <v>287</v>
      </c>
      <c r="I156" s="13">
        <v>42686.085312499999</v>
      </c>
      <c r="J156" s="7">
        <v>0</v>
      </c>
      <c r="K156" s="109" t="str">
        <f t="shared" si="36"/>
        <v>4009/4010</v>
      </c>
      <c r="L156" s="22" t="str">
        <f>VLOOKUP(A156,'Trips&amp;Operators'!$C$1:$E$10000,3,FALSE)</f>
        <v>STAMBAUGH</v>
      </c>
      <c r="M156" s="6">
        <f t="shared" si="37"/>
        <v>2.5416666663659271E-2</v>
      </c>
      <c r="N156" s="7">
        <f t="shared" si="38"/>
        <v>36.59999999566935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https://search-rtdc-monitor-bjffxe2xuh6vdkpspy63sjmuny.us-east-1.es.amazonaws.com/_plugin/kibana/#/discover/Steve-Slow-Train-Analysis-(2080s-and-2083s)?_g=(refreshInterval:(display:Off,section:0,value:0),time:(from:'2016-11-12 00:14:29-700',mode:absolute,to:'2016-11-12 03:02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6" s="52" t="str">
        <f t="shared" si="42"/>
        <v>N</v>
      </c>
      <c r="X156" s="177">
        <f t="shared" si="43"/>
        <v>1</v>
      </c>
      <c r="Y156" s="67">
        <f t="shared" si="44"/>
        <v>23.307600000000001</v>
      </c>
      <c r="Z156" s="67">
        <f t="shared" si="45"/>
        <v>1.7399999999999999E-2</v>
      </c>
      <c r="AA156" s="67">
        <f t="shared" si="46"/>
        <v>23.290200000000002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47"/>
        <v>0244-11</v>
      </c>
      <c r="AE156" s="91" t="str">
        <f t="shared" si="48"/>
        <v>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 &amp; aws s3 cp s3://rtdc.mdm.uploadarchive.raw/RTDC4010/ "%USERPROFILE%\AppData\Local\Temp\OnboardLogs"\RTDC4010\2016-11-13 --exclude "*" --recursive --include "*20161113*" &amp; "%USERPROFILE%\Documents\GitHub\mrs-test-scripts\Headless Mode &amp; Sideloading\WalkAndUnGZ.bat" "%USERPROFILE%\AppData\Local\Temp\OnboardLogs"\RTDC4010\2016-11-13</v>
      </c>
      <c r="AF156" s="88" t="str">
        <f t="shared" si="49"/>
        <v>"C:\Program Files (x86)\AstroGrep\AstroGrep.exe" /spath="%USERPROFILE%\AppData\Local\Temp\OnboardLogs" /stypes="app*4010*20161112*" /stext=" 09:.+((SYSTEM_STATE.+slice.+state.+changed )|(ment ac)|(system.+state.+changed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244-11 --locoid 4010 --swversion DE.1.0.8.0 --startMP 204:233076 --initTime 2016-11-12T01:14:29 --startdatetime 2016-11-12T01:26:15 --delay 1 --endMP 204:174 --enddatetime 2016-11-12T02:02:51 --enforcementcount 0 &gt;&gt;C:\Users\stu\Documents\GitHub\eaglep3-reporting\EC\2016-11-11-refined-times.txt</v>
      </c>
      <c r="AI156" s="119" t="str">
        <f t="shared" si="52"/>
        <v>echo {"issue":{"subject":"","project_id":79,"tracker_id":40,"status_id":1,"priority_id":2,"assigned_to_id":23,"start_date":"2016-11-12","description":"","custom_fields":[{"id":1,"name":"Subdivision","value":"EC"},{"id":4,"name":"Milepost","value":"0.0174"},{"id":17,"name":"Train ID","value":"244-11"},{"id":16,"name":"Locomotive ID","value":"4010"},{"id":130,"name":"Impact","value":""},{"id":150,"name":"Time of Event (Mountain Time)","value":"02:02:51"},{"id":151,"name":"Denver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s="21" customFormat="1" x14ac:dyDescent="0.25">
      <c r="A157" s="37" t="s">
        <v>639</v>
      </c>
      <c r="B157" s="7">
        <v>4003</v>
      </c>
      <c r="C157" s="22" t="s">
        <v>225</v>
      </c>
      <c r="D157" s="22" t="s">
        <v>202</v>
      </c>
      <c r="E157" s="13">
        <v>42686.036597222221</v>
      </c>
      <c r="F157" s="13">
        <v>42686.041851851849</v>
      </c>
      <c r="G157" s="7">
        <v>1</v>
      </c>
      <c r="H157" s="22" t="s">
        <v>272</v>
      </c>
      <c r="I157" s="13">
        <v>42686.066388888888</v>
      </c>
      <c r="J157" s="7">
        <v>0</v>
      </c>
      <c r="K157" s="109" t="str">
        <f t="shared" si="36"/>
        <v>4003/4004</v>
      </c>
      <c r="L157" s="22" t="str">
        <f>VLOOKUP(A157,'Trips&amp;Operators'!$C$1:$E$10000,3,FALSE)</f>
        <v>LEVIN</v>
      </c>
      <c r="M157" s="6">
        <f t="shared" si="37"/>
        <v>2.453703703940846E-2</v>
      </c>
      <c r="N157" s="7">
        <f t="shared" si="38"/>
        <v>35.333333336748183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23:52:42-700',mode:absolute,to:'2016-11-12 02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7" s="52" t="str">
        <f t="shared" si="42"/>
        <v>N</v>
      </c>
      <c r="X157" s="177">
        <f t="shared" si="43"/>
        <v>1</v>
      </c>
      <c r="Y157" s="67">
        <f t="shared" si="44"/>
        <v>4.5499999999999999E-2</v>
      </c>
      <c r="Z157" s="67">
        <f t="shared" si="45"/>
        <v>23.331900000000001</v>
      </c>
      <c r="AA157" s="67">
        <f t="shared" si="46"/>
        <v>23.2864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47"/>
        <v>0245-11</v>
      </c>
      <c r="AE157" s="91" t="str">
        <f t="shared" si="48"/>
        <v>aws s3 cp s3://rtdc.mdm.uploadarchive.raw/RTDC4003/ "%USERPROFILE%\AppData\Local\Temp\OnboardLogs"\RTDC4003\2016-11-12 --exclude "*" --recursive --include "*20161112*" &amp; "%USERPROFILE%\Documents\GitHub\mrs-test-scripts\Headless Mode &amp; Sideloading\WalkAndUnGZ.bat" "%USERPROFILE%\AppData\Local\Temp\OnboardLogs"\RTDC4003\2016-11-12 &amp; aws s3 cp s3://rtdc.mdm.uploadarchive.raw/RTDC4003/ "%USERPROFILE%\AppData\Local\Temp\OnboardLogs"\RTDC4003\2016-11-13 --exclude "*" --recursive --include "*20161113*" &amp; "%USERPROFILE%\Documents\GitHub\mrs-test-scripts\Headless Mode &amp; Sideloading\WalkAndUnGZ.bat" "%USERPROFILE%\AppData\Local\Temp\OnboardLogs"\RTDC4003\2016-11-13</v>
      </c>
      <c r="AF157" s="88" t="str">
        <f t="shared" si="49"/>
        <v>"C:\Program Files (x86)\AstroGrep\AstroGrep.exe" /spath="%USERPROFILE%\AppData\Local\Temp\OnboardLogs" /stypes="app*4003*20161112*" /stext=" 08:.+((SYSTEM_STATE.+slice.+state.+changed )|(ment ac)|(system.+state.+changed )|(\[timeout)|(PRM\|1\|D)|(kpr)|(kdp)|(\|lc)|(penalty))"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245-11 --locoid 4003 --swversion DE.1.0.8.0 --startMP 204:455 --initTime 2016-11-12T00:52:42 --startdatetime 2016-11-12T01:00:16 --delay 1 --endMP 204:233319 --enddatetime 2016-11-12T01:35:36 --enforcementcount 0 &gt;&gt;C:\Users\stu\Documents\GitHub\eaglep3-reporting\EC\2016-11-11-refined-times.txt</v>
      </c>
      <c r="AI157" s="119" t="str">
        <f t="shared" si="52"/>
        <v>echo {"issue":{"subject":"","project_id":79,"tracker_id":40,"status_id":1,"priority_id":2,"assigned_to_id":23,"start_date":"2016-11-12","description":"","custom_fields":[{"id":1,"name":"Subdivision","value":"EC"},{"id":4,"name":"Milepost","value":"23.3319"},{"id":17,"name":"Train ID","value":"245-11"},{"id":16,"name":"Locomotive ID","value":"4003"},{"id":130,"name":"Impact","value":""},{"id":150,"name":"Time of Event (Mountain Time)","value":"01:35:36"},{"id":151,"name":"Denver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704</v>
      </c>
      <c r="B158" s="7">
        <v>4004</v>
      </c>
      <c r="C158" s="22" t="s">
        <v>225</v>
      </c>
      <c r="D158" s="22" t="s">
        <v>388</v>
      </c>
      <c r="E158" s="13">
        <v>42686.07712962963</v>
      </c>
      <c r="F158" s="13">
        <v>42686.080740740741</v>
      </c>
      <c r="G158" s="7">
        <v>1</v>
      </c>
      <c r="H158" s="22" t="s">
        <v>176</v>
      </c>
      <c r="I158" s="13">
        <v>42686.106423611112</v>
      </c>
      <c r="J158" s="7">
        <v>0</v>
      </c>
      <c r="K158" s="109" t="str">
        <f t="shared" si="36"/>
        <v>4003/4004</v>
      </c>
      <c r="L158" s="22" t="e">
        <f>VLOOKUP(A158,'Trips&amp;Operators'!$C$1:$E$10000,3,FALSE)</f>
        <v>#N/A</v>
      </c>
      <c r="M158" s="6">
        <f t="shared" si="37"/>
        <v>2.5682870371383615E-2</v>
      </c>
      <c r="N158" s="7">
        <f t="shared" si="38"/>
        <v>36.983333334792405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https://search-rtdc-monitor-bjffxe2xuh6vdkpspy63sjmuny.us-east-1.es.amazonaws.com/_plugin/kibana/#/discover/Steve-Slow-Train-Analysis-(2080s-and-2083s)?_g=(refreshInterval:(display:Off,section:0,value:0),time:(from:'2016-11-12 00:51:04-700',mode:absolute,to:'2016-11-12 03:33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8" s="52" t="str">
        <f t="shared" si="42"/>
        <v>N</v>
      </c>
      <c r="X158" s="177">
        <f t="shared" si="43"/>
        <v>1</v>
      </c>
      <c r="Y158" s="67">
        <f t="shared" si="44"/>
        <v>23.300799999999999</v>
      </c>
      <c r="Z158" s="67">
        <f t="shared" si="45"/>
        <v>1.52E-2</v>
      </c>
      <c r="AA158" s="67">
        <f t="shared" si="46"/>
        <v>23.285599999999999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47"/>
        <v>0246-11</v>
      </c>
      <c r="AE158" s="91" t="str">
        <f t="shared" si="48"/>
        <v>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 &amp; aws s3 cp s3://rtdc.mdm.uploadarchive.raw/RTDC4004/ "%USERPROFILE%\AppData\Local\Temp\OnboardLogs"\RTDC4004\2016-11-13 --exclude "*" --recursive --include "*20161113*" &amp; "%USERPROFILE%\Documents\GitHub\mrs-test-scripts\Headless Mode &amp; Sideloading\WalkAndUnGZ.bat" "%USERPROFILE%\AppData\Local\Temp\OnboardLogs"\RTDC4004\2016-11-13</v>
      </c>
      <c r="AF158" s="88" t="str">
        <f t="shared" si="49"/>
        <v>"C:\Program Files (x86)\AstroGrep\AstroGrep.exe" /spath="%USERPROFILE%\AppData\Local\Temp\OnboardLogs" /stypes="app*4004*20161112*" /stext=" 09:.+((SYSTEM_STATE.+slice.+state.+changed )|(ment ac)|(system.+state.+changed )|(\[timeout)|(PRM\|1\|D)|(kpr)|(kdp)|(\|lc)|(penalty))"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246-11 --locoid 4004 --swversion DE.1.0.8.0 --startMP 204:233008 --initTime 2016-11-12T01:51:04 --startdatetime 2016-11-12T01:56:16 --delay 1 --endMP 204:152 --enddatetime 2016-11-12T02:33:15 --enforcementcount 0 &gt;&gt;C:\Users\stu\Documents\GitHub\eaglep3-reporting\EC\2016-11-11-refined-times.txt</v>
      </c>
      <c r="AI158" s="119" t="str">
        <f t="shared" si="52"/>
        <v>echo {"issue":{"subject":"","project_id":79,"tracker_id":40,"status_id":1,"priority_id":2,"assigned_to_id":23,"start_date":"2016-11-12","description":"","custom_fields":[{"id":1,"name":"Subdivision","value":"EC"},{"id":4,"name":"Milepost","value":"0.0152"},{"id":17,"name":"Train ID","value":"246-11"},{"id":16,"name":"Locomotive ID","value":"4004"},{"id":130,"name":"Impact","value":""},{"id":150,"name":"Time of Event (Mountain Time)","value":"02:33:15"},{"id":151,"name":"Denver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460</v>
      </c>
      <c r="B159" s="7">
        <v>4015</v>
      </c>
      <c r="C159" s="22" t="s">
        <v>225</v>
      </c>
      <c r="D159" s="22" t="s">
        <v>398</v>
      </c>
      <c r="E159" s="13">
        <v>42685.210289351853</v>
      </c>
      <c r="F159" s="13">
        <v>42685.212152777778</v>
      </c>
      <c r="G159" s="7">
        <v>1</v>
      </c>
      <c r="H159" s="22" t="s">
        <v>730</v>
      </c>
      <c r="I159" s="13">
        <v>42685.226666666669</v>
      </c>
      <c r="J159" s="7">
        <v>0</v>
      </c>
      <c r="K159" s="109" t="str">
        <f t="shared" si="36"/>
        <v>4015/4016</v>
      </c>
      <c r="L159" s="22" t="str">
        <f>VLOOKUP(A159,'Trips&amp;Operators'!$C$1:$E$10000,3,FALSE)</f>
        <v>STRICKLAND</v>
      </c>
      <c r="M159" s="6">
        <f t="shared" si="37"/>
        <v>1.4513888891087845E-2</v>
      </c>
      <c r="N159" s="7">
        <f t="shared" si="38"/>
        <v>20.900000003166497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04:02:49-700',mode:absolute,to:'2016-11-11 06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9" s="52" t="str">
        <f t="shared" si="42"/>
        <v>N</v>
      </c>
      <c r="X159" s="177">
        <f t="shared" si="43"/>
        <v>554</v>
      </c>
      <c r="Y159" s="67">
        <f t="shared" si="44"/>
        <v>5.8620999999999999</v>
      </c>
      <c r="Z159" s="67">
        <f t="shared" si="45"/>
        <v>7.7100000000000002E-2</v>
      </c>
      <c r="AA159" s="67">
        <f t="shared" si="46"/>
        <v>5.7850000000000001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47"/>
        <v>0800-11</v>
      </c>
      <c r="AE159" s="91" t="str">
        <f t="shared" si="48"/>
        <v>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 &amp; 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</v>
      </c>
      <c r="AF159" s="88" t="str">
        <f t="shared" si="49"/>
        <v>"C:\Program Files (x86)\AstroGrep\AstroGrep.exe" /spath="%USERPROFILE%\AppData\Local\Temp\OnboardLogs" /stypes="app*4015*20161111*" /stext=" 12:.+((SYSTEM_STATE.+slice.+state.+changed )|(ment ac)|(system.+state.+changed )|(\[timeout)|(PRM\|1\|D)|(kpr)|(kdp)|(\|lc)|(penalty))" /e /r /s</v>
      </c>
      <c r="AG159" s="1" t="str">
        <f t="shared" si="50"/>
        <v>NW</v>
      </c>
      <c r="AH159" s="92" t="str">
        <f t="shared" si="51"/>
        <v>"%USERPROFILE%\Documents\GitHub\eaglep3\Utilities\RefineRTDCRunTimes.py" --tripid 800-11 --locoid 4015 --swversion DE.1.0.8.0 --startMP 300:58621 --initTime 2016-11-11T05:02:49 --startdatetime 2016-11-11T05:05:30 --delay 1 --endMP 204:771 --enddatetime 2016-11-11T05:26:24 --enforcementcount 0 &gt;&gt;C:\Users\stu\Documents\GitHub\eaglep3-reporting\EC\2016-11-11-refined-times.txt</v>
      </c>
      <c r="AI159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{"issue":{"subject":"","project_id":79,"tracker_id":40,"status_id":1,"priority_id":2,"assigned_to_id":23,"start_date":"2016-11-11","description":"","custom_fields":[{"id":1,"name":"Subdivision","value":"NW"},{"id":4,"name":"Milepost","value":"0.0771"},{"id":17,"name":"Train ID","value":"800-11"},{"id":16,"name":"Locomotive ID","value":"4015"},{"id":130,"name":"Impact","value":""},{"id":150,"name":"Time of Event (Mountain Time)","value":"05:26:24"},{"id":151,"name":"Denver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412</v>
      </c>
      <c r="B160" s="7">
        <v>4016</v>
      </c>
      <c r="C160" s="22" t="s">
        <v>225</v>
      </c>
      <c r="D160" s="22" t="s">
        <v>731</v>
      </c>
      <c r="E160" s="13">
        <v>42685.228449074071</v>
      </c>
      <c r="F160" s="13">
        <v>42685.243981481479</v>
      </c>
      <c r="G160" s="7">
        <v>1</v>
      </c>
      <c r="H160" s="22" t="s">
        <v>402</v>
      </c>
      <c r="I160" s="13">
        <v>42685.255937499998</v>
      </c>
      <c r="J160" s="7">
        <v>0</v>
      </c>
      <c r="K160" s="109" t="str">
        <f t="shared" si="36"/>
        <v>4015/4016</v>
      </c>
      <c r="L160" s="22" t="str">
        <f>VLOOKUP(A160,'Trips&amp;Operators'!$C$1:$E$10000,3,FALSE)</f>
        <v>STRICKLAND</v>
      </c>
      <c r="M160" s="6">
        <f t="shared" si="37"/>
        <v>1.1956018519413192E-2</v>
      </c>
      <c r="N160" s="7">
        <f t="shared" si="38"/>
        <v>17.216666667954996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04:28:58-700',mode:absolute,to:'2016-11-11 07:08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0" s="52" t="str">
        <f t="shared" si="42"/>
        <v>N</v>
      </c>
      <c r="X160" s="177">
        <f t="shared" si="43"/>
        <v>1</v>
      </c>
      <c r="Y160" s="67">
        <f t="shared" si="44"/>
        <v>0.1048</v>
      </c>
      <c r="Z160" s="67">
        <f t="shared" si="45"/>
        <v>5.8924000000000003</v>
      </c>
      <c r="AA160" s="67">
        <f t="shared" si="46"/>
        <v>5.7876000000000003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47"/>
        <v>0801-11</v>
      </c>
      <c r="AE160" s="91" t="str">
        <f t="shared" si="48"/>
        <v>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 &amp; aws s3 cp s3://rtdc.mdm.uploadarchive.raw/RTDC4016/ "%USERPROFILE%\AppData\Local\Temp\OnboardLogs"\RTDC4016\2016-11-12 --exclude "*" --recursive --include "*20161112*" &amp; "%USERPROFILE%\Documents\GitHub\mrs-test-scripts\Headless Mode &amp; Sideloading\WalkAndUnGZ.bat" "%USERPROFILE%\AppData\Local\Temp\OnboardLogs"\RTDC4016\2016-11-12</v>
      </c>
      <c r="AF160" s="88" t="str">
        <f t="shared" si="49"/>
        <v>"C:\Program Files (x86)\AstroGrep\AstroGrep.exe" /spath="%USERPROFILE%\AppData\Local\Temp\OnboardLogs" /stypes="app*4016*20161111*" /stext=" 13:.+((SYSTEM_STATE.+slice.+state.+changed )|(ment ac)|(system.+state.+changed )|(\[timeout)|(PRM\|1\|D)|(kpr)|(kdp)|(\|lc)|(penalty))" /e /r /s</v>
      </c>
      <c r="AG160" s="1" t="str">
        <f t="shared" si="50"/>
        <v>NW</v>
      </c>
      <c r="AH160" s="92" t="str">
        <f t="shared" si="51"/>
        <v>"%USERPROFILE%\Documents\GitHub\eaglep3\Utilities\RefineRTDCRunTimes.py" --tripid 801-11 --locoid 4016 --swversion DE.1.0.8.0 --startMP 204:1048 --initTime 2016-11-11T05:28:58 --startdatetime 2016-11-11T05:51:20 --delay 1 --endMP 300:58924 --enddatetime 2016-11-11T06:08:33 --enforcementcount 0 &gt;&gt;C:\Users\stu\Documents\GitHub\eaglep3-reporting\EC\2016-11-11-refined-times.txt</v>
      </c>
      <c r="AI160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{"issue":{"subject":"","project_id":79,"tracker_id":40,"status_id":1,"priority_id":2,"assigned_to_id":23,"start_date":"2016-11-11","description":"","custom_fields":[{"id":1,"name":"Subdivision","value":"NW"},{"id":4,"name":"Milepost","value":"5.8924"},{"id":17,"name":"Train ID","value":"801-11"},{"id":16,"name":"Locomotive ID","value":"4016"},{"id":130,"name":"Impact","value":""},{"id":150,"name":"Time of Event (Mountain Time)","value":"06:08:33"},{"id":151,"name":"Denver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413</v>
      </c>
      <c r="B161" s="7">
        <v>4015</v>
      </c>
      <c r="C161" s="22" t="s">
        <v>225</v>
      </c>
      <c r="D161" s="22" t="s">
        <v>407</v>
      </c>
      <c r="E161" s="13">
        <v>42685.256932870368</v>
      </c>
      <c r="F161" s="13">
        <v>42685.258356481485</v>
      </c>
      <c r="G161" s="7">
        <v>1</v>
      </c>
      <c r="H161" s="22" t="s">
        <v>732</v>
      </c>
      <c r="I161" s="13">
        <v>42685.269629629627</v>
      </c>
      <c r="J161" s="7">
        <v>0</v>
      </c>
      <c r="K161" s="109" t="str">
        <f t="shared" si="36"/>
        <v>4015/4016</v>
      </c>
      <c r="L161" s="22" t="str">
        <f>VLOOKUP(A161,'Trips&amp;Operators'!$C$1:$E$10000,3,FALSE)</f>
        <v>STRICKLAND</v>
      </c>
      <c r="M161" s="6">
        <f t="shared" si="37"/>
        <v>1.1273148142208811E-2</v>
      </c>
      <c r="N161" s="7">
        <f t="shared" si="38"/>
        <v>16.233333324780688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05:09:59-700',mode:absolute,to:'2016-11-11 07:28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1" s="52" t="str">
        <f t="shared" si="42"/>
        <v>N</v>
      </c>
      <c r="X161" s="177">
        <f t="shared" si="43"/>
        <v>1</v>
      </c>
      <c r="Y161" s="67">
        <f t="shared" si="44"/>
        <v>5.8601999999999999</v>
      </c>
      <c r="Z161" s="67">
        <f t="shared" si="45"/>
        <v>7.9000000000000001E-2</v>
      </c>
      <c r="AA161" s="67">
        <f t="shared" si="46"/>
        <v>5.7812000000000001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47"/>
        <v>0802-11</v>
      </c>
      <c r="AE161" s="91" t="str">
        <f t="shared" si="48"/>
        <v>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 &amp; 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</v>
      </c>
      <c r="AF161" s="88" t="str">
        <f t="shared" si="49"/>
        <v>"C:\Program Files (x86)\AstroGrep\AstroGrep.exe" /spath="%USERPROFILE%\AppData\Local\Temp\OnboardLogs" /stypes="app*4015*20161111*" /stext=" 13:.+((SYSTEM_STATE.+slice.+state.+changed )|(ment ac)|(system.+state.+changed )|(\[timeout)|(PRM\|1\|D)|(kpr)|(kdp)|(\|lc)|(penalty))"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802-11 --locoid 4015 --swversion DE.1.0.8.0 --startMP 300:58602 --initTime 2016-11-11T06:09:59 --startdatetime 2016-11-11T06:12:02 --delay 1 --endMP 204:790 --enddatetime 2016-11-11T06:28:16 --enforcementcount 0 &gt;&gt;C:\Users\stu\Documents\GitHub\eaglep3-reporting\EC\2016-11-11-refined-times.txt</v>
      </c>
      <c r="AI161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{"issue":{"subject":"","project_id":79,"tracker_id":40,"status_id":1,"priority_id":2,"assigned_to_id":23,"start_date":"2016-11-11","description":"","custom_fields":[{"id":1,"name":"Subdivision","value":"NW"},{"id":4,"name":"Milepost","value":"0.079"},{"id":17,"name":"Train ID","value":"802-11"},{"id":16,"name":"Locomotive ID","value":"4015"},{"id":130,"name":"Impact","value":""},{"id":150,"name":"Time of Event (Mountain Time)","value":"06:28:16"},{"id":151,"name":"Denver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470</v>
      </c>
      <c r="B162" s="7">
        <v>4042</v>
      </c>
      <c r="C162" s="22" t="s">
        <v>225</v>
      </c>
      <c r="D162" s="22" t="s">
        <v>733</v>
      </c>
      <c r="E162" s="13">
        <v>42685.263124999998</v>
      </c>
      <c r="F162" s="13">
        <v>42685.265023148146</v>
      </c>
      <c r="G162" s="7">
        <v>1</v>
      </c>
      <c r="H162" s="22" t="s">
        <v>322</v>
      </c>
      <c r="I162" s="13">
        <v>42685.275717592594</v>
      </c>
      <c r="J162" s="7">
        <v>0</v>
      </c>
      <c r="K162" s="109" t="str">
        <f t="shared" si="36"/>
        <v>4041/4042</v>
      </c>
      <c r="L162" s="22" t="str">
        <f>VLOOKUP(A162,'Trips&amp;Operators'!$C$1:$E$10000,3,FALSE)</f>
        <v>HAITHCOX</v>
      </c>
      <c r="M162" s="6">
        <f t="shared" si="37"/>
        <v>1.0694444448745344E-2</v>
      </c>
      <c r="N162" s="7">
        <f t="shared" si="38"/>
        <v>15.400000006193295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05:18:54-700',mode:absolute,to:'2016-11-11 07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2" s="52" t="str">
        <f t="shared" si="42"/>
        <v>N</v>
      </c>
      <c r="X162" s="177">
        <f t="shared" si="43"/>
        <v>1</v>
      </c>
      <c r="Y162" s="67">
        <f t="shared" si="44"/>
        <v>9.8599999999999993E-2</v>
      </c>
      <c r="Z162" s="67">
        <f t="shared" si="45"/>
        <v>5.8936999999999999</v>
      </c>
      <c r="AA162" s="67">
        <f t="shared" si="46"/>
        <v>5.7950999999999997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47"/>
        <v>0803-11</v>
      </c>
      <c r="AE162" s="91" t="str">
        <f t="shared" si="48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162" s="88" t="str">
        <f t="shared" si="49"/>
        <v>"C:\Program Files (x86)\AstroGrep\AstroGrep.exe" /spath="%USERPROFILE%\AppData\Local\Temp\OnboardLogs" /stypes="app*4042*20161111*" /stext=" 13:.+((SYSTEM_STATE.+slice.+state.+changed )|(ment ac)|(system.+state.+changed )|(\[timeout)|(PRM\|1\|D)|(kpr)|(kdp)|(\|lc)|(penalty))"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803-11 --locoid 4042 --swversion DE.1.0.8.0 --startMP 204:986 --initTime 2016-11-11T06:18:54 --startdatetime 2016-11-11T06:21:38 --delay 1 --endMP 300:58937 --enddatetime 2016-11-11T06:37:02 --enforcementcount 0 &gt;&gt;C:\Users\stu\Documents\GitHub\eaglep3-reporting\EC\2016-11-11-refined-times.txt</v>
      </c>
      <c r="AI162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{"issue":{"subject":"","project_id":79,"tracker_id":40,"status_id":1,"priority_id":2,"assigned_to_id":23,"start_date":"2016-11-11","description":"","custom_fields":[{"id":1,"name":"Subdivision","value":"NW"},{"id":4,"name":"Milepost","value":"5.8937"},{"id":17,"name":"Train ID","value":"803-11"},{"id":16,"name":"Locomotive ID","value":"4042"},{"id":130,"name":"Impact","value":""},{"id":150,"name":"Time of Event (Mountain Time)","value":"06:37:02"},{"id":151,"name":"Denver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416</v>
      </c>
      <c r="B163" s="7">
        <v>4041</v>
      </c>
      <c r="C163" s="22" t="s">
        <v>225</v>
      </c>
      <c r="D163" s="22" t="s">
        <v>395</v>
      </c>
      <c r="E163" s="13">
        <v>42685.277002314811</v>
      </c>
      <c r="F163" s="13">
        <v>42685.279108796298</v>
      </c>
      <c r="G163" s="7">
        <v>1</v>
      </c>
      <c r="H163" s="22" t="s">
        <v>734</v>
      </c>
      <c r="I163" s="13">
        <v>42685.289189814815</v>
      </c>
      <c r="J163" s="7">
        <v>0</v>
      </c>
      <c r="K163" s="109" t="str">
        <f t="shared" si="36"/>
        <v>4041/4042</v>
      </c>
      <c r="L163" s="22" t="str">
        <f>VLOOKUP(A163,'Trips&amp;Operators'!$C$1:$E$10000,3,FALSE)</f>
        <v>HAITHCOX</v>
      </c>
      <c r="M163" s="6">
        <f t="shared" si="37"/>
        <v>1.0081018517666962E-2</v>
      </c>
      <c r="N163" s="7">
        <f t="shared" si="38"/>
        <v>14.516666665440425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05:38:53-700',mode:absolute,to:'2016-11-11 07:56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3" s="52" t="str">
        <f t="shared" si="42"/>
        <v>N</v>
      </c>
      <c r="X163" s="177">
        <f t="shared" si="43"/>
        <v>1</v>
      </c>
      <c r="Y163" s="67">
        <f t="shared" si="44"/>
        <v>5.8616999999999999</v>
      </c>
      <c r="Z163" s="67">
        <f t="shared" si="45"/>
        <v>7.22E-2</v>
      </c>
      <c r="AA163" s="67">
        <f t="shared" si="46"/>
        <v>5.7895000000000003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47"/>
        <v>0804-11</v>
      </c>
      <c r="AE163" s="91" t="str">
        <f t="shared" si="48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163" s="88" t="str">
        <f t="shared" si="49"/>
        <v>"C:\Program Files (x86)\AstroGrep\AstroGrep.exe" /spath="%USERPROFILE%\AppData\Local\Temp\OnboardLogs" /stypes="app*4041*20161111*" /stext=" 13:.+((SYSTEM_STATE.+slice.+state.+changed )|(ment ac)|(system.+state.+changed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804-11 --locoid 4041 --swversion DE.1.0.8.0 --startMP 300:58617 --initTime 2016-11-11T06:38:53 --startdatetime 2016-11-11T06:41:55 --delay 1 --endMP 204:722 --enddatetime 2016-11-11T06:56:26 --enforcementcount 0 &gt;&gt;C:\Users\stu\Documents\GitHub\eaglep3-reporting\EC\2016-11-11-refined-times.txt</v>
      </c>
      <c r="AI163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{"issue":{"subject":"","project_id":79,"tracker_id":40,"status_id":1,"priority_id":2,"assigned_to_id":23,"start_date":"2016-11-11","description":"","custom_fields":[{"id":1,"name":"Subdivision","value":"NW"},{"id":4,"name":"Milepost","value":"0.0722"},{"id":17,"name":"Train ID","value":"804-11"},{"id":16,"name":"Locomotive ID","value":"4041"},{"id":130,"name":"Impact","value":""},{"id":150,"name":"Time of Event (Mountain Time)","value":"06:56:26"},{"id":151,"name":"Denver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417</v>
      </c>
      <c r="B164" s="7">
        <v>4016</v>
      </c>
      <c r="C164" s="22" t="s">
        <v>225</v>
      </c>
      <c r="D164" s="22" t="s">
        <v>735</v>
      </c>
      <c r="E164" s="13">
        <v>42685.271550925929</v>
      </c>
      <c r="F164" s="13">
        <v>42685.285613425927</v>
      </c>
      <c r="G164" s="7">
        <v>1</v>
      </c>
      <c r="H164" s="22" t="s">
        <v>736</v>
      </c>
      <c r="I164" s="13">
        <v>42685.29619212963</v>
      </c>
      <c r="J164" s="7">
        <v>0</v>
      </c>
      <c r="K164" s="109" t="str">
        <f t="shared" si="36"/>
        <v>4015/4016</v>
      </c>
      <c r="L164" s="22" t="str">
        <f>VLOOKUP(A164,'Trips&amp;Operators'!$C$1:$E$10000,3,FALSE)</f>
        <v>STRICKLAND</v>
      </c>
      <c r="M164" s="6">
        <f t="shared" si="37"/>
        <v>1.0578703702776693E-2</v>
      </c>
      <c r="N164" s="7">
        <f t="shared" si="38"/>
        <v>15.233333331998438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05:31:02-700',mode:absolute,to:'2016-11-11 08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4" s="52" t="str">
        <f t="shared" si="42"/>
        <v>N</v>
      </c>
      <c r="X164" s="177">
        <f t="shared" si="43"/>
        <v>1</v>
      </c>
      <c r="Y164" s="67">
        <f t="shared" si="44"/>
        <v>0.10929999999999999</v>
      </c>
      <c r="Z164" s="67">
        <f t="shared" si="45"/>
        <v>5.8939000000000004</v>
      </c>
      <c r="AA164" s="67">
        <f t="shared" si="46"/>
        <v>5.7846000000000002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47"/>
        <v>0805-11</v>
      </c>
      <c r="AE164" s="91" t="str">
        <f t="shared" si="48"/>
        <v>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 &amp; aws s3 cp s3://rtdc.mdm.uploadarchive.raw/RTDC4016/ "%USERPROFILE%\AppData\Local\Temp\OnboardLogs"\RTDC4016\2016-11-12 --exclude "*" --recursive --include "*20161112*" &amp; "%USERPROFILE%\Documents\GitHub\mrs-test-scripts\Headless Mode &amp; Sideloading\WalkAndUnGZ.bat" "%USERPROFILE%\AppData\Local\Temp\OnboardLogs"\RTDC4016\2016-11-12</v>
      </c>
      <c r="AF164" s="88" t="str">
        <f t="shared" si="49"/>
        <v>"C:\Program Files (x86)\AstroGrep\AstroGrep.exe" /spath="%USERPROFILE%\AppData\Local\Temp\OnboardLogs" /stypes="app*4016*20161111*" /stext=" 14:.+((SYSTEM_STATE.+slice.+state.+changed )|(ment ac)|(system.+state.+changed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805-11 --locoid 4016 --swversion DE.1.0.8.0 --startMP 204:1093 --initTime 2016-11-11T06:31:02 --startdatetime 2016-11-11T06:51:17 --delay 1 --endMP 300:58939 --enddatetime 2016-11-11T07:06:31 --enforcementcount 0 &gt;&gt;C:\Users\stu\Documents\GitHub\eaglep3-reporting\EC\2016-11-11-refined-times.txt</v>
      </c>
      <c r="AI164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{"issue":{"subject":"","project_id":79,"tracker_id":40,"status_id":1,"priority_id":2,"assigned_to_id":23,"start_date":"2016-11-11","description":"","custom_fields":[{"id":1,"name":"Subdivision","value":"NW"},{"id":4,"name":"Milepost","value":"5.8939"},{"id":17,"name":"Train ID","value":"805-11"},{"id":16,"name":"Locomotive ID","value":"4016"},{"id":130,"name":"Impact","value":""},{"id":150,"name":"Time of Event (Mountain Time)","value":"07:06:31"},{"id":151,"name":"Denver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478</v>
      </c>
      <c r="B165" s="7">
        <v>4015</v>
      </c>
      <c r="C165" s="22" t="s">
        <v>225</v>
      </c>
      <c r="D165" s="22" t="s">
        <v>737</v>
      </c>
      <c r="E165" s="13">
        <v>42685.297094907408</v>
      </c>
      <c r="F165" s="13">
        <v>42685.298460648148</v>
      </c>
      <c r="G165" s="7">
        <v>1</v>
      </c>
      <c r="H165" s="22" t="s">
        <v>738</v>
      </c>
      <c r="I165" s="13">
        <v>42685.310590277775</v>
      </c>
      <c r="J165" s="7">
        <v>0</v>
      </c>
      <c r="K165" s="109" t="str">
        <f t="shared" si="36"/>
        <v>4015/4016</v>
      </c>
      <c r="L165" s="22" t="str">
        <f>VLOOKUP(A165,'Trips&amp;Operators'!$C$1:$E$10000,3,FALSE)</f>
        <v>STRICKLAND</v>
      </c>
      <c r="M165" s="6">
        <f t="shared" si="37"/>
        <v>1.2129629627452232E-2</v>
      </c>
      <c r="N165" s="7">
        <f t="shared" si="38"/>
        <v>17.466666663531214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06:07:49-700',mode:absolute,to:'2016-11-11 08:27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5" s="52" t="str">
        <f t="shared" si="42"/>
        <v>N</v>
      </c>
      <c r="X165" s="177">
        <f t="shared" si="43"/>
        <v>1</v>
      </c>
      <c r="Y165" s="67">
        <f t="shared" si="44"/>
        <v>5.8625999999999996</v>
      </c>
      <c r="Z165" s="67">
        <f t="shared" si="45"/>
        <v>1.24E-2</v>
      </c>
      <c r="AA165" s="67">
        <f t="shared" si="46"/>
        <v>5.8501999999999992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47"/>
        <v>0806-11</v>
      </c>
      <c r="AE165" s="91" t="str">
        <f t="shared" si="48"/>
        <v>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 &amp; 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</v>
      </c>
      <c r="AF165" s="88" t="str">
        <f t="shared" si="49"/>
        <v>"C:\Program Files (x86)\AstroGrep\AstroGrep.exe" /spath="%USERPROFILE%\AppData\Local\Temp\OnboardLogs" /stypes="app*4015*20161111*" /stext=" 14:.+((SYSTEM_STATE.+slice.+state.+changed )|(ment ac)|(system.+state.+changed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806-11 --locoid 4015 --swversion DE.1.0.8.0 --startMP 300:58626 --initTime 2016-11-11T07:07:49 --startdatetime 2016-11-11T07:09:47 --delay 1 --endMP 204:124 --enddatetime 2016-11-11T07:27:15 --enforcementcount 0 &gt;&gt;C:\Users\stu\Documents\GitHub\eaglep3-reporting\EC\2016-11-11-refined-times.txt</v>
      </c>
      <c r="AI165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{"issue":{"subject":"","project_id":79,"tracker_id":40,"status_id":1,"priority_id":2,"assigned_to_id":23,"start_date":"2016-11-11","description":"","custom_fields":[{"id":1,"name":"Subdivision","value":"NW"},{"id":4,"name":"Milepost","value":"0.0124"},{"id":17,"name":"Train ID","value":"806-11"},{"id":16,"name":"Locomotive ID","value":"4015"},{"id":130,"name":"Impact","value":""},{"id":150,"name":"Time of Event (Mountain Time)","value":"07:27:15"},{"id":151,"name":"Denver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419</v>
      </c>
      <c r="B166" s="7">
        <v>4042</v>
      </c>
      <c r="C166" s="22" t="s">
        <v>225</v>
      </c>
      <c r="D166" s="22" t="s">
        <v>401</v>
      </c>
      <c r="E166" s="13">
        <v>42685.303391203706</v>
      </c>
      <c r="F166" s="13">
        <v>42685.306469907409</v>
      </c>
      <c r="G166" s="7">
        <v>1</v>
      </c>
      <c r="H166" s="22" t="s">
        <v>739</v>
      </c>
      <c r="I166" s="13">
        <v>42685.316932870373</v>
      </c>
      <c r="J166" s="7">
        <v>0</v>
      </c>
      <c r="K166" s="109" t="str">
        <f t="shared" si="36"/>
        <v>4041/4042</v>
      </c>
      <c r="L166" s="22" t="str">
        <f>VLOOKUP(A166,'Trips&amp;Operators'!$C$1:$E$10000,3,FALSE)</f>
        <v>HAITHCOX</v>
      </c>
      <c r="M166" s="6">
        <f t="shared" si="37"/>
        <v>1.0462962964083999E-2</v>
      </c>
      <c r="N166" s="7">
        <f t="shared" si="38"/>
        <v>15.066666668280959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06:16:53-700',mode:absolute,to:'2016-11-11 08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0.10199999999999999</v>
      </c>
      <c r="Z166" s="67">
        <f t="shared" si="45"/>
        <v>5.8945999999999996</v>
      </c>
      <c r="AA166" s="67">
        <f t="shared" si="46"/>
        <v>5.7925999999999993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47"/>
        <v>0807-11</v>
      </c>
      <c r="AE166" s="91" t="str">
        <f t="shared" si="48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166" s="88" t="str">
        <f t="shared" si="49"/>
        <v>"C:\Program Files (x86)\AstroGrep\AstroGrep.exe" /spath="%USERPROFILE%\AppData\Local\Temp\OnboardLogs" /stypes="app*4042*20161111*" /stext=" 14:.+((SYSTEM_STATE.+slice.+state.+changed )|(ment ac)|(system.+state.+changed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807-11 --locoid 4042 --swversion DE.1.0.8.0 --startMP 204:1020 --initTime 2016-11-11T07:16:53 --startdatetime 2016-11-11T07:21:19 --delay 1 --endMP 300:58946 --enddatetime 2016-11-11T07:36:23 --enforcementcount 0 &gt;&gt;C:\Users\stu\Documents\GitHub\eaglep3-reporting\EC\2016-11-11-refined-times.txt</v>
      </c>
      <c r="AI166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{"issue":{"subject":"","project_id":79,"tracker_id":40,"status_id":1,"priority_id":2,"assigned_to_id":23,"start_date":"2016-11-11","description":"","custom_fields":[{"id":1,"name":"Subdivision","value":"NW"},{"id":4,"name":"Milepost","value":"5.8946"},{"id":17,"name":"Train ID","value":"807-11"},{"id":16,"name":"Locomotive ID","value":"4042"},{"id":130,"name":"Impact","value":""},{"id":150,"name":"Time of Event (Mountain Time)","value":"07:36:23"},{"id":151,"name":"Denver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483</v>
      </c>
      <c r="B167" s="7">
        <v>4041</v>
      </c>
      <c r="C167" s="22" t="s">
        <v>225</v>
      </c>
      <c r="D167" s="22" t="s">
        <v>291</v>
      </c>
      <c r="E167" s="13">
        <v>42685.318287037036</v>
      </c>
      <c r="F167" s="13">
        <v>42685.319791666669</v>
      </c>
      <c r="G167" s="7">
        <v>1</v>
      </c>
      <c r="H167" s="22" t="s">
        <v>276</v>
      </c>
      <c r="I167" s="13">
        <v>42685.331238425926</v>
      </c>
      <c r="J167" s="7">
        <v>0</v>
      </c>
      <c r="K167" s="109" t="str">
        <f t="shared" si="36"/>
        <v>4041/4042</v>
      </c>
      <c r="L167" s="22" t="str">
        <f>VLOOKUP(A167,'Trips&amp;Operators'!$C$1:$E$10000,3,FALSE)</f>
        <v>HAITHCOX</v>
      </c>
      <c r="M167" s="6">
        <f t="shared" si="37"/>
        <v>1.1446759257523809E-2</v>
      </c>
      <c r="N167" s="7">
        <f t="shared" si="38"/>
        <v>16.483333330834284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06:38:20-700',mode:absolute,to:'2016-11-11 08:56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5.8628</v>
      </c>
      <c r="Z167" s="67">
        <f t="shared" si="45"/>
        <v>6.7699999999999996E-2</v>
      </c>
      <c r="AA167" s="67">
        <f t="shared" si="46"/>
        <v>5.7950999999999997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47"/>
        <v>0808-11</v>
      </c>
      <c r="AE167" s="91" t="str">
        <f t="shared" si="48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167" s="88" t="str">
        <f t="shared" si="49"/>
        <v>"C:\Program Files (x86)\AstroGrep\AstroGrep.exe" /spath="%USERPROFILE%\AppData\Local\Temp\OnboardLogs" /stypes="app*4041*20161111*" /stext=" 14:.+((SYSTEM_STATE.+slice.+state.+changed )|(ment ac)|(system.+state.+changed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808-11 --locoid 4041 --swversion DE.1.0.8.0 --startMP 300:58628 --initTime 2016-11-11T07:38:20 --startdatetime 2016-11-11T07:40:30 --delay 1 --endMP 204:677 --enddatetime 2016-11-11T07:56:59 --enforcementcount 0 &gt;&gt;C:\Users\stu\Documents\GitHub\eaglep3-reporting\EC\2016-11-11-refined-times.txt</v>
      </c>
      <c r="AI167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{"issue":{"subject":"","project_id":79,"tracker_id":40,"status_id":1,"priority_id":2,"assigned_to_id":23,"start_date":"2016-11-11","description":"","custom_fields":[{"id":1,"name":"Subdivision","value":"NW"},{"id":4,"name":"Milepost","value":"0.0677"},{"id":17,"name":"Train ID","value":"808-11"},{"id":16,"name":"Locomotive ID","value":"4041"},{"id":130,"name":"Impact","value":""},{"id":150,"name":"Time of Event (Mountain Time)","value":"07:56:59"},{"id":151,"name":"Denver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481</v>
      </c>
      <c r="B168" s="7">
        <v>4016</v>
      </c>
      <c r="C168" s="22" t="s">
        <v>225</v>
      </c>
      <c r="D168" s="22" t="s">
        <v>740</v>
      </c>
      <c r="E168" s="13">
        <v>42685.312847222223</v>
      </c>
      <c r="F168" s="13">
        <v>42685.327337962961</v>
      </c>
      <c r="G168" s="7">
        <v>1</v>
      </c>
      <c r="H168" s="22" t="s">
        <v>396</v>
      </c>
      <c r="I168" s="13">
        <v>42685.337800925925</v>
      </c>
      <c r="J168" s="7">
        <v>0</v>
      </c>
      <c r="K168" s="109" t="str">
        <f t="shared" si="36"/>
        <v>4015/4016</v>
      </c>
      <c r="L168" s="22" t="str">
        <f>VLOOKUP(A168,'Trips&amp;Operators'!$C$1:$E$10000,3,FALSE)</f>
        <v>STRICKLAND</v>
      </c>
      <c r="M168" s="6">
        <f t="shared" si="37"/>
        <v>1.0462962964083999E-2</v>
      </c>
      <c r="N168" s="7">
        <f t="shared" si="38"/>
        <v>15.066666668280959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06:30:30-700',mode:absolute,to:'2016-11-11 09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0.1056</v>
      </c>
      <c r="Z168" s="67">
        <f t="shared" si="45"/>
        <v>5.8921999999999999</v>
      </c>
      <c r="AA168" s="67">
        <f t="shared" si="46"/>
        <v>5.7866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47"/>
        <v>0809-11</v>
      </c>
      <c r="AE168" s="91" t="str">
        <f t="shared" si="48"/>
        <v>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 &amp; aws s3 cp s3://rtdc.mdm.uploadarchive.raw/RTDC4016/ "%USERPROFILE%\AppData\Local\Temp\OnboardLogs"\RTDC4016\2016-11-12 --exclude "*" --recursive --include "*20161112*" &amp; "%USERPROFILE%\Documents\GitHub\mrs-test-scripts\Headless Mode &amp; Sideloading\WalkAndUnGZ.bat" "%USERPROFILE%\AppData\Local\Temp\OnboardLogs"\RTDC4016\2016-11-12</v>
      </c>
      <c r="AF168" s="88" t="str">
        <f t="shared" si="49"/>
        <v>"C:\Program Files (x86)\AstroGrep\AstroGrep.exe" /spath="%USERPROFILE%\AppData\Local\Temp\OnboardLogs" /stypes="app*4016*20161111*" /stext=" 15:.+((SYSTEM_STATE.+slice.+state.+changed )|(ment ac)|(system.+state.+changed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809-11 --locoid 4016 --swversion DE.1.0.8.0 --startMP 204:1056 --initTime 2016-11-11T07:30:30 --startdatetime 2016-11-11T07:51:22 --delay 1 --endMP 300:58922 --enddatetime 2016-11-11T08:06:26 --enforcementcount 0 &gt;&gt;C:\Users\stu\Documents\GitHub\eaglep3-reporting\EC\2016-11-11-refined-times.txt</v>
      </c>
      <c r="AI168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{"issue":{"subject":"","project_id":79,"tracker_id":40,"status_id":1,"priority_id":2,"assigned_to_id":23,"start_date":"2016-11-11","description":"","custom_fields":[{"id":1,"name":"Subdivision","value":"NW"},{"id":4,"name":"Milepost","value":"5.8922"},{"id":17,"name":"Train ID","value":"809-11"},{"id":16,"name":"Locomotive ID","value":"4016"},{"id":130,"name":"Impact","value":""},{"id":150,"name":"Time of Event (Mountain Time)","value":"08:06:26"},{"id":151,"name":"Denver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422</v>
      </c>
      <c r="B169" s="7">
        <v>4015</v>
      </c>
      <c r="C169" s="22" t="s">
        <v>225</v>
      </c>
      <c r="D169" s="22" t="s">
        <v>406</v>
      </c>
      <c r="E169" s="13">
        <v>42685.338796296295</v>
      </c>
      <c r="F169" s="13">
        <v>42685.340462962966</v>
      </c>
      <c r="G169" s="7">
        <v>1</v>
      </c>
      <c r="H169" s="22" t="s">
        <v>738</v>
      </c>
      <c r="I169" s="13">
        <v>42685.352083333331</v>
      </c>
      <c r="J169" s="7">
        <v>0</v>
      </c>
      <c r="K169" s="109" t="str">
        <f t="shared" si="36"/>
        <v>4015/4016</v>
      </c>
      <c r="L169" s="22" t="str">
        <f>VLOOKUP(A169,'Trips&amp;Operators'!$C$1:$E$10000,3,FALSE)</f>
        <v>STRICKLAND</v>
      </c>
      <c r="M169" s="6">
        <f t="shared" si="37"/>
        <v>1.1620370365562849E-2</v>
      </c>
      <c r="N169" s="7">
        <f t="shared" si="38"/>
        <v>16.733333326410502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07:07:52-700',mode:absolute,to:'2016-11-11 09:27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5.8608000000000002</v>
      </c>
      <c r="Z169" s="67">
        <f t="shared" si="45"/>
        <v>1.24E-2</v>
      </c>
      <c r="AA169" s="67">
        <f t="shared" si="46"/>
        <v>5.8483999999999998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47"/>
        <v>0810-11</v>
      </c>
      <c r="AE169" s="91" t="str">
        <f t="shared" si="48"/>
        <v>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 &amp; 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</v>
      </c>
      <c r="AF169" s="88" t="str">
        <f t="shared" si="49"/>
        <v>"C:\Program Files (x86)\AstroGrep\AstroGrep.exe" /spath="%USERPROFILE%\AppData\Local\Temp\OnboardLogs" /stypes="app*4015*20161111*" /stext=" 15:.+((SYSTEM_STATE.+slice.+state.+changed )|(ment ac)|(system.+state.+changed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810-11 --locoid 4015 --swversion DE.1.0.8.0 --startMP 300:58608 --initTime 2016-11-11T08:07:52 --startdatetime 2016-11-11T08:10:16 --delay 1 --endMP 204:124 --enddatetime 2016-11-11T08:27:00 --enforcementcount 0 &gt;&gt;C:\Users\stu\Documents\GitHub\eaglep3-reporting\EC\2016-11-11-refined-times.txt</v>
      </c>
      <c r="AI169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{"issue":{"subject":"","project_id":79,"tracker_id":40,"status_id":1,"priority_id":2,"assigned_to_id":23,"start_date":"2016-11-11","description":"","custom_fields":[{"id":1,"name":"Subdivision","value":"NW"},{"id":4,"name":"Milepost","value":"0.0124"},{"id":17,"name":"Train ID","value":"810-11"},{"id":16,"name":"Locomotive ID","value":"4015"},{"id":130,"name":"Impact","value":""},{"id":150,"name":"Time of Event (Mountain Time)","value":"08:27:00"},{"id":151,"name":"Denver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486</v>
      </c>
      <c r="B170" s="7">
        <v>4042</v>
      </c>
      <c r="C170" s="22" t="s">
        <v>225</v>
      </c>
      <c r="D170" s="22" t="s">
        <v>741</v>
      </c>
      <c r="E170" s="13">
        <v>42685.34642361111</v>
      </c>
      <c r="F170" s="13">
        <v>42685.348217592589</v>
      </c>
      <c r="G170" s="7">
        <v>1</v>
      </c>
      <c r="H170" s="22" t="s">
        <v>394</v>
      </c>
      <c r="I170" s="13">
        <v>42685.358229166668</v>
      </c>
      <c r="J170" s="7">
        <v>0</v>
      </c>
      <c r="K170" s="109" t="str">
        <f t="shared" si="36"/>
        <v>4041/4042</v>
      </c>
      <c r="L170" s="22" t="str">
        <f>VLOOKUP(A170,'Trips&amp;Operators'!$C$1:$E$10000,3,FALSE)</f>
        <v>HAITHCOX</v>
      </c>
      <c r="M170" s="6">
        <f t="shared" si="37"/>
        <v>1.0011574078816921E-2</v>
      </c>
      <c r="N170" s="7">
        <f t="shared" si="38"/>
        <v>14.416666673496366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07:18:51-700',mode:absolute,to:'2016-11-11 09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9.5100000000000004E-2</v>
      </c>
      <c r="Z170" s="67">
        <f t="shared" si="45"/>
        <v>5.8929</v>
      </c>
      <c r="AA170" s="67">
        <f t="shared" si="46"/>
        <v>5.7977999999999996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47"/>
        <v>0811-11</v>
      </c>
      <c r="AE170" s="91" t="str">
        <f t="shared" si="48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170" s="88" t="str">
        <f t="shared" si="49"/>
        <v>"C:\Program Files (x86)\AstroGrep\AstroGrep.exe" /spath="%USERPROFILE%\AppData\Local\Temp\OnboardLogs" /stypes="app*4042*20161111*" /stext=" 15:.+((SYSTEM_STATE.+slice.+state.+changed )|(ment ac)|(system.+state.+changed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811-11 --locoid 4042 --swversion DE.1.0.8.0 --startMP 204:951 --initTime 2016-11-11T08:18:51 --startdatetime 2016-11-11T08:21:26 --delay 1 --endMP 300:58929 --enddatetime 2016-11-11T08:35:51 --enforcementcount 0 &gt;&gt;C:\Users\stu\Documents\GitHub\eaglep3-reporting\EC\2016-11-11-refined-times.txt</v>
      </c>
      <c r="AI170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{"issue":{"subject":"","project_id":79,"tracker_id":40,"status_id":1,"priority_id":2,"assigned_to_id":23,"start_date":"2016-11-11","description":"","custom_fields":[{"id":1,"name":"Subdivision","value":"NW"},{"id":4,"name":"Milepost","value":"5.8929"},{"id":17,"name":"Train ID","value":"811-11"},{"id":16,"name":"Locomotive ID","value":"4042"},{"id":130,"name":"Impact","value":""},{"id":150,"name":"Time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425</v>
      </c>
      <c r="B171" s="7">
        <v>4041</v>
      </c>
      <c r="C171" s="22" t="s">
        <v>225</v>
      </c>
      <c r="D171" s="22" t="s">
        <v>398</v>
      </c>
      <c r="E171" s="13">
        <v>42685.359733796293</v>
      </c>
      <c r="F171" s="13">
        <v>42685.361898148149</v>
      </c>
      <c r="G171" s="7">
        <v>1</v>
      </c>
      <c r="H171" s="22" t="s">
        <v>293</v>
      </c>
      <c r="I171" s="13">
        <v>42685.372789351852</v>
      </c>
      <c r="J171" s="7">
        <v>0</v>
      </c>
      <c r="K171" s="109" t="str">
        <f t="shared" si="36"/>
        <v>4041/4042</v>
      </c>
      <c r="L171" s="22" t="str">
        <f>VLOOKUP(A171,'Trips&amp;Operators'!$C$1:$E$10000,3,FALSE)</f>
        <v>HAITHCOX</v>
      </c>
      <c r="M171" s="6">
        <f t="shared" si="37"/>
        <v>1.0891203703067731E-2</v>
      </c>
      <c r="N171" s="7">
        <f t="shared" si="38"/>
        <v>15.683333332417533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07:38:01-700',mode:absolute,to:'2016-11-11 09:56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5.8620999999999999</v>
      </c>
      <c r="Z171" s="67">
        <f t="shared" si="45"/>
        <v>6.8699999999999997E-2</v>
      </c>
      <c r="AA171" s="67">
        <f t="shared" si="46"/>
        <v>5.7934000000000001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47"/>
        <v>0812-11</v>
      </c>
      <c r="AE171" s="91" t="str">
        <f t="shared" si="48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171" s="88" t="str">
        <f t="shared" si="49"/>
        <v>"C:\Program Files (x86)\AstroGrep\AstroGrep.exe" /spath="%USERPROFILE%\AppData\Local\Temp\OnboardLogs" /stypes="app*4041*20161111*" /stext=" 15:.+((SYSTEM_STATE.+slice.+state.+changed )|(ment ac)|(system.+state.+changed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812-11 --locoid 4041 --swversion DE.1.0.8.0 --startMP 300:58621 --initTime 2016-11-11T08:38:01 --startdatetime 2016-11-11T08:41:08 --delay 1 --endMP 204:687 --enddatetime 2016-11-11T08:56:49 --enforcementcount 0 &gt;&gt;C:\Users\stu\Documents\GitHub\eaglep3-reporting\EC\2016-11-11-refined-times.txt</v>
      </c>
      <c r="AI171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{"issue":{"subject":"","project_id":79,"tracker_id":40,"status_id":1,"priority_id":2,"assigned_to_id":23,"start_date":"2016-11-11","description":"","custom_fields":[{"id":1,"name":"Subdivision","value":"NW"},{"id":4,"name":"Milepost","value":"0.0687"},{"id":17,"name":"Train ID","value":"812-11"},{"id":16,"name":"Locomotive ID","value":"4041"},{"id":130,"name":"Impact","value":""},{"id":150,"name":"Time of Event (Mountain Time)","value":"08:56:49"},{"id":151,"name":"Denver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495</v>
      </c>
      <c r="B172" s="7">
        <v>4042</v>
      </c>
      <c r="C172" s="22" t="s">
        <v>225</v>
      </c>
      <c r="D172" s="22" t="s">
        <v>742</v>
      </c>
      <c r="E172" s="13">
        <v>42685.382372685184</v>
      </c>
      <c r="F172" s="13">
        <v>42685.389861111114</v>
      </c>
      <c r="G172" s="7">
        <v>1</v>
      </c>
      <c r="H172" s="22" t="s">
        <v>394</v>
      </c>
      <c r="I172" s="13">
        <v>42685.400381944448</v>
      </c>
      <c r="J172" s="7">
        <v>0</v>
      </c>
      <c r="K172" s="109" t="str">
        <f t="shared" si="36"/>
        <v>4041/4042</v>
      </c>
      <c r="L172" s="22" t="str">
        <f>VLOOKUP(A172,'Trips&amp;Operators'!$C$1:$E$10000,3,FALSE)</f>
        <v>HAITHCOX</v>
      </c>
      <c r="M172" s="6">
        <f t="shared" si="37"/>
        <v>1.0520833333430346E-2</v>
      </c>
      <c r="N172" s="7">
        <f t="shared" si="38"/>
        <v>15.150000000139698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08:10:37-700',mode:absolute,to:'2016-11-11 10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9.8299999999999998E-2</v>
      </c>
      <c r="Z172" s="67">
        <f t="shared" si="45"/>
        <v>5.8929</v>
      </c>
      <c r="AA172" s="67">
        <f t="shared" si="46"/>
        <v>5.7946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47"/>
        <v>0813-11</v>
      </c>
      <c r="AE172" s="91" t="str">
        <f t="shared" si="48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172" s="88" t="str">
        <f t="shared" si="49"/>
        <v>"C:\Program Files (x86)\AstroGrep\AstroGrep.exe" /spath="%USERPROFILE%\AppData\Local\Temp\OnboardLogs" /stypes="app*4042*20161111*" /stext=" 16:.+((SYSTEM_STATE.+slice.+state.+changed )|(ment ac)|(system.+state.+changed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813-11 --locoid 4042 --swversion DE.1.0.8.0 --startMP 204:983 --initTime 2016-11-11T09:10:37 --startdatetime 2016-11-11T09:21:24 --delay 1 --endMP 300:58929 --enddatetime 2016-11-11T09:36:33 --enforcementcount 0 &gt;&gt;C:\Users\stu\Documents\GitHub\eaglep3-reporting\EC\2016-11-11-refined-times.txt</v>
      </c>
      <c r="AI172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{"issue":{"subject":"","project_id":79,"tracker_id":40,"status_id":1,"priority_id":2,"assigned_to_id":23,"start_date":"2016-11-11","description":"","custom_fields":[{"id":1,"name":"Subdivision","value":"NW"},{"id":4,"name":"Milepost","value":"5.8929"},{"id":17,"name":"Train ID","value":"813-11"},{"id":16,"name":"Locomotive ID","value":"4042"},{"id":130,"name":"Impact","value":""},{"id":150,"name":"Time of Event (Mountain Time)","value":"09:36:33"},{"id":151,"name":"Denver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429</v>
      </c>
      <c r="B173" s="7">
        <v>4041</v>
      </c>
      <c r="C173" s="22" t="s">
        <v>225</v>
      </c>
      <c r="D173" s="22" t="s">
        <v>289</v>
      </c>
      <c r="E173" s="13">
        <v>42685.40179398148</v>
      </c>
      <c r="F173" s="13">
        <v>42685.403645833336</v>
      </c>
      <c r="G173" s="7">
        <v>1</v>
      </c>
      <c r="H173" s="22" t="s">
        <v>743</v>
      </c>
      <c r="I173" s="13">
        <v>42685.413622685184</v>
      </c>
      <c r="J173" s="7">
        <v>0</v>
      </c>
      <c r="K173" s="109" t="str">
        <f t="shared" si="36"/>
        <v>4041/4042</v>
      </c>
      <c r="L173" s="22" t="str">
        <f>VLOOKUP(A173,'Trips&amp;Operators'!$C$1:$E$10000,3,FALSE)</f>
        <v>HAITHCOX</v>
      </c>
      <c r="M173" s="6">
        <f t="shared" si="37"/>
        <v>9.9768518484779634E-3</v>
      </c>
      <c r="N173" s="7">
        <f t="shared" si="38"/>
        <v>14.366666661808267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08:38:35-700',mode:absolute,to:'2016-11-11 10:55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5.8611000000000004</v>
      </c>
      <c r="Z173" s="67">
        <f t="shared" si="45"/>
        <v>7.4099999999999999E-2</v>
      </c>
      <c r="AA173" s="67">
        <f t="shared" si="46"/>
        <v>5.7870000000000008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47"/>
        <v>0814-11</v>
      </c>
      <c r="AE173" s="91" t="str">
        <f t="shared" si="48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173" s="88" t="str">
        <f t="shared" si="49"/>
        <v>"C:\Program Files (x86)\AstroGrep\AstroGrep.exe" /spath="%USERPROFILE%\AppData\Local\Temp\OnboardLogs" /stypes="app*4041*20161111*" /stext=" 16:.+((SYSTEM_STATE.+slice.+state.+changed )|(ment ac)|(system.+state.+changed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814-11 --locoid 4041 --swversion DE.1.0.8.0 --startMP 300:58611 --initTime 2016-11-11T09:38:35 --startdatetime 2016-11-11T09:41:15 --delay 1 --endMP 204:741 --enddatetime 2016-11-11T09:55:37 --enforcementcount 0 &gt;&gt;C:\Users\stu\Documents\GitHub\eaglep3-reporting\EC\2016-11-11-refined-times.txt</v>
      </c>
      <c r="AI173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{"issue":{"subject":"","project_id":79,"tracker_id":40,"status_id":1,"priority_id":2,"assigned_to_id":23,"start_date":"2016-11-11","description":"","custom_fields":[{"id":1,"name":"Subdivision","value":"NW"},{"id":4,"name":"Milepost","value":"0.0741"},{"id":17,"name":"Train ID","value":"814-11"},{"id":16,"name":"Locomotive ID","value":"4041"},{"id":130,"name":"Impact","value":""},{"id":150,"name":"Time of Event (Mountain Time)","value":"09:55:37"},{"id":151,"name":"Denver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500</v>
      </c>
      <c r="B174" s="7">
        <v>4042</v>
      </c>
      <c r="C174" s="22" t="s">
        <v>225</v>
      </c>
      <c r="D174" s="22" t="s">
        <v>744</v>
      </c>
      <c r="E174" s="13">
        <v>42685.428541666668</v>
      </c>
      <c r="F174" s="13">
        <v>42685.431550925925</v>
      </c>
      <c r="G174" s="7">
        <v>1</v>
      </c>
      <c r="H174" s="22" t="s">
        <v>745</v>
      </c>
      <c r="I174" s="13">
        <v>42685.441990740743</v>
      </c>
      <c r="J174" s="7">
        <v>0</v>
      </c>
      <c r="K174" s="109" t="str">
        <f t="shared" si="36"/>
        <v>4041/4042</v>
      </c>
      <c r="L174" s="22" t="str">
        <f>VLOOKUP(A174,'Trips&amp;Operators'!$C$1:$E$10000,3,FALSE)</f>
        <v>HAITHCOX</v>
      </c>
      <c r="M174" s="6">
        <f t="shared" si="37"/>
        <v>1.0439814817800652E-2</v>
      </c>
      <c r="N174" s="7">
        <f t="shared" si="38"/>
        <v>15.033333337632939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09:17:06-700',mode:absolute,to:'2016-11-11 11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0.10390000000000001</v>
      </c>
      <c r="Z174" s="67">
        <f t="shared" si="45"/>
        <v>5.8920000000000003</v>
      </c>
      <c r="AA174" s="67">
        <f t="shared" si="46"/>
        <v>5.7881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47"/>
        <v>0815-11</v>
      </c>
      <c r="AE174" s="91" t="str">
        <f t="shared" si="48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174" s="88" t="str">
        <f t="shared" si="49"/>
        <v>"C:\Program Files (x86)\AstroGrep\AstroGrep.exe" /spath="%USERPROFILE%\AppData\Local\Temp\OnboardLogs" /stypes="app*4042*20161111*" /stext=" 17:.+((SYSTEM_STATE.+slice.+state.+changed )|(ment ac)|(system.+state.+changed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815-11 --locoid 4042 --swversion DE.1.0.8.0 --startMP 204:1039 --initTime 2016-11-11T10:17:06 --startdatetime 2016-11-11T10:21:26 --delay 1 --endMP 300:58920 --enddatetime 2016-11-11T10:36:28 --enforcementcount 0 &gt;&gt;C:\Users\stu\Documents\GitHub\eaglep3-reporting\EC\2016-11-11-refined-times.txt</v>
      </c>
      <c r="AI174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{"issue":{"subject":"","project_id":79,"tracker_id":40,"status_id":1,"priority_id":2,"assigned_to_id":23,"start_date":"2016-11-11","description":"","custom_fields":[{"id":1,"name":"Subdivision","value":"NW"},{"id":4,"name":"Milepost","value":"5.892"},{"id":17,"name":"Train ID","value":"815-11"},{"id":16,"name":"Locomotive ID","value":"4042"},{"id":130,"name":"Impact","value":""},{"id":150,"name":"Time of Event (Mountain Time)","value":"10:36:28"},{"id":151,"name":"Denver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506</v>
      </c>
      <c r="B175" s="7">
        <v>4041</v>
      </c>
      <c r="C175" s="22" t="s">
        <v>225</v>
      </c>
      <c r="D175" s="22" t="s">
        <v>324</v>
      </c>
      <c r="E175" s="13">
        <v>42685.443229166667</v>
      </c>
      <c r="F175" s="13">
        <v>42685.444930555554</v>
      </c>
      <c r="G175" s="7">
        <v>1</v>
      </c>
      <c r="H175" s="22" t="s">
        <v>290</v>
      </c>
      <c r="I175" s="13">
        <v>42685.455706018518</v>
      </c>
      <c r="J175" s="7">
        <v>0</v>
      </c>
      <c r="K175" s="109" t="str">
        <f t="shared" si="36"/>
        <v>4041/4042</v>
      </c>
      <c r="L175" s="22" t="str">
        <f>VLOOKUP(A175,'Trips&amp;Operators'!$C$1:$E$10000,3,FALSE)</f>
        <v>HAITHCOX</v>
      </c>
      <c r="M175" s="6">
        <f t="shared" si="37"/>
        <v>1.0775462964375038E-2</v>
      </c>
      <c r="N175" s="7">
        <f t="shared" si="38"/>
        <v>15.516666668700054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09:38:15-700',mode:absolute,to:'2016-11-11 11:56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5.8619000000000003</v>
      </c>
      <c r="Z175" s="67">
        <f t="shared" si="45"/>
        <v>6.9199999999999998E-2</v>
      </c>
      <c r="AA175" s="67">
        <f t="shared" si="46"/>
        <v>5.7927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47"/>
        <v>0816-11</v>
      </c>
      <c r="AE175" s="91" t="str">
        <f t="shared" si="48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175" s="88" t="str">
        <f t="shared" si="49"/>
        <v>"C:\Program Files (x86)\AstroGrep\AstroGrep.exe" /spath="%USERPROFILE%\AppData\Local\Temp\OnboardLogs" /stypes="app*4041*20161111*" /stext=" 17:.+((SYSTEM_STATE.+slice.+state.+changed )|(ment ac)|(system.+state.+changed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816-11 --locoid 4041 --swversion DE.1.0.8.0 --startMP 300:58619 --initTime 2016-11-11T10:38:15 --startdatetime 2016-11-11T10:40:42 --delay 1 --endMP 204:692 --enddatetime 2016-11-11T10:56:13 --enforcementcount 0 &gt;&gt;C:\Users\stu\Documents\GitHub\eaglep3-reporting\EC\2016-11-11-refined-times.txt</v>
      </c>
      <c r="AI175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{"issue":{"subject":"","project_id":79,"tracker_id":40,"status_id":1,"priority_id":2,"assigned_to_id":23,"start_date":"2016-11-11","description":"","custom_fields":[{"id":1,"name":"Subdivision","value":"NW"},{"id":4,"name":"Milepost","value":"0.0692"},{"id":17,"name":"Train ID","value":"816-11"},{"id":16,"name":"Locomotive ID","value":"4041"},{"id":130,"name":"Impact","value":""},{"id":150,"name":"Time of Event (Mountain Time)","value":"10:56:13"},{"id":151,"name":"Denver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516</v>
      </c>
      <c r="B176" s="7">
        <v>4042</v>
      </c>
      <c r="C176" s="22" t="s">
        <v>225</v>
      </c>
      <c r="D176" s="22" t="s">
        <v>325</v>
      </c>
      <c r="E176" s="13">
        <v>42685.469305555554</v>
      </c>
      <c r="F176" s="13">
        <v>42685.473229166666</v>
      </c>
      <c r="G176" s="7">
        <v>1</v>
      </c>
      <c r="H176" s="22" t="s">
        <v>400</v>
      </c>
      <c r="I176" s="13">
        <v>42685.483738425923</v>
      </c>
      <c r="J176" s="7">
        <v>0</v>
      </c>
      <c r="K176" s="109" t="str">
        <f t="shared" si="36"/>
        <v>4041/4042</v>
      </c>
      <c r="L176" s="22" t="str">
        <f>VLOOKUP(A176,'Trips&amp;Operators'!$C$1:$E$10000,3,FALSE)</f>
        <v>HAITHCOX</v>
      </c>
      <c r="M176" s="6">
        <f t="shared" si="37"/>
        <v>1.0509259256650694E-2</v>
      </c>
      <c r="N176" s="7">
        <f t="shared" si="38"/>
        <v>15.133333329576999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10:15:48-700',mode:absolute,to:'2016-11-11 12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9.9199999999999997E-2</v>
      </c>
      <c r="Z176" s="67">
        <f t="shared" si="45"/>
        <v>5.8933</v>
      </c>
      <c r="AA176" s="67">
        <f t="shared" si="46"/>
        <v>5.7941000000000003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47"/>
        <v>0817-11</v>
      </c>
      <c r="AE176" s="91" t="str">
        <f t="shared" si="48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176" s="88" t="str">
        <f t="shared" si="49"/>
        <v>"C:\Program Files (x86)\AstroGrep\AstroGrep.exe" /spath="%USERPROFILE%\AppData\Local\Temp\OnboardLogs" /stypes="app*4042*20161111*" /stext=" 18:.+((SYSTEM_STATE.+slice.+state.+changed )|(ment ac)|(system.+state.+changed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817-11 --locoid 4042 --swversion DE.1.0.8.0 --startMP 204:992 --initTime 2016-11-11T11:15:48 --startdatetime 2016-11-11T11:21:27 --delay 1 --endMP 300:58933 --enddatetime 2016-11-11T11:36:35 --enforcementcount 0 &gt;&gt;C:\Users\stu\Documents\GitHub\eaglep3-reporting\EC\2016-11-11-refined-times.txt</v>
      </c>
      <c r="AI176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{"issue":{"subject":"","project_id":79,"tracker_id":40,"status_id":1,"priority_id":2,"assigned_to_id":23,"start_date":"2016-11-11","description":"","custom_fields":[{"id":1,"name":"Subdivision","value":"NW"},{"id":4,"name":"Milepost","value":"5.8933"},{"id":17,"name":"Train ID","value":"817-11"},{"id":16,"name":"Locomotive ID","value":"4042"},{"id":130,"name":"Impact","value":""},{"id":150,"name":"Time of Event (Mountain Time)","value":"11:36:35"},{"id":151,"name":"Denver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518</v>
      </c>
      <c r="B177" s="7">
        <v>4041</v>
      </c>
      <c r="C177" s="22" t="s">
        <v>225</v>
      </c>
      <c r="D177" s="22" t="s">
        <v>746</v>
      </c>
      <c r="E177" s="13">
        <v>42685.485173611109</v>
      </c>
      <c r="F177" s="13">
        <v>42685.486678240741</v>
      </c>
      <c r="G177" s="7">
        <v>1</v>
      </c>
      <c r="H177" s="22" t="s">
        <v>747</v>
      </c>
      <c r="I177" s="13">
        <v>42685.498935185184</v>
      </c>
      <c r="J177" s="7">
        <v>0</v>
      </c>
      <c r="K177" s="109" t="str">
        <f t="shared" si="36"/>
        <v>4041/4042</v>
      </c>
      <c r="L177" s="22" t="str">
        <f>VLOOKUP(A177,'Trips&amp;Operators'!$C$1:$E$10000,3,FALSE)</f>
        <v>HAITHCOX</v>
      </c>
      <c r="M177" s="6">
        <f t="shared" si="37"/>
        <v>1.2256944442924578E-2</v>
      </c>
      <c r="N177" s="7">
        <f t="shared" si="38"/>
        <v>17.649999997811392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10:38:39-700',mode:absolute,to:'2016-11-11 12:58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5.8615000000000004</v>
      </c>
      <c r="Z177" s="67">
        <f t="shared" si="45"/>
        <v>6.9800000000000001E-2</v>
      </c>
      <c r="AA177" s="67">
        <f t="shared" si="46"/>
        <v>5.7917000000000005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47"/>
        <v>0818-11</v>
      </c>
      <c r="AE177" s="91" t="str">
        <f t="shared" si="48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177" s="88" t="str">
        <f t="shared" si="49"/>
        <v>"C:\Program Files (x86)\AstroGrep\AstroGrep.exe" /spath="%USERPROFILE%\AppData\Local\Temp\OnboardLogs" /stypes="app*4041*20161111*" /stext=" 18:.+((SYSTEM_STATE.+slice.+state.+changed )|(ment ac)|(system.+state.+changed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818-11 --locoid 4041 --swversion DE.1.0.8.0 --startMP 300:58615 --initTime 2016-11-11T11:38:39 --startdatetime 2016-11-11T11:40:49 --delay 1 --endMP 204:698 --enddatetime 2016-11-11T11:58:28 --enforcementcount 0 &gt;&gt;C:\Users\stu\Documents\GitHub\eaglep3-reporting\EC\2016-11-11-refined-times.txt</v>
      </c>
      <c r="AI177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{"issue":{"subject":"","project_id":79,"tracker_id":40,"status_id":1,"priority_id":2,"assigned_to_id":23,"start_date":"2016-11-11","description":"","custom_fields":[{"id":1,"name":"Subdivision","value":"NW"},{"id":4,"name":"Milepost","value":"0.0698"},{"id":17,"name":"Train ID","value":"818-11"},{"id":16,"name":"Locomotive ID","value":"4041"},{"id":130,"name":"Impact","value":""},{"id":150,"name":"Time of Event (Mountain Time)","value":"11:58:28"},{"id":151,"name":"Denver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525</v>
      </c>
      <c r="B178" s="7">
        <v>4042</v>
      </c>
      <c r="C178" s="22" t="s">
        <v>225</v>
      </c>
      <c r="D178" s="22" t="s">
        <v>399</v>
      </c>
      <c r="E178" s="13">
        <v>42685.511331018519</v>
      </c>
      <c r="F178" s="13">
        <v>42685.514884259261</v>
      </c>
      <c r="G178" s="7">
        <v>1</v>
      </c>
      <c r="H178" s="22" t="s">
        <v>402</v>
      </c>
      <c r="I178" s="13">
        <v>42685.524895833332</v>
      </c>
      <c r="J178" s="7">
        <v>0</v>
      </c>
      <c r="K178" s="109" t="str">
        <f t="shared" si="36"/>
        <v>4041/4042</v>
      </c>
      <c r="L178" s="22" t="str">
        <f>VLOOKUP(A178,'Trips&amp;Operators'!$C$1:$E$10000,3,FALSE)</f>
        <v>HAITHCOX</v>
      </c>
      <c r="M178" s="6">
        <f t="shared" si="37"/>
        <v>1.0011574071540963E-2</v>
      </c>
      <c r="N178" s="7">
        <f t="shared" si="38"/>
        <v>14.416666663018987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11:16:19-700',mode:absolute,to:'2016-11-11 13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9.8100000000000007E-2</v>
      </c>
      <c r="Z178" s="67">
        <f t="shared" si="45"/>
        <v>5.8924000000000003</v>
      </c>
      <c r="AA178" s="67">
        <f t="shared" si="46"/>
        <v>5.7943000000000007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47"/>
        <v>0819-11</v>
      </c>
      <c r="AE178" s="91" t="str">
        <f t="shared" si="48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178" s="88" t="str">
        <f t="shared" si="49"/>
        <v>"C:\Program Files (x86)\AstroGrep\AstroGrep.exe" /spath="%USERPROFILE%\AppData\Local\Temp\OnboardLogs" /stypes="app*4042*20161111*" /stext=" 19:.+((SYSTEM_STATE.+slice.+state.+changed )|(ment ac)|(system.+state.+changed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819-11 --locoid 4042 --swversion DE.1.0.8.0 --startMP 204:981 --initTime 2016-11-11T12:16:19 --startdatetime 2016-11-11T12:21:26 --delay 1 --endMP 300:58924 --enddatetime 2016-11-11T12:35:51 --enforcementcount 0 &gt;&gt;C:\Users\stu\Documents\GitHub\eaglep3-reporting\EC\2016-11-11-refined-times.txt</v>
      </c>
      <c r="AI178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{"issue":{"subject":"","project_id":79,"tracker_id":40,"status_id":1,"priority_id":2,"assigned_to_id":23,"start_date":"2016-11-11","description":"","custom_fields":[{"id":1,"name":"Subdivision","value":"NW"},{"id":4,"name":"Milepost","value":"5.8924"},{"id":17,"name":"Train ID","value":"819-11"},{"id":16,"name":"Locomotive ID","value":"4042"},{"id":130,"name":"Impact","value":""},{"id":150,"name":"Time of Event (Mountain Time)","value":"12:35:51"},{"id":151,"name":"Denver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528</v>
      </c>
      <c r="B179" s="7">
        <v>4041</v>
      </c>
      <c r="C179" s="22" t="s">
        <v>225</v>
      </c>
      <c r="D179" s="22" t="s">
        <v>403</v>
      </c>
      <c r="E179" s="13">
        <v>42685.526226851849</v>
      </c>
      <c r="F179" s="13">
        <v>42685.527708333335</v>
      </c>
      <c r="G179" s="7">
        <v>1</v>
      </c>
      <c r="H179" s="22" t="s">
        <v>397</v>
      </c>
      <c r="I179" s="13">
        <v>42685.538993055554</v>
      </c>
      <c r="J179" s="7">
        <v>0</v>
      </c>
      <c r="K179" s="109" t="str">
        <f t="shared" si="36"/>
        <v>4041/4042</v>
      </c>
      <c r="L179" s="22" t="str">
        <f>VLOOKUP(A179,'Trips&amp;Operators'!$C$1:$E$10000,3,FALSE)</f>
        <v>HAITHCOX</v>
      </c>
      <c r="M179" s="6">
        <f t="shared" si="37"/>
        <v>1.1284722218988463E-2</v>
      </c>
      <c r="N179" s="7">
        <f t="shared" si="38"/>
        <v>16.249999995343387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11:37:46-700',mode:absolute,to:'2016-11-11 13:56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5.8613</v>
      </c>
      <c r="Z179" s="67">
        <f t="shared" si="45"/>
        <v>7.0499999999999993E-2</v>
      </c>
      <c r="AA179" s="67">
        <f t="shared" si="46"/>
        <v>5.7907999999999999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47"/>
        <v>0820-11</v>
      </c>
      <c r="AE179" s="91" t="str">
        <f t="shared" si="48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179" s="88" t="str">
        <f t="shared" si="49"/>
        <v>"C:\Program Files (x86)\AstroGrep\AstroGrep.exe" /spath="%USERPROFILE%\AppData\Local\Temp\OnboardLogs" /stypes="app*4041*20161111*" /stext=" 19:.+((SYSTEM_STATE.+slice.+state.+changed )|(ment ac)|(system.+state.+changed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820-11 --locoid 4041 --swversion DE.1.0.8.0 --startMP 300:58613 --initTime 2016-11-11T12:37:46 --startdatetime 2016-11-11T12:39:54 --delay 1 --endMP 204:705 --enddatetime 2016-11-11T12:56:09 --enforcementcount 0 &gt;&gt;C:\Users\stu\Documents\GitHub\eaglep3-reporting\EC\2016-11-11-refined-times.txt</v>
      </c>
      <c r="AI179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{"issue":{"subject":"","project_id":79,"tracker_id":40,"status_id":1,"priority_id":2,"assigned_to_id":23,"start_date":"2016-11-11","description":"","custom_fields":[{"id":1,"name":"Subdivision","value":"NW"},{"id":4,"name":"Milepost","value":"0.0705"},{"id":17,"name":"Train ID","value":"820-11"},{"id":16,"name":"Locomotive ID","value":"4041"},{"id":130,"name":"Impact","value":""},{"id":150,"name":"Time of Event (Mountain Time)","value":"12:56:09"},{"id":151,"name":"Denver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535</v>
      </c>
      <c r="B180" s="7">
        <v>4042</v>
      </c>
      <c r="C180" s="22" t="s">
        <v>225</v>
      </c>
      <c r="D180" s="22" t="s">
        <v>748</v>
      </c>
      <c r="E180" s="13">
        <v>42685.549305555556</v>
      </c>
      <c r="F180" s="13">
        <v>42685.556539351855</v>
      </c>
      <c r="G180" s="7">
        <v>1</v>
      </c>
      <c r="H180" s="22" t="s">
        <v>402</v>
      </c>
      <c r="I180" s="13">
        <v>42685.565775462965</v>
      </c>
      <c r="J180" s="7">
        <v>0</v>
      </c>
      <c r="K180" s="109" t="str">
        <f t="shared" si="36"/>
        <v>4041/4042</v>
      </c>
      <c r="L180" s="22" t="str">
        <f>VLOOKUP(A180,'Trips&amp;Operators'!$C$1:$E$10000,3,FALSE)</f>
        <v>DAVIDSON</v>
      </c>
      <c r="M180" s="6">
        <f t="shared" si="37"/>
        <v>9.2361111092031933E-3</v>
      </c>
      <c r="N180" s="7">
        <f t="shared" si="38"/>
        <v>13.299999997252598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12:11:00-700',mode:absolute,to:'2016-11-11 14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0" s="52" t="str">
        <f t="shared" si="42"/>
        <v>N</v>
      </c>
      <c r="X180" s="177">
        <f t="shared" si="43"/>
        <v>1</v>
      </c>
      <c r="Y180" s="67">
        <f t="shared" si="44"/>
        <v>9.8799999999999999E-2</v>
      </c>
      <c r="Z180" s="67">
        <f t="shared" si="45"/>
        <v>5.8924000000000003</v>
      </c>
      <c r="AA180" s="67">
        <f t="shared" si="46"/>
        <v>5.7936000000000005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47"/>
        <v>0821-11</v>
      </c>
      <c r="AE180" s="91" t="str">
        <f t="shared" si="48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180" s="88" t="str">
        <f t="shared" si="49"/>
        <v>"C:\Program Files (x86)\AstroGrep\AstroGrep.exe" /spath="%USERPROFILE%\AppData\Local\Temp\OnboardLogs" /stypes="app*4042*20161111*" /stext=" 20:.+((SYSTEM_STATE.+slice.+state.+changed )|(ment ac)|(system.+state.+changed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821-11 --locoid 4042 --swversion DE.1.0.8.0 --startMP 204:988 --initTime 2016-11-11T13:11:00 --startdatetime 2016-11-11T13:21:25 --delay 1 --endMP 300:58924 --enddatetime 2016-11-11T13:34:43 --enforcementcount 0 &gt;&gt;C:\Users\stu\Documents\GitHub\eaglep3-reporting\EC\2016-11-11-refined-times.txt</v>
      </c>
      <c r="AI180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{"issue":{"subject":"","project_id":79,"tracker_id":40,"status_id":1,"priority_id":2,"assigned_to_id":23,"start_date":"2016-11-11","description":"","custom_fields":[{"id":1,"name":"Subdivision","value":"NW"},{"id":4,"name":"Milepost","value":"5.8924"},{"id":17,"name":"Train ID","value":"821-11"},{"id":16,"name":"Locomotive ID","value":"4042"},{"id":130,"name":"Impact","value":""},{"id":150,"name":"Time of Event (Mountain Time)","value":"13:34:43"},{"id":151,"name":"Denver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539</v>
      </c>
      <c r="B181" s="7">
        <v>4041</v>
      </c>
      <c r="C181" s="22" t="s">
        <v>225</v>
      </c>
      <c r="D181" s="22" t="s">
        <v>395</v>
      </c>
      <c r="E181" s="13">
        <v>42685.567025462966</v>
      </c>
      <c r="F181" s="13">
        <v>42685.570300925923</v>
      </c>
      <c r="G181" s="7">
        <v>1</v>
      </c>
      <c r="H181" s="22" t="s">
        <v>743</v>
      </c>
      <c r="I181" s="13">
        <v>42685.57980324074</v>
      </c>
      <c r="J181" s="7">
        <v>0</v>
      </c>
      <c r="K181" s="109" t="str">
        <f t="shared" si="36"/>
        <v>4041/4042</v>
      </c>
      <c r="L181" s="22" t="str">
        <f>VLOOKUP(A181,'Trips&amp;Operators'!$C$1:$E$10000,3,FALSE)</f>
        <v>DAVIDSON</v>
      </c>
      <c r="M181" s="6">
        <f t="shared" si="37"/>
        <v>9.5023148169275373E-3</v>
      </c>
      <c r="N181" s="7">
        <f t="shared" si="38"/>
        <v>13.683333336375654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12:36:31-700',mode:absolute,to:'2016-11-11 14:54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5.8616999999999999</v>
      </c>
      <c r="Z181" s="67">
        <f t="shared" si="45"/>
        <v>7.4099999999999999E-2</v>
      </c>
      <c r="AA181" s="67">
        <f t="shared" si="46"/>
        <v>5.7876000000000003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47"/>
        <v>0822-11</v>
      </c>
      <c r="AE181" s="91" t="str">
        <f t="shared" si="48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181" s="88" t="str">
        <f t="shared" si="49"/>
        <v>"C:\Program Files (x86)\AstroGrep\AstroGrep.exe" /spath="%USERPROFILE%\AppData\Local\Temp\OnboardLogs" /stypes="app*4041*20161111*" /stext=" 20:.+((SYSTEM_STATE.+slice.+state.+changed )|(ment ac)|(system.+state.+changed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822-11 --locoid 4041 --swversion DE.1.0.8.0 --startMP 300:58617 --initTime 2016-11-11T13:36:31 --startdatetime 2016-11-11T13:41:14 --delay 1 --endMP 204:741 --enddatetime 2016-11-11T13:54:55 --enforcementcount 0 &gt;&gt;C:\Users\stu\Documents\GitHub\eaglep3-reporting\EC\2016-11-11-refined-times.txt</v>
      </c>
      <c r="AI181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{"issue":{"subject":"","project_id":79,"tracker_id":40,"status_id":1,"priority_id":2,"assigned_to_id":23,"start_date":"2016-11-11","description":"","custom_fields":[{"id":1,"name":"Subdivision","value":"NW"},{"id":4,"name":"Milepost","value":"0.0741"},{"id":17,"name":"Train ID","value":"822-11"},{"id":16,"name":"Locomotive ID","value":"4041"},{"id":130,"name":"Impact","value":""},{"id":150,"name":"Time of Event (Mountain Time)","value":"13:54:55"},{"id":151,"name":"Denver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545</v>
      </c>
      <c r="B182" s="7">
        <v>4042</v>
      </c>
      <c r="C182" s="22" t="s">
        <v>225</v>
      </c>
      <c r="D182" s="22" t="s">
        <v>749</v>
      </c>
      <c r="E182" s="13">
        <v>42685.595381944448</v>
      </c>
      <c r="F182" s="13">
        <v>42685.598460648151</v>
      </c>
      <c r="G182" s="7">
        <v>1</v>
      </c>
      <c r="H182" s="22" t="s">
        <v>750</v>
      </c>
      <c r="I182" s="13">
        <v>42685.60796296296</v>
      </c>
      <c r="J182" s="7">
        <v>0</v>
      </c>
      <c r="K182" s="109" t="str">
        <f t="shared" si="36"/>
        <v>4041/4042</v>
      </c>
      <c r="L182" s="22" t="str">
        <f>VLOOKUP(A182,'Trips&amp;Operators'!$C$1:$E$10000,3,FALSE)</f>
        <v>DAVIDSON</v>
      </c>
      <c r="M182" s="6">
        <f t="shared" si="37"/>
        <v>9.5023148096515797E-3</v>
      </c>
      <c r="N182" s="7">
        <f t="shared" si="38"/>
        <v>13.683333325898275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13:17:21-700',mode:absolute,to:'2016-11-11 15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0.10249999999999999</v>
      </c>
      <c r="Z182" s="67">
        <f t="shared" si="45"/>
        <v>5.8930999999999996</v>
      </c>
      <c r="AA182" s="67">
        <f t="shared" si="46"/>
        <v>5.7905999999999995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47"/>
        <v>0823-11</v>
      </c>
      <c r="AE182" s="91" t="str">
        <f t="shared" si="48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182" s="88" t="str">
        <f t="shared" si="49"/>
        <v>"C:\Program Files (x86)\AstroGrep\AstroGrep.exe" /spath="%USERPROFILE%\AppData\Local\Temp\OnboardLogs" /stypes="app*4042*20161111*" /stext=" 21:.+((SYSTEM_STATE.+slice.+state.+changed )|(ment ac)|(system.+state.+changed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823-11 --locoid 4042 --swversion DE.1.0.8.0 --startMP 204:1025 --initTime 2016-11-11T14:17:21 --startdatetime 2016-11-11T14:21:47 --delay 1 --endMP 300:58931 --enddatetime 2016-11-11T14:35:28 --enforcementcount 0 &gt;&gt;C:\Users\stu\Documents\GitHub\eaglep3-reporting\EC\2016-11-11-refined-times.txt</v>
      </c>
      <c r="AI182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{"issue":{"subject":"","project_id":79,"tracker_id":40,"status_id":1,"priority_id":2,"assigned_to_id":23,"start_date":"2016-11-11","description":"","custom_fields":[{"id":1,"name":"Subdivision","value":"NW"},{"id":4,"name":"Milepost","value":"5.8931"},{"id":17,"name":"Train ID","value":"823-11"},{"id":16,"name":"Locomotive ID","value":"4042"},{"id":130,"name":"Impact","value":""},{"id":150,"name":"Time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s="21" customFormat="1" x14ac:dyDescent="0.25">
      <c r="A183" s="37" t="s">
        <v>549</v>
      </c>
      <c r="B183" s="7">
        <v>4041</v>
      </c>
      <c r="C183" s="22" t="s">
        <v>225</v>
      </c>
      <c r="D183" s="22" t="s">
        <v>324</v>
      </c>
      <c r="E183" s="13">
        <v>42685.609317129631</v>
      </c>
      <c r="F183" s="13">
        <v>42685.611377314817</v>
      </c>
      <c r="G183" s="7">
        <v>1</v>
      </c>
      <c r="H183" s="22" t="s">
        <v>656</v>
      </c>
      <c r="I183" s="13">
        <v>42685.621307870373</v>
      </c>
      <c r="J183" s="7">
        <v>0</v>
      </c>
      <c r="K183" s="109" t="str">
        <f t="shared" si="36"/>
        <v>4041/4042</v>
      </c>
      <c r="L183" s="22" t="str">
        <f>VLOOKUP(A183,'Trips&amp;Operators'!$C$1:$E$10000,3,FALSE)</f>
        <v>DAVIDSON</v>
      </c>
      <c r="M183" s="6">
        <f t="shared" si="37"/>
        <v>9.930555555911269E-3</v>
      </c>
      <c r="N183" s="7">
        <f t="shared" si="38"/>
        <v>14.300000000512227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13:37:25-700',mode:absolute,to:'2016-11-11 15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5.8619000000000003</v>
      </c>
      <c r="Z183" s="67">
        <f t="shared" si="45"/>
        <v>7.5399999999999995E-2</v>
      </c>
      <c r="AA183" s="67">
        <f t="shared" si="46"/>
        <v>5.7865000000000002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47"/>
        <v>0824-11</v>
      </c>
      <c r="AE183" s="91" t="str">
        <f t="shared" si="48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183" s="88" t="str">
        <f t="shared" si="49"/>
        <v>"C:\Program Files (x86)\AstroGrep\AstroGrep.exe" /spath="%USERPROFILE%\AppData\Local\Temp\OnboardLogs" /stypes="app*4041*20161111*" /stext=" 21:.+((SYSTEM_STATE.+slice.+state.+changed )|(ment ac)|(system.+state.+changed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824-11 --locoid 4041 --swversion DE.1.0.8.0 --startMP 300:58619 --initTime 2016-11-11T14:37:25 --startdatetime 2016-11-11T14:40:23 --delay 1 --endMP 204:754 --enddatetime 2016-11-11T14:54:41 --enforcementcount 0 &gt;&gt;C:\Users\stu\Documents\GitHub\eaglep3-reporting\EC\2016-11-11-refined-times.txt</v>
      </c>
      <c r="AI183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{"issue":{"subject":"","project_id":79,"tracker_id":40,"status_id":1,"priority_id":2,"assigned_to_id":23,"start_date":"2016-11-11","description":"","custom_fields":[{"id":1,"name":"Subdivision","value":"NW"},{"id":4,"name":"Milepost","value":"0.0754"},{"id":17,"name":"Train ID","value":"824-11"},{"id":16,"name":"Locomotive ID","value":"4041"},{"id":130,"name":"Impact","value":""},{"id":150,"name":"Time of Event (Mountain Time)","value":"14:54:41"},{"id":151,"name":"Denver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557</v>
      </c>
      <c r="B184" s="7">
        <v>4042</v>
      </c>
      <c r="C184" s="22" t="s">
        <v>225</v>
      </c>
      <c r="D184" s="22" t="s">
        <v>751</v>
      </c>
      <c r="E184" s="13">
        <v>42685.633402777778</v>
      </c>
      <c r="F184" s="13">
        <v>42685.639780092592</v>
      </c>
      <c r="G184" s="7">
        <v>1</v>
      </c>
      <c r="H184" s="22" t="s">
        <v>394</v>
      </c>
      <c r="I184" s="13">
        <v>42685.648981481485</v>
      </c>
      <c r="J184" s="7">
        <v>0</v>
      </c>
      <c r="K184" s="109" t="str">
        <f t="shared" si="36"/>
        <v>4041/4042</v>
      </c>
      <c r="L184" s="22" t="str">
        <f>VLOOKUP(A184,'Trips&amp;Operators'!$C$1:$E$10000,3,FALSE)</f>
        <v>DAVIDSON</v>
      </c>
      <c r="M184" s="6">
        <f t="shared" si="37"/>
        <v>9.2013888934161514E-3</v>
      </c>
      <c r="N184" s="7">
        <f t="shared" si="38"/>
        <v>13.250000006519258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14:12:06-700',mode:absolute,to:'2016-11-11 16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0.10299999999999999</v>
      </c>
      <c r="Z184" s="67">
        <f t="shared" si="45"/>
        <v>5.8929</v>
      </c>
      <c r="AA184" s="67">
        <f t="shared" si="46"/>
        <v>5.7899000000000003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47"/>
        <v>0825-11</v>
      </c>
      <c r="AE184" s="91" t="str">
        <f t="shared" si="48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184" s="88" t="str">
        <f t="shared" si="49"/>
        <v>"C:\Program Files (x86)\AstroGrep\AstroGrep.exe" /spath="%USERPROFILE%\AppData\Local\Temp\OnboardLogs" /stypes="app*4042*20161111*" /stext=" 22:.+((SYSTEM_STATE.+slice.+state.+changed )|(ment ac)|(system.+state.+changed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825-11 --locoid 4042 --swversion DE.1.0.8.0 --startMP 204:1030 --initTime 2016-11-11T15:12:06 --startdatetime 2016-11-11T15:21:17 --delay 1 --endMP 300:58929 --enddatetime 2016-11-11T15:34:32 --enforcementcount 0 &gt;&gt;C:\Users\stu\Documents\GitHub\eaglep3-reporting\EC\2016-11-11-refined-times.txt</v>
      </c>
      <c r="AI184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{"issue":{"subject":"","project_id":79,"tracker_id":40,"status_id":1,"priority_id":2,"assigned_to_id":23,"start_date":"2016-11-11","description":"","custom_fields":[{"id":1,"name":"Subdivision","value":"NW"},{"id":4,"name":"Milepost","value":"5.8929"},{"id":17,"name":"Train ID","value":"825-11"},{"id":16,"name":"Locomotive ID","value":"4042"},{"id":130,"name":"Impact","value":""},{"id":150,"name":"Time of Event (Mountain Time)","value":"15:34:32"},{"id":151,"name":"Denver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435</v>
      </c>
      <c r="B185" s="7">
        <v>4041</v>
      </c>
      <c r="C185" s="22" t="s">
        <v>225</v>
      </c>
      <c r="D185" s="22" t="s">
        <v>752</v>
      </c>
      <c r="E185" s="13">
        <v>42685.650138888886</v>
      </c>
      <c r="F185" s="13">
        <v>42685.651956018519</v>
      </c>
      <c r="G185" s="7">
        <v>1</v>
      </c>
      <c r="H185" s="22" t="s">
        <v>753</v>
      </c>
      <c r="I185" s="13">
        <v>42685.663935185185</v>
      </c>
      <c r="J185" s="7">
        <v>0</v>
      </c>
      <c r="K185" s="109" t="str">
        <f t="shared" si="36"/>
        <v>4041/4042</v>
      </c>
      <c r="L185" s="22" t="str">
        <f>VLOOKUP(A185,'Trips&amp;Operators'!$C$1:$E$10000,3,FALSE)</f>
        <v>DAVIDSON</v>
      </c>
      <c r="M185" s="6">
        <f t="shared" si="37"/>
        <v>1.1979166665696539E-2</v>
      </c>
      <c r="N185" s="7">
        <f t="shared" si="38"/>
        <v>17.249999998603016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14:36:12-700',mode:absolute,to:'2016-11-11 16:56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5" s="52" t="str">
        <f t="shared" si="42"/>
        <v>N</v>
      </c>
      <c r="X185" s="177">
        <f t="shared" si="43"/>
        <v>1</v>
      </c>
      <c r="Y185" s="67">
        <f t="shared" si="44"/>
        <v>5.8609</v>
      </c>
      <c r="Z185" s="67">
        <f t="shared" si="45"/>
        <v>7.7600000000000002E-2</v>
      </c>
      <c r="AA185" s="67">
        <f t="shared" si="46"/>
        <v>5.7832999999999997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47"/>
        <v>0826-11</v>
      </c>
      <c r="AE185" s="91" t="str">
        <f t="shared" si="48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185" s="88" t="str">
        <f t="shared" si="49"/>
        <v>"C:\Program Files (x86)\AstroGrep\AstroGrep.exe" /spath="%USERPROFILE%\AppData\Local\Temp\OnboardLogs" /stypes="app*4041*20161111*" /stext=" 22:.+((SYSTEM_STATE.+slice.+state.+changed )|(ment ac)|(system.+state.+changed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826-11 --locoid 4041 --swversion DE.1.0.8.0 --startMP 300:58609 --initTime 2016-11-11T15:36:12 --startdatetime 2016-11-11T15:38:49 --delay 1 --endMP 204:776 --enddatetime 2016-11-11T15:56:04 --enforcementcount 0 &gt;&gt;C:\Users\stu\Documents\GitHub\eaglep3-reporting\EC\2016-11-11-refined-times.txt</v>
      </c>
      <c r="AI185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{"issue":{"subject":"","project_id":79,"tracker_id":40,"status_id":1,"priority_id":2,"assigned_to_id":23,"start_date":"2016-11-11","description":"","custom_fields":[{"id":1,"name":"Subdivision","value":"NW"},{"id":4,"name":"Milepost","value":"0.0776"},{"id":17,"name":"Train ID","value":"826-11"},{"id":16,"name":"Locomotive ID","value":"4041"},{"id":130,"name":"Impact","value":""},{"id":150,"name":"Time of Event (Mountain Time)","value":"15:56:04"},{"id":151,"name":"Denver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7" t="s">
        <v>562</v>
      </c>
      <c r="B186" s="7">
        <v>4016</v>
      </c>
      <c r="C186" s="22" t="s">
        <v>225</v>
      </c>
      <c r="D186" s="22" t="s">
        <v>754</v>
      </c>
      <c r="E186" s="13">
        <v>42685.649525462963</v>
      </c>
      <c r="F186" s="13">
        <v>42685.660624999997</v>
      </c>
      <c r="G186" s="7">
        <v>1</v>
      </c>
      <c r="H186" s="22" t="s">
        <v>755</v>
      </c>
      <c r="I186" s="13">
        <v>42685.670370370368</v>
      </c>
      <c r="J186" s="7">
        <v>0</v>
      </c>
      <c r="K186" s="109" t="str">
        <f t="shared" si="36"/>
        <v>4015/4016</v>
      </c>
      <c r="L186" s="22" t="str">
        <f>VLOOKUP(A186,'Trips&amp;Operators'!$C$1:$E$10000,3,FALSE)</f>
        <v>SAFIEF</v>
      </c>
      <c r="M186" s="6">
        <f t="shared" si="37"/>
        <v>9.7453703710925765E-3</v>
      </c>
      <c r="N186" s="7">
        <f t="shared" si="38"/>
        <v>14.03333333437331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14:35:19-700',mode:absolute,to:'2016-11-11 17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6" s="52" t="str">
        <f t="shared" si="42"/>
        <v>N</v>
      </c>
      <c r="X186" s="177">
        <f t="shared" si="43"/>
        <v>1</v>
      </c>
      <c r="Y186" s="67">
        <f t="shared" si="44"/>
        <v>9.6199999999999994E-2</v>
      </c>
      <c r="Z186" s="67">
        <f t="shared" si="45"/>
        <v>5.8917999999999999</v>
      </c>
      <c r="AA186" s="67">
        <f t="shared" si="46"/>
        <v>5.7956000000000003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47"/>
        <v>0827-11</v>
      </c>
      <c r="AE186" s="91" t="str">
        <f t="shared" si="48"/>
        <v>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 &amp; aws s3 cp s3://rtdc.mdm.uploadarchive.raw/RTDC4016/ "%USERPROFILE%\AppData\Local\Temp\OnboardLogs"\RTDC4016\2016-11-12 --exclude "*" --recursive --include "*20161112*" &amp; "%USERPROFILE%\Documents\GitHub\mrs-test-scripts\Headless Mode &amp; Sideloading\WalkAndUnGZ.bat" "%USERPROFILE%\AppData\Local\Temp\OnboardLogs"\RTDC4016\2016-11-12</v>
      </c>
      <c r="AF186" s="88" t="str">
        <f t="shared" si="49"/>
        <v>"C:\Program Files (x86)\AstroGrep\AstroGrep.exe" /spath="%USERPROFILE%\AppData\Local\Temp\OnboardLogs" /stypes="app*4016*20161111*" /stext=" 23:.+((SYSTEM_STATE.+slice.+state.+changed )|(ment ac)|(system.+state.+changed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827-11 --locoid 4016 --swversion DE.1.0.8.0 --startMP 204:962 --initTime 2016-11-11T15:35:19 --startdatetime 2016-11-11T15:51:18 --delay 1 --endMP 300:58918 --enddatetime 2016-11-11T16:05:20 --enforcementcount 0 &gt;&gt;C:\Users\stu\Documents\GitHub\eaglep3-reporting\EC\2016-11-11-refined-times.txt</v>
      </c>
      <c r="AI186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{"issue":{"subject":"","project_id":79,"tracker_id":40,"status_id":1,"priority_id":2,"assigned_to_id":23,"start_date":"2016-11-11","description":"","custom_fields":[{"id":1,"name":"Subdivision","value":"NW"},{"id":4,"name":"Milepost","value":"5.8918"},{"id":17,"name":"Train ID","value":"827-11"},{"id":16,"name":"Locomotive ID","value":"4016"},{"id":130,"name":"Impact","value":""},{"id":150,"name":"Time of Event (Mountain Time)","value":"16:05:20"},{"id":151,"name":"Denver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566</v>
      </c>
      <c r="B187" s="7">
        <v>4015</v>
      </c>
      <c r="C187" s="22" t="s">
        <v>225</v>
      </c>
      <c r="D187" s="22" t="s">
        <v>406</v>
      </c>
      <c r="E187" s="13">
        <v>42685.671203703707</v>
      </c>
      <c r="F187" s="13">
        <v>42685.672500000001</v>
      </c>
      <c r="G187" s="7">
        <v>1</v>
      </c>
      <c r="H187" s="22" t="s">
        <v>290</v>
      </c>
      <c r="I187" s="13">
        <v>42685.684699074074</v>
      </c>
      <c r="J187" s="7">
        <v>0</v>
      </c>
      <c r="K187" s="109" t="str">
        <f t="shared" si="36"/>
        <v>4015/4016</v>
      </c>
      <c r="L187" s="22" t="str">
        <f>VLOOKUP(A187,'Trips&amp;Operators'!$C$1:$E$10000,3,FALSE)</f>
        <v>SAFIEF</v>
      </c>
      <c r="M187" s="6">
        <f t="shared" si="37"/>
        <v>1.2199074073578231E-2</v>
      </c>
      <c r="N187" s="7">
        <f t="shared" si="38"/>
        <v>17.566666665952653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15:06:32-700',mode:absolute,to:'2016-11-11 17:25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5.8608000000000002</v>
      </c>
      <c r="Z187" s="67">
        <f t="shared" si="45"/>
        <v>6.9199999999999998E-2</v>
      </c>
      <c r="AA187" s="67">
        <f t="shared" si="46"/>
        <v>5.7915999999999999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47"/>
        <v>0828-11</v>
      </c>
      <c r="AE187" s="91" t="str">
        <f t="shared" si="48"/>
        <v>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 &amp; 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</v>
      </c>
      <c r="AF187" s="88" t="str">
        <f t="shared" si="49"/>
        <v>"C:\Program Files (x86)\AstroGrep\AstroGrep.exe" /spath="%USERPROFILE%\AppData\Local\Temp\OnboardLogs" /stypes="app*4015*20161111*" /stext=" 23:.+((SYSTEM_STATE.+slice.+state.+changed )|(ment ac)|(system.+state.+changed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828-11 --locoid 4015 --swversion DE.1.0.8.0 --startMP 300:58608 --initTime 2016-11-11T16:06:32 --startdatetime 2016-11-11T16:08:24 --delay 1 --endMP 204:692 --enddatetime 2016-11-11T16:25:58 --enforcementcount 0 &gt;&gt;C:\Users\stu\Documents\GitHub\eaglep3-reporting\EC\2016-11-11-refined-times.txt</v>
      </c>
      <c r="AI187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{"issue":{"subject":"","project_id":79,"tracker_id":40,"status_id":1,"priority_id":2,"assigned_to_id":23,"start_date":"2016-11-11","description":"","custom_fields":[{"id":1,"name":"Subdivision","value":"NW"},{"id":4,"name":"Milepost","value":"0.0692"},{"id":17,"name":"Train ID","value":"828-11"},{"id":16,"name":"Locomotive ID","value":"4015"},{"id":130,"name":"Impact","value":""},{"id":150,"name":"Time of Event (Mountain Time)","value":"16:25:58"},{"id":151,"name":"Denver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s="21" customFormat="1" x14ac:dyDescent="0.25">
      <c r="A188" s="37" t="s">
        <v>570</v>
      </c>
      <c r="B188" s="7">
        <v>4042</v>
      </c>
      <c r="C188" s="22" t="s">
        <v>225</v>
      </c>
      <c r="D188" s="22" t="s">
        <v>756</v>
      </c>
      <c r="E188" s="13">
        <v>42685.676574074074</v>
      </c>
      <c r="F188" s="13">
        <v>42685.681469907409</v>
      </c>
      <c r="G188" s="7">
        <v>1</v>
      </c>
      <c r="H188" s="22" t="s">
        <v>755</v>
      </c>
      <c r="I188" s="13">
        <v>42685.690810185188</v>
      </c>
      <c r="J188" s="7">
        <v>0</v>
      </c>
      <c r="K188" s="109" t="str">
        <f t="shared" si="36"/>
        <v>4041/4042</v>
      </c>
      <c r="L188" s="22" t="str">
        <f>VLOOKUP(A188,'Trips&amp;Operators'!$C$1:$E$10000,3,FALSE)</f>
        <v>DAVIDSON</v>
      </c>
      <c r="M188" s="6">
        <f t="shared" si="37"/>
        <v>9.340277778392192E-3</v>
      </c>
      <c r="N188" s="7">
        <f t="shared" si="38"/>
        <v>13.450000000884756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15:14:16-700',mode:absolute,to:'2016-11-11 17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0.1055</v>
      </c>
      <c r="Z188" s="67">
        <f t="shared" si="45"/>
        <v>5.8917999999999999</v>
      </c>
      <c r="AA188" s="67">
        <f t="shared" si="46"/>
        <v>5.7862999999999998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47"/>
        <v>0829-11</v>
      </c>
      <c r="AE188" s="91" t="str">
        <f t="shared" si="48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188" s="88" t="str">
        <f t="shared" si="49"/>
        <v>"C:\Program Files (x86)\AstroGrep\AstroGrep.exe" /spath="%USERPROFILE%\AppData\Local\Temp\OnboardLogs" /stypes="app*4042*20161111*" /stext=" 23:.+((SYSTEM_STATE.+slice.+state.+changed )|(ment ac)|(system.+state.+changed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829-11 --locoid 4042 --swversion DE.1.0.8.0 --startMP 204:1055 --initTime 2016-11-11T16:14:16 --startdatetime 2016-11-11T16:21:19 --delay 1 --endMP 300:58918 --enddatetime 2016-11-11T16:34:46 --enforcementcount 0 &gt;&gt;C:\Users\stu\Documents\GitHub\eaglep3-reporting\EC\2016-11-11-refined-times.txt</v>
      </c>
      <c r="AI188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{"issue":{"subject":"","project_id":79,"tracker_id":40,"status_id":1,"priority_id":2,"assigned_to_id":23,"start_date":"2016-11-11","description":"","custom_fields":[{"id":1,"name":"Subdivision","value":"NW"},{"id":4,"name":"Milepost","value":"5.8918"},{"id":17,"name":"Train ID","value":"829-11"},{"id":16,"name":"Locomotive ID","value":"4042"},{"id":130,"name":"Impact","value":""},{"id":150,"name":"Time of Event (Mountain Time)","value":"16:34:46"},{"id":151,"name":"Denver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436</v>
      </c>
      <c r="B189" s="7">
        <v>4041</v>
      </c>
      <c r="C189" s="22" t="s">
        <v>225</v>
      </c>
      <c r="D189" s="22" t="s">
        <v>393</v>
      </c>
      <c r="E189" s="13">
        <v>42685.692141203705</v>
      </c>
      <c r="F189" s="13">
        <v>42685.693715277775</v>
      </c>
      <c r="G189" s="7">
        <v>1</v>
      </c>
      <c r="H189" s="22" t="s">
        <v>757</v>
      </c>
      <c r="I189" s="13">
        <v>42685.706122685187</v>
      </c>
      <c r="J189" s="7">
        <v>0</v>
      </c>
      <c r="K189" s="109" t="str">
        <f t="shared" si="36"/>
        <v>4041/4042</v>
      </c>
      <c r="L189" s="22" t="str">
        <f>VLOOKUP(A189,'Trips&amp;Operators'!$C$1:$E$10000,3,FALSE)</f>
        <v>DAVIDSON</v>
      </c>
      <c r="M189" s="6">
        <f t="shared" si="37"/>
        <v>1.2407407411956228E-2</v>
      </c>
      <c r="N189" s="7">
        <f t="shared" si="38"/>
        <v>17.866666673216969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15:36:41-700',mode:absolute,to:'2016-11-11 17:56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5.8605999999999998</v>
      </c>
      <c r="Z189" s="67">
        <f t="shared" si="45"/>
        <v>7.9200000000000007E-2</v>
      </c>
      <c r="AA189" s="67">
        <f t="shared" si="46"/>
        <v>5.7813999999999997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47"/>
        <v>0830-11</v>
      </c>
      <c r="AE189" s="91" t="str">
        <f t="shared" si="48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189" s="88" t="str">
        <f t="shared" si="49"/>
        <v>"C:\Program Files (x86)\AstroGrep\AstroGrep.exe" /spath="%USERPROFILE%\AppData\Local\Temp\OnboardLogs" /stypes="app*4041*20161111*" /stext=" 23:.+((SYSTEM_STATE.+slice.+state.+changed )|(ment ac)|(system.+state.+changed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830-11 --locoid 4041 --swversion DE.1.0.8.0 --startMP 300:58606 --initTime 2016-11-11T16:36:41 --startdatetime 2016-11-11T16:38:57 --delay 1 --endMP 204:792 --enddatetime 2016-11-11T16:56:49 --enforcementcount 0 &gt;&gt;C:\Users\stu\Documents\GitHub\eaglep3-reporting\EC\2016-11-11-refined-times.txt</v>
      </c>
      <c r="AI189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{"issue":{"subject":"","project_id":79,"tracker_id":40,"status_id":1,"priority_id":2,"assigned_to_id":23,"start_date":"2016-11-11","description":"","custom_fields":[{"id":1,"name":"Subdivision","value":"NW"},{"id":4,"name":"Milepost","value":"0.0792"},{"id":17,"name":"Train ID","value":"830-11"},{"id":16,"name":"Locomotive ID","value":"4041"},{"id":130,"name":"Impact","value":""},{"id":150,"name":"Time of Event (Mountain Time)","value":"16:56:49"},{"id":151,"name":"Denver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437</v>
      </c>
      <c r="B190" s="7">
        <v>4016</v>
      </c>
      <c r="C190" s="22" t="s">
        <v>225</v>
      </c>
      <c r="D190" s="22" t="s">
        <v>758</v>
      </c>
      <c r="E190" s="13">
        <v>42685.686018518521</v>
      </c>
      <c r="F190" s="13">
        <v>42685.702361111114</v>
      </c>
      <c r="G190" s="7">
        <v>1</v>
      </c>
      <c r="H190" s="22" t="s">
        <v>759</v>
      </c>
      <c r="I190" s="13">
        <v>42685.712245370371</v>
      </c>
      <c r="J190" s="7">
        <v>0</v>
      </c>
      <c r="K190" s="109" t="str">
        <f t="shared" si="36"/>
        <v>4015/4016</v>
      </c>
      <c r="L190" s="22" t="str">
        <f>VLOOKUP(A190,'Trips&amp;Operators'!$C$1:$E$10000,3,FALSE)</f>
        <v>SAFIEF</v>
      </c>
      <c r="M190" s="6">
        <f t="shared" si="37"/>
        <v>9.8842592560686171E-3</v>
      </c>
      <c r="N190" s="7">
        <f t="shared" si="38"/>
        <v>14.233333328738809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15:27:52-700',mode:absolute,to:'2016-11-11 18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9.5299999999999996E-2</v>
      </c>
      <c r="Z190" s="67">
        <f t="shared" si="45"/>
        <v>5.8928000000000003</v>
      </c>
      <c r="AA190" s="67">
        <f t="shared" si="46"/>
        <v>5.7975000000000003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47"/>
        <v>0831-11</v>
      </c>
      <c r="AE190" s="91" t="str">
        <f t="shared" si="48"/>
        <v>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 &amp; aws s3 cp s3://rtdc.mdm.uploadarchive.raw/RTDC4016/ "%USERPROFILE%\AppData\Local\Temp\OnboardLogs"\RTDC4016\2016-11-12 --exclude "*" --recursive --include "*20161112*" &amp; "%USERPROFILE%\Documents\GitHub\mrs-test-scripts\Headless Mode &amp; Sideloading\WalkAndUnGZ.bat" "%USERPROFILE%\AppData\Local\Temp\OnboardLogs"\RTDC4016\2016-11-12</v>
      </c>
      <c r="AF190" s="88" t="str">
        <f t="shared" si="49"/>
        <v>"C:\Program Files (x86)\AstroGrep\AstroGrep.exe" /spath="%USERPROFILE%\AppData\Local\Temp\OnboardLogs" /stypes="app*4016*20161112*" /stext=" 00:.+((SYSTEM_STATE.+slice.+state.+changed )|(ment ac)|(system.+state.+changed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831-11 --locoid 4016 --swversion DE.1.0.8.0 --startMP 204:953 --initTime 2016-11-11T16:27:52 --startdatetime 2016-11-11T16:51:24 --delay 1 --endMP 300:58928 --enddatetime 2016-11-11T17:05:38 --enforcementcount 0 &gt;&gt;C:\Users\stu\Documents\GitHub\eaglep3-reporting\EC\2016-11-11-refined-times.txt</v>
      </c>
      <c r="AI190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{"issue":{"subject":"","project_id":79,"tracker_id":40,"status_id":1,"priority_id":2,"assigned_to_id":23,"start_date":"2016-11-11","description":"","custom_fields":[{"id":1,"name":"Subdivision","value":"NW"},{"id":4,"name":"Milepost","value":"5.8928"},{"id":17,"name":"Train ID","value":"831-11"},{"id":16,"name":"Locomotive ID","value":"4016"},{"id":130,"name":"Impact","value":""},{"id":150,"name":"Time of Event (Mountain Time)","value":"17:05:38"},{"id":151,"name":"Denver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7" t="s">
        <v>578</v>
      </c>
      <c r="B191" s="7">
        <v>4015</v>
      </c>
      <c r="C191" s="22" t="s">
        <v>225</v>
      </c>
      <c r="D191" s="22" t="s">
        <v>746</v>
      </c>
      <c r="E191" s="13">
        <v>42685.71329861111</v>
      </c>
      <c r="F191" s="13">
        <v>42685.715046296296</v>
      </c>
      <c r="G191" s="7">
        <v>1</v>
      </c>
      <c r="H191" s="22" t="s">
        <v>760</v>
      </c>
      <c r="I191" s="13">
        <v>42685.726736111108</v>
      </c>
      <c r="J191" s="7">
        <v>0</v>
      </c>
      <c r="K191" s="109" t="str">
        <f t="shared" si="36"/>
        <v>4015/4016</v>
      </c>
      <c r="L191" s="22" t="str">
        <f>VLOOKUP(A191,'Trips&amp;Operators'!$C$1:$E$10000,3,FALSE)</f>
        <v>SAFIEF</v>
      </c>
      <c r="M191" s="6">
        <f t="shared" si="37"/>
        <v>1.1689814811688848E-2</v>
      </c>
      <c r="N191" s="7">
        <f t="shared" si="38"/>
        <v>16.833333328831941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16:07:09-700',mode:absolute,to:'2016-11-11 18:26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1" s="52" t="str">
        <f t="shared" si="42"/>
        <v>N</v>
      </c>
      <c r="X191" s="177">
        <f t="shared" si="43"/>
        <v>1</v>
      </c>
      <c r="Y191" s="67">
        <f t="shared" si="44"/>
        <v>5.8615000000000004</v>
      </c>
      <c r="Z191" s="67">
        <f t="shared" si="45"/>
        <v>6.7299999999999999E-2</v>
      </c>
      <c r="AA191" s="67">
        <f t="shared" si="46"/>
        <v>5.7942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47"/>
        <v>0832-11</v>
      </c>
      <c r="AE191" s="91" t="str">
        <f t="shared" si="48"/>
        <v>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 &amp; 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</v>
      </c>
      <c r="AF191" s="88" t="str">
        <f t="shared" si="49"/>
        <v>"C:\Program Files (x86)\AstroGrep\AstroGrep.exe" /spath="%USERPROFILE%\AppData\Local\Temp\OnboardLogs" /stypes="app*4015*20161112*" /stext=" 00:.+((SYSTEM_STATE.+slice.+state.+changed )|(ment ac)|(system.+state.+changed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832-11 --locoid 4015 --swversion DE.1.0.8.0 --startMP 300:58615 --initTime 2016-11-11T17:07:09 --startdatetime 2016-11-11T17:09:40 --delay 1 --endMP 204:673 --enddatetime 2016-11-11T17:26:30 --enforcementcount 0 &gt;&gt;C:\Users\stu\Documents\GitHub\eaglep3-reporting\EC\2016-11-11-refined-times.txt</v>
      </c>
      <c r="AI191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{"issue":{"subject":"","project_id":79,"tracker_id":40,"status_id":1,"priority_id":2,"assigned_to_id":23,"start_date":"2016-11-11","description":"","custom_fields":[{"id":1,"name":"Subdivision","value":"NW"},{"id":4,"name":"Milepost","value":"0.0673"},{"id":17,"name":"Train ID","value":"832-11"},{"id":16,"name":"Locomotive ID","value":"4015"},{"id":130,"name":"Impact","value":""},{"id":150,"name":"Time of Event (Mountain Time)","value":"17:26:30"},{"id":151,"name":"Denver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s="21" customFormat="1" x14ac:dyDescent="0.25">
      <c r="A192" s="37" t="s">
        <v>580</v>
      </c>
      <c r="B192" s="7">
        <v>4042</v>
      </c>
      <c r="C192" s="22" t="s">
        <v>225</v>
      </c>
      <c r="D192" s="22" t="s">
        <v>761</v>
      </c>
      <c r="E192" s="13">
        <v>42685.714988425927</v>
      </c>
      <c r="F192" s="13">
        <v>42685.723124999997</v>
      </c>
      <c r="G192" s="7">
        <v>1</v>
      </c>
      <c r="H192" s="22" t="s">
        <v>402</v>
      </c>
      <c r="I192" s="13">
        <v>42685.733020833337</v>
      </c>
      <c r="J192" s="7">
        <v>0</v>
      </c>
      <c r="K192" s="109" t="str">
        <f t="shared" si="36"/>
        <v>4041/4042</v>
      </c>
      <c r="L192" s="22" t="str">
        <f>VLOOKUP(A192,'Trips&amp;Operators'!$C$1:$E$10000,3,FALSE)</f>
        <v>DAVIDSON</v>
      </c>
      <c r="M192" s="6">
        <f t="shared" si="37"/>
        <v>9.8958333401242271E-3</v>
      </c>
      <c r="N192" s="7">
        <f t="shared" si="38"/>
        <v>14.250000009778887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16:09:35-700',mode:absolute,to:'2016-11-11 18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2" s="52" t="str">
        <f t="shared" si="42"/>
        <v>N</v>
      </c>
      <c r="X192" s="177">
        <f t="shared" si="43"/>
        <v>1</v>
      </c>
      <c r="Y192" s="67">
        <f t="shared" si="44"/>
        <v>0.1079</v>
      </c>
      <c r="Z192" s="67">
        <f t="shared" si="45"/>
        <v>5.8924000000000003</v>
      </c>
      <c r="AA192" s="67">
        <f t="shared" si="46"/>
        <v>5.7845000000000004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47"/>
        <v>0833-11</v>
      </c>
      <c r="AE192" s="91" t="str">
        <f t="shared" si="48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192" s="88" t="str">
        <f t="shared" si="49"/>
        <v>"C:\Program Files (x86)\AstroGrep\AstroGrep.exe" /spath="%USERPROFILE%\AppData\Local\Temp\OnboardLogs" /stypes="app*4042*20161112*" /stext=" 00:.+((SYSTEM_STATE.+slice.+state.+changed )|(ment ac)|(system.+state.+changed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833-11 --locoid 4042 --swversion DE.1.0.8.0 --startMP 204:1079 --initTime 2016-11-11T17:09:35 --startdatetime 2016-11-11T17:21:18 --delay 1 --endMP 300:58924 --enddatetime 2016-11-11T17:35:33 --enforcementcount 0 &gt;&gt;C:\Users\stu\Documents\GitHub\eaglep3-reporting\EC\2016-11-11-refined-times.txt</v>
      </c>
      <c r="AI192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{"issue":{"subject":"","project_id":79,"tracker_id":40,"status_id":1,"priority_id":2,"assigned_to_id":23,"start_date":"2016-11-11","description":"","custom_fields":[{"id":1,"name":"Subdivision","value":"NW"},{"id":4,"name":"Milepost","value":"5.8924"},{"id":17,"name":"Train ID","value":"833-11"},{"id":16,"name":"Locomotive ID","value":"4042"},{"id":130,"name":"Impact","value":""},{"id":150,"name":"Time of Event (Mountain Time)","value":"17:35:33"},{"id":151,"name":"Denver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586</v>
      </c>
      <c r="B193" s="7">
        <v>4041</v>
      </c>
      <c r="C193" s="22" t="s">
        <v>225</v>
      </c>
      <c r="D193" s="22" t="s">
        <v>752</v>
      </c>
      <c r="E193" s="13">
        <v>42685.734513888892</v>
      </c>
      <c r="F193" s="13">
        <v>42685.736493055556</v>
      </c>
      <c r="G193" s="7">
        <v>1</v>
      </c>
      <c r="H193" s="22" t="s">
        <v>762</v>
      </c>
      <c r="I193" s="13">
        <v>42685.747384259259</v>
      </c>
      <c r="J193" s="7">
        <v>0</v>
      </c>
      <c r="K193" s="109" t="str">
        <f t="shared" si="36"/>
        <v>4041/4042</v>
      </c>
      <c r="L193" s="22" t="str">
        <f>VLOOKUP(A193,'Trips&amp;Operators'!$C$1:$E$10000,3,FALSE)</f>
        <v>DAVIDSON</v>
      </c>
      <c r="M193" s="6">
        <f t="shared" si="37"/>
        <v>1.0891203703067731E-2</v>
      </c>
      <c r="N193" s="7">
        <f t="shared" si="38"/>
        <v>15.683333332417533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16:37:42-700',mode:absolute,to:'2016-11-11 18:56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3" s="52" t="str">
        <f t="shared" si="42"/>
        <v>N</v>
      </c>
      <c r="X193" s="177">
        <f t="shared" si="43"/>
        <v>1</v>
      </c>
      <c r="Y193" s="67">
        <f t="shared" si="44"/>
        <v>5.8609</v>
      </c>
      <c r="Z193" s="67">
        <f t="shared" si="45"/>
        <v>7.6600000000000001E-2</v>
      </c>
      <c r="AA193" s="67">
        <f t="shared" si="46"/>
        <v>5.7843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47"/>
        <v>0834-11</v>
      </c>
      <c r="AE193" s="91" t="str">
        <f t="shared" si="48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193" s="88" t="str">
        <f t="shared" si="49"/>
        <v>"C:\Program Files (x86)\AstroGrep\AstroGrep.exe" /spath="%USERPROFILE%\AppData\Local\Temp\OnboardLogs" /stypes="app*4041*20161112*" /stext=" 00:.+((SYSTEM_STATE.+slice.+state.+changed )|(ment ac)|(system.+state.+changed )|(\[timeout)|(PRM\|1\|D)|(kpr)|(kdp)|(\|lc)|(penalty))"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834-11 --locoid 4041 --swversion DE.1.0.8.0 --startMP 300:58609 --initTime 2016-11-11T17:37:42 --startdatetime 2016-11-11T17:40:33 --delay 1 --endMP 204:766 --enddatetime 2016-11-11T17:56:14 --enforcementcount 0 &gt;&gt;C:\Users\stu\Documents\GitHub\eaglep3-reporting\EC\2016-11-11-refined-times.txt</v>
      </c>
      <c r="AI193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{"issue":{"subject":"","project_id":79,"tracker_id":40,"status_id":1,"priority_id":2,"assigned_to_id":23,"start_date":"2016-11-11","description":"","custom_fields":[{"id":1,"name":"Subdivision","value":"NW"},{"id":4,"name":"Milepost","value":"0.0766"},{"id":17,"name":"Train ID","value":"834-11"},{"id":16,"name":"Locomotive ID","value":"4041"},{"id":130,"name":"Impact","value":""},{"id":150,"name":"Time of Event (Mountain Time)","value":"17:56:14"},{"id":151,"name":"Denver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583</v>
      </c>
      <c r="B194" s="7">
        <v>4016</v>
      </c>
      <c r="C194" s="22" t="s">
        <v>225</v>
      </c>
      <c r="D194" s="22" t="s">
        <v>323</v>
      </c>
      <c r="E194" s="13">
        <v>42685.728252314817</v>
      </c>
      <c r="F194" s="13">
        <v>42685.74391203704</v>
      </c>
      <c r="G194" s="7">
        <v>1</v>
      </c>
      <c r="H194" s="22" t="s">
        <v>755</v>
      </c>
      <c r="I194" s="13">
        <v>42685.753668981481</v>
      </c>
      <c r="J194" s="7">
        <v>0</v>
      </c>
      <c r="K194" s="109" t="str">
        <f t="shared" si="36"/>
        <v>4015/4016</v>
      </c>
      <c r="L194" s="22" t="str">
        <f>VLOOKUP(A194,'Trips&amp;Operators'!$C$1:$E$10000,3,FALSE)</f>
        <v>SAFIEF</v>
      </c>
      <c r="M194" s="6">
        <f t="shared" si="37"/>
        <v>9.7569444405962713E-3</v>
      </c>
      <c r="N194" s="7">
        <f t="shared" si="38"/>
        <v>14.049999994458631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16:28:41-700',mode:absolute,to:'2016-11-11 19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4" s="52" t="str">
        <f t="shared" si="42"/>
        <v>N</v>
      </c>
      <c r="X194" s="177">
        <f t="shared" si="43"/>
        <v>1</v>
      </c>
      <c r="Y194" s="67">
        <f t="shared" si="44"/>
        <v>9.7900000000000001E-2</v>
      </c>
      <c r="Z194" s="67">
        <f t="shared" si="45"/>
        <v>5.8917999999999999</v>
      </c>
      <c r="AA194" s="67">
        <f t="shared" si="46"/>
        <v>5.7938999999999998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47"/>
        <v>0835-11</v>
      </c>
      <c r="AE194" s="91" t="str">
        <f t="shared" si="48"/>
        <v>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 &amp; aws s3 cp s3://rtdc.mdm.uploadarchive.raw/RTDC4016/ "%USERPROFILE%\AppData\Local\Temp\OnboardLogs"\RTDC4016\2016-11-12 --exclude "*" --recursive --include "*20161112*" &amp; "%USERPROFILE%\Documents\GitHub\mrs-test-scripts\Headless Mode &amp; Sideloading\WalkAndUnGZ.bat" "%USERPROFILE%\AppData\Local\Temp\OnboardLogs"\RTDC4016\2016-11-12</v>
      </c>
      <c r="AF194" s="88" t="str">
        <f t="shared" si="49"/>
        <v>"C:\Program Files (x86)\AstroGrep\AstroGrep.exe" /spath="%USERPROFILE%\AppData\Local\Temp\OnboardLogs" /stypes="app*4016*20161112*" /stext=" 01:.+((SYSTEM_STATE.+slice.+state.+changed )|(ment ac)|(system.+state.+changed )|(\[timeout)|(PRM\|1\|D)|(kpr)|(kdp)|(\|lc)|(penalty))" /e /r /s</v>
      </c>
      <c r="AG194" s="1" t="str">
        <f t="shared" si="50"/>
        <v>NW</v>
      </c>
      <c r="AH194" s="92" t="str">
        <f t="shared" si="51"/>
        <v>"%USERPROFILE%\Documents\GitHub\eaglep3\Utilities\RefineRTDCRunTimes.py" --tripid 835-11 --locoid 4016 --swversion DE.1.0.8.0 --startMP 204:979 --initTime 2016-11-11T17:28:41 --startdatetime 2016-11-11T17:51:14 --delay 1 --endMP 300:58918 --enddatetime 2016-11-11T18:05:17 --enforcementcount 0 &gt;&gt;C:\Users\stu\Documents\GitHub\eaglep3-reporting\EC\2016-11-11-refined-times.txt</v>
      </c>
      <c r="AI194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{"issue":{"subject":"","project_id":79,"tracker_id":40,"status_id":1,"priority_id":2,"assigned_to_id":23,"start_date":"2016-11-11","description":"","custom_fields":[{"id":1,"name":"Subdivision","value":"NW"},{"id":4,"name":"Milepost","value":"5.8918"},{"id":17,"name":"Train ID","value":"835-11"},{"id":16,"name":"Locomotive ID","value":"4016"},{"id":130,"name":"Impact","value":""},{"id":150,"name":"Time of Event (Mountain Time)","value":"18:05:17"},{"id":151,"name":"Denver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591</v>
      </c>
      <c r="B195" s="7">
        <v>4015</v>
      </c>
      <c r="C195" s="22" t="s">
        <v>225</v>
      </c>
      <c r="D195" s="22" t="s">
        <v>406</v>
      </c>
      <c r="E195" s="13">
        <v>42685.754571759258</v>
      </c>
      <c r="F195" s="13">
        <v>42685.756053240744</v>
      </c>
      <c r="G195" s="7">
        <v>1</v>
      </c>
      <c r="H195" s="22" t="s">
        <v>292</v>
      </c>
      <c r="I195" s="13">
        <v>42685.767962962964</v>
      </c>
      <c r="J195" s="7">
        <v>0</v>
      </c>
      <c r="K195" s="109" t="str">
        <f t="shared" si="36"/>
        <v>4015/4016</v>
      </c>
      <c r="L195" s="22" t="str">
        <f>VLOOKUP(A195,'Trips&amp;Operators'!$C$1:$E$10000,3,FALSE)</f>
        <v>SAFIEF</v>
      </c>
      <c r="M195" s="6">
        <f t="shared" si="37"/>
        <v>1.190972221957054E-2</v>
      </c>
      <c r="N195" s="7">
        <f t="shared" si="38"/>
        <v>17.149999996181577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17:06:35-700',mode:absolute,to:'2016-11-11 19:25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5" s="52" t="str">
        <f t="shared" si="42"/>
        <v>N</v>
      </c>
      <c r="X195" s="177">
        <f t="shared" si="43"/>
        <v>1</v>
      </c>
      <c r="Y195" s="67">
        <f t="shared" si="44"/>
        <v>5.8608000000000002</v>
      </c>
      <c r="Z195" s="67">
        <f t="shared" si="45"/>
        <v>6.9099999999999995E-2</v>
      </c>
      <c r="AA195" s="67">
        <f t="shared" si="46"/>
        <v>5.7917000000000005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47"/>
        <v>0836-11</v>
      </c>
      <c r="AE195" s="91" t="str">
        <f t="shared" si="48"/>
        <v>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 &amp; 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</v>
      </c>
      <c r="AF195" s="88" t="str">
        <f t="shared" si="49"/>
        <v>"C:\Program Files (x86)\AstroGrep\AstroGrep.exe" /spath="%USERPROFILE%\AppData\Local\Temp\OnboardLogs" /stypes="app*4015*20161112*" /stext=" 01:.+((SYSTEM_STATE.+slice.+state.+changed )|(ment ac)|(system.+state.+changed )|(\[timeout)|(PRM\|1\|D)|(kpr)|(kdp)|(\|lc)|(penalty))" /e /r /s</v>
      </c>
      <c r="AG195" s="1" t="str">
        <f t="shared" si="50"/>
        <v>NW</v>
      </c>
      <c r="AH195" s="92" t="str">
        <f t="shared" si="51"/>
        <v>"%USERPROFILE%\Documents\GitHub\eaglep3\Utilities\RefineRTDCRunTimes.py" --tripid 836-11 --locoid 4015 --swversion DE.1.0.8.0 --startMP 300:58608 --initTime 2016-11-11T18:06:35 --startdatetime 2016-11-11T18:08:43 --delay 1 --endMP 204:691 --enddatetime 2016-11-11T18:25:52 --enforcementcount 0 &gt;&gt;C:\Users\stu\Documents\GitHub\eaglep3-reporting\EC\2016-11-11-refined-times.txt</v>
      </c>
      <c r="AI195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{"issue":{"subject":"","project_id":79,"tracker_id":40,"status_id":1,"priority_id":2,"assigned_to_id":23,"start_date":"2016-11-11","description":"","custom_fields":[{"id":1,"name":"Subdivision","value":"NW"},{"id":4,"name":"Milepost","value":"0.0691"},{"id":17,"name":"Train ID","value":"836-11"},{"id":16,"name":"Locomotive ID","value":"4015"},{"id":130,"name":"Impact","value":""},{"id":150,"name":"Time of Event (Mountain Time)","value":"18:25:52"},{"id":151,"name":"Denver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592</v>
      </c>
      <c r="B196" s="7">
        <v>4042</v>
      </c>
      <c r="C196" s="22" t="s">
        <v>225</v>
      </c>
      <c r="D196" s="22" t="s">
        <v>763</v>
      </c>
      <c r="E196" s="13">
        <v>42685.758622685185</v>
      </c>
      <c r="F196" s="13">
        <v>42685.764826388891</v>
      </c>
      <c r="G196" s="7">
        <v>1</v>
      </c>
      <c r="H196" s="22" t="s">
        <v>394</v>
      </c>
      <c r="I196" s="13">
        <v>42685.77443287037</v>
      </c>
      <c r="J196" s="7">
        <v>0</v>
      </c>
      <c r="K196" s="109" t="str">
        <f t="shared" si="36"/>
        <v>4041/4042</v>
      </c>
      <c r="L196" s="22" t="str">
        <f>VLOOKUP(A196,'Trips&amp;Operators'!$C$1:$E$10000,3,FALSE)</f>
        <v>DAVIDSON</v>
      </c>
      <c r="M196" s="6">
        <f t="shared" si="37"/>
        <v>9.6064814788405783E-3</v>
      </c>
      <c r="N196" s="7">
        <f t="shared" si="38"/>
        <v>13.833333329530433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17:12:25-700',mode:absolute,to:'2016-11-11 19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6" s="52" t="str">
        <f t="shared" si="42"/>
        <v>N</v>
      </c>
      <c r="X196" s="177">
        <f t="shared" si="43"/>
        <v>1</v>
      </c>
      <c r="Y196" s="67">
        <f t="shared" si="44"/>
        <v>0.10440000000000001</v>
      </c>
      <c r="Z196" s="67">
        <f t="shared" si="45"/>
        <v>5.8929</v>
      </c>
      <c r="AA196" s="67">
        <f t="shared" si="46"/>
        <v>5.7885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47"/>
        <v>0837-11</v>
      </c>
      <c r="AE196" s="91" t="str">
        <f t="shared" si="48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196" s="88" t="str">
        <f t="shared" si="49"/>
        <v>"C:\Program Files (x86)\AstroGrep\AstroGrep.exe" /spath="%USERPROFILE%\AppData\Local\Temp\OnboardLogs" /stypes="app*4042*20161112*" /stext=" 01:.+((SYSTEM_STATE.+slice.+state.+changed )|(ment ac)|(system.+state.+changed )|(\[timeout)|(PRM\|1\|D)|(kpr)|(kdp)|(\|lc)|(penalty))" /e /r /s</v>
      </c>
      <c r="AG196" s="1" t="str">
        <f t="shared" si="50"/>
        <v>NW</v>
      </c>
      <c r="AH196" s="92" t="str">
        <f t="shared" si="51"/>
        <v>"%USERPROFILE%\Documents\GitHub\eaglep3\Utilities\RefineRTDCRunTimes.py" --tripid 837-11 --locoid 4042 --swversion DE.1.0.8.0 --startMP 204:1044 --initTime 2016-11-11T18:12:25 --startdatetime 2016-11-11T18:21:21 --delay 1 --endMP 300:58929 --enddatetime 2016-11-11T18:35:11 --enforcementcount 0 &gt;&gt;C:\Users\stu\Documents\GitHub\eaglep3-reporting\EC\2016-11-11-refined-times.txt</v>
      </c>
      <c r="AI196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{"issue":{"subject":"","project_id":79,"tracker_id":40,"status_id":1,"priority_id":2,"assigned_to_id":23,"start_date":"2016-11-11","description":"","custom_fields":[{"id":1,"name":"Subdivision","value":"NW"},{"id":4,"name":"Milepost","value":"5.8929"},{"id":17,"name":"Train ID","value":"837-11"},{"id":16,"name":"Locomotive ID","value":"4042"},{"id":130,"name":"Impact","value":""},{"id":150,"name":"Time of Event (Mountain Time)","value":"18:35:11"},{"id":151,"name":"Denver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598</v>
      </c>
      <c r="B197" s="7">
        <v>4041</v>
      </c>
      <c r="C197" s="22" t="s">
        <v>225</v>
      </c>
      <c r="D197" s="22" t="s">
        <v>289</v>
      </c>
      <c r="E197" s="13">
        <v>42685.775694444441</v>
      </c>
      <c r="F197" s="13">
        <v>42685.777592592596</v>
      </c>
      <c r="G197" s="7">
        <v>1</v>
      </c>
      <c r="H197" s="22" t="s">
        <v>764</v>
      </c>
      <c r="I197" s="13">
        <v>42685.789259259262</v>
      </c>
      <c r="J197" s="7">
        <v>0</v>
      </c>
      <c r="K197" s="109" t="str">
        <f t="shared" si="36"/>
        <v>4041/4042</v>
      </c>
      <c r="L197" s="22" t="str">
        <f>VLOOKUP(A197,'Trips&amp;Operators'!$C$1:$E$10000,3,FALSE)</f>
        <v>DAVIDSON</v>
      </c>
      <c r="M197" s="6">
        <f t="shared" si="37"/>
        <v>1.1666666665405501E-2</v>
      </c>
      <c r="N197" s="7">
        <f t="shared" si="38"/>
        <v>16.799999998183921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17:37:00-700',mode:absolute,to:'2016-11-11 19:56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7" s="52" t="str">
        <f t="shared" si="42"/>
        <v>N</v>
      </c>
      <c r="X197" s="177">
        <f t="shared" si="43"/>
        <v>1</v>
      </c>
      <c r="Y197" s="67">
        <f t="shared" si="44"/>
        <v>5.8611000000000004</v>
      </c>
      <c r="Z197" s="67">
        <f t="shared" si="45"/>
        <v>7.4499999999999997E-2</v>
      </c>
      <c r="AA197" s="67">
        <f t="shared" si="46"/>
        <v>5.7866000000000009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47"/>
        <v>0838-11</v>
      </c>
      <c r="AE197" s="91" t="str">
        <f t="shared" si="48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197" s="88" t="str">
        <f t="shared" si="49"/>
        <v>"C:\Program Files (x86)\AstroGrep\AstroGrep.exe" /spath="%USERPROFILE%\AppData\Local\Temp\OnboardLogs" /stypes="app*4041*20161112*" /stext=" 01:.+((SYSTEM_STATE.+slice.+state.+changed )|(ment ac)|(system.+state.+changed )|(\[timeout)|(PRM\|1\|D)|(kpr)|(kdp)|(\|lc)|(penalty))" /e /r /s</v>
      </c>
      <c r="AG197" s="1" t="str">
        <f t="shared" si="50"/>
        <v>NW</v>
      </c>
      <c r="AH197" s="92" t="str">
        <f t="shared" si="51"/>
        <v>"%USERPROFILE%\Documents\GitHub\eaglep3\Utilities\RefineRTDCRunTimes.py" --tripid 838-11 --locoid 4041 --swversion DE.1.0.8.0 --startMP 300:58611 --initTime 2016-11-11T18:37:00 --startdatetime 2016-11-11T18:39:44 --delay 1 --endMP 204:745 --enddatetime 2016-11-11T18:56:32 --enforcementcount 0 &gt;&gt;C:\Users\stu\Documents\GitHub\eaglep3-reporting\EC\2016-11-11-refined-times.txt</v>
      </c>
      <c r="AI197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{"issue":{"subject":"","project_id":79,"tracker_id":40,"status_id":1,"priority_id":2,"assigned_to_id":23,"start_date":"2016-11-11","description":"","custom_fields":[{"id":1,"name":"Subdivision","value":"NW"},{"id":4,"name":"Milepost","value":"0.0745"},{"id":17,"name":"Train ID","value":"838-11"},{"id":16,"name":"Locomotive ID","value":"4041"},{"id":130,"name":"Impact","value":""},{"id":150,"name":"Time of Event (Mountain Time)","value":"18:56:32"},{"id":151,"name":"Denver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597</v>
      </c>
      <c r="B198" s="7">
        <v>4016</v>
      </c>
      <c r="C198" s="22" t="s">
        <v>225</v>
      </c>
      <c r="D198" s="22" t="s">
        <v>765</v>
      </c>
      <c r="E198" s="13">
        <v>42685.771261574075</v>
      </c>
      <c r="F198" s="13">
        <v>42685.785613425927</v>
      </c>
      <c r="G198" s="7">
        <v>1</v>
      </c>
      <c r="H198" s="22" t="s">
        <v>402</v>
      </c>
      <c r="I198" s="13">
        <v>42685.795300925929</v>
      </c>
      <c r="J198" s="7">
        <v>0</v>
      </c>
      <c r="K198" s="109" t="str">
        <f t="shared" si="36"/>
        <v>4015/4016</v>
      </c>
      <c r="L198" s="22" t="str">
        <f>VLOOKUP(A198,'Trips&amp;Operators'!$C$1:$E$10000,3,FALSE)</f>
        <v>SAFIEF</v>
      </c>
      <c r="M198" s="6">
        <f t="shared" si="37"/>
        <v>9.6875000017462298E-3</v>
      </c>
      <c r="N198" s="7">
        <f t="shared" si="38"/>
        <v>13.950000002514571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17:30:37-700',mode:absolute,to:'2016-11-11 20:05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8" s="52" t="str">
        <f t="shared" si="42"/>
        <v>N</v>
      </c>
      <c r="X198" s="177">
        <f t="shared" si="43"/>
        <v>1</v>
      </c>
      <c r="Y198" s="67">
        <f t="shared" si="44"/>
        <v>9.6699999999999994E-2</v>
      </c>
      <c r="Z198" s="67">
        <f t="shared" si="45"/>
        <v>5.8924000000000003</v>
      </c>
      <c r="AA198" s="67">
        <f t="shared" si="46"/>
        <v>5.7957000000000001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47"/>
        <v>0839-11</v>
      </c>
      <c r="AE198" s="91" t="str">
        <f t="shared" si="48"/>
        <v>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 &amp; aws s3 cp s3://rtdc.mdm.uploadarchive.raw/RTDC4016/ "%USERPROFILE%\AppData\Local\Temp\OnboardLogs"\RTDC4016\2016-11-12 --exclude "*" --recursive --include "*20161112*" &amp; "%USERPROFILE%\Documents\GitHub\mrs-test-scripts\Headless Mode &amp; Sideloading\WalkAndUnGZ.bat" "%USERPROFILE%\AppData\Local\Temp\OnboardLogs"\RTDC4016\2016-11-12</v>
      </c>
      <c r="AF198" s="88" t="str">
        <f t="shared" si="49"/>
        <v>"C:\Program Files (x86)\AstroGrep\AstroGrep.exe" /spath="%USERPROFILE%\AppData\Local\Temp\OnboardLogs" /stypes="app*4016*20161112*" /stext=" 02:.+((SYSTEM_STATE.+slice.+state.+changed )|(ment ac)|(system.+state.+changed )|(\[timeout)|(PRM\|1\|D)|(kpr)|(kdp)|(\|lc)|(penalty))" /e /r /s</v>
      </c>
      <c r="AG198" s="1" t="str">
        <f t="shared" si="50"/>
        <v>NW</v>
      </c>
      <c r="AH198" s="92" t="str">
        <f t="shared" si="51"/>
        <v>"%USERPROFILE%\Documents\GitHub\eaglep3\Utilities\RefineRTDCRunTimes.py" --tripid 839-11 --locoid 4016 --swversion DE.1.0.8.0 --startMP 204:967 --initTime 2016-11-11T18:30:37 --startdatetime 2016-11-11T18:51:17 --delay 1 --endMP 300:58924 --enddatetime 2016-11-11T19:05:14 --enforcementcount 0 &gt;&gt;C:\Users\stu\Documents\GitHub\eaglep3-reporting\EC\2016-11-11-refined-times.txt</v>
      </c>
      <c r="AI198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{"issue":{"subject":"","project_id":79,"tracker_id":40,"status_id":1,"priority_id":2,"assigned_to_id":23,"start_date":"2016-11-11","description":"","custom_fields":[{"id":1,"name":"Subdivision","value":"NW"},{"id":4,"name":"Milepost","value":"5.8924"},{"id":17,"name":"Train ID","value":"839-11"},{"id":16,"name":"Locomotive ID","value":"4016"},{"id":130,"name":"Impact","value":""},{"id":150,"name":"Time of Event (Mountain Time)","value":"19:05:14"},{"id":151,"name":"Denver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608</v>
      </c>
      <c r="B199" s="7">
        <v>4041</v>
      </c>
      <c r="C199" s="22" t="s">
        <v>225</v>
      </c>
      <c r="D199" s="22" t="s">
        <v>398</v>
      </c>
      <c r="E199" s="13">
        <v>42685.818518518521</v>
      </c>
      <c r="F199" s="13">
        <v>42685.820555555554</v>
      </c>
      <c r="G199" s="7">
        <v>1</v>
      </c>
      <c r="H199" s="22" t="s">
        <v>766</v>
      </c>
      <c r="I199" s="13">
        <v>42685.830972222226</v>
      </c>
      <c r="J199" s="7">
        <v>0</v>
      </c>
      <c r="K199" s="109" t="str">
        <f t="shared" si="36"/>
        <v>4041/4042</v>
      </c>
      <c r="L199" s="22" t="str">
        <f>VLOOKUP(A199,'Trips&amp;Operators'!$C$1:$E$10000,3,FALSE)</f>
        <v>DAVIDSON</v>
      </c>
      <c r="M199" s="6">
        <f t="shared" si="37"/>
        <v>1.0416666671517305E-2</v>
      </c>
      <c r="N199" s="7">
        <f t="shared" si="38"/>
        <v>15.000000006984919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https://search-rtdc-monitor-bjffxe2xuh6vdkpspy63sjmuny.us-east-1.es.amazonaws.com/_plugin/kibana/#/discover/Steve-Slow-Train-Analysis-(2080s-and-2083s)?_g=(refreshInterval:(display:Off,section:0,value:0),time:(from:'2016-11-11 18:38:40-700',mode:absolute,to:'2016-11-11 20:56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9" s="52" t="str">
        <f t="shared" si="42"/>
        <v>N</v>
      </c>
      <c r="X199" s="177">
        <f t="shared" si="43"/>
        <v>1</v>
      </c>
      <c r="Y199" s="67">
        <f t="shared" si="44"/>
        <v>5.8620999999999999</v>
      </c>
      <c r="Z199" s="67">
        <f t="shared" si="45"/>
        <v>7.6100000000000001E-2</v>
      </c>
      <c r="AA199" s="67">
        <f t="shared" si="46"/>
        <v>5.7859999999999996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47"/>
        <v>0840-11</v>
      </c>
      <c r="AE199" s="91" t="str">
        <f t="shared" si="48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199" s="88" t="str">
        <f t="shared" si="49"/>
        <v>"C:\Program Files (x86)\AstroGrep\AstroGrep.exe" /spath="%USERPROFILE%\AppData\Local\Temp\OnboardLogs" /stypes="app*4041*20161112*" /stext=" 02:.+((SYSTEM_STATE.+slice.+state.+changed )|(ment ac)|(system.+state.+changed )|(\[timeout)|(PRM\|1\|D)|(kpr)|(kdp)|(\|lc)|(penalty))" /e /r /s</v>
      </c>
      <c r="AG199" s="1" t="str">
        <f t="shared" si="50"/>
        <v>NW</v>
      </c>
      <c r="AH199" s="92" t="str">
        <f t="shared" si="51"/>
        <v>"%USERPROFILE%\Documents\GitHub\eaglep3\Utilities\RefineRTDCRunTimes.py" --tripid 840-11 --locoid 4041 --swversion DE.1.0.8.0 --startMP 300:58621 --initTime 2016-11-11T19:38:40 --startdatetime 2016-11-11T19:41:36 --delay 1 --endMP 204:761 --enddatetime 2016-11-11T19:56:36 --enforcementcount 0 &gt;&gt;C:\Users\stu\Documents\GitHub\eaglep3-reporting\EC\2016-11-11-refined-times.txt</v>
      </c>
      <c r="AI199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{"issue":{"subject":"","project_id":79,"tracker_id":40,"status_id":1,"priority_id":2,"assigned_to_id":23,"start_date":"2016-11-11","description":"","custom_fields":[{"id":1,"name":"Subdivision","value":"NW"},{"id":4,"name":"Milepost","value":"0.0761"},{"id":17,"name":"Train ID","value":"840-11"},{"id":16,"name":"Locomotive ID","value":"4041"},{"id":130,"name":"Impact","value":""},{"id":150,"name":"Time of Event (Mountain Time)","value":"19:56:36"},{"id":151,"name":"Denver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605</v>
      </c>
      <c r="B200" s="7">
        <v>4042</v>
      </c>
      <c r="C200" s="22" t="s">
        <v>225</v>
      </c>
      <c r="D200" s="22" t="s">
        <v>767</v>
      </c>
      <c r="E200" s="13">
        <v>42685.803784722222</v>
      </c>
      <c r="F200" s="13">
        <v>42685.806886574072</v>
      </c>
      <c r="G200" s="7">
        <v>1</v>
      </c>
      <c r="H200" s="22" t="s">
        <v>396</v>
      </c>
      <c r="I200" s="13">
        <v>42685.817152777781</v>
      </c>
      <c r="J200" s="7">
        <v>0</v>
      </c>
      <c r="K200" s="109" t="str">
        <f t="shared" ref="K200:K230" si="53">IF(ISEVEN(B200),(B200-1)&amp;"/"&amp;B200,B200&amp;"/"&amp;(B200+1))</f>
        <v>4041/4042</v>
      </c>
      <c r="L200" s="22" t="str">
        <f>VLOOKUP(A200,'Trips&amp;Operators'!$C$1:$E$10000,3,FALSE)</f>
        <v>DAVIDSON</v>
      </c>
      <c r="M200" s="6">
        <f t="shared" ref="M200:M230" si="54">I200-F200</f>
        <v>1.0266203709761612E-2</v>
      </c>
      <c r="N200" s="7">
        <f t="shared" ref="N200:N230" si="55">24*60*SUM($M200:$M200)</f>
        <v>14.783333342056721</v>
      </c>
      <c r="O200" s="7"/>
      <c r="P200" s="7"/>
      <c r="Q200" s="23"/>
      <c r="R200" s="23"/>
      <c r="S200" s="35">
        <f t="shared" ref="S200:S230" si="56">SUM(U200:U200)/IF(AG200="EC",12,1)</f>
        <v>1</v>
      </c>
      <c r="T200" s="50" t="str">
        <f t="shared" ref="T200:T230" si="57">IF(ISEVEN(LEFT(AD200,4)),"Southbound","NorthBound")</f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ref="V200:V230" si="58">"https://search-rtdc-monitor-bjffxe2xuh6vdkpspy63sjmuny.us-east-1.es.amazonaws.com/_plugin/kibana/#/discover/Steve-Slow-Train-Analysis-(2080s-and-2083s)?_g=(refreshInterval:(display:Off,section:0,value:0),time:(from:'"&amp;TEXT(E200-1/24,"yyyy-MM-DD hh:mm:ss")&amp;utc_offset&amp;"00',mode:absolute,to:'"&amp;TEXT(I200+1/24,"yyyy-MM-DD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https://search-rtdc-monitor-bjffxe2xuh6vdkpspy63sjmuny.us-east-1.es.amazonaws.com/_plugin/kibana/#/discover/Steve-Slow-Train-Analysis-(2080s-and-2083s)?_g=(refreshInterval:(display:Off,section:0,value:0),time:(from:'2016-11-11 18:17:27-700',mode:absolute,to:'2016-11-11 20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0" s="52" t="str">
        <f t="shared" ref="W200:W230" si="59">IF(AA200&lt;IF(AG200="EC",23,5.65),"Y","N")</f>
        <v>N</v>
      </c>
      <c r="X200" s="177">
        <f t="shared" ref="X200:X230" si="60">VALUE(LEFT(AD200,4))-VALUE(LEFT(AD199,4))</f>
        <v>1</v>
      </c>
      <c r="Y200" s="67">
        <f t="shared" ref="Y200:Y230" si="61">RIGHT(D200,LEN(D200)-4)/10000</f>
        <v>0.1051</v>
      </c>
      <c r="Z200" s="67">
        <f t="shared" ref="Z200:Z230" si="62">RIGHT(H200,LEN(H200)-4)/10000</f>
        <v>5.8921999999999999</v>
      </c>
      <c r="AA200" s="67">
        <f t="shared" ref="AA200:AA230" si="63">ABS(Z200-Y200)</f>
        <v>5.7870999999999997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ref="AD200:AD230" si="64">IF(LEN(A200)=6,"0"&amp;A200,A200)</f>
        <v>0841-11</v>
      </c>
      <c r="AE200" s="91" t="str">
        <f t="shared" ref="AE200:AE230" si="65"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200" s="88" t="str">
        <f t="shared" ref="AF200:AF230" si="66"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/stypes="app*4042*20161112*" /stext=" 02:.+((SYSTEM_STATE.+slice.+state.+changed )|(ment ac)|(system.+state.+changed )|(\[timeout)|(PRM\|1\|D)|(kpr)|(kdp)|(\|lc)|(penalty))" /e /r /s</v>
      </c>
      <c r="AG200" s="1" t="str">
        <f t="shared" ref="AG200:AG230" si="67">IFERROR(IF(VALUE(LEFT(AD200,2))&lt;=2,"EC",IF(OR(VALUE(LEFT(AD200,2))=8,VALUE(LEFT(AD200,2))=18),"NW","Other")),"Other")</f>
        <v>NW</v>
      </c>
      <c r="AH200" s="92" t="str">
        <f t="shared" si="51"/>
        <v>"%USERPROFILE%\Documents\GitHub\eaglep3\Utilities\RefineRTDCRunTimes.py" --tripid 841-11 --locoid 4042 --swversion DE.1.0.8.0 --startMP 204:1051 --initTime 2016-11-11T19:17:27 --startdatetime 2016-11-11T19:21:55 --delay 1 --endMP 300:58922 --enddatetime 2016-11-11T19:36:42 --enforcementcount 0 &gt;&gt;C:\Users\stu\Documents\GitHub\eaglep3-reporting\EC\2016-11-11-refined-times.txt</v>
      </c>
      <c r="AI200" s="119" t="str">
        <f t="shared" si="52"/>
        <v>echo {"issue":{"subject":"","project_id":79,"tracker_id":40,"status_id":1,"priority_id":2,"assigned_to_id":23,"start_date":"2016-11-11","description":"","custom_fields":[{"id":1,"name":"Subdivision","value":"NW"},{"id":4,"name":"Milepost","value":"5.8922"},{"id":17,"name":"Train ID","value":"841-11"},{"id":16,"name":"Locomotive ID","value":"4042"},{"id":130,"name":"Impact","value":""},{"id":150,"name":"Time of Event (Mountain Time)","value":"19:36:42"},{"id":151,"name":"Denver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618</v>
      </c>
      <c r="B201" s="7">
        <v>4041</v>
      </c>
      <c r="C201" s="22" t="s">
        <v>225</v>
      </c>
      <c r="D201" s="22" t="s">
        <v>324</v>
      </c>
      <c r="E201" s="13">
        <v>42685.858495370368</v>
      </c>
      <c r="F201" s="13">
        <v>42685.859814814816</v>
      </c>
      <c r="G201" s="7">
        <v>1</v>
      </c>
      <c r="H201" s="22" t="s">
        <v>656</v>
      </c>
      <c r="I201" s="13">
        <v>42685.871608796297</v>
      </c>
      <c r="J201" s="7">
        <v>0</v>
      </c>
      <c r="K201" s="109" t="str">
        <f t="shared" si="53"/>
        <v>4041/4042</v>
      </c>
      <c r="L201" s="22" t="str">
        <f>VLOOKUP(A201,'Trips&amp;Operators'!$C$1:$E$10000,3,FALSE)</f>
        <v>DAVIDSON</v>
      </c>
      <c r="M201" s="6">
        <f t="shared" si="54"/>
        <v>1.1793981480877846E-2</v>
      </c>
      <c r="N201" s="7">
        <f t="shared" si="55"/>
        <v>16.983333332464099</v>
      </c>
      <c r="O201" s="7"/>
      <c r="P201" s="7"/>
      <c r="Q201" s="23"/>
      <c r="R201" s="23"/>
      <c r="S201" s="35">
        <f t="shared" si="56"/>
        <v>1</v>
      </c>
      <c r="T201" s="50" t="str">
        <f t="shared" si="57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19:36:14-700',mode:absolute,to:'2016-11-11 21:55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1" s="52" t="str">
        <f t="shared" si="59"/>
        <v>N</v>
      </c>
      <c r="X201" s="177">
        <f t="shared" si="60"/>
        <v>1</v>
      </c>
      <c r="Y201" s="67">
        <f t="shared" si="61"/>
        <v>5.8619000000000003</v>
      </c>
      <c r="Z201" s="67">
        <f t="shared" si="62"/>
        <v>7.5399999999999995E-2</v>
      </c>
      <c r="AA201" s="67">
        <f t="shared" si="63"/>
        <v>5.7865000000000002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64"/>
        <v>0842-11</v>
      </c>
      <c r="AE201" s="91" t="str">
        <f t="shared" si="65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201" s="88" t="str">
        <f t="shared" si="66"/>
        <v>"C:\Program Files (x86)\AstroGrep\AstroGrep.exe" /spath="%USERPROFILE%\AppData\Local\Temp\OnboardLogs" /stypes="app*4041*20161112*" /stext=" 03:.+((SYSTEM_STATE.+slice.+state.+changed )|(ment ac)|(system.+state.+changed )|(\[timeout)|(PRM\|1\|D)|(kpr)|(kdp)|(\|lc)|(penalty))" /e /r /s</v>
      </c>
      <c r="AG201" s="1" t="str">
        <f t="shared" si="67"/>
        <v>NW</v>
      </c>
      <c r="AH201" s="92" t="str">
        <f t="shared" ref="AH201:AH230" si="68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842-11 --locoid 4041 --swversion DE.1.0.8.0 --startMP 300:58619 --initTime 2016-11-11T20:36:14 --startdatetime 2016-11-11T20:38:08 --delay 1 --endMP 204:754 --enddatetime 2016-11-11T20:55:07 --enforcementcount 0 &gt;&gt;C:\Users\stu\Documents\GitHub\eaglep3-reporting\EC\2016-11-11-refined-times.txt</v>
      </c>
      <c r="AI201" s="119" t="str">
        <f t="shared" ref="AI201:AI230" si="69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{"issue":{"subject":"","project_id":79,"tracker_id":40,"status_id":1,"priority_id":2,"assigned_to_id":23,"start_date":"2016-11-11","description":"","custom_fields":[{"id":1,"name":"Subdivision","value":"NW"},{"id":4,"name":"Milepost","value":"0.0754"},{"id":17,"name":"Train ID","value":"842-11"},{"id":16,"name":"Locomotive ID","value":"4041"},{"id":130,"name":"Impact","value":""},{"id":150,"name":"Time of Event (Mountain Time)","value":"20:55:07"},{"id":151,"name":"Denver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616</v>
      </c>
      <c r="B202" s="7">
        <v>4042</v>
      </c>
      <c r="C202" s="22" t="s">
        <v>225</v>
      </c>
      <c r="D202" s="22" t="s">
        <v>768</v>
      </c>
      <c r="E202" s="13">
        <v>42685.845358796294</v>
      </c>
      <c r="F202" s="13">
        <v>42685.848553240743</v>
      </c>
      <c r="G202" s="7">
        <v>0</v>
      </c>
      <c r="H202" s="22" t="s">
        <v>736</v>
      </c>
      <c r="I202" s="13">
        <v>42685.857581018521</v>
      </c>
      <c r="J202" s="7">
        <v>0</v>
      </c>
      <c r="K202" s="109" t="str">
        <f t="shared" si="53"/>
        <v>4041/4042</v>
      </c>
      <c r="L202" s="22" t="str">
        <f>VLOOKUP(A202,'Trips&amp;Operators'!$C$1:$E$10000,3,FALSE)</f>
        <v>DAVIDSON</v>
      </c>
      <c r="M202" s="6">
        <f t="shared" si="54"/>
        <v>9.0277777781011537E-3</v>
      </c>
      <c r="N202" s="7">
        <f t="shared" si="55"/>
        <v>13.000000000465661</v>
      </c>
      <c r="O202" s="7"/>
      <c r="P202" s="7"/>
      <c r="Q202" s="23"/>
      <c r="R202" s="23"/>
      <c r="S202" s="35">
        <f t="shared" si="56"/>
        <v>1</v>
      </c>
      <c r="T202" s="50" t="str">
        <f t="shared" si="57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19:17:19-700',mode:absolute,to:'2016-11-11 21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2" s="52" t="str">
        <f t="shared" si="59"/>
        <v>N</v>
      </c>
      <c r="X202" s="177">
        <f t="shared" si="60"/>
        <v>1</v>
      </c>
      <c r="Y202" s="67">
        <f t="shared" si="61"/>
        <v>0.1037</v>
      </c>
      <c r="Z202" s="67">
        <f t="shared" si="62"/>
        <v>5.8939000000000004</v>
      </c>
      <c r="AA202" s="67">
        <f t="shared" si="63"/>
        <v>5.7902000000000005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64"/>
        <v>0843-11</v>
      </c>
      <c r="AE202" s="91" t="str">
        <f t="shared" si="65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202" s="88" t="str">
        <f t="shared" si="66"/>
        <v>"C:\Program Files (x86)\AstroGrep\AstroGrep.exe" /spath="%USERPROFILE%\AppData\Local\Temp\OnboardLogs" /stypes="app*4042*20161112*" /stext=" 03:.+((SYSTEM_STATE.+slice.+state.+changed )|(ment ac)|(system.+state.+changed )|(\[timeout)|(PRM\|1\|D)|(kpr)|(kdp)|(\|lc)|(penalty))" /e /r /s</v>
      </c>
      <c r="AG202" s="1" t="str">
        <f t="shared" si="67"/>
        <v>NW</v>
      </c>
      <c r="AH202" s="92" t="str">
        <f t="shared" si="68"/>
        <v>"%USERPROFILE%\Documents\GitHub\eaglep3\Utilities\RefineRTDCRunTimes.py" --tripid 843-11 --locoid 4042 --swversion DE.1.0.8.0 --startMP 204:1037 --initTime 2016-11-11T20:17:19 --startdatetime 2016-11-11T20:21:55 --delay 0 --endMP 300:58939 --enddatetime 2016-11-11T20:34:55 --enforcementcount 0 &gt;&gt;C:\Users\stu\Documents\GitHub\eaglep3-reporting\EC\2016-11-11-refined-times.txt</v>
      </c>
      <c r="AI202" s="119" t="str">
        <f t="shared" si="69"/>
        <v>echo {"issue":{"subject":"","project_id":79,"tracker_id":40,"status_id":1,"priority_id":2,"assigned_to_id":23,"start_date":"2016-11-11","description":"","custom_fields":[{"id":1,"name":"Subdivision","value":"NW"},{"id":4,"name":"Milepost","value":"5.8939"},{"id":17,"name":"Train ID","value":"843-11"},{"id":16,"name":"Locomotive ID","value":"4042"},{"id":130,"name":"Impact","value":""},{"id":150,"name":"Time of Event (Mountain Time)","value":"20:34:55"},{"id":151,"name":"Denver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623</v>
      </c>
      <c r="B203" s="7">
        <v>4041</v>
      </c>
      <c r="C203" s="22" t="s">
        <v>225</v>
      </c>
      <c r="D203" s="22" t="s">
        <v>324</v>
      </c>
      <c r="E203" s="13">
        <v>42685.900729166664</v>
      </c>
      <c r="F203" s="13">
        <v>42685.902511574073</v>
      </c>
      <c r="G203" s="7">
        <v>1</v>
      </c>
      <c r="H203" s="22" t="s">
        <v>760</v>
      </c>
      <c r="I203" s="13">
        <v>42685.913506944446</v>
      </c>
      <c r="J203" s="7">
        <v>0</v>
      </c>
      <c r="K203" s="109" t="str">
        <f t="shared" si="53"/>
        <v>4041/4042</v>
      </c>
      <c r="L203" s="22" t="str">
        <f>VLOOKUP(A203,'Trips&amp;Operators'!$C$1:$E$10000,3,FALSE)</f>
        <v>SAFIEF</v>
      </c>
      <c r="M203" s="6">
        <f t="shared" si="54"/>
        <v>1.099537037225673E-2</v>
      </c>
      <c r="N203" s="7">
        <f t="shared" si="55"/>
        <v>15.833333336049691</v>
      </c>
      <c r="O203" s="7"/>
      <c r="P203" s="7"/>
      <c r="Q203" s="23"/>
      <c r="R203" s="23"/>
      <c r="S203" s="35">
        <f t="shared" si="56"/>
        <v>1</v>
      </c>
      <c r="T203" s="50" t="str">
        <f t="shared" si="57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20:37:03-700',mode:absolute,to:'2016-11-11 22:55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3" s="52" t="str">
        <f t="shared" si="59"/>
        <v>N</v>
      </c>
      <c r="X203" s="177">
        <f t="shared" si="60"/>
        <v>1</v>
      </c>
      <c r="Y203" s="67">
        <f t="shared" si="61"/>
        <v>5.8619000000000003</v>
      </c>
      <c r="Z203" s="67">
        <f t="shared" si="62"/>
        <v>6.7299999999999999E-2</v>
      </c>
      <c r="AA203" s="67">
        <f t="shared" si="63"/>
        <v>5.7946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64"/>
        <v>0844-11</v>
      </c>
      <c r="AE203" s="91" t="str">
        <f t="shared" si="65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203" s="88" t="str">
        <f t="shared" si="66"/>
        <v>"C:\Program Files (x86)\AstroGrep\AstroGrep.exe" /spath="%USERPROFILE%\AppData\Local\Temp\OnboardLogs" /stypes="app*4041*20161112*" /stext=" 04:.+((SYSTEM_STATE.+slice.+state.+changed )|(ment ac)|(system.+state.+changed )|(\[timeout)|(PRM\|1\|D)|(kpr)|(kdp)|(\|lc)|(penalty))" /e /r /s</v>
      </c>
      <c r="AG203" s="1" t="str">
        <f t="shared" si="67"/>
        <v>NW</v>
      </c>
      <c r="AH203" s="92" t="str">
        <f t="shared" si="68"/>
        <v>"%USERPROFILE%\Documents\GitHub\eaglep3\Utilities\RefineRTDCRunTimes.py" --tripid 844-11 --locoid 4041 --swversion DE.1.0.8.0 --startMP 300:58619 --initTime 2016-11-11T21:37:03 --startdatetime 2016-11-11T21:39:37 --delay 1 --endMP 204:673 --enddatetime 2016-11-11T21:55:27 --enforcementcount 0 &gt;&gt;C:\Users\stu\Documents\GitHub\eaglep3-reporting\EC\2016-11-11-refined-times.txt</v>
      </c>
      <c r="AI203" s="119" t="str">
        <f t="shared" si="69"/>
        <v>echo {"issue":{"subject":"","project_id":79,"tracker_id":40,"status_id":1,"priority_id":2,"assigned_to_id":23,"start_date":"2016-11-11","description":"","custom_fields":[{"id":1,"name":"Subdivision","value":"NW"},{"id":4,"name":"Milepost","value":"0.0673"},{"id":17,"name":"Train ID","value":"844-11"},{"id":16,"name":"Locomotive ID","value":"4041"},{"id":130,"name":"Impact","value":""},{"id":150,"name":"Time of Event (Mountain Time)","value":"21:55:27"},{"id":151,"name":"Denver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621</v>
      </c>
      <c r="B204" s="7">
        <v>4042</v>
      </c>
      <c r="C204" s="22" t="s">
        <v>225</v>
      </c>
      <c r="D204" s="22" t="s">
        <v>767</v>
      </c>
      <c r="E204" s="13">
        <v>42685.875034722223</v>
      </c>
      <c r="F204" s="13">
        <v>42685.889791666668</v>
      </c>
      <c r="G204" s="7">
        <v>1</v>
      </c>
      <c r="H204" s="22" t="s">
        <v>736</v>
      </c>
      <c r="I204" s="13">
        <v>42685.899594907409</v>
      </c>
      <c r="J204" s="7">
        <v>0</v>
      </c>
      <c r="K204" s="109" t="str">
        <f t="shared" si="53"/>
        <v>4041/4042</v>
      </c>
      <c r="L204" s="22" t="str">
        <f>VLOOKUP(A204,'Trips&amp;Operators'!$C$1:$E$10000,3,FALSE)</f>
        <v>SAFIEF</v>
      </c>
      <c r="M204" s="6">
        <f t="shared" si="54"/>
        <v>9.8032407404389232E-3</v>
      </c>
      <c r="N204" s="7">
        <f t="shared" si="55"/>
        <v>14.116666666232049</v>
      </c>
      <c r="O204" s="7"/>
      <c r="P204" s="7"/>
      <c r="Q204" s="23"/>
      <c r="R204" s="23"/>
      <c r="S204" s="35">
        <f t="shared" si="56"/>
        <v>1</v>
      </c>
      <c r="T204" s="50" t="str">
        <f t="shared" si="57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20:00:03-700',mode:absolute,to:'2016-11-11 22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4" s="52" t="str">
        <f t="shared" si="59"/>
        <v>N</v>
      </c>
      <c r="X204" s="177">
        <f t="shared" si="60"/>
        <v>1</v>
      </c>
      <c r="Y204" s="67">
        <f t="shared" si="61"/>
        <v>0.1051</v>
      </c>
      <c r="Z204" s="67">
        <f t="shared" si="62"/>
        <v>5.8939000000000004</v>
      </c>
      <c r="AA204" s="67">
        <f t="shared" si="63"/>
        <v>5.7888000000000002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64"/>
        <v>0845-11</v>
      </c>
      <c r="AE204" s="91" t="str">
        <f t="shared" si="65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204" s="88" t="str">
        <f t="shared" si="66"/>
        <v>"C:\Program Files (x86)\AstroGrep\AstroGrep.exe" /spath="%USERPROFILE%\AppData\Local\Temp\OnboardLogs" /stypes="app*4042*20161112*" /stext=" 04:.+((SYSTEM_STATE.+slice.+state.+changed )|(ment ac)|(system.+state.+changed )|(\[timeout)|(PRM\|1\|D)|(kpr)|(kdp)|(\|lc)|(penalty))" /e /r /s</v>
      </c>
      <c r="AG204" s="1" t="str">
        <f t="shared" si="67"/>
        <v>NW</v>
      </c>
      <c r="AH204" s="92" t="str">
        <f t="shared" si="68"/>
        <v>"%USERPROFILE%\Documents\GitHub\eaglep3\Utilities\RefineRTDCRunTimes.py" --tripid 845-11 --locoid 4042 --swversion DE.1.0.8.0 --startMP 204:1051 --initTime 2016-11-11T21:00:03 --startdatetime 2016-11-11T21:21:18 --delay 1 --endMP 300:58939 --enddatetime 2016-11-11T21:35:25 --enforcementcount 0 &gt;&gt;C:\Users\stu\Documents\GitHub\eaglep3-reporting\EC\2016-11-11-refined-times.txt</v>
      </c>
      <c r="AI204" s="119" t="str">
        <f t="shared" si="69"/>
        <v>echo {"issue":{"subject":"","project_id":79,"tracker_id":40,"status_id":1,"priority_id":2,"assigned_to_id":23,"start_date":"2016-11-11","description":"","custom_fields":[{"id":1,"name":"Subdivision","value":"NW"},{"id":4,"name":"Milepost","value":"5.8939"},{"id":17,"name":"Train ID","value":"845-11"},{"id":16,"name":"Locomotive ID","value":"4042"},{"id":130,"name":"Impact","value":""},{"id":150,"name":"Time of Event (Mountain Time)","value":"21:35:25"},{"id":151,"name":"Denver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625</v>
      </c>
      <c r="B205" s="7">
        <v>4042</v>
      </c>
      <c r="C205" s="22" t="s">
        <v>225</v>
      </c>
      <c r="D205" s="22" t="s">
        <v>405</v>
      </c>
      <c r="E205" s="13">
        <v>42685.915150462963</v>
      </c>
      <c r="F205" s="13">
        <v>42685.931504629632</v>
      </c>
      <c r="G205" s="7">
        <v>1</v>
      </c>
      <c r="H205" s="22" t="s">
        <v>745</v>
      </c>
      <c r="I205" s="13">
        <v>42685.940925925926</v>
      </c>
      <c r="J205" s="7">
        <v>0</v>
      </c>
      <c r="K205" s="109" t="str">
        <f t="shared" si="53"/>
        <v>4041/4042</v>
      </c>
      <c r="L205" s="22" t="str">
        <f>VLOOKUP(A205,'Trips&amp;Operators'!$C$1:$E$10000,3,FALSE)</f>
        <v>SAFIEF</v>
      </c>
      <c r="M205" s="6">
        <f t="shared" si="54"/>
        <v>9.4212962940218858E-3</v>
      </c>
      <c r="N205" s="7">
        <f t="shared" si="55"/>
        <v>13.566666663391516</v>
      </c>
      <c r="O205" s="7"/>
      <c r="P205" s="7"/>
      <c r="Q205" s="23"/>
      <c r="R205" s="23"/>
      <c r="S205" s="35">
        <f t="shared" si="56"/>
        <v>1</v>
      </c>
      <c r="T205" s="50" t="str">
        <f t="shared" si="57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20:57:49-700',mode:absolute,to:'2016-11-11 23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5" s="52" t="str">
        <f t="shared" si="59"/>
        <v>N</v>
      </c>
      <c r="X205" s="177">
        <f t="shared" si="60"/>
        <v>2</v>
      </c>
      <c r="Y205" s="67">
        <f t="shared" si="61"/>
        <v>9.6500000000000002E-2</v>
      </c>
      <c r="Z205" s="67">
        <f t="shared" si="62"/>
        <v>5.8920000000000003</v>
      </c>
      <c r="AA205" s="67">
        <f t="shared" si="63"/>
        <v>5.7955000000000005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64"/>
        <v>0847-11</v>
      </c>
      <c r="AE205" s="91" t="str">
        <f t="shared" si="65"/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AF205" s="88" t="str">
        <f t="shared" si="66"/>
        <v>"C:\Program Files (x86)\AstroGrep\AstroGrep.exe" /spath="%USERPROFILE%\AppData\Local\Temp\OnboardLogs" /stypes="app*4042*20161112*" /stext=" 05:.+((SYSTEM_STATE.+slice.+state.+changed )|(ment ac)|(system.+state.+changed )|(\[timeout)|(PRM\|1\|D)|(kpr)|(kdp)|(\|lc)|(penalty))" /e /r /s</v>
      </c>
      <c r="AG205" s="1" t="str">
        <f t="shared" si="67"/>
        <v>NW</v>
      </c>
      <c r="AH205" s="92" t="str">
        <f t="shared" si="68"/>
        <v>"%USERPROFILE%\Documents\GitHub\eaglep3\Utilities\RefineRTDCRunTimes.py" --tripid 847-11 --locoid 4042 --swversion DE.1.0.8.0 --startMP 204:965 --initTime 2016-11-11T21:57:49 --startdatetime 2016-11-11T22:21:22 --delay 1 --endMP 300:58920 --enddatetime 2016-11-11T22:34:56 --enforcementcount 0 &gt;&gt;C:\Users\stu\Documents\GitHub\eaglep3-reporting\EC\2016-11-11-refined-times.txt</v>
      </c>
      <c r="AI205" s="119" t="str">
        <f t="shared" si="69"/>
        <v>echo {"issue":{"subject":"","project_id":79,"tracker_id":40,"status_id":1,"priority_id":2,"assigned_to_id":23,"start_date":"2016-11-11","description":"","custom_fields":[{"id":1,"name":"Subdivision","value":"NW"},{"id":4,"name":"Milepost","value":"5.892"},{"id":17,"name":"Train ID","value":"847-11"},{"id":16,"name":"Locomotive ID","value":"4042"},{"id":130,"name":"Impact","value":""},{"id":150,"name":"Time of Event (Mountain Time)","value":"22:34:56"},{"id":151,"name":"Denver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599</v>
      </c>
      <c r="B206" s="7">
        <v>4044</v>
      </c>
      <c r="C206" s="22" t="s">
        <v>225</v>
      </c>
      <c r="D206" s="22" t="s">
        <v>257</v>
      </c>
      <c r="E206" s="13">
        <v>42685.776296296295</v>
      </c>
      <c r="F206" s="13">
        <v>25568.708333333332</v>
      </c>
      <c r="G206" s="7">
        <v>1</v>
      </c>
      <c r="H206" s="22" t="s">
        <v>705</v>
      </c>
      <c r="I206" s="13">
        <v>25568.708333333332</v>
      </c>
      <c r="J206" s="7">
        <v>0</v>
      </c>
      <c r="K206" s="109" t="str">
        <f t="shared" si="53"/>
        <v>4043/4044</v>
      </c>
      <c r="L206" s="22" t="str">
        <f>VLOOKUP(A206,'Trips&amp;Operators'!$C$1:$E$10000,3,FALSE)</f>
        <v>MOSES</v>
      </c>
      <c r="M206" s="6">
        <f t="shared" si="54"/>
        <v>0</v>
      </c>
      <c r="N206" s="7">
        <f t="shared" si="55"/>
        <v>0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17:37:52-700',mode:absolute,to:'1969-12-31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6" s="52" t="str">
        <f t="shared" si="59"/>
        <v>Y</v>
      </c>
      <c r="X206" s="177">
        <f t="shared" si="60"/>
        <v>-544</v>
      </c>
      <c r="Y206" s="67">
        <f t="shared" si="61"/>
        <v>4.6699999999999998E-2</v>
      </c>
      <c r="Z206" s="67">
        <f t="shared" si="62"/>
        <v>2.3302</v>
      </c>
      <c r="AA206" s="67">
        <f t="shared" si="63"/>
        <v>2.2835000000000001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64"/>
        <v>0303-11</v>
      </c>
      <c r="AE206" s="91" t="str">
        <f t="shared" si="65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6" s="88" t="str">
        <f t="shared" si="66"/>
        <v>"C:\Program Files (x86)\AstroGrep\AstroGrep.exe" /spath="%USERPROFILE%\AppData\Local\Temp\OnboardLogs" /stypes="app*4044*19700101*" /stext=" 00:.+((SYSTEM_STATE.+slice.+state.+changed )|(ment ac)|(system.+state.+changed )|(\[timeout)|(PRM\|1\|D)|(kpr)|(kdp)|(\|lc)|(penalty))" /e /r /s</v>
      </c>
      <c r="AG206" s="1" t="str">
        <f t="shared" si="67"/>
        <v>Other</v>
      </c>
      <c r="AH206" s="92" t="str">
        <f t="shared" si="68"/>
        <v>"%USERPROFILE%\Documents\GitHub\eaglep3\Utilities\RefineRTDCRunTimes.py" --tripid 303-11 --locoid 4044 --swversion DE.1.0.8.0 --startMP 204:467 --initTime 2016-11-11T18:37:52 --startdatetime 1969-12-31T17:00:00 --delay 1 --endMP 300:23302 --enddatetime 1969-12-31T17:00:00 --enforcementcount 0 &gt;&gt;C:\Users\stu\Documents\GitHub\eaglep3-reporting\EC\2016-11-11-refined-times.txt</v>
      </c>
      <c r="AI206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ID","value":"303-11"},{"id":16,"name":"Locomotive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444</v>
      </c>
      <c r="B207" s="7">
        <v>4026</v>
      </c>
      <c r="C207" s="22" t="s">
        <v>225</v>
      </c>
      <c r="D207" s="22" t="s">
        <v>705</v>
      </c>
      <c r="E207" s="13">
        <v>42685.142974537041</v>
      </c>
      <c r="F207" s="13">
        <v>42685.144803240742</v>
      </c>
      <c r="G207" s="7">
        <v>1</v>
      </c>
      <c r="H207" s="22" t="s">
        <v>706</v>
      </c>
      <c r="I207" s="13">
        <v>42685.15148148148</v>
      </c>
      <c r="J207" s="7">
        <v>0</v>
      </c>
      <c r="K207" s="109" t="str">
        <f t="shared" si="53"/>
        <v>4025/4026</v>
      </c>
      <c r="L207" s="22" t="str">
        <f>VLOOKUP(A207,'Trips&amp;Operators'!$C$1:$E$10000,3,FALSE)</f>
        <v>DAVIS</v>
      </c>
      <c r="M207" s="6">
        <f t="shared" si="54"/>
        <v>6.6782407375285402E-3</v>
      </c>
      <c r="N207" s="7">
        <f t="shared" si="55"/>
        <v>9.6166666620410979</v>
      </c>
      <c r="O207" s="7"/>
      <c r="P207" s="7"/>
      <c r="Q207" s="23"/>
      <c r="R207" s="23"/>
      <c r="S207" s="35">
        <f t="shared" si="56"/>
        <v>1</v>
      </c>
      <c r="T207" s="50" t="str">
        <f t="shared" si="57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02:25:53-700',mode:absolute,to:'2016-11-11 04:38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7" s="52" t="str">
        <f t="shared" si="59"/>
        <v>Y</v>
      </c>
      <c r="X207" s="177">
        <f t="shared" si="60"/>
        <v>1</v>
      </c>
      <c r="Y207" s="67">
        <f t="shared" si="61"/>
        <v>2.3302</v>
      </c>
      <c r="Z207" s="67">
        <f t="shared" si="62"/>
        <v>1.14E-2</v>
      </c>
      <c r="AA207" s="67">
        <f t="shared" si="63"/>
        <v>2.3188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64"/>
        <v>0304-11</v>
      </c>
      <c r="AE207" s="91" t="str">
        <f t="shared" si="65"/>
        <v>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 &amp; 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</v>
      </c>
      <c r="AF207" s="88" t="str">
        <f t="shared" si="66"/>
        <v>"C:\Program Files (x86)\AstroGrep\AstroGrep.exe" /spath="%USERPROFILE%\AppData\Local\Temp\OnboardLogs" /stypes="app*4026*20161111*" /stext=" 10:.+((SYSTEM_STATE.+slice.+state.+changed )|(ment ac)|(system.+state.+changed )|(\[timeout)|(PRM\|1\|D)|(kpr)|(kdp)|(\|lc)|(penalty))" /e /r /s</v>
      </c>
      <c r="AG207" s="1" t="str">
        <f t="shared" si="67"/>
        <v>Other</v>
      </c>
      <c r="AH207" s="92" t="str">
        <f t="shared" si="68"/>
        <v>"%USERPROFILE%\Documents\GitHub\eaglep3\Utilities\RefineRTDCRunTimes.py" --tripid 304-11 --locoid 4026 --swversion DE.1.0.8.0 --startMP 300:23302 --initTime 2016-11-11T03:25:53 --startdatetime 2016-11-11T03:28:31 --delay 1 --endMP 204:114 --enddatetime 2016-11-11T03:38:08 --enforcementcount 0 &gt;&gt;C:\Users\stu\Documents\GitHub\eaglep3-reporting\EC\2016-11-11-refined-times.txt</v>
      </c>
      <c r="AI207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{"issue":{"subject":"","project_id":79,"tracker_id":40,"status_id":1,"priority_id":2,"assigned_to_id":23,"start_date":"2016-11-11","description":"","custom_fields":[{"id":1,"name":"Subdivision","value":"Other"},{"id":4,"name":"Milepost","value":"0.0114"},{"id":17,"name":"Train ID","value":"304-11"},{"id":16,"name":"Locomotive ID","value":"4026"},{"id":130,"name":"Impact","value":""},{"id":150,"name":"Time of Event (Mountain Time)","value":"03:38:08"},{"id":151,"name":"Denver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604</v>
      </c>
      <c r="B208" s="7">
        <v>4029</v>
      </c>
      <c r="C208" s="22" t="s">
        <v>225</v>
      </c>
      <c r="D208" s="22" t="s">
        <v>707</v>
      </c>
      <c r="E208" s="13">
        <v>42685.799710648149</v>
      </c>
      <c r="F208" s="13">
        <v>42685.806539351855</v>
      </c>
      <c r="G208" s="7">
        <v>1</v>
      </c>
      <c r="H208" s="22" t="s">
        <v>708</v>
      </c>
      <c r="I208" s="13">
        <v>42685.811412037037</v>
      </c>
      <c r="J208" s="7">
        <v>0</v>
      </c>
      <c r="K208" s="109" t="str">
        <f t="shared" si="53"/>
        <v>4029/4030</v>
      </c>
      <c r="L208" s="22" t="str">
        <f>VLOOKUP(A208,'Trips&amp;Operators'!$C$1:$E$10000,3,FALSE)</f>
        <v>HILLS</v>
      </c>
      <c r="M208" s="6">
        <f t="shared" si="54"/>
        <v>4.8726851819083095E-3</v>
      </c>
      <c r="N208" s="7">
        <f t="shared" si="55"/>
        <v>7.0166666619479656</v>
      </c>
      <c r="O208" s="7"/>
      <c r="P208" s="7"/>
      <c r="Q208" s="23"/>
      <c r="R208" s="23"/>
      <c r="S208" s="35">
        <f t="shared" si="56"/>
        <v>1</v>
      </c>
      <c r="T208" s="50" t="str">
        <f t="shared" si="57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18:11:35-700',mode:absolute,to:'2016-11-11 20:28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8" s="52" t="str">
        <f t="shared" si="59"/>
        <v>Y</v>
      </c>
      <c r="X208" s="177">
        <f t="shared" si="60"/>
        <v>1</v>
      </c>
      <c r="Y208" s="67">
        <f t="shared" si="61"/>
        <v>4.1300000000000003E-2</v>
      </c>
      <c r="Z208" s="67">
        <f t="shared" si="62"/>
        <v>2.3311999999999999</v>
      </c>
      <c r="AA208" s="67">
        <f t="shared" si="63"/>
        <v>2.2898999999999998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64"/>
        <v>0305-11</v>
      </c>
      <c r="AE208" s="91" t="str">
        <f t="shared" si="65"/>
        <v>aws s3 cp s3://rtdc.mdm.uploadarchive.raw/RTDC4029/ "%USERPROFILE%\AppData\Local\Temp\OnboardLogs"\RTDC4029\2016-11-11 --exclude "*" --recursive --include "*20161111*" &amp; "%USERPROFILE%\Documents\GitHub\mrs-test-scripts\Headless Mode &amp; Sideloading\WalkAndUnGZ.bat" "%USERPROFILE%\AppData\Local\Temp\OnboardLogs"\RTDC4029\2016-11-11 &amp; 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</v>
      </c>
      <c r="AF208" s="88" t="str">
        <f t="shared" si="66"/>
        <v>"C:\Program Files (x86)\AstroGrep\AstroGrep.exe" /spath="%USERPROFILE%\AppData\Local\Temp\OnboardLogs" /stypes="app*4029*20161112*" /stext=" 02:.+((SYSTEM_STATE.+slice.+state.+changed )|(ment ac)|(system.+state.+changed )|(\[timeout)|(PRM\|1\|D)|(kpr)|(kdp)|(\|lc)|(penalty))" /e /r /s</v>
      </c>
      <c r="AG208" s="1" t="str">
        <f t="shared" si="67"/>
        <v>Other</v>
      </c>
      <c r="AH208" s="92" t="str">
        <f t="shared" si="68"/>
        <v>"%USERPROFILE%\Documents\GitHub\eaglep3\Utilities\RefineRTDCRunTimes.py" --tripid 305-11 --locoid 4029 --swversion DE.1.0.8.0 --startMP 204:413 --initTime 2016-11-11T19:11:35 --startdatetime 2016-11-11T19:21:25 --delay 1 --endMP 300:23312 --enddatetime 2016-11-11T19:28:26 --enforcementcount 0 &gt;&gt;C:\Users\stu\Documents\GitHub\eaglep3-reporting\EC\2016-11-11-refined-times.txt</v>
      </c>
      <c r="AI208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{"issue":{"subject":"","project_id":79,"tracker_id":40,"status_id":1,"priority_id":2,"assigned_to_id":23,"start_date":"2016-11-11","description":"","custom_fields":[{"id":1,"name":"Subdivision","value":"Other"},{"id":4,"name":"Milepost","value":"2.3312"},{"id":17,"name":"Train ID","value":"305-11"},{"id":16,"name":"Locomotive ID","value":"4029"},{"id":130,"name":"Impact","value":""},{"id":150,"name":"Time of Event (Mountain Time)","value":"19:28:26"},{"id":151,"name":"Denver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604</v>
      </c>
      <c r="B209" s="7">
        <v>4029</v>
      </c>
      <c r="C209" s="22" t="s">
        <v>225</v>
      </c>
      <c r="D209" s="22" t="s">
        <v>705</v>
      </c>
      <c r="E209" s="13">
        <v>42685.799710648149</v>
      </c>
      <c r="F209" s="13">
        <v>42685.806539351855</v>
      </c>
      <c r="G209" s="7">
        <v>17</v>
      </c>
      <c r="H209" s="22" t="s">
        <v>708</v>
      </c>
      <c r="I209" s="13">
        <v>42685.811412037037</v>
      </c>
      <c r="J209" s="7">
        <v>0</v>
      </c>
      <c r="K209" s="109" t="str">
        <f t="shared" si="53"/>
        <v>4029/4030</v>
      </c>
      <c r="L209" s="22" t="str">
        <f>VLOOKUP(A209,'Trips&amp;Operators'!$C$1:$E$10000,3,FALSE)</f>
        <v>HILLS</v>
      </c>
      <c r="M209" s="6">
        <f t="shared" si="54"/>
        <v>4.8726851819083095E-3</v>
      </c>
      <c r="N209" s="7">
        <f t="shared" si="55"/>
        <v>7.0166666619479656</v>
      </c>
      <c r="O209" s="7"/>
      <c r="P209" s="7"/>
      <c r="Q209" s="23"/>
      <c r="R209" s="23"/>
      <c r="S209" s="35">
        <f t="shared" si="56"/>
        <v>0</v>
      </c>
      <c r="T209" s="50" t="str">
        <f t="shared" si="57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18:11:35-700',mode:absolute,to:'2016-11-11 20:28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9" s="52" t="str">
        <f t="shared" si="59"/>
        <v>Y</v>
      </c>
      <c r="X209" s="177">
        <f t="shared" si="60"/>
        <v>0</v>
      </c>
      <c r="Y209" s="67">
        <f t="shared" si="61"/>
        <v>2.3302</v>
      </c>
      <c r="Z209" s="67">
        <f t="shared" si="62"/>
        <v>2.3311999999999999</v>
      </c>
      <c r="AA209" s="67">
        <f t="shared" si="63"/>
        <v>9.9999999999988987E-4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64"/>
        <v>0305-11</v>
      </c>
      <c r="AE209" s="91" t="str">
        <f t="shared" si="65"/>
        <v>aws s3 cp s3://rtdc.mdm.uploadarchive.raw/RTDC4029/ "%USERPROFILE%\AppData\Local\Temp\OnboardLogs"\RTDC4029\2016-11-11 --exclude "*" --recursive --include "*20161111*" &amp; "%USERPROFILE%\Documents\GitHub\mrs-test-scripts\Headless Mode &amp; Sideloading\WalkAndUnGZ.bat" "%USERPROFILE%\AppData\Local\Temp\OnboardLogs"\RTDC4029\2016-11-11 &amp; 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</v>
      </c>
      <c r="AF209" s="88" t="str">
        <f t="shared" si="66"/>
        <v>"C:\Program Files (x86)\AstroGrep\AstroGrep.exe" /spath="%USERPROFILE%\AppData\Local\Temp\OnboardLogs" /stypes="app*4029*20161112*" /stext=" 02:.+((SYSTEM_STATE.+slice.+state.+changed )|(ment ac)|(system.+state.+changed )|(\[timeout)|(PRM\|1\|D)|(kpr)|(kdp)|(\|lc)|(penalty))" /e /r /s</v>
      </c>
      <c r="AG209" s="1" t="str">
        <f t="shared" si="67"/>
        <v>Other</v>
      </c>
      <c r="AH209" s="92" t="str">
        <f t="shared" si="68"/>
        <v>"%USERPROFILE%\Documents\GitHub\eaglep3\Utilities\RefineRTDCRunTimes.py" --tripid 305-11 --locoid 4029 --swversion DE.1.0.8.0 --startMP 300:23302 --initTime 2016-11-11T19:11:35 --startdatetime 2016-11-11T19:21:25 --delay 17 --endMP 300:23312 --enddatetime 2016-11-11T19:28:26 --enforcementcount 0 &gt;&gt;C:\Users\stu\Documents\GitHub\eaglep3-reporting\EC\2016-11-11-refined-times.txt</v>
      </c>
      <c r="AI209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{"issue":{"subject":"","project_id":79,"tracker_id":40,"status_id":1,"priority_id":2,"assigned_to_id":23,"start_date":"2016-11-11","description":"","custom_fields":[{"id":1,"name":"Subdivision","value":"Other"},{"id":4,"name":"Milepost","value":"2.3312"},{"id":17,"name":"Train ID","value":"305-11"},{"id":16,"name":"Locomotive ID","value":"4029"},{"id":130,"name":"Impact","value":""},{"id":150,"name":"Time of Event (Mountain Time)","value":"19:28:26"},{"id":151,"name":"Denver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s="21" customFormat="1" x14ac:dyDescent="0.25">
      <c r="A210" s="37" t="s">
        <v>447</v>
      </c>
      <c r="B210" s="7">
        <v>4030</v>
      </c>
      <c r="C210" s="22" t="s">
        <v>225</v>
      </c>
      <c r="D210" s="22" t="s">
        <v>709</v>
      </c>
      <c r="E210" s="13">
        <v>42685.161990740744</v>
      </c>
      <c r="F210" s="13">
        <v>42685.162939814814</v>
      </c>
      <c r="G210" s="7">
        <v>1</v>
      </c>
      <c r="H210" s="22" t="s">
        <v>710</v>
      </c>
      <c r="I210" s="13">
        <v>42685.169953703706</v>
      </c>
      <c r="J210" s="7">
        <v>0</v>
      </c>
      <c r="K210" s="109" t="str">
        <f t="shared" si="53"/>
        <v>4029/4030</v>
      </c>
      <c r="L210" s="22" t="str">
        <f>VLOOKUP(A210,'Trips&amp;Operators'!$C$1:$E$10000,3,FALSE)</f>
        <v>MALAVE</v>
      </c>
      <c r="M210" s="6">
        <f t="shared" si="54"/>
        <v>7.0138888913788833E-3</v>
      </c>
      <c r="N210" s="7">
        <f t="shared" si="55"/>
        <v>10.100000003585592</v>
      </c>
      <c r="O210" s="7"/>
      <c r="P210" s="7"/>
      <c r="Q210" s="23"/>
      <c r="R210" s="23"/>
      <c r="S210" s="35">
        <f t="shared" si="56"/>
        <v>1</v>
      </c>
      <c r="T210" s="50" t="str">
        <f t="shared" si="57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02:53:16-700',mode:absolute,to:'2016-11-11 05:04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0" s="52" t="str">
        <f t="shared" si="59"/>
        <v>Y</v>
      </c>
      <c r="X210" s="177">
        <f t="shared" si="60"/>
        <v>1</v>
      </c>
      <c r="Y210" s="67">
        <f t="shared" si="61"/>
        <v>2.3569</v>
      </c>
      <c r="Z210" s="67">
        <f t="shared" si="62"/>
        <v>1.78E-2</v>
      </c>
      <c r="AA210" s="67">
        <f t="shared" si="63"/>
        <v>2.3391000000000002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64"/>
        <v>0306-11</v>
      </c>
      <c r="AE210" s="91" t="str">
        <f t="shared" si="65"/>
        <v>aws s3 cp s3://rtdc.mdm.uploadarchive.raw/RTDC4030/ "%USERPROFILE%\AppData\Local\Temp\OnboardLogs"\RTDC4030\2016-11-11 --exclude "*" --recursive --include "*20161111*" &amp; "%USERPROFILE%\Documents\GitHub\mrs-test-scripts\Headless Mode &amp; Sideloading\WalkAndUnGZ.bat" "%USERPROFILE%\AppData\Local\Temp\OnboardLogs"\RTDC4030\2016-11-11 &amp; 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</v>
      </c>
      <c r="AF210" s="88" t="str">
        <f t="shared" si="66"/>
        <v>"C:\Program Files (x86)\AstroGrep\AstroGrep.exe" /spath="%USERPROFILE%\AppData\Local\Temp\OnboardLogs" /stypes="app*4030*20161111*" /stext=" 11:.+((SYSTEM_STATE.+slice.+state.+changed )|(ment ac)|(system.+state.+changed )|(\[timeout)|(PRM\|1\|D)|(kpr)|(kdp)|(\|lc)|(penalty))" /e /r /s</v>
      </c>
      <c r="AG210" s="1" t="str">
        <f t="shared" si="67"/>
        <v>Other</v>
      </c>
      <c r="AH210" s="92" t="str">
        <f t="shared" si="68"/>
        <v>"%USERPROFILE%\Documents\GitHub\eaglep3\Utilities\RefineRTDCRunTimes.py" --tripid 306-11 --locoid 4030 --swversion DE.1.0.8.0 --startMP 300:23569 --initTime 2016-11-11T03:53:16 --startdatetime 2016-11-11T03:54:38 --delay 1 --endMP 204:178 --enddatetime 2016-11-11T04:04:44 --enforcementcount 0 &gt;&gt;C:\Users\stu\Documents\GitHub\eaglep3-reporting\EC\2016-11-11-refined-times.txt</v>
      </c>
      <c r="AI210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{"issue":{"subject":"","project_id":79,"tracker_id":40,"status_id":1,"priority_id":2,"assigned_to_id":23,"start_date":"2016-11-11","description":"","custom_fields":[{"id":1,"name":"Subdivision","value":"Other"},{"id":4,"name":"Milepost","value":"0.0178"},{"id":17,"name":"Train ID","value":"306-11"},{"id":16,"name":"Locomotive ID","value":"4030"},{"id":130,"name":"Impact","value":""},{"id":150,"name":"Time of Event (Mountain Time)","value":"04:04:44"},{"id":151,"name":"Denver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 s="37" t="s">
        <v>611</v>
      </c>
      <c r="B211" s="7">
        <v>4025</v>
      </c>
      <c r="C211" s="22" t="s">
        <v>225</v>
      </c>
      <c r="D211" s="22" t="s">
        <v>257</v>
      </c>
      <c r="E211" s="13">
        <v>42685.822118055556</v>
      </c>
      <c r="F211" s="13">
        <v>25568.708333333332</v>
      </c>
      <c r="G211" s="7">
        <v>2</v>
      </c>
      <c r="H211" s="22" t="s">
        <v>711</v>
      </c>
      <c r="I211" s="13">
        <v>25568.708333333332</v>
      </c>
      <c r="J211" s="7">
        <v>0</v>
      </c>
      <c r="K211" s="109" t="str">
        <f t="shared" si="53"/>
        <v>4025/4026</v>
      </c>
      <c r="L211" s="22" t="str">
        <f>VLOOKUP(A211,'Trips&amp;Operators'!$C$1:$E$10000,3,FALSE)</f>
        <v>STORY</v>
      </c>
      <c r="M211" s="6">
        <f t="shared" si="54"/>
        <v>0</v>
      </c>
      <c r="N211" s="7">
        <f t="shared" si="55"/>
        <v>0</v>
      </c>
      <c r="O211" s="7"/>
      <c r="P211" s="7"/>
      <c r="Q211" s="23"/>
      <c r="R211" s="23"/>
      <c r="S211" s="35">
        <f t="shared" si="56"/>
        <v>1</v>
      </c>
      <c r="T211" s="50" t="str">
        <f t="shared" si="57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18:43:51-700',mode:absolute,to:'1969-12-31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1" s="52" t="str">
        <f t="shared" si="59"/>
        <v>Y</v>
      </c>
      <c r="X211" s="177">
        <f t="shared" si="60"/>
        <v>1</v>
      </c>
      <c r="Y211" s="67">
        <f t="shared" si="61"/>
        <v>4.6699999999999998E-2</v>
      </c>
      <c r="Z211" s="67">
        <f t="shared" si="62"/>
        <v>2.3308</v>
      </c>
      <c r="AA211" s="67">
        <f t="shared" si="63"/>
        <v>2.2841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64"/>
        <v>0307-11</v>
      </c>
      <c r="AE211" s="91" t="str">
        <f t="shared" si="65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1" s="88" t="str">
        <f t="shared" si="66"/>
        <v>"C:\Program Files (x86)\AstroGrep\AstroGrep.exe" /spath="%USERPROFILE%\AppData\Local\Temp\OnboardLogs" /stypes="app*4025*19700101*" /stext=" 00:.+((SYSTEM_STATE.+slice.+state.+changed )|(ment ac)|(system.+state.+changed )|(\[timeout)|(PRM\|1\|D)|(kpr)|(kdp)|(\|lc)|(penalty))" /e /r /s</v>
      </c>
      <c r="AG211" s="1" t="str">
        <f t="shared" si="67"/>
        <v>Other</v>
      </c>
      <c r="AH211" s="92" t="str">
        <f t="shared" si="68"/>
        <v>"%USERPROFILE%\Documents\GitHub\eaglep3\Utilities\RefineRTDCRunTimes.py" --tripid 307-11 --locoid 4025 --swversion DE.1.0.8.0 --startMP 204:467 --initTime 2016-11-11T19:43:51 --startdatetime 1969-12-31T17:00:00 --delay 2 --endMP 300:23308 --enddatetime 1969-12-31T17:00:00 --enforcementcount 0 &gt;&gt;C:\Users\stu\Documents\GitHub\eaglep3-reporting\EC\2016-11-11-refined-times.txt</v>
      </c>
      <c r="AI211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ID","value":"307-11"},{"id":16,"name":"Locomotive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1" customFormat="1" x14ac:dyDescent="0.25">
      <c r="A212" s="37" t="s">
        <v>450</v>
      </c>
      <c r="B212" s="7">
        <v>4010</v>
      </c>
      <c r="C212" s="22" t="s">
        <v>225</v>
      </c>
      <c r="D212" s="22" t="s">
        <v>712</v>
      </c>
      <c r="E212" s="13">
        <v>42685.173020833332</v>
      </c>
      <c r="F212" s="13">
        <v>42685.175081018519</v>
      </c>
      <c r="G212" s="7">
        <v>2</v>
      </c>
      <c r="H212" s="22" t="s">
        <v>230</v>
      </c>
      <c r="I212" s="13">
        <v>42685.181215277778</v>
      </c>
      <c r="J212" s="7">
        <v>0</v>
      </c>
      <c r="K212" s="109" t="str">
        <f t="shared" si="53"/>
        <v>4009/4010</v>
      </c>
      <c r="L212" s="22" t="str">
        <f>VLOOKUP(A212,'Trips&amp;Operators'!$C$1:$E$10000,3,FALSE)</f>
        <v>RICHARDSON</v>
      </c>
      <c r="M212" s="6">
        <f t="shared" si="54"/>
        <v>6.1342592598521151E-3</v>
      </c>
      <c r="N212" s="7">
        <f t="shared" si="55"/>
        <v>8.8333333341870457</v>
      </c>
      <c r="O212" s="7"/>
      <c r="P212" s="7"/>
      <c r="Q212" s="23"/>
      <c r="R212" s="23"/>
      <c r="S212" s="35">
        <f t="shared" si="56"/>
        <v>1</v>
      </c>
      <c r="T212" s="50" t="str">
        <f t="shared" si="57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03:09:09-700',mode:absolute,to:'2016-11-11 05:20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2" s="52" t="str">
        <f t="shared" si="59"/>
        <v>Y</v>
      </c>
      <c r="X212" s="177">
        <f t="shared" si="60"/>
        <v>1</v>
      </c>
      <c r="Y212" s="67">
        <f t="shared" si="61"/>
        <v>2.3610000000000002</v>
      </c>
      <c r="Z212" s="67">
        <f t="shared" si="62"/>
        <v>1.5800000000000002E-2</v>
      </c>
      <c r="AA212" s="67">
        <f t="shared" si="63"/>
        <v>2.3452000000000002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64"/>
        <v>0308-11</v>
      </c>
      <c r="AE212" s="91" t="str">
        <f t="shared" si="65"/>
        <v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v>
      </c>
      <c r="AF212" s="88" t="str">
        <f t="shared" si="66"/>
        <v>"C:\Program Files (x86)\AstroGrep\AstroGrep.exe" /spath="%USERPROFILE%\AppData\Local\Temp\OnboardLogs" /stypes="app*4010*20161111*" /stext=" 11:.+((SYSTEM_STATE.+slice.+state.+changed )|(ment ac)|(system.+state.+changed )|(\[timeout)|(PRM\|1\|D)|(kpr)|(kdp)|(\|lc)|(penalty))"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308-11 --locoid 4010 --swversion DE.1.0.8.0 --startMP 300:23610 --initTime 2016-11-11T04:09:09 --startdatetime 2016-11-11T04:12:07 --delay 2 --endMP 204:158 --enddatetime 2016-11-11T04:20:57 --enforcementcount 0 &gt;&gt;C:\Users\stu\Documents\GitHub\eaglep3-reporting\EC\2016-11-11-refined-times.txt</v>
      </c>
      <c r="AI212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{"issue":{"subject":"","project_id":79,"tracker_id":40,"status_id":1,"priority_id":2,"assigned_to_id":23,"start_date":"2016-11-11","description":"","custom_fields":[{"id":1,"name":"Subdivision","value":"Other"},{"id":4,"name":"Milepost","value":"0.0158"},{"id":17,"name":"Train ID","value":"308-11"},{"id":16,"name":"Locomotive ID","value":"4010"},{"id":130,"name":"Impact","value":""},{"id":150,"name":"Time of Event (Mountain Time)","value":"04:20:57"},{"id":151,"name":"Denver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7" t="s">
        <v>452</v>
      </c>
      <c r="B213" s="7">
        <v>4043</v>
      </c>
      <c r="C213" s="22" t="s">
        <v>225</v>
      </c>
      <c r="D213" s="22" t="s">
        <v>713</v>
      </c>
      <c r="E213" s="13">
        <v>42685.183425925927</v>
      </c>
      <c r="F213" s="13">
        <v>42685.186168981483</v>
      </c>
      <c r="G213" s="7">
        <v>2</v>
      </c>
      <c r="H213" s="22" t="s">
        <v>714</v>
      </c>
      <c r="I213" s="13">
        <v>42685.240474537037</v>
      </c>
      <c r="J213" s="7">
        <v>0</v>
      </c>
      <c r="K213" s="109" t="str">
        <f t="shared" si="53"/>
        <v>4043/4044</v>
      </c>
      <c r="L213" s="22" t="str">
        <f>VLOOKUP(A213,'Trips&amp;Operators'!$C$1:$E$10000,3,FALSE)</f>
        <v>MACDONALD</v>
      </c>
      <c r="M213" s="6">
        <f t="shared" si="54"/>
        <v>5.4305555553582963E-2</v>
      </c>
      <c r="N213" s="7">
        <f t="shared" si="55"/>
        <v>78.199999997159466</v>
      </c>
      <c r="O213" s="7"/>
      <c r="P213" s="7"/>
      <c r="Q213" s="23"/>
      <c r="R213" s="23"/>
      <c r="S213" s="35">
        <f t="shared" si="56"/>
        <v>1</v>
      </c>
      <c r="T213" s="50" t="str">
        <f t="shared" si="57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03:24:08-700',mode:absolute,to:'2016-11-11 06:46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3" s="52" t="str">
        <f t="shared" si="59"/>
        <v>Y</v>
      </c>
      <c r="X213" s="177">
        <f t="shared" si="60"/>
        <v>2</v>
      </c>
      <c r="Y213" s="67">
        <f t="shared" si="61"/>
        <v>2.3546</v>
      </c>
      <c r="Z213" s="67">
        <f t="shared" si="62"/>
        <v>0.16450000000000001</v>
      </c>
      <c r="AA213" s="67">
        <f t="shared" si="63"/>
        <v>2.1901000000000002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64"/>
        <v>0310-11</v>
      </c>
      <c r="AE213" s="91" t="str">
        <f t="shared" si="65"/>
        <v>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 &amp; aws s3 cp s3://rtdc.mdm.uploadarchive.raw/RTDC4043/ "%USERPROFILE%\AppData\Local\Temp\OnboardLogs"\RTDC4043\2016-11-12 --exclude "*" --recursive --include "*20161112*" &amp; "%USERPROFILE%\Documents\GitHub\mrs-test-scripts\Headless Mode &amp; Sideloading\WalkAndUnGZ.bat" "%USERPROFILE%\AppData\Local\Temp\OnboardLogs"\RTDC4043\2016-11-12</v>
      </c>
      <c r="AF213" s="88" t="str">
        <f t="shared" si="66"/>
        <v>"C:\Program Files (x86)\AstroGrep\AstroGrep.exe" /spath="%USERPROFILE%\AppData\Local\Temp\OnboardLogs" /stypes="app*4043*20161111*" /stext=" 12:.+((SYSTEM_STATE.+slice.+state.+changed )|(ment ac)|(system.+state.+changed )|(\[timeout)|(PRM\|1\|D)|(kpr)|(kdp)|(\|lc)|(penalty))"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310-11 --locoid 4043 --swversion DE.1.0.8.0 --startMP 300:23546 --initTime 2016-11-11T04:24:08 --startdatetime 2016-11-11T04:28:05 --delay 2 --endMP 204:1645 --enddatetime 2016-11-11T05:46:17 --enforcementcount 0 &gt;&gt;C:\Users\stu\Documents\GitHub\eaglep3-reporting\EC\2016-11-11-refined-times.txt</v>
      </c>
      <c r="AI213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{"issue":{"subject":"","project_id":79,"tracker_id":40,"status_id":1,"priority_id":2,"assigned_to_id":23,"start_date":"2016-11-11","description":"","custom_fields":[{"id":1,"name":"Subdivision","value":"Other"},{"id":4,"name":"Milepost","value":"0.1645"},{"id":17,"name":"Train ID","value":"310-11"},{"id":16,"name":"Locomotive ID","value":"4043"},{"id":130,"name":"Impact","value":""},{"id":150,"name":"Time of Event (Mountain Time)","value":"05:46:17"},{"id":151,"name":"Denver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642</v>
      </c>
      <c r="B214" s="7">
        <v>4040</v>
      </c>
      <c r="C214" s="22" t="s">
        <v>225</v>
      </c>
      <c r="D214" s="22" t="s">
        <v>315</v>
      </c>
      <c r="E214" s="13">
        <v>42686.068530092591</v>
      </c>
      <c r="F214" s="13">
        <v>42686.070960648147</v>
      </c>
      <c r="G214" s="7">
        <v>1</v>
      </c>
      <c r="H214" s="22" t="s">
        <v>715</v>
      </c>
      <c r="I214" s="13">
        <v>42686.076342592591</v>
      </c>
      <c r="J214" s="7">
        <v>0</v>
      </c>
      <c r="K214" s="109" t="str">
        <f t="shared" si="53"/>
        <v>4039/4040</v>
      </c>
      <c r="L214" s="22" t="str">
        <f>VLOOKUP(A214,'Trips&amp;Operators'!$C$1:$E$10000,3,FALSE)</f>
        <v>CHANDLER</v>
      </c>
      <c r="M214" s="6">
        <f t="shared" si="54"/>
        <v>5.3819444437976927E-3</v>
      </c>
      <c r="N214" s="7">
        <f t="shared" si="55"/>
        <v>7.7499999990686774</v>
      </c>
      <c r="O214" s="7"/>
      <c r="P214" s="7"/>
      <c r="Q214" s="23"/>
      <c r="R214" s="23"/>
      <c r="S214" s="35">
        <f t="shared" si="56"/>
        <v>1</v>
      </c>
      <c r="T214" s="50" t="str">
        <f t="shared" si="57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https://search-rtdc-monitor-bjffxe2xuh6vdkpspy63sjmuny.us-east-1.es.amazonaws.com/_plugin/kibana/#/discover/Steve-Slow-Train-Analysis-(2080s-and-2083s)?_g=(refreshInterval:(display:Off,section:0,value:0),time:(from:'2016-11-12 00:38:41-700',mode:absolute,to:'2016-11-12 02:49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4" s="52" t="str">
        <f t="shared" si="59"/>
        <v>Y</v>
      </c>
      <c r="X214" s="177">
        <f t="shared" si="60"/>
        <v>1</v>
      </c>
      <c r="Y214" s="67">
        <f t="shared" si="61"/>
        <v>4.7100000000000003E-2</v>
      </c>
      <c r="Z214" s="67">
        <f t="shared" si="62"/>
        <v>2.2261000000000002</v>
      </c>
      <c r="AA214" s="67">
        <f t="shared" si="63"/>
        <v>2.1790000000000003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64"/>
        <v>0311-11</v>
      </c>
      <c r="AE214" s="91" t="str">
        <f t="shared" si="65"/>
        <v>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 &amp; aws s3 cp s3://rtdc.mdm.uploadarchive.raw/RTDC4040/ "%USERPROFILE%\AppData\Local\Temp\OnboardLogs"\RTDC4040\2016-11-13 --exclude "*" --recursive --include "*20161113*" &amp; "%USERPROFILE%\Documents\GitHub\mrs-test-scripts\Headless Mode &amp; Sideloading\WalkAndUnGZ.bat" "%USERPROFILE%\AppData\Local\Temp\OnboardLogs"\RTDC4040\2016-11-13</v>
      </c>
      <c r="AF214" s="88" t="str">
        <f t="shared" si="66"/>
        <v>"C:\Program Files (x86)\AstroGrep\AstroGrep.exe" /spath="%USERPROFILE%\AppData\Local\Temp\OnboardLogs" /stypes="app*4040*20161112*" /stext=" 08:.+((SYSTEM_STATE.+slice.+state.+changed )|(ment ac)|(system.+state.+changed )|(\[timeout)|(PRM\|1\|D)|(kpr)|(kdp)|(\|lc)|(penalty))" /e /r /s</v>
      </c>
      <c r="AG214" s="1" t="str">
        <f t="shared" si="67"/>
        <v>Other</v>
      </c>
      <c r="AH214" s="92" t="str">
        <f t="shared" si="68"/>
        <v>"%USERPROFILE%\Documents\GitHub\eaglep3\Utilities\RefineRTDCRunTimes.py" --tripid 311-11 --locoid 4040 --swversion DE.1.0.8.0 --startMP 204:471 --initTime 2016-11-12T01:38:41 --startdatetime 2016-11-12T01:42:11 --delay 1 --endMP 300:22261 --enddatetime 2016-11-12T01:49:56 --enforcementcount 0 &gt;&gt;C:\Users\stu\Documents\GitHub\eaglep3-reporting\EC\2016-11-11-refined-times.txt</v>
      </c>
      <c r="AI214" s="119" t="str">
        <f t="shared" si="69"/>
        <v>echo {"issue":{"subject":"","project_id":79,"tracker_id":40,"status_id":1,"priority_id":2,"assigned_to_id":23,"start_date":"2016-11-12","description":"","custom_fields":[{"id":1,"name":"Subdivision","value":"Other"},{"id":4,"name":"Milepost","value":"2.2261"},{"id":17,"name":"Train ID","value":"311-11"},{"id":16,"name":"Locomotive ID","value":"4040"},{"id":130,"name":"Impact","value":""},{"id":150,"name":"Time of Event (Mountain Time)","value":"01:49:56"},{"id":151,"name":"Denver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716</v>
      </c>
      <c r="B215" s="7">
        <v>4003</v>
      </c>
      <c r="C215" s="22" t="s">
        <v>225</v>
      </c>
      <c r="D215" s="22" t="s">
        <v>227</v>
      </c>
      <c r="E215" s="13">
        <v>42686.10800925926</v>
      </c>
      <c r="F215" s="13">
        <v>25568.708333333332</v>
      </c>
      <c r="G215" s="7">
        <v>0</v>
      </c>
      <c r="H215" s="22" t="s">
        <v>705</v>
      </c>
      <c r="I215" s="13">
        <v>25568.708333333332</v>
      </c>
      <c r="J215" s="7">
        <v>0</v>
      </c>
      <c r="K215" s="109" t="str">
        <f t="shared" si="53"/>
        <v>4003/4004</v>
      </c>
      <c r="L215" s="22" t="e">
        <f>VLOOKUP(A215,'Trips&amp;Operators'!$C$1:$E$10000,3,FALSE)</f>
        <v>#N/A</v>
      </c>
      <c r="M215" s="6">
        <f t="shared" si="54"/>
        <v>0</v>
      </c>
      <c r="N215" s="7">
        <f t="shared" si="55"/>
        <v>0</v>
      </c>
      <c r="O215" s="7"/>
      <c r="P215" s="7"/>
      <c r="Q215" s="23"/>
      <c r="R215" s="23"/>
      <c r="S215" s="35">
        <f t="shared" si="56"/>
        <v>1</v>
      </c>
      <c r="T215" s="50" t="str">
        <f t="shared" si="57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https://search-rtdc-monitor-bjffxe2xuh6vdkpspy63sjmuny.us-east-1.es.amazonaws.com/_plugin/kibana/#/discover/Steve-Slow-Train-Analysis-(2080s-and-2083s)?_g=(refreshInterval:(display:Off,section:0,value:0),time:(from:'2016-11-12 01:35:32-700',mode:absolute,to:'1969-12-31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5" s="52" t="str">
        <f t="shared" si="59"/>
        <v>Y</v>
      </c>
      <c r="X215" s="177">
        <f t="shared" si="60"/>
        <v>4</v>
      </c>
      <c r="Y215" s="67">
        <f t="shared" si="61"/>
        <v>4.58E-2</v>
      </c>
      <c r="Z215" s="67">
        <f t="shared" si="62"/>
        <v>2.3302</v>
      </c>
      <c r="AA215" s="67">
        <f t="shared" si="63"/>
        <v>2.2844000000000002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64"/>
        <v>0315-11</v>
      </c>
      <c r="AE215" s="91" t="str">
        <f t="shared" si="65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5" s="88" t="str">
        <f t="shared" si="66"/>
        <v>"C:\Program Files (x86)\AstroGrep\AstroGrep.exe" /spath="%USERPROFILE%\AppData\Local\Temp\OnboardLogs" /stypes="app*4003*19700101*" /stext=" 00:.+((SYSTEM_STATE.+slice.+state.+changed )|(ment ac)|(system.+state.+changed )|(\[timeout)|(PRM\|1\|D)|(kpr)|(kdp)|(\|lc)|(penalty))" /e /r /s</v>
      </c>
      <c r="AG215" s="1" t="str">
        <f t="shared" si="67"/>
        <v>Other</v>
      </c>
      <c r="AH215" s="92" t="str">
        <f t="shared" si="68"/>
        <v>"%USERPROFILE%\Documents\GitHub\eaglep3\Utilities\RefineRTDCRunTimes.py" --tripid 315-11 --locoid 4003 --swversion DE.1.0.8.0 --startMP 204:458 --initTime 2016-11-12T02:35:32 --startdatetime 1969-12-31T17:00:00 --delay 0 --endMP 300:23302 --enddatetime 1969-12-31T17:00:00 --enforcementcount 0 &gt;&gt;C:\Users\stu\Documents\GitHub\eaglep3-reporting\EC\2016-11-11-refined-times.txt</v>
      </c>
      <c r="AI215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ID","value":"315-11"},{"id":16,"name":"Locomotive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455</v>
      </c>
      <c r="B216" s="7">
        <v>4016</v>
      </c>
      <c r="C216" s="22" t="s">
        <v>225</v>
      </c>
      <c r="D216" s="22" t="s">
        <v>769</v>
      </c>
      <c r="E216" s="13">
        <v>42685.201990740738</v>
      </c>
      <c r="F216" s="13">
        <v>42685.203518518516</v>
      </c>
      <c r="G216" s="7">
        <v>1</v>
      </c>
      <c r="H216" s="22" t="s">
        <v>400</v>
      </c>
      <c r="I216" s="13">
        <v>42685.20925925926</v>
      </c>
      <c r="J216" s="7">
        <v>0</v>
      </c>
      <c r="K216" s="109" t="str">
        <f t="shared" si="53"/>
        <v>4015/4016</v>
      </c>
      <c r="L216" s="22" t="str">
        <f>VLOOKUP(A216,'Trips&amp;Operators'!$C$1:$E$10000,3,FALSE)</f>
        <v>STRICKLAND</v>
      </c>
      <c r="M216" s="6">
        <f t="shared" si="54"/>
        <v>5.7407407439313829E-3</v>
      </c>
      <c r="N216" s="7">
        <f t="shared" si="55"/>
        <v>8.2666666712611914</v>
      </c>
      <c r="O216" s="7"/>
      <c r="P216" s="7"/>
      <c r="Q216" s="23"/>
      <c r="R216" s="23"/>
      <c r="S216" s="35">
        <f t="shared" si="56"/>
        <v>0</v>
      </c>
      <c r="T216" s="50" t="str">
        <f t="shared" si="57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03:50:52-700',mode:absolute,to:'2016-11-11 06:01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6" s="52" t="str">
        <f t="shared" si="59"/>
        <v>Y</v>
      </c>
      <c r="X216" s="177">
        <f t="shared" si="60"/>
        <v>586</v>
      </c>
      <c r="Y216" s="67">
        <f t="shared" si="61"/>
        <v>3.0487000000000002</v>
      </c>
      <c r="Z216" s="67">
        <f t="shared" si="62"/>
        <v>5.8933</v>
      </c>
      <c r="AA216" s="67">
        <f t="shared" si="63"/>
        <v>2.8445999999999998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64"/>
        <v>0901-11</v>
      </c>
      <c r="AE216" s="91" t="str">
        <f t="shared" si="65"/>
        <v>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 &amp; aws s3 cp s3://rtdc.mdm.uploadarchive.raw/RTDC4016/ "%USERPROFILE%\AppData\Local\Temp\OnboardLogs"\RTDC4016\2016-11-12 --exclude "*" --recursive --include "*20161112*" &amp; "%USERPROFILE%\Documents\GitHub\mrs-test-scripts\Headless Mode &amp; Sideloading\WalkAndUnGZ.bat" "%USERPROFILE%\AppData\Local\Temp\OnboardLogs"\RTDC4016\2016-11-12</v>
      </c>
      <c r="AF216" s="88" t="str">
        <f t="shared" si="66"/>
        <v>"C:\Program Files (x86)\AstroGrep\AstroGrep.exe" /spath="%USERPROFILE%\AppData\Local\Temp\OnboardLogs" /stypes="app*4016*20161111*" /stext=" 12:.+((SYSTEM_STATE.+slice.+state.+changed )|(ment ac)|(system.+state.+changed )|(\[timeout)|(PRM\|1\|D)|(kpr)|(kdp)|(\|lc)|(penalty))" /e /r /s</v>
      </c>
      <c r="AG216" s="1" t="str">
        <f t="shared" si="67"/>
        <v>Other</v>
      </c>
      <c r="AH216" s="92" t="str">
        <f t="shared" si="68"/>
        <v>"%USERPROFILE%\Documents\GitHub\eaglep3\Utilities\RefineRTDCRunTimes.py" --tripid 901-11 --locoid 4016 --swversion DE.1.0.8.0 --startMP 300:30487 --initTime 2016-11-11T04:50:52 --startdatetime 2016-11-11T04:53:04 --delay 1 --endMP 300:58933 --enddatetime 2016-11-11T05:01:20 --enforcementcount 0 &gt;&gt;C:\Users\stu\Documents\GitHub\eaglep3-reporting\EC\2016-11-11-refined-times.txt</v>
      </c>
      <c r="AI216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{"issue":{"subject":"","project_id":79,"tracker_id":40,"status_id":1,"priority_id":2,"assigned_to_id":23,"start_date":"2016-11-11","description":"","custom_fields":[{"id":1,"name":"Subdivision","value":"Other"},{"id":4,"name":"Milepost","value":"5.8933"},{"id":17,"name":"Train ID","value":"901-11"},{"id":16,"name":"Locomotive ID","value":"4016"},{"id":130,"name":"Impact","value":""},{"id":150,"name":"Time of Event (Mountain Time)","value":"05:01:20"},{"id":151,"name":"Denver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x14ac:dyDescent="0.25">
      <c r="A217" s="37" t="s">
        <v>466</v>
      </c>
      <c r="B217" s="7">
        <v>4041</v>
      </c>
      <c r="C217" s="22" t="s">
        <v>225</v>
      </c>
      <c r="D217" s="22" t="s">
        <v>770</v>
      </c>
      <c r="E217" s="13">
        <v>42685.248090277775</v>
      </c>
      <c r="F217" s="13">
        <v>42685.249606481484</v>
      </c>
      <c r="G217" s="7">
        <v>1</v>
      </c>
      <c r="H217" s="22" t="s">
        <v>771</v>
      </c>
      <c r="I217" s="13">
        <v>42685.255995370368</v>
      </c>
      <c r="J217" s="7">
        <v>0</v>
      </c>
      <c r="K217" s="109" t="str">
        <f t="shared" si="53"/>
        <v>4041/4042</v>
      </c>
      <c r="L217" s="22" t="str">
        <f>VLOOKUP(A217,'Trips&amp;Operators'!$C$1:$E$10000,3,FALSE)</f>
        <v>HAITHCOX</v>
      </c>
      <c r="M217" s="6">
        <f t="shared" si="54"/>
        <v>6.388888883520849E-3</v>
      </c>
      <c r="N217" s="7">
        <f t="shared" si="55"/>
        <v>9.1999999922700226</v>
      </c>
      <c r="O217" s="7"/>
      <c r="P217" s="7"/>
      <c r="Q217" s="23"/>
      <c r="R217" s="23"/>
      <c r="S217" s="35">
        <f t="shared" si="56"/>
        <v>1</v>
      </c>
      <c r="T217" s="50" t="str">
        <f t="shared" si="57"/>
        <v>Southbound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04:57:15-700',mode:absolute,to:'2016-11-11 07:08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7" s="52" t="str">
        <f t="shared" si="59"/>
        <v>Y</v>
      </c>
      <c r="X217" s="177">
        <f t="shared" si="60"/>
        <v>1</v>
      </c>
      <c r="Y217" s="67">
        <f t="shared" si="61"/>
        <v>2.2229000000000001</v>
      </c>
      <c r="Z217" s="67">
        <f t="shared" si="62"/>
        <v>7.0099999999999996E-2</v>
      </c>
      <c r="AA217" s="67">
        <f t="shared" si="63"/>
        <v>2.1528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64"/>
        <v>0902-11</v>
      </c>
      <c r="AE217" s="91" t="str">
        <f t="shared" si="65"/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AF217" s="88" t="str">
        <f t="shared" si="66"/>
        <v>"C:\Program Files (x86)\AstroGrep\AstroGrep.exe" /spath="%USERPROFILE%\AppData\Local\Temp\OnboardLogs" /stypes="app*4041*20161111*" /stext=" 13:.+((SYSTEM_STATE.+slice.+state.+changed )|(ment ac)|(system.+state.+changed )|(\[timeout)|(PRM\|1\|D)|(kpr)|(kdp)|(\|lc)|(penalty))" /e /r /s</v>
      </c>
      <c r="AG217" s="1" t="str">
        <f t="shared" si="67"/>
        <v>Other</v>
      </c>
      <c r="AH217" s="92" t="str">
        <f t="shared" si="68"/>
        <v>"%USERPROFILE%\Documents\GitHub\eaglep3\Utilities\RefineRTDCRunTimes.py" --tripid 902-11 --locoid 4041 --swversion DE.1.0.8.0 --startMP 300:22229 --initTime 2016-11-11T05:57:15 --startdatetime 2016-11-11T05:59:26 --delay 1 --endMP 204:701 --enddatetime 2016-11-11T06:08:38 --enforcementcount 0 &gt;&gt;C:\Users\stu\Documents\GitHub\eaglep3-reporting\EC\2016-11-11-refined-times.txt</v>
      </c>
      <c r="AI217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{"issue":{"subject":"","project_id":79,"tracker_id":40,"status_id":1,"priority_id":2,"assigned_to_id":23,"start_date":"2016-11-11","description":"","custom_fields":[{"id":1,"name":"Subdivision","value":"Other"},{"id":4,"name":"Milepost","value":"0.0701"},{"id":17,"name":"Train ID","value":"902-11"},{"id":16,"name":"Locomotive ID","value":"4041"},{"id":130,"name":"Impact","value":""},{"id":150,"name":"Time of Event (Mountain Time)","value":"06:08:38"},{"id":151,"name":"Denver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91" x14ac:dyDescent="0.25">
      <c r="A218" s="37" t="s">
        <v>490</v>
      </c>
      <c r="B218" s="7">
        <v>4016</v>
      </c>
      <c r="C218" s="22" t="s">
        <v>225</v>
      </c>
      <c r="D218" s="22" t="s">
        <v>319</v>
      </c>
      <c r="E218" s="13">
        <v>42685.354085648149</v>
      </c>
      <c r="F218" s="13">
        <v>42685.355879629627</v>
      </c>
      <c r="G218" s="7">
        <v>1</v>
      </c>
      <c r="H218" s="22" t="s">
        <v>772</v>
      </c>
      <c r="I218" s="13">
        <v>42685.362256944441</v>
      </c>
      <c r="J218" s="7">
        <v>0</v>
      </c>
      <c r="K218" s="109" t="str">
        <f t="shared" si="53"/>
        <v>4015/4016</v>
      </c>
      <c r="L218" s="22" t="str">
        <f>VLOOKUP(A218,'Trips&amp;Operators'!$C$1:$E$10000,3,FALSE)</f>
        <v>STRICKLAND</v>
      </c>
      <c r="M218" s="6">
        <f t="shared" si="54"/>
        <v>6.3773148140171543E-3</v>
      </c>
      <c r="N218" s="7">
        <f t="shared" si="55"/>
        <v>9.1833333321847022</v>
      </c>
      <c r="O218" s="7"/>
      <c r="P218" s="7"/>
      <c r="Q218" s="23"/>
      <c r="R218" s="23"/>
      <c r="S218" s="35">
        <f t="shared" si="56"/>
        <v>1</v>
      </c>
      <c r="T218" s="50" t="str">
        <f t="shared" si="57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07:29:53-700',mode:absolute,to:'2016-11-11 09:41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8" s="52" t="str">
        <f t="shared" si="59"/>
        <v>Y</v>
      </c>
      <c r="X218" s="177">
        <f t="shared" si="60"/>
        <v>1</v>
      </c>
      <c r="Y218" s="67">
        <f t="shared" si="61"/>
        <v>4.24E-2</v>
      </c>
      <c r="Z218" s="67">
        <f t="shared" si="62"/>
        <v>2.5758000000000001</v>
      </c>
      <c r="AA218" s="67">
        <f t="shared" si="63"/>
        <v>2.5333999999999999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64"/>
        <v>0903-11</v>
      </c>
      <c r="AE218" s="91" t="str">
        <f t="shared" si="65"/>
        <v>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 &amp; aws s3 cp s3://rtdc.mdm.uploadarchive.raw/RTDC4016/ "%USERPROFILE%\AppData\Local\Temp\OnboardLogs"\RTDC4016\2016-11-12 --exclude "*" --recursive --include "*20161112*" &amp; "%USERPROFILE%\Documents\GitHub\mrs-test-scripts\Headless Mode &amp; Sideloading\WalkAndUnGZ.bat" "%USERPROFILE%\AppData\Local\Temp\OnboardLogs"\RTDC4016\2016-11-12</v>
      </c>
      <c r="AF218" s="88" t="str">
        <f t="shared" si="66"/>
        <v>"C:\Program Files (x86)\AstroGrep\AstroGrep.exe" /spath="%USERPROFILE%\AppData\Local\Temp\OnboardLogs" /stypes="app*4016*20161111*" /stext=" 15:.+((SYSTEM_STATE.+slice.+state.+changed )|(ment ac)|(system.+state.+changed )|(\[timeout)|(PRM\|1\|D)|(kpr)|(kdp)|(\|lc)|(penalty))" /e /r /s</v>
      </c>
      <c r="AG218" s="1" t="str">
        <f t="shared" si="67"/>
        <v>Other</v>
      </c>
      <c r="AH218" s="92" t="str">
        <f t="shared" si="68"/>
        <v>"%USERPROFILE%\Documents\GitHub\eaglep3\Utilities\RefineRTDCRunTimes.py" --tripid 903-11 --locoid 4016 --swversion DE.1.0.8.0 --startMP 204:424 --initTime 2016-11-11T08:29:53 --startdatetime 2016-11-11T08:32:28 --delay 1 --endMP 300:25758 --enddatetime 2016-11-11T08:41:39 --enforcementcount 0 &gt;&gt;C:\Users\stu\Documents\GitHub\eaglep3-reporting\EC\2016-11-11-refined-times.txt</v>
      </c>
      <c r="AI218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{"issue":{"subject":"","project_id":79,"tracker_id":40,"status_id":1,"priority_id":2,"assigned_to_id":23,"start_date":"2016-11-11","description":"","custom_fields":[{"id":1,"name":"Subdivision","value":"Other"},{"id":4,"name":"Milepost","value":"2.5758"},{"id":17,"name":"Train ID","value":"903-11"},{"id":16,"name":"Locomotive ID","value":"4016"},{"id":130,"name":"Impact","value":""},{"id":150,"name":"Time of Event (Mountain Time)","value":"08:41:39"},{"id":151,"name":"Denver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x14ac:dyDescent="0.25">
      <c r="A219" s="37" t="s">
        <v>558</v>
      </c>
      <c r="B219" s="7">
        <v>4015</v>
      </c>
      <c r="C219" s="22" t="s">
        <v>225</v>
      </c>
      <c r="D219" s="22" t="s">
        <v>773</v>
      </c>
      <c r="E219" s="13">
        <v>42685.640034722222</v>
      </c>
      <c r="F219" s="13">
        <v>42685.642592592594</v>
      </c>
      <c r="G219" s="7">
        <v>3</v>
      </c>
      <c r="H219" s="22" t="s">
        <v>774</v>
      </c>
      <c r="I219" s="13">
        <v>42685.648506944446</v>
      </c>
      <c r="J219" s="7">
        <v>0</v>
      </c>
      <c r="K219" s="109" t="str">
        <f t="shared" si="53"/>
        <v>4015/4016</v>
      </c>
      <c r="L219" s="22" t="str">
        <f>VLOOKUP(A219,'Trips&amp;Operators'!$C$1:$E$10000,3,FALSE)</f>
        <v>SAFIEF</v>
      </c>
      <c r="M219" s="6">
        <f t="shared" si="54"/>
        <v>5.914351851970423E-3</v>
      </c>
      <c r="N219" s="7">
        <f t="shared" si="55"/>
        <v>8.5166666668374091</v>
      </c>
      <c r="O219" s="7"/>
      <c r="P219" s="7"/>
      <c r="Q219" s="23"/>
      <c r="R219" s="23"/>
      <c r="S219" s="35">
        <f t="shared" si="56"/>
        <v>1</v>
      </c>
      <c r="T219" s="50" t="str">
        <f t="shared" si="57"/>
        <v>Southbound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14:21:39-700',mode:absolute,to:'2016-11-11 16:33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9" s="52" t="str">
        <f t="shared" si="59"/>
        <v>Y</v>
      </c>
      <c r="X219" s="177">
        <f t="shared" si="60"/>
        <v>1</v>
      </c>
      <c r="Y219" s="67">
        <f t="shared" si="61"/>
        <v>2.3494999999999999</v>
      </c>
      <c r="Z219" s="67">
        <f t="shared" si="62"/>
        <v>6.8000000000000005E-2</v>
      </c>
      <c r="AA219" s="67">
        <f t="shared" si="63"/>
        <v>2.2814999999999999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64"/>
        <v>0904-11</v>
      </c>
      <c r="AE219" s="91" t="str">
        <f t="shared" si="65"/>
        <v>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 &amp; 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</v>
      </c>
      <c r="AF219" s="88" t="str">
        <f t="shared" si="66"/>
        <v>"C:\Program Files (x86)\AstroGrep\AstroGrep.exe" /spath="%USERPROFILE%\AppData\Local\Temp\OnboardLogs" /stypes="app*4015*20161111*" /stext=" 22:.+((SYSTEM_STATE.+slice.+state.+changed )|(ment ac)|(system.+state.+changed )|(\[timeout)|(PRM\|1\|D)|(kpr)|(kdp)|(\|lc)|(penalty))" /e /r /s</v>
      </c>
      <c r="AG219" s="1" t="str">
        <f t="shared" si="67"/>
        <v>Other</v>
      </c>
      <c r="AH219" s="92" t="str">
        <f t="shared" si="68"/>
        <v>"%USERPROFILE%\Documents\GitHub\eaglep3\Utilities\RefineRTDCRunTimes.py" --tripid 904-11 --locoid 4015 --swversion DE.1.0.8.0 --startMP 300:23495 --initTime 2016-11-11T15:21:39 --startdatetime 2016-11-11T15:25:20 --delay 3 --endMP 204:680 --enddatetime 2016-11-11T15:33:51 --enforcementcount 0 &gt;&gt;C:\Users\stu\Documents\GitHub\eaglep3-reporting\EC\2016-11-11-refined-times.txt</v>
      </c>
      <c r="AI219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{"issue":{"subject":"","project_id":79,"tracker_id":40,"status_id":1,"priority_id":2,"assigned_to_id":23,"start_date":"2016-11-11","description":"","custom_fields":[{"id":1,"name":"Subdivision","value":"Other"},{"id":4,"name":"Milepost","value":"0.068"},{"id":17,"name":"Train ID","value":"904-11"},{"id":16,"name":"Locomotive ID","value":"4015"},{"id":130,"name":"Impact","value":""},{"id":150,"name":"Time of Event (Mountain Time)","value":"15:33:51"},{"id":151,"name":"Denver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91" x14ac:dyDescent="0.25">
      <c r="A220" s="37" t="s">
        <v>602</v>
      </c>
      <c r="B220" s="7">
        <v>4015</v>
      </c>
      <c r="C220" s="22" t="s">
        <v>225</v>
      </c>
      <c r="D220" s="22" t="s">
        <v>289</v>
      </c>
      <c r="E220" s="13">
        <v>42685.796157407407</v>
      </c>
      <c r="F220" s="13">
        <v>25568.708333333332</v>
      </c>
      <c r="G220" s="7">
        <v>1</v>
      </c>
      <c r="H220" s="22" t="s">
        <v>775</v>
      </c>
      <c r="I220" s="13">
        <v>25568.708333333332</v>
      </c>
      <c r="J220" s="7">
        <v>0</v>
      </c>
      <c r="K220" s="109" t="str">
        <f t="shared" si="53"/>
        <v>4015/4016</v>
      </c>
      <c r="L220" s="22" t="str">
        <f>VLOOKUP(A220,'Trips&amp;Operators'!$C$1:$E$10000,3,FALSE)</f>
        <v>SAFIEF</v>
      </c>
      <c r="M220" s="6">
        <f t="shared" si="54"/>
        <v>0</v>
      </c>
      <c r="N220" s="7">
        <f t="shared" si="55"/>
        <v>0</v>
      </c>
      <c r="O220" s="7"/>
      <c r="P220" s="7"/>
      <c r="Q220" s="23"/>
      <c r="R220" s="23"/>
      <c r="S220" s="35">
        <f t="shared" si="56"/>
        <v>0</v>
      </c>
      <c r="T220" s="50" t="str">
        <f t="shared" si="57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18:06:28-700',mode:absolute,to:'1969-12-31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0" s="52" t="str">
        <f t="shared" si="59"/>
        <v>Y</v>
      </c>
      <c r="X220" s="177">
        <f t="shared" si="60"/>
        <v>2</v>
      </c>
      <c r="Y220" s="67">
        <f t="shared" si="61"/>
        <v>5.8611000000000004</v>
      </c>
      <c r="Z220" s="67">
        <f t="shared" si="62"/>
        <v>2.8793000000000002</v>
      </c>
      <c r="AA220" s="67">
        <f t="shared" si="63"/>
        <v>2.9818000000000002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64"/>
        <v>0906-11</v>
      </c>
      <c r="AE220" s="91" t="str">
        <f t="shared" si="65"/>
        <v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v>
      </c>
      <c r="AF220" s="88" t="str">
        <f t="shared" si="66"/>
        <v>"C:\Program Files (x86)\AstroGrep\AstroGrep.exe" /spath="%USERPROFILE%\AppData\Local\Temp\OnboardLogs" /stypes="app*4015*19700101*" /stext=" 00:.+((SYSTEM_STATE.+slice.+state.+changed )|(ment ac)|(system.+state.+changed )|(\[timeout)|(PRM\|1\|D)|(kpr)|(kdp)|(\|lc)|(penalty))" /e /r /s</v>
      </c>
      <c r="AG220" s="1" t="str">
        <f t="shared" si="67"/>
        <v>Other</v>
      </c>
      <c r="AH220" s="92" t="str">
        <f t="shared" si="68"/>
        <v>"%USERPROFILE%\Documents\GitHub\eaglep3\Utilities\RefineRTDCRunTimes.py" --tripid 906-11 --locoid 4015 --swversion DE.1.0.8.0 --startMP 300:58611 --initTime 2016-11-11T19:06:28 --startdatetime 1969-12-31T17:00:00 --delay 1 --endMP 300:28793 --enddatetime 1969-12-31T17:00:00 --enforcementcount 0 &gt;&gt;C:\Users\stu\Documents\GitHub\eaglep3-reporting\EC\2016-11-11-refined-times.txt</v>
      </c>
      <c r="AI220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{"issue":{"subject":"","project_id":79,"tracker_id":40,"status_id":1,"priority_id":2,"assigned_to_id":23,"start_date":"1969-12-31","description":"","custom_fields":[{"id":1,"name":"Subdivision","value":"Other"},{"id":4,"name":"Milepost","value":"2.8793"},{"id":17,"name":"Train ID","value":"906-11"},{"id":16,"name":"Locomotive ID","value":"4015"},{"id":130,"name":"Impact","value":""},{"id":150,"name":"Time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x14ac:dyDescent="0.25">
      <c r="A221" s="37" t="s">
        <v>629</v>
      </c>
      <c r="B221" s="7">
        <v>4041</v>
      </c>
      <c r="C221" s="22" t="s">
        <v>225</v>
      </c>
      <c r="D221" s="22" t="s">
        <v>403</v>
      </c>
      <c r="E221" s="13">
        <v>42685.94189814815</v>
      </c>
      <c r="F221" s="13">
        <v>25568.708333333332</v>
      </c>
      <c r="G221" s="7">
        <v>1</v>
      </c>
      <c r="H221" s="22" t="s">
        <v>408</v>
      </c>
      <c r="I221" s="13">
        <v>25568.708333333332</v>
      </c>
      <c r="J221" s="7">
        <v>0</v>
      </c>
      <c r="K221" s="109" t="str">
        <f t="shared" si="53"/>
        <v>4041/4042</v>
      </c>
      <c r="L221" s="22" t="str">
        <f>VLOOKUP(A221,'Trips&amp;Operators'!$C$1:$E$10000,3,FALSE)</f>
        <v>SAFIEF</v>
      </c>
      <c r="M221" s="6">
        <f t="shared" si="54"/>
        <v>0</v>
      </c>
      <c r="N221" s="7">
        <f t="shared" si="55"/>
        <v>0</v>
      </c>
      <c r="O221" s="7"/>
      <c r="P221" s="7"/>
      <c r="Q221" s="23"/>
      <c r="R221" s="23"/>
      <c r="S221" s="35">
        <f t="shared" si="56"/>
        <v>0</v>
      </c>
      <c r="T221" s="50" t="str">
        <f t="shared" si="57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21:36:20-700',mode:absolute,to:'1969-12-31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1" s="52" t="str">
        <f t="shared" si="59"/>
        <v>Y</v>
      </c>
      <c r="X221" s="177">
        <f t="shared" si="60"/>
        <v>2</v>
      </c>
      <c r="Y221" s="67">
        <f t="shared" si="61"/>
        <v>5.8613</v>
      </c>
      <c r="Z221" s="67">
        <f t="shared" si="62"/>
        <v>2.8782000000000001</v>
      </c>
      <c r="AA221" s="67">
        <f t="shared" si="63"/>
        <v>2.9830999999999999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64"/>
        <v>0908-11</v>
      </c>
      <c r="AE221" s="91" t="str">
        <f t="shared" si="65"/>
        <v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v>
      </c>
      <c r="AF221" s="88" t="str">
        <f t="shared" si="66"/>
        <v>"C:\Program Files (x86)\AstroGrep\AstroGrep.exe" /spath="%USERPROFILE%\AppData\Local\Temp\OnboardLogs" /stypes="app*4041*19700101*" /stext=" 00:.+((SYSTEM_STATE.+slice.+state.+changed )|(ment ac)|(system.+state.+changed )|(\[timeout)|(PRM\|1\|D)|(kpr)|(kdp)|(\|lc)|(penalty))" /e /r /s</v>
      </c>
      <c r="AG221" s="1" t="str">
        <f t="shared" si="67"/>
        <v>Other</v>
      </c>
      <c r="AH221" s="92" t="str">
        <f t="shared" si="68"/>
        <v>"%USERPROFILE%\Documents\GitHub\eaglep3\Utilities\RefineRTDCRunTimes.py" --tripid 908-11 --locoid 4041 --swversion DE.1.0.8.0 --startMP 300:58613 --initTime 2016-11-11T22:36:20 --startdatetime 1969-12-31T17:00:00 --delay 1 --endMP 300:28782 --enddatetime 1969-12-31T17:00:00 --enforcementcount 0 &gt;&gt;C:\Users\stu\Documents\GitHub\eaglep3-reporting\EC\2016-11-11-refined-times.txt</v>
      </c>
      <c r="AI221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{"issue":{"subject":"","project_id":79,"tracker_id":40,"status_id":1,"priority_id":2,"assigned_to_id":23,"start_date":"1969-12-31","description":"","custom_fields":[{"id":1,"name":"Subdivision","value":"Other"},{"id":4,"name":"Milepost","value":"2.8782"},{"id":17,"name":"Train ID","value":"908-11"},{"id":16,"name":"Locomotive ID","value":"4041"},{"id":130,"name":"Impact","value":""},{"id":150,"name":"Time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x14ac:dyDescent="0.25">
      <c r="A222" s="37" t="s">
        <v>503</v>
      </c>
      <c r="B222" s="7">
        <v>4008</v>
      </c>
      <c r="C222" s="22" t="s">
        <v>225</v>
      </c>
      <c r="D222" s="22" t="s">
        <v>717</v>
      </c>
      <c r="E222" s="13">
        <v>42685.43409722222</v>
      </c>
      <c r="F222" s="13">
        <v>42685.435393518521</v>
      </c>
      <c r="G222" s="7">
        <v>1</v>
      </c>
      <c r="H222" s="22" t="s">
        <v>718</v>
      </c>
      <c r="I222" s="13">
        <v>42685.441076388888</v>
      </c>
      <c r="J222" s="7">
        <v>0</v>
      </c>
      <c r="K222" s="109" t="str">
        <f t="shared" si="53"/>
        <v>4007/4008</v>
      </c>
      <c r="L222" s="22" t="str">
        <f>VLOOKUP(A222,'Trips&amp;Operators'!$C$1:$E$10000,3,FALSE)</f>
        <v>LALONDE</v>
      </c>
      <c r="M222" s="6">
        <f t="shared" si="54"/>
        <v>5.6828703673090786E-3</v>
      </c>
      <c r="N222" s="7">
        <f t="shared" si="55"/>
        <v>8.1833333289250731</v>
      </c>
      <c r="O222" s="7"/>
      <c r="P222" s="7"/>
      <c r="Q222" s="23"/>
      <c r="R222" s="23"/>
      <c r="S222" s="35">
        <f t="shared" si="56"/>
        <v>0</v>
      </c>
      <c r="T222" s="50" t="e">
        <f t="shared" si="57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09:25:06-700',mode:absolute,to:'2016-11-11 11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2" s="52" t="str">
        <f t="shared" si="59"/>
        <v>Y</v>
      </c>
      <c r="X222" s="177" t="e">
        <f t="shared" si="60"/>
        <v>#VALUE!</v>
      </c>
      <c r="Y222" s="67">
        <f t="shared" si="61"/>
        <v>2.3466</v>
      </c>
      <c r="Z222" s="67">
        <f t="shared" si="62"/>
        <v>1.46E-2</v>
      </c>
      <c r="AA222" s="67">
        <f t="shared" si="63"/>
        <v>2.3319999999999999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64"/>
        <v>50-11</v>
      </c>
      <c r="AE222" s="91" t="str">
        <f t="shared" si="65"/>
        <v>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 &amp; aws s3 cp s3://rtdc.mdm.uploadarchive.raw/RTDC4008/ "%USERPROFILE%\AppData\Local\Temp\OnboardLogs"\RTDC4008\2016-11-12 --exclude "*" --recursive --include "*20161112*" &amp; "%USERPROFILE%\Documents\GitHub\mrs-test-scripts\Headless Mode &amp; Sideloading\WalkAndUnGZ.bat" "%USERPROFILE%\AppData\Local\Temp\OnboardLogs"\RTDC4008\2016-11-12</v>
      </c>
      <c r="AF222" s="88" t="str">
        <f t="shared" si="66"/>
        <v>"C:\Program Files (x86)\AstroGrep\AstroGrep.exe" /spath="%USERPROFILE%\AppData\Local\Temp\OnboardLogs" /stypes="app*4008*20161111*" /stext=" 17:.+((SYSTEM_STATE.+slice.+state.+changed )|(ment ac)|(system.+state.+changed )|(\[timeout)|(PRM\|1\|D)|(kpr)|(kdp)|(\|lc)|(penalty))" /e /r /s</v>
      </c>
      <c r="AG222" s="1" t="str">
        <f t="shared" si="67"/>
        <v>Other</v>
      </c>
      <c r="AH222" s="92" t="str">
        <f t="shared" si="68"/>
        <v>"%USERPROFILE%\Documents\GitHub\eaglep3\Utilities\RefineRTDCRunTimes.py" --tripid 50-11 --locoid 4008 --swversion DE.1.0.8.0 --startMP 300:23466 --initTime 2016-11-11T10:25:06 --startdatetime 2016-11-11T10:26:58 --delay 1 --endMP 204:146 --enddatetime 2016-11-11T10:35:09 --enforcementcount 0 &gt;&gt;C:\Users\stu\Documents\GitHub\eaglep3-reporting\EC\2016-11-11-refined-times.txt</v>
      </c>
      <c r="AI222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{"issue":{"subject":"","project_id":79,"tracker_id":40,"status_id":1,"priority_id":2,"assigned_to_id":23,"start_date":"2016-11-11","description":"","custom_fields":[{"id":1,"name":"Subdivision","value":"Other"},{"id":4,"name":"Milepost","value":"0.0146"},{"id":17,"name":"Train ID","value":"50-11"},{"id":16,"name":"Locomotive ID","value":"4008"},{"id":130,"name":"Impact","value":""},{"id":150,"name":"Time of Event (Mountain Time)","value":"10:35:09"},{"id":151,"name":"Denver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509</v>
      </c>
      <c r="B223" s="7">
        <v>4054</v>
      </c>
      <c r="C223" s="22" t="s">
        <v>225</v>
      </c>
      <c r="D223" s="22" t="s">
        <v>719</v>
      </c>
      <c r="E223" s="13">
        <v>42685.455347222225</v>
      </c>
      <c r="F223" s="13">
        <v>42685.457916666666</v>
      </c>
      <c r="G223" s="7">
        <v>3</v>
      </c>
      <c r="H223" s="22" t="s">
        <v>373</v>
      </c>
      <c r="I223" s="13">
        <v>42685.464421296296</v>
      </c>
      <c r="J223" s="7">
        <v>0</v>
      </c>
      <c r="K223" s="109" t="str">
        <f t="shared" si="53"/>
        <v>4053/4054</v>
      </c>
      <c r="L223" s="22" t="str">
        <f>VLOOKUP(A223,'Trips&amp;Operators'!$C$1:$E$10000,3,FALSE)</f>
        <v>MOSES</v>
      </c>
      <c r="M223" s="6">
        <f t="shared" si="54"/>
        <v>6.5046296294895001E-3</v>
      </c>
      <c r="N223" s="7">
        <f t="shared" si="55"/>
        <v>9.3666666664648801</v>
      </c>
      <c r="O223" s="7"/>
      <c r="P223" s="7"/>
      <c r="Q223" s="23"/>
      <c r="R223" s="23"/>
      <c r="S223" s="35">
        <f t="shared" si="56"/>
        <v>0</v>
      </c>
      <c r="T223" s="50" t="e">
        <f t="shared" si="57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09:55:42-700',mode:absolute,to:'2016-11-11 12:08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3" s="52" t="str">
        <f t="shared" si="59"/>
        <v>Y</v>
      </c>
      <c r="X223" s="177" t="e">
        <f t="shared" si="60"/>
        <v>#VALUE!</v>
      </c>
      <c r="Y223" s="67">
        <f t="shared" si="61"/>
        <v>2.355</v>
      </c>
      <c r="Z223" s="67">
        <f t="shared" si="62"/>
        <v>4.6600000000000003E-2</v>
      </c>
      <c r="AA223" s="67">
        <f t="shared" si="63"/>
        <v>2.3083999999999998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64"/>
        <v>52-11</v>
      </c>
      <c r="AE223" s="91" t="str">
        <f t="shared" si="65"/>
        <v>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 &amp; 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</v>
      </c>
      <c r="AF223" s="88" t="str">
        <f t="shared" si="66"/>
        <v>"C:\Program Files (x86)\AstroGrep\AstroGrep.exe" /spath="%USERPROFILE%\AppData\Local\Temp\OnboardLogs" /stypes="app*4054*20161111*" /stext=" 18:.+((SYSTEM_STATE.+slice.+state.+changed )|(ment ac)|(system.+state.+changed )|(\[timeout)|(PRM\|1\|D)|(kpr)|(kdp)|(\|lc)|(penalty))" /e /r /s</v>
      </c>
      <c r="AG223" s="1" t="str">
        <f t="shared" si="67"/>
        <v>Other</v>
      </c>
      <c r="AH223" s="92" t="str">
        <f t="shared" si="68"/>
        <v>"%USERPROFILE%\Documents\GitHub\eaglep3\Utilities\RefineRTDCRunTimes.py" --tripid 52-11 --locoid 4054 --swversion DE.1.0.8.0 --startMP 300:23550 --initTime 2016-11-11T10:55:42 --startdatetime 2016-11-11T10:59:24 --delay 3 --endMP 204:466 --enddatetime 2016-11-11T11:08:46 --enforcementcount 0 &gt;&gt;C:\Users\stu\Documents\GitHub\eaglep3-reporting\EC\2016-11-11-refined-times.txt</v>
      </c>
      <c r="AI223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{"issue":{"subject":"","project_id":79,"tracker_id":40,"status_id":1,"priority_id":2,"assigned_to_id":23,"start_date":"2016-11-11","description":"","custom_fields":[{"id":1,"name":"Subdivision","value":"Other"},{"id":4,"name":"Milepost","value":"0.0466"},{"id":17,"name":"Train ID","value":"52-11"},{"id":16,"name":"Locomotive ID","value":"4054"},{"id":130,"name":"Impact","value":""},{"id":150,"name":"Time of Event (Mountain Time)","value":"11:08:46"},{"id":151,"name":"Denver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514</v>
      </c>
      <c r="B224" s="7">
        <v>4053</v>
      </c>
      <c r="C224" s="22" t="s">
        <v>225</v>
      </c>
      <c r="D224" s="22" t="s">
        <v>369</v>
      </c>
      <c r="E224" s="13">
        <v>42685.468391203707</v>
      </c>
      <c r="F224" s="13">
        <v>25568.708333333332</v>
      </c>
      <c r="G224" s="7">
        <v>1</v>
      </c>
      <c r="H224" s="22" t="s">
        <v>720</v>
      </c>
      <c r="I224" s="13">
        <v>25568.708333333332</v>
      </c>
      <c r="J224" s="7">
        <v>0</v>
      </c>
      <c r="K224" s="109" t="str">
        <f t="shared" si="53"/>
        <v>4053/4054</v>
      </c>
      <c r="L224" s="22" t="str">
        <f>VLOOKUP(A224,'Trips&amp;Operators'!$C$1:$E$10000,3,FALSE)</f>
        <v>BEAM</v>
      </c>
      <c r="M224" s="6">
        <f t="shared" si="54"/>
        <v>0</v>
      </c>
      <c r="N224" s="7">
        <f t="shared" si="55"/>
        <v>0</v>
      </c>
      <c r="O224" s="7"/>
      <c r="P224" s="7"/>
      <c r="Q224" s="23"/>
      <c r="R224" s="23"/>
      <c r="S224" s="35">
        <f t="shared" si="56"/>
        <v>0</v>
      </c>
      <c r="T224" s="50" t="e">
        <f t="shared" si="57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10:14:29-700',mode:absolute,to:'1969-12-31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24" s="52" t="str">
        <f t="shared" si="59"/>
        <v>Y</v>
      </c>
      <c r="X224" s="177" t="e">
        <f t="shared" si="60"/>
        <v>#VALUE!</v>
      </c>
      <c r="Y224" s="67">
        <f t="shared" si="61"/>
        <v>7.5899999999999995E-2</v>
      </c>
      <c r="Z224" s="67">
        <f t="shared" si="62"/>
        <v>2.4224000000000001</v>
      </c>
      <c r="AA224" s="67">
        <f t="shared" si="63"/>
        <v>2.3465000000000003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64"/>
        <v>53-11</v>
      </c>
      <c r="AE224" s="91" t="str">
        <f t="shared" si="65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24" s="88" t="str">
        <f t="shared" si="66"/>
        <v>"C:\Program Files (x86)\AstroGrep\AstroGrep.exe" /spath="%USERPROFILE%\AppData\Local\Temp\OnboardLogs" /stypes="app*4053*19700101*" /stext=" 00:.+((SYSTEM_STATE.+slice.+state.+changed )|(ment ac)|(system.+state.+changed )|(\[timeout)|(PRM\|1\|D)|(kpr)|(kdp)|(\|lc)|(penalty))" /e /r /s</v>
      </c>
      <c r="AG224" s="1" t="str">
        <f t="shared" si="67"/>
        <v>Other</v>
      </c>
      <c r="AH224" s="92" t="str">
        <f t="shared" si="68"/>
        <v>"%USERPROFILE%\Documents\GitHub\eaglep3\Utilities\RefineRTDCRunTimes.py" --tripid 53-11 --locoid 4053 --swversion DE.1.0.8.0 --startMP 204:759 --initTime 2016-11-11T11:14:29 --startdatetime 1969-12-31T17:00:00 --delay 1 --endMP 300:24224 --enddatetime 1969-12-31T17:00:00 --enforcementcount 0 &gt;&gt;C:\Users\stu\Documents\GitHub\eaglep3-reporting\EC\2016-11-11-refined-times.txt</v>
      </c>
      <c r="AI224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{"issue":{"subject":"","project_id":79,"tracker_id":40,"status_id":1,"priority_id":2,"assigned_to_id":23,"start_date":"1969-12-31","description":"","custom_fields":[{"id":1,"name":"Subdivision","value":"Other"},{"id":4,"name":"Milepost","value":"2.4224"},{"id":17,"name":"Train ID","value":"53-11"},{"id":16,"name":"Locomotive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584</v>
      </c>
      <c r="B225" s="7">
        <v>4008</v>
      </c>
      <c r="C225" s="22" t="s">
        <v>225</v>
      </c>
      <c r="D225" s="22" t="s">
        <v>721</v>
      </c>
      <c r="E225" s="13">
        <v>42685.730405092596</v>
      </c>
      <c r="F225" s="13">
        <v>42685.731666666667</v>
      </c>
      <c r="G225" s="7">
        <v>1</v>
      </c>
      <c r="H225" s="22" t="s">
        <v>722</v>
      </c>
      <c r="I225" s="13">
        <v>42685.737349537034</v>
      </c>
      <c r="J225" s="7">
        <v>0</v>
      </c>
      <c r="K225" s="109" t="str">
        <f t="shared" si="53"/>
        <v>4007/4008</v>
      </c>
      <c r="L225" s="22" t="str">
        <f>VLOOKUP(A225,'Trips&amp;Operators'!$C$1:$E$10000,3,FALSE)</f>
        <v>HOLCOMB</v>
      </c>
      <c r="M225" s="6">
        <f t="shared" si="54"/>
        <v>5.6828703673090786E-3</v>
      </c>
      <c r="N225" s="7">
        <f t="shared" si="55"/>
        <v>8.1833333289250731</v>
      </c>
      <c r="O225" s="7"/>
      <c r="P225" s="7"/>
      <c r="Q225" s="23"/>
      <c r="R225" s="23"/>
      <c r="S225" s="35">
        <f t="shared" si="56"/>
        <v>0</v>
      </c>
      <c r="T225" s="50" t="e">
        <f t="shared" si="57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16:31:47-700',mode:absolute,to:'2016-11-11 18:41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5" s="52" t="str">
        <f t="shared" si="59"/>
        <v>Y</v>
      </c>
      <c r="X225" s="177" t="e">
        <f t="shared" si="60"/>
        <v>#VALUE!</v>
      </c>
      <c r="Y225" s="67">
        <f t="shared" si="61"/>
        <v>2.1972999999999998</v>
      </c>
      <c r="Z225" s="67">
        <f t="shared" si="62"/>
        <v>1.4800000000000001E-2</v>
      </c>
      <c r="AA225" s="67">
        <f t="shared" si="63"/>
        <v>2.1824999999999997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64"/>
        <v>60-11</v>
      </c>
      <c r="AE225" s="91" t="str">
        <f t="shared" si="65"/>
        <v>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 &amp; aws s3 cp s3://rtdc.mdm.uploadarchive.raw/RTDC4008/ "%USERPROFILE%\AppData\Local\Temp\OnboardLogs"\RTDC4008\2016-11-12 --exclude "*" --recursive --include "*20161112*" &amp; "%USERPROFILE%\Documents\GitHub\mrs-test-scripts\Headless Mode &amp; Sideloading\WalkAndUnGZ.bat" "%USERPROFILE%\AppData\Local\Temp\OnboardLogs"\RTDC4008\2016-11-12</v>
      </c>
      <c r="AF225" s="88" t="str">
        <f t="shared" si="66"/>
        <v>"C:\Program Files (x86)\AstroGrep\AstroGrep.exe" /spath="%USERPROFILE%\AppData\Local\Temp\OnboardLogs" /stypes="app*4008*20161112*" /stext=" 00:.+((SYSTEM_STATE.+slice.+state.+changed )|(ment ac)|(system.+state.+changed )|(\[timeout)|(PRM\|1\|D)|(kpr)|(kdp)|(\|lc)|(penalty))" /e /r /s</v>
      </c>
      <c r="AG225" s="1" t="str">
        <f t="shared" si="67"/>
        <v>Other</v>
      </c>
      <c r="AH225" s="92" t="str">
        <f t="shared" si="68"/>
        <v>"%USERPROFILE%\Documents\GitHub\eaglep3\Utilities\RefineRTDCRunTimes.py" --tripid 60-11 --locoid 4008 --swversion DE.1.0.8.0 --startMP 300:21973 --initTime 2016-11-11T17:31:47 --startdatetime 2016-11-11T17:33:36 --delay 1 --endMP 204:148 --enddatetime 2016-11-11T17:41:47 --enforcementcount 0 &gt;&gt;C:\Users\stu\Documents\GitHub\eaglep3-reporting\EC\2016-11-11-refined-times.txt</v>
      </c>
      <c r="AI225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{"issue":{"subject":"","project_id":79,"tracker_id":40,"status_id":1,"priority_id":2,"assigned_to_id":23,"start_date":"2016-11-11","description":"","custom_fields":[{"id":1,"name":"Subdivision","value":"Other"},{"id":4,"name":"Milepost","value":"0.0148"},{"id":17,"name":"Train ID","value":"60-11"},{"id":16,"name":"Locomotive ID","value":"4008"},{"id":130,"name":"Impact","value":""},{"id":150,"name":"Time of Event (Mountain Time)","value":"17:41:47"},{"id":151,"name":"Denver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588</v>
      </c>
      <c r="B226" s="7">
        <v>4054</v>
      </c>
      <c r="C226" s="22" t="s">
        <v>225</v>
      </c>
      <c r="D226" s="22" t="s">
        <v>723</v>
      </c>
      <c r="E226" s="13">
        <v>42685.744849537034</v>
      </c>
      <c r="F226" s="13">
        <v>42685.745763888888</v>
      </c>
      <c r="G226" s="7">
        <v>0</v>
      </c>
      <c r="H226" s="22" t="s">
        <v>724</v>
      </c>
      <c r="I226" s="13">
        <v>42685.751238425924</v>
      </c>
      <c r="J226" s="7">
        <v>0</v>
      </c>
      <c r="K226" s="109" t="str">
        <f t="shared" si="53"/>
        <v>4053/4054</v>
      </c>
      <c r="L226" s="22" t="str">
        <f>VLOOKUP(A226,'Trips&amp;Operators'!$C$1:$E$10000,3,FALSE)</f>
        <v>STAMBAUGH</v>
      </c>
      <c r="M226" s="6">
        <f t="shared" si="54"/>
        <v>5.4745370362070389E-3</v>
      </c>
      <c r="N226" s="7">
        <f t="shared" si="55"/>
        <v>7.883333332138136</v>
      </c>
      <c r="O226" s="7"/>
      <c r="P226" s="7"/>
      <c r="Q226" s="23"/>
      <c r="R226" s="23"/>
      <c r="S226" s="35">
        <f t="shared" si="56"/>
        <v>0</v>
      </c>
      <c r="T226" s="50" t="e">
        <f t="shared" si="57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16:52:35-700',mode:absolute,to:'2016-11-11 19:01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6" s="52" t="str">
        <f t="shared" si="59"/>
        <v>Y</v>
      </c>
      <c r="X226" s="177" t="e">
        <f t="shared" si="60"/>
        <v>#VALUE!</v>
      </c>
      <c r="Y226" s="67">
        <f t="shared" si="61"/>
        <v>2.3502000000000001</v>
      </c>
      <c r="Z226" s="67">
        <f t="shared" si="62"/>
        <v>4.48E-2</v>
      </c>
      <c r="AA226" s="67">
        <f t="shared" si="63"/>
        <v>2.3054000000000001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64"/>
        <v>62-11</v>
      </c>
      <c r="AE226" s="91" t="str">
        <f t="shared" si="65"/>
        <v>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 &amp; 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</v>
      </c>
      <c r="AF226" s="88" t="str">
        <f t="shared" si="66"/>
        <v>"C:\Program Files (x86)\AstroGrep\AstroGrep.exe" /spath="%USERPROFILE%\AppData\Local\Temp\OnboardLogs" /stypes="app*4054*20161112*" /stext=" 01:.+((SYSTEM_STATE.+slice.+state.+changed )|(ment ac)|(system.+state.+changed )|(\[timeout)|(PRM\|1\|D)|(kpr)|(kdp)|(\|lc)|(penalty))" /e /r /s</v>
      </c>
      <c r="AG226" s="1" t="str">
        <f t="shared" si="67"/>
        <v>Other</v>
      </c>
      <c r="AH226" s="92" t="str">
        <f t="shared" si="68"/>
        <v>"%USERPROFILE%\Documents\GitHub\eaglep3\Utilities\RefineRTDCRunTimes.py" --tripid 62-11 --locoid 4054 --swversion DE.1.0.8.0 --startMP 300:23502 --initTime 2016-11-11T17:52:35 --startdatetime 2016-11-11T17:53:54 --delay 0 --endMP 204:448 --enddatetime 2016-11-11T18:01:47 --enforcementcount 0 &gt;&gt;C:\Users\stu\Documents\GitHub\eaglep3-reporting\EC\2016-11-11-refined-times.txt</v>
      </c>
      <c r="AI226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{"issue":{"subject":"","project_id":79,"tracker_id":40,"status_id":1,"priority_id":2,"assigned_to_id":23,"start_date":"2016-11-11","description":"","custom_fields":[{"id":1,"name":"Subdivision","value":"Other"},{"id":4,"name":"Milepost","value":"0.0448"},{"id":17,"name":"Train ID","value":"62-11"},{"id":16,"name":"Locomotive ID","value":"4054"},{"id":130,"name":"Impact","value":""},{"id":150,"name":"Time of Event (Mountain Time)","value":"18:01:47"},{"id":151,"name":"Denver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439</v>
      </c>
      <c r="B227" s="7">
        <v>4001</v>
      </c>
      <c r="C227" s="22" t="s">
        <v>225</v>
      </c>
      <c r="D227" s="22" t="s">
        <v>725</v>
      </c>
      <c r="E227" s="13">
        <v>42685.748171296298</v>
      </c>
      <c r="F227" s="13">
        <v>42685.7497337963</v>
      </c>
      <c r="G227" s="7">
        <v>1</v>
      </c>
      <c r="H227" s="22" t="s">
        <v>726</v>
      </c>
      <c r="I227" s="13">
        <v>42685.756631944445</v>
      </c>
      <c r="J227" s="7">
        <v>0</v>
      </c>
      <c r="K227" s="109" t="str">
        <f t="shared" si="53"/>
        <v>4001/4002</v>
      </c>
      <c r="L227" s="22" t="str">
        <f>VLOOKUP(A227,'Trips&amp;Operators'!$C$1:$E$10000,3,FALSE)</f>
        <v>WHITED</v>
      </c>
      <c r="M227" s="6">
        <f t="shared" si="54"/>
        <v>6.8981481454102322E-3</v>
      </c>
      <c r="N227" s="7">
        <f t="shared" si="55"/>
        <v>9.9333333293907344</v>
      </c>
      <c r="O227" s="7"/>
      <c r="P227" s="7"/>
      <c r="Q227" s="23"/>
      <c r="R227" s="23"/>
      <c r="S227" s="35">
        <f t="shared" si="56"/>
        <v>0</v>
      </c>
      <c r="T227" s="50" t="e">
        <f t="shared" si="57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16:57:22-700',mode:absolute,to:'2016-11-11 19:09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7" s="52" t="str">
        <f t="shared" si="59"/>
        <v>Y</v>
      </c>
      <c r="X227" s="177" t="e">
        <f t="shared" si="60"/>
        <v>#VALUE!</v>
      </c>
      <c r="Y227" s="67">
        <f t="shared" si="61"/>
        <v>2.2143999999999999</v>
      </c>
      <c r="Z227" s="67">
        <f t="shared" si="62"/>
        <v>8.7099999999999997E-2</v>
      </c>
      <c r="AA227" s="67">
        <f t="shared" si="63"/>
        <v>2.1273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 t="shared" si="64"/>
        <v>64-11</v>
      </c>
      <c r="AE227" s="91" t="str">
        <f t="shared" si="65"/>
        <v>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 &amp; aws s3 cp s3://rtdc.mdm.uploadarchive.raw/RTDC4001/ "%USERPROFILE%\AppData\Local\Temp\OnboardLogs"\RTDC4001\2016-11-12 --exclude "*" --recursive --include "*20161112*" &amp; "%USERPROFILE%\Documents\GitHub\mrs-test-scripts\Headless Mode &amp; Sideloading\WalkAndUnGZ.bat" "%USERPROFILE%\AppData\Local\Temp\OnboardLogs"\RTDC4001\2016-11-12</v>
      </c>
      <c r="AF227" s="88" t="str">
        <f t="shared" si="66"/>
        <v>"C:\Program Files (x86)\AstroGrep\AstroGrep.exe" /spath="%USERPROFILE%\AppData\Local\Temp\OnboardLogs" /stypes="app*4001*20161112*" /stext=" 01:.+((SYSTEM_STATE.+slice.+state.+changed )|(ment ac)|(system.+state.+changed )|(\[timeout)|(PRM\|1\|D)|(kpr)|(kdp)|(\|lc)|(penalty))" /e /r /s</v>
      </c>
      <c r="AG227" s="1" t="str">
        <f t="shared" si="67"/>
        <v>Other</v>
      </c>
      <c r="AH227" s="92" t="str">
        <f t="shared" si="68"/>
        <v>"%USERPROFILE%\Documents\GitHub\eaglep3\Utilities\RefineRTDCRunTimes.py" --tripid 64-11 --locoid 4001 --swversion DE.1.0.8.0 --startMP 300:22144 --initTime 2016-11-11T17:57:22 --startdatetime 2016-11-11T17:59:37 --delay 1 --endMP 204:871 --enddatetime 2016-11-11T18:09:33 --enforcementcount 0 &gt;&gt;C:\Users\stu\Documents\GitHub\eaglep3-reporting\EC\2016-11-11-refined-times.txt</v>
      </c>
      <c r="AI227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{"issue":{"subject":"","project_id":79,"tracker_id":40,"status_id":1,"priority_id":2,"assigned_to_id":23,"start_date":"2016-11-11","description":"","custom_fields":[{"id":1,"name":"Subdivision","value":"Other"},{"id":4,"name":"Milepost","value":"0.0871"},{"id":17,"name":"Train ID","value":"64-11"},{"id":16,"name":"Locomotive ID","value":"4001"},{"id":130,"name":"Impact","value":""},{"id":150,"name":"Time of Event (Mountain Time)","value":"18:09:33"},{"id":151,"name":"Denver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581</v>
      </c>
      <c r="B228" s="7">
        <v>4017</v>
      </c>
      <c r="C228" s="22" t="s">
        <v>225</v>
      </c>
      <c r="D228" s="22" t="s">
        <v>727</v>
      </c>
      <c r="E228" s="13">
        <v>42685.720497685186</v>
      </c>
      <c r="F228" s="13">
        <v>42685.722083333334</v>
      </c>
      <c r="G228" s="7">
        <v>1</v>
      </c>
      <c r="H228" s="22" t="s">
        <v>728</v>
      </c>
      <c r="I228" s="13">
        <v>42685.761250000003</v>
      </c>
      <c r="J228" s="7">
        <v>0</v>
      </c>
      <c r="K228" s="109" t="str">
        <f t="shared" si="53"/>
        <v>4017/4018</v>
      </c>
      <c r="L228" s="22" t="str">
        <f>VLOOKUP(A228,'Trips&amp;Operators'!$C$1:$E$10000,3,FALSE)</f>
        <v>SHOOK</v>
      </c>
      <c r="M228" s="6">
        <f t="shared" si="54"/>
        <v>3.9166666669188999E-2</v>
      </c>
      <c r="N228" s="7">
        <f t="shared" si="55"/>
        <v>56.400000003632158</v>
      </c>
      <c r="O228" s="7"/>
      <c r="P228" s="7"/>
      <c r="Q228" s="23"/>
      <c r="R228" s="23"/>
      <c r="S228" s="35">
        <f t="shared" si="56"/>
        <v>0</v>
      </c>
      <c r="T228" s="50" t="e">
        <f t="shared" si="57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16:17:31-700',mode:absolute,to:'2016-11-11 19:16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8" s="52" t="str">
        <f t="shared" si="59"/>
        <v>N</v>
      </c>
      <c r="X228" s="177" t="e">
        <f t="shared" si="60"/>
        <v>#VALUE!</v>
      </c>
      <c r="Y228" s="67">
        <f t="shared" si="61"/>
        <v>23.303999999999998</v>
      </c>
      <c r="Z228" s="67">
        <f t="shared" si="62"/>
        <v>0.1198</v>
      </c>
      <c r="AA228" s="67">
        <f t="shared" si="63"/>
        <v>23.184199999999997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 t="shared" si="64"/>
        <v>66-11</v>
      </c>
      <c r="AE228" s="91" t="str">
        <f t="shared" si="65"/>
        <v>aws s3 cp s3://rtdc.mdm.uploadarchive.raw/RTDC4017/ "%USERPROFILE%\AppData\Local\Temp\OnboardLogs"\RTDC4017\2016-11-11 --exclude "*" --recursive --include "*20161111*" &amp; "%USERPROFILE%\Documents\GitHub\mrs-test-scripts\Headless Mode &amp; Sideloading\WalkAndUnGZ.bat" "%USERPROFILE%\AppData\Local\Temp\OnboardLogs"\RTDC4017\2016-11-11 &amp; aws s3 cp s3://rtdc.mdm.uploadarchive.raw/RTDC4017/ "%USERPROFILE%\AppData\Local\Temp\OnboardLogs"\RTDC4017\2016-11-12 --exclude "*" --recursive --include "*20161112*" &amp; "%USERPROFILE%\Documents\GitHub\mrs-test-scripts\Headless Mode &amp; Sideloading\WalkAndUnGZ.bat" "%USERPROFILE%\AppData\Local\Temp\OnboardLogs"\RTDC4017\2016-11-12</v>
      </c>
      <c r="AF228" s="88" t="str">
        <f t="shared" si="66"/>
        <v>"C:\Program Files (x86)\AstroGrep\AstroGrep.exe" /spath="%USERPROFILE%\AppData\Local\Temp\OnboardLogs" /stypes="app*4017*20161112*" /stext=" 01:.+((SYSTEM_STATE.+slice.+state.+changed )|(ment ac)|(system.+state.+changed )|(\[timeout)|(PRM\|1\|D)|(kpr)|(kdp)|(\|lc)|(penalty))" /e /r /s</v>
      </c>
      <c r="AG228" s="1" t="str">
        <f t="shared" si="67"/>
        <v>Other</v>
      </c>
      <c r="AH228" s="92" t="str">
        <f t="shared" si="68"/>
        <v>"%USERPROFILE%\Documents\GitHub\eaglep3\Utilities\RefineRTDCRunTimes.py" --tripid 66-11 --locoid 4017 --swversion DE.1.0.8.0 --startMP 204:233040 --initTime 2016-11-11T17:17:31 --startdatetime 2016-11-11T17:19:48 --delay 1 --endMP 204:1198 --enddatetime 2016-11-11T18:16:12 --enforcementcount 0 &gt;&gt;C:\Users\stu\Documents\GitHub\eaglep3-reporting\EC\2016-11-11-refined-times.txt</v>
      </c>
      <c r="AI228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{"issue":{"subject":"","project_id":79,"tracker_id":40,"status_id":1,"priority_id":2,"assigned_to_id":23,"start_date":"2016-11-11","description":"","custom_fields":[{"id":1,"name":"Subdivision","value":"Other"},{"id":4,"name":"Milepost","value":"0.1198"},{"id":17,"name":"Train ID","value":"66-11"},{"id":16,"name":"Locomotive ID","value":"4017"},{"id":130,"name":"Impact","value":""},{"id":150,"name":"Time of Event (Mountain Time)","value":"18:16:12"},{"id":151,"name":"Denver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594</v>
      </c>
      <c r="B229" s="7">
        <v>4018</v>
      </c>
      <c r="C229" s="22" t="s">
        <v>225</v>
      </c>
      <c r="D229" s="22" t="s">
        <v>729</v>
      </c>
      <c r="E229" s="13">
        <v>42685.765590277777</v>
      </c>
      <c r="F229" s="13">
        <v>42685.772731481484</v>
      </c>
      <c r="G229" s="7">
        <v>1</v>
      </c>
      <c r="H229" s="22" t="s">
        <v>392</v>
      </c>
      <c r="I229" s="13">
        <v>42685.778935185182</v>
      </c>
      <c r="J229" s="7">
        <v>0</v>
      </c>
      <c r="K229" s="109" t="str">
        <f t="shared" si="53"/>
        <v>4017/4018</v>
      </c>
      <c r="L229" s="22" t="str">
        <f>VLOOKUP(A229,'Trips&amp;Operators'!$C$1:$E$10000,3,FALSE)</f>
        <v>SHOOK</v>
      </c>
      <c r="M229" s="6">
        <f t="shared" si="54"/>
        <v>6.2037036987021565E-3</v>
      </c>
      <c r="N229" s="7">
        <f t="shared" si="55"/>
        <v>8.9333333261311054</v>
      </c>
      <c r="O229" s="7"/>
      <c r="P229" s="7"/>
      <c r="Q229" s="23"/>
      <c r="R229" s="23"/>
      <c r="S229" s="35">
        <f t="shared" si="56"/>
        <v>0</v>
      </c>
      <c r="T229" s="50" t="e">
        <f t="shared" si="57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17:22:27-700',mode:absolute,to:'2016-11-11 19:41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9" s="52" t="str">
        <f t="shared" si="59"/>
        <v>Y</v>
      </c>
      <c r="X229" s="177" t="e">
        <f t="shared" si="60"/>
        <v>#VALUE!</v>
      </c>
      <c r="Y229" s="67">
        <f t="shared" si="61"/>
        <v>0.14749999999999999</v>
      </c>
      <c r="Z229" s="67">
        <f t="shared" si="62"/>
        <v>2.331</v>
      </c>
      <c r="AA229" s="67">
        <f t="shared" si="63"/>
        <v>2.1835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 t="shared" si="64"/>
        <v>67-11</v>
      </c>
      <c r="AE229" s="91" t="str">
        <f t="shared" si="65"/>
        <v>aws s3 cp s3://rtdc.mdm.uploadarchive.raw/RTDC4018/ "%USERPROFILE%\AppData\Local\Temp\OnboardLogs"\RTDC4018\2016-11-11 --exclude "*" --recursive --include "*20161111*" &amp; "%USERPROFILE%\Documents\GitHub\mrs-test-scripts\Headless Mode &amp; Sideloading\WalkAndUnGZ.bat" "%USERPROFILE%\AppData\Local\Temp\OnboardLogs"\RTDC4018\2016-11-11 &amp; aws s3 cp s3://rtdc.mdm.uploadarchive.raw/RTDC4018/ "%USERPROFILE%\AppData\Local\Temp\OnboardLogs"\RTDC4018\2016-11-12 --exclude "*" --recursive --include "*20161112*" &amp; "%USERPROFILE%\Documents\GitHub\mrs-test-scripts\Headless Mode &amp; Sideloading\WalkAndUnGZ.bat" "%USERPROFILE%\AppData\Local\Temp\OnboardLogs"\RTDC4018\2016-11-12</v>
      </c>
      <c r="AF229" s="88" t="str">
        <f t="shared" si="66"/>
        <v>"C:\Program Files (x86)\AstroGrep\AstroGrep.exe" /spath="%USERPROFILE%\AppData\Local\Temp\OnboardLogs" /stypes="app*4018*20161112*" /stext=" 01:.+((SYSTEM_STATE.+slice.+state.+changed )|(ment ac)|(system.+state.+changed )|(\[timeout)|(PRM\|1\|D)|(kpr)|(kdp)|(\|lc)|(penalty))" /e /r /s</v>
      </c>
      <c r="AG229" s="1" t="str">
        <f t="shared" si="67"/>
        <v>Other</v>
      </c>
      <c r="AH229" s="92" t="str">
        <f t="shared" si="68"/>
        <v>"%USERPROFILE%\Documents\GitHub\eaglep3\Utilities\RefineRTDCRunTimes.py" --tripid 67-11 --locoid 4018 --swversion DE.1.0.8.0 --startMP 204:1475 --initTime 2016-11-11T18:22:27 --startdatetime 2016-11-11T18:32:44 --delay 1 --endMP 300:23310 --enddatetime 2016-11-11T18:41:40 --enforcementcount 0 &gt;&gt;C:\Users\stu\Documents\GitHub\eaglep3-reporting\EC\2016-11-11-refined-times.txt</v>
      </c>
      <c r="AI229" s="119" t="str">
        <f t="shared" si="69"/>
        <v>echo {"issue":{"subject":"","project_id":79,"tracker_id":40,"status_id":1,"priority_id":2,"assigned_to_id":23,"start_date":"2016-11-11","description":"","custom_fields":[{"id":1,"name":"Subdivision","value":"Other"},{"id":4,"name":"Milepost","value":"2.331"},{"id":17,"name":"Train ID","value":"67-11"},{"id":16,"name":"Locomotive ID","value":"4018"},{"id":130,"name":"Impact","value":""},{"id":150,"name":"Time of Event (Mountain Time)","value":"18:41:40"},{"id":151,"name":"Denver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609</v>
      </c>
      <c r="B230" s="7">
        <v>4053</v>
      </c>
      <c r="C230" s="22" t="s">
        <v>225</v>
      </c>
      <c r="D230" s="22" t="s">
        <v>368</v>
      </c>
      <c r="E230" s="13">
        <v>42685.821701388886</v>
      </c>
      <c r="F230" s="13">
        <v>25568.708333333332</v>
      </c>
      <c r="G230" s="7">
        <v>1</v>
      </c>
      <c r="H230" s="22" t="s">
        <v>392</v>
      </c>
      <c r="I230" s="13">
        <v>25568.708333333332</v>
      </c>
      <c r="J230" s="7">
        <v>0</v>
      </c>
      <c r="K230" s="109" t="str">
        <f t="shared" si="53"/>
        <v>4053/4054</v>
      </c>
      <c r="L230" s="22" t="str">
        <f>VLOOKUP(A230,'Trips&amp;Operators'!$C$1:$E$10000,3,FALSE)</f>
        <v>ROMERO</v>
      </c>
      <c r="M230" s="6">
        <f t="shared" si="54"/>
        <v>0</v>
      </c>
      <c r="N230" s="7">
        <f t="shared" si="55"/>
        <v>0</v>
      </c>
      <c r="O230" s="7"/>
      <c r="P230" s="7"/>
      <c r="Q230" s="23"/>
      <c r="R230" s="23"/>
      <c r="S230" s="35">
        <f t="shared" si="56"/>
        <v>0</v>
      </c>
      <c r="T230" s="50" t="e">
        <f t="shared" si="57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https://search-rtdc-monitor-bjffxe2xuh6vdkpspy63sjmuny.us-east-1.es.amazonaws.com/_plugin/kibana/#/discover/Steve-Slow-Train-Analysis-(2080s-and-2083s)?_g=(refreshInterval:(display:Off,section:0,value:0),time:(from:'2016-11-11 18:43:15-700',mode:absolute,to:'1969-12-31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30" s="52" t="str">
        <f t="shared" si="59"/>
        <v>Y</v>
      </c>
      <c r="X230" s="177" t="e">
        <f t="shared" si="60"/>
        <v>#VALUE!</v>
      </c>
      <c r="Y230" s="67">
        <f t="shared" si="61"/>
        <v>7.5200000000000003E-2</v>
      </c>
      <c r="Z230" s="67">
        <f t="shared" si="62"/>
        <v>2.331</v>
      </c>
      <c r="AA230" s="67">
        <f t="shared" si="63"/>
        <v>2.2557999999999998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 t="shared" si="64"/>
        <v>69-11</v>
      </c>
      <c r="AE230" s="91" t="str">
        <f t="shared" si="65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30" s="88" t="str">
        <f t="shared" si="66"/>
        <v>"C:\Program Files (x86)\AstroGrep\AstroGrep.exe" /spath="%USERPROFILE%\AppData\Local\Temp\OnboardLogs" /stypes="app*4053*19700101*" /stext=" 00:.+((SYSTEM_STATE.+slice.+state.+changed )|(ment ac)|(system.+state.+changed )|(\[timeout)|(PRM\|1\|D)|(kpr)|(kdp)|(\|lc)|(penalty))" /e /r /s</v>
      </c>
      <c r="AG230" s="1" t="str">
        <f t="shared" si="67"/>
        <v>Other</v>
      </c>
      <c r="AH230" s="92" t="str">
        <f t="shared" si="68"/>
        <v>"%USERPROFILE%\Documents\GitHub\eaglep3\Utilities\RefineRTDCRunTimes.py" --tripid 69-11 --locoid 4053 --swversion DE.1.0.8.0 --startMP 204:752 --initTime 2016-11-11T19:43:15 --startdatetime 1969-12-31T17:00:00 --delay 1 --endMP 300:23310 --enddatetime 1969-12-31T17:00:00 --enforcementcount 0 &gt;&gt;C:\Users\stu\Documents\GitHub\eaglep3-reporting\EC\2016-11-11-refined-times.txt</v>
      </c>
      <c r="AI230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ID","value":"69-11"},{"id":16,"name":"Locomotive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</sheetData>
  <autoFilter ref="A12:AG255">
    <sortState ref="A13:AG260">
      <sortCondition ref="AG13:AG235"/>
      <sortCondition ref="AD13:AD235"/>
    </sortState>
  </autoFilter>
  <sortState ref="A13:AH200">
    <sortCondition ref="AG13:AG200"/>
    <sortCondition ref="AD13:AD200"/>
  </sortState>
  <mergeCells count="1">
    <mergeCell ref="A11:P11"/>
  </mergeCells>
  <conditionalFormatting sqref="W11:W12 W256:X1048576 W13:X230">
    <cfRule type="cellIs" dxfId="9" priority="344" operator="equal">
      <formula>"Y"</formula>
    </cfRule>
  </conditionalFormatting>
  <conditionalFormatting sqref="X256:X1048576 X13:X230">
    <cfRule type="cellIs" dxfId="8" priority="327" operator="greaterThan">
      <formula>1</formula>
    </cfRule>
  </conditionalFormatting>
  <conditionalFormatting sqref="X256:X1048576 X12:X230">
    <cfRule type="cellIs" dxfId="7" priority="324" operator="equal">
      <formula>0</formula>
    </cfRule>
  </conditionalFormatting>
  <conditionalFormatting sqref="A13:S230">
    <cfRule type="expression" dxfId="6" priority="318" stopIfTrue="1">
      <formula>$P13&gt;0</formula>
    </cfRule>
    <cfRule type="expression" dxfId="5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AK13:AK230</xm:sqref>
        </x14:dataValidation>
        <x14:dataValidation type="list" allowBlank="1" showInputMessage="1" showErrorMessage="1">
          <x14:formula1>
            <xm:f>'Redmine List Values'!$C$2:$C$15</xm:f>
          </x14:formula1>
          <xm:sqref>AL13:AL230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" workbookViewId="0">
      <selection activeCell="P17" sqref="P1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29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29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COUNTIF($O$7:$O$335,"=Y")</f>
        <v>2</v>
      </c>
      <c r="P2" s="133"/>
      <c r="R2" s="89"/>
      <c r="S2" s="101"/>
      <c r="T2" s="86"/>
      <c r="V2" s="48"/>
      <c r="AC2" s="139"/>
    </row>
    <row r="3" spans="1:29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COUNTA($O$7:$O$335)-O2</f>
        <v>38</v>
      </c>
      <c r="P3" s="133"/>
      <c r="R3" s="89"/>
      <c r="S3" s="101"/>
      <c r="T3" s="86"/>
      <c r="V3" s="48"/>
      <c r="AC3" s="139"/>
    </row>
    <row r="4" spans="1:29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29" s="10" customFormat="1" ht="15" customHeight="1" x14ac:dyDescent="0.25">
      <c r="A5" s="185" t="str">
        <f>"Eagle P3 Braking Events - "&amp;TEXT(Variables!$A$2,"YYYY-mm-dd")</f>
        <v>Eagle P3 Braking Events - 2016-11-11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29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180</v>
      </c>
    </row>
    <row r="7" spans="1:29" s="1" customFormat="1" x14ac:dyDescent="0.25">
      <c r="A7" s="36">
        <v>42685.274930555555</v>
      </c>
      <c r="B7" s="31" t="s">
        <v>226</v>
      </c>
      <c r="C7" s="31" t="s">
        <v>414</v>
      </c>
      <c r="D7" s="31" t="s">
        <v>98</v>
      </c>
      <c r="E7" s="31" t="s">
        <v>415</v>
      </c>
      <c r="F7" s="47">
        <v>790</v>
      </c>
      <c r="G7" s="47">
        <v>840</v>
      </c>
      <c r="H7" s="47">
        <v>211185</v>
      </c>
      <c r="I7" s="47">
        <v>215950</v>
      </c>
      <c r="J7" s="31" t="s">
        <v>208</v>
      </c>
      <c r="K7" s="47">
        <v>156300</v>
      </c>
      <c r="L7" s="154" t="s">
        <v>50</v>
      </c>
      <c r="M7" s="155">
        <f t="shared" ref="M7:M46" si="0">CONVERT((I7-K7)/10000,"mi","ft")*IF(L7="Increasing Mileposts (1)",-1,1)</f>
        <v>-31495.200000000001</v>
      </c>
      <c r="N7" s="156" t="str">
        <f>VLOOKUP(C7,'Trips&amp;Operators'!$C$1:$E$99999,3,FALSE)</f>
        <v>MALAVE</v>
      </c>
      <c r="O7" s="183" t="s">
        <v>206</v>
      </c>
      <c r="P7" s="157" t="s">
        <v>792</v>
      </c>
      <c r="Q7" s="31"/>
      <c r="R7" s="100" t="str">
        <f>VLOOKUP(C7,'Train Runs'!$A$13:$AE$9999,31,0)</f>
        <v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v>
      </c>
      <c r="S7" s="103" t="str">
        <f>VLOOKUP(C7,'Train Runs'!$A$13:$AE$9999,22,0)</f>
        <v>https://search-rtdc-monitor-bjffxe2xuh6vdkpspy63sjmuny.us-east-1.es.amazonaws.com/_plugin/kibana/#/discover/Steve-Slow-Train-Analysis-(2080s-and-2083s)?_g=(refreshInterval:(display:Off,section:0,value:0),time:(from:'2016-11-11 05:01:49-700',mode:absolute,to:'2016-11-11 07:40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7" s="105" t="str">
        <f t="shared" ref="T7:T46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/stypes="*4040*201611111*" /stext=" 13:.+((SYSTEM_STATE.+slice.+state.+changed )|(ment ac)|(system.+state.+changed )|(\[timeout)|(PRM\|1\|D)|(kpr)|(kdp)|(\|lc)|(penalty))" /e /r /s</v>
      </c>
      <c r="U7" s="9" t="str">
        <f t="shared" ref="U7:U46" si="2">MID(B7,13,4)</f>
        <v>4040</v>
      </c>
      <c r="V7" s="36">
        <f t="shared" ref="V7:V46" si="3">A7-utc_offset/24</f>
        <v>42685.56659722222</v>
      </c>
      <c r="W7" s="50" t="str">
        <f t="shared" ref="W7:W46" si="4">IF(VALUE(LEFT(IF(LEN(C7)=6,"0"&amp;C7,C7),2))&lt;=2,"EC",IF(OR(VALUE(LEFT(IF(LEN(C7)=6,"0"&amp;C7,C7),2))=8,VALUE(LEFT(IF(LEN(C7)=6,"0"&amp;C7,C7),2))=18),"NW","Other"))</f>
        <v>EC</v>
      </c>
      <c r="X7" s="50" t="str">
        <f t="shared" ref="X7:X46" si="5">IF(AND(E7="TRACK WARRANT AUTHORITY",G7&lt;10),"OMIT","KEEP")</f>
        <v>KEEP</v>
      </c>
      <c r="Y7" s="119" t="str">
        <f t="shared" ref="Y7:Y4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-11-11","description":"","custom_fields":[{"id":1,"name":"Subdivision","value":"EC"},{"id":4,"name":"Milepost","value":"15.63"},{"id":17,"name":"Train ID","value":"119-11"},{"id":16,"name":"Locomotive ID","value":"4040"},{"id":130,"name":"Impact","value":""},{"id":150,"name":"Time of Event (Mountain Time)","value":"06:35:54"},{"id":151,"name":"Denver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6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"%USERPROFILE%\AppData\Local\Temp\OnboardLogs"\RTDC4040\*4040*201611111* | grep -SE "((Enforcement Ac)|(PRM))" -</v>
      </c>
    </row>
    <row r="8" spans="1:29" s="1" customFormat="1" x14ac:dyDescent="0.25">
      <c r="A8" s="36">
        <v>42685.242372685185</v>
      </c>
      <c r="B8" s="31" t="s">
        <v>218</v>
      </c>
      <c r="C8" s="31" t="s">
        <v>410</v>
      </c>
      <c r="D8" s="31" t="s">
        <v>98</v>
      </c>
      <c r="E8" s="31" t="s">
        <v>154</v>
      </c>
      <c r="F8" s="47">
        <v>0</v>
      </c>
      <c r="G8" s="47">
        <v>182</v>
      </c>
      <c r="H8" s="47">
        <v>27324</v>
      </c>
      <c r="I8" s="47">
        <v>27132</v>
      </c>
      <c r="J8" s="31" t="s">
        <v>153</v>
      </c>
      <c r="K8" s="47">
        <v>27350</v>
      </c>
      <c r="L8" s="154" t="s">
        <v>51</v>
      </c>
      <c r="M8" s="155">
        <f t="shared" si="0"/>
        <v>-115.104</v>
      </c>
      <c r="N8" s="156" t="str">
        <f>VLOOKUP(C8,'Trips&amp;Operators'!$C$1:$E$99999,3,FALSE)</f>
        <v>MALAVE</v>
      </c>
      <c r="O8" s="183" t="s">
        <v>206</v>
      </c>
      <c r="P8" s="157" t="s">
        <v>789</v>
      </c>
      <c r="Q8" s="31"/>
      <c r="R8" s="100" t="str">
        <f>VLOOKUP(C8,'Train Runs'!$A$13:$AE$9999,31,0)</f>
        <v>aws s3 cp s3://rtdc.mdm.uploadarchive.raw/RTDC4030/ "%USERPROFILE%\AppData\Local\Temp\OnboardLogs"\RTDC4030\2016-11-11 --exclude "*" --recursive --include "*20161111*" &amp; "%USERPROFILE%\Documents\GitHub\mrs-test-scripts\Headless Mode &amp; Sideloading\WalkAndUnGZ.bat" "%USERPROFILE%\AppData\Local\Temp\OnboardLogs"\RTDC4030\2016-11-11 &amp; 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</v>
      </c>
      <c r="S8" s="103" t="str">
        <f>VLOOKUP(C8,'Train Runs'!$A$13:$AE$9999,22,0)</f>
        <v>https://search-rtdc-monitor-bjffxe2xuh6vdkpspy63sjmuny.us-east-1.es.amazonaws.com/_plugin/kibana/#/discover/Steve-Slow-Train-Analysis-(2080s-and-2083s)?_g=(refreshInterval:(display:Off,section:0,value:0),time:(from:'2016-11-11 04:25:28-700',mode:absolute,to:'2016-11-11 06:56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8" s="105" t="str">
        <f t="shared" si="1"/>
        <v>"C:\Program Files (x86)\AstroGrep\AstroGrep.exe" /spath="%USERPROFILE%\AppData\Local\Temp\OnboardLogs" /stypes="*4030*201611111*" /stext=" 12:.+((SYSTEM_STATE.+slice.+state.+changed )|(ment ac)|(system.+state.+changed )|(\[timeout)|(PRM\|1\|D)|(kpr)|(kdp)|(\|lc)|(penalty))" /e /r /s</v>
      </c>
      <c r="U8" s="9" t="str">
        <f t="shared" si="2"/>
        <v>4030</v>
      </c>
      <c r="V8" s="36">
        <f t="shared" si="3"/>
        <v>42685.534039351849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arrival","project_id":79,"tracker_id":40,"status_id":1,"priority_id":2,"assigned_to_id":23,"start_date":"2016-11-11","description":"","custom_fields":[{"id":1,"name":"Subdivision","value":"EC"},{"id":4,"name":"Milepost","value":"2.735"},{"id":17,"name":"Train ID","value":"106-11"},{"id":16,"name":"Locomotive ID","value":"4030"},{"id":130,"name":"Impact","value":""},{"id":150,"name":"Time of Event (Mountain Time)","value":"05:49:01"},{"id":151,"name":"Denver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"%USERPROFILE%\AppData\Local\Temp\OnboardLogs"\RTDC4030\*4030*201611111* | grep -SE "((Enforcement Ac)|(PRM))" -</v>
      </c>
    </row>
    <row r="9" spans="1:29" s="1" customFormat="1" x14ac:dyDescent="0.25">
      <c r="A9" s="36">
        <v>42685.240370370368</v>
      </c>
      <c r="B9" s="31" t="s">
        <v>218</v>
      </c>
      <c r="C9" s="31" t="s">
        <v>410</v>
      </c>
      <c r="D9" s="31" t="s">
        <v>49</v>
      </c>
      <c r="E9" s="31" t="s">
        <v>154</v>
      </c>
      <c r="F9" s="47">
        <v>290</v>
      </c>
      <c r="G9" s="47">
        <v>361</v>
      </c>
      <c r="H9" s="47">
        <v>35553</v>
      </c>
      <c r="I9" s="47">
        <v>34562</v>
      </c>
      <c r="J9" s="31" t="s">
        <v>153</v>
      </c>
      <c r="K9" s="47">
        <v>33257</v>
      </c>
      <c r="L9" s="154" t="s">
        <v>51</v>
      </c>
      <c r="M9" s="155">
        <f t="shared" si="0"/>
        <v>689.04</v>
      </c>
      <c r="N9" s="156" t="str">
        <f>VLOOKUP(C9,'Trips&amp;Operators'!$C$1:$E$99999,3,FALSE)</f>
        <v>MALAVE</v>
      </c>
      <c r="O9" s="183" t="s">
        <v>206</v>
      </c>
      <c r="P9" s="157" t="s">
        <v>789</v>
      </c>
      <c r="Q9" s="31"/>
      <c r="R9" s="100" t="str">
        <f>VLOOKUP(C9,'Train Runs'!$A$13:$AE$9999,31,0)</f>
        <v>aws s3 cp s3://rtdc.mdm.uploadarchive.raw/RTDC4030/ "%USERPROFILE%\AppData\Local\Temp\OnboardLogs"\RTDC4030\2016-11-11 --exclude "*" --recursive --include "*20161111*" &amp; "%USERPROFILE%\Documents\GitHub\mrs-test-scripts\Headless Mode &amp; Sideloading\WalkAndUnGZ.bat" "%USERPROFILE%\AppData\Local\Temp\OnboardLogs"\RTDC4030\2016-11-11 &amp; 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</v>
      </c>
      <c r="S9" s="103" t="str">
        <f>VLOOKUP(C9,'Train Runs'!$A$13:$AE$9999,22,0)</f>
        <v>https://search-rtdc-monitor-bjffxe2xuh6vdkpspy63sjmuny.us-east-1.es.amazonaws.com/_plugin/kibana/#/discover/Steve-Slow-Train-Analysis-(2080s-and-2083s)?_g=(refreshInterval:(display:Off,section:0,value:0),time:(from:'2016-11-11 04:25:28-700',mode:absolute,to:'2016-11-11 06:56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9" s="105" t="str">
        <f t="shared" si="1"/>
        <v>"C:\Program Files (x86)\AstroGrep\AstroGrep.exe" /spath="%USERPROFILE%\AppData\Local\Temp\OnboardLogs" /stypes="*4030*201611111*" /stext=" 12:.+((SYSTEM_STATE.+slice.+state.+changed )|(ment ac)|(system.+state.+changed )|(\[timeout)|(PRM\|1\|D)|(kpr)|(kdp)|(\|lc)|(penalty))" /e /r /s</v>
      </c>
      <c r="U9" s="9" t="str">
        <f t="shared" si="2"/>
        <v>4030</v>
      </c>
      <c r="V9" s="36">
        <f t="shared" si="3"/>
        <v>42685.532037037032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arrival","project_id":79,"tracker_id":40,"status_id":1,"priority_id":2,"assigned_to_id":23,"start_date":"2016-11-11","description":"","custom_fields":[{"id":1,"name":"Subdivision","value":"EC"},{"id":4,"name":"Milepost","value":"3.3257"},{"id":17,"name":"Train ID","value":"106-11"},{"id":16,"name":"Locomotive ID","value":"4030"},{"id":130,"name":"Impact","value":""},{"id":150,"name":"Time of Event (Mountain Time)","value":"05:46:08"},{"id":151,"name":"Denver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"%USERPROFILE%\AppData\Local\Temp\OnboardLogs"\RTDC4030\*4030*201611111* | grep -SE "((Enforcement Ac)|(PRM))" -</v>
      </c>
    </row>
    <row r="10" spans="1:29" s="1" customFormat="1" x14ac:dyDescent="0.25">
      <c r="A10" s="36">
        <v>42685.414270833331</v>
      </c>
      <c r="B10" s="31" t="s">
        <v>187</v>
      </c>
      <c r="C10" s="31" t="s">
        <v>430</v>
      </c>
      <c r="D10" s="31" t="s">
        <v>49</v>
      </c>
      <c r="E10" s="31" t="s">
        <v>154</v>
      </c>
      <c r="F10" s="47">
        <v>0</v>
      </c>
      <c r="G10" s="47">
        <v>532</v>
      </c>
      <c r="H10" s="47">
        <v>42128</v>
      </c>
      <c r="I10" s="47">
        <v>43834</v>
      </c>
      <c r="J10" s="31" t="s">
        <v>153</v>
      </c>
      <c r="K10" s="47">
        <v>42779</v>
      </c>
      <c r="L10" s="154" t="s">
        <v>50</v>
      </c>
      <c r="M10" s="155">
        <f t="shared" si="0"/>
        <v>-557.04</v>
      </c>
      <c r="N10" s="156" t="str">
        <f>VLOOKUP(C10,'Trips&amp;Operators'!$C$1:$E$99999,3,FALSE)</f>
        <v>RICHARDSON</v>
      </c>
      <c r="O10" s="183" t="s">
        <v>206</v>
      </c>
      <c r="P10" s="157" t="s">
        <v>789</v>
      </c>
      <c r="Q10" s="31"/>
      <c r="R10" s="100" t="str">
        <f>VLOOKUP(C10,'Train Runs'!$A$13:$AE$9999,31,0)</f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S10" s="103" t="str">
        <f>VLOOKUP(C10,'Train Runs'!$A$13:$AE$9999,22,0)</f>
        <v>https://search-rtdc-monitor-bjffxe2xuh6vdkpspy63sjmuny.us-east-1.es.amazonaws.com/_plugin/kibana/#/discover/Steve-Slow-Train-Analysis-(2080s-and-2083s)?_g=(refreshInterval:(display:Off,section:0,value:0),time:(from:'2016-11-11 08:39:13-700',mode:absolute,to:'2016-11-11 11:22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0" s="105" t="str">
        <f t="shared" si="1"/>
        <v>"C:\Program Files (x86)\AstroGrep\AstroGrep.exe" /spath="%USERPROFILE%\AppData\Local\Temp\OnboardLogs" /stypes="*4009*201611111*" /stext=" 16:.+((SYSTEM_STATE.+slice.+state.+changed )|(ment ac)|(system.+state.+changed )|(\[timeout)|(PRM\|1\|D)|(kpr)|(kdp)|(\|lc)|(penalty))" /e /r /s</v>
      </c>
      <c r="U10" s="9" t="str">
        <f t="shared" si="2"/>
        <v>4009</v>
      </c>
      <c r="V10" s="36">
        <f t="shared" si="3"/>
        <v>42685.705937499995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arrival","project_id":79,"tracker_id":40,"status_id":1,"priority_id":2,"assigned_to_id":23,"start_date":"2016-11-11","description":"","custom_fields":[{"id":1,"name":"Subdivision","value":"EC"},{"id":4,"name":"Milepost","value":"4.2779"},{"id":17,"name":"Train ID","value":"149-11"},{"id":16,"name":"Locomotive ID","value":"4009"},{"id":130,"name":"Impact","value":""},{"id":150,"name":"Time of Event (Mountain Time)","value":"09:56:33"},{"id":151,"name":"Denver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"%USERPROFILE%\AppData\Local\Temp\OnboardLogs"\RTDC4009\*4009*201611111* | grep -SE "((Enforcement Ac)|(PRM))" -</v>
      </c>
    </row>
    <row r="11" spans="1:29" s="1" customFormat="1" x14ac:dyDescent="0.25">
      <c r="A11" s="36">
        <v>42685.389849537038</v>
      </c>
      <c r="B11" s="31" t="s">
        <v>296</v>
      </c>
      <c r="C11" s="31" t="s">
        <v>426</v>
      </c>
      <c r="D11" s="31" t="s">
        <v>49</v>
      </c>
      <c r="E11" s="31" t="s">
        <v>154</v>
      </c>
      <c r="F11" s="47">
        <v>270</v>
      </c>
      <c r="G11" s="47">
        <v>378</v>
      </c>
      <c r="H11" s="47">
        <v>59521</v>
      </c>
      <c r="I11" s="47">
        <v>58515</v>
      </c>
      <c r="J11" s="31" t="s">
        <v>153</v>
      </c>
      <c r="K11" s="47">
        <v>58904</v>
      </c>
      <c r="L11" s="154" t="s">
        <v>51</v>
      </c>
      <c r="M11" s="155">
        <f t="shared" si="0"/>
        <v>-205.392</v>
      </c>
      <c r="N11" s="156" t="str">
        <f>VLOOKUP(C11,'Trips&amp;Operators'!$C$1:$E$99999,3,FALSE)</f>
        <v>RICHARDSON</v>
      </c>
      <c r="O11" s="183" t="s">
        <v>206</v>
      </c>
      <c r="P11" s="157" t="s">
        <v>789</v>
      </c>
      <c r="Q11" s="31"/>
      <c r="R11" s="100" t="str">
        <f>VLOOKUP(C11,'Train Runs'!$A$13:$AE$9999,31,0)</f>
        <v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v>
      </c>
      <c r="S11" s="103" t="str">
        <f>VLOOKUP(C11,'Train Runs'!$A$13:$AE$9999,22,0)</f>
        <v>https://search-rtdc-monitor-bjffxe2xuh6vdkpspy63sjmuny.us-east-1.es.amazonaws.com/_plugin/kibana/#/discover/Steve-Slow-Train-Analysis-(2080s-and-2083s)?_g=(refreshInterval:(display:Off,section:0,value:0),time:(from:'2016-11-11 07:53:13-700',mode:absolute,to:'2016-11-11 10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1" s="105" t="str">
        <f t="shared" si="1"/>
        <v>"C:\Program Files (x86)\AstroGrep\AstroGrep.exe" /spath="%USERPROFILE%\AppData\Local\Temp\OnboardLogs" /stypes="*4010*201611111*" /stext=" 16:.+((SYSTEM_STATE.+slice.+state.+changed )|(ment ac)|(system.+state.+changed )|(\[timeout)|(PRM\|1\|D)|(kpr)|(kdp)|(\|lc)|(penalty))" /e /r /s</v>
      </c>
      <c r="U11" s="9" t="str">
        <f t="shared" si="2"/>
        <v>4010</v>
      </c>
      <c r="V11" s="36">
        <f t="shared" si="3"/>
        <v>42685.681516203702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{"issue":{"subject":"Early arrival","project_id":79,"tracker_id":40,"status_id":1,"priority_id":2,"assigned_to_id":23,"start_date":"2016-11-11","description":"","custom_fields":[{"id":1,"name":"Subdivision","value":"EC"},{"id":4,"name":"Milepost","value":"5.8904"},{"id":17,"name":"Train ID","value":"136-11"},{"id":16,"name":"Locomotive ID","value":"4010"},{"id":130,"name":"Impact","value":""},{"id":150,"name":"Time of Event (Mountain Time)","value":"09:21:23"},{"id":151,"name":"Denver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"%USERPROFILE%\AppData\Local\Temp\OnboardLogs"\RTDC4010\*4010*201611111* | grep -SE "((Enforcement Ac)|(PRM))" -</v>
      </c>
    </row>
    <row r="12" spans="1:29" s="1" customFormat="1" x14ac:dyDescent="0.25">
      <c r="A12" s="36">
        <v>42685.346932870372</v>
      </c>
      <c r="B12" s="31" t="s">
        <v>420</v>
      </c>
      <c r="C12" s="31" t="s">
        <v>421</v>
      </c>
      <c r="D12" s="31" t="s">
        <v>49</v>
      </c>
      <c r="E12" s="31" t="s">
        <v>154</v>
      </c>
      <c r="F12" s="47">
        <v>170</v>
      </c>
      <c r="G12" s="47">
        <v>227</v>
      </c>
      <c r="H12" s="47">
        <v>63735</v>
      </c>
      <c r="I12" s="47">
        <v>63363</v>
      </c>
      <c r="J12" s="31" t="s">
        <v>153</v>
      </c>
      <c r="K12" s="47">
        <v>63309</v>
      </c>
      <c r="L12" s="154" t="s">
        <v>51</v>
      </c>
      <c r="M12" s="155">
        <f t="shared" si="0"/>
        <v>28.512</v>
      </c>
      <c r="N12" s="156" t="str">
        <f>VLOOKUP(C12,'Trips&amp;Operators'!$C$1:$E$99999,3,FALSE)</f>
        <v>SANTIZO</v>
      </c>
      <c r="O12" s="183" t="s">
        <v>206</v>
      </c>
      <c r="P12" s="157" t="s">
        <v>789</v>
      </c>
      <c r="Q12" s="31"/>
      <c r="R12" s="100" t="str">
        <f>VLOOKUP(C12,'Train Runs'!$A$13:$AE$9999,31,0)</f>
        <v>aws s3 cp s3://rtdc.mdm.uploadarchive.raw/RTDC4017/ "%USERPROFILE%\AppData\Local\Temp\OnboardLogs"\RTDC4017\2016-11-11 --exclude "*" --recursive --include "*20161111*" &amp; "%USERPROFILE%\Documents\GitHub\mrs-test-scripts\Headless Mode &amp; Sideloading\WalkAndUnGZ.bat" "%USERPROFILE%\AppData\Local\Temp\OnboardLogs"\RTDC4017\2016-11-11 &amp; aws s3 cp s3://rtdc.mdm.uploadarchive.raw/RTDC4017/ "%USERPROFILE%\AppData\Local\Temp\OnboardLogs"\RTDC4017\2016-11-12 --exclude "*" --recursive --include "*20161112*" &amp; "%USERPROFILE%\Documents\GitHub\mrs-test-scripts\Headless Mode &amp; Sideloading\WalkAndUnGZ.bat" "%USERPROFILE%\AppData\Local\Temp\OnboardLogs"\RTDC4017\2016-11-12</v>
      </c>
      <c r="S12" s="103" t="str">
        <f>VLOOKUP(C12,'Train Runs'!$A$13:$AE$9999,22,0)</f>
        <v>https://search-rtdc-monitor-bjffxe2xuh6vdkpspy63sjmuny.us-east-1.es.amazonaws.com/_plugin/kibana/#/discover/Steve-Slow-Train-Analysis-(2080s-and-2083s)?_g=(refreshInterval:(display:Off,section:0,value:0),time:(from:'2016-11-11 06:37:51-700',mode:absolute,to:'2016-11-11 09:33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2" s="105" t="str">
        <f t="shared" si="1"/>
        <v>"C:\Program Files (x86)\AstroGrep\AstroGrep.exe" /spath="%USERPROFILE%\AppData\Local\Temp\OnboardLogs" /stypes="*4017*201611111*" /stext=" 15:.+((SYSTEM_STATE.+slice.+state.+changed )|(ment ac)|(system.+state.+changed )|(\[timeout)|(PRM\|1\|D)|(kpr)|(kdp)|(\|lc)|(penalty))" /e /r /s</v>
      </c>
      <c r="U12" s="9" t="str">
        <f t="shared" si="2"/>
        <v>4017</v>
      </c>
      <c r="V12" s="36">
        <f t="shared" si="3"/>
        <v>42685.638599537036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{"issue":{"subject":"Early arrival","project_id":79,"tracker_id":40,"status_id":1,"priority_id":2,"assigned_to_id":23,"start_date":"2016-11-11","description":"","custom_fields":[{"id":1,"name":"Subdivision","value":"EC"},{"id":4,"name":"Milepost","value":"6.3309"},{"id":17,"name":"Train ID","value":"128-11"},{"id":16,"name":"Locomotive ID","value":"4017"},{"id":130,"name":"Impact","value":""},{"id":150,"name":"Time of Event (Mountain Time)","value":"08:19:35"},{"id":151,"name":"Denver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"%USERPROFILE%\AppData\Local\Temp\OnboardLogs"\RTDC4017\*4017*201611111* | grep -SE "((Enforcement Ac)|(PRM))" -</v>
      </c>
    </row>
    <row r="13" spans="1:29" s="1" customFormat="1" x14ac:dyDescent="0.25">
      <c r="A13" s="36">
        <v>42685.752905092595</v>
      </c>
      <c r="B13" s="31" t="s">
        <v>249</v>
      </c>
      <c r="C13" s="31" t="s">
        <v>438</v>
      </c>
      <c r="D13" s="31" t="s">
        <v>49</v>
      </c>
      <c r="E13" s="31" t="s">
        <v>207</v>
      </c>
      <c r="F13" s="47">
        <v>400</v>
      </c>
      <c r="G13" s="47">
        <v>540</v>
      </c>
      <c r="H13" s="47">
        <v>15865</v>
      </c>
      <c r="I13" s="47">
        <v>17785</v>
      </c>
      <c r="J13" s="31" t="s">
        <v>208</v>
      </c>
      <c r="K13" s="47">
        <v>17867</v>
      </c>
      <c r="L13" s="154" t="s">
        <v>50</v>
      </c>
      <c r="M13" s="155">
        <f t="shared" si="0"/>
        <v>43.296000000000006</v>
      </c>
      <c r="N13" s="156" t="str">
        <f>VLOOKUP(C13,'Trips&amp;Operators'!$C$1:$E$99999,3,FALSE)</f>
        <v>BADERTSCHER</v>
      </c>
      <c r="O13" s="183" t="s">
        <v>206</v>
      </c>
      <c r="P13" s="157"/>
      <c r="Q13" s="31"/>
      <c r="R13" s="100" t="str">
        <f>VLOOKUP(C13,'Train Runs'!$A$13:$AE$9999,31,0)</f>
        <v>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 &amp; 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</v>
      </c>
      <c r="S13" s="103" t="str">
        <f>VLOOKUP(C13,'Train Runs'!$A$13:$AE$9999,22,0)</f>
        <v>https://search-rtdc-monitor-bjffxe2xuh6vdkpspy63sjmuny.us-east-1.es.amazonaws.com/_plugin/kibana/#/discover/Steve-Slow-Train-Analysis-(2080s-and-2083s)?_g=(refreshInterval:(display:Off,section:0,value:0),time:(from:'2016-11-11 16:56:48-700',mode:absolute,to:'2016-11-11 19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3" s="105" t="str">
        <f t="shared" si="1"/>
        <v>"C:\Program Files (x86)\AstroGrep\AstroGrep.exe" /spath="%USERPROFILE%\AppData\Local\Temp\OnboardLogs" /stypes="*4025*201611120*" /stext=" 01:.+((SYSTEM_STATE.+slice.+state.+changed )|(ment ac)|(system.+state.+changed )|(\[timeout)|(PRM\|1\|D)|(kpr)|(kdp)|(\|lc)|(penalty))" /e /r /s</v>
      </c>
      <c r="U13" s="9" t="str">
        <f t="shared" si="2"/>
        <v>4025</v>
      </c>
      <c r="V13" s="36">
        <f t="shared" si="3"/>
        <v>42686.044571759259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{"issue":{"subject":"","project_id":79,"tracker_id":40,"status_id":1,"priority_id":2,"assigned_to_id":23,"start_date":"2016-11-11","description":"","custom_fields":[{"id":1,"name":"Subdivision","value":"EC"},{"id":4,"name":"Milepost","value":"1.7867"},{"id":17,"name":"Train ID","value":"215-11"},{"id":16,"name":"Locomotive ID","value":"4025"},{"id":130,"name":"Impact","value":""},{"id":150,"name":"Time of Event (Mountain Time)","value":"18:04:11"},{"id":151,"name":"Denver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"%USERPROFILE%\AppData\Local\Temp\OnboardLogs"\RTDC4025\*4025*201611120* | grep -SE "((Enforcement Ac)|(PRM))" -</v>
      </c>
    </row>
    <row r="14" spans="1:29" s="1" customFormat="1" x14ac:dyDescent="0.25">
      <c r="A14" s="36">
        <v>42685.243831018517</v>
      </c>
      <c r="B14" s="31" t="s">
        <v>249</v>
      </c>
      <c r="C14" s="31" t="s">
        <v>411</v>
      </c>
      <c r="D14" s="31" t="s">
        <v>98</v>
      </c>
      <c r="E14" s="31" t="s">
        <v>207</v>
      </c>
      <c r="F14" s="47">
        <v>300</v>
      </c>
      <c r="G14" s="47">
        <v>350</v>
      </c>
      <c r="H14" s="47">
        <v>21370</v>
      </c>
      <c r="I14" s="47">
        <v>22341</v>
      </c>
      <c r="J14" s="31" t="s">
        <v>208</v>
      </c>
      <c r="K14" s="47">
        <v>20338</v>
      </c>
      <c r="L14" s="154" t="s">
        <v>50</v>
      </c>
      <c r="M14" s="155">
        <f t="shared" si="0"/>
        <v>-1057.5840000000001</v>
      </c>
      <c r="N14" s="156" t="str">
        <f>VLOOKUP(C14,'Trips&amp;Operators'!$C$1:$E$99999,3,FALSE)</f>
        <v>DAVIS</v>
      </c>
      <c r="O14" s="183" t="s">
        <v>206</v>
      </c>
      <c r="P14" s="157"/>
      <c r="Q14" s="31"/>
      <c r="R14" s="100" t="str">
        <f>VLOOKUP(C14,'Train Runs'!$A$13:$AE$9999,31,0)</f>
        <v>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 &amp; 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</v>
      </c>
      <c r="S14" s="103" t="str">
        <f>VLOOKUP(C14,'Train Runs'!$A$13:$AE$9999,22,0)</f>
        <v>https://search-rtdc-monitor-bjffxe2xuh6vdkpspy63sjmuny.us-east-1.es.amazonaws.com/_plugin/kibana/#/discover/Steve-Slow-Train-Analysis-(2080s-and-2083s)?_g=(refreshInterval:(display:Off,section:0,value:0),time:(from:'2016-11-11 04:33:27-700',mode:absolute,to:'2016-11-11 07:23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4" s="105" t="str">
        <f t="shared" si="1"/>
        <v>"C:\Program Files (x86)\AstroGrep\AstroGrep.exe" /spath="%USERPROFILE%\AppData\Local\Temp\OnboardLogs" /stypes="*4025*201611111*" /stext=" 12:.+((SYSTEM_STATE.+slice.+state.+changed )|(ment ac)|(system.+state.+changed )|(\[timeout)|(PRM\|1\|D)|(kpr)|(kdp)|(\|lc)|(penalty))" /e /r /s</v>
      </c>
      <c r="U14" s="9" t="str">
        <f t="shared" si="2"/>
        <v>4025</v>
      </c>
      <c r="V14" s="36">
        <f t="shared" si="3"/>
        <v>42685.535497685181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{"issue":{"subject":"","project_id":79,"tracker_id":40,"status_id":1,"priority_id":2,"assigned_to_id":23,"start_date":"2016-11-11","description":"","custom_fields":[{"id":1,"name":"Subdivision","value":"EC"},{"id":4,"name":"Milepost","value":"2.0338"},{"id":17,"name":"Train ID","value":"117-11"},{"id":16,"name":"Locomotive ID","value":"4025"},{"id":130,"name":"Impact","value":""},{"id":150,"name":"Time of Event (Mountain Time)","value":"05:51:07"},{"id":151,"name":"Denver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"%USERPROFILE%\AppData\Local\Temp\OnboardLogs"\RTDC4025\*4025*201611111* | grep -SE "((Enforcement Ac)|(PRM))" -</v>
      </c>
    </row>
    <row r="15" spans="1:29" s="1" customFormat="1" x14ac:dyDescent="0.25">
      <c r="A15" s="36">
        <v>42685.915636574071</v>
      </c>
      <c r="B15" s="31" t="s">
        <v>296</v>
      </c>
      <c r="C15" s="31" t="s">
        <v>442</v>
      </c>
      <c r="D15" s="31" t="s">
        <v>49</v>
      </c>
      <c r="E15" s="31" t="s">
        <v>207</v>
      </c>
      <c r="F15" s="47">
        <v>300</v>
      </c>
      <c r="G15" s="47">
        <v>403</v>
      </c>
      <c r="H15" s="47">
        <v>23087</v>
      </c>
      <c r="I15" s="47">
        <v>21953</v>
      </c>
      <c r="J15" s="31" t="s">
        <v>208</v>
      </c>
      <c r="K15" s="47">
        <v>21848</v>
      </c>
      <c r="L15" s="154" t="s">
        <v>51</v>
      </c>
      <c r="M15" s="155">
        <f t="shared" si="0"/>
        <v>55.44</v>
      </c>
      <c r="N15" s="156" t="str">
        <f>VLOOKUP(C15,'Trips&amp;Operators'!$C$1:$E$99999,3,FALSE)</f>
        <v>STAMBAUGH</v>
      </c>
      <c r="O15" s="183" t="s">
        <v>206</v>
      </c>
      <c r="P15" s="157"/>
      <c r="Q15" s="31"/>
      <c r="R15" s="100" t="str">
        <f>VLOOKUP(C15,'Train Runs'!$A$13:$AE$9999,31,0)</f>
        <v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v>
      </c>
      <c r="S15" s="103" t="str">
        <f>VLOOKUP(C15,'Train Runs'!$A$13:$AE$9999,22,0)</f>
        <v>https://search-rtdc-monitor-bjffxe2xuh6vdkpspy63sjmuny.us-east-1.es.amazonaws.com/_plugin/kibana/#/discover/Steve-Slow-Train-Analysis-(2080s-and-2083s)?_g=(refreshInterval:(display:Off,section:0,value:0),time:(from:'2016-11-11 20:22:09-700',mode:absolute,to:'2016-11-11 23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5" s="105" t="str">
        <f t="shared" si="1"/>
        <v>"C:\Program Files (x86)\AstroGrep\AstroGrep.exe" /spath="%USERPROFILE%\AppData\Local\Temp\OnboardLogs" /stypes="*4010*201611120*" /stext=" 04:.+((SYSTEM_STATE.+slice.+state.+changed )|(ment ac)|(system.+state.+changed )|(\[timeout)|(PRM\|1\|D)|(kpr)|(kdp)|(\|lc)|(penalty))" /e /r /s</v>
      </c>
      <c r="U15" s="9" t="str">
        <f t="shared" si="2"/>
        <v>4010</v>
      </c>
      <c r="V15" s="36">
        <f t="shared" si="3"/>
        <v>42686.207303240735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{"issue":{"subject":"","project_id":79,"tracker_id":40,"status_id":1,"priority_id":2,"assigned_to_id":23,"start_date":"2016-11-11","description":"","custom_fields":[{"id":1,"name":"Subdivision","value":"EC"},{"id":4,"name":"Milepost","value":"2.1848"},{"id":17,"name":"Train ID","value":"228-11"},{"id":16,"name":"Locomotive ID","value":"4010"},{"id":130,"name":"Impact","value":""},{"id":150,"name":"Time of Event (Mountain Time)","value":"21:58:31"},{"id":151,"name":"Denver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"%USERPROFILE%\AppData\Local\Temp\OnboardLogs"\RTDC4010\*4010*201611120* | grep -SE "((Enforcement Ac)|(PRM))" -</v>
      </c>
    </row>
    <row r="16" spans="1:29" s="1" customFormat="1" x14ac:dyDescent="0.25">
      <c r="A16" s="36">
        <v>42685.192314814813</v>
      </c>
      <c r="B16" s="31" t="s">
        <v>187</v>
      </c>
      <c r="C16" s="31" t="s">
        <v>409</v>
      </c>
      <c r="D16" s="31" t="s">
        <v>49</v>
      </c>
      <c r="E16" s="31" t="s">
        <v>207</v>
      </c>
      <c r="F16" s="47">
        <v>200</v>
      </c>
      <c r="G16" s="47">
        <v>395</v>
      </c>
      <c r="H16" s="47">
        <v>25792</v>
      </c>
      <c r="I16" s="47">
        <v>26750</v>
      </c>
      <c r="J16" s="31" t="s">
        <v>208</v>
      </c>
      <c r="K16" s="47">
        <v>27333</v>
      </c>
      <c r="L16" s="154" t="s">
        <v>50</v>
      </c>
      <c r="M16" s="155">
        <f t="shared" si="0"/>
        <v>307.82400000000001</v>
      </c>
      <c r="N16" s="156" t="str">
        <f>VLOOKUP(C16,'Trips&amp;Operators'!$C$1:$E$99999,3,FALSE)</f>
        <v>RICHARDSON</v>
      </c>
      <c r="O16" s="183" t="s">
        <v>206</v>
      </c>
      <c r="P16" s="157"/>
      <c r="Q16" s="31"/>
      <c r="R16" s="100" t="str">
        <f>VLOOKUP(C16,'Train Runs'!$A$13:$AE$9999,31,0)</f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S16" s="103" t="str">
        <f>VLOOKUP(C16,'Train Runs'!$A$13:$AE$9999,22,0)</f>
        <v>https://search-rtdc-monitor-bjffxe2xuh6vdkpspy63sjmuny.us-east-1.es.amazonaws.com/_plugin/kibana/#/discover/Steve-Slow-Train-Analysis-(2080s-and-2083s)?_g=(refreshInterval:(display:Off,section:0,value:0),time:(from:'2016-11-11 03:24:13-700',mode:absolute,to:'2016-11-11 06:07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6" s="105" t="str">
        <f t="shared" si="1"/>
        <v>"C:\Program Files (x86)\AstroGrep\AstroGrep.exe" /spath="%USERPROFILE%\AppData\Local\Temp\OnboardLogs" /stypes="*4009*201611111*" /stext=" 11:.+((SYSTEM_STATE.+slice.+state.+changed )|(ment ac)|(system.+state.+changed )|(\[timeout)|(PRM\|1\|D)|(kpr)|(kdp)|(\|lc)|(penalty))" /e /r /s</v>
      </c>
      <c r="U16" s="9" t="str">
        <f t="shared" si="2"/>
        <v>4009</v>
      </c>
      <c r="V16" s="36">
        <f t="shared" si="3"/>
        <v>42685.483981481477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{"issue":{"subject":"","project_id":79,"tracker_id":40,"status_id":1,"priority_id":2,"assigned_to_id":23,"start_date":"2016-11-11","description":"","custom_fields":[{"id":1,"name":"Subdivision","value":"EC"},{"id":4,"name":"Milepost","value":"2.7333"},{"id":17,"name":"Train ID","value":"107-11"},{"id":16,"name":"Locomotive ID","value":"4009"},{"id":130,"name":"Impact","value":""},{"id":150,"name":"Time of Event (Mountain Time)","value":"04:36:56"},{"id":151,"name":"Denver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"%USERPROFILE%\AppData\Local\Temp\OnboardLogs"\RTDC4009\*4009*201611111* | grep -SE "((Enforcement Ac)|(PRM))" -</v>
      </c>
    </row>
    <row r="17" spans="1:30" s="1" customFormat="1" x14ac:dyDescent="0.25">
      <c r="A17" s="36">
        <v>42685.463483796295</v>
      </c>
      <c r="B17" s="31" t="s">
        <v>248</v>
      </c>
      <c r="C17" s="31" t="s">
        <v>433</v>
      </c>
      <c r="D17" s="31" t="s">
        <v>49</v>
      </c>
      <c r="E17" s="31" t="s">
        <v>207</v>
      </c>
      <c r="F17" s="47">
        <v>400</v>
      </c>
      <c r="G17" s="47">
        <v>453</v>
      </c>
      <c r="H17" s="47">
        <v>116108</v>
      </c>
      <c r="I17" s="47">
        <v>117351</v>
      </c>
      <c r="J17" s="31" t="s">
        <v>208</v>
      </c>
      <c r="K17" s="47">
        <v>116838</v>
      </c>
      <c r="L17" s="154" t="s">
        <v>50</v>
      </c>
      <c r="M17" s="155">
        <f t="shared" si="0"/>
        <v>-270.86399999999998</v>
      </c>
      <c r="N17" s="156" t="str">
        <f>VLOOKUP(C17,'Trips&amp;Operators'!$C$1:$E$99999,3,FALSE)</f>
        <v>PERKINS</v>
      </c>
      <c r="O17" s="183" t="s">
        <v>206</v>
      </c>
      <c r="P17" s="157"/>
      <c r="Q17" s="31"/>
      <c r="R17" s="100" t="str">
        <f>VLOOKUP(C17,'Train Runs'!$A$13:$AE$9999,31,0)</f>
        <v>aws s3 cp s3://rtdc.mdm.uploadarchive.raw/RTDC4031/ "%USERPROFILE%\AppData\Local\Temp\OnboardLogs"\RTDC4031\2016-11-11 --exclude "*" --recursive --include "*20161111*" &amp; "%USERPROFILE%\Documents\GitHub\mrs-test-scripts\Headless Mode &amp; Sideloading\WalkAndUnGZ.bat" "%USERPROFILE%\AppData\Local\Temp\OnboardLogs"\RTDC4031\2016-11-11 &amp; aws s3 cp s3://rtdc.mdm.uploadarchive.raw/RTDC4031/ "%USERPROFILE%\AppData\Local\Temp\OnboardLogs"\RTDC4031\2016-11-12 --exclude "*" --recursive --include "*20161112*" &amp; "%USERPROFILE%\Documents\GitHub\mrs-test-scripts\Headless Mode &amp; Sideloading\WalkAndUnGZ.bat" "%USERPROFILE%\AppData\Local\Temp\OnboardLogs"\RTDC4031\2016-11-12</v>
      </c>
      <c r="S17" s="103" t="str">
        <f>VLOOKUP(C17,'Train Runs'!$A$13:$AE$9999,22,0)</f>
        <v>https://search-rtdc-monitor-bjffxe2xuh6vdkpspy63sjmuny.us-east-1.es.amazonaws.com/_plugin/kibana/#/discover/Steve-Slow-Train-Analysis-(2080s-and-2083s)?_g=(refreshInterval:(display:Off,section:0,value:0),time:(from:'2016-11-11 09:38:04-700',mode:absolute,to:'2016-11-11 12:23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7" s="105" t="str">
        <f t="shared" si="1"/>
        <v>"C:\Program Files (x86)\AstroGrep\AstroGrep.exe" /spath="%USERPROFILE%\AppData\Local\Temp\OnboardLogs" /stypes="*4031*201611111*" /stext=" 18:.+((SYSTEM_STATE.+slice.+state.+changed )|(ment ac)|(system.+state.+changed )|(\[timeout)|(PRM\|1\|D)|(kpr)|(kdp)|(\|lc)|(penalty))" /e /r /s</v>
      </c>
      <c r="U17" s="9" t="str">
        <f t="shared" si="2"/>
        <v>4031</v>
      </c>
      <c r="V17" s="36">
        <f t="shared" si="3"/>
        <v>42685.755150462959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{"issue":{"subject":"","project_id":79,"tracker_id":40,"status_id":1,"priority_id":2,"assigned_to_id":23,"start_date":"2016-11-11","description":"","custom_fields":[{"id":1,"name":"Subdivision","value":"EC"},{"id":4,"name":"Milepost","value":"11.6838"},{"id":17,"name":"Train ID","value":"157-11"},{"id":16,"name":"Locomotive ID","value":"4031"},{"id":130,"name":"Impact","value":""},{"id":150,"name":"Time of Event (Mountain Time)","value":"11:07:25"},{"id":151,"name":"Denver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"%USERPROFILE%\AppData\Local\Temp\OnboardLogs"\RTDC4031\*4031*201611111* | grep -SE "((Enforcement Ac)|(PRM))" -</v>
      </c>
    </row>
    <row r="18" spans="1:30" s="1" customFormat="1" x14ac:dyDescent="0.25">
      <c r="A18" s="36">
        <v>42685.377534722225</v>
      </c>
      <c r="B18" s="31" t="s">
        <v>296</v>
      </c>
      <c r="C18" s="31" t="s">
        <v>426</v>
      </c>
      <c r="D18" s="31" t="s">
        <v>98</v>
      </c>
      <c r="E18" s="31" t="s">
        <v>207</v>
      </c>
      <c r="F18" s="47">
        <v>700</v>
      </c>
      <c r="G18" s="47">
        <v>753</v>
      </c>
      <c r="H18" s="47">
        <v>180145</v>
      </c>
      <c r="I18" s="47">
        <v>176666</v>
      </c>
      <c r="J18" s="31" t="s">
        <v>208</v>
      </c>
      <c r="K18" s="47">
        <v>183829</v>
      </c>
      <c r="L18" s="154" t="s">
        <v>51</v>
      </c>
      <c r="M18" s="155">
        <f t="shared" si="0"/>
        <v>-3782.0639999999999</v>
      </c>
      <c r="N18" s="156" t="str">
        <f>VLOOKUP(C18,'Trips&amp;Operators'!$C$1:$E$99999,3,FALSE)</f>
        <v>RICHARDSON</v>
      </c>
      <c r="O18" s="183" t="s">
        <v>206</v>
      </c>
      <c r="P18" s="157"/>
      <c r="Q18" s="31"/>
      <c r="R18" s="100" t="str">
        <f>VLOOKUP(C18,'Train Runs'!$A$13:$AE$9999,31,0)</f>
        <v>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 &amp; aws s3 cp s3://rtdc.mdm.uploadarchive.raw/RTDC4010/ "%USERPROFILE%\AppData\Local\Temp\OnboardLogs"\RTDC4010\2016-11-12 --exclude "*" --recursive --include "*20161112*" &amp; "%USERPROFILE%\Documents\GitHub\mrs-test-scripts\Headless Mode &amp; Sideloading\WalkAndUnGZ.bat" "%USERPROFILE%\AppData\Local\Temp\OnboardLogs"\RTDC4010\2016-11-12</v>
      </c>
      <c r="S18" s="103" t="str">
        <f>VLOOKUP(C18,'Train Runs'!$A$13:$AE$9999,22,0)</f>
        <v>https://search-rtdc-monitor-bjffxe2xuh6vdkpspy63sjmuny.us-east-1.es.amazonaws.com/_plugin/kibana/#/discover/Steve-Slow-Train-Analysis-(2080s-and-2083s)?_g=(refreshInterval:(display:Off,section:0,value:0),time:(from:'2016-11-11 07:53:13-700',mode:absolute,to:'2016-11-11 10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8" s="105" t="str">
        <f t="shared" si="1"/>
        <v>"C:\Program Files (x86)\AstroGrep\AstroGrep.exe" /spath="%USERPROFILE%\AppData\Local\Temp\OnboardLogs" /stypes="*4010*201611111*" /stext=" 16:.+((SYSTEM_STATE.+slice.+state.+changed )|(ment ac)|(system.+state.+changed )|(\[timeout)|(PRM\|1\|D)|(kpr)|(kdp)|(\|lc)|(penalty))" /e /r /s</v>
      </c>
      <c r="U18" s="9" t="str">
        <f t="shared" si="2"/>
        <v>4010</v>
      </c>
      <c r="V18" s="36">
        <f t="shared" si="3"/>
        <v>42685.66920138889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{"issue":{"subject":"","project_id":79,"tracker_id":40,"status_id":1,"priority_id":2,"assigned_to_id":23,"start_date":"2016-11-11","description":"","custom_fields":[{"id":1,"name":"Subdivision","value":"EC"},{"id":4,"name":"Milepost","value":"18.3829"},{"id":17,"name":"Train ID","value":"136-11"},{"id":16,"name":"Locomotive ID","value":"4010"},{"id":130,"name":"Impact","value":""},{"id":150,"name":"Time of Event (Mountain Time)","value":"09:03:39"},{"id":151,"name":"Denver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"%USERPROFILE%\AppData\Local\Temp\OnboardLogs"\RTDC4010\*4010*201611111* | grep -SE "((Enforcement Ac)|(PRM))" -</v>
      </c>
    </row>
    <row r="19" spans="1:30" s="1" customFormat="1" x14ac:dyDescent="0.25">
      <c r="A19" s="36">
        <v>42685.394259259258</v>
      </c>
      <c r="B19" s="31" t="s">
        <v>237</v>
      </c>
      <c r="C19" s="31" t="s">
        <v>428</v>
      </c>
      <c r="D19" s="31" t="s">
        <v>49</v>
      </c>
      <c r="E19" s="31" t="s">
        <v>207</v>
      </c>
      <c r="F19" s="47">
        <v>150</v>
      </c>
      <c r="G19" s="47">
        <v>201</v>
      </c>
      <c r="H19" s="47">
        <v>229510</v>
      </c>
      <c r="I19" s="47">
        <v>229206</v>
      </c>
      <c r="J19" s="31" t="s">
        <v>208</v>
      </c>
      <c r="K19" s="47">
        <v>229055</v>
      </c>
      <c r="L19" s="154" t="s">
        <v>51</v>
      </c>
      <c r="M19" s="155">
        <f t="shared" si="0"/>
        <v>79.727999999999994</v>
      </c>
      <c r="N19" s="156" t="str">
        <f>VLOOKUP(C19,'Trips&amp;Operators'!$C$1:$E$99999,3,FALSE)</f>
        <v>NICHOLSON</v>
      </c>
      <c r="O19" s="183" t="s">
        <v>206</v>
      </c>
      <c r="P19" s="157"/>
      <c r="Q19" s="31"/>
      <c r="R19" s="100" t="str">
        <f>VLOOKUP(C19,'Train Runs'!$A$13:$AE$9999,31,0)</f>
        <v>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 &amp; 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</v>
      </c>
      <c r="S19" s="103" t="str">
        <f>VLOOKUP(C19,'Train Runs'!$A$13:$AE$9999,22,0)</f>
        <v>https://search-rtdc-monitor-bjffxe2xuh6vdkpspy63sjmuny.us-east-1.es.amazonaws.com/_plugin/kibana/#/discover/Steve-Slow-Train-Analysis-(2080s-and-2083s)?_g=(refreshInterval:(display:Off,section:0,value:0),time:(from:'2016-11-11 08:20:57-700',mode:absolute,to:'2016-11-11 11:08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9" s="105" t="str">
        <f t="shared" si="1"/>
        <v>"C:\Program Files (x86)\AstroGrep\AstroGrep.exe" /spath="%USERPROFILE%\AppData\Local\Temp\OnboardLogs" /stypes="*4004*201611111*" /stext=" 16:.+((SYSTEM_STATE.+slice.+state.+changed )|(ment ac)|(system.+state.+changed )|(\[timeout)|(PRM\|1\|D)|(kpr)|(kdp)|(\|lc)|(penalty))" /e /r /s</v>
      </c>
      <c r="U19" s="9" t="str">
        <f t="shared" si="2"/>
        <v>4004</v>
      </c>
      <c r="V19" s="36">
        <f t="shared" si="3"/>
        <v>42685.685925925922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{"issue":{"subject":"","project_id":79,"tracker_id":40,"status_id":1,"priority_id":2,"assigned_to_id":23,"start_date":"2016-11-11","description":"","custom_fields":[{"id":1,"name":"Subdivision","value":"EC"},{"id":4,"name":"Milepost","value":"22.9055"},{"id":17,"name":"Train ID","value":"140-11"},{"id":16,"name":"Locomotive ID","value":"4004"},{"id":130,"name":"Impact","value":""},{"id":150,"name":"Time of Event (Mountain Time)","value":"09:27:44"},{"id":151,"name":"Denver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"%USERPROFILE%\AppData\Local\Temp\OnboardLogs"\RTDC4004\*4004*201611111* | grep -SE "((Enforcement Ac)|(PRM))" -</v>
      </c>
    </row>
    <row r="20" spans="1:30" s="1" customFormat="1" x14ac:dyDescent="0.25">
      <c r="A20" s="36">
        <v>42685.415173611109</v>
      </c>
      <c r="B20" s="31" t="s">
        <v>235</v>
      </c>
      <c r="C20" s="31" t="s">
        <v>431</v>
      </c>
      <c r="D20" s="31" t="s">
        <v>49</v>
      </c>
      <c r="E20" s="31" t="s">
        <v>207</v>
      </c>
      <c r="F20" s="47">
        <v>150</v>
      </c>
      <c r="G20" s="47">
        <v>203</v>
      </c>
      <c r="H20" s="47">
        <v>229588</v>
      </c>
      <c r="I20" s="47">
        <v>229334</v>
      </c>
      <c r="J20" s="31" t="s">
        <v>208</v>
      </c>
      <c r="K20" s="47">
        <v>229055</v>
      </c>
      <c r="L20" s="154" t="s">
        <v>51</v>
      </c>
      <c r="M20" s="155">
        <f t="shared" si="0"/>
        <v>147.31200000000001</v>
      </c>
      <c r="N20" s="156" t="str">
        <f>VLOOKUP(C20,'Trips&amp;Operators'!$C$1:$E$99999,3,FALSE)</f>
        <v>PERKINS</v>
      </c>
      <c r="O20" s="183" t="s">
        <v>206</v>
      </c>
      <c r="P20" s="157"/>
      <c r="Q20" s="31"/>
      <c r="R20" s="100" t="str">
        <f>VLOOKUP(C20,'Train Runs'!$A$13:$AE$9999,31,0)</f>
        <v>aws s3 cp s3://rtdc.mdm.uploadarchive.raw/RTDC4032/ "%USERPROFILE%\AppData\Local\Temp\OnboardLogs"\RTDC4032\2016-11-11 --exclude "*" --recursive --include "*20161111*" &amp; "%USERPROFILE%\Documents\GitHub\mrs-test-scripts\Headless Mode &amp; Sideloading\WalkAndUnGZ.bat" "%USERPROFILE%\AppData\Local\Temp\OnboardLogs"\RTDC4032\2016-11-11 &amp; aws s3 cp s3://rtdc.mdm.uploadarchive.raw/RTDC4032/ "%USERPROFILE%\AppData\Local\Temp\OnboardLogs"\RTDC4032\2016-11-12 --exclude "*" --recursive --include "*20161112*" &amp; "%USERPROFILE%\Documents\GitHub\mrs-test-scripts\Headless Mode &amp; Sideloading\WalkAndUnGZ.bat" "%USERPROFILE%\AppData\Local\Temp\OnboardLogs"\RTDC4032\2016-11-12</v>
      </c>
      <c r="S20" s="103" t="str">
        <f>VLOOKUP(C20,'Train Runs'!$A$13:$AE$9999,22,0)</f>
        <v>https://search-rtdc-monitor-bjffxe2xuh6vdkpspy63sjmuny.us-east-1.es.amazonaws.com/_plugin/kibana/#/discover/Steve-Slow-Train-Analysis-(2080s-and-2083s)?_g=(refreshInterval:(display:Off,section:0,value:0),time:(from:'2016-11-11 08:47:40-700',mode:absolute,to:'2016-11-11 11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0" s="105" t="str">
        <f t="shared" si="1"/>
        <v>"C:\Program Files (x86)\AstroGrep\AstroGrep.exe" /spath="%USERPROFILE%\AppData\Local\Temp\OnboardLogs" /stypes="*4032*201611111*" /stext=" 16:.+((SYSTEM_STATE.+slice.+state.+changed )|(ment ac)|(system.+state.+changed )|(\[timeout)|(PRM\|1\|D)|(kpr)|(kdp)|(\|lc)|(penalty))" /e /r /s</v>
      </c>
      <c r="U20" s="9" t="str">
        <f t="shared" si="2"/>
        <v>4032</v>
      </c>
      <c r="V20" s="36">
        <f t="shared" si="3"/>
        <v>42685.706840277773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{"issue":{"subject":"","project_id":79,"tracker_id":40,"status_id":1,"priority_id":2,"assigned_to_id":23,"start_date":"2016-11-11","description":"","custom_fields":[{"id":1,"name":"Subdivision","value":"EC"},{"id":4,"name":"Milepost","value":"22.9055"},{"id":17,"name":"Train ID","value":"144-11"},{"id":16,"name":"Locomotive ID","value":"4032"},{"id":130,"name":"Impact","value":""},{"id":150,"name":"Time of Event (Mountain Time)","value":"09:57:51"},{"id":151,"name":"Denver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"%USERPROFILE%\AppData\Local\Temp\OnboardLogs"\RTDC4032\*4032*201611111* | grep -SE "((Enforcement Ac)|(PRM))" -</v>
      </c>
    </row>
    <row r="21" spans="1:30" x14ac:dyDescent="0.25">
      <c r="A21" s="36">
        <v>42685.479525462964</v>
      </c>
      <c r="B21" s="31" t="s">
        <v>187</v>
      </c>
      <c r="C21" s="31" t="s">
        <v>434</v>
      </c>
      <c r="D21" s="31" t="s">
        <v>49</v>
      </c>
      <c r="E21" s="31" t="s">
        <v>209</v>
      </c>
      <c r="F21" s="47">
        <v>0</v>
      </c>
      <c r="G21" s="47">
        <v>159</v>
      </c>
      <c r="H21" s="47">
        <v>923</v>
      </c>
      <c r="I21" s="47">
        <v>1107</v>
      </c>
      <c r="J21" s="31" t="s">
        <v>210</v>
      </c>
      <c r="K21" s="47">
        <v>1692</v>
      </c>
      <c r="L21" s="154" t="s">
        <v>50</v>
      </c>
      <c r="M21" s="155">
        <f t="shared" si="0"/>
        <v>308.88</v>
      </c>
      <c r="N21" s="156" t="str">
        <f>VLOOKUP(C21,'Trips&amp;Operators'!$C$1:$E$99999,3,FALSE)</f>
        <v>NELSON</v>
      </c>
      <c r="O21" s="183" t="s">
        <v>206</v>
      </c>
      <c r="P21" s="157" t="s">
        <v>788</v>
      </c>
      <c r="Q21" s="31"/>
      <c r="R21" s="100" t="str">
        <f>VLOOKUP(C21,'Train Runs'!$A$13:$AE$9999,31,0)</f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S21" s="103" t="str">
        <f>VLOOKUP(C21,'Train Runs'!$A$13:$AE$9999,22,0)</f>
        <v>https://search-rtdc-monitor-bjffxe2xuh6vdkpspy63sjmuny.us-east-1.es.amazonaws.com/_plugin/kibana/#/discover/Steve-Slow-Train-Analysis-(2080s-and-2083s)?_g=(refreshInterval:(display:Off,section:0,value:0),time:(from:'2016-11-11 10:36:44-700',mode:absolute,to:'2016-11-11 13:09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1" s="105" t="str">
        <f t="shared" si="1"/>
        <v>"C:\Program Files (x86)\AstroGrep\AstroGrep.exe" /spath="%USERPROFILE%\AppData\Local\Temp\OnboardLogs" /stypes="*4009*201611111*" /stext=" 18:.+((SYSTEM_STATE.+slice.+state.+changed )|(ment ac)|(system.+state.+changed )|(\[timeout)|(PRM\|1\|D)|(kpr)|(kdp)|(\|lc)|(penalty))" /e /r /s</v>
      </c>
      <c r="U21" s="9" t="str">
        <f t="shared" si="2"/>
        <v>4009</v>
      </c>
      <c r="V21" s="36">
        <f t="shared" si="3"/>
        <v>42685.771192129629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{"issue":{"subject":"DUS 2N stuck at STOP due to 20N also STOP","project_id":79,"tracker_id":40,"status_id":1,"priority_id":2,"assigned_to_id":23,"start_date":"2016-11-11","description":"","custom_fields":[{"id":1,"name":"Subdivision","value":"EC"},{"id":4,"name":"Milepost","value":"0.1692"},{"id":17,"name":"Train ID","value":"163-11"},{"id":16,"name":"Locomotive ID","value":"4009"},{"id":130,"name":"Impact","value":""},{"id":150,"name":"Time of Event (Mountain Time)","value":"11:30:31"},{"id":151,"name":"Denver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"%USERPROFILE%\AppData\Local\Temp\OnboardLogs"\RTDC4009\*4009*201611111* | grep -SE "((Enforcement Ac)|(PRM))" -</v>
      </c>
      <c r="AD21" s="1"/>
    </row>
    <row r="22" spans="1:30" x14ac:dyDescent="0.25">
      <c r="A22" s="36">
        <v>42685.786249999997</v>
      </c>
      <c r="B22" s="31" t="s">
        <v>226</v>
      </c>
      <c r="C22" s="31" t="s">
        <v>441</v>
      </c>
      <c r="D22" s="31" t="s">
        <v>98</v>
      </c>
      <c r="E22" s="31" t="s">
        <v>209</v>
      </c>
      <c r="F22" s="47">
        <v>200</v>
      </c>
      <c r="G22" s="47">
        <v>279</v>
      </c>
      <c r="H22" s="47">
        <v>125510</v>
      </c>
      <c r="I22" s="47">
        <v>126174</v>
      </c>
      <c r="J22" s="31" t="s">
        <v>210</v>
      </c>
      <c r="K22" s="47">
        <v>118739</v>
      </c>
      <c r="L22" s="154" t="s">
        <v>50</v>
      </c>
      <c r="M22" s="155">
        <f t="shared" si="0"/>
        <v>-3925.68</v>
      </c>
      <c r="N22" s="156" t="str">
        <f>VLOOKUP(C22,'Trips&amp;Operators'!$C$1:$E$99999,3,FALSE)</f>
        <v>HOLCOMB</v>
      </c>
      <c r="O22" s="183" t="s">
        <v>206</v>
      </c>
      <c r="P22" s="157" t="s">
        <v>792</v>
      </c>
      <c r="Q22" s="31"/>
      <c r="R22" s="100" t="str">
        <f>VLOOKUP(C22,'Train Runs'!$A$13:$AE$9999,31,0)</f>
        <v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v>
      </c>
      <c r="S22" s="103" t="str">
        <f>VLOOKUP(C22,'Train Runs'!$A$13:$AE$9999,22,0)</f>
        <v>https://search-rtdc-monitor-bjffxe2xuh6vdkpspy63sjmuny.us-east-1.es.amazonaws.com/_plugin/kibana/#/discover/Steve-Slow-Train-Analysis-(2080s-and-2083s)?_g=(refreshInterval:(display:Off,section:0,value:0),time:(from:'2016-11-11 17:50:24-700',mode:absolute,to:'2016-11-11 20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2" s="105" t="str">
        <f t="shared" si="1"/>
        <v>"C:\Program Files (x86)\AstroGrep\AstroGrep.exe" /spath="%USERPROFILE%\AppData\Local\Temp\OnboardLogs" /stypes="*4040*201611120*" /stext=" 01:.+((SYSTEM_STATE.+slice.+state.+changed )|(ment ac)|(system.+state.+changed )|(\[timeout)|(PRM\|1\|D)|(kpr)|(kdp)|(\|lc)|(penalty))" /e /r /s</v>
      </c>
      <c r="U22" s="9" t="str">
        <f t="shared" si="2"/>
        <v>4040</v>
      </c>
      <c r="V22" s="36">
        <f t="shared" si="3"/>
        <v>42686.077916666662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Overspeed","project_id":79,"tracker_id":40,"status_id":1,"priority_id":2,"assigned_to_id":23,"start_date":"2016-11-11","description":"","custom_fields":[{"id":1,"name":"Subdivision","value":"EC"},{"id":4,"name":"Milepost","value":"11.8739"},{"id":17,"name":"Train ID","value":"217-11"},{"id":16,"name":"Locomotive ID","value":"4040"},{"id":130,"name":"Impact","value":""},{"id":150,"name":"Time of Event (Mountain Time)","value":"18:52:12"},{"id":151,"name":"Denver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"%USERPROFILE%\AppData\Local\Temp\OnboardLogs"\RTDC4040\*4040*201611120* | grep -SE "((Enforcement Ac)|(PRM))" -</v>
      </c>
      <c r="AD22" s="1"/>
    </row>
    <row r="23" spans="1:30" x14ac:dyDescent="0.25">
      <c r="A23" s="36">
        <v>42685.391655092593</v>
      </c>
      <c r="B23" s="31" t="s">
        <v>280</v>
      </c>
      <c r="C23" s="31" t="s">
        <v>427</v>
      </c>
      <c r="D23" s="31" t="s">
        <v>49</v>
      </c>
      <c r="E23" s="31" t="s">
        <v>209</v>
      </c>
      <c r="F23" s="47">
        <v>0</v>
      </c>
      <c r="G23" s="47">
        <v>382</v>
      </c>
      <c r="H23" s="47">
        <v>129174</v>
      </c>
      <c r="I23" s="47">
        <v>128326</v>
      </c>
      <c r="J23" s="31" t="s">
        <v>210</v>
      </c>
      <c r="K23" s="47">
        <v>127587</v>
      </c>
      <c r="L23" s="154" t="s">
        <v>51</v>
      </c>
      <c r="M23" s="155">
        <f t="shared" si="0"/>
        <v>390.19200000000001</v>
      </c>
      <c r="N23" s="156" t="str">
        <f>VLOOKUP(C23,'Trips&amp;Operators'!$C$1:$E$99999,3,FALSE)</f>
        <v>MACDONALD</v>
      </c>
      <c r="O23" s="183" t="s">
        <v>206</v>
      </c>
      <c r="P23" s="157" t="s">
        <v>793</v>
      </c>
      <c r="Q23" s="31"/>
      <c r="R23" s="100" t="str">
        <f>VLOOKUP(C23,'Train Runs'!$A$13:$AE$9999,31,0)</f>
        <v>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 &amp; aws s3 cp s3://rtdc.mdm.uploadarchive.raw/RTDC4043/ "%USERPROFILE%\AppData\Local\Temp\OnboardLogs"\RTDC4043\2016-11-12 --exclude "*" --recursive --include "*20161112*" &amp; "%USERPROFILE%\Documents\GitHub\mrs-test-scripts\Headless Mode &amp; Sideloading\WalkAndUnGZ.bat" "%USERPROFILE%\AppData\Local\Temp\OnboardLogs"\RTDC4043\2016-11-12</v>
      </c>
      <c r="S23" s="103" t="str">
        <f>VLOOKUP(C23,'Train Runs'!$A$13:$AE$9999,22,0)</f>
        <v>https://search-rtdc-monitor-bjffxe2xuh6vdkpspy63sjmuny.us-east-1.es.amazonaws.com/_plugin/kibana/#/discover/Steve-Slow-Train-Analysis-(2080s-and-2083s)?_g=(refreshInterval:(display:Off,section:0,value:0),time:(from:'2016-11-11 08:07:06-700',mode:absolute,to:'2016-11-11 10:47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3" s="105" t="str">
        <f t="shared" si="1"/>
        <v>"C:\Program Files (x86)\AstroGrep\AstroGrep.exe" /spath="%USERPROFILE%\AppData\Local\Temp\OnboardLogs" /stypes="*4043*201611111*" /stext=" 16:.+((SYSTEM_STATE.+slice.+state.+changed )|(ment ac)|(system.+state.+changed )|(\[timeout)|(PRM\|1\|D)|(kpr)|(kdp)|(\|lc)|(penalty))" /e /r /s</v>
      </c>
      <c r="U23" s="9" t="str">
        <f t="shared" si="2"/>
        <v>4043</v>
      </c>
      <c r="V23" s="36">
        <f t="shared" si="3"/>
        <v>42685.683321759258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{"issue":{"subject":"40th 4S STOP","project_id":79,"tracker_id":40,"status_id":1,"priority_id":2,"assigned_to_id":23,"start_date":"2016-11-11","description":"","custom_fields":[{"id":1,"name":"Subdivision","value":"EC"},{"id":4,"name":"Milepost","value":"12.7587"},{"id":17,"name":"Train ID","value":"138-11"},{"id":16,"name":"Locomotive ID","value":"4043"},{"id":130,"name":"Impact","value":""},{"id":150,"name":"Time of Event (Mountain Time)","value":"09:23:59"},{"id":151,"name":"Denver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"%USERPROFILE%\AppData\Local\Temp\OnboardLogs"\RTDC4043\*4043*201611111* | grep -SE "((Enforcement Ac)|(PRM))" -</v>
      </c>
      <c r="AD23" s="1"/>
    </row>
    <row r="24" spans="1:30" ht="15" customHeight="1" x14ac:dyDescent="0.25">
      <c r="A24" s="36">
        <v>42685.433842592596</v>
      </c>
      <c r="B24" s="31" t="s">
        <v>295</v>
      </c>
      <c r="C24" s="31" t="s">
        <v>432</v>
      </c>
      <c r="D24" s="31" t="s">
        <v>49</v>
      </c>
      <c r="E24" s="31" t="s">
        <v>209</v>
      </c>
      <c r="F24" s="47">
        <v>0</v>
      </c>
      <c r="G24" s="47">
        <v>365</v>
      </c>
      <c r="H24" s="47">
        <v>129004</v>
      </c>
      <c r="I24" s="47">
        <v>128171</v>
      </c>
      <c r="J24" s="31" t="s">
        <v>210</v>
      </c>
      <c r="K24" s="47">
        <v>127587</v>
      </c>
      <c r="L24" s="154" t="s">
        <v>51</v>
      </c>
      <c r="M24" s="155">
        <f t="shared" si="0"/>
        <v>308.35199999999998</v>
      </c>
      <c r="N24" s="156" t="str">
        <f>VLOOKUP(C24,'Trips&amp;Operators'!$C$1:$E$99999,3,FALSE)</f>
        <v>DAVIS</v>
      </c>
      <c r="O24" s="183" t="s">
        <v>206</v>
      </c>
      <c r="P24" s="157" t="s">
        <v>793</v>
      </c>
      <c r="Q24" s="31"/>
      <c r="R24" s="100" t="str">
        <f>VLOOKUP(C24,'Train Runs'!$A$13:$AE$9999,31,0)</f>
        <v>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 &amp; 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</v>
      </c>
      <c r="S24" s="103" t="str">
        <f>VLOOKUP(C24,'Train Runs'!$A$13:$AE$9999,22,0)</f>
        <v>https://search-rtdc-monitor-bjffxe2xuh6vdkpspy63sjmuny.us-east-1.es.amazonaws.com/_plugin/kibana/#/discover/Steve-Slow-Train-Analysis-(2080s-and-2083s)?_g=(refreshInterval:(display:Off,section:0,value:0),time:(from:'2016-11-11 09:06:33-700',mode:absolute,to:'2016-11-11 11:50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4" s="105" t="str">
        <f t="shared" si="1"/>
        <v>"C:\Program Files (x86)\AstroGrep\AstroGrep.exe" /spath="%USERPROFILE%\AppData\Local\Temp\OnboardLogs" /stypes="*4026*201611111*" /stext=" 17:.+((SYSTEM_STATE.+slice.+state.+changed )|(ment ac)|(system.+state.+changed )|(\[timeout)|(PRM\|1\|D)|(kpr)|(kdp)|(\|lc)|(penalty))" /e /r /s</v>
      </c>
      <c r="U24" s="9" t="str">
        <f t="shared" si="2"/>
        <v>4026</v>
      </c>
      <c r="V24" s="36">
        <f t="shared" si="3"/>
        <v>42685.72550925926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{"issue":{"subject":"40th 4S STOP","project_id":79,"tracker_id":40,"status_id":1,"priority_id":2,"assigned_to_id":23,"start_date":"2016-11-11","description":"","custom_fields":[{"id":1,"name":"Subdivision","value":"EC"},{"id":4,"name":"Milepost","value":"12.7587"},{"id":17,"name":"Train ID","value":"146-11"},{"id":16,"name":"Locomotive ID","value":"4026"},{"id":130,"name":"Impact","value":""},{"id":150,"name":"Time of Event (Mountain Time)","value":"10:24:44"},{"id":151,"name":"Denver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"%USERPROFILE%\AppData\Local\Temp\OnboardLogs"\RTDC4026\*4026*201611111* | grep -SE "((Enforcement Ac)|(PRM))" -</v>
      </c>
      <c r="AD24" s="1"/>
    </row>
    <row r="25" spans="1:30" x14ac:dyDescent="0.25">
      <c r="A25" s="36">
        <v>42685.227118055554</v>
      </c>
      <c r="B25" s="31" t="s">
        <v>218</v>
      </c>
      <c r="C25" s="31" t="s">
        <v>410</v>
      </c>
      <c r="D25" s="31" t="s">
        <v>98</v>
      </c>
      <c r="E25" s="31" t="s">
        <v>209</v>
      </c>
      <c r="F25" s="47">
        <v>200</v>
      </c>
      <c r="G25" s="47">
        <v>313</v>
      </c>
      <c r="H25" s="47">
        <v>153059</v>
      </c>
      <c r="I25" s="47">
        <v>151874</v>
      </c>
      <c r="J25" s="31" t="s">
        <v>210</v>
      </c>
      <c r="K25" s="47">
        <v>157300</v>
      </c>
      <c r="L25" s="154" t="s">
        <v>51</v>
      </c>
      <c r="M25" s="155">
        <f t="shared" si="0"/>
        <v>-2864.9279999999999</v>
      </c>
      <c r="N25" s="156" t="str">
        <f>VLOOKUP(C25,'Trips&amp;Operators'!$C$1:$E$99999,3,FALSE)</f>
        <v>MALAVE</v>
      </c>
      <c r="O25" s="183" t="s">
        <v>206</v>
      </c>
      <c r="P25" s="157" t="s">
        <v>792</v>
      </c>
      <c r="Q25" s="31"/>
      <c r="R25" s="100" t="str">
        <f>VLOOKUP(C25,'Train Runs'!$A$13:$AE$9999,31,0)</f>
        <v>aws s3 cp s3://rtdc.mdm.uploadarchive.raw/RTDC4030/ "%USERPROFILE%\AppData\Local\Temp\OnboardLogs"\RTDC4030\2016-11-11 --exclude "*" --recursive --include "*20161111*" &amp; "%USERPROFILE%\Documents\GitHub\mrs-test-scripts\Headless Mode &amp; Sideloading\WalkAndUnGZ.bat" "%USERPROFILE%\AppData\Local\Temp\OnboardLogs"\RTDC4030\2016-11-11 &amp; 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</v>
      </c>
      <c r="S25" s="103" t="str">
        <f>VLOOKUP(C25,'Train Runs'!$A$13:$AE$9999,22,0)</f>
        <v>https://search-rtdc-monitor-bjffxe2xuh6vdkpspy63sjmuny.us-east-1.es.amazonaws.com/_plugin/kibana/#/discover/Steve-Slow-Train-Analysis-(2080s-and-2083s)?_g=(refreshInterval:(display:Off,section:0,value:0),time:(from:'2016-11-11 04:25:28-700',mode:absolute,to:'2016-11-11 06:56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5" s="105" t="str">
        <f t="shared" si="1"/>
        <v>"C:\Program Files (x86)\AstroGrep\AstroGrep.exe" /spath="%USERPROFILE%\AppData\Local\Temp\OnboardLogs" /stypes="*4030*201611111*" /stext=" 12:.+((SYSTEM_STATE.+slice.+state.+changed )|(ment ac)|(system.+state.+changed )|(\[timeout)|(PRM\|1\|D)|(kpr)|(kdp)|(\|lc)|(penalty))" /e /r /s</v>
      </c>
      <c r="U25" s="9" t="str">
        <f t="shared" si="2"/>
        <v>4030</v>
      </c>
      <c r="V25" s="36">
        <f t="shared" si="3"/>
        <v>42685.518784722219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Overspeed","project_id":79,"tracker_id":40,"status_id":1,"priority_id":2,"assigned_to_id":23,"start_date":"2016-11-11","description":"","custom_fields":[{"id":1,"name":"Subdivision","value":"EC"},{"id":4,"name":"Milepost","value":"15.73"},{"id":17,"name":"Train ID","value":"106-11"},{"id":16,"name":"Locomotive ID","value":"4030"},{"id":130,"name":"Impact","value":""},{"id":150,"name":"Time of Event (Mountain Time)","value":"05:27:03"},{"id":151,"name":"Denver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"%USERPROFILE%\AppData\Local\Temp\OnboardLogs"\RTDC4030\*4030*201611111* | grep -SE "((Enforcement Ac)|(PRM))" -</v>
      </c>
      <c r="AD25" s="1"/>
    </row>
    <row r="26" spans="1:30" x14ac:dyDescent="0.25">
      <c r="A26" s="36">
        <v>42685.783622685187</v>
      </c>
      <c r="B26" s="31" t="s">
        <v>226</v>
      </c>
      <c r="C26" s="31" t="s">
        <v>441</v>
      </c>
      <c r="D26" s="31" t="s">
        <v>49</v>
      </c>
      <c r="E26" s="31" t="s">
        <v>298</v>
      </c>
      <c r="F26" s="47">
        <v>0</v>
      </c>
      <c r="G26" s="47">
        <v>567</v>
      </c>
      <c r="H26" s="47">
        <v>122470</v>
      </c>
      <c r="I26" s="47">
        <v>124878</v>
      </c>
      <c r="J26" s="31" t="s">
        <v>278</v>
      </c>
      <c r="K26" s="47">
        <v>126678</v>
      </c>
      <c r="L26" s="154" t="s">
        <v>50</v>
      </c>
      <c r="M26" s="155">
        <f t="shared" si="0"/>
        <v>950.4</v>
      </c>
      <c r="N26" s="156" t="str">
        <f>VLOOKUP(C26,'Trips&amp;Operators'!$C$1:$E$99999,3,FALSE)</f>
        <v>HOLCOMB</v>
      </c>
      <c r="O26" s="183" t="s">
        <v>236</v>
      </c>
      <c r="P26" s="157" t="s">
        <v>790</v>
      </c>
      <c r="Q26" s="31"/>
      <c r="R26" s="100" t="str">
        <f>VLOOKUP(C26,'Train Runs'!$A$13:$AE$9999,31,0)</f>
        <v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v>
      </c>
      <c r="S26" s="103" t="str">
        <f>VLOOKUP(C26,'Train Runs'!$A$13:$AE$9999,22,0)</f>
        <v>https://search-rtdc-monitor-bjffxe2xuh6vdkpspy63sjmuny.us-east-1.es.amazonaws.com/_plugin/kibana/#/discover/Steve-Slow-Train-Analysis-(2080s-and-2083s)?_g=(refreshInterval:(display:Off,section:0,value:0),time:(from:'2016-11-11 17:50:24-700',mode:absolute,to:'2016-11-11 20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6" s="105" t="str">
        <f t="shared" si="1"/>
        <v>"C:\Program Files (x86)\AstroGrep\AstroGrep.exe" /spath="%USERPROFILE%\AppData\Local\Temp\OnboardLogs" /stypes="*4040*201611120*" /stext=" 01:.+((SYSTEM_STATE.+slice.+state.+changed )|(ment ac)|(system.+state.+changed )|(\[timeout)|(PRM\|1\|D)|(kpr)|(kdp)|(\|lc)|(penalty))" /e /r /s</v>
      </c>
      <c r="U26" s="9" t="str">
        <f t="shared" si="2"/>
        <v>4040</v>
      </c>
      <c r="V26" s="36">
        <f t="shared" si="3"/>
        <v>42686.075289351851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{"issue":{"subject":"Wi-MAX data drop","project_id":79,"tracker_id":40,"status_id":1,"priority_id":2,"assigned_to_id":23,"start_date":"2016-11-11","description":"http://stevetu21.github.io/eaglep3/load_kml.html?kml=http://rtdc.gmaps-snips.s3.amazonaws.com/9cf0c444-1a25-423e-a5f2-05957bce7f58.kml","custom_fields":[{"id":1,"name":"Subdivision","value":"EC"},{"id":4,"name":"Milepost","value":"12.6678"},{"id":17,"name":"Train ID","value":"217-11"},{"id":16,"name":"Locomotive ID","value":"4040"},{"id":130,"name":"Impact","value":"Enforcement"},{"id":150,"name":"Time of Event (Mountain Time)","value":"18:48:25"},{"id":151,"name":"Denver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6" s="184" t="s">
        <v>791</v>
      </c>
      <c r="AA26" s="53" t="s">
        <v>125</v>
      </c>
      <c r="AB26" s="53" t="s">
        <v>138</v>
      </c>
      <c r="AC26" s="138" t="str">
        <f t="shared" si="7"/>
        <v>grep -hSE -A100 "Enforcement Action" "%USERPROFILE%\AppData\Local\Temp\OnboardLogs"\RTDC4040\*4040*201611120* | grep -SE "((Enforcement Ac)|(PRM))" -</v>
      </c>
      <c r="AD26" s="1"/>
    </row>
    <row r="27" spans="1:30" x14ac:dyDescent="0.25">
      <c r="A27" s="36">
        <v>42685.784317129626</v>
      </c>
      <c r="B27" s="31" t="s">
        <v>226</v>
      </c>
      <c r="C27" s="31" t="s">
        <v>441</v>
      </c>
      <c r="D27" s="31" t="s">
        <v>49</v>
      </c>
      <c r="E27" s="31" t="s">
        <v>298</v>
      </c>
      <c r="F27" s="47">
        <v>0</v>
      </c>
      <c r="G27" s="47">
        <v>567</v>
      </c>
      <c r="H27" s="47">
        <v>122470</v>
      </c>
      <c r="I27" s="47">
        <v>124876</v>
      </c>
      <c r="J27" s="31" t="s">
        <v>278</v>
      </c>
      <c r="K27" s="47">
        <v>126678</v>
      </c>
      <c r="L27" s="154" t="s">
        <v>50</v>
      </c>
      <c r="M27" s="155">
        <f t="shared" si="0"/>
        <v>951.45600000000002</v>
      </c>
      <c r="N27" s="156" t="str">
        <f>VLOOKUP(C27,'Trips&amp;Operators'!$C$1:$E$99999,3,FALSE)</f>
        <v>HOLCOMB</v>
      </c>
      <c r="O27" s="183" t="s">
        <v>236</v>
      </c>
      <c r="P27" s="157" t="s">
        <v>790</v>
      </c>
      <c r="Q27" s="31"/>
      <c r="R27" s="100" t="str">
        <f>VLOOKUP(C27,'Train Runs'!$A$13:$AE$9999,31,0)</f>
        <v>aws s3 cp s3://rtdc.mdm.uploadarchive.raw/RTDC4040/ "%USERPROFILE%\AppData\Local\Temp\OnboardLogs"\RTDC4040\2016-11-11 --exclude "*" --recursive --include "*20161111*" &amp; "%USERPROFILE%\Documents\GitHub\mrs-test-scripts\Headless Mode &amp; Sideloading\WalkAndUnGZ.bat" "%USERPROFILE%\AppData\Local\Temp\OnboardLogs"\RTDC4040\2016-11-11 &amp; aws s3 cp s3://rtdc.mdm.uploadarchive.raw/RTDC4040/ "%USERPROFILE%\AppData\Local\Temp\OnboardLogs"\RTDC4040\2016-11-12 --exclude "*" --recursive --include "*20161112*" &amp; "%USERPROFILE%\Documents\GitHub\mrs-test-scripts\Headless Mode &amp; Sideloading\WalkAndUnGZ.bat" "%USERPROFILE%\AppData\Local\Temp\OnboardLogs"\RTDC4040\2016-11-12</v>
      </c>
      <c r="S27" s="103" t="str">
        <f>VLOOKUP(C27,'Train Runs'!$A$13:$AE$9999,22,0)</f>
        <v>https://search-rtdc-monitor-bjffxe2xuh6vdkpspy63sjmuny.us-east-1.es.amazonaws.com/_plugin/kibana/#/discover/Steve-Slow-Train-Analysis-(2080s-and-2083s)?_g=(refreshInterval:(display:Off,section:0,value:0),time:(from:'2016-11-11 17:50:24-700',mode:absolute,to:'2016-11-11 20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7" s="105" t="str">
        <f t="shared" si="1"/>
        <v>"C:\Program Files (x86)\AstroGrep\AstroGrep.exe" /spath="%USERPROFILE%\AppData\Local\Temp\OnboardLogs" /stypes="*4040*201611120*" /stext=" 01:.+((SYSTEM_STATE.+slice.+state.+changed )|(ment ac)|(system.+state.+changed )|(\[timeout)|(PRM\|1\|D)|(kpr)|(kdp)|(\|lc)|(penalty))" /e /r /s</v>
      </c>
      <c r="U27" s="9" t="str">
        <f t="shared" si="2"/>
        <v>4040</v>
      </c>
      <c r="V27" s="36">
        <f t="shared" si="3"/>
        <v>42686.075983796291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{"issue":{"subject":"Wi-MAX data drop","project_id":79,"tracker_id":40,"status_id":1,"priority_id":2,"assigned_to_id":23,"start_date":"2016-11-11","description":"","custom_fields":[{"id":1,"name":"Subdivision","value":"EC"},{"id":4,"name":"Milepost","value":"12.6678"},{"id":17,"name":"Train ID","value":"217-11"},{"id":16,"name":"Locomotive ID","value":"4040"},{"id":130,"name":"Impact","value":""},{"id":150,"name":"Time of Event (Mountain Time)","value":"18:49:25"},{"id":151,"name":"Denver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"%USERPROFILE%\AppData\Local\Temp\OnboardLogs"\RTDC4040\*4040*201611120* | grep -SE "((Enforcement Ac)|(PRM))" -</v>
      </c>
      <c r="AD27" s="1"/>
    </row>
    <row r="28" spans="1:30" x14ac:dyDescent="0.25">
      <c r="A28" s="36">
        <v>42685.367303240739</v>
      </c>
      <c r="B28" s="31" t="s">
        <v>235</v>
      </c>
      <c r="C28" s="31" t="s">
        <v>424</v>
      </c>
      <c r="D28" s="31" t="s">
        <v>49</v>
      </c>
      <c r="E28" s="31" t="s">
        <v>211</v>
      </c>
      <c r="F28" s="47">
        <v>0</v>
      </c>
      <c r="G28" s="47">
        <v>48</v>
      </c>
      <c r="H28" s="47">
        <v>145</v>
      </c>
      <c r="I28" s="47">
        <v>123</v>
      </c>
      <c r="J28" s="31" t="s">
        <v>212</v>
      </c>
      <c r="K28" s="47">
        <v>1</v>
      </c>
      <c r="L28" s="154" t="s">
        <v>51</v>
      </c>
      <c r="M28" s="155">
        <f t="shared" si="0"/>
        <v>64.415999999999997</v>
      </c>
      <c r="N28" s="156" t="str">
        <f>VLOOKUP(C28,'Trips&amp;Operators'!$C$1:$E$99999,3,FALSE)</f>
        <v>PERKINS</v>
      </c>
      <c r="O28" s="183" t="s">
        <v>206</v>
      </c>
      <c r="P28" s="157"/>
      <c r="Q28" s="31"/>
      <c r="R28" s="100" t="str">
        <f>VLOOKUP(C28,'Train Runs'!$A$13:$AE$9999,31,0)</f>
        <v>aws s3 cp s3://rtdc.mdm.uploadarchive.raw/RTDC4032/ "%USERPROFILE%\AppData\Local\Temp\OnboardLogs"\RTDC4032\2016-11-11 --exclude "*" --recursive --include "*20161111*" &amp; "%USERPROFILE%\Documents\GitHub\mrs-test-scripts\Headless Mode &amp; Sideloading\WalkAndUnGZ.bat" "%USERPROFILE%\AppData\Local\Temp\OnboardLogs"\RTDC4032\2016-11-11 &amp; aws s3 cp s3://rtdc.mdm.uploadarchive.raw/RTDC4032/ "%USERPROFILE%\AppData\Local\Temp\OnboardLogs"\RTDC4032\2016-11-12 --exclude "*" --recursive --include "*20161112*" &amp; "%USERPROFILE%\Documents\GitHub\mrs-test-scripts\Headless Mode &amp; Sideloading\WalkAndUnGZ.bat" "%USERPROFILE%\AppData\Local\Temp\OnboardLogs"\RTDC4032\2016-11-12</v>
      </c>
      <c r="S28" s="103" t="str">
        <f>VLOOKUP(C28,'Train Runs'!$A$13:$AE$9999,22,0)</f>
        <v>https://search-rtdc-monitor-bjffxe2xuh6vdkpspy63sjmuny.us-east-1.es.amazonaws.com/_plugin/kibana/#/discover/Steve-Slow-Train-Analysis-(2080s-and-2083s)?_g=(refreshInterval:(display:Off,section:0,value:0),time:(from:'2016-11-11 07:04:33-700',mode:absolute,to:'2016-11-11 09:48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8" s="105" t="str">
        <f t="shared" si="1"/>
        <v>"C:\Program Files (x86)\AstroGrep\AstroGrep.exe" /spath="%USERPROFILE%\AppData\Local\Temp\OnboardLogs" /stypes="*4032*201611111*" /stext=" 15:.+((SYSTEM_STATE.+slice.+state.+changed )|(ment ac)|(system.+state.+changed )|(\[timeout)|(PRM\|1\|D)|(kpr)|(kdp)|(\|lc)|(penalty))" /e /r /s</v>
      </c>
      <c r="U28" s="9" t="str">
        <f t="shared" si="2"/>
        <v>4032</v>
      </c>
      <c r="V28" s="36">
        <f t="shared" si="3"/>
        <v>42685.658969907403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{"issue":{"subject":"","project_id":79,"tracker_id":40,"status_id":1,"priority_id":2,"assigned_to_id":23,"start_date":"2016-11-11","description":"","custom_fields":[{"id":1,"name":"Subdivision","value":"EC"},{"id":4,"name":"Milepost","value":"0.0001"},{"id":17,"name":"Train ID","value":"130-11"},{"id":16,"name":"Locomotive ID","value":"4032"},{"id":130,"name":"Impact","value":""},{"id":150,"name":"Time of Event (Mountain Time)","value":"08:48:55"},{"id":151,"name":"Denver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"%USERPROFILE%\AppData\Local\Temp\OnboardLogs"\RTDC4032\*4032*201611111* | grep -SE "((Enforcement Ac)|(PRM))" -</v>
      </c>
      <c r="AD28" s="1"/>
    </row>
    <row r="29" spans="1:30" x14ac:dyDescent="0.25">
      <c r="A29" s="36">
        <v>42685.441192129627</v>
      </c>
      <c r="B29" s="31" t="s">
        <v>235</v>
      </c>
      <c r="C29" s="31" t="s">
        <v>431</v>
      </c>
      <c r="D29" s="31" t="s">
        <v>49</v>
      </c>
      <c r="E29" s="31" t="s">
        <v>211</v>
      </c>
      <c r="F29" s="47">
        <v>0</v>
      </c>
      <c r="G29" s="47">
        <v>48</v>
      </c>
      <c r="H29" s="47">
        <v>165</v>
      </c>
      <c r="I29" s="47">
        <v>129</v>
      </c>
      <c r="J29" s="31" t="s">
        <v>212</v>
      </c>
      <c r="K29" s="47">
        <v>1</v>
      </c>
      <c r="L29" s="154" t="s">
        <v>51</v>
      </c>
      <c r="M29" s="155">
        <f t="shared" si="0"/>
        <v>67.584000000000003</v>
      </c>
      <c r="N29" s="156" t="str">
        <f>VLOOKUP(C29,'Trips&amp;Operators'!$C$1:$E$99999,3,FALSE)</f>
        <v>PERKINS</v>
      </c>
      <c r="O29" s="183" t="s">
        <v>206</v>
      </c>
      <c r="P29" s="157"/>
      <c r="Q29" s="31"/>
      <c r="R29" s="100" t="str">
        <f>VLOOKUP(C29,'Train Runs'!$A$13:$AE$9999,31,0)</f>
        <v>aws s3 cp s3://rtdc.mdm.uploadarchive.raw/RTDC4032/ "%USERPROFILE%\AppData\Local\Temp\OnboardLogs"\RTDC4032\2016-11-11 --exclude "*" --recursive --include "*20161111*" &amp; "%USERPROFILE%\Documents\GitHub\mrs-test-scripts\Headless Mode &amp; Sideloading\WalkAndUnGZ.bat" "%USERPROFILE%\AppData\Local\Temp\OnboardLogs"\RTDC4032\2016-11-11 &amp; aws s3 cp s3://rtdc.mdm.uploadarchive.raw/RTDC4032/ "%USERPROFILE%\AppData\Local\Temp\OnboardLogs"\RTDC4032\2016-11-12 --exclude "*" --recursive --include "*20161112*" &amp; "%USERPROFILE%\Documents\GitHub\mrs-test-scripts\Headless Mode &amp; Sideloading\WalkAndUnGZ.bat" "%USERPROFILE%\AppData\Local\Temp\OnboardLogs"\RTDC4032\2016-11-12</v>
      </c>
      <c r="S29" s="103" t="str">
        <f>VLOOKUP(C29,'Train Runs'!$A$13:$AE$9999,22,0)</f>
        <v>https://search-rtdc-monitor-bjffxe2xuh6vdkpspy63sjmuny.us-east-1.es.amazonaws.com/_plugin/kibana/#/discover/Steve-Slow-Train-Analysis-(2080s-and-2083s)?_g=(refreshInterval:(display:Off,section:0,value:0),time:(from:'2016-11-11 08:47:40-700',mode:absolute,to:'2016-11-11 11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9" s="105" t="str">
        <f t="shared" si="1"/>
        <v>"C:\Program Files (x86)\AstroGrep\AstroGrep.exe" /spath="%USERPROFILE%\AppData\Local\Temp\OnboardLogs" /stypes="*4032*201611111*" /stext=" 17:.+((SYSTEM_STATE.+slice.+state.+changed )|(ment ac)|(system.+state.+changed )|(\[timeout)|(PRM\|1\|D)|(kpr)|(kdp)|(\|lc)|(penalty))" /e /r /s</v>
      </c>
      <c r="U29" s="9" t="str">
        <f t="shared" si="2"/>
        <v>4032</v>
      </c>
      <c r="V29" s="36">
        <f t="shared" si="3"/>
        <v>42685.732858796291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{"issue":{"subject":"","project_id":79,"tracker_id":40,"status_id":1,"priority_id":2,"assigned_to_id":23,"start_date":"2016-11-11","description":"","custom_fields":[{"id":1,"name":"Subdivision","value":"EC"},{"id":4,"name":"Milepost","value":"0.0001"},{"id":17,"name":"Train ID","value":"144-11"},{"id":16,"name":"Locomotive ID","value":"4032"},{"id":130,"name":"Impact","value":""},{"id":150,"name":"Time of Event (Mountain Time)","value":"10:35:19"},{"id":151,"name":"Denver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"%USERPROFILE%\AppData\Local\Temp\OnboardLogs"\RTDC4032\*4032*201611111* | grep -SE "((Enforcement Ac)|(PRM))" -</v>
      </c>
      <c r="AD29" s="1"/>
    </row>
    <row r="30" spans="1:30" ht="15" customHeight="1" x14ac:dyDescent="0.25">
      <c r="A30" s="36">
        <v>42685.774259259262</v>
      </c>
      <c r="B30" s="31" t="s">
        <v>280</v>
      </c>
      <c r="C30" s="31" t="s">
        <v>440</v>
      </c>
      <c r="D30" s="31" t="s">
        <v>49</v>
      </c>
      <c r="E30" s="31" t="s">
        <v>211</v>
      </c>
      <c r="F30" s="47">
        <v>0</v>
      </c>
      <c r="G30" s="47">
        <v>44</v>
      </c>
      <c r="H30" s="47">
        <v>147</v>
      </c>
      <c r="I30" s="47">
        <v>129</v>
      </c>
      <c r="J30" s="31" t="s">
        <v>212</v>
      </c>
      <c r="K30" s="47">
        <v>1</v>
      </c>
      <c r="L30" s="154" t="s">
        <v>51</v>
      </c>
      <c r="M30" s="155">
        <f t="shared" si="0"/>
        <v>67.584000000000003</v>
      </c>
      <c r="N30" s="156" t="str">
        <f>VLOOKUP(C30,'Trips&amp;Operators'!$C$1:$E$99999,3,FALSE)</f>
        <v>MOSES</v>
      </c>
      <c r="O30" s="183" t="s">
        <v>206</v>
      </c>
      <c r="P30" s="157"/>
      <c r="Q30" s="31"/>
      <c r="R30" s="100" t="str">
        <f>VLOOKUP(C30,'Train Runs'!$A$13:$AE$9999,31,0)</f>
        <v>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 &amp; aws s3 cp s3://rtdc.mdm.uploadarchive.raw/RTDC4043/ "%USERPROFILE%\AppData\Local\Temp\OnboardLogs"\RTDC4043\2016-11-12 --exclude "*" --recursive --include "*20161112*" &amp; "%USERPROFILE%\Documents\GitHub\mrs-test-scripts\Headless Mode &amp; Sideloading\WalkAndUnGZ.bat" "%USERPROFILE%\AppData\Local\Temp\OnboardLogs"\RTDC4043\2016-11-12</v>
      </c>
      <c r="S30" s="103" t="str">
        <f>VLOOKUP(C30,'Train Runs'!$A$13:$AE$9999,22,0)</f>
        <v>https://search-rtdc-monitor-bjffxe2xuh6vdkpspy63sjmuny.us-east-1.es.amazonaws.com/_plugin/kibana/#/discover/Steve-Slow-Train-Analysis-(2080s-and-2083s)?_g=(refreshInterval:(display:Off,section:0,value:0),time:(from:'2016-11-11 16:50:40-700',mode:absolute,to:'2016-11-11 19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0" s="105" t="str">
        <f t="shared" si="1"/>
        <v>"C:\Program Files (x86)\AstroGrep\AstroGrep.exe" /spath="%USERPROFILE%\AppData\Local\Temp\OnboardLogs" /stypes="*4043*201611120*" /stext=" 01:.+((SYSTEM_STATE.+slice.+state.+changed )|(ment ac)|(system.+state.+changed )|(\[timeout)|(PRM\|1\|D)|(kpr)|(kdp)|(\|lc)|(penalty))" /e /r /s</v>
      </c>
      <c r="U30" s="9" t="str">
        <f t="shared" si="2"/>
        <v>4043</v>
      </c>
      <c r="V30" s="36">
        <f t="shared" si="3"/>
        <v>42686.065925925926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{"issue":{"subject":"","project_id":79,"tracker_id":40,"status_id":1,"priority_id":2,"assigned_to_id":23,"start_date":"2016-11-11","description":"","custom_fields":[{"id":1,"name":"Subdivision","value":"EC"},{"id":4,"name":"Milepost","value":"0.0001"},{"id":17,"name":"Train ID","value":"208-11"},{"id":16,"name":"Locomotive ID","value":"4043"},{"id":130,"name":"Impact","value":""},{"id":150,"name":"Time of Event (Mountain Time)","value":"18:34:56"},{"id":151,"name":"Denver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"%USERPROFILE%\AppData\Local\Temp\OnboardLogs"\RTDC4043\*4043*201611120* | grep -SE "((Enforcement Ac)|(PRM))" -</v>
      </c>
      <c r="AD30" s="1"/>
    </row>
    <row r="31" spans="1:30" x14ac:dyDescent="0.25">
      <c r="A31" s="36">
        <v>42685.29546296296</v>
      </c>
      <c r="B31" s="31" t="s">
        <v>189</v>
      </c>
      <c r="C31" s="31" t="s">
        <v>418</v>
      </c>
      <c r="D31" s="31" t="s">
        <v>49</v>
      </c>
      <c r="E31" s="31" t="s">
        <v>211</v>
      </c>
      <c r="F31" s="47">
        <v>0</v>
      </c>
      <c r="G31" s="47">
        <v>169</v>
      </c>
      <c r="H31" s="47">
        <v>232738</v>
      </c>
      <c r="I31" s="47">
        <v>232938</v>
      </c>
      <c r="J31" s="31" t="s">
        <v>212</v>
      </c>
      <c r="K31" s="47">
        <v>233491</v>
      </c>
      <c r="L31" s="154" t="s">
        <v>50</v>
      </c>
      <c r="M31" s="155">
        <f t="shared" si="0"/>
        <v>291.98399999999998</v>
      </c>
      <c r="N31" s="156" t="str">
        <f>VLOOKUP(C31,'Trips&amp;Operators'!$C$1:$E$99999,3,FALSE)</f>
        <v>MACDONALD</v>
      </c>
      <c r="O31" s="183" t="s">
        <v>206</v>
      </c>
      <c r="P31" s="157"/>
      <c r="Q31" s="31"/>
      <c r="R31" s="100" t="str">
        <f>VLOOKUP(C31,'Train Runs'!$A$13:$AE$9999,31,0)</f>
        <v>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 &amp; aws s3 cp s3://rtdc.mdm.uploadarchive.raw/RTDC4044/ "%USERPROFILE%\AppData\Local\Temp\OnboardLogs"\RTDC4044\2016-11-12 --exclude "*" --recursive --include "*20161112*" &amp; "%USERPROFILE%\Documents\GitHub\mrs-test-scripts\Headless Mode &amp; Sideloading\WalkAndUnGZ.bat" "%USERPROFILE%\AppData\Local\Temp\OnboardLogs"\RTDC4044\2016-11-12</v>
      </c>
      <c r="S31" s="103" t="str">
        <f>VLOOKUP(C31,'Train Runs'!$A$13:$AE$9999,22,0)</f>
        <v>https://search-rtdc-monitor-bjffxe2xuh6vdkpspy63sjmuny.us-east-1.es.amazonaws.com/_plugin/kibana/#/discover/Steve-Slow-Train-Analysis-(2080s-and-2083s)?_g=(refreshInterval:(display:Off,section:0,value:0),time:(from:'2016-11-11 05:25:05-700',mode:absolute,to:'2016-11-11 08:05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1" s="105" t="str">
        <f t="shared" si="1"/>
        <v>"C:\Program Files (x86)\AstroGrep\AstroGrep.exe" /spath="%USERPROFILE%\AppData\Local\Temp\OnboardLogs" /stypes="*4044*201611111*" /stext=" 14:.+((SYSTEM_STATE.+slice.+state.+changed )|(ment ac)|(system.+state.+changed )|(\[timeout)|(PRM\|1\|D)|(kpr)|(kdp)|(\|lc)|(penalty))" /e /r /s</v>
      </c>
      <c r="U31" s="9" t="str">
        <f t="shared" si="2"/>
        <v>4044</v>
      </c>
      <c r="V31" s="36">
        <f t="shared" si="3"/>
        <v>42685.587129629625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{"issue":{"subject":"","project_id":79,"tracker_id":40,"status_id":1,"priority_id":2,"assigned_to_id":23,"start_date":"2016-11-11","description":"","custom_fields":[{"id":1,"name":"Subdivision","value":"EC"},{"id":4,"name":"Milepost","value":"23.3491"},{"id":17,"name":"Train ID","value":"123-11"},{"id":16,"name":"Locomotive ID","value":"4044"},{"id":130,"name":"Impact","value":""},{"id":150,"name":"Time of Event (Mountain Time)","value":"07:05:28"},{"id":151,"name":"Denver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"%USERPROFILE%\AppData\Local\Temp\OnboardLogs"\RTDC4044\*4044*201611111* | grep -SE "((Enforcement Ac)|(PRM))" -</v>
      </c>
      <c r="AD31" s="1"/>
    </row>
    <row r="32" spans="1:30" ht="15" customHeight="1" x14ac:dyDescent="0.25">
      <c r="A32" s="36">
        <v>42685.365370370368</v>
      </c>
      <c r="B32" s="31" t="s">
        <v>187</v>
      </c>
      <c r="C32" s="31" t="s">
        <v>423</v>
      </c>
      <c r="D32" s="31" t="s">
        <v>49</v>
      </c>
      <c r="E32" s="31" t="s">
        <v>211</v>
      </c>
      <c r="F32" s="47">
        <v>0</v>
      </c>
      <c r="G32" s="47">
        <v>88</v>
      </c>
      <c r="H32" s="47">
        <v>233144</v>
      </c>
      <c r="I32" s="47">
        <v>233253</v>
      </c>
      <c r="J32" s="31" t="s">
        <v>212</v>
      </c>
      <c r="K32" s="47">
        <v>233491</v>
      </c>
      <c r="L32" s="154" t="s">
        <v>50</v>
      </c>
      <c r="M32" s="155">
        <f t="shared" si="0"/>
        <v>125.664</v>
      </c>
      <c r="N32" s="156" t="str">
        <f>VLOOKUP(C32,'Trips&amp;Operators'!$C$1:$E$99999,3,FALSE)</f>
        <v>RICHARDSON</v>
      </c>
      <c r="O32" s="183" t="s">
        <v>206</v>
      </c>
      <c r="P32" s="157"/>
      <c r="Q32" s="31"/>
      <c r="R32" s="100" t="str">
        <f>VLOOKUP(C32,'Train Runs'!$A$13:$AE$9999,31,0)</f>
        <v>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 &amp; aws s3 cp s3://rtdc.mdm.uploadarchive.raw/RTDC4009/ "%USERPROFILE%\AppData\Local\Temp\OnboardLogs"\RTDC4009\2016-11-12 --exclude "*" --recursive --include "*20161112*" &amp; "%USERPROFILE%\Documents\GitHub\mrs-test-scripts\Headless Mode &amp; Sideloading\WalkAndUnGZ.bat" "%USERPROFILE%\AppData\Local\Temp\OnboardLogs"\RTDC4009\2016-11-12</v>
      </c>
      <c r="S32" s="103" t="str">
        <f>VLOOKUP(C32,'Train Runs'!$A$13:$AE$9999,22,0)</f>
        <v>https://search-rtdc-monitor-bjffxe2xuh6vdkpspy63sjmuny.us-east-1.es.amazonaws.com/_plugin/kibana/#/discover/Steve-Slow-Train-Analysis-(2080s-and-2083s)?_g=(refreshInterval:(display:Off,section:0,value:0),time:(from:'2016-11-11 06:53:37-700',mode:absolute,to:'2016-11-11 09:46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2" s="105" t="str">
        <f t="shared" si="1"/>
        <v>"C:\Program Files (x86)\AstroGrep\AstroGrep.exe" /spath="%USERPROFILE%\AppData\Local\Temp\OnboardLogs" /stypes="*4009*201611111*" /stext=" 15:.+((SYSTEM_STATE.+slice.+state.+changed )|(ment ac)|(system.+state.+changed )|(\[timeout)|(PRM\|1\|D)|(kpr)|(kdp)|(\|lc)|(penalty))" /e /r /s</v>
      </c>
      <c r="U32" s="9" t="str">
        <f t="shared" si="2"/>
        <v>4009</v>
      </c>
      <c r="V32" s="36">
        <f t="shared" si="3"/>
        <v>42685.657037037032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{"issue":{"subject":"","project_id":79,"tracker_id":40,"status_id":1,"priority_id":2,"assigned_to_id":23,"start_date":"2016-11-11","description":"","custom_fields":[{"id":1,"name":"Subdivision","value":"EC"},{"id":4,"name":"Milepost","value":"23.3491"},{"id":17,"name":"Train ID","value":"135-11"},{"id":16,"name":"Locomotive ID","value":"4009"},{"id":130,"name":"Impact","value":""},{"id":150,"name":"Time of Event (Mountain Time)","value":"08:46:08"},{"id":151,"name":"Denver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"%USERPROFILE%\AppData\Local\Temp\OnboardLogs"\RTDC4009\*4009*201611111* | grep -SE "((Enforcement Ac)|(PRM))" -</v>
      </c>
      <c r="AD32" s="1"/>
    </row>
    <row r="33" spans="1:30" x14ac:dyDescent="0.25">
      <c r="A33" s="36">
        <v>42685.368043981478</v>
      </c>
      <c r="B33" s="31" t="s">
        <v>242</v>
      </c>
      <c r="C33" s="31" t="s">
        <v>425</v>
      </c>
      <c r="D33" s="31" t="s">
        <v>49</v>
      </c>
      <c r="E33" s="31" t="s">
        <v>207</v>
      </c>
      <c r="F33" s="47">
        <v>150</v>
      </c>
      <c r="G33" s="47">
        <v>344</v>
      </c>
      <c r="H33" s="47">
        <v>17215</v>
      </c>
      <c r="I33" s="47">
        <v>15977</v>
      </c>
      <c r="J33" s="31" t="s">
        <v>208</v>
      </c>
      <c r="K33" s="47">
        <v>14977</v>
      </c>
      <c r="L33" s="154" t="s">
        <v>51</v>
      </c>
      <c r="M33" s="155">
        <f t="shared" si="0"/>
        <v>528</v>
      </c>
      <c r="N33" s="156" t="str">
        <f>VLOOKUP(C33,'Trips&amp;Operators'!$C$1:$E$99999,3,FALSE)</f>
        <v>HAITHCOX</v>
      </c>
      <c r="O33" s="183" t="s">
        <v>206</v>
      </c>
      <c r="P33" s="157"/>
      <c r="Q33" s="31"/>
      <c r="R33" s="100" t="str">
        <f>VLOOKUP(C33,'Train Runs'!$A$13:$AE$9999,31,0)</f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S33" s="103" t="str">
        <f>VLOOKUP(C33,'Train Runs'!$A$13:$AE$9999,22,0)</f>
        <v>https://search-rtdc-monitor-bjffxe2xuh6vdkpspy63sjmuny.us-east-1.es.amazonaws.com/_plugin/kibana/#/discover/Steve-Slow-Train-Analysis-(2080s-and-2083s)?_g=(refreshInterval:(display:Off,section:0,value:0),time:(from:'2016-11-11 07:38:01-700',mode:absolute,to:'2016-11-11 09:56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3" s="105" t="str">
        <f t="shared" si="1"/>
        <v>"C:\Program Files (x86)\AstroGrep\AstroGrep.exe" /spath="%USERPROFILE%\AppData\Local\Temp\OnboardLogs" /stypes="*4041*201611111*" /stext=" 15:.+((SYSTEM_STATE.+slice.+state.+changed )|(ment ac)|(system.+state.+changed )|(\[timeout)|(PRM\|1\|D)|(kpr)|(kdp)|(\|lc)|(penalty))" /e /r /s</v>
      </c>
      <c r="U33" s="9" t="str">
        <f t="shared" si="2"/>
        <v>4041</v>
      </c>
      <c r="V33" s="36">
        <f t="shared" si="3"/>
        <v>42685.659710648142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{"issue":{"subject":"","project_id":79,"tracker_id":40,"status_id":1,"priority_id":2,"assigned_to_id":23,"start_date":"2016-11-11","description":"","custom_fields":[{"id":1,"name":"Subdivision","value":"NW"},{"id":4,"name":"Milepost","value":"1.4977"},{"id":17,"name":"Train ID","value":"812-11"},{"id":16,"name":"Locomotive ID","value":"4041"},{"id":130,"name":"Impact","value":""},{"id":150,"name":"Time of Event (Mountain Time)","value":"08:49:59"},{"id":151,"name":"Denver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"%USERPROFILE%\AppData\Local\Temp\OnboardLogs"\RTDC4041\*4041*201611111* | grep -SE "((Enforcement Ac)|(PRM))" -</v>
      </c>
      <c r="AD33" s="1"/>
    </row>
    <row r="34" spans="1:30" x14ac:dyDescent="0.25">
      <c r="A34" s="36">
        <v>42685.251805555556</v>
      </c>
      <c r="B34" s="31" t="s">
        <v>277</v>
      </c>
      <c r="C34" s="31" t="s">
        <v>412</v>
      </c>
      <c r="D34" s="31" t="s">
        <v>98</v>
      </c>
      <c r="E34" s="31" t="s">
        <v>207</v>
      </c>
      <c r="F34" s="47">
        <v>400</v>
      </c>
      <c r="G34" s="47">
        <v>455</v>
      </c>
      <c r="H34" s="47">
        <v>43748</v>
      </c>
      <c r="I34" s="47">
        <v>45223</v>
      </c>
      <c r="J34" s="31" t="s">
        <v>208</v>
      </c>
      <c r="K34" s="47">
        <v>41797</v>
      </c>
      <c r="L34" s="154" t="s">
        <v>50</v>
      </c>
      <c r="M34" s="155">
        <f t="shared" si="0"/>
        <v>-1808.9280000000001</v>
      </c>
      <c r="N34" s="156" t="str">
        <f>VLOOKUP(C34,'Trips&amp;Operators'!$C$1:$E$99999,3,FALSE)</f>
        <v>STRICKLAND</v>
      </c>
      <c r="O34" s="183" t="s">
        <v>206</v>
      </c>
      <c r="P34" s="157"/>
      <c r="Q34" s="31"/>
      <c r="R34" s="100" t="str">
        <f>VLOOKUP(C34,'Train Runs'!$A$13:$AE$9999,31,0)</f>
        <v>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 &amp; aws s3 cp s3://rtdc.mdm.uploadarchive.raw/RTDC4016/ "%USERPROFILE%\AppData\Local\Temp\OnboardLogs"\RTDC4016\2016-11-12 --exclude "*" --recursive --include "*20161112*" &amp; "%USERPROFILE%\Documents\GitHub\mrs-test-scripts\Headless Mode &amp; Sideloading\WalkAndUnGZ.bat" "%USERPROFILE%\AppData\Local\Temp\OnboardLogs"\RTDC4016\2016-11-12</v>
      </c>
      <c r="S34" s="103" t="str">
        <f>VLOOKUP(C34,'Train Runs'!$A$13:$AE$9999,22,0)</f>
        <v>https://search-rtdc-monitor-bjffxe2xuh6vdkpspy63sjmuny.us-east-1.es.amazonaws.com/_plugin/kibana/#/discover/Steve-Slow-Train-Analysis-(2080s-and-2083s)?_g=(refreshInterval:(display:Off,section:0,value:0),time:(from:'2016-11-11 04:28:58-700',mode:absolute,to:'2016-11-11 07:08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4" s="105" t="str">
        <f t="shared" si="1"/>
        <v>"C:\Program Files (x86)\AstroGrep\AstroGrep.exe" /spath="%USERPROFILE%\AppData\Local\Temp\OnboardLogs" /stypes="*4016*201611111*" /stext=" 13:.+((SYSTEM_STATE.+slice.+state.+changed )|(ment ac)|(system.+state.+changed )|(\[timeout)|(PRM\|1\|D)|(kpr)|(kdp)|(\|lc)|(penalty))" /e /r /s</v>
      </c>
      <c r="U34" s="9" t="str">
        <f t="shared" si="2"/>
        <v>4016</v>
      </c>
      <c r="V34" s="36">
        <f t="shared" si="3"/>
        <v>42685.54347222222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{"issue":{"subject":"","project_id":79,"tracker_id":40,"status_id":1,"priority_id":2,"assigned_to_id":23,"start_date":"2016-11-11","description":"","custom_fields":[{"id":1,"name":"Subdivision","value":"NW"},{"id":4,"name":"Milepost","value":"4.1797"},{"id":17,"name":"Train ID","value":"801-11"},{"id":16,"name":"Locomotive ID","value":"4016"},{"id":130,"name":"Impact","value":""},{"id":150,"name":"Time of Event (Mountain Time)","value":"06:02:36"},{"id":151,"name":"Denver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"%USERPROFILE%\AppData\Local\Temp\OnboardLogs"\RTDC4016\*4016*201611111* | grep -SE "((Enforcement Ac)|(PRM))" -</v>
      </c>
      <c r="AD34" s="1"/>
    </row>
    <row r="35" spans="1:30" x14ac:dyDescent="0.25">
      <c r="A35" s="36">
        <v>42685.293877314813</v>
      </c>
      <c r="B35" s="31" t="s">
        <v>277</v>
      </c>
      <c r="C35" s="31" t="s">
        <v>417</v>
      </c>
      <c r="D35" s="31" t="s">
        <v>49</v>
      </c>
      <c r="E35" s="31" t="s">
        <v>207</v>
      </c>
      <c r="F35" s="47">
        <v>150</v>
      </c>
      <c r="G35" s="47">
        <v>438</v>
      </c>
      <c r="H35" s="47">
        <v>55072</v>
      </c>
      <c r="I35" s="47">
        <v>56198</v>
      </c>
      <c r="J35" s="31" t="s">
        <v>208</v>
      </c>
      <c r="K35" s="47">
        <v>57008</v>
      </c>
      <c r="L35" s="154" t="s">
        <v>50</v>
      </c>
      <c r="M35" s="155">
        <f t="shared" si="0"/>
        <v>427.68</v>
      </c>
      <c r="N35" s="156" t="str">
        <f>VLOOKUP(C35,'Trips&amp;Operators'!$C$1:$E$99999,3,FALSE)</f>
        <v>STRICKLAND</v>
      </c>
      <c r="O35" s="183" t="s">
        <v>206</v>
      </c>
      <c r="P35" s="157"/>
      <c r="Q35" s="31"/>
      <c r="R35" s="100" t="str">
        <f>VLOOKUP(C35,'Train Runs'!$A$13:$AE$9999,31,0)</f>
        <v>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 &amp; aws s3 cp s3://rtdc.mdm.uploadarchive.raw/RTDC4016/ "%USERPROFILE%\AppData\Local\Temp\OnboardLogs"\RTDC4016\2016-11-12 --exclude "*" --recursive --include "*20161112*" &amp; "%USERPROFILE%\Documents\GitHub\mrs-test-scripts\Headless Mode &amp; Sideloading\WalkAndUnGZ.bat" "%USERPROFILE%\AppData\Local\Temp\OnboardLogs"\RTDC4016\2016-11-12</v>
      </c>
      <c r="S35" s="103" t="str">
        <f>VLOOKUP(C35,'Train Runs'!$A$13:$AE$9999,22,0)</f>
        <v>https://search-rtdc-monitor-bjffxe2xuh6vdkpspy63sjmuny.us-east-1.es.amazonaws.com/_plugin/kibana/#/discover/Steve-Slow-Train-Analysis-(2080s-and-2083s)?_g=(refreshInterval:(display:Off,section:0,value:0),time:(from:'2016-11-11 05:31:02-700',mode:absolute,to:'2016-11-11 08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5" s="105" t="str">
        <f t="shared" si="1"/>
        <v>"C:\Program Files (x86)\AstroGrep\AstroGrep.exe" /spath="%USERPROFILE%\AppData\Local\Temp\OnboardLogs" /stypes="*4016*201611111*" /stext=" 14:.+((SYSTEM_STATE.+slice.+state.+changed )|(ment ac)|(system.+state.+changed )|(\[timeout)|(PRM\|1\|D)|(kpr)|(kdp)|(\|lc)|(penalty))" /e /r /s</v>
      </c>
      <c r="U35" s="9" t="str">
        <f t="shared" si="2"/>
        <v>4016</v>
      </c>
      <c r="V35" s="36">
        <f t="shared" si="3"/>
        <v>42685.585543981477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{"issue":{"subject":"","project_id":79,"tracker_id":40,"status_id":1,"priority_id":2,"assigned_to_id":23,"start_date":"2016-11-11","description":"","custom_fields":[{"id":1,"name":"Subdivision","value":"NW"},{"id":4,"name":"Milepost","value":"5.7008"},{"id":17,"name":"Train ID","value":"805-11"},{"id":16,"name":"Locomotive ID","value":"4016"},{"id":130,"name":"Impact","value":""},{"id":150,"name":"Time of Event (Mountain Time)","value":"07:03:11"},{"id":151,"name":"Denver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"%USERPROFILE%\AppData\Local\Temp\OnboardLogs"\RTDC4016\*4016*201611111* | grep -SE "((Enforcement Ac)|(PRM))" -</v>
      </c>
      <c r="AD35" s="1"/>
    </row>
    <row r="36" spans="1:30" x14ac:dyDescent="0.25">
      <c r="A36" s="36">
        <v>42685.661296296297</v>
      </c>
      <c r="B36" s="31" t="s">
        <v>242</v>
      </c>
      <c r="C36" s="31" t="s">
        <v>435</v>
      </c>
      <c r="D36" s="31" t="s">
        <v>49</v>
      </c>
      <c r="E36" s="31" t="s">
        <v>209</v>
      </c>
      <c r="F36" s="47">
        <v>0</v>
      </c>
      <c r="G36" s="47">
        <v>350</v>
      </c>
      <c r="H36" s="47">
        <v>8862</v>
      </c>
      <c r="I36" s="47">
        <v>8045</v>
      </c>
      <c r="J36" s="31" t="s">
        <v>210</v>
      </c>
      <c r="K36" s="47">
        <v>6799</v>
      </c>
      <c r="L36" s="154" t="s">
        <v>51</v>
      </c>
      <c r="M36" s="155">
        <f t="shared" si="0"/>
        <v>657.88800000000003</v>
      </c>
      <c r="N36" s="156" t="str">
        <f>VLOOKUP(C36,'Trips&amp;Operators'!$C$1:$E$99999,3,FALSE)</f>
        <v>DAVIDSON</v>
      </c>
      <c r="O36" s="183" t="s">
        <v>206</v>
      </c>
      <c r="P36" s="157" t="s">
        <v>794</v>
      </c>
      <c r="Q36" s="31"/>
      <c r="R36" s="100" t="str">
        <f>VLOOKUP(C36,'Train Runs'!$A$13:$AE$9999,31,0)</f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S36" s="103" t="str">
        <f>VLOOKUP(C36,'Train Runs'!$A$13:$AE$9999,22,0)</f>
        <v>https://search-rtdc-monitor-bjffxe2xuh6vdkpspy63sjmuny.us-east-1.es.amazonaws.com/_plugin/kibana/#/discover/Steve-Slow-Train-Analysis-(2080s-and-2083s)?_g=(refreshInterval:(display:Off,section:0,value:0),time:(from:'2016-11-11 14:36:12-700',mode:absolute,to:'2016-11-11 16:56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6" s="105" t="str">
        <f t="shared" si="1"/>
        <v>"C:\Program Files (x86)\AstroGrep\AstroGrep.exe" /spath="%USERPROFILE%\AppData\Local\Temp\OnboardLogs" /stypes="*4041*201611112*" /stext=" 22:.+((SYSTEM_STATE.+slice.+state.+changed )|(ment ac)|(system.+state.+changed )|(\[timeout)|(PRM\|1\|D)|(kpr)|(kdp)|(\|lc)|(penalty))" /e /r /s</v>
      </c>
      <c r="U36" s="9" t="str">
        <f t="shared" si="2"/>
        <v>4041</v>
      </c>
      <c r="V36" s="36">
        <f t="shared" si="3"/>
        <v>42685.952962962961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{"issue":{"subject":"RESTRICTING aspects","project_id":79,"tracker_id":40,"status_id":1,"priority_id":2,"assigned_to_id":23,"start_date":"2016-11-11","description":"","custom_fields":[{"id":1,"name":"Subdivision","value":"NW"},{"id":4,"name":"Milepost","value":"0.6799"},{"id":17,"name":"Train ID","value":"826-11"},{"id":16,"name":"Locomotive ID","value":"4041"},{"id":130,"name":"Impact","value":""},{"id":150,"name":"Time of Event (Mountain Time)","value":"15:52:16"},{"id":151,"name":"Denver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"%USERPROFILE%\AppData\Local\Temp\OnboardLogs"\RTDC4041\*4041*201611112* | grep -SE "((Enforcement Ac)|(PRM))" -</v>
      </c>
      <c r="AD36" s="1"/>
    </row>
    <row r="37" spans="1:30" x14ac:dyDescent="0.25">
      <c r="A37" s="36">
        <v>42685.262511574074</v>
      </c>
      <c r="B37" s="31" t="s">
        <v>279</v>
      </c>
      <c r="C37" s="31" t="s">
        <v>413</v>
      </c>
      <c r="D37" s="31" t="s">
        <v>49</v>
      </c>
      <c r="E37" s="31" t="s">
        <v>209</v>
      </c>
      <c r="F37" s="47">
        <v>0</v>
      </c>
      <c r="G37" s="47">
        <v>207</v>
      </c>
      <c r="H37" s="47">
        <v>34392</v>
      </c>
      <c r="I37" s="47">
        <v>34077</v>
      </c>
      <c r="J37" s="31" t="s">
        <v>210</v>
      </c>
      <c r="K37" s="47">
        <v>33261</v>
      </c>
      <c r="L37" s="154" t="s">
        <v>51</v>
      </c>
      <c r="M37" s="155">
        <f t="shared" si="0"/>
        <v>430.84800000000001</v>
      </c>
      <c r="N37" s="156" t="str">
        <f>VLOOKUP(C37,'Trips&amp;Operators'!$C$1:$E$99999,3,FALSE)</f>
        <v>STRICKLAND</v>
      </c>
      <c r="O37" s="183" t="s">
        <v>206</v>
      </c>
      <c r="P37" s="157" t="s">
        <v>794</v>
      </c>
      <c r="Q37" s="31"/>
      <c r="R37" s="100" t="str">
        <f>VLOOKUP(C37,'Train Runs'!$A$13:$AE$9999,31,0)</f>
        <v>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 &amp; 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</v>
      </c>
      <c r="S37" s="103" t="str">
        <f>VLOOKUP(C37,'Train Runs'!$A$13:$AE$9999,22,0)</f>
        <v>https://search-rtdc-monitor-bjffxe2xuh6vdkpspy63sjmuny.us-east-1.es.amazonaws.com/_plugin/kibana/#/discover/Steve-Slow-Train-Analysis-(2080s-and-2083s)?_g=(refreshInterval:(display:Off,section:0,value:0),time:(from:'2016-11-11 05:09:59-700',mode:absolute,to:'2016-11-11 07:28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7" s="105" t="str">
        <f t="shared" si="1"/>
        <v>"C:\Program Files (x86)\AstroGrep\AstroGrep.exe" /spath="%USERPROFILE%\AppData\Local\Temp\OnboardLogs" /stypes="*4015*201611111*" /stext=" 13:.+((SYSTEM_STATE.+slice.+state.+changed )|(ment ac)|(system.+state.+changed )|(\[timeout)|(PRM\|1\|D)|(kpr)|(kdp)|(\|lc)|(penalty))" /e /r /s</v>
      </c>
      <c r="U37" s="9" t="str">
        <f t="shared" si="2"/>
        <v>4015</v>
      </c>
      <c r="V37" s="36">
        <f t="shared" si="3"/>
        <v>42685.554178240738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{"issue":{"subject":"RESTRICTING aspects","project_id":79,"tracker_id":40,"status_id":1,"priority_id":2,"assigned_to_id":23,"start_date":"2016-11-11","description":"","custom_fields":[{"id":1,"name":"Subdivision","value":"NW"},{"id":4,"name":"Milepost","value":"3.3261"},{"id":17,"name":"Train ID","value":"802-11"},{"id":16,"name":"Locomotive ID","value":"4015"},{"id":130,"name":"Impact","value":""},{"id":150,"name":"Time of Event (Mountain Time)","value":"06:18:01"},{"id":151,"name":"Denver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"%USERPROFILE%\AppData\Local\Temp\OnboardLogs"\RTDC4015\*4015*201611111* | grep -SE "((Enforcement Ac)|(PRM))" -</v>
      </c>
      <c r="AD37" s="1"/>
    </row>
    <row r="38" spans="1:30" x14ac:dyDescent="0.25">
      <c r="A38" s="36">
        <v>42685.352083333331</v>
      </c>
      <c r="B38" s="31" t="s">
        <v>279</v>
      </c>
      <c r="C38" s="31" t="s">
        <v>422</v>
      </c>
      <c r="D38" s="31" t="s">
        <v>49</v>
      </c>
      <c r="E38" s="31" t="s">
        <v>211</v>
      </c>
      <c r="F38" s="47">
        <v>0</v>
      </c>
      <c r="G38" s="47">
        <v>63</v>
      </c>
      <c r="H38" s="47">
        <v>263</v>
      </c>
      <c r="I38" s="47">
        <v>186</v>
      </c>
      <c r="J38" s="31" t="s">
        <v>212</v>
      </c>
      <c r="K38" s="47">
        <v>1</v>
      </c>
      <c r="L38" s="154" t="s">
        <v>51</v>
      </c>
      <c r="M38" s="155">
        <f t="shared" si="0"/>
        <v>97.68</v>
      </c>
      <c r="N38" s="156" t="str">
        <f>VLOOKUP(C38,'Trips&amp;Operators'!$C$1:$E$99999,3,FALSE)</f>
        <v>STRICKLAND</v>
      </c>
      <c r="O38" s="183" t="s">
        <v>206</v>
      </c>
      <c r="P38" s="157"/>
      <c r="Q38" s="31"/>
      <c r="R38" s="100" t="str">
        <f>VLOOKUP(C38,'Train Runs'!$A$13:$AE$9999,31,0)</f>
        <v>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 &amp; 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</v>
      </c>
      <c r="S38" s="103" t="str">
        <f>VLOOKUP(C38,'Train Runs'!$A$13:$AE$9999,22,0)</f>
        <v>https://search-rtdc-monitor-bjffxe2xuh6vdkpspy63sjmuny.us-east-1.es.amazonaws.com/_plugin/kibana/#/discover/Steve-Slow-Train-Analysis-(2080s-and-2083s)?_g=(refreshInterval:(display:Off,section:0,value:0),time:(from:'2016-11-11 07:07:52-700',mode:absolute,to:'2016-11-11 09:27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8" s="105" t="str">
        <f t="shared" si="1"/>
        <v>"C:\Program Files (x86)\AstroGrep\AstroGrep.exe" /spath="%USERPROFILE%\AppData\Local\Temp\OnboardLogs" /stypes="*4015*201611111*" /stext=" 15:.+((SYSTEM_STATE.+slice.+state.+changed )|(ment ac)|(system.+state.+changed )|(\[timeout)|(PRM\|1\|D)|(kpr)|(kdp)|(\|lc)|(penalty))" /e /r /s</v>
      </c>
      <c r="U38" s="9" t="str">
        <f t="shared" si="2"/>
        <v>4015</v>
      </c>
      <c r="V38" s="36">
        <f t="shared" si="3"/>
        <v>42685.643749999996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{"issue":{"subject":"","project_id":79,"tracker_id":40,"status_id":1,"priority_id":2,"assigned_to_id":23,"start_date":"2016-11-11","description":"","custom_fields":[{"id":1,"name":"Subdivision","value":"NW"},{"id":4,"name":"Milepost","value":"0.0001"},{"id":17,"name":"Train ID","value":"810-11"},{"id":16,"name":"Locomotive ID","value":"4015"},{"id":130,"name":"Impact","value":""},{"id":150,"name":"Time of Event (Mountain Time)","value":"08:27:00"},{"id":151,"name":"Denver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"%USERPROFILE%\AppData\Local\Temp\OnboardLogs"\RTDC4015\*4015*201611111* | grep -SE "((Enforcement Ac)|(PRM))" -</v>
      </c>
      <c r="AD38" s="1"/>
    </row>
    <row r="39" spans="1:30" x14ac:dyDescent="0.25">
      <c r="A39" s="36">
        <v>42685.352465277778</v>
      </c>
      <c r="B39" s="31" t="s">
        <v>279</v>
      </c>
      <c r="C39" s="31" t="s">
        <v>422</v>
      </c>
      <c r="D39" s="31" t="s">
        <v>49</v>
      </c>
      <c r="E39" s="31" t="s">
        <v>211</v>
      </c>
      <c r="F39" s="47">
        <v>0</v>
      </c>
      <c r="G39" s="47">
        <v>41</v>
      </c>
      <c r="H39" s="47">
        <v>128</v>
      </c>
      <c r="I39" s="47">
        <v>93</v>
      </c>
      <c r="J39" s="31" t="s">
        <v>212</v>
      </c>
      <c r="K39" s="47">
        <v>1</v>
      </c>
      <c r="L39" s="154" t="s">
        <v>51</v>
      </c>
      <c r="M39" s="155">
        <f t="shared" si="0"/>
        <v>48.576000000000001</v>
      </c>
      <c r="N39" s="156" t="str">
        <f>VLOOKUP(C39,'Trips&amp;Operators'!$C$1:$E$99999,3,FALSE)</f>
        <v>STRICKLAND</v>
      </c>
      <c r="O39" s="183" t="s">
        <v>206</v>
      </c>
      <c r="P39" s="157"/>
      <c r="Q39" s="31"/>
      <c r="R39" s="100" t="str">
        <f>VLOOKUP(C39,'Train Runs'!$A$13:$AE$9999,31,0)</f>
        <v>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 &amp; 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</v>
      </c>
      <c r="S39" s="103" t="str">
        <f>VLOOKUP(C39,'Train Runs'!$A$13:$AE$9999,22,0)</f>
        <v>https://search-rtdc-monitor-bjffxe2xuh6vdkpspy63sjmuny.us-east-1.es.amazonaws.com/_plugin/kibana/#/discover/Steve-Slow-Train-Analysis-(2080s-and-2083s)?_g=(refreshInterval:(display:Off,section:0,value:0),time:(from:'2016-11-11 07:07:52-700',mode:absolute,to:'2016-11-11 09:27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9" s="105" t="str">
        <f t="shared" si="1"/>
        <v>"C:\Program Files (x86)\AstroGrep\AstroGrep.exe" /spath="%USERPROFILE%\AppData\Local\Temp\OnboardLogs" /stypes="*4015*201611111*" /stext=" 15:.+((SYSTEM_STATE.+slice.+state.+changed )|(ment ac)|(system.+state.+changed )|(\[timeout)|(PRM\|1\|D)|(kpr)|(kdp)|(\|lc)|(penalty))" /e /r /s</v>
      </c>
      <c r="U39" s="9" t="str">
        <f t="shared" si="2"/>
        <v>4015</v>
      </c>
      <c r="V39" s="36">
        <f t="shared" si="3"/>
        <v>42685.644131944442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{"issue":{"subject":"","project_id":79,"tracker_id":40,"status_id":1,"priority_id":2,"assigned_to_id":23,"start_date":"2016-11-11","description":"","custom_fields":[{"id":1,"name":"Subdivision","value":"NW"},{"id":4,"name":"Milepost","value":"0.0001"},{"id":17,"name":"Train ID","value":"810-11"},{"id":16,"name":"Locomotive ID","value":"4015"},{"id":130,"name":"Impact","value":""},{"id":150,"name":"Time of Event (Mountain Time)","value":"08:27:33"},{"id":151,"name":"Denver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"%USERPROFILE%\AppData\Local\Temp\OnboardLogs"\RTDC4015\*4015*201611111* | grep -SE "((Enforcement Ac)|(PRM))" -</v>
      </c>
      <c r="AD39" s="1"/>
    </row>
    <row r="40" spans="1:30" x14ac:dyDescent="0.25">
      <c r="A40" s="36">
        <v>42685.269629629627</v>
      </c>
      <c r="B40" s="31" t="s">
        <v>279</v>
      </c>
      <c r="C40" s="31" t="s">
        <v>413</v>
      </c>
      <c r="D40" s="31" t="s">
        <v>49</v>
      </c>
      <c r="E40" s="31" t="s">
        <v>211</v>
      </c>
      <c r="F40" s="47">
        <v>0</v>
      </c>
      <c r="G40" s="47">
        <v>75</v>
      </c>
      <c r="H40" s="47">
        <v>881</v>
      </c>
      <c r="I40" s="47">
        <v>761</v>
      </c>
      <c r="J40" s="31" t="s">
        <v>212</v>
      </c>
      <c r="K40" s="47">
        <v>575</v>
      </c>
      <c r="L40" s="154" t="s">
        <v>51</v>
      </c>
      <c r="M40" s="155">
        <f t="shared" si="0"/>
        <v>98.207999999999998</v>
      </c>
      <c r="N40" s="156" t="str">
        <f>VLOOKUP(C40,'Trips&amp;Operators'!$C$1:$E$99999,3,FALSE)</f>
        <v>STRICKLAND</v>
      </c>
      <c r="O40" s="183" t="s">
        <v>206</v>
      </c>
      <c r="P40" s="157"/>
      <c r="Q40" s="31"/>
      <c r="R40" s="100" t="str">
        <f>VLOOKUP(C40,'Train Runs'!$A$13:$AE$9999,31,0)</f>
        <v>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 &amp; 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</v>
      </c>
      <c r="S40" s="103" t="str">
        <f>VLOOKUP(C40,'Train Runs'!$A$13:$AE$9999,22,0)</f>
        <v>https://search-rtdc-monitor-bjffxe2xuh6vdkpspy63sjmuny.us-east-1.es.amazonaws.com/_plugin/kibana/#/discover/Steve-Slow-Train-Analysis-(2080s-and-2083s)?_g=(refreshInterval:(display:Off,section:0,value:0),time:(from:'2016-11-11 05:09:59-700',mode:absolute,to:'2016-11-11 07:28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0" s="105" t="str">
        <f t="shared" si="1"/>
        <v>"C:\Program Files (x86)\AstroGrep\AstroGrep.exe" /spath="%USERPROFILE%\AppData\Local\Temp\OnboardLogs" /stypes="*4015*201611111*" /stext=" 13:.+((SYSTEM_STATE.+slice.+state.+changed )|(ment ac)|(system.+state.+changed )|(\[timeout)|(PRM\|1\|D)|(kpr)|(kdp)|(\|lc)|(penalty))" /e /r /s</v>
      </c>
      <c r="U40" s="9" t="str">
        <f t="shared" si="2"/>
        <v>4015</v>
      </c>
      <c r="V40" s="36">
        <f t="shared" si="3"/>
        <v>42685.561296296291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{"issue":{"subject":"","project_id":79,"tracker_id":40,"status_id":1,"priority_id":2,"assigned_to_id":23,"start_date":"2016-11-11","description":"","custom_fields":[{"id":1,"name":"Subdivision","value":"NW"},{"id":4,"name":"Milepost","value":"0.0575"},{"id":17,"name":"Train ID","value":"802-11"},{"id":16,"name":"Locomotive ID","value":"4015"},{"id":130,"name":"Impact","value":""},{"id":150,"name":"Time of Event (Mountain Time)","value":"06:28:16"},{"id":151,"name":"Denver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"%USERPROFILE%\AppData\Local\Temp\OnboardLogs"\RTDC4015\*4015*201611111* | grep -SE "((Enforcement Ac)|(PRM))" -</v>
      </c>
      <c r="AD40" s="1"/>
    </row>
    <row r="41" spans="1:30" x14ac:dyDescent="0.25">
      <c r="A41" s="36">
        <v>42685.289189814815</v>
      </c>
      <c r="B41" s="31" t="s">
        <v>242</v>
      </c>
      <c r="C41" s="31" t="s">
        <v>416</v>
      </c>
      <c r="D41" s="31" t="s">
        <v>49</v>
      </c>
      <c r="E41" s="31" t="s">
        <v>211</v>
      </c>
      <c r="F41" s="47">
        <v>0</v>
      </c>
      <c r="G41" s="47">
        <v>49</v>
      </c>
      <c r="H41" s="47">
        <v>729</v>
      </c>
      <c r="I41" s="47">
        <v>698</v>
      </c>
      <c r="J41" s="31" t="s">
        <v>212</v>
      </c>
      <c r="K41" s="47">
        <v>575</v>
      </c>
      <c r="L41" s="154" t="s">
        <v>51</v>
      </c>
      <c r="M41" s="155">
        <f t="shared" si="0"/>
        <v>64.944000000000003</v>
      </c>
      <c r="N41" s="156" t="str">
        <f>VLOOKUP(C41,'Trips&amp;Operators'!$C$1:$E$99999,3,FALSE)</f>
        <v>HAITHCOX</v>
      </c>
      <c r="O41" s="183" t="s">
        <v>206</v>
      </c>
      <c r="P41" s="157"/>
      <c r="Q41" s="31"/>
      <c r="R41" s="100" t="str">
        <f>VLOOKUP(C41,'Train Runs'!$A$13:$AE$9999,31,0)</f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S41" s="103" t="str">
        <f>VLOOKUP(C41,'Train Runs'!$A$13:$AE$9999,22,0)</f>
        <v>https://search-rtdc-monitor-bjffxe2xuh6vdkpspy63sjmuny.us-east-1.es.amazonaws.com/_plugin/kibana/#/discover/Steve-Slow-Train-Analysis-(2080s-and-2083s)?_g=(refreshInterval:(display:Off,section:0,value:0),time:(from:'2016-11-11 05:38:53-700',mode:absolute,to:'2016-11-11 07:56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1" s="105" t="str">
        <f t="shared" si="1"/>
        <v>"C:\Program Files (x86)\AstroGrep\AstroGrep.exe" /spath="%USERPROFILE%\AppData\Local\Temp\OnboardLogs" /stypes="*4041*201611111*" /stext=" 13:.+((SYSTEM_STATE.+slice.+state.+changed )|(ment ac)|(system.+state.+changed )|(\[timeout)|(PRM\|1\|D)|(kpr)|(kdp)|(\|lc)|(penalty))" /e /r /s</v>
      </c>
      <c r="U41" s="9" t="str">
        <f t="shared" si="2"/>
        <v>4041</v>
      </c>
      <c r="V41" s="36">
        <f t="shared" si="3"/>
        <v>42685.58085648148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{"issue":{"subject":"","project_id":79,"tracker_id":40,"status_id":1,"priority_id":2,"assigned_to_id":23,"start_date":"2016-11-11","description":"","custom_fields":[{"id":1,"name":"Subdivision","value":"NW"},{"id":4,"name":"Milepost","value":"0.0575"},{"id":17,"name":"Train ID","value":"804-11"},{"id":16,"name":"Locomotive ID","value":"4041"},{"id":130,"name":"Impact","value":""},{"id":150,"name":"Time of Event (Mountain Time)","value":"06:56:26"},{"id":151,"name":"Denver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"%USERPROFILE%\AppData\Local\Temp\OnboardLogs"\RTDC4041\*4041*201611111* | grep -SE "((Enforcement Ac)|(PRM))" -</v>
      </c>
      <c r="AD41" s="1"/>
    </row>
    <row r="42" spans="1:30" x14ac:dyDescent="0.25">
      <c r="A42" s="36">
        <v>42685.413622685184</v>
      </c>
      <c r="B42" s="31" t="s">
        <v>242</v>
      </c>
      <c r="C42" s="31" t="s">
        <v>429</v>
      </c>
      <c r="D42" s="31" t="s">
        <v>49</v>
      </c>
      <c r="E42" s="31" t="s">
        <v>211</v>
      </c>
      <c r="F42" s="47">
        <v>0</v>
      </c>
      <c r="G42" s="47">
        <v>50</v>
      </c>
      <c r="H42" s="47">
        <v>757</v>
      </c>
      <c r="I42" s="47">
        <v>713</v>
      </c>
      <c r="J42" s="31" t="s">
        <v>212</v>
      </c>
      <c r="K42" s="47">
        <v>575</v>
      </c>
      <c r="L42" s="154" t="s">
        <v>51</v>
      </c>
      <c r="M42" s="155">
        <f t="shared" si="0"/>
        <v>72.864000000000004</v>
      </c>
      <c r="N42" s="156" t="str">
        <f>VLOOKUP(C42,'Trips&amp;Operators'!$C$1:$E$99999,3,FALSE)</f>
        <v>HAITHCOX</v>
      </c>
      <c r="O42" s="183" t="s">
        <v>206</v>
      </c>
      <c r="P42" s="157"/>
      <c r="Q42" s="31"/>
      <c r="R42" s="100" t="str">
        <f>VLOOKUP(C42,'Train Runs'!$A$13:$AE$9999,31,0)</f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S42" s="103" t="str">
        <f>VLOOKUP(C42,'Train Runs'!$A$13:$AE$9999,22,0)</f>
        <v>https://search-rtdc-monitor-bjffxe2xuh6vdkpspy63sjmuny.us-east-1.es.amazonaws.com/_plugin/kibana/#/discover/Steve-Slow-Train-Analysis-(2080s-and-2083s)?_g=(refreshInterval:(display:Off,section:0,value:0),time:(from:'2016-11-11 08:38:35-700',mode:absolute,to:'2016-11-11 10:55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2" s="105" t="str">
        <f t="shared" si="1"/>
        <v>"C:\Program Files (x86)\AstroGrep\AstroGrep.exe" /spath="%USERPROFILE%\AppData\Local\Temp\OnboardLogs" /stypes="*4041*201611111*" /stext=" 16:.+((SYSTEM_STATE.+slice.+state.+changed )|(ment ac)|(system.+state.+changed )|(\[timeout)|(PRM\|1\|D)|(kpr)|(kdp)|(\|lc)|(penalty))" /e /r /s</v>
      </c>
      <c r="U42" s="9" t="str">
        <f t="shared" si="2"/>
        <v>4041</v>
      </c>
      <c r="V42" s="36">
        <f t="shared" si="3"/>
        <v>42685.705289351848</v>
      </c>
      <c r="W42" s="50" t="str">
        <f t="shared" si="4"/>
        <v>NW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{"issue":{"subject":"","project_id":79,"tracker_id":40,"status_id":1,"priority_id":2,"assigned_to_id":23,"start_date":"2016-11-11","description":"","custom_fields":[{"id":1,"name":"Subdivision","value":"NW"},{"id":4,"name":"Milepost","value":"0.0575"},{"id":17,"name":"Train ID","value":"814-11"},{"id":16,"name":"Locomotive ID","value":"4041"},{"id":130,"name":"Impact","value":""},{"id":150,"name":"Time of Event (Mountain Time)","value":"09:55:37"},{"id":151,"name":"Denver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"%USERPROFILE%\AppData\Local\Temp\OnboardLogs"\RTDC4041\*4041*201611111* | grep -SE "((Enforcement Ac)|(PRM))" -</v>
      </c>
      <c r="AD42" s="1"/>
    </row>
    <row r="43" spans="1:30" x14ac:dyDescent="0.25">
      <c r="A43" s="36">
        <v>42685.706122685187</v>
      </c>
      <c r="B43" s="31" t="s">
        <v>242</v>
      </c>
      <c r="C43" s="31" t="s">
        <v>436</v>
      </c>
      <c r="D43" s="31" t="s">
        <v>49</v>
      </c>
      <c r="E43" s="31" t="s">
        <v>211</v>
      </c>
      <c r="F43" s="47">
        <v>0</v>
      </c>
      <c r="G43" s="47">
        <v>62</v>
      </c>
      <c r="H43" s="47">
        <v>818</v>
      </c>
      <c r="I43" s="47">
        <v>759</v>
      </c>
      <c r="J43" s="31" t="s">
        <v>212</v>
      </c>
      <c r="K43" s="47">
        <v>575</v>
      </c>
      <c r="L43" s="154" t="s">
        <v>51</v>
      </c>
      <c r="M43" s="155">
        <f t="shared" si="0"/>
        <v>97.152000000000001</v>
      </c>
      <c r="N43" s="156" t="str">
        <f>VLOOKUP(C43,'Trips&amp;Operators'!$C$1:$E$99999,3,FALSE)</f>
        <v>DAVIDSON</v>
      </c>
      <c r="O43" s="183" t="s">
        <v>206</v>
      </c>
      <c r="P43" s="157"/>
      <c r="Q43" s="31"/>
      <c r="R43" s="100" t="str">
        <f>VLOOKUP(C43,'Train Runs'!$A$13:$AE$9999,31,0)</f>
        <v>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 &amp; 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</v>
      </c>
      <c r="S43" s="103" t="str">
        <f>VLOOKUP(C43,'Train Runs'!$A$13:$AE$9999,22,0)</f>
        <v>https://search-rtdc-monitor-bjffxe2xuh6vdkpspy63sjmuny.us-east-1.es.amazonaws.com/_plugin/kibana/#/discover/Steve-Slow-Train-Analysis-(2080s-and-2083s)?_g=(refreshInterval:(display:Off,section:0,value:0),time:(from:'2016-11-11 15:36:41-700',mode:absolute,to:'2016-11-11 17:56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3" s="105" t="str">
        <f t="shared" si="1"/>
        <v>"C:\Program Files (x86)\AstroGrep\AstroGrep.exe" /spath="%USERPROFILE%\AppData\Local\Temp\OnboardLogs" /stypes="*4041*201611112*" /stext=" 23:.+((SYSTEM_STATE.+slice.+state.+changed )|(ment ac)|(system.+state.+changed )|(\[timeout)|(PRM\|1\|D)|(kpr)|(kdp)|(\|lc)|(penalty))" /e /r /s</v>
      </c>
      <c r="U43" s="9" t="str">
        <f t="shared" si="2"/>
        <v>4041</v>
      </c>
      <c r="V43" s="36">
        <f t="shared" si="3"/>
        <v>42685.997789351852</v>
      </c>
      <c r="W43" s="50" t="str">
        <f t="shared" si="4"/>
        <v>NW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{"issue":{"subject":"","project_id":79,"tracker_id":40,"status_id":1,"priority_id":2,"assigned_to_id":23,"start_date":"2016-11-11","description":"","custom_fields":[{"id":1,"name":"Subdivision","value":"NW"},{"id":4,"name":"Milepost","value":"0.0575"},{"id":17,"name":"Train ID","value":"830-11"},{"id":16,"name":"Locomotive ID","value":"4041"},{"id":130,"name":"Impact","value":""},{"id":150,"name":"Time of Event (Mountain Time)","value":"16:56:49"},{"id":151,"name":"Denver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"%USERPROFILE%\AppData\Local\Temp\OnboardLogs"\RTDC4041\*4041*201611112* | grep -SE "((Enforcement Ac)|(PRM))" -</v>
      </c>
      <c r="AD43" s="1"/>
    </row>
    <row r="44" spans="1:30" x14ac:dyDescent="0.25">
      <c r="A44" s="36">
        <v>42685.316944444443</v>
      </c>
      <c r="B44" s="31" t="s">
        <v>243</v>
      </c>
      <c r="C44" s="31" t="s">
        <v>419</v>
      </c>
      <c r="D44" s="31" t="s">
        <v>49</v>
      </c>
      <c r="E44" s="31" t="s">
        <v>211</v>
      </c>
      <c r="F44" s="47">
        <v>0</v>
      </c>
      <c r="G44" s="47">
        <v>44</v>
      </c>
      <c r="H44" s="47">
        <v>58958</v>
      </c>
      <c r="I44" s="47">
        <v>58978</v>
      </c>
      <c r="J44" s="31" t="s">
        <v>212</v>
      </c>
      <c r="K44" s="47">
        <v>59048</v>
      </c>
      <c r="L44" s="154" t="s">
        <v>50</v>
      </c>
      <c r="M44" s="155">
        <f t="shared" si="0"/>
        <v>36.96</v>
      </c>
      <c r="N44" s="156" t="str">
        <f>VLOOKUP(C44,'Trips&amp;Operators'!$C$1:$E$99999,3,FALSE)</f>
        <v>HAITHCOX</v>
      </c>
      <c r="O44" s="183" t="s">
        <v>206</v>
      </c>
      <c r="P44" s="157"/>
      <c r="Q44" s="31"/>
      <c r="R44" s="100" t="str">
        <f>VLOOKUP(C44,'Train Runs'!$A$13:$AE$9999,31,0)</f>
        <v>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 &amp; 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</v>
      </c>
      <c r="S44" s="103" t="str">
        <f>VLOOKUP(C44,'Train Runs'!$A$13:$AE$9999,22,0)</f>
        <v>https://search-rtdc-monitor-bjffxe2xuh6vdkpspy63sjmuny.us-east-1.es.amazonaws.com/_plugin/kibana/#/discover/Steve-Slow-Train-Analysis-(2080s-and-2083s)?_g=(refreshInterval:(display:Off,section:0,value:0),time:(from:'2016-11-11 06:16:53-700',mode:absolute,to:'2016-11-11 08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44" s="105" t="str">
        <f t="shared" si="1"/>
        <v>"C:\Program Files (x86)\AstroGrep\AstroGrep.exe" /spath="%USERPROFILE%\AppData\Local\Temp\OnboardLogs" /stypes="*4042*201611111*" /stext=" 14:.+((SYSTEM_STATE.+slice.+state.+changed )|(ment ac)|(system.+state.+changed )|(\[timeout)|(PRM\|1\|D)|(kpr)|(kdp)|(\|lc)|(penalty))" /e /r /s</v>
      </c>
      <c r="U44" s="9" t="str">
        <f t="shared" si="2"/>
        <v>4042</v>
      </c>
      <c r="V44" s="36">
        <f t="shared" si="3"/>
        <v>42685.608611111107</v>
      </c>
      <c r="W44" s="50" t="str">
        <f t="shared" si="4"/>
        <v>NW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{"issue":{"subject":"","project_id":79,"tracker_id":40,"status_id":1,"priority_id":2,"assigned_to_id":23,"start_date":"2016-11-11","description":"","custom_fields":[{"id":1,"name":"Subdivision","value":"NW"},{"id":4,"name":"Milepost","value":"5.9048"},{"id":17,"name":"Train ID","value":"807-11"},{"id":16,"name":"Locomotive ID","value":"4042"},{"id":130,"name":"Impact","value":""},{"id":150,"name":"Time of Event (Mountain Time)","value":"07:36:24"},{"id":151,"name":"Denver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"%USERPROFILE%\AppData\Local\Temp\OnboardLogs"\RTDC4042\*4042*201611111* | grep -SE "((Enforcement Ac)|(PRM))" -</v>
      </c>
      <c r="AD44" s="1"/>
    </row>
    <row r="45" spans="1:30" x14ac:dyDescent="0.25">
      <c r="A45" s="36">
        <v>42685.711354166669</v>
      </c>
      <c r="B45" s="31" t="s">
        <v>277</v>
      </c>
      <c r="C45" s="31" t="s">
        <v>437</v>
      </c>
      <c r="D45" s="31" t="s">
        <v>49</v>
      </c>
      <c r="E45" s="31" t="s">
        <v>211</v>
      </c>
      <c r="F45" s="47">
        <v>0</v>
      </c>
      <c r="G45" s="47">
        <v>142</v>
      </c>
      <c r="H45" s="47">
        <v>57861</v>
      </c>
      <c r="I45" s="47">
        <v>58135</v>
      </c>
      <c r="J45" s="31" t="s">
        <v>212</v>
      </c>
      <c r="K45" s="47">
        <v>59048</v>
      </c>
      <c r="L45" s="154" t="s">
        <v>50</v>
      </c>
      <c r="M45" s="155">
        <f t="shared" si="0"/>
        <v>482.06400000000002</v>
      </c>
      <c r="N45" s="156" t="str">
        <f>VLOOKUP(C45,'Trips&amp;Operators'!$C$1:$E$99999,3,FALSE)</f>
        <v>SAFIEF</v>
      </c>
      <c r="O45" s="183" t="s">
        <v>206</v>
      </c>
      <c r="P45" s="157"/>
      <c r="Q45" s="31"/>
      <c r="R45" s="100" t="str">
        <f>VLOOKUP(C45,'Train Runs'!$A$13:$AE$9999,31,0)</f>
        <v>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 &amp; aws s3 cp s3://rtdc.mdm.uploadarchive.raw/RTDC4016/ "%USERPROFILE%\AppData\Local\Temp\OnboardLogs"\RTDC4016\2016-11-12 --exclude "*" --recursive --include "*20161112*" &amp; "%USERPROFILE%\Documents\GitHub\mrs-test-scripts\Headless Mode &amp; Sideloading\WalkAndUnGZ.bat" "%USERPROFILE%\AppData\Local\Temp\OnboardLogs"\RTDC4016\2016-11-12</v>
      </c>
      <c r="S45" s="103" t="str">
        <f>VLOOKUP(C45,'Train Runs'!$A$13:$AE$9999,22,0)</f>
        <v>https://search-rtdc-monitor-bjffxe2xuh6vdkpspy63sjmuny.us-east-1.es.amazonaws.com/_plugin/kibana/#/discover/Steve-Slow-Train-Analysis-(2080s-and-2083s)?_g=(refreshInterval:(display:Off,section:0,value:0),time:(from:'2016-11-11 15:27:52-700',mode:absolute,to:'2016-11-11 18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5" s="105" t="str">
        <f t="shared" si="1"/>
        <v>"C:\Program Files (x86)\AstroGrep\AstroGrep.exe" /spath="%USERPROFILE%\AppData\Local\Temp\OnboardLogs" /stypes="*4016*201611120*" /stext=" 00:.+((SYSTEM_STATE.+slice.+state.+changed )|(ment ac)|(system.+state.+changed )|(\[timeout)|(PRM\|1\|D)|(kpr)|(kdp)|(\|lc)|(penalty))" /e /r /s</v>
      </c>
      <c r="U45" s="9" t="str">
        <f t="shared" si="2"/>
        <v>4016</v>
      </c>
      <c r="V45" s="36">
        <f t="shared" si="3"/>
        <v>42686.003020833334</v>
      </c>
      <c r="W45" s="50" t="str">
        <f t="shared" si="4"/>
        <v>NW</v>
      </c>
      <c r="X45" s="50" t="str">
        <f t="shared" si="5"/>
        <v>KEEP</v>
      </c>
      <c r="Y45" s="119" t="str">
        <f t="shared" si="6"/>
        <v>echo {"issue":{"subject":"","project_id":79,"tracker_id":40,"status_id":1,"priority_id":2,"assigned_to_id":23,"start_date":"2016-11-11","description":"","custom_fields":[{"id":1,"name":"Subdivision","value":"NW"},{"id":4,"name":"Milepost","value":"5.9048"},{"id":17,"name":"Train ID","value":"831-11"},{"id":16,"name":"Locomotive ID","value":"4016"},{"id":130,"name":"Impact","value":""},{"id":150,"name":"Time of Event (Mountain Time)","value":"17:04:21"},{"id":151,"name":"Denver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"%USERPROFILE%\AppData\Local\Temp\OnboardLogs"\RTDC4016\*4016*201611120* | grep -SE "((Enforcement Ac)|(PRM))" -</v>
      </c>
      <c r="AD45" s="1"/>
    </row>
    <row r="46" spans="1:30" x14ac:dyDescent="0.25">
      <c r="A46" s="36">
        <v>42685.756631944445</v>
      </c>
      <c r="B46" s="31" t="s">
        <v>263</v>
      </c>
      <c r="C46" s="31" t="s">
        <v>439</v>
      </c>
      <c r="D46" s="31" t="s">
        <v>49</v>
      </c>
      <c r="E46" s="31" t="s">
        <v>211</v>
      </c>
      <c r="F46" s="47">
        <v>0</v>
      </c>
      <c r="G46" s="47">
        <v>12</v>
      </c>
      <c r="H46" s="47">
        <v>848</v>
      </c>
      <c r="I46" s="47">
        <v>839</v>
      </c>
      <c r="J46" s="31" t="s">
        <v>212</v>
      </c>
      <c r="K46" s="47">
        <v>826</v>
      </c>
      <c r="L46" s="154" t="s">
        <v>51</v>
      </c>
      <c r="M46" s="155">
        <f t="shared" si="0"/>
        <v>6.8639999999999999</v>
      </c>
      <c r="N46" s="156" t="str">
        <f>VLOOKUP(C46,'Trips&amp;Operators'!$C$1:$E$99999,3,FALSE)</f>
        <v>WHITED</v>
      </c>
      <c r="O46" s="183" t="s">
        <v>206</v>
      </c>
      <c r="P46" s="157"/>
      <c r="Q46" s="31"/>
      <c r="R46" s="100" t="str">
        <f>VLOOKUP(C46,'Train Runs'!$A$13:$AE$9999,31,0)</f>
        <v>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 &amp; aws s3 cp s3://rtdc.mdm.uploadarchive.raw/RTDC4001/ "%USERPROFILE%\AppData\Local\Temp\OnboardLogs"\RTDC4001\2016-11-12 --exclude "*" --recursive --include "*20161112*" &amp; "%USERPROFILE%\Documents\GitHub\mrs-test-scripts\Headless Mode &amp; Sideloading\WalkAndUnGZ.bat" "%USERPROFILE%\AppData\Local\Temp\OnboardLogs"\RTDC4001\2016-11-12</v>
      </c>
      <c r="S46" s="103" t="str">
        <f>VLOOKUP(C46,'Train Runs'!$A$13:$AE$9999,22,0)</f>
        <v>https://search-rtdc-monitor-bjffxe2xuh6vdkpspy63sjmuny.us-east-1.es.amazonaws.com/_plugin/kibana/#/discover/Steve-Slow-Train-Analysis-(2080s-and-2083s)?_g=(refreshInterval:(display:Off,section:0,value:0),time:(from:'2016-11-11 16:57:22-700',mode:absolute,to:'2016-11-11 19:09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6" s="105" t="str">
        <f t="shared" si="1"/>
        <v>"C:\Program Files (x86)\AstroGrep\AstroGrep.exe" /spath="%USERPROFILE%\AppData\Local\Temp\OnboardLogs" /stypes="*4001*201611120*" /stext=" 01:.+((SYSTEM_STATE.+slice.+state.+changed )|(ment ac)|(system.+state.+changed )|(\[timeout)|(PRM\|1\|D)|(kpr)|(kdp)|(\|lc)|(penalty))" /e /r /s</v>
      </c>
      <c r="U46" s="9" t="str">
        <f t="shared" si="2"/>
        <v>4001</v>
      </c>
      <c r="V46" s="36">
        <f t="shared" si="3"/>
        <v>42686.048298611109</v>
      </c>
      <c r="W46" s="50" t="str">
        <f t="shared" si="4"/>
        <v>Other</v>
      </c>
      <c r="X46" s="50" t="str">
        <f t="shared" si="5"/>
        <v>KEEP</v>
      </c>
      <c r="Y46" s="119" t="str">
        <f t="shared" si="6"/>
        <v>echo {"issue":{"subject":"","project_id":79,"tracker_id":40,"status_id":1,"priority_id":2,"assigned_to_id":23,"start_date":"2016-11-11","description":"","custom_fields":[{"id":1,"name":"Subdivision","value":"Other"},{"id":4,"name":"Milepost","value":"0.0826"},{"id":17,"name":"Train ID","value":"64-11"},{"id":16,"name":"Locomotive ID","value":"4001"},{"id":130,"name":"Impact","value":""},{"id":150,"name":"Time of Event (Mountain Time)","value":"18:09:33"},{"id":151,"name":"Denver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"%USERPROFILE%\AppData\Local\Temp\OnboardLogs"\RTDC4001\*4001*201611120* | grep -SE "((Enforcement Ac)|(PRM))" -</v>
      </c>
      <c r="AD46" s="1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43">
    <sortState ref="A7:AC46">
      <sortCondition ref="W7:W46"/>
      <sortCondition ref="E7:E46"/>
      <sortCondition ref="K7:K46"/>
      <sortCondition ref="F7:F46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 O7:O46">
    <cfRule type="cellIs" dxfId="2" priority="36" operator="equal">
      <formula>"Y"</formula>
    </cfRule>
  </conditionalFormatting>
  <conditionalFormatting sqref="O2:O3">
    <cfRule type="cellIs" dxfId="1" priority="27" operator="equal">
      <formula>"Y"</formula>
    </cfRule>
  </conditionalFormatting>
  <conditionalFormatting sqref="A7:P46">
    <cfRule type="expression" dxfId="0" priority="20">
      <formula>$O7="Y"</formula>
    </cfRule>
  </conditionalFormatting>
  <hyperlinks>
    <hyperlink ref="Z2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AA7:AA46</xm:sqref>
        </x14:dataValidation>
        <x14:dataValidation type="list" allowBlank="1" showInputMessage="1" showErrorMessage="1">
          <x14:formula1>
            <xm:f>'Redmine List Values'!$C$2:$C$15</xm:f>
          </x14:formula1>
          <xm:sqref>AB7:AB46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1"/>
  <sheetViews>
    <sheetView workbookViewId="0">
      <selection activeCell="E3" sqref="E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2016-11-11</v>
      </c>
      <c r="C1" s="186"/>
      <c r="D1" s="186"/>
      <c r="E1" s="186"/>
      <c r="F1" s="186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>
        <v>198</v>
      </c>
      <c r="B3" s="47" t="str">
        <f>A3&amp;"-"&amp;IF(DAY(Variables!$A$2)&lt;10,0,"")&amp;DAY(Variables!$A$2)</f>
        <v>198-11</v>
      </c>
      <c r="C3" s="158"/>
      <c r="D3" s="163"/>
      <c r="E3" s="31" t="s">
        <v>795</v>
      </c>
      <c r="F3" s="22" t="str">
        <f>VLOOKUP(B3,'Trips&amp;Operators'!$C$2:$E$10000,3,FALSE)</f>
        <v>SHOOK</v>
      </c>
      <c r="G3" s="22" t="str">
        <f>VLOOKUP(B3,'Trips&amp;Operators'!$C$1:$F$10000,4,FALSE)</f>
        <v>rtdc.l.rtdc.4017:itc</v>
      </c>
      <c r="H3" s="30">
        <f>VLOOKUP(B3,'Trips&amp;Operators'!$C$1:$H$10000,5,FALSE)</f>
        <v>42685.69017361111</v>
      </c>
      <c r="I3" s="50" t="str">
        <f t="shared" ref="I3:I11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22198-11%22)),sort:!(Time,asc))</v>
      </c>
      <c r="J3" s="31" t="e">
        <f>VLOOKUP(B3,'Train Runs'!$A$13:$A$99996,1,FALSE)</f>
        <v>#N/A</v>
      </c>
      <c r="K3" s="31" t="e">
        <f t="shared" ref="K3:K11" si="1">IF(VLOOKUP(A3,$K$46:$K$69,1,FALSE),"Cancelled")</f>
        <v>#N/A</v>
      </c>
    </row>
    <row r="4" spans="1:11" s="21" customFormat="1" x14ac:dyDescent="0.25">
      <c r="A4" s="179"/>
      <c r="B4" s="47" t="str">
        <f>A4&amp;"-"&amp;IF(DAY(Variables!$A$2)&lt;10,0,"")&amp;DAY(Variables!$A$2)</f>
        <v>-11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ref="I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4" s="31" t="e">
        <f>VLOOKUP(B4,'Train Runs'!$A$13:$A$99996,1,FALSE)</f>
        <v>#N/A</v>
      </c>
      <c r="K4" s="31" t="e">
        <f t="shared" ref="K4" si="3">IF(VLOOKUP(A4,$K$46:$K$69,1,FALSE),"Cancelled")</f>
        <v>#N/A</v>
      </c>
    </row>
    <row r="5" spans="1:11" x14ac:dyDescent="0.25">
      <c r="A5" s="179"/>
      <c r="B5" s="47" t="str">
        <f>A5&amp;"-"&amp;IF(DAY(Variables!$A$2)&lt;10,0,"")&amp;DAY(Variables!$A$2)</f>
        <v>-11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5" s="31" t="e">
        <f>VLOOKUP(B5,'Train Runs'!$A$13:$A$99996,1,FALSE)</f>
        <v>#N/A</v>
      </c>
      <c r="K5" s="31" t="e">
        <f t="shared" si="1"/>
        <v>#N/A</v>
      </c>
    </row>
    <row r="6" spans="1:11" x14ac:dyDescent="0.25">
      <c r="A6" s="179"/>
      <c r="B6" s="47" t="str">
        <f>A6&amp;"-"&amp;IF(DAY(Variables!$A$2)&lt;10,0,"")&amp;DAY(Variables!$A$2)</f>
        <v>-11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6" s="31" t="e">
        <f>VLOOKUP(B6,'Train Runs'!$A$13:$A$99996,1,FALSE)</f>
        <v>#N/A</v>
      </c>
      <c r="K6" s="31" t="e">
        <f t="shared" si="1"/>
        <v>#N/A</v>
      </c>
    </row>
    <row r="7" spans="1:11" x14ac:dyDescent="0.25">
      <c r="A7" s="179"/>
      <c r="B7" s="47" t="str">
        <f>A7&amp;"-"&amp;IF(DAY(Variables!$A$2)&lt;10,0,"")&amp;DAY(Variables!$A$2)</f>
        <v>-11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7" s="31" t="e">
        <f>VLOOKUP(B7,'Train Runs'!$A$13:$A$99996,1,FALSE)</f>
        <v>#N/A</v>
      </c>
      <c r="K7" s="31" t="e">
        <f t="shared" si="1"/>
        <v>#N/A</v>
      </c>
    </row>
    <row r="8" spans="1:11" x14ac:dyDescent="0.25">
      <c r="A8" s="171"/>
      <c r="B8" s="47" t="str">
        <f>A8&amp;"-"&amp;IF(DAY(Variables!$A$2)&lt;10,0,"")&amp;DAY(Variables!$A$2)</f>
        <v>-11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8" s="31" t="e">
        <f>VLOOKUP(B8,'Train Runs'!$A$13:$A$99996,1,FALSE)</f>
        <v>#N/A</v>
      </c>
      <c r="K8" s="31" t="e">
        <f t="shared" si="1"/>
        <v>#N/A</v>
      </c>
    </row>
    <row r="9" spans="1:11" x14ac:dyDescent="0.25">
      <c r="A9" s="171"/>
      <c r="B9" s="47" t="str">
        <f>A9&amp;"-"&amp;IF(DAY(Variables!$A$2)&lt;10,0,"")&amp;DAY(Variables!$A$2)</f>
        <v>-11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9" s="31" t="e">
        <f>VLOOKUP(B9,'Train Runs'!$A$13:$A$99996,1,FALSE)</f>
        <v>#N/A</v>
      </c>
      <c r="K9" s="31" t="e">
        <f t="shared" si="1"/>
        <v>#N/A</v>
      </c>
    </row>
    <row r="10" spans="1:11" x14ac:dyDescent="0.25">
      <c r="A10" s="171"/>
      <c r="B10" s="47" t="str">
        <f>A10&amp;"-"&amp;IF(DAY(Variables!$A$2)&lt;10,0,"")&amp;DAY(Variables!$A$2)</f>
        <v>-11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0" s="31" t="e">
        <f>VLOOKUP(B10,'Train Runs'!$A$13:$A$99996,1,FALSE)</f>
        <v>#N/A</v>
      </c>
      <c r="K10" s="31" t="e">
        <f t="shared" si="1"/>
        <v>#N/A</v>
      </c>
    </row>
    <row r="11" spans="1:11" x14ac:dyDescent="0.25">
      <c r="A11" s="171"/>
      <c r="B11" s="47" t="str">
        <f>A11&amp;"-"&amp;IF(DAY(Variables!$A$2)&lt;10,0,"")&amp;DAY(Variables!$A$2)</f>
        <v>-11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" s="31" t="e">
        <f>VLOOKUP(B11,'Train Runs'!$A$13:$A$99996,1,FALSE)</f>
        <v>#N/A</v>
      </c>
      <c r="K11" s="31" t="e">
        <f t="shared" si="1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181</v>
      </c>
      <c r="B1" s="21" t="s">
        <v>182</v>
      </c>
      <c r="C1" s="21" t="s">
        <v>0</v>
      </c>
      <c r="D1" s="21" t="s">
        <v>183</v>
      </c>
      <c r="E1" s="21" t="s">
        <v>184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42684.992002314815</v>
      </c>
      <c r="B2" s="21" t="s">
        <v>299</v>
      </c>
      <c r="C2" s="21" t="s">
        <v>357</v>
      </c>
      <c r="D2" s="21">
        <v>2550000</v>
      </c>
      <c r="E2" s="21" t="s">
        <v>268</v>
      </c>
      <c r="F2" s="21" t="str">
        <f t="shared" ref="F2:F65" si="0">B2</f>
        <v>rtdc.l.rtdc.4021:itc</v>
      </c>
      <c r="G2" s="8">
        <f t="shared" ref="G2:G65" si="1">A2</f>
        <v>42684.992002314815</v>
      </c>
    </row>
    <row r="3" spans="1:7" x14ac:dyDescent="0.25">
      <c r="A3" s="8">
        <v>42684.995717592596</v>
      </c>
      <c r="B3" s="21" t="s">
        <v>330</v>
      </c>
      <c r="C3" s="21" t="s">
        <v>358</v>
      </c>
      <c r="D3" s="21">
        <v>1300000</v>
      </c>
      <c r="E3" s="21" t="s">
        <v>113</v>
      </c>
      <c r="F3" s="21" t="str">
        <f t="shared" si="0"/>
        <v>rtdc.l.rtdc.4038:itc</v>
      </c>
      <c r="G3" s="8">
        <f t="shared" si="1"/>
        <v>42684.995717592596</v>
      </c>
    </row>
    <row r="4" spans="1:7" x14ac:dyDescent="0.25">
      <c r="A4" s="8">
        <v>42685.011921296296</v>
      </c>
      <c r="B4" s="21" t="s">
        <v>263</v>
      </c>
      <c r="C4" s="21" t="s">
        <v>359</v>
      </c>
      <c r="D4" s="21">
        <v>2420000</v>
      </c>
      <c r="E4" s="21" t="s">
        <v>303</v>
      </c>
      <c r="F4" s="21" t="str">
        <f t="shared" si="0"/>
        <v>rtdc.l.rtdc.4001:itc</v>
      </c>
      <c r="G4" s="8">
        <f t="shared" si="1"/>
        <v>42685.011921296296</v>
      </c>
    </row>
    <row r="5" spans="1:7" x14ac:dyDescent="0.25">
      <c r="A5" s="8">
        <v>42685.016226851854</v>
      </c>
      <c r="B5" s="21" t="s">
        <v>221</v>
      </c>
      <c r="C5" s="21" t="s">
        <v>360</v>
      </c>
      <c r="D5" s="21">
        <v>2000000</v>
      </c>
      <c r="E5" s="21" t="s">
        <v>244</v>
      </c>
      <c r="F5" s="21" t="str">
        <f t="shared" si="0"/>
        <v>rtdc.l.rtdc.4011:itc</v>
      </c>
      <c r="G5" s="8">
        <f t="shared" si="1"/>
        <v>42685.016226851854</v>
      </c>
    </row>
    <row r="6" spans="1:7" x14ac:dyDescent="0.25">
      <c r="A6" s="8">
        <v>42685.029282407406</v>
      </c>
      <c r="B6" s="21" t="s">
        <v>297</v>
      </c>
      <c r="C6" s="21" t="s">
        <v>361</v>
      </c>
      <c r="D6" s="21">
        <v>2550000</v>
      </c>
      <c r="E6" s="21" t="s">
        <v>268</v>
      </c>
      <c r="F6" s="21" t="str">
        <f t="shared" si="0"/>
        <v>rtdc.l.rtdc.4022:itc</v>
      </c>
      <c r="G6" s="8">
        <f t="shared" si="1"/>
        <v>42685.029282407406</v>
      </c>
    </row>
    <row r="7" spans="1:7" x14ac:dyDescent="0.25">
      <c r="A7" s="8">
        <v>42685.039282407408</v>
      </c>
      <c r="B7" s="21" t="s">
        <v>336</v>
      </c>
      <c r="C7" s="21" t="s">
        <v>362</v>
      </c>
      <c r="D7" s="21">
        <v>1300000</v>
      </c>
      <c r="E7" s="21" t="s">
        <v>113</v>
      </c>
      <c r="F7" s="21" t="str">
        <f t="shared" si="0"/>
        <v>rtdc.l.rtdc.4037:itc</v>
      </c>
      <c r="G7" s="8">
        <f t="shared" si="1"/>
        <v>42685.039282407408</v>
      </c>
    </row>
    <row r="8" spans="1:7" x14ac:dyDescent="0.25">
      <c r="A8" s="8">
        <v>42685.049375000002</v>
      </c>
      <c r="B8" s="21" t="s">
        <v>264</v>
      </c>
      <c r="C8" s="21" t="s">
        <v>363</v>
      </c>
      <c r="D8" s="21">
        <v>2420000</v>
      </c>
      <c r="E8" s="21" t="s">
        <v>303</v>
      </c>
      <c r="F8" s="21" t="str">
        <f t="shared" si="0"/>
        <v>rtdc.l.rtdc.4002:itc</v>
      </c>
      <c r="G8" s="8">
        <f t="shared" si="1"/>
        <v>42685.049375000002</v>
      </c>
    </row>
    <row r="9" spans="1:7" ht="15.75" thickBot="1" x14ac:dyDescent="0.3">
      <c r="A9" s="25">
        <v>42685.056481481479</v>
      </c>
      <c r="B9" s="21" t="s">
        <v>251</v>
      </c>
      <c r="C9" s="21" t="s">
        <v>364</v>
      </c>
      <c r="D9" s="21">
        <v>2000000</v>
      </c>
      <c r="E9" s="21" t="s">
        <v>244</v>
      </c>
      <c r="F9" s="21" t="str">
        <f t="shared" si="0"/>
        <v>rtdc.l.rtdc.4012:itc</v>
      </c>
      <c r="G9" s="8">
        <f t="shared" si="1"/>
        <v>42685.056481481479</v>
      </c>
    </row>
    <row r="10" spans="1:7" x14ac:dyDescent="0.25">
      <c r="A10" s="8">
        <v>42685.071712962963</v>
      </c>
      <c r="B10" s="21" t="s">
        <v>330</v>
      </c>
      <c r="C10" s="21" t="s">
        <v>365</v>
      </c>
      <c r="D10" s="21">
        <v>1300000</v>
      </c>
      <c r="E10" s="21" t="s">
        <v>113</v>
      </c>
      <c r="F10" s="21" t="str">
        <f t="shared" si="0"/>
        <v>rtdc.l.rtdc.4038:itc</v>
      </c>
      <c r="G10" s="8">
        <f t="shared" si="1"/>
        <v>42685.071712962963</v>
      </c>
    </row>
    <row r="11" spans="1:7" x14ac:dyDescent="0.25">
      <c r="A11" s="8">
        <v>42685.138541666667</v>
      </c>
      <c r="B11" s="21" t="s">
        <v>231</v>
      </c>
      <c r="C11" s="21" t="s">
        <v>443</v>
      </c>
      <c r="D11" s="21">
        <v>2010000</v>
      </c>
      <c r="E11" s="21" t="s">
        <v>300</v>
      </c>
      <c r="F11" s="21" t="str">
        <f t="shared" si="0"/>
        <v>rtdc.l.rtdc.4003:itc</v>
      </c>
      <c r="G11" s="8">
        <f t="shared" si="1"/>
        <v>42685.138541666667</v>
      </c>
    </row>
    <row r="12" spans="1:7" x14ac:dyDescent="0.25">
      <c r="A12" s="8">
        <v>42685.143599537034</v>
      </c>
      <c r="B12" s="21" t="s">
        <v>295</v>
      </c>
      <c r="C12" s="21" t="s">
        <v>444</v>
      </c>
      <c r="D12" s="21">
        <v>1990000</v>
      </c>
      <c r="E12" s="21" t="s">
        <v>445</v>
      </c>
      <c r="F12" s="21" t="str">
        <f t="shared" si="0"/>
        <v>rtdc.l.rtdc.4026:itc</v>
      </c>
      <c r="G12" s="8">
        <f t="shared" si="1"/>
        <v>42685.143599537034</v>
      </c>
    </row>
    <row r="13" spans="1:7" x14ac:dyDescent="0.25">
      <c r="A13" s="8">
        <v>42685.153865740744</v>
      </c>
      <c r="B13" s="21" t="s">
        <v>248</v>
      </c>
      <c r="C13" s="21" t="s">
        <v>446</v>
      </c>
      <c r="D13" s="21">
        <v>1990000</v>
      </c>
      <c r="E13" s="21" t="s">
        <v>445</v>
      </c>
      <c r="F13" s="21" t="str">
        <f t="shared" si="0"/>
        <v>rtdc.l.rtdc.4031:itc</v>
      </c>
      <c r="G13" s="8">
        <f t="shared" si="1"/>
        <v>42685.153865740744</v>
      </c>
    </row>
    <row r="14" spans="1:7" x14ac:dyDescent="0.25">
      <c r="A14" s="8">
        <v>42685.16238425926</v>
      </c>
      <c r="B14" s="21" t="s">
        <v>218</v>
      </c>
      <c r="C14" s="21" t="s">
        <v>447</v>
      </c>
      <c r="D14" s="21">
        <v>1310000</v>
      </c>
      <c r="E14" s="21" t="s">
        <v>448</v>
      </c>
      <c r="F14" s="21" t="str">
        <f t="shared" si="0"/>
        <v>rtdc.l.rtdc.4030:itc</v>
      </c>
      <c r="G14" s="8">
        <f t="shared" si="1"/>
        <v>42685.16238425926</v>
      </c>
    </row>
    <row r="15" spans="1:7" x14ac:dyDescent="0.25">
      <c r="A15" s="8">
        <v>42685.171122685184</v>
      </c>
      <c r="B15" s="21" t="s">
        <v>420</v>
      </c>
      <c r="C15" s="21" t="s">
        <v>449</v>
      </c>
      <c r="D15" s="21">
        <v>2010000</v>
      </c>
      <c r="E15" s="21" t="s">
        <v>300</v>
      </c>
      <c r="F15" s="21" t="str">
        <f t="shared" si="0"/>
        <v>rtdc.l.rtdc.4017:itc</v>
      </c>
      <c r="G15" s="8">
        <f t="shared" si="1"/>
        <v>42685.171122685184</v>
      </c>
    </row>
    <row r="16" spans="1:7" x14ac:dyDescent="0.25">
      <c r="A16" s="8">
        <v>42685.173854166664</v>
      </c>
      <c r="B16" s="21" t="s">
        <v>296</v>
      </c>
      <c r="C16" s="21" t="s">
        <v>450</v>
      </c>
      <c r="D16" s="21">
        <v>2380000</v>
      </c>
      <c r="E16" s="21" t="s">
        <v>265</v>
      </c>
      <c r="F16" s="21" t="str">
        <f t="shared" si="0"/>
        <v>rtdc.l.rtdc.4010:itc</v>
      </c>
      <c r="G16" s="8">
        <f t="shared" si="1"/>
        <v>42685.173854166664</v>
      </c>
    </row>
    <row r="17" spans="1:7" x14ac:dyDescent="0.25">
      <c r="A17" s="8">
        <v>42685.174328703702</v>
      </c>
      <c r="B17" s="21" t="s">
        <v>226</v>
      </c>
      <c r="C17" s="21" t="s">
        <v>451</v>
      </c>
      <c r="D17" s="21">
        <v>1310000</v>
      </c>
      <c r="E17" s="21" t="s">
        <v>448</v>
      </c>
      <c r="F17" s="21" t="str">
        <f t="shared" si="0"/>
        <v>rtdc.l.rtdc.4040:itc</v>
      </c>
      <c r="G17" s="8">
        <f t="shared" si="1"/>
        <v>42685.174328703702</v>
      </c>
    </row>
    <row r="18" spans="1:7" x14ac:dyDescent="0.25">
      <c r="A18" s="8">
        <v>42685.184363425928</v>
      </c>
      <c r="B18" s="21" t="s">
        <v>280</v>
      </c>
      <c r="C18" s="21" t="s">
        <v>452</v>
      </c>
      <c r="D18" s="21">
        <v>2560000</v>
      </c>
      <c r="E18" s="21" t="s">
        <v>267</v>
      </c>
      <c r="F18" s="21" t="str">
        <f t="shared" si="0"/>
        <v>rtdc.l.rtdc.4043:itc</v>
      </c>
      <c r="G18" s="8">
        <f t="shared" si="1"/>
        <v>42685.184363425928</v>
      </c>
    </row>
    <row r="19" spans="1:7" x14ac:dyDescent="0.25">
      <c r="A19" s="8">
        <v>42685.184363425928</v>
      </c>
      <c r="B19" s="21" t="s">
        <v>187</v>
      </c>
      <c r="C19" s="21" t="s">
        <v>409</v>
      </c>
      <c r="D19" s="21">
        <v>2380000</v>
      </c>
      <c r="E19" s="21" t="s">
        <v>265</v>
      </c>
      <c r="F19" s="21" t="str">
        <f t="shared" si="0"/>
        <v>rtdc.l.rtdc.4009:itc</v>
      </c>
      <c r="G19" s="8">
        <f t="shared" si="1"/>
        <v>42685.184363425928</v>
      </c>
    </row>
    <row r="20" spans="1:7" x14ac:dyDescent="0.25">
      <c r="A20" s="8">
        <v>42685.192013888889</v>
      </c>
      <c r="B20" s="21" t="s">
        <v>295</v>
      </c>
      <c r="C20" s="21" t="s">
        <v>453</v>
      </c>
      <c r="D20" s="21">
        <v>1990000</v>
      </c>
      <c r="E20" s="21" t="s">
        <v>445</v>
      </c>
      <c r="F20" s="21" t="str">
        <f t="shared" si="0"/>
        <v>rtdc.l.rtdc.4026:itc</v>
      </c>
      <c r="G20" s="8">
        <f t="shared" si="1"/>
        <v>42685.192013888889</v>
      </c>
    </row>
    <row r="21" spans="1:7" x14ac:dyDescent="0.25">
      <c r="A21" s="8">
        <v>42685.194699074076</v>
      </c>
      <c r="B21" s="21" t="s">
        <v>189</v>
      </c>
      <c r="C21" s="21" t="s">
        <v>454</v>
      </c>
      <c r="D21" s="21">
        <v>2560000</v>
      </c>
      <c r="E21" s="21" t="s">
        <v>267</v>
      </c>
      <c r="F21" s="21" t="str">
        <f t="shared" si="0"/>
        <v>rtdc.l.rtdc.4044:itc</v>
      </c>
      <c r="G21" s="8">
        <f t="shared" si="1"/>
        <v>42685.194699074076</v>
      </c>
    </row>
    <row r="22" spans="1:7" x14ac:dyDescent="0.25">
      <c r="A22" s="27">
        <v>42685.197534722225</v>
      </c>
      <c r="B22" s="21" t="s">
        <v>277</v>
      </c>
      <c r="C22" s="21" t="s">
        <v>455</v>
      </c>
      <c r="D22" s="21">
        <v>1760000</v>
      </c>
      <c r="E22" s="21" t="s">
        <v>456</v>
      </c>
      <c r="F22" s="21" t="str">
        <f t="shared" si="0"/>
        <v>rtdc.l.rtdc.4016:itc</v>
      </c>
      <c r="G22" s="8">
        <f t="shared" si="1"/>
        <v>42685.197534722225</v>
      </c>
    </row>
    <row r="23" spans="1:7" x14ac:dyDescent="0.25">
      <c r="A23" s="8">
        <v>42685.202511574076</v>
      </c>
      <c r="B23" s="21" t="s">
        <v>277</v>
      </c>
      <c r="C23" s="21" t="s">
        <v>455</v>
      </c>
      <c r="D23" s="21">
        <v>1760000</v>
      </c>
      <c r="E23" s="21" t="s">
        <v>456</v>
      </c>
      <c r="F23" s="21" t="str">
        <f t="shared" si="0"/>
        <v>rtdc.l.rtdc.4016:itc</v>
      </c>
      <c r="G23" s="8">
        <f t="shared" si="1"/>
        <v>42685.202511574076</v>
      </c>
    </row>
    <row r="24" spans="1:7" x14ac:dyDescent="0.25">
      <c r="A24" s="8">
        <v>42685.203414351854</v>
      </c>
      <c r="B24" s="21" t="s">
        <v>231</v>
      </c>
      <c r="C24" s="21" t="s">
        <v>457</v>
      </c>
      <c r="D24" s="21">
        <v>2100000</v>
      </c>
      <c r="E24" s="21" t="s">
        <v>335</v>
      </c>
      <c r="F24" s="21" t="str">
        <f t="shared" si="0"/>
        <v>rtdc.l.rtdc.4003:itc</v>
      </c>
      <c r="G24" s="8">
        <f t="shared" si="1"/>
        <v>42685.203414351854</v>
      </c>
    </row>
    <row r="25" spans="1:7" x14ac:dyDescent="0.25">
      <c r="A25" s="8">
        <v>42685.204583333332</v>
      </c>
      <c r="B25" s="21" t="s">
        <v>458</v>
      </c>
      <c r="C25" s="21" t="s">
        <v>459</v>
      </c>
      <c r="D25" s="21">
        <v>2010000</v>
      </c>
      <c r="E25" s="21" t="s">
        <v>300</v>
      </c>
      <c r="F25" s="21" t="str">
        <f t="shared" si="0"/>
        <v>rtdc.l.rtdc.4018:itc</v>
      </c>
      <c r="G25" s="8">
        <f t="shared" si="1"/>
        <v>42685.204583333332</v>
      </c>
    </row>
    <row r="26" spans="1:7" x14ac:dyDescent="0.25">
      <c r="A26" s="8">
        <v>42685.210810185185</v>
      </c>
      <c r="B26" s="21" t="s">
        <v>279</v>
      </c>
      <c r="C26" s="21" t="s">
        <v>460</v>
      </c>
      <c r="D26" s="21">
        <v>1760000</v>
      </c>
      <c r="E26" s="21" t="s">
        <v>456</v>
      </c>
      <c r="F26" s="21" t="str">
        <f t="shared" si="0"/>
        <v>rtdc.l.rtdc.4015:itc</v>
      </c>
      <c r="G26" s="8">
        <f t="shared" si="1"/>
        <v>42685.210810185185</v>
      </c>
    </row>
    <row r="27" spans="1:7" x14ac:dyDescent="0.25">
      <c r="A27" s="8">
        <v>42685.213842592595</v>
      </c>
      <c r="B27" s="21" t="s">
        <v>218</v>
      </c>
      <c r="C27" s="21" t="s">
        <v>410</v>
      </c>
      <c r="D27" s="21">
        <v>1310000</v>
      </c>
      <c r="E27" s="21" t="s">
        <v>448</v>
      </c>
      <c r="F27" s="21" t="str">
        <f t="shared" si="0"/>
        <v>rtdc.l.rtdc.4030:itc</v>
      </c>
      <c r="G27" s="8">
        <f t="shared" si="1"/>
        <v>42685.213842592595</v>
      </c>
    </row>
    <row r="28" spans="1:7" x14ac:dyDescent="0.25">
      <c r="A28" s="8">
        <v>42685.214467592596</v>
      </c>
      <c r="B28" s="21" t="s">
        <v>218</v>
      </c>
      <c r="C28" s="21" t="s">
        <v>410</v>
      </c>
      <c r="D28" s="21">
        <v>1310000</v>
      </c>
      <c r="E28" s="21" t="s">
        <v>448</v>
      </c>
      <c r="F28" s="21" t="str">
        <f t="shared" si="0"/>
        <v>rtdc.l.rtdc.4030:itc</v>
      </c>
      <c r="G28" s="8">
        <f t="shared" si="1"/>
        <v>42685.214467592596</v>
      </c>
    </row>
    <row r="29" spans="1:7" x14ac:dyDescent="0.25">
      <c r="A29" s="8">
        <v>42685.215370370373</v>
      </c>
      <c r="B29" s="21" t="s">
        <v>218</v>
      </c>
      <c r="C29" s="21" t="s">
        <v>410</v>
      </c>
      <c r="D29" s="21">
        <v>1310000</v>
      </c>
      <c r="E29" s="21" t="s">
        <v>448</v>
      </c>
      <c r="F29" s="21" t="str">
        <f t="shared" si="0"/>
        <v>rtdc.l.rtdc.4030:itc</v>
      </c>
      <c r="G29" s="8">
        <f t="shared" si="1"/>
        <v>42685.215370370373</v>
      </c>
    </row>
    <row r="30" spans="1:7" x14ac:dyDescent="0.25">
      <c r="A30" s="8">
        <v>42685.217893518522</v>
      </c>
      <c r="B30" s="21" t="s">
        <v>218</v>
      </c>
      <c r="C30" s="21" t="s">
        <v>410</v>
      </c>
      <c r="D30" s="21">
        <v>1310000</v>
      </c>
      <c r="E30" s="21" t="s">
        <v>448</v>
      </c>
      <c r="F30" s="21" t="str">
        <f t="shared" si="0"/>
        <v>rtdc.l.rtdc.4030:itc</v>
      </c>
      <c r="G30" s="8">
        <f t="shared" si="1"/>
        <v>42685.217893518522</v>
      </c>
    </row>
    <row r="31" spans="1:7" x14ac:dyDescent="0.25">
      <c r="A31" s="8">
        <v>42685.218923611108</v>
      </c>
      <c r="B31" s="21" t="s">
        <v>218</v>
      </c>
      <c r="C31" s="21" t="s">
        <v>410</v>
      </c>
      <c r="D31" s="21">
        <v>1310000</v>
      </c>
      <c r="E31" s="21" t="s">
        <v>448</v>
      </c>
      <c r="F31" s="21" t="str">
        <f t="shared" si="0"/>
        <v>rtdc.l.rtdc.4030:itc</v>
      </c>
      <c r="G31" s="8">
        <f t="shared" si="1"/>
        <v>42685.218923611108</v>
      </c>
    </row>
    <row r="32" spans="1:7" x14ac:dyDescent="0.25">
      <c r="A32" s="8">
        <v>42685.221099537041</v>
      </c>
      <c r="B32" s="21" t="s">
        <v>296</v>
      </c>
      <c r="C32" s="21" t="s">
        <v>461</v>
      </c>
      <c r="D32" s="21">
        <v>2380000</v>
      </c>
      <c r="E32" s="21" t="s">
        <v>265</v>
      </c>
      <c r="F32" s="21" t="str">
        <f t="shared" si="0"/>
        <v>rtdc.l.rtdc.4010:itc</v>
      </c>
      <c r="G32" s="8">
        <f t="shared" si="1"/>
        <v>42685.221099537041</v>
      </c>
    </row>
    <row r="33" spans="1:7" x14ac:dyDescent="0.25">
      <c r="A33" s="8">
        <v>42685.224583333336</v>
      </c>
      <c r="B33" s="21" t="s">
        <v>280</v>
      </c>
      <c r="C33" s="21" t="s">
        <v>462</v>
      </c>
      <c r="D33" s="21">
        <v>2560000</v>
      </c>
      <c r="E33" s="21" t="s">
        <v>267</v>
      </c>
      <c r="F33" s="21" t="str">
        <f t="shared" si="0"/>
        <v>rtdc.l.rtdc.4043:itc</v>
      </c>
      <c r="G33" s="8">
        <f t="shared" si="1"/>
        <v>42685.224583333336</v>
      </c>
    </row>
    <row r="34" spans="1:7" x14ac:dyDescent="0.25">
      <c r="A34" s="8">
        <v>42685.2262962963</v>
      </c>
      <c r="B34" s="21" t="s">
        <v>218</v>
      </c>
      <c r="C34" s="21" t="s">
        <v>410</v>
      </c>
      <c r="D34" s="21">
        <v>1310000</v>
      </c>
      <c r="E34" s="21" t="s">
        <v>448</v>
      </c>
      <c r="F34" s="21" t="str">
        <f t="shared" si="0"/>
        <v>rtdc.l.rtdc.4030:itc</v>
      </c>
      <c r="G34" s="8">
        <f t="shared" si="1"/>
        <v>42685.2262962963</v>
      </c>
    </row>
    <row r="35" spans="1:7" x14ac:dyDescent="0.25">
      <c r="A35" s="8">
        <v>42685.228877314818</v>
      </c>
      <c r="B35" s="21" t="s">
        <v>277</v>
      </c>
      <c r="C35" s="21" t="s">
        <v>412</v>
      </c>
      <c r="D35" s="21">
        <v>1760000</v>
      </c>
      <c r="E35" s="21" t="s">
        <v>456</v>
      </c>
      <c r="F35" s="21" t="str">
        <f t="shared" si="0"/>
        <v>rtdc.l.rtdc.4016:itc</v>
      </c>
      <c r="G35" s="8">
        <f t="shared" si="1"/>
        <v>42685.228877314818</v>
      </c>
    </row>
    <row r="36" spans="1:7" x14ac:dyDescent="0.25">
      <c r="A36" s="8">
        <v>42685.229305555556</v>
      </c>
      <c r="B36" s="21" t="s">
        <v>248</v>
      </c>
      <c r="C36" s="21" t="s">
        <v>463</v>
      </c>
      <c r="D36" s="21">
        <v>900000</v>
      </c>
      <c r="E36" s="21" t="s">
        <v>341</v>
      </c>
      <c r="F36" s="21" t="str">
        <f t="shared" si="0"/>
        <v>rtdc.l.rtdc.4031:itc</v>
      </c>
      <c r="G36" s="8">
        <f t="shared" si="1"/>
        <v>42685.229305555556</v>
      </c>
    </row>
    <row r="37" spans="1:7" x14ac:dyDescent="0.25">
      <c r="A37" s="8">
        <v>42685.230810185189</v>
      </c>
      <c r="B37" s="21" t="s">
        <v>248</v>
      </c>
      <c r="C37" s="21" t="s">
        <v>464</v>
      </c>
      <c r="D37" s="21">
        <v>2620000</v>
      </c>
      <c r="E37" s="21" t="s">
        <v>266</v>
      </c>
      <c r="F37" s="21" t="str">
        <f t="shared" si="0"/>
        <v>rtdc.l.rtdc.4031:itc</v>
      </c>
      <c r="G37" s="8">
        <f t="shared" si="1"/>
        <v>42685.230810185189</v>
      </c>
    </row>
    <row r="38" spans="1:7" x14ac:dyDescent="0.25">
      <c r="A38" s="8">
        <v>42685.232187499998</v>
      </c>
      <c r="B38" s="21" t="s">
        <v>249</v>
      </c>
      <c r="C38" s="21" t="s">
        <v>411</v>
      </c>
      <c r="D38" s="21">
        <v>1990000</v>
      </c>
      <c r="E38" s="21" t="s">
        <v>445</v>
      </c>
      <c r="F38" s="21" t="str">
        <f t="shared" si="0"/>
        <v>rtdc.l.rtdc.4025:itc</v>
      </c>
      <c r="G38" s="8">
        <f t="shared" si="1"/>
        <v>42685.232187499998</v>
      </c>
    </row>
    <row r="39" spans="1:7" x14ac:dyDescent="0.25">
      <c r="A39" s="8">
        <v>42685.242488425924</v>
      </c>
      <c r="B39" s="21" t="s">
        <v>237</v>
      </c>
      <c r="C39" s="21" t="s">
        <v>465</v>
      </c>
      <c r="D39" s="21">
        <v>2100000</v>
      </c>
      <c r="E39" s="21" t="s">
        <v>335</v>
      </c>
      <c r="F39" s="21" t="str">
        <f t="shared" si="0"/>
        <v>rtdc.l.rtdc.4004:itc</v>
      </c>
      <c r="G39" s="8">
        <f t="shared" si="1"/>
        <v>42685.242488425924</v>
      </c>
    </row>
    <row r="40" spans="1:7" x14ac:dyDescent="0.25">
      <c r="A40" s="8">
        <v>42685.248726851853</v>
      </c>
      <c r="B40" s="26" t="s">
        <v>242</v>
      </c>
      <c r="C40" s="21" t="s">
        <v>466</v>
      </c>
      <c r="D40" s="21">
        <v>2090000</v>
      </c>
      <c r="E40" s="21" t="s">
        <v>467</v>
      </c>
      <c r="F40" s="21" t="str">
        <f t="shared" si="0"/>
        <v>rtdc.l.rtdc.4041:itc</v>
      </c>
      <c r="G40" s="8">
        <f t="shared" si="1"/>
        <v>42685.248726851853</v>
      </c>
    </row>
    <row r="41" spans="1:7" x14ac:dyDescent="0.25">
      <c r="A41" s="8">
        <v>42685.251550925925</v>
      </c>
      <c r="B41" s="21" t="s">
        <v>226</v>
      </c>
      <c r="C41" s="21" t="s">
        <v>414</v>
      </c>
      <c r="D41" s="21">
        <v>1310000</v>
      </c>
      <c r="E41" s="21" t="s">
        <v>448</v>
      </c>
      <c r="F41" s="21" t="str">
        <f t="shared" si="0"/>
        <v>rtdc.l.rtdc.4040:itc</v>
      </c>
      <c r="G41" s="8">
        <f t="shared" si="1"/>
        <v>42685.251550925925</v>
      </c>
    </row>
    <row r="42" spans="1:7" x14ac:dyDescent="0.25">
      <c r="A42" s="8">
        <v>42685.25445601852</v>
      </c>
      <c r="B42" s="21" t="s">
        <v>420</v>
      </c>
      <c r="C42" s="21" t="s">
        <v>468</v>
      </c>
      <c r="D42" s="21">
        <v>2010000</v>
      </c>
      <c r="E42" s="21" t="s">
        <v>300</v>
      </c>
      <c r="F42" s="21" t="str">
        <f t="shared" si="0"/>
        <v>rtdc.l.rtdc.4017:itc</v>
      </c>
      <c r="G42" s="8">
        <f t="shared" si="1"/>
        <v>42685.25445601852</v>
      </c>
    </row>
    <row r="43" spans="1:7" x14ac:dyDescent="0.25">
      <c r="A43" s="8">
        <v>42685.255543981482</v>
      </c>
      <c r="B43" s="21" t="s">
        <v>187</v>
      </c>
      <c r="C43" s="21" t="s">
        <v>469</v>
      </c>
      <c r="D43" s="21">
        <v>2380000</v>
      </c>
      <c r="E43" s="21" t="s">
        <v>265</v>
      </c>
      <c r="F43" s="21" t="str">
        <f t="shared" si="0"/>
        <v>rtdc.l.rtdc.4009:itc</v>
      </c>
      <c r="G43" s="8">
        <f t="shared" si="1"/>
        <v>42685.255543981482</v>
      </c>
    </row>
    <row r="44" spans="1:7" x14ac:dyDescent="0.25">
      <c r="A44" s="8">
        <v>42685.257337962961</v>
      </c>
      <c r="B44" s="21" t="s">
        <v>279</v>
      </c>
      <c r="C44" s="21" t="s">
        <v>413</v>
      </c>
      <c r="D44" s="21">
        <v>1760000</v>
      </c>
      <c r="E44" s="21" t="s">
        <v>456</v>
      </c>
      <c r="F44" s="21" t="str">
        <f t="shared" si="0"/>
        <v>rtdc.l.rtdc.4015:itc</v>
      </c>
      <c r="G44" s="8">
        <f t="shared" si="1"/>
        <v>42685.257337962961</v>
      </c>
    </row>
    <row r="45" spans="1:7" x14ac:dyDescent="0.25">
      <c r="A45" s="8">
        <v>42685.263703703706</v>
      </c>
      <c r="B45" s="21" t="s">
        <v>243</v>
      </c>
      <c r="C45" s="21" t="s">
        <v>470</v>
      </c>
      <c r="D45" s="21">
        <v>2090000</v>
      </c>
      <c r="E45" s="21" t="s">
        <v>467</v>
      </c>
      <c r="F45" s="21" t="str">
        <f t="shared" si="0"/>
        <v>rtdc.l.rtdc.4042:itc</v>
      </c>
      <c r="G45" s="8">
        <f t="shared" si="1"/>
        <v>42685.263703703706</v>
      </c>
    </row>
    <row r="46" spans="1:7" x14ac:dyDescent="0.25">
      <c r="A46" s="8">
        <v>42685.267650462964</v>
      </c>
      <c r="B46" s="21" t="s">
        <v>235</v>
      </c>
      <c r="C46" s="21" t="s">
        <v>463</v>
      </c>
      <c r="D46" s="21">
        <v>2620000</v>
      </c>
      <c r="E46" s="21" t="s">
        <v>266</v>
      </c>
      <c r="F46" s="21" t="str">
        <f t="shared" si="0"/>
        <v>rtdc.l.rtdc.4032:itc</v>
      </c>
      <c r="G46" s="8">
        <f t="shared" si="1"/>
        <v>42685.267650462964</v>
      </c>
    </row>
    <row r="47" spans="1:7" x14ac:dyDescent="0.25">
      <c r="A47" s="8">
        <v>42685.267997685187</v>
      </c>
      <c r="B47" s="21" t="s">
        <v>189</v>
      </c>
      <c r="C47" s="21" t="s">
        <v>418</v>
      </c>
      <c r="D47" s="21">
        <v>2560000</v>
      </c>
      <c r="E47" s="21" t="s">
        <v>267</v>
      </c>
      <c r="F47" s="21" t="str">
        <f t="shared" si="0"/>
        <v>rtdc.l.rtdc.4044:itc</v>
      </c>
      <c r="G47" s="8">
        <f t="shared" si="1"/>
        <v>42685.267997685187</v>
      </c>
    </row>
    <row r="48" spans="1:7" x14ac:dyDescent="0.25">
      <c r="A48" s="8">
        <v>42685.272187499999</v>
      </c>
      <c r="B48" s="21" t="s">
        <v>277</v>
      </c>
      <c r="C48" s="21" t="s">
        <v>417</v>
      </c>
      <c r="D48" s="21">
        <v>1760000</v>
      </c>
      <c r="E48" s="21" t="s">
        <v>456</v>
      </c>
      <c r="F48" s="21" t="str">
        <f t="shared" si="0"/>
        <v>rtdc.l.rtdc.4016:itc</v>
      </c>
      <c r="G48" s="8">
        <f t="shared" si="1"/>
        <v>42685.272187499999</v>
      </c>
    </row>
    <row r="49" spans="1:7" x14ac:dyDescent="0.25">
      <c r="A49" s="8">
        <v>42685.275127314817</v>
      </c>
      <c r="B49" s="21" t="s">
        <v>231</v>
      </c>
      <c r="C49" s="21" t="s">
        <v>471</v>
      </c>
      <c r="D49" s="21">
        <v>2100000</v>
      </c>
      <c r="E49" s="21" t="s">
        <v>335</v>
      </c>
      <c r="F49" s="21" t="str">
        <f t="shared" si="0"/>
        <v>rtdc.l.rtdc.4003:itc</v>
      </c>
      <c r="G49" s="8">
        <f t="shared" si="1"/>
        <v>42685.275127314817</v>
      </c>
    </row>
    <row r="50" spans="1:7" x14ac:dyDescent="0.25">
      <c r="A50" s="8">
        <v>42685.276562500003</v>
      </c>
      <c r="B50" s="21" t="s">
        <v>295</v>
      </c>
      <c r="C50" s="21" t="s">
        <v>472</v>
      </c>
      <c r="D50" s="21">
        <v>1990000</v>
      </c>
      <c r="E50" s="21" t="s">
        <v>445</v>
      </c>
      <c r="F50" s="21" t="str">
        <f t="shared" si="0"/>
        <v>rtdc.l.rtdc.4026:itc</v>
      </c>
      <c r="G50" s="8">
        <f t="shared" si="1"/>
        <v>42685.276562500003</v>
      </c>
    </row>
    <row r="51" spans="1:7" x14ac:dyDescent="0.25">
      <c r="A51" s="8">
        <v>42685.277557870373</v>
      </c>
      <c r="B51" s="21" t="s">
        <v>242</v>
      </c>
      <c r="C51" s="21" t="s">
        <v>416</v>
      </c>
      <c r="D51" s="21">
        <v>2090000</v>
      </c>
      <c r="E51" s="21" t="s">
        <v>467</v>
      </c>
      <c r="F51" s="21" t="str">
        <f t="shared" si="0"/>
        <v>rtdc.l.rtdc.4041:itc</v>
      </c>
      <c r="G51" s="8">
        <f t="shared" si="1"/>
        <v>42685.277557870373</v>
      </c>
    </row>
    <row r="52" spans="1:7" x14ac:dyDescent="0.25">
      <c r="A52" s="8">
        <v>42685.287581018521</v>
      </c>
      <c r="B52" s="21" t="s">
        <v>234</v>
      </c>
      <c r="C52" s="21" t="s">
        <v>473</v>
      </c>
      <c r="D52" s="21">
        <v>1310000</v>
      </c>
      <c r="E52" s="21" t="s">
        <v>448</v>
      </c>
      <c r="F52" s="21" t="str">
        <f t="shared" si="0"/>
        <v>rtdc.l.rtdc.4039:itc</v>
      </c>
      <c r="G52" s="8">
        <f t="shared" si="1"/>
        <v>42685.287581018521</v>
      </c>
    </row>
    <row r="53" spans="1:7" x14ac:dyDescent="0.25">
      <c r="A53" s="8">
        <v>42685.289004629631</v>
      </c>
      <c r="B53" s="21" t="s">
        <v>458</v>
      </c>
      <c r="C53" s="21" t="s">
        <v>474</v>
      </c>
      <c r="D53" s="21">
        <v>1360000</v>
      </c>
      <c r="E53" s="21" t="s">
        <v>475</v>
      </c>
      <c r="F53" s="21" t="str">
        <f t="shared" si="0"/>
        <v>rtdc.l.rtdc.4018:itc</v>
      </c>
      <c r="G53" s="8">
        <f t="shared" si="1"/>
        <v>42685.289004629631</v>
      </c>
    </row>
    <row r="54" spans="1:7" x14ac:dyDescent="0.25">
      <c r="A54" s="8">
        <v>42685.291319444441</v>
      </c>
      <c r="B54" s="21" t="s">
        <v>296</v>
      </c>
      <c r="C54" s="21" t="s">
        <v>476</v>
      </c>
      <c r="D54" s="21">
        <v>2380000</v>
      </c>
      <c r="E54" s="21" t="s">
        <v>265</v>
      </c>
      <c r="F54" s="21" t="str">
        <f t="shared" si="0"/>
        <v>rtdc.l.rtdc.4010:itc</v>
      </c>
      <c r="G54" s="8">
        <f t="shared" si="1"/>
        <v>42685.291319444441</v>
      </c>
    </row>
    <row r="55" spans="1:7" x14ac:dyDescent="0.25">
      <c r="A55" s="8">
        <v>42685.297210648147</v>
      </c>
      <c r="B55" s="21" t="s">
        <v>248</v>
      </c>
      <c r="C55" s="21" t="s">
        <v>477</v>
      </c>
      <c r="D55" s="21">
        <v>2620000</v>
      </c>
      <c r="E55" s="21" t="s">
        <v>266</v>
      </c>
      <c r="F55" s="21" t="str">
        <f t="shared" si="0"/>
        <v>rtdc.l.rtdc.4031:itc</v>
      </c>
      <c r="G55" s="8">
        <f t="shared" si="1"/>
        <v>42685.297210648147</v>
      </c>
    </row>
    <row r="56" spans="1:7" x14ac:dyDescent="0.25">
      <c r="A56" s="8">
        <v>42685.297534722224</v>
      </c>
      <c r="B56" s="21" t="s">
        <v>279</v>
      </c>
      <c r="C56" s="21" t="s">
        <v>478</v>
      </c>
      <c r="D56" s="21">
        <v>1760000</v>
      </c>
      <c r="E56" s="21" t="s">
        <v>456</v>
      </c>
      <c r="F56" s="21" t="str">
        <f t="shared" si="0"/>
        <v>rtdc.l.rtdc.4015:itc</v>
      </c>
      <c r="G56" s="8">
        <f t="shared" si="1"/>
        <v>42685.297534722224</v>
      </c>
    </row>
    <row r="57" spans="1:7" x14ac:dyDescent="0.25">
      <c r="A57" s="8">
        <v>42685.302511574075</v>
      </c>
      <c r="B57" s="21" t="s">
        <v>280</v>
      </c>
      <c r="C57" s="21" t="s">
        <v>479</v>
      </c>
      <c r="D57" s="21">
        <v>2560000</v>
      </c>
      <c r="E57" s="21" t="s">
        <v>267</v>
      </c>
      <c r="F57" s="21" t="str">
        <f t="shared" si="0"/>
        <v>rtdc.l.rtdc.4043:itc</v>
      </c>
      <c r="G57" s="8">
        <f t="shared" si="1"/>
        <v>42685.302511574075</v>
      </c>
    </row>
    <row r="58" spans="1:7" x14ac:dyDescent="0.25">
      <c r="A58" s="8">
        <v>42685.303819444445</v>
      </c>
      <c r="B58" s="21" t="s">
        <v>243</v>
      </c>
      <c r="C58" s="21" t="s">
        <v>419</v>
      </c>
      <c r="D58" s="21">
        <v>2090000</v>
      </c>
      <c r="E58" s="21" t="s">
        <v>467</v>
      </c>
      <c r="F58" s="21" t="str">
        <f t="shared" si="0"/>
        <v>rtdc.l.rtdc.4042:itc</v>
      </c>
      <c r="G58" s="8">
        <f t="shared" si="1"/>
        <v>42685.303819444445</v>
      </c>
    </row>
    <row r="59" spans="1:7" x14ac:dyDescent="0.25">
      <c r="A59" s="8">
        <v>42685.306932870371</v>
      </c>
      <c r="B59" s="21" t="s">
        <v>249</v>
      </c>
      <c r="C59" s="21" t="s">
        <v>480</v>
      </c>
      <c r="D59" s="21">
        <v>1990000</v>
      </c>
      <c r="E59" s="21" t="s">
        <v>445</v>
      </c>
      <c r="F59" s="21" t="str">
        <f t="shared" si="0"/>
        <v>rtdc.l.rtdc.4025:itc</v>
      </c>
      <c r="G59" s="8">
        <f t="shared" si="1"/>
        <v>42685.306932870371</v>
      </c>
    </row>
    <row r="60" spans="1:7" x14ac:dyDescent="0.25">
      <c r="A60" s="8">
        <v>42685.313391203701</v>
      </c>
      <c r="B60" s="21" t="s">
        <v>277</v>
      </c>
      <c r="C60" s="21" t="s">
        <v>481</v>
      </c>
      <c r="D60" s="21">
        <v>1760000</v>
      </c>
      <c r="E60" s="21" t="s">
        <v>456</v>
      </c>
      <c r="F60" s="21" t="str">
        <f t="shared" si="0"/>
        <v>rtdc.l.rtdc.4016:itc</v>
      </c>
      <c r="G60" s="8">
        <f t="shared" si="1"/>
        <v>42685.313391203701</v>
      </c>
    </row>
    <row r="61" spans="1:7" x14ac:dyDescent="0.25">
      <c r="A61" s="8">
        <v>42685.316400462965</v>
      </c>
      <c r="B61" s="21" t="s">
        <v>237</v>
      </c>
      <c r="C61" s="21" t="s">
        <v>482</v>
      </c>
      <c r="D61" s="21">
        <v>2100000</v>
      </c>
      <c r="E61" s="21" t="s">
        <v>335</v>
      </c>
      <c r="F61" s="21" t="str">
        <f t="shared" si="0"/>
        <v>rtdc.l.rtdc.4004:itc</v>
      </c>
      <c r="G61" s="8">
        <f t="shared" si="1"/>
        <v>42685.316400462965</v>
      </c>
    </row>
    <row r="62" spans="1:7" x14ac:dyDescent="0.25">
      <c r="A62" s="8">
        <v>42685.318449074075</v>
      </c>
      <c r="B62" s="21" t="s">
        <v>420</v>
      </c>
      <c r="C62" s="21" t="s">
        <v>421</v>
      </c>
      <c r="D62" s="21">
        <v>1360000</v>
      </c>
      <c r="E62" s="21" t="s">
        <v>475</v>
      </c>
      <c r="F62" s="21" t="str">
        <f t="shared" si="0"/>
        <v>rtdc.l.rtdc.4017:itc</v>
      </c>
      <c r="G62" s="8">
        <f t="shared" si="1"/>
        <v>42685.318449074075</v>
      </c>
    </row>
    <row r="63" spans="1:7" x14ac:dyDescent="0.25">
      <c r="A63" s="8">
        <v>42685.318668981483</v>
      </c>
      <c r="B63" s="21" t="s">
        <v>242</v>
      </c>
      <c r="C63" s="21" t="s">
        <v>483</v>
      </c>
      <c r="D63" s="21">
        <v>2090000</v>
      </c>
      <c r="E63" s="21" t="s">
        <v>467</v>
      </c>
      <c r="F63" s="21" t="str">
        <f t="shared" si="0"/>
        <v>rtdc.l.rtdc.4041:itc</v>
      </c>
      <c r="G63" s="8">
        <f t="shared" si="1"/>
        <v>42685.318668981483</v>
      </c>
    </row>
    <row r="64" spans="1:7" x14ac:dyDescent="0.25">
      <c r="A64" s="27">
        <v>42685.321793981479</v>
      </c>
      <c r="B64" s="21" t="s">
        <v>226</v>
      </c>
      <c r="C64" s="21" t="s">
        <v>484</v>
      </c>
      <c r="D64" s="21">
        <v>1310000</v>
      </c>
      <c r="E64" s="21" t="s">
        <v>448</v>
      </c>
      <c r="F64" s="21" t="str">
        <f t="shared" si="0"/>
        <v>rtdc.l.rtdc.4040:itc</v>
      </c>
      <c r="G64" s="8">
        <f t="shared" si="1"/>
        <v>42685.321793981479</v>
      </c>
    </row>
    <row r="65" spans="1:7" x14ac:dyDescent="0.25">
      <c r="A65" s="8">
        <v>42685.329664351855</v>
      </c>
      <c r="B65" s="21" t="s">
        <v>187</v>
      </c>
      <c r="C65" s="21" t="s">
        <v>423</v>
      </c>
      <c r="D65" s="21">
        <v>2380000</v>
      </c>
      <c r="E65" s="21" t="s">
        <v>265</v>
      </c>
      <c r="F65" s="21" t="str">
        <f t="shared" si="0"/>
        <v>rtdc.l.rtdc.4009:itc</v>
      </c>
      <c r="G65" s="8">
        <f t="shared" si="1"/>
        <v>42685.329664351855</v>
      </c>
    </row>
    <row r="66" spans="1:7" x14ac:dyDescent="0.25">
      <c r="A66" s="8">
        <v>42685.336840277778</v>
      </c>
      <c r="B66" s="21" t="s">
        <v>235</v>
      </c>
      <c r="C66" s="21" t="s">
        <v>424</v>
      </c>
      <c r="D66" s="21">
        <v>2620000</v>
      </c>
      <c r="E66" s="21" t="s">
        <v>266</v>
      </c>
      <c r="F66" s="21" t="str">
        <f t="shared" ref="F66:F129" si="2">B66</f>
        <v>rtdc.l.rtdc.4032:itc</v>
      </c>
      <c r="G66" s="8">
        <f t="shared" ref="G66:G129" si="3">A66</f>
        <v>42685.336840277778</v>
      </c>
    </row>
    <row r="67" spans="1:7" x14ac:dyDescent="0.25">
      <c r="A67" s="8">
        <v>42685.339421296296</v>
      </c>
      <c r="B67" s="21" t="s">
        <v>279</v>
      </c>
      <c r="C67" s="21" t="s">
        <v>422</v>
      </c>
      <c r="D67" s="21">
        <v>1760000</v>
      </c>
      <c r="E67" s="21" t="s">
        <v>456</v>
      </c>
      <c r="F67" s="21" t="str">
        <f t="shared" si="2"/>
        <v>rtdc.l.rtdc.4015:itc</v>
      </c>
      <c r="G67" s="8">
        <f t="shared" si="3"/>
        <v>42685.339421296296</v>
      </c>
    </row>
    <row r="68" spans="1:7" x14ac:dyDescent="0.25">
      <c r="A68" s="8">
        <v>42685.339629629627</v>
      </c>
      <c r="B68" s="21" t="s">
        <v>189</v>
      </c>
      <c r="C68" s="21" t="s">
        <v>485</v>
      </c>
      <c r="D68" s="21">
        <v>2560000</v>
      </c>
      <c r="E68" s="21" t="s">
        <v>267</v>
      </c>
      <c r="F68" s="21" t="str">
        <f t="shared" si="2"/>
        <v>rtdc.l.rtdc.4044:itc</v>
      </c>
      <c r="G68" s="8">
        <f t="shared" si="3"/>
        <v>42685.339629629627</v>
      </c>
    </row>
    <row r="69" spans="1:7" x14ac:dyDescent="0.25">
      <c r="A69" s="8">
        <v>42685.34710648148</v>
      </c>
      <c r="B69" s="21" t="s">
        <v>243</v>
      </c>
      <c r="C69" s="21" t="s">
        <v>486</v>
      </c>
      <c r="D69" s="21">
        <v>2090000</v>
      </c>
      <c r="E69" s="21" t="s">
        <v>467</v>
      </c>
      <c r="F69" s="21" t="str">
        <f t="shared" si="2"/>
        <v>rtdc.l.rtdc.4042:itc</v>
      </c>
      <c r="G69" s="8">
        <f t="shared" si="3"/>
        <v>42685.34710648148</v>
      </c>
    </row>
    <row r="70" spans="1:7" x14ac:dyDescent="0.25">
      <c r="A70" s="8">
        <v>42685.349976851852</v>
      </c>
      <c r="B70" s="21" t="s">
        <v>295</v>
      </c>
      <c r="C70" s="21" t="s">
        <v>487</v>
      </c>
      <c r="D70" s="21">
        <v>1990000</v>
      </c>
      <c r="E70" s="21" t="s">
        <v>445</v>
      </c>
      <c r="F70" s="21" t="str">
        <f t="shared" si="2"/>
        <v>rtdc.l.rtdc.4026:itc</v>
      </c>
      <c r="G70" s="8">
        <f t="shared" si="3"/>
        <v>42685.349976851852</v>
      </c>
    </row>
    <row r="71" spans="1:7" x14ac:dyDescent="0.25">
      <c r="A71" s="8">
        <v>42685.350706018522</v>
      </c>
      <c r="B71" s="21" t="s">
        <v>295</v>
      </c>
      <c r="C71" s="21" t="s">
        <v>487</v>
      </c>
      <c r="D71" s="21">
        <v>1990000</v>
      </c>
      <c r="E71" s="21" t="s">
        <v>445</v>
      </c>
      <c r="F71" s="21" t="str">
        <f t="shared" si="2"/>
        <v>rtdc.l.rtdc.4026:itc</v>
      </c>
      <c r="G71" s="8">
        <f t="shared" si="3"/>
        <v>42685.350706018522</v>
      </c>
    </row>
    <row r="72" spans="1:7" x14ac:dyDescent="0.25">
      <c r="A72" s="8">
        <v>42685.354502314818</v>
      </c>
      <c r="B72" s="21" t="s">
        <v>231</v>
      </c>
      <c r="C72" s="21" t="s">
        <v>488</v>
      </c>
      <c r="D72" s="21">
        <v>2460000</v>
      </c>
      <c r="E72" s="21" t="s">
        <v>489</v>
      </c>
      <c r="F72" s="21" t="str">
        <f t="shared" si="2"/>
        <v>rtdc.l.rtdc.4003:itc</v>
      </c>
      <c r="G72" s="8">
        <f t="shared" si="3"/>
        <v>42685.354502314818</v>
      </c>
    </row>
    <row r="73" spans="1:7" x14ac:dyDescent="0.25">
      <c r="A73" s="8">
        <v>42685.354722222219</v>
      </c>
      <c r="B73" s="21" t="s">
        <v>277</v>
      </c>
      <c r="C73" s="21" t="s">
        <v>490</v>
      </c>
      <c r="D73" s="21">
        <v>1760000</v>
      </c>
      <c r="E73" s="21" t="s">
        <v>456</v>
      </c>
      <c r="F73" s="21" t="str">
        <f t="shared" si="2"/>
        <v>rtdc.l.rtdc.4016:itc</v>
      </c>
      <c r="G73" s="8">
        <f t="shared" si="3"/>
        <v>42685.354722222219</v>
      </c>
    </row>
    <row r="74" spans="1:7" x14ac:dyDescent="0.25">
      <c r="A74" s="8">
        <v>42685.3596875</v>
      </c>
      <c r="B74" s="21" t="s">
        <v>458</v>
      </c>
      <c r="C74" s="21" t="s">
        <v>491</v>
      </c>
      <c r="D74" s="21">
        <v>2010000</v>
      </c>
      <c r="E74" s="21" t="s">
        <v>300</v>
      </c>
      <c r="F74" s="21" t="str">
        <f t="shared" si="2"/>
        <v>rtdc.l.rtdc.4018:itc</v>
      </c>
      <c r="G74" s="8">
        <f t="shared" si="3"/>
        <v>42685.3596875</v>
      </c>
    </row>
    <row r="75" spans="1:7" x14ac:dyDescent="0.25">
      <c r="A75" s="8">
        <v>42685.360127314816</v>
      </c>
      <c r="B75" s="21" t="s">
        <v>242</v>
      </c>
      <c r="C75" s="21" t="s">
        <v>425</v>
      </c>
      <c r="D75" s="21">
        <v>2090000</v>
      </c>
      <c r="E75" s="21" t="s">
        <v>467</v>
      </c>
      <c r="F75" s="21" t="str">
        <f t="shared" si="2"/>
        <v>rtdc.l.rtdc.4041:itc</v>
      </c>
      <c r="G75" s="8">
        <f t="shared" si="3"/>
        <v>42685.360127314816</v>
      </c>
    </row>
    <row r="76" spans="1:7" x14ac:dyDescent="0.25">
      <c r="A76" s="8">
        <v>42685.360405092593</v>
      </c>
      <c r="B76" s="21" t="s">
        <v>234</v>
      </c>
      <c r="C76" s="21" t="s">
        <v>492</v>
      </c>
      <c r="D76" s="21">
        <v>1310000</v>
      </c>
      <c r="E76" s="21" t="s">
        <v>448</v>
      </c>
      <c r="F76" s="21" t="str">
        <f t="shared" si="2"/>
        <v>rtdc.l.rtdc.4039:itc</v>
      </c>
      <c r="G76" s="8">
        <f t="shared" si="3"/>
        <v>42685.360405092593</v>
      </c>
    </row>
    <row r="77" spans="1:7" x14ac:dyDescent="0.25">
      <c r="A77" s="8">
        <v>42685.370625000003</v>
      </c>
      <c r="B77" s="21" t="s">
        <v>296</v>
      </c>
      <c r="C77" s="21" t="s">
        <v>426</v>
      </c>
      <c r="D77" s="21">
        <v>2380000</v>
      </c>
      <c r="E77" s="21" t="s">
        <v>265</v>
      </c>
      <c r="F77" s="21" t="str">
        <f t="shared" si="2"/>
        <v>rtdc.l.rtdc.4010:itc</v>
      </c>
      <c r="G77" s="8">
        <f t="shared" si="3"/>
        <v>42685.370625000003</v>
      </c>
    </row>
    <row r="78" spans="1:7" x14ac:dyDescent="0.25">
      <c r="A78" s="8">
        <v>42685.37090277778</v>
      </c>
      <c r="B78" s="21" t="s">
        <v>248</v>
      </c>
      <c r="C78" s="21" t="s">
        <v>493</v>
      </c>
      <c r="D78" s="21">
        <v>2620000</v>
      </c>
      <c r="E78" s="21" t="s">
        <v>266</v>
      </c>
      <c r="F78" s="21" t="str">
        <f t="shared" si="2"/>
        <v>rtdc.l.rtdc.4031:itc</v>
      </c>
      <c r="G78" s="8">
        <f t="shared" si="3"/>
        <v>42685.37090277778</v>
      </c>
    </row>
    <row r="79" spans="1:7" x14ac:dyDescent="0.25">
      <c r="A79" s="8">
        <v>42685.380208333336</v>
      </c>
      <c r="B79" s="21" t="s">
        <v>249</v>
      </c>
      <c r="C79" s="21" t="s">
        <v>494</v>
      </c>
      <c r="D79" s="21">
        <v>1990000</v>
      </c>
      <c r="E79" s="21" t="s">
        <v>445</v>
      </c>
      <c r="F79" s="21" t="str">
        <f t="shared" si="2"/>
        <v>rtdc.l.rtdc.4025:itc</v>
      </c>
      <c r="G79" s="8">
        <f t="shared" si="3"/>
        <v>42685.380208333336</v>
      </c>
    </row>
    <row r="80" spans="1:7" x14ac:dyDescent="0.25">
      <c r="A80" s="8">
        <v>42685.380266203705</v>
      </c>
      <c r="B80" s="21" t="s">
        <v>280</v>
      </c>
      <c r="C80" s="21" t="s">
        <v>427</v>
      </c>
      <c r="D80" s="21">
        <v>2560000</v>
      </c>
      <c r="E80" s="21" t="s">
        <v>267</v>
      </c>
      <c r="F80" s="21" t="str">
        <f t="shared" si="2"/>
        <v>rtdc.l.rtdc.4043:itc</v>
      </c>
      <c r="G80" s="8">
        <f t="shared" si="3"/>
        <v>42685.380266203705</v>
      </c>
    </row>
    <row r="81" spans="1:7" x14ac:dyDescent="0.25">
      <c r="A81" s="8">
        <v>42685.3827662037</v>
      </c>
      <c r="B81" s="21" t="s">
        <v>243</v>
      </c>
      <c r="C81" s="21" t="s">
        <v>495</v>
      </c>
      <c r="D81" s="21">
        <v>2090000</v>
      </c>
      <c r="E81" s="21" t="s">
        <v>467</v>
      </c>
      <c r="F81" s="21" t="str">
        <f t="shared" si="2"/>
        <v>rtdc.l.rtdc.4042:itc</v>
      </c>
      <c r="G81" s="8">
        <f t="shared" si="3"/>
        <v>42685.3827662037</v>
      </c>
    </row>
    <row r="82" spans="1:7" x14ac:dyDescent="0.25">
      <c r="A82" s="8">
        <v>42685.390706018516</v>
      </c>
      <c r="B82" s="21" t="s">
        <v>237</v>
      </c>
      <c r="C82" s="21" t="s">
        <v>428</v>
      </c>
      <c r="D82" s="21">
        <v>2460000</v>
      </c>
      <c r="E82" s="21" t="s">
        <v>489</v>
      </c>
      <c r="F82" s="21" t="str">
        <f t="shared" si="2"/>
        <v>rtdc.l.rtdc.4004:itc</v>
      </c>
      <c r="G82" s="8">
        <f t="shared" si="3"/>
        <v>42685.390706018516</v>
      </c>
    </row>
    <row r="83" spans="1:7" x14ac:dyDescent="0.25">
      <c r="A83" s="8">
        <v>42685.392418981479</v>
      </c>
      <c r="B83" s="21" t="s">
        <v>226</v>
      </c>
      <c r="C83" s="21" t="s">
        <v>496</v>
      </c>
      <c r="D83" s="21">
        <v>1310000</v>
      </c>
      <c r="E83" s="21" t="s">
        <v>448</v>
      </c>
      <c r="F83" s="21" t="str">
        <f t="shared" si="2"/>
        <v>rtdc.l.rtdc.4040:itc</v>
      </c>
      <c r="G83" s="8">
        <f t="shared" si="3"/>
        <v>42685.392418981479</v>
      </c>
    </row>
    <row r="84" spans="1:7" x14ac:dyDescent="0.25">
      <c r="A84" s="8">
        <v>42685.40011574074</v>
      </c>
      <c r="B84" s="21" t="s">
        <v>420</v>
      </c>
      <c r="C84" s="21" t="s">
        <v>497</v>
      </c>
      <c r="D84" s="21">
        <v>2010000</v>
      </c>
      <c r="E84" s="21" t="s">
        <v>300</v>
      </c>
      <c r="F84" s="21" t="str">
        <f t="shared" si="2"/>
        <v>rtdc.l.rtdc.4017:itc</v>
      </c>
      <c r="G84" s="8">
        <f t="shared" si="3"/>
        <v>42685.40011574074</v>
      </c>
    </row>
    <row r="85" spans="1:7" x14ac:dyDescent="0.25">
      <c r="A85" s="8">
        <v>42685.402280092596</v>
      </c>
      <c r="B85" s="21" t="s">
        <v>242</v>
      </c>
      <c r="C85" s="21" t="s">
        <v>429</v>
      </c>
      <c r="D85" s="21">
        <v>2090000</v>
      </c>
      <c r="E85" s="21" t="s">
        <v>467</v>
      </c>
      <c r="F85" s="21" t="str">
        <f t="shared" si="2"/>
        <v>rtdc.l.rtdc.4041:itc</v>
      </c>
      <c r="G85" s="8">
        <f t="shared" si="3"/>
        <v>42685.402280092596</v>
      </c>
    </row>
    <row r="86" spans="1:7" x14ac:dyDescent="0.25">
      <c r="A86" s="8">
        <v>42685.402696759258</v>
      </c>
      <c r="B86" s="21" t="s">
        <v>187</v>
      </c>
      <c r="C86" s="21" t="s">
        <v>430</v>
      </c>
      <c r="D86" s="21">
        <v>2380000</v>
      </c>
      <c r="E86" s="21" t="s">
        <v>265</v>
      </c>
      <c r="F86" s="21" t="str">
        <f t="shared" si="2"/>
        <v>rtdc.l.rtdc.4009:itc</v>
      </c>
      <c r="G86" s="8">
        <f t="shared" si="3"/>
        <v>42685.402696759258</v>
      </c>
    </row>
    <row r="87" spans="1:7" x14ac:dyDescent="0.25">
      <c r="A87" s="8">
        <v>42685.408460648148</v>
      </c>
      <c r="B87" s="21" t="s">
        <v>235</v>
      </c>
      <c r="C87" s="21" t="s">
        <v>431</v>
      </c>
      <c r="D87" s="21">
        <v>2620000</v>
      </c>
      <c r="E87" s="21" t="s">
        <v>266</v>
      </c>
      <c r="F87" s="21" t="str">
        <f t="shared" si="2"/>
        <v>rtdc.l.rtdc.4032:itc</v>
      </c>
      <c r="G87" s="8">
        <f t="shared" si="3"/>
        <v>42685.408460648148</v>
      </c>
    </row>
    <row r="88" spans="1:7" x14ac:dyDescent="0.25">
      <c r="A88" s="8">
        <v>42685.411319444444</v>
      </c>
      <c r="B88" s="21" t="s">
        <v>189</v>
      </c>
      <c r="C88" s="21" t="s">
        <v>498</v>
      </c>
      <c r="D88" s="21">
        <v>2560000</v>
      </c>
      <c r="E88" s="21" t="s">
        <v>267</v>
      </c>
      <c r="F88" s="21" t="str">
        <f t="shared" si="2"/>
        <v>rtdc.l.rtdc.4044:itc</v>
      </c>
      <c r="G88" s="8">
        <f t="shared" si="3"/>
        <v>42685.411319444444</v>
      </c>
    </row>
    <row r="89" spans="1:7" x14ac:dyDescent="0.25">
      <c r="A89" s="8">
        <v>42685.421620370369</v>
      </c>
      <c r="B89" s="21" t="s">
        <v>295</v>
      </c>
      <c r="C89" s="21" t="s">
        <v>432</v>
      </c>
      <c r="D89" s="21">
        <v>1990000</v>
      </c>
      <c r="E89" s="21" t="s">
        <v>445</v>
      </c>
      <c r="F89" s="21" t="str">
        <f t="shared" si="2"/>
        <v>rtdc.l.rtdc.4026:itc</v>
      </c>
      <c r="G89" s="8">
        <f t="shared" si="3"/>
        <v>42685.421620370369</v>
      </c>
    </row>
    <row r="90" spans="1:7" x14ac:dyDescent="0.25">
      <c r="A90" s="8">
        <v>42685.424224537041</v>
      </c>
      <c r="B90" s="21" t="s">
        <v>231</v>
      </c>
      <c r="C90" s="21" t="s">
        <v>499</v>
      </c>
      <c r="D90" s="21">
        <v>2100000</v>
      </c>
      <c r="E90" s="21" t="s">
        <v>335</v>
      </c>
      <c r="F90" s="21" t="str">
        <f t="shared" si="2"/>
        <v>rtdc.l.rtdc.4003:itc</v>
      </c>
      <c r="G90" s="8">
        <f t="shared" si="3"/>
        <v>42685.424224537041</v>
      </c>
    </row>
    <row r="91" spans="1:7" x14ac:dyDescent="0.25">
      <c r="A91" s="8">
        <v>42685.429108796299</v>
      </c>
      <c r="B91" s="21" t="s">
        <v>243</v>
      </c>
      <c r="C91" s="21" t="s">
        <v>500</v>
      </c>
      <c r="D91" s="21">
        <v>2090000</v>
      </c>
      <c r="E91" s="21" t="s">
        <v>467</v>
      </c>
      <c r="F91" s="21" t="str">
        <f t="shared" si="2"/>
        <v>rtdc.l.rtdc.4042:itc</v>
      </c>
      <c r="G91" s="8">
        <f t="shared" si="3"/>
        <v>42685.429108796299</v>
      </c>
    </row>
    <row r="92" spans="1:7" x14ac:dyDescent="0.25">
      <c r="A92" s="8">
        <v>42685.432187500002</v>
      </c>
      <c r="B92" s="21" t="s">
        <v>458</v>
      </c>
      <c r="C92" s="21" t="s">
        <v>501</v>
      </c>
      <c r="D92" s="21">
        <v>1760000</v>
      </c>
      <c r="E92" s="21" t="s">
        <v>456</v>
      </c>
      <c r="F92" s="21" t="str">
        <f t="shared" si="2"/>
        <v>rtdc.l.rtdc.4018:itc</v>
      </c>
      <c r="G92" s="8">
        <f t="shared" si="3"/>
        <v>42685.432187500002</v>
      </c>
    </row>
    <row r="93" spans="1:7" x14ac:dyDescent="0.25">
      <c r="A93" s="8">
        <v>42685.434131944443</v>
      </c>
      <c r="B93" s="21" t="s">
        <v>234</v>
      </c>
      <c r="C93" s="21" t="s">
        <v>502</v>
      </c>
      <c r="D93" s="21">
        <v>1310000</v>
      </c>
      <c r="E93" s="21" t="s">
        <v>448</v>
      </c>
      <c r="F93" s="21" t="str">
        <f t="shared" si="2"/>
        <v>rtdc.l.rtdc.4039:itc</v>
      </c>
      <c r="G93" s="8">
        <f t="shared" si="3"/>
        <v>42685.434131944443</v>
      </c>
    </row>
    <row r="94" spans="1:7" x14ac:dyDescent="0.25">
      <c r="A94" s="8">
        <v>42685.434583333335</v>
      </c>
      <c r="B94" s="21" t="s">
        <v>327</v>
      </c>
      <c r="C94" s="21" t="s">
        <v>503</v>
      </c>
      <c r="D94" s="21">
        <v>2530000</v>
      </c>
      <c r="E94" s="21" t="s">
        <v>504</v>
      </c>
      <c r="F94" s="21" t="str">
        <f t="shared" si="2"/>
        <v>rtdc.l.rtdc.4008:itc</v>
      </c>
      <c r="G94" s="8">
        <f t="shared" si="3"/>
        <v>42685.434583333335</v>
      </c>
    </row>
    <row r="95" spans="1:7" x14ac:dyDescent="0.25">
      <c r="A95" s="8">
        <v>42685.439375000002</v>
      </c>
      <c r="B95" s="21" t="s">
        <v>296</v>
      </c>
      <c r="C95" s="21" t="s">
        <v>505</v>
      </c>
      <c r="D95" s="21">
        <v>2380000</v>
      </c>
      <c r="E95" s="21" t="s">
        <v>265</v>
      </c>
      <c r="F95" s="21" t="str">
        <f t="shared" si="2"/>
        <v>rtdc.l.rtdc.4010:itc</v>
      </c>
      <c r="G95" s="8">
        <f t="shared" si="3"/>
        <v>42685.439375000002</v>
      </c>
    </row>
    <row r="96" spans="1:7" x14ac:dyDescent="0.25">
      <c r="A96" s="8">
        <v>42685.443449074075</v>
      </c>
      <c r="B96" s="21" t="s">
        <v>248</v>
      </c>
      <c r="C96" s="21" t="s">
        <v>433</v>
      </c>
      <c r="D96" s="21">
        <v>2620000</v>
      </c>
      <c r="E96" s="21" t="s">
        <v>266</v>
      </c>
      <c r="F96" s="21" t="str">
        <f t="shared" si="2"/>
        <v>rtdc.l.rtdc.4031:itc</v>
      </c>
      <c r="G96" s="8">
        <f t="shared" si="3"/>
        <v>42685.443449074075</v>
      </c>
    </row>
    <row r="97" spans="1:7" x14ac:dyDescent="0.25">
      <c r="A97" s="8">
        <v>42685.443645833337</v>
      </c>
      <c r="B97" s="21" t="s">
        <v>242</v>
      </c>
      <c r="C97" s="21" t="s">
        <v>506</v>
      </c>
      <c r="D97" s="21">
        <v>2090000</v>
      </c>
      <c r="E97" s="21" t="s">
        <v>467</v>
      </c>
      <c r="F97" s="21" t="str">
        <f t="shared" si="2"/>
        <v>rtdc.l.rtdc.4041:itc</v>
      </c>
      <c r="G97" s="8">
        <f t="shared" si="3"/>
        <v>42685.443645833337</v>
      </c>
    </row>
    <row r="98" spans="1:7" x14ac:dyDescent="0.25">
      <c r="A98" s="8">
        <v>42685.444039351853</v>
      </c>
      <c r="B98" s="21" t="s">
        <v>280</v>
      </c>
      <c r="C98" s="21" t="s">
        <v>507</v>
      </c>
      <c r="D98" s="21">
        <v>2560000</v>
      </c>
      <c r="E98" s="21" t="s">
        <v>267</v>
      </c>
      <c r="F98" s="21" t="str">
        <f t="shared" si="2"/>
        <v>rtdc.l.rtdc.4043:itc</v>
      </c>
      <c r="G98" s="8">
        <f t="shared" si="3"/>
        <v>42685.444039351853</v>
      </c>
    </row>
    <row r="99" spans="1:7" x14ac:dyDescent="0.25">
      <c r="A99" s="8">
        <v>42685.456296296295</v>
      </c>
      <c r="B99" s="21" t="s">
        <v>249</v>
      </c>
      <c r="C99" s="21" t="s">
        <v>508</v>
      </c>
      <c r="D99" s="21">
        <v>2530000</v>
      </c>
      <c r="E99" s="21" t="s">
        <v>504</v>
      </c>
      <c r="F99" s="21" t="str">
        <f t="shared" si="2"/>
        <v>rtdc.l.rtdc.4025:itc</v>
      </c>
      <c r="G99" s="8">
        <f t="shared" si="3"/>
        <v>42685.456296296295</v>
      </c>
    </row>
    <row r="100" spans="1:7" x14ac:dyDescent="0.25">
      <c r="A100" s="8">
        <v>42685.457048611112</v>
      </c>
      <c r="B100" s="21" t="s">
        <v>326</v>
      </c>
      <c r="C100" s="21" t="s">
        <v>509</v>
      </c>
      <c r="D100" s="21">
        <v>2040000</v>
      </c>
      <c r="E100" s="21" t="s">
        <v>301</v>
      </c>
      <c r="F100" s="21" t="str">
        <f t="shared" si="2"/>
        <v>rtdc.l.rtdc.4054:itc</v>
      </c>
      <c r="G100" s="8">
        <f t="shared" si="3"/>
        <v>42685.457048611112</v>
      </c>
    </row>
    <row r="101" spans="1:7" x14ac:dyDescent="0.25">
      <c r="A101" s="8">
        <v>42685.459791666668</v>
      </c>
      <c r="B101" s="21" t="s">
        <v>237</v>
      </c>
      <c r="C101" s="21" t="s">
        <v>510</v>
      </c>
      <c r="D101" s="21">
        <v>2100000</v>
      </c>
      <c r="E101" s="21" t="s">
        <v>335</v>
      </c>
      <c r="F101" s="21" t="str">
        <f t="shared" si="2"/>
        <v>rtdc.l.rtdc.4004:itc</v>
      </c>
      <c r="G101" s="8">
        <f t="shared" si="3"/>
        <v>42685.459791666668</v>
      </c>
    </row>
    <row r="102" spans="1:7" x14ac:dyDescent="0.25">
      <c r="A102" s="8">
        <v>42685.465902777774</v>
      </c>
      <c r="B102" s="21" t="s">
        <v>226</v>
      </c>
      <c r="C102" s="21" t="s">
        <v>511</v>
      </c>
      <c r="D102" s="21">
        <v>930000</v>
      </c>
      <c r="E102" s="21" t="s">
        <v>512</v>
      </c>
      <c r="F102" s="21" t="str">
        <f t="shared" si="2"/>
        <v>rtdc.l.rtdc.4040:itc</v>
      </c>
      <c r="G102" s="8">
        <f t="shared" si="3"/>
        <v>42685.465902777774</v>
      </c>
    </row>
    <row r="103" spans="1:7" x14ac:dyDescent="0.25">
      <c r="A103" s="8">
        <v>42685.46603009259</v>
      </c>
      <c r="B103" s="21" t="s">
        <v>420</v>
      </c>
      <c r="C103" s="21" t="s">
        <v>513</v>
      </c>
      <c r="D103" s="21">
        <v>1760000</v>
      </c>
      <c r="E103" s="21" t="s">
        <v>456</v>
      </c>
      <c r="F103" s="21" t="str">
        <f t="shared" si="2"/>
        <v>rtdc.l.rtdc.4017:itc</v>
      </c>
      <c r="G103" s="8">
        <f t="shared" si="3"/>
        <v>42685.46603009259</v>
      </c>
    </row>
    <row r="104" spans="1:7" x14ac:dyDescent="0.25">
      <c r="A104" s="8">
        <v>42685.469074074077</v>
      </c>
      <c r="B104" s="21" t="s">
        <v>329</v>
      </c>
      <c r="C104" s="21" t="s">
        <v>514</v>
      </c>
      <c r="D104" s="21">
        <v>1340000</v>
      </c>
      <c r="E104" s="21" t="s">
        <v>515</v>
      </c>
      <c r="F104" s="21" t="str">
        <f t="shared" si="2"/>
        <v>rtdc.l.rtdc.4053:itc</v>
      </c>
      <c r="G104" s="8">
        <f t="shared" si="3"/>
        <v>42685.469074074077</v>
      </c>
    </row>
    <row r="105" spans="1:7" x14ac:dyDescent="0.25">
      <c r="A105" s="8">
        <v>42685.469780092593</v>
      </c>
      <c r="B105" s="21" t="s">
        <v>243</v>
      </c>
      <c r="C105" s="21" t="s">
        <v>516</v>
      </c>
      <c r="D105" s="21">
        <v>2090000</v>
      </c>
      <c r="E105" s="21" t="s">
        <v>467</v>
      </c>
      <c r="F105" s="21" t="str">
        <f t="shared" si="2"/>
        <v>rtdc.l.rtdc.4042:itc</v>
      </c>
      <c r="G105" s="8">
        <f t="shared" si="3"/>
        <v>42685.469780092593</v>
      </c>
    </row>
    <row r="106" spans="1:7" x14ac:dyDescent="0.25">
      <c r="A106" s="8">
        <v>42685.476157407407</v>
      </c>
      <c r="B106" s="21" t="s">
        <v>187</v>
      </c>
      <c r="C106" s="21" t="s">
        <v>434</v>
      </c>
      <c r="D106" s="21">
        <v>2450000</v>
      </c>
      <c r="E106" s="21" t="s">
        <v>339</v>
      </c>
      <c r="F106" s="21" t="str">
        <f t="shared" si="2"/>
        <v>rtdc.l.rtdc.4009:itc</v>
      </c>
      <c r="G106" s="8">
        <f t="shared" si="3"/>
        <v>42685.476157407407</v>
      </c>
    </row>
    <row r="107" spans="1:7" x14ac:dyDescent="0.25">
      <c r="A107" s="8">
        <v>42685.481493055559</v>
      </c>
      <c r="B107" s="21" t="s">
        <v>235</v>
      </c>
      <c r="C107" s="21" t="s">
        <v>517</v>
      </c>
      <c r="D107" s="21">
        <v>2620000</v>
      </c>
      <c r="E107" s="21" t="s">
        <v>266</v>
      </c>
      <c r="F107" s="21" t="str">
        <f t="shared" si="2"/>
        <v>rtdc.l.rtdc.4032:itc</v>
      </c>
      <c r="G107" s="8">
        <f t="shared" si="3"/>
        <v>42685.481493055559</v>
      </c>
    </row>
    <row r="108" spans="1:7" x14ac:dyDescent="0.25">
      <c r="A108" s="8">
        <v>42685.484143518515</v>
      </c>
      <c r="B108" s="21" t="s">
        <v>187</v>
      </c>
      <c r="C108" s="21" t="s">
        <v>434</v>
      </c>
      <c r="D108" s="21">
        <v>2450000</v>
      </c>
      <c r="E108" s="21" t="s">
        <v>339</v>
      </c>
      <c r="F108" s="21" t="str">
        <f t="shared" si="2"/>
        <v>rtdc.l.rtdc.4009:itc</v>
      </c>
      <c r="G108" s="8">
        <f t="shared" si="3"/>
        <v>42685.484143518515</v>
      </c>
    </row>
    <row r="109" spans="1:7" x14ac:dyDescent="0.25">
      <c r="A109" s="8">
        <v>42685.485578703701</v>
      </c>
      <c r="B109" s="21" t="s">
        <v>242</v>
      </c>
      <c r="C109" s="21" t="s">
        <v>518</v>
      </c>
      <c r="D109" s="21">
        <v>2090000</v>
      </c>
      <c r="E109" s="21" t="s">
        <v>467</v>
      </c>
      <c r="F109" s="21" t="str">
        <f t="shared" si="2"/>
        <v>rtdc.l.rtdc.4041:itc</v>
      </c>
      <c r="G109" s="8">
        <f t="shared" si="3"/>
        <v>42685.485578703701</v>
      </c>
    </row>
    <row r="110" spans="1:7" x14ac:dyDescent="0.25">
      <c r="A110" s="8">
        <v>42685.486041666663</v>
      </c>
      <c r="B110" s="21" t="s">
        <v>189</v>
      </c>
      <c r="C110" s="21" t="s">
        <v>519</v>
      </c>
      <c r="D110" s="21">
        <v>2040000</v>
      </c>
      <c r="E110" s="21" t="s">
        <v>301</v>
      </c>
      <c r="F110" s="21" t="str">
        <f t="shared" si="2"/>
        <v>rtdc.l.rtdc.4044:itc</v>
      </c>
      <c r="G110" s="8">
        <f t="shared" si="3"/>
        <v>42685.486041666663</v>
      </c>
    </row>
    <row r="111" spans="1:7" x14ac:dyDescent="0.25">
      <c r="A111" s="8">
        <v>42685.49113425926</v>
      </c>
      <c r="B111" s="21" t="s">
        <v>328</v>
      </c>
      <c r="C111" s="21" t="s">
        <v>520</v>
      </c>
      <c r="D111" s="21">
        <v>1100000</v>
      </c>
      <c r="E111" s="21" t="s">
        <v>337</v>
      </c>
      <c r="F111" s="21" t="str">
        <f t="shared" si="2"/>
        <v>rtdc.l.rtdc.4007:itc</v>
      </c>
      <c r="G111" s="8">
        <f t="shared" si="3"/>
        <v>42685.49113425926</v>
      </c>
    </row>
    <row r="112" spans="1:7" x14ac:dyDescent="0.25">
      <c r="A112" s="8">
        <v>42685.494317129633</v>
      </c>
      <c r="B112" s="21" t="s">
        <v>295</v>
      </c>
      <c r="C112" s="21" t="s">
        <v>521</v>
      </c>
      <c r="D112" s="21">
        <v>2530000</v>
      </c>
      <c r="E112" s="21" t="s">
        <v>504</v>
      </c>
      <c r="F112" s="21" t="str">
        <f t="shared" si="2"/>
        <v>rtdc.l.rtdc.4026:itc</v>
      </c>
      <c r="G112" s="8">
        <f t="shared" si="3"/>
        <v>42685.494317129633</v>
      </c>
    </row>
    <row r="113" spans="1:7" x14ac:dyDescent="0.25">
      <c r="A113" s="8">
        <v>42685.496111111112</v>
      </c>
      <c r="B113" s="21" t="s">
        <v>231</v>
      </c>
      <c r="C113" s="21" t="s">
        <v>522</v>
      </c>
      <c r="D113" s="21">
        <v>2230000</v>
      </c>
      <c r="E113" s="21" t="s">
        <v>344</v>
      </c>
      <c r="F113" s="21" t="str">
        <f t="shared" si="2"/>
        <v>rtdc.l.rtdc.4003:itc</v>
      </c>
      <c r="G113" s="8">
        <f t="shared" si="3"/>
        <v>42685.496111111112</v>
      </c>
    </row>
    <row r="114" spans="1:7" x14ac:dyDescent="0.25">
      <c r="A114" s="8">
        <v>42685.503217592595</v>
      </c>
      <c r="B114" s="21" t="s">
        <v>234</v>
      </c>
      <c r="C114" s="21" t="s">
        <v>523</v>
      </c>
      <c r="D114" s="21">
        <v>930000</v>
      </c>
      <c r="E114" s="21" t="s">
        <v>512</v>
      </c>
      <c r="F114" s="21" t="str">
        <f t="shared" si="2"/>
        <v>rtdc.l.rtdc.4039:itc</v>
      </c>
      <c r="G114" s="8">
        <f t="shared" si="3"/>
        <v>42685.503217592595</v>
      </c>
    </row>
    <row r="115" spans="1:7" x14ac:dyDescent="0.25">
      <c r="A115" s="8">
        <v>42685.506562499999</v>
      </c>
      <c r="B115" s="21" t="s">
        <v>458</v>
      </c>
      <c r="C115" s="21" t="s">
        <v>524</v>
      </c>
      <c r="D115" s="21">
        <v>2020000</v>
      </c>
      <c r="E115" s="21" t="s">
        <v>340</v>
      </c>
      <c r="F115" s="21" t="str">
        <f t="shared" si="2"/>
        <v>rtdc.l.rtdc.4018:itc</v>
      </c>
      <c r="G115" s="8">
        <f t="shared" si="3"/>
        <v>42685.506562499999</v>
      </c>
    </row>
    <row r="116" spans="1:7" x14ac:dyDescent="0.25">
      <c r="A116" s="8">
        <v>42685.511770833335</v>
      </c>
      <c r="B116" s="21" t="s">
        <v>243</v>
      </c>
      <c r="C116" s="21" t="s">
        <v>525</v>
      </c>
      <c r="D116" s="21">
        <v>2090000</v>
      </c>
      <c r="E116" s="21" t="s">
        <v>467</v>
      </c>
      <c r="F116" s="21" t="str">
        <f t="shared" si="2"/>
        <v>rtdc.l.rtdc.4042:itc</v>
      </c>
      <c r="G116" s="8">
        <f t="shared" si="3"/>
        <v>42685.511770833335</v>
      </c>
    </row>
    <row r="117" spans="1:7" x14ac:dyDescent="0.25">
      <c r="A117" s="8">
        <v>42685.512256944443</v>
      </c>
      <c r="B117" s="21" t="s">
        <v>296</v>
      </c>
      <c r="C117" s="21" t="s">
        <v>526</v>
      </c>
      <c r="D117" s="21">
        <v>2450000</v>
      </c>
      <c r="E117" s="21" t="s">
        <v>339</v>
      </c>
      <c r="F117" s="21" t="str">
        <f t="shared" si="2"/>
        <v>rtdc.l.rtdc.4010:itc</v>
      </c>
      <c r="G117" s="8">
        <f t="shared" si="3"/>
        <v>42685.512256944443</v>
      </c>
    </row>
    <row r="118" spans="1:7" x14ac:dyDescent="0.25">
      <c r="A118" s="8">
        <v>42685.520775462966</v>
      </c>
      <c r="B118" s="21" t="s">
        <v>248</v>
      </c>
      <c r="C118" s="21" t="s">
        <v>527</v>
      </c>
      <c r="D118" s="21">
        <v>2550000</v>
      </c>
      <c r="E118" s="21" t="s">
        <v>268</v>
      </c>
      <c r="F118" s="21" t="str">
        <f t="shared" si="2"/>
        <v>rtdc.l.rtdc.4031:itc</v>
      </c>
      <c r="G118" s="8">
        <f t="shared" si="3"/>
        <v>42685.520775462966</v>
      </c>
    </row>
    <row r="119" spans="1:7" x14ac:dyDescent="0.25">
      <c r="A119" s="8">
        <v>42685.526666666665</v>
      </c>
      <c r="B119" s="21" t="s">
        <v>242</v>
      </c>
      <c r="C119" s="21" t="s">
        <v>528</v>
      </c>
      <c r="D119" s="21">
        <v>2090000</v>
      </c>
      <c r="E119" s="21" t="s">
        <v>467</v>
      </c>
      <c r="F119" s="21" t="str">
        <f t="shared" si="2"/>
        <v>rtdc.l.rtdc.4041:itc</v>
      </c>
      <c r="G119" s="8">
        <f t="shared" si="3"/>
        <v>42685.526666666665</v>
      </c>
    </row>
    <row r="120" spans="1:7" x14ac:dyDescent="0.25">
      <c r="A120" s="8">
        <v>42685.527025462965</v>
      </c>
      <c r="B120" s="21" t="s">
        <v>249</v>
      </c>
      <c r="C120" s="21" t="s">
        <v>529</v>
      </c>
      <c r="D120" s="21">
        <v>2530000</v>
      </c>
      <c r="E120" s="21" t="s">
        <v>504</v>
      </c>
      <c r="F120" s="21" t="str">
        <f t="shared" si="2"/>
        <v>rtdc.l.rtdc.4025:itc</v>
      </c>
      <c r="G120" s="8">
        <f t="shared" si="3"/>
        <v>42685.527025462965</v>
      </c>
    </row>
    <row r="121" spans="1:7" x14ac:dyDescent="0.25">
      <c r="A121" s="8">
        <v>42685.527060185188</v>
      </c>
      <c r="B121" s="21" t="s">
        <v>280</v>
      </c>
      <c r="C121" s="21" t="s">
        <v>530</v>
      </c>
      <c r="D121" s="21">
        <v>2040000</v>
      </c>
      <c r="E121" s="21" t="s">
        <v>301</v>
      </c>
      <c r="F121" s="21" t="str">
        <f t="shared" si="2"/>
        <v>rtdc.l.rtdc.4043:itc</v>
      </c>
      <c r="G121" s="8">
        <f t="shared" si="3"/>
        <v>42685.527060185188</v>
      </c>
    </row>
    <row r="122" spans="1:7" x14ac:dyDescent="0.25">
      <c r="A122" s="8">
        <v>42685.532337962963</v>
      </c>
      <c r="B122" s="26" t="s">
        <v>237</v>
      </c>
      <c r="C122" s="21" t="s">
        <v>531</v>
      </c>
      <c r="D122" s="21">
        <v>2230000</v>
      </c>
      <c r="E122" s="21" t="s">
        <v>344</v>
      </c>
      <c r="F122" s="21" t="str">
        <f t="shared" si="2"/>
        <v>rtdc.l.rtdc.4004:itc</v>
      </c>
      <c r="G122" s="8">
        <f t="shared" si="3"/>
        <v>42685.532337962963</v>
      </c>
    </row>
    <row r="123" spans="1:7" x14ac:dyDescent="0.25">
      <c r="A123" s="8">
        <v>42685.538645833331</v>
      </c>
      <c r="B123" s="21" t="s">
        <v>226</v>
      </c>
      <c r="C123" s="21" t="s">
        <v>532</v>
      </c>
      <c r="D123" s="21">
        <v>930000</v>
      </c>
      <c r="E123" s="21" t="s">
        <v>512</v>
      </c>
      <c r="F123" s="21" t="str">
        <f t="shared" si="2"/>
        <v>rtdc.l.rtdc.4040:itc</v>
      </c>
      <c r="G123" s="8">
        <f t="shared" si="3"/>
        <v>42685.538645833331</v>
      </c>
    </row>
    <row r="124" spans="1:7" x14ac:dyDescent="0.25">
      <c r="A124" s="8">
        <v>42685.545046296298</v>
      </c>
      <c r="B124" s="21" t="s">
        <v>420</v>
      </c>
      <c r="C124" s="21" t="s">
        <v>533</v>
      </c>
      <c r="D124" s="21">
        <v>2020000</v>
      </c>
      <c r="E124" s="21" t="s">
        <v>340</v>
      </c>
      <c r="F124" s="21" t="str">
        <f t="shared" si="2"/>
        <v>rtdc.l.rtdc.4017:itc</v>
      </c>
      <c r="G124" s="8">
        <f t="shared" si="3"/>
        <v>42685.545046296298</v>
      </c>
    </row>
    <row r="125" spans="1:7" x14ac:dyDescent="0.25">
      <c r="A125" s="8">
        <v>42685.546597222223</v>
      </c>
      <c r="B125" s="21" t="s">
        <v>187</v>
      </c>
      <c r="C125" s="21" t="s">
        <v>534</v>
      </c>
      <c r="D125" s="21">
        <v>2450000</v>
      </c>
      <c r="E125" s="21" t="s">
        <v>339</v>
      </c>
      <c r="F125" s="21" t="str">
        <f t="shared" si="2"/>
        <v>rtdc.l.rtdc.4009:itc</v>
      </c>
      <c r="G125" s="8">
        <f t="shared" si="3"/>
        <v>42685.546597222223</v>
      </c>
    </row>
    <row r="126" spans="1:7" x14ac:dyDescent="0.25">
      <c r="A126" s="8">
        <v>42685.550069444442</v>
      </c>
      <c r="B126" s="21" t="s">
        <v>243</v>
      </c>
      <c r="C126" s="21" t="s">
        <v>535</v>
      </c>
      <c r="D126" s="21">
        <v>2600000</v>
      </c>
      <c r="E126" s="21" t="s">
        <v>343</v>
      </c>
      <c r="F126" s="21" t="str">
        <f t="shared" si="2"/>
        <v>rtdc.l.rtdc.4042:itc</v>
      </c>
      <c r="G126" s="8">
        <f t="shared" si="3"/>
        <v>42685.550069444442</v>
      </c>
    </row>
    <row r="127" spans="1:7" x14ac:dyDescent="0.25">
      <c r="A127" s="8">
        <v>42685.556203703702</v>
      </c>
      <c r="B127" s="21" t="s">
        <v>235</v>
      </c>
      <c r="C127" s="21" t="s">
        <v>536</v>
      </c>
      <c r="D127" s="21">
        <v>2550000</v>
      </c>
      <c r="E127" s="21" t="s">
        <v>268</v>
      </c>
      <c r="F127" s="21" t="str">
        <f t="shared" si="2"/>
        <v>rtdc.l.rtdc.4032:itc</v>
      </c>
      <c r="G127" s="8">
        <f t="shared" si="3"/>
        <v>42685.556203703702</v>
      </c>
    </row>
    <row r="128" spans="1:7" x14ac:dyDescent="0.25">
      <c r="A128" s="8">
        <v>42685.560324074075</v>
      </c>
      <c r="B128" s="21" t="s">
        <v>189</v>
      </c>
      <c r="C128" s="21" t="s">
        <v>537</v>
      </c>
      <c r="D128" s="21">
        <v>2040000</v>
      </c>
      <c r="E128" s="21" t="s">
        <v>301</v>
      </c>
      <c r="F128" s="21" t="str">
        <f t="shared" si="2"/>
        <v>rtdc.l.rtdc.4044:itc</v>
      </c>
      <c r="G128" s="8">
        <f t="shared" si="3"/>
        <v>42685.560324074075</v>
      </c>
    </row>
    <row r="129" spans="1:7" x14ac:dyDescent="0.25">
      <c r="A129" s="8">
        <v>42685.565833333334</v>
      </c>
      <c r="B129" s="21" t="s">
        <v>295</v>
      </c>
      <c r="C129" s="21" t="s">
        <v>538</v>
      </c>
      <c r="D129" s="21">
        <v>2530000</v>
      </c>
      <c r="E129" s="21" t="s">
        <v>504</v>
      </c>
      <c r="F129" s="21" t="str">
        <f t="shared" si="2"/>
        <v>rtdc.l.rtdc.4026:itc</v>
      </c>
      <c r="G129" s="8">
        <f t="shared" si="3"/>
        <v>42685.565833333334</v>
      </c>
    </row>
    <row r="130" spans="1:7" x14ac:dyDescent="0.25">
      <c r="A130" s="8">
        <v>42685.56763888889</v>
      </c>
      <c r="B130" s="21" t="s">
        <v>242</v>
      </c>
      <c r="C130" s="21" t="s">
        <v>539</v>
      </c>
      <c r="D130" s="21">
        <v>2600000</v>
      </c>
      <c r="E130" s="21" t="s">
        <v>343</v>
      </c>
      <c r="F130" s="21" t="str">
        <f t="shared" ref="F130:F193" si="4">B130</f>
        <v>rtdc.l.rtdc.4041:itc</v>
      </c>
      <c r="G130" s="8">
        <f t="shared" ref="G130:G193" si="5">A130</f>
        <v>42685.56763888889</v>
      </c>
    </row>
    <row r="131" spans="1:7" x14ac:dyDescent="0.25">
      <c r="A131" s="8">
        <v>42685.569212962961</v>
      </c>
      <c r="B131" s="21" t="s">
        <v>231</v>
      </c>
      <c r="C131" s="21" t="s">
        <v>540</v>
      </c>
      <c r="D131" s="21">
        <v>2230000</v>
      </c>
      <c r="E131" s="21" t="s">
        <v>344</v>
      </c>
      <c r="F131" s="21" t="str">
        <f t="shared" si="4"/>
        <v>rtdc.l.rtdc.4003:itc</v>
      </c>
      <c r="G131" s="8">
        <f t="shared" si="5"/>
        <v>42685.569212962961</v>
      </c>
    </row>
    <row r="132" spans="1:7" x14ac:dyDescent="0.25">
      <c r="A132" s="8">
        <v>42685.57508101852</v>
      </c>
      <c r="B132" s="21" t="s">
        <v>234</v>
      </c>
      <c r="C132" s="21" t="s">
        <v>541</v>
      </c>
      <c r="D132" s="21">
        <v>930000</v>
      </c>
      <c r="E132" s="21" t="s">
        <v>512</v>
      </c>
      <c r="F132" s="21" t="str">
        <f t="shared" si="4"/>
        <v>rtdc.l.rtdc.4039:itc</v>
      </c>
      <c r="G132" s="8">
        <f t="shared" si="5"/>
        <v>42685.57508101852</v>
      </c>
    </row>
    <row r="133" spans="1:7" x14ac:dyDescent="0.25">
      <c r="A133" s="8">
        <v>42685.580833333333</v>
      </c>
      <c r="B133" s="21" t="s">
        <v>458</v>
      </c>
      <c r="C133" s="21" t="s">
        <v>542</v>
      </c>
      <c r="D133" s="21">
        <v>2020000</v>
      </c>
      <c r="E133" s="21" t="s">
        <v>340</v>
      </c>
      <c r="F133" s="21" t="str">
        <f t="shared" si="4"/>
        <v>rtdc.l.rtdc.4018:itc</v>
      </c>
      <c r="G133" s="8">
        <f t="shared" si="5"/>
        <v>42685.580833333333</v>
      </c>
    </row>
    <row r="134" spans="1:7" x14ac:dyDescent="0.25">
      <c r="A134" s="8">
        <v>42685.582106481481</v>
      </c>
      <c r="B134" s="21" t="s">
        <v>296</v>
      </c>
      <c r="C134" s="21" t="s">
        <v>543</v>
      </c>
      <c r="D134" s="21">
        <v>2450000</v>
      </c>
      <c r="E134" s="21" t="s">
        <v>339</v>
      </c>
      <c r="F134" s="21" t="str">
        <f t="shared" si="4"/>
        <v>rtdc.l.rtdc.4010:itc</v>
      </c>
      <c r="G134" s="8">
        <f t="shared" si="5"/>
        <v>42685.582106481481</v>
      </c>
    </row>
    <row r="135" spans="1:7" x14ac:dyDescent="0.25">
      <c r="A135" s="8">
        <v>42685.589467592596</v>
      </c>
      <c r="B135" s="21" t="s">
        <v>248</v>
      </c>
      <c r="C135" s="21" t="s">
        <v>544</v>
      </c>
      <c r="D135" s="21">
        <v>2550000</v>
      </c>
      <c r="E135" s="21" t="s">
        <v>268</v>
      </c>
      <c r="F135" s="21" t="str">
        <f t="shared" si="4"/>
        <v>rtdc.l.rtdc.4031:itc</v>
      </c>
      <c r="G135" s="8">
        <f t="shared" si="5"/>
        <v>42685.589467592596</v>
      </c>
    </row>
    <row r="136" spans="1:7" x14ac:dyDescent="0.25">
      <c r="A136" s="8">
        <v>42685.591400462959</v>
      </c>
      <c r="B136" s="21" t="s">
        <v>243</v>
      </c>
      <c r="C136" s="21" t="s">
        <v>545</v>
      </c>
      <c r="D136" s="21">
        <v>2600000</v>
      </c>
      <c r="E136" s="21" t="s">
        <v>343</v>
      </c>
      <c r="F136" s="21" t="str">
        <f t="shared" si="4"/>
        <v>rtdc.l.rtdc.4042:itc</v>
      </c>
      <c r="G136" s="8">
        <f t="shared" si="5"/>
        <v>42685.591400462959</v>
      </c>
    </row>
    <row r="137" spans="1:7" x14ac:dyDescent="0.25">
      <c r="A137" s="8">
        <v>42685.595972222225</v>
      </c>
      <c r="B137" s="21" t="s">
        <v>243</v>
      </c>
      <c r="C137" s="21" t="s">
        <v>545</v>
      </c>
      <c r="D137" s="21">
        <v>2600000</v>
      </c>
      <c r="E137" s="21" t="s">
        <v>343</v>
      </c>
      <c r="F137" s="21" t="str">
        <f t="shared" si="4"/>
        <v>rtdc.l.rtdc.4042:itc</v>
      </c>
      <c r="G137" s="8">
        <f t="shared" si="5"/>
        <v>42685.595972222225</v>
      </c>
    </row>
    <row r="138" spans="1:7" x14ac:dyDescent="0.25">
      <c r="A138" s="8">
        <v>42685.596296296295</v>
      </c>
      <c r="B138" s="21" t="s">
        <v>280</v>
      </c>
      <c r="C138" s="21" t="s">
        <v>546</v>
      </c>
      <c r="D138" s="21">
        <v>2040000</v>
      </c>
      <c r="E138" s="21" t="s">
        <v>301</v>
      </c>
      <c r="F138" s="21" t="str">
        <f t="shared" si="4"/>
        <v>rtdc.l.rtdc.4043:itc</v>
      </c>
      <c r="G138" s="8">
        <f t="shared" si="5"/>
        <v>42685.596296296295</v>
      </c>
    </row>
    <row r="139" spans="1:7" x14ac:dyDescent="0.25">
      <c r="A139" s="8">
        <v>42685.599039351851</v>
      </c>
      <c r="B139" s="21" t="s">
        <v>249</v>
      </c>
      <c r="C139" s="21" t="s">
        <v>547</v>
      </c>
      <c r="D139" s="21">
        <v>2530000</v>
      </c>
      <c r="E139" s="21" t="s">
        <v>504</v>
      </c>
      <c r="F139" s="21" t="str">
        <f t="shared" si="4"/>
        <v>rtdc.l.rtdc.4025:itc</v>
      </c>
      <c r="G139" s="8">
        <f t="shared" si="5"/>
        <v>42685.599039351851</v>
      </c>
    </row>
    <row r="140" spans="1:7" x14ac:dyDescent="0.25">
      <c r="A140" s="8">
        <v>42685.606724537036</v>
      </c>
      <c r="B140" s="21" t="s">
        <v>237</v>
      </c>
      <c r="C140" s="21" t="s">
        <v>548</v>
      </c>
      <c r="D140" s="21">
        <v>2230000</v>
      </c>
      <c r="E140" s="21" t="s">
        <v>344</v>
      </c>
      <c r="F140" s="21" t="str">
        <f t="shared" si="4"/>
        <v>rtdc.l.rtdc.4004:itc</v>
      </c>
      <c r="G140" s="8">
        <f t="shared" si="5"/>
        <v>42685.606724537036</v>
      </c>
    </row>
    <row r="141" spans="1:7" x14ac:dyDescent="0.25">
      <c r="A141" s="8">
        <v>42685.609953703701</v>
      </c>
      <c r="B141" s="21" t="s">
        <v>242</v>
      </c>
      <c r="C141" s="21" t="s">
        <v>549</v>
      </c>
      <c r="D141" s="21">
        <v>2600000</v>
      </c>
      <c r="E141" s="21" t="s">
        <v>343</v>
      </c>
      <c r="F141" s="21" t="str">
        <f t="shared" si="4"/>
        <v>rtdc.l.rtdc.4041:itc</v>
      </c>
      <c r="G141" s="8">
        <f t="shared" si="5"/>
        <v>42685.609953703701</v>
      </c>
    </row>
    <row r="142" spans="1:7" x14ac:dyDescent="0.25">
      <c r="A142" s="8">
        <v>42685.610694444447</v>
      </c>
      <c r="B142" s="21" t="s">
        <v>226</v>
      </c>
      <c r="C142" s="21" t="s">
        <v>550</v>
      </c>
      <c r="D142" s="21">
        <v>930000</v>
      </c>
      <c r="E142" s="21" t="s">
        <v>512</v>
      </c>
      <c r="F142" s="21" t="str">
        <f t="shared" si="4"/>
        <v>rtdc.l.rtdc.4040:itc</v>
      </c>
      <c r="G142" s="8">
        <f t="shared" si="5"/>
        <v>42685.610694444447</v>
      </c>
    </row>
    <row r="143" spans="1:7" x14ac:dyDescent="0.25">
      <c r="A143" s="8">
        <v>42685.617777777778</v>
      </c>
      <c r="B143" s="21" t="s">
        <v>420</v>
      </c>
      <c r="C143" s="21" t="s">
        <v>551</v>
      </c>
      <c r="D143" s="21">
        <v>2020000</v>
      </c>
      <c r="E143" s="21" t="s">
        <v>340</v>
      </c>
      <c r="F143" s="21" t="str">
        <f t="shared" si="4"/>
        <v>rtdc.l.rtdc.4017:itc</v>
      </c>
      <c r="G143" s="8">
        <f t="shared" si="5"/>
        <v>42685.617777777778</v>
      </c>
    </row>
    <row r="144" spans="1:7" x14ac:dyDescent="0.25">
      <c r="A144" s="8">
        <v>42685.621979166666</v>
      </c>
      <c r="B144" s="21" t="s">
        <v>187</v>
      </c>
      <c r="C144" s="21" t="s">
        <v>552</v>
      </c>
      <c r="D144" s="21">
        <v>2150000</v>
      </c>
      <c r="E144" s="21" t="s">
        <v>553</v>
      </c>
      <c r="F144" s="21" t="str">
        <f t="shared" si="4"/>
        <v>rtdc.l.rtdc.4009:itc</v>
      </c>
      <c r="G144" s="8">
        <f t="shared" si="5"/>
        <v>42685.621979166666</v>
      </c>
    </row>
    <row r="145" spans="1:7" x14ac:dyDescent="0.25">
      <c r="A145" s="8">
        <v>42685.628136574072</v>
      </c>
      <c r="B145" s="21" t="s">
        <v>235</v>
      </c>
      <c r="C145" s="21" t="s">
        <v>554</v>
      </c>
      <c r="D145" s="21">
        <v>2550000</v>
      </c>
      <c r="E145" s="21" t="s">
        <v>268</v>
      </c>
      <c r="F145" s="21" t="str">
        <f t="shared" si="4"/>
        <v>rtdc.l.rtdc.4032:itc</v>
      </c>
      <c r="G145" s="8">
        <f t="shared" si="5"/>
        <v>42685.628136574072</v>
      </c>
    </row>
    <row r="146" spans="1:7" x14ac:dyDescent="0.25">
      <c r="A146" s="8">
        <v>42685.631261574075</v>
      </c>
      <c r="B146" s="21" t="s">
        <v>189</v>
      </c>
      <c r="C146" s="21" t="s">
        <v>555</v>
      </c>
      <c r="D146" s="21">
        <v>2040000</v>
      </c>
      <c r="E146" s="21" t="s">
        <v>301</v>
      </c>
      <c r="F146" s="21" t="str">
        <f t="shared" si="4"/>
        <v>rtdc.l.rtdc.4044:itc</v>
      </c>
      <c r="G146" s="8">
        <f t="shared" si="5"/>
        <v>42685.631261574075</v>
      </c>
    </row>
    <row r="147" spans="1:7" x14ac:dyDescent="0.25">
      <c r="A147" s="8">
        <v>42685.631863425922</v>
      </c>
      <c r="B147" s="21" t="s">
        <v>295</v>
      </c>
      <c r="C147" s="21" t="s">
        <v>556</v>
      </c>
      <c r="D147" s="21">
        <v>2530000</v>
      </c>
      <c r="E147" s="21" t="s">
        <v>504</v>
      </c>
      <c r="F147" s="21" t="str">
        <f t="shared" si="4"/>
        <v>rtdc.l.rtdc.4026:itc</v>
      </c>
      <c r="G147" s="8">
        <f t="shared" si="5"/>
        <v>42685.631863425922</v>
      </c>
    </row>
    <row r="148" spans="1:7" x14ac:dyDescent="0.25">
      <c r="A148" s="8">
        <v>42685.633773148147</v>
      </c>
      <c r="B148" s="21" t="s">
        <v>243</v>
      </c>
      <c r="C148" s="21" t="s">
        <v>557</v>
      </c>
      <c r="D148" s="21">
        <v>2600000</v>
      </c>
      <c r="E148" s="21" t="s">
        <v>343</v>
      </c>
      <c r="F148" s="21" t="str">
        <f t="shared" si="4"/>
        <v>rtdc.l.rtdc.4042:itc</v>
      </c>
      <c r="G148" s="8">
        <f t="shared" si="5"/>
        <v>42685.633773148147</v>
      </c>
    </row>
    <row r="149" spans="1:7" x14ac:dyDescent="0.25">
      <c r="A149" s="8">
        <v>42685.640960648147</v>
      </c>
      <c r="B149" s="21" t="s">
        <v>279</v>
      </c>
      <c r="C149" s="21" t="s">
        <v>558</v>
      </c>
      <c r="D149" s="21">
        <v>2630000</v>
      </c>
      <c r="E149" s="21" t="s">
        <v>559</v>
      </c>
      <c r="F149" s="21" t="str">
        <f t="shared" si="4"/>
        <v>rtdc.l.rtdc.4015:itc</v>
      </c>
      <c r="G149" s="8">
        <f t="shared" si="5"/>
        <v>42685.640960648147</v>
      </c>
    </row>
    <row r="150" spans="1:7" x14ac:dyDescent="0.25">
      <c r="A150" s="8">
        <v>42685.641979166663</v>
      </c>
      <c r="B150" s="21" t="s">
        <v>231</v>
      </c>
      <c r="C150" s="21" t="s">
        <v>560</v>
      </c>
      <c r="D150" s="21">
        <v>2270000</v>
      </c>
      <c r="E150" s="21" t="s">
        <v>302</v>
      </c>
      <c r="F150" s="21" t="str">
        <f t="shared" si="4"/>
        <v>rtdc.l.rtdc.4003:itc</v>
      </c>
      <c r="G150" s="8">
        <f t="shared" si="5"/>
        <v>42685.641979166663</v>
      </c>
    </row>
    <row r="151" spans="1:7" x14ac:dyDescent="0.25">
      <c r="A151" s="8">
        <v>42685.649062500001</v>
      </c>
      <c r="B151" s="21" t="s">
        <v>234</v>
      </c>
      <c r="C151" s="21" t="s">
        <v>561</v>
      </c>
      <c r="D151" s="21">
        <v>930000</v>
      </c>
      <c r="E151" s="21" t="s">
        <v>512</v>
      </c>
      <c r="F151" s="21" t="str">
        <f t="shared" si="4"/>
        <v>rtdc.l.rtdc.4039:itc</v>
      </c>
      <c r="G151" s="8">
        <f t="shared" si="5"/>
        <v>42685.649062500001</v>
      </c>
    </row>
    <row r="152" spans="1:7" x14ac:dyDescent="0.25">
      <c r="A152" s="8">
        <v>42685.650127314817</v>
      </c>
      <c r="B152" s="21" t="s">
        <v>277</v>
      </c>
      <c r="C152" s="21" t="s">
        <v>562</v>
      </c>
      <c r="D152" s="21">
        <v>2630000</v>
      </c>
      <c r="E152" s="21" t="s">
        <v>559</v>
      </c>
      <c r="F152" s="21" t="str">
        <f t="shared" si="4"/>
        <v>rtdc.l.rtdc.4016:itc</v>
      </c>
      <c r="G152" s="8">
        <f t="shared" si="5"/>
        <v>42685.650127314817</v>
      </c>
    </row>
    <row r="153" spans="1:7" x14ac:dyDescent="0.25">
      <c r="A153" s="8">
        <v>42685.650659722225</v>
      </c>
      <c r="B153" s="21" t="s">
        <v>242</v>
      </c>
      <c r="C153" s="21" t="s">
        <v>435</v>
      </c>
      <c r="D153" s="21">
        <v>2600000</v>
      </c>
      <c r="E153" s="21" t="s">
        <v>343</v>
      </c>
      <c r="F153" s="21" t="str">
        <f t="shared" si="4"/>
        <v>rtdc.l.rtdc.4041:itc</v>
      </c>
      <c r="G153" s="8">
        <f t="shared" si="5"/>
        <v>42685.650659722225</v>
      </c>
    </row>
    <row r="154" spans="1:7" x14ac:dyDescent="0.25">
      <c r="A154" s="8">
        <v>42685.652766203704</v>
      </c>
      <c r="B154" s="21" t="s">
        <v>296</v>
      </c>
      <c r="C154" s="21" t="s">
        <v>563</v>
      </c>
      <c r="D154" s="21">
        <v>2150000</v>
      </c>
      <c r="E154" s="21" t="s">
        <v>553</v>
      </c>
      <c r="F154" s="21" t="str">
        <f t="shared" si="4"/>
        <v>rtdc.l.rtdc.4010:itc</v>
      </c>
      <c r="G154" s="8">
        <f t="shared" si="5"/>
        <v>42685.652766203704</v>
      </c>
    </row>
    <row r="155" spans="1:7" x14ac:dyDescent="0.25">
      <c r="A155" s="8">
        <v>42685.65347222222</v>
      </c>
      <c r="B155" s="21" t="s">
        <v>458</v>
      </c>
      <c r="C155" s="21" t="s">
        <v>564</v>
      </c>
      <c r="D155" s="21">
        <v>2020000</v>
      </c>
      <c r="E155" s="21" t="s">
        <v>340</v>
      </c>
      <c r="F155" s="21" t="str">
        <f t="shared" si="4"/>
        <v>rtdc.l.rtdc.4018:itc</v>
      </c>
      <c r="G155" s="8">
        <f t="shared" si="5"/>
        <v>42685.65347222222</v>
      </c>
    </row>
    <row r="156" spans="1:7" x14ac:dyDescent="0.25">
      <c r="A156" s="8">
        <v>42685.662083333336</v>
      </c>
      <c r="B156" s="21" t="s">
        <v>248</v>
      </c>
      <c r="C156" s="21" t="s">
        <v>565</v>
      </c>
      <c r="D156" s="21">
        <v>2550000</v>
      </c>
      <c r="E156" s="21" t="s">
        <v>268</v>
      </c>
      <c r="F156" s="21" t="str">
        <f t="shared" si="4"/>
        <v>rtdc.l.rtdc.4031:itc</v>
      </c>
      <c r="G156" s="8">
        <f t="shared" si="5"/>
        <v>42685.662083333336</v>
      </c>
    </row>
    <row r="157" spans="1:7" x14ac:dyDescent="0.25">
      <c r="A157" s="8">
        <v>42685.671539351853</v>
      </c>
      <c r="B157" s="21" t="s">
        <v>279</v>
      </c>
      <c r="C157" s="21" t="s">
        <v>566</v>
      </c>
      <c r="D157" s="21">
        <v>2630000</v>
      </c>
      <c r="E157" s="21" t="s">
        <v>559</v>
      </c>
      <c r="F157" s="21" t="str">
        <f t="shared" si="4"/>
        <v>rtdc.l.rtdc.4015:itc</v>
      </c>
      <c r="G157" s="8">
        <f t="shared" si="5"/>
        <v>42685.671539351853</v>
      </c>
    </row>
    <row r="158" spans="1:7" x14ac:dyDescent="0.25">
      <c r="A158" s="8">
        <v>42685.672106481485</v>
      </c>
      <c r="B158" s="21" t="s">
        <v>280</v>
      </c>
      <c r="C158" s="21" t="s">
        <v>567</v>
      </c>
      <c r="D158" s="21">
        <v>2040000</v>
      </c>
      <c r="E158" s="21" t="s">
        <v>301</v>
      </c>
      <c r="F158" s="21" t="str">
        <f t="shared" si="4"/>
        <v>rtdc.l.rtdc.4043:itc</v>
      </c>
      <c r="G158" s="8">
        <f t="shared" si="5"/>
        <v>42685.672106481485</v>
      </c>
    </row>
    <row r="159" spans="1:7" x14ac:dyDescent="0.25">
      <c r="A159" s="8">
        <v>42685.672905092593</v>
      </c>
      <c r="B159" s="21" t="s">
        <v>249</v>
      </c>
      <c r="C159" s="21" t="s">
        <v>568</v>
      </c>
      <c r="D159" s="21">
        <v>2530000</v>
      </c>
      <c r="E159" s="21" t="s">
        <v>504</v>
      </c>
      <c r="F159" s="21" t="str">
        <f t="shared" si="4"/>
        <v>rtdc.l.rtdc.4025:itc</v>
      </c>
      <c r="G159" s="8">
        <f t="shared" si="5"/>
        <v>42685.672905092593</v>
      </c>
    </row>
    <row r="160" spans="1:7" x14ac:dyDescent="0.25">
      <c r="A160" s="8">
        <v>42685.675775462965</v>
      </c>
      <c r="B160" s="21" t="s">
        <v>237</v>
      </c>
      <c r="C160" s="21" t="s">
        <v>569</v>
      </c>
      <c r="D160" s="21">
        <v>2270000</v>
      </c>
      <c r="E160" s="21" t="s">
        <v>302</v>
      </c>
      <c r="F160" s="21" t="str">
        <f t="shared" si="4"/>
        <v>rtdc.l.rtdc.4004:itc</v>
      </c>
      <c r="G160" s="8">
        <f t="shared" si="5"/>
        <v>42685.675775462965</v>
      </c>
    </row>
    <row r="161" spans="1:7" x14ac:dyDescent="0.25">
      <c r="A161" s="8">
        <v>42685.677164351851</v>
      </c>
      <c r="B161" s="21" t="s">
        <v>243</v>
      </c>
      <c r="C161" s="21" t="s">
        <v>570</v>
      </c>
      <c r="D161" s="21">
        <v>2600000</v>
      </c>
      <c r="E161" s="21" t="s">
        <v>343</v>
      </c>
      <c r="F161" s="21" t="str">
        <f t="shared" si="4"/>
        <v>rtdc.l.rtdc.4042:itc</v>
      </c>
      <c r="G161" s="8">
        <f t="shared" si="5"/>
        <v>42685.677164351851</v>
      </c>
    </row>
    <row r="162" spans="1:7" x14ac:dyDescent="0.25">
      <c r="A162" s="8">
        <v>42685.684270833335</v>
      </c>
      <c r="B162" s="21" t="s">
        <v>226</v>
      </c>
      <c r="C162" s="21" t="s">
        <v>571</v>
      </c>
      <c r="D162" s="21">
        <v>930000</v>
      </c>
      <c r="E162" s="21" t="s">
        <v>512</v>
      </c>
      <c r="F162" s="21" t="str">
        <f t="shared" si="4"/>
        <v>rtdc.l.rtdc.4040:itc</v>
      </c>
      <c r="G162" s="8">
        <f t="shared" si="5"/>
        <v>42685.684270833335</v>
      </c>
    </row>
    <row r="163" spans="1:7" x14ac:dyDescent="0.25">
      <c r="A163" s="8">
        <v>42685.686516203707</v>
      </c>
      <c r="B163" s="21" t="s">
        <v>277</v>
      </c>
      <c r="C163" s="21" t="s">
        <v>437</v>
      </c>
      <c r="D163" s="21">
        <v>2630000</v>
      </c>
      <c r="E163" s="21" t="s">
        <v>559</v>
      </c>
      <c r="F163" s="21" t="str">
        <f t="shared" si="4"/>
        <v>rtdc.l.rtdc.4016:itc</v>
      </c>
      <c r="G163" s="8">
        <f t="shared" si="5"/>
        <v>42685.686516203707</v>
      </c>
    </row>
    <row r="164" spans="1:7" x14ac:dyDescent="0.25">
      <c r="A164" s="8">
        <v>42685.69017361111</v>
      </c>
      <c r="B164" s="21" t="s">
        <v>420</v>
      </c>
      <c r="C164" s="21" t="s">
        <v>572</v>
      </c>
      <c r="D164" s="21">
        <v>2020000</v>
      </c>
      <c r="E164" s="21" t="s">
        <v>340</v>
      </c>
      <c r="F164" s="21" t="str">
        <f t="shared" si="4"/>
        <v>rtdc.l.rtdc.4017:itc</v>
      </c>
      <c r="G164" s="8">
        <f t="shared" si="5"/>
        <v>42685.69017361111</v>
      </c>
    </row>
    <row r="165" spans="1:7" x14ac:dyDescent="0.25">
      <c r="A165" s="8">
        <v>42685.692615740743</v>
      </c>
      <c r="B165" s="21" t="s">
        <v>242</v>
      </c>
      <c r="C165" s="21" t="s">
        <v>436</v>
      </c>
      <c r="D165" s="21">
        <v>2600000</v>
      </c>
      <c r="E165" s="21" t="s">
        <v>343</v>
      </c>
      <c r="F165" s="21" t="str">
        <f t="shared" si="4"/>
        <v>rtdc.l.rtdc.4041:itc</v>
      </c>
      <c r="G165" s="8">
        <f t="shared" si="5"/>
        <v>42685.692615740743</v>
      </c>
    </row>
    <row r="166" spans="1:7" x14ac:dyDescent="0.25">
      <c r="A166" s="8">
        <v>42685.694155092591</v>
      </c>
      <c r="B166" s="21" t="s">
        <v>187</v>
      </c>
      <c r="C166" s="21" t="s">
        <v>573</v>
      </c>
      <c r="D166" s="21">
        <v>2450000</v>
      </c>
      <c r="E166" s="21" t="s">
        <v>339</v>
      </c>
      <c r="F166" s="21" t="str">
        <f t="shared" si="4"/>
        <v>rtdc.l.rtdc.4009:itc</v>
      </c>
      <c r="G166" s="8">
        <f t="shared" si="5"/>
        <v>42685.694155092591</v>
      </c>
    </row>
    <row r="167" spans="1:7" x14ac:dyDescent="0.25">
      <c r="A167" s="8">
        <v>42685.701770833337</v>
      </c>
      <c r="B167" s="21" t="s">
        <v>235</v>
      </c>
      <c r="C167" s="21" t="s">
        <v>574</v>
      </c>
      <c r="D167" s="21">
        <v>2550000</v>
      </c>
      <c r="E167" s="21" t="s">
        <v>268</v>
      </c>
      <c r="F167" s="21" t="str">
        <f t="shared" si="4"/>
        <v>rtdc.l.rtdc.4032:itc</v>
      </c>
      <c r="G167" s="8">
        <f t="shared" si="5"/>
        <v>42685.701770833337</v>
      </c>
    </row>
    <row r="168" spans="1:7" x14ac:dyDescent="0.25">
      <c r="A168" s="8">
        <v>42685.705555555556</v>
      </c>
      <c r="B168" s="21" t="s">
        <v>189</v>
      </c>
      <c r="C168" s="21" t="s">
        <v>575</v>
      </c>
      <c r="D168" s="21">
        <v>2040000</v>
      </c>
      <c r="E168" s="21" t="s">
        <v>301</v>
      </c>
      <c r="F168" s="21" t="str">
        <f t="shared" si="4"/>
        <v>rtdc.l.rtdc.4044:itc</v>
      </c>
      <c r="G168" s="8">
        <f t="shared" si="5"/>
        <v>42685.705555555556</v>
      </c>
    </row>
    <row r="169" spans="1:7" x14ac:dyDescent="0.25">
      <c r="A169" s="8">
        <v>42685.710081018522</v>
      </c>
      <c r="B169" s="21" t="s">
        <v>217</v>
      </c>
      <c r="C169" s="21" t="s">
        <v>576</v>
      </c>
      <c r="D169" s="21">
        <v>2220000</v>
      </c>
      <c r="E169" s="21" t="s">
        <v>338</v>
      </c>
      <c r="F169" s="21" t="str">
        <f t="shared" si="4"/>
        <v>rtdc.l.rtdc.4029:itc</v>
      </c>
      <c r="G169" s="8">
        <f t="shared" si="5"/>
        <v>42685.710081018522</v>
      </c>
    </row>
    <row r="170" spans="1:7" x14ac:dyDescent="0.25">
      <c r="A170" s="8">
        <v>42685.71230324074</v>
      </c>
      <c r="B170" s="21" t="s">
        <v>295</v>
      </c>
      <c r="C170" s="21" t="s">
        <v>577</v>
      </c>
      <c r="D170" s="21">
        <v>2530000</v>
      </c>
      <c r="E170" s="21" t="s">
        <v>504</v>
      </c>
      <c r="F170" s="21" t="str">
        <f t="shared" si="4"/>
        <v>rtdc.l.rtdc.4026:itc</v>
      </c>
      <c r="G170" s="8">
        <f t="shared" si="5"/>
        <v>42685.71230324074</v>
      </c>
    </row>
    <row r="171" spans="1:7" x14ac:dyDescent="0.25">
      <c r="A171" s="8">
        <v>42685.713865740741</v>
      </c>
      <c r="B171" s="21" t="s">
        <v>279</v>
      </c>
      <c r="C171" s="21" t="s">
        <v>578</v>
      </c>
      <c r="D171" s="21">
        <v>2630000</v>
      </c>
      <c r="E171" s="21" t="s">
        <v>559</v>
      </c>
      <c r="F171" s="21" t="str">
        <f t="shared" si="4"/>
        <v>rtdc.l.rtdc.4015:itc</v>
      </c>
      <c r="G171" s="8">
        <f t="shared" si="5"/>
        <v>42685.713865740741</v>
      </c>
    </row>
    <row r="172" spans="1:7" x14ac:dyDescent="0.25">
      <c r="A172" s="8">
        <v>42685.714375000003</v>
      </c>
      <c r="B172" s="21" t="s">
        <v>231</v>
      </c>
      <c r="C172" s="21" t="s">
        <v>579</v>
      </c>
      <c r="D172" s="21">
        <v>2230000</v>
      </c>
      <c r="E172" s="21" t="s">
        <v>344</v>
      </c>
      <c r="F172" s="21" t="str">
        <f t="shared" si="4"/>
        <v>rtdc.l.rtdc.4003:itc</v>
      </c>
      <c r="G172" s="8">
        <f t="shared" si="5"/>
        <v>42685.714375000003</v>
      </c>
    </row>
    <row r="173" spans="1:7" x14ac:dyDescent="0.25">
      <c r="A173" s="8">
        <v>42685.715497685182</v>
      </c>
      <c r="B173" s="21" t="s">
        <v>243</v>
      </c>
      <c r="C173" s="21" t="s">
        <v>580</v>
      </c>
      <c r="D173" s="21">
        <v>2600000</v>
      </c>
      <c r="E173" s="21" t="s">
        <v>343</v>
      </c>
      <c r="F173" s="21" t="str">
        <f t="shared" si="4"/>
        <v>rtdc.l.rtdc.4042:itc</v>
      </c>
      <c r="G173" s="8">
        <f t="shared" si="5"/>
        <v>42685.715497685182</v>
      </c>
    </row>
    <row r="174" spans="1:7" x14ac:dyDescent="0.25">
      <c r="A174" s="8">
        <v>42685.720763888887</v>
      </c>
      <c r="B174" s="21" t="s">
        <v>217</v>
      </c>
      <c r="C174" s="21" t="s">
        <v>576</v>
      </c>
      <c r="D174" s="21">
        <v>2220000</v>
      </c>
      <c r="E174" s="21" t="s">
        <v>338</v>
      </c>
      <c r="F174" s="21" t="str">
        <f t="shared" si="4"/>
        <v>rtdc.l.rtdc.4029:itc</v>
      </c>
      <c r="G174" s="8">
        <f t="shared" si="5"/>
        <v>42685.720763888887</v>
      </c>
    </row>
    <row r="175" spans="1:7" x14ac:dyDescent="0.25">
      <c r="A175" s="8">
        <v>42685.720821759256</v>
      </c>
      <c r="B175" s="21" t="s">
        <v>420</v>
      </c>
      <c r="C175" s="21" t="s">
        <v>581</v>
      </c>
      <c r="D175" s="21">
        <v>2020000</v>
      </c>
      <c r="E175" s="21" t="s">
        <v>340</v>
      </c>
      <c r="F175" s="21" t="str">
        <f t="shared" si="4"/>
        <v>rtdc.l.rtdc.4017:itc</v>
      </c>
      <c r="G175" s="8">
        <f t="shared" si="5"/>
        <v>42685.720821759256</v>
      </c>
    </row>
    <row r="176" spans="1:7" x14ac:dyDescent="0.25">
      <c r="A176" s="8">
        <v>42685.723124999997</v>
      </c>
      <c r="B176" s="21" t="s">
        <v>234</v>
      </c>
      <c r="C176" s="21" t="s">
        <v>582</v>
      </c>
      <c r="D176" s="21">
        <v>930000</v>
      </c>
      <c r="E176" s="21" t="s">
        <v>512</v>
      </c>
      <c r="F176" s="21" t="str">
        <f t="shared" si="4"/>
        <v>rtdc.l.rtdc.4039:itc</v>
      </c>
      <c r="G176" s="8">
        <f t="shared" si="5"/>
        <v>42685.723124999997</v>
      </c>
    </row>
    <row r="177" spans="1:7" x14ac:dyDescent="0.25">
      <c r="A177" s="8">
        <v>42685.728576388887</v>
      </c>
      <c r="B177" s="21" t="s">
        <v>277</v>
      </c>
      <c r="C177" s="21" t="s">
        <v>583</v>
      </c>
      <c r="D177" s="21">
        <v>2630000</v>
      </c>
      <c r="E177" s="21" t="s">
        <v>559</v>
      </c>
      <c r="F177" s="21" t="str">
        <f t="shared" si="4"/>
        <v>rtdc.l.rtdc.4016:itc</v>
      </c>
      <c r="G177" s="8">
        <f t="shared" si="5"/>
        <v>42685.728576388887</v>
      </c>
    </row>
    <row r="178" spans="1:7" x14ac:dyDescent="0.25">
      <c r="A178" s="8">
        <v>42685.730879629627</v>
      </c>
      <c r="B178" s="21" t="s">
        <v>327</v>
      </c>
      <c r="C178" s="21" t="s">
        <v>584</v>
      </c>
      <c r="D178" s="21">
        <v>2420000</v>
      </c>
      <c r="E178" s="21" t="s">
        <v>303</v>
      </c>
      <c r="F178" s="21" t="str">
        <f t="shared" si="4"/>
        <v>rtdc.l.rtdc.4008:itc</v>
      </c>
      <c r="G178" s="8">
        <f t="shared" si="5"/>
        <v>42685.730879629627</v>
      </c>
    </row>
    <row r="179" spans="1:7" x14ac:dyDescent="0.25">
      <c r="A179" s="8">
        <v>42685.730995370373</v>
      </c>
      <c r="B179" s="21" t="s">
        <v>296</v>
      </c>
      <c r="C179" s="21" t="s">
        <v>585</v>
      </c>
      <c r="D179" s="21">
        <v>2450000</v>
      </c>
      <c r="E179" s="21" t="s">
        <v>339</v>
      </c>
      <c r="F179" s="21" t="str">
        <f t="shared" si="4"/>
        <v>rtdc.l.rtdc.4010:itc</v>
      </c>
      <c r="G179" s="8">
        <f t="shared" si="5"/>
        <v>42685.730995370373</v>
      </c>
    </row>
    <row r="180" spans="1:7" x14ac:dyDescent="0.25">
      <c r="A180" s="8">
        <v>42685.735046296293</v>
      </c>
      <c r="B180" s="21" t="s">
        <v>242</v>
      </c>
      <c r="C180" s="21" t="s">
        <v>586</v>
      </c>
      <c r="D180" s="21">
        <v>2600000</v>
      </c>
      <c r="E180" s="21" t="s">
        <v>343</v>
      </c>
      <c r="F180" s="21" t="str">
        <f t="shared" si="4"/>
        <v>rtdc.l.rtdc.4041:itc</v>
      </c>
      <c r="G180" s="8">
        <f t="shared" si="5"/>
        <v>42685.735046296293</v>
      </c>
    </row>
    <row r="181" spans="1:7" x14ac:dyDescent="0.25">
      <c r="A181" s="8">
        <v>42685.736759259256</v>
      </c>
      <c r="B181" s="21" t="s">
        <v>248</v>
      </c>
      <c r="C181" s="21" t="s">
        <v>587</v>
      </c>
      <c r="D181" s="21">
        <v>2610000</v>
      </c>
      <c r="E181" s="21" t="s">
        <v>269</v>
      </c>
      <c r="F181" s="21" t="str">
        <f t="shared" si="4"/>
        <v>rtdc.l.rtdc.4031:itc</v>
      </c>
      <c r="G181" s="8">
        <f t="shared" si="5"/>
        <v>42685.736759259256</v>
      </c>
    </row>
    <row r="182" spans="1:7" x14ac:dyDescent="0.25">
      <c r="A182" s="8">
        <v>42685.743877314817</v>
      </c>
      <c r="B182" s="21" t="s">
        <v>326</v>
      </c>
      <c r="C182" s="21" t="s">
        <v>588</v>
      </c>
      <c r="D182" s="21">
        <v>2000000</v>
      </c>
      <c r="E182" s="21" t="s">
        <v>244</v>
      </c>
      <c r="F182" s="21" t="str">
        <f t="shared" si="4"/>
        <v>rtdc.l.rtdc.4054:itc</v>
      </c>
      <c r="G182" s="8">
        <f t="shared" si="5"/>
        <v>42685.743877314817</v>
      </c>
    </row>
    <row r="183" spans="1:7" x14ac:dyDescent="0.25">
      <c r="A183" s="8">
        <v>42685.743981481479</v>
      </c>
      <c r="B183" s="21" t="s">
        <v>280</v>
      </c>
      <c r="C183" s="21" t="s">
        <v>440</v>
      </c>
      <c r="D183" s="21">
        <v>2040000</v>
      </c>
      <c r="E183" s="21" t="s">
        <v>301</v>
      </c>
      <c r="F183" s="21" t="str">
        <f t="shared" si="4"/>
        <v>rtdc.l.rtdc.4043:itc</v>
      </c>
      <c r="G183" s="8">
        <f t="shared" si="5"/>
        <v>42685.743981481479</v>
      </c>
    </row>
    <row r="184" spans="1:7" x14ac:dyDescent="0.25">
      <c r="A184" s="8">
        <v>42685.744432870371</v>
      </c>
      <c r="B184" s="21" t="s">
        <v>326</v>
      </c>
      <c r="C184" s="21" t="s">
        <v>588</v>
      </c>
      <c r="D184" s="21">
        <v>2000000</v>
      </c>
      <c r="E184" s="21" t="s">
        <v>244</v>
      </c>
      <c r="F184" s="21" t="str">
        <f t="shared" si="4"/>
        <v>rtdc.l.rtdc.4054:itc</v>
      </c>
      <c r="G184" s="8">
        <f t="shared" si="5"/>
        <v>42685.744432870371</v>
      </c>
    </row>
    <row r="185" spans="1:7" x14ac:dyDescent="0.25">
      <c r="A185" s="8">
        <v>42685.745162037034</v>
      </c>
      <c r="B185" s="21" t="s">
        <v>326</v>
      </c>
      <c r="C185" s="21" t="s">
        <v>588</v>
      </c>
      <c r="D185" s="21">
        <v>2000000</v>
      </c>
      <c r="E185" s="21" t="s">
        <v>244</v>
      </c>
      <c r="F185" s="21" t="str">
        <f t="shared" si="4"/>
        <v>rtdc.l.rtdc.4054:itc</v>
      </c>
      <c r="G185" s="8">
        <f t="shared" si="5"/>
        <v>42685.745162037034</v>
      </c>
    </row>
    <row r="186" spans="1:7" x14ac:dyDescent="0.25">
      <c r="A186" s="8">
        <v>42685.748333333337</v>
      </c>
      <c r="B186" s="21" t="s">
        <v>249</v>
      </c>
      <c r="C186" s="21" t="s">
        <v>438</v>
      </c>
      <c r="D186" s="21">
        <v>2550000</v>
      </c>
      <c r="E186" s="21" t="s">
        <v>268</v>
      </c>
      <c r="F186" s="21" t="str">
        <f t="shared" si="4"/>
        <v>rtdc.l.rtdc.4025:itc</v>
      </c>
      <c r="G186" s="8">
        <f t="shared" si="5"/>
        <v>42685.748333333337</v>
      </c>
    </row>
    <row r="187" spans="1:7" x14ac:dyDescent="0.25">
      <c r="A187" s="8">
        <v>42685.748912037037</v>
      </c>
      <c r="B187" s="21" t="s">
        <v>263</v>
      </c>
      <c r="C187" s="21" t="s">
        <v>439</v>
      </c>
      <c r="D187" s="21">
        <v>2480000</v>
      </c>
      <c r="E187" s="21" t="s">
        <v>589</v>
      </c>
      <c r="F187" s="21" t="str">
        <f t="shared" si="4"/>
        <v>rtdc.l.rtdc.4001:itc</v>
      </c>
      <c r="G187" s="8">
        <f t="shared" si="5"/>
        <v>42685.748912037037</v>
      </c>
    </row>
    <row r="188" spans="1:7" x14ac:dyDescent="0.25">
      <c r="A188" s="8">
        <v>42685.751018518517</v>
      </c>
      <c r="B188" s="21" t="s">
        <v>237</v>
      </c>
      <c r="C188" s="21" t="s">
        <v>590</v>
      </c>
      <c r="D188" s="21">
        <v>2230000</v>
      </c>
      <c r="E188" s="21" t="s">
        <v>344</v>
      </c>
      <c r="F188" s="21" t="str">
        <f t="shared" si="4"/>
        <v>rtdc.l.rtdc.4004:itc</v>
      </c>
      <c r="G188" s="8">
        <f t="shared" si="5"/>
        <v>42685.751018518517</v>
      </c>
    </row>
    <row r="189" spans="1:7" x14ac:dyDescent="0.25">
      <c r="A189" s="8">
        <v>42685.755104166667</v>
      </c>
      <c r="B189" s="21" t="s">
        <v>279</v>
      </c>
      <c r="C189" s="21" t="s">
        <v>591</v>
      </c>
      <c r="D189" s="21">
        <v>2630000</v>
      </c>
      <c r="E189" s="21" t="s">
        <v>559</v>
      </c>
      <c r="F189" s="21" t="str">
        <f t="shared" si="4"/>
        <v>rtdc.l.rtdc.4015:itc</v>
      </c>
      <c r="G189" s="8">
        <f t="shared" si="5"/>
        <v>42685.755104166667</v>
      </c>
    </row>
    <row r="190" spans="1:7" x14ac:dyDescent="0.25">
      <c r="A190" s="8">
        <v>42685.759085648147</v>
      </c>
      <c r="B190" s="21" t="s">
        <v>243</v>
      </c>
      <c r="C190" s="21" t="s">
        <v>592</v>
      </c>
      <c r="D190" s="21">
        <v>2600000</v>
      </c>
      <c r="E190" s="21" t="s">
        <v>343</v>
      </c>
      <c r="F190" s="21" t="str">
        <f t="shared" si="4"/>
        <v>rtdc.l.rtdc.4042:itc</v>
      </c>
      <c r="G190" s="8">
        <f t="shared" si="5"/>
        <v>42685.759085648147</v>
      </c>
    </row>
    <row r="191" spans="1:7" x14ac:dyDescent="0.25">
      <c r="A191" s="8">
        <v>42685.759247685186</v>
      </c>
      <c r="B191" s="21" t="s">
        <v>218</v>
      </c>
      <c r="C191" s="21" t="s">
        <v>593</v>
      </c>
      <c r="D191" s="21">
        <v>2220000</v>
      </c>
      <c r="E191" s="21" t="s">
        <v>338</v>
      </c>
      <c r="F191" s="21" t="str">
        <f t="shared" si="4"/>
        <v>rtdc.l.rtdc.4030:itc</v>
      </c>
      <c r="G191" s="8">
        <f t="shared" si="5"/>
        <v>42685.759247685186</v>
      </c>
    </row>
    <row r="192" spans="1:7" x14ac:dyDescent="0.25">
      <c r="A192" s="8">
        <v>42685.762777777774</v>
      </c>
      <c r="B192" s="21" t="s">
        <v>226</v>
      </c>
      <c r="C192" s="21" t="s">
        <v>441</v>
      </c>
      <c r="D192" s="21">
        <v>2420000</v>
      </c>
      <c r="E192" s="21" t="s">
        <v>303</v>
      </c>
      <c r="F192" s="21" t="str">
        <f t="shared" si="4"/>
        <v>rtdc.l.rtdc.4040:itc</v>
      </c>
      <c r="G192" s="8">
        <f t="shared" si="5"/>
        <v>42685.762777777774</v>
      </c>
    </row>
    <row r="193" spans="1:7" x14ac:dyDescent="0.25">
      <c r="A193" s="8">
        <v>42685.766273148147</v>
      </c>
      <c r="B193" s="21" t="s">
        <v>458</v>
      </c>
      <c r="C193" s="21" t="s">
        <v>594</v>
      </c>
      <c r="D193" s="21">
        <v>2020000</v>
      </c>
      <c r="E193" s="21" t="s">
        <v>340</v>
      </c>
      <c r="F193" s="21" t="str">
        <f t="shared" si="4"/>
        <v>rtdc.l.rtdc.4018:itc</v>
      </c>
      <c r="G193" s="8">
        <f t="shared" si="5"/>
        <v>42685.766273148147</v>
      </c>
    </row>
    <row r="194" spans="1:7" x14ac:dyDescent="0.25">
      <c r="A194" s="8">
        <v>42685.766909722224</v>
      </c>
      <c r="B194" s="21" t="s">
        <v>235</v>
      </c>
      <c r="C194" s="21" t="s">
        <v>595</v>
      </c>
      <c r="D194" s="21">
        <v>2610000</v>
      </c>
      <c r="E194" s="21" t="s">
        <v>269</v>
      </c>
      <c r="F194" s="21" t="str">
        <f t="shared" ref="F194:F235" si="6">B194</f>
        <v>rtdc.l.rtdc.4032:itc</v>
      </c>
      <c r="G194" s="8">
        <f t="shared" ref="G194:G235" si="7">A194</f>
        <v>42685.766909722224</v>
      </c>
    </row>
    <row r="195" spans="1:7" x14ac:dyDescent="0.25">
      <c r="A195" s="8">
        <v>42685.769444444442</v>
      </c>
      <c r="B195" s="21" t="s">
        <v>187</v>
      </c>
      <c r="C195" s="21" t="s">
        <v>596</v>
      </c>
      <c r="D195" s="21">
        <v>2000000</v>
      </c>
      <c r="E195" s="21" t="s">
        <v>244</v>
      </c>
      <c r="F195" s="21" t="str">
        <f t="shared" si="6"/>
        <v>rtdc.l.rtdc.4009:itc</v>
      </c>
      <c r="G195" s="8">
        <f t="shared" si="7"/>
        <v>42685.769444444442</v>
      </c>
    </row>
    <row r="196" spans="1:7" x14ac:dyDescent="0.25">
      <c r="A196" s="8">
        <v>42685.771736111114</v>
      </c>
      <c r="B196" s="21" t="s">
        <v>277</v>
      </c>
      <c r="C196" s="21" t="s">
        <v>597</v>
      </c>
      <c r="D196" s="21">
        <v>2630000</v>
      </c>
      <c r="E196" s="21" t="s">
        <v>559</v>
      </c>
      <c r="F196" s="21" t="str">
        <f t="shared" si="6"/>
        <v>rtdc.l.rtdc.4016:itc</v>
      </c>
      <c r="G196" s="8">
        <f t="shared" si="7"/>
        <v>42685.771736111114</v>
      </c>
    </row>
    <row r="197" spans="1:7" x14ac:dyDescent="0.25">
      <c r="A197" s="8">
        <v>42685.775717592594</v>
      </c>
      <c r="B197" s="21" t="s">
        <v>235</v>
      </c>
      <c r="C197" s="21" t="s">
        <v>595</v>
      </c>
      <c r="D197" s="21">
        <v>2610000</v>
      </c>
      <c r="E197" s="21" t="s">
        <v>269</v>
      </c>
      <c r="F197" s="21" t="str">
        <f t="shared" si="6"/>
        <v>rtdc.l.rtdc.4032:itc</v>
      </c>
      <c r="G197" s="8">
        <f t="shared" si="7"/>
        <v>42685.775717592594</v>
      </c>
    </row>
    <row r="198" spans="1:7" x14ac:dyDescent="0.25">
      <c r="A198" s="8">
        <v>42685.776192129626</v>
      </c>
      <c r="B198" s="21" t="s">
        <v>242</v>
      </c>
      <c r="C198" s="21" t="s">
        <v>598</v>
      </c>
      <c r="D198" s="21">
        <v>2600000</v>
      </c>
      <c r="E198" s="21" t="s">
        <v>343</v>
      </c>
      <c r="F198" s="21" t="str">
        <f t="shared" si="6"/>
        <v>rtdc.l.rtdc.4041:itc</v>
      </c>
      <c r="G198" s="8">
        <f t="shared" si="7"/>
        <v>42685.776192129626</v>
      </c>
    </row>
    <row r="199" spans="1:7" x14ac:dyDescent="0.25">
      <c r="A199" s="8">
        <v>42685.776585648149</v>
      </c>
      <c r="B199" s="21" t="s">
        <v>189</v>
      </c>
      <c r="C199" s="21" t="s">
        <v>599</v>
      </c>
      <c r="D199" s="21">
        <v>2040000</v>
      </c>
      <c r="E199" s="21" t="s">
        <v>301</v>
      </c>
      <c r="F199" s="21" t="str">
        <f t="shared" si="6"/>
        <v>rtdc.l.rtdc.4044:itc</v>
      </c>
      <c r="G199" s="8">
        <f t="shared" si="7"/>
        <v>42685.776585648149</v>
      </c>
    </row>
    <row r="200" spans="1:7" x14ac:dyDescent="0.25">
      <c r="A200" s="8">
        <v>42685.785254629627</v>
      </c>
      <c r="B200" s="21" t="s">
        <v>226</v>
      </c>
      <c r="C200" s="21" t="s">
        <v>441</v>
      </c>
      <c r="D200" s="21">
        <v>2420000</v>
      </c>
      <c r="E200" s="21" t="s">
        <v>303</v>
      </c>
      <c r="F200" s="21" t="str">
        <f t="shared" si="6"/>
        <v>rtdc.l.rtdc.4040:itc</v>
      </c>
      <c r="G200" s="8">
        <f t="shared" si="7"/>
        <v>42685.785254629627</v>
      </c>
    </row>
    <row r="201" spans="1:7" x14ac:dyDescent="0.25">
      <c r="A201" s="8">
        <v>42685.787905092591</v>
      </c>
      <c r="B201" s="21" t="s">
        <v>231</v>
      </c>
      <c r="C201" s="21" t="s">
        <v>600</v>
      </c>
      <c r="D201" s="21">
        <v>1300000</v>
      </c>
      <c r="E201" s="21" t="s">
        <v>113</v>
      </c>
      <c r="F201" s="21" t="str">
        <f t="shared" si="6"/>
        <v>rtdc.l.rtdc.4003:itc</v>
      </c>
      <c r="G201" s="8">
        <f t="shared" si="7"/>
        <v>42685.787905092591</v>
      </c>
    </row>
    <row r="202" spans="1:7" x14ac:dyDescent="0.25">
      <c r="A202" s="27">
        <v>42685.788148148145</v>
      </c>
      <c r="B202" s="21" t="s">
        <v>295</v>
      </c>
      <c r="C202" s="21" t="s">
        <v>601</v>
      </c>
      <c r="D202" s="21">
        <v>1740000</v>
      </c>
      <c r="E202" s="21" t="s">
        <v>342</v>
      </c>
      <c r="F202" s="21" t="str">
        <f t="shared" si="6"/>
        <v>rtdc.l.rtdc.4026:itc</v>
      </c>
      <c r="G202" s="8">
        <f t="shared" si="7"/>
        <v>42685.788148148145</v>
      </c>
    </row>
    <row r="203" spans="1:7" x14ac:dyDescent="0.25">
      <c r="A203" s="8">
        <v>42685.796516203707</v>
      </c>
      <c r="B203" s="21" t="s">
        <v>279</v>
      </c>
      <c r="C203" s="21" t="s">
        <v>602</v>
      </c>
      <c r="D203" s="21">
        <v>2630000</v>
      </c>
      <c r="E203" s="21" t="s">
        <v>559</v>
      </c>
      <c r="F203" s="21" t="str">
        <f t="shared" si="6"/>
        <v>rtdc.l.rtdc.4015:itc</v>
      </c>
      <c r="G203" s="8">
        <f t="shared" si="7"/>
        <v>42685.796516203707</v>
      </c>
    </row>
    <row r="204" spans="1:7" x14ac:dyDescent="0.25">
      <c r="A204" s="8">
        <v>42685.798807870371</v>
      </c>
      <c r="B204" s="21" t="s">
        <v>234</v>
      </c>
      <c r="C204" s="21" t="s">
        <v>603</v>
      </c>
      <c r="D204" s="21">
        <v>2420000</v>
      </c>
      <c r="E204" s="21" t="s">
        <v>303</v>
      </c>
      <c r="F204" s="21" t="str">
        <f t="shared" si="6"/>
        <v>rtdc.l.rtdc.4039:itc</v>
      </c>
      <c r="G204" s="8">
        <f t="shared" si="7"/>
        <v>42685.798807870371</v>
      </c>
    </row>
    <row r="205" spans="1:7" x14ac:dyDescent="0.25">
      <c r="A205" s="8">
        <v>42685.800150462965</v>
      </c>
      <c r="B205" s="21" t="s">
        <v>217</v>
      </c>
      <c r="C205" s="21" t="s">
        <v>604</v>
      </c>
      <c r="D205" s="21">
        <v>2220000</v>
      </c>
      <c r="E205" s="21" t="s">
        <v>338</v>
      </c>
      <c r="F205" s="21" t="str">
        <f t="shared" si="6"/>
        <v>rtdc.l.rtdc.4029:itc</v>
      </c>
      <c r="G205" s="8">
        <f t="shared" si="7"/>
        <v>42685.800150462965</v>
      </c>
    </row>
    <row r="206" spans="1:7" x14ac:dyDescent="0.25">
      <c r="A206" s="8">
        <v>42685.804375</v>
      </c>
      <c r="B206" s="21" t="s">
        <v>243</v>
      </c>
      <c r="C206" s="21" t="s">
        <v>605</v>
      </c>
      <c r="D206" s="21">
        <v>2600000</v>
      </c>
      <c r="E206" s="21" t="s">
        <v>343</v>
      </c>
      <c r="F206" s="21" t="str">
        <f t="shared" si="6"/>
        <v>rtdc.l.rtdc.4042:itc</v>
      </c>
      <c r="G206" s="8">
        <f t="shared" si="7"/>
        <v>42685.804375</v>
      </c>
    </row>
    <row r="207" spans="1:7" x14ac:dyDescent="0.25">
      <c r="A207" s="8">
        <v>42685.806539351855</v>
      </c>
      <c r="B207" s="21" t="s">
        <v>296</v>
      </c>
      <c r="C207" s="21" t="s">
        <v>606</v>
      </c>
      <c r="D207" s="21">
        <v>2000000</v>
      </c>
      <c r="E207" s="21" t="s">
        <v>244</v>
      </c>
      <c r="F207" s="21" t="str">
        <f t="shared" si="6"/>
        <v>rtdc.l.rtdc.4010:itc</v>
      </c>
      <c r="G207" s="8">
        <f t="shared" si="7"/>
        <v>42685.806539351855</v>
      </c>
    </row>
    <row r="208" spans="1:7" x14ac:dyDescent="0.25">
      <c r="A208" s="8">
        <v>42685.809328703705</v>
      </c>
      <c r="B208" s="21" t="s">
        <v>248</v>
      </c>
      <c r="C208" s="21" t="s">
        <v>607</v>
      </c>
      <c r="D208" s="21">
        <v>2610000</v>
      </c>
      <c r="E208" s="21" t="s">
        <v>269</v>
      </c>
      <c r="F208" s="21" t="str">
        <f t="shared" si="6"/>
        <v>rtdc.l.rtdc.4031:itc</v>
      </c>
      <c r="G208" s="8">
        <f t="shared" si="7"/>
        <v>42685.809328703705</v>
      </c>
    </row>
    <row r="209" spans="1:7" x14ac:dyDescent="0.25">
      <c r="A209" s="8">
        <v>42685.819201388891</v>
      </c>
      <c r="B209" s="21" t="s">
        <v>242</v>
      </c>
      <c r="C209" s="21" t="s">
        <v>608</v>
      </c>
      <c r="D209" s="21">
        <v>2600000</v>
      </c>
      <c r="E209" s="21" t="s">
        <v>343</v>
      </c>
      <c r="F209" s="21" t="str">
        <f t="shared" si="6"/>
        <v>rtdc.l.rtdc.4041:itc</v>
      </c>
      <c r="G209" s="8">
        <f t="shared" si="7"/>
        <v>42685.819201388891</v>
      </c>
    </row>
    <row r="210" spans="1:7" x14ac:dyDescent="0.25">
      <c r="A210" s="8">
        <v>42685.820949074077</v>
      </c>
      <c r="B210" s="21" t="s">
        <v>329</v>
      </c>
      <c r="C210" s="21" t="s">
        <v>609</v>
      </c>
      <c r="D210" s="21">
        <v>2470000</v>
      </c>
      <c r="E210" s="21" t="s">
        <v>610</v>
      </c>
      <c r="F210" s="21" t="str">
        <f t="shared" si="6"/>
        <v>rtdc.l.rtdc.4053:itc</v>
      </c>
      <c r="G210" s="8">
        <f t="shared" si="7"/>
        <v>42685.820949074077</v>
      </c>
    </row>
    <row r="211" spans="1:7" x14ac:dyDescent="0.25">
      <c r="A211" s="8">
        <v>42685.822118055556</v>
      </c>
      <c r="B211" s="21" t="s">
        <v>329</v>
      </c>
      <c r="C211" s="21" t="s">
        <v>609</v>
      </c>
      <c r="D211" s="21">
        <v>2470000</v>
      </c>
      <c r="E211" s="21" t="s">
        <v>610</v>
      </c>
      <c r="F211" s="21" t="str">
        <f t="shared" si="6"/>
        <v>rtdc.l.rtdc.4053:itc</v>
      </c>
      <c r="G211" s="8">
        <f t="shared" si="7"/>
        <v>42685.822118055556</v>
      </c>
    </row>
    <row r="212" spans="1:7" x14ac:dyDescent="0.25">
      <c r="A212" s="8">
        <v>42685.823125000003</v>
      </c>
      <c r="B212" s="21" t="s">
        <v>249</v>
      </c>
      <c r="C212" s="21" t="s">
        <v>611</v>
      </c>
      <c r="D212" s="21">
        <v>1740000</v>
      </c>
      <c r="E212" s="21" t="s">
        <v>342</v>
      </c>
      <c r="F212" s="21" t="str">
        <f t="shared" si="6"/>
        <v>rtdc.l.rtdc.4025:itc</v>
      </c>
      <c r="G212" s="8">
        <f t="shared" si="7"/>
        <v>42685.823125000003</v>
      </c>
    </row>
    <row r="213" spans="1:7" x14ac:dyDescent="0.25">
      <c r="A213" s="8">
        <v>42685.826909722222</v>
      </c>
      <c r="B213" s="21" t="s">
        <v>237</v>
      </c>
      <c r="C213" s="21" t="s">
        <v>612</v>
      </c>
      <c r="D213" s="21">
        <v>1300000</v>
      </c>
      <c r="E213" s="21" t="s">
        <v>113</v>
      </c>
      <c r="F213" s="21" t="str">
        <f t="shared" si="6"/>
        <v>rtdc.l.rtdc.4004:itc</v>
      </c>
      <c r="G213" s="8">
        <f t="shared" si="7"/>
        <v>42685.826909722222</v>
      </c>
    </row>
    <row r="214" spans="1:7" x14ac:dyDescent="0.25">
      <c r="A214" s="8">
        <v>42685.832372685189</v>
      </c>
      <c r="B214" s="21" t="s">
        <v>226</v>
      </c>
      <c r="C214" s="21" t="s">
        <v>613</v>
      </c>
      <c r="D214" s="21">
        <v>1800000</v>
      </c>
      <c r="E214" s="21" t="s">
        <v>614</v>
      </c>
      <c r="F214" s="21" t="str">
        <f t="shared" si="6"/>
        <v>rtdc.l.rtdc.4040:itc</v>
      </c>
      <c r="G214" s="8">
        <f t="shared" si="7"/>
        <v>42685.832372685189</v>
      </c>
    </row>
    <row r="215" spans="1:7" x14ac:dyDescent="0.25">
      <c r="A215" s="8">
        <v>42685.839224537034</v>
      </c>
      <c r="B215" s="21" t="s">
        <v>187</v>
      </c>
      <c r="C215" s="21" t="s">
        <v>615</v>
      </c>
      <c r="D215" s="21">
        <v>2000000</v>
      </c>
      <c r="E215" s="21" t="s">
        <v>244</v>
      </c>
      <c r="F215" s="21" t="str">
        <f t="shared" si="6"/>
        <v>rtdc.l.rtdc.4009:itc</v>
      </c>
      <c r="G215" s="8">
        <f t="shared" si="7"/>
        <v>42685.839224537034</v>
      </c>
    </row>
    <row r="216" spans="1:7" x14ac:dyDescent="0.25">
      <c r="A216" s="8">
        <v>42685.845659722225</v>
      </c>
      <c r="B216" s="21" t="s">
        <v>243</v>
      </c>
      <c r="C216" s="21" t="s">
        <v>616</v>
      </c>
      <c r="D216" s="21">
        <v>2600000</v>
      </c>
      <c r="E216" s="21" t="s">
        <v>343</v>
      </c>
      <c r="F216" s="21" t="str">
        <f t="shared" si="6"/>
        <v>rtdc.l.rtdc.4042:itc</v>
      </c>
      <c r="G216" s="8">
        <f t="shared" si="7"/>
        <v>42685.845659722225</v>
      </c>
    </row>
    <row r="217" spans="1:7" x14ac:dyDescent="0.25">
      <c r="A217" s="8">
        <v>42685.84883101852</v>
      </c>
      <c r="B217" s="21" t="s">
        <v>235</v>
      </c>
      <c r="C217" s="21" t="s">
        <v>617</v>
      </c>
      <c r="D217" s="21">
        <v>2610000</v>
      </c>
      <c r="E217" s="21" t="s">
        <v>269</v>
      </c>
      <c r="F217" s="21" t="str">
        <f t="shared" si="6"/>
        <v>rtdc.l.rtdc.4032:itc</v>
      </c>
      <c r="G217" s="8">
        <f t="shared" si="7"/>
        <v>42685.84883101852</v>
      </c>
    </row>
    <row r="218" spans="1:7" x14ac:dyDescent="0.25">
      <c r="A218" s="8">
        <v>42685.858946759261</v>
      </c>
      <c r="B218" s="21" t="s">
        <v>242</v>
      </c>
      <c r="C218" s="21" t="s">
        <v>618</v>
      </c>
      <c r="D218" s="21">
        <v>2600000</v>
      </c>
      <c r="E218" s="21" t="s">
        <v>343</v>
      </c>
      <c r="F218" s="21" t="str">
        <f t="shared" si="6"/>
        <v>rtdc.l.rtdc.4041:itc</v>
      </c>
      <c r="G218" s="8">
        <f t="shared" si="7"/>
        <v>42685.858946759261</v>
      </c>
    </row>
    <row r="219" spans="1:7" x14ac:dyDescent="0.25">
      <c r="A219" s="8">
        <v>42685.870671296296</v>
      </c>
      <c r="B219" s="21" t="s">
        <v>234</v>
      </c>
      <c r="C219" s="21" t="s">
        <v>619</v>
      </c>
      <c r="D219" s="21">
        <v>1800000</v>
      </c>
      <c r="E219" s="21" t="s">
        <v>614</v>
      </c>
      <c r="F219" s="21" t="str">
        <f t="shared" si="6"/>
        <v>rtdc.l.rtdc.4039:itc</v>
      </c>
      <c r="G219" s="8">
        <f t="shared" si="7"/>
        <v>42685.870671296296</v>
      </c>
    </row>
    <row r="220" spans="1:7" x14ac:dyDescent="0.25">
      <c r="A220" s="8">
        <v>42685.872384259259</v>
      </c>
      <c r="B220" s="21" t="s">
        <v>231</v>
      </c>
      <c r="C220" s="21" t="s">
        <v>620</v>
      </c>
      <c r="D220" s="21">
        <v>1300000</v>
      </c>
      <c r="E220" s="21" t="s">
        <v>113</v>
      </c>
      <c r="F220" s="21" t="str">
        <f t="shared" si="6"/>
        <v>rtdc.l.rtdc.4003:itc</v>
      </c>
      <c r="G220" s="8">
        <f t="shared" si="7"/>
        <v>42685.872384259259</v>
      </c>
    </row>
    <row r="221" spans="1:7" x14ac:dyDescent="0.25">
      <c r="A221" s="8">
        <v>42685.875856481478</v>
      </c>
      <c r="B221" s="21" t="s">
        <v>243</v>
      </c>
      <c r="C221" s="21" t="s">
        <v>621</v>
      </c>
      <c r="D221" s="21">
        <v>2630000</v>
      </c>
      <c r="E221" s="21" t="s">
        <v>559</v>
      </c>
      <c r="F221" s="21" t="str">
        <f t="shared" si="6"/>
        <v>rtdc.l.rtdc.4042:itc</v>
      </c>
      <c r="G221" s="8">
        <f t="shared" si="7"/>
        <v>42685.875856481478</v>
      </c>
    </row>
    <row r="222" spans="1:7" x14ac:dyDescent="0.25">
      <c r="A222" s="8">
        <v>42685.883368055554</v>
      </c>
      <c r="B222" s="21" t="s">
        <v>248</v>
      </c>
      <c r="C222" s="21" t="s">
        <v>622</v>
      </c>
      <c r="D222" s="21">
        <v>1230000</v>
      </c>
      <c r="E222" s="21" t="s">
        <v>270</v>
      </c>
      <c r="F222" s="21" t="str">
        <f t="shared" si="6"/>
        <v>rtdc.l.rtdc.4031:itc</v>
      </c>
      <c r="G222" s="8">
        <f t="shared" si="7"/>
        <v>42685.883368055554</v>
      </c>
    </row>
    <row r="223" spans="1:7" x14ac:dyDescent="0.25">
      <c r="A223" s="8">
        <v>42685.890914351854</v>
      </c>
      <c r="B223" s="21" t="s">
        <v>296</v>
      </c>
      <c r="C223" s="21" t="s">
        <v>442</v>
      </c>
      <c r="D223" s="21">
        <v>2000000</v>
      </c>
      <c r="E223" s="21" t="s">
        <v>244</v>
      </c>
      <c r="F223" s="21" t="str">
        <f t="shared" si="6"/>
        <v>rtdc.l.rtdc.4010:itc</v>
      </c>
      <c r="G223" s="8">
        <f t="shared" si="7"/>
        <v>42685.890914351854</v>
      </c>
    </row>
    <row r="224" spans="1:7" x14ac:dyDescent="0.25">
      <c r="A224" s="8">
        <v>42685.901296296295</v>
      </c>
      <c r="B224" t="s">
        <v>242</v>
      </c>
      <c r="C224" t="s">
        <v>623</v>
      </c>
      <c r="D224">
        <v>2630000</v>
      </c>
      <c r="E224" t="s">
        <v>559</v>
      </c>
      <c r="F224" s="21" t="str">
        <f t="shared" si="6"/>
        <v>rtdc.l.rtdc.4041:itc</v>
      </c>
      <c r="G224" s="8">
        <f t="shared" si="7"/>
        <v>42685.901296296295</v>
      </c>
    </row>
    <row r="225" spans="1:7" x14ac:dyDescent="0.25">
      <c r="A225" s="8">
        <v>42685.909247685187</v>
      </c>
      <c r="B225" t="s">
        <v>237</v>
      </c>
      <c r="C225" t="s">
        <v>624</v>
      </c>
      <c r="D225">
        <v>1300000</v>
      </c>
      <c r="E225" t="s">
        <v>113</v>
      </c>
      <c r="F225" s="21" t="str">
        <f t="shared" si="6"/>
        <v>rtdc.l.rtdc.4004:itc</v>
      </c>
      <c r="G225" s="8">
        <f t="shared" si="7"/>
        <v>42685.909247685187</v>
      </c>
    </row>
    <row r="226" spans="1:7" x14ac:dyDescent="0.25">
      <c r="A226" s="8">
        <v>42685.915625000001</v>
      </c>
      <c r="B226" t="s">
        <v>243</v>
      </c>
      <c r="C226" t="s">
        <v>625</v>
      </c>
      <c r="D226">
        <v>2630000</v>
      </c>
      <c r="E226" t="s">
        <v>559</v>
      </c>
      <c r="F226" s="21" t="str">
        <f t="shared" si="6"/>
        <v>rtdc.l.rtdc.4042:itc</v>
      </c>
      <c r="G226" s="8">
        <f t="shared" si="7"/>
        <v>42685.915625000001</v>
      </c>
    </row>
    <row r="227" spans="1:7" x14ac:dyDescent="0.25">
      <c r="A227" s="8">
        <v>42685.916562500002</v>
      </c>
      <c r="B227" t="s">
        <v>226</v>
      </c>
      <c r="C227" t="s">
        <v>626</v>
      </c>
      <c r="D227">
        <v>1800000</v>
      </c>
      <c r="E227" t="s">
        <v>614</v>
      </c>
      <c r="F227" s="21" t="str">
        <f t="shared" si="6"/>
        <v>rtdc.l.rtdc.4040:itc</v>
      </c>
      <c r="G227" s="8">
        <f t="shared" si="7"/>
        <v>42685.916562500002</v>
      </c>
    </row>
    <row r="228" spans="1:7" x14ac:dyDescent="0.25">
      <c r="A228" s="8">
        <v>42685.92732638889</v>
      </c>
      <c r="B228" t="s">
        <v>187</v>
      </c>
      <c r="C228" t="s">
        <v>627</v>
      </c>
      <c r="D228">
        <v>2000000</v>
      </c>
      <c r="E228" t="s">
        <v>244</v>
      </c>
      <c r="F228" s="21" t="str">
        <f t="shared" si="6"/>
        <v>rtdc.l.rtdc.4009:itc</v>
      </c>
      <c r="G228" s="8">
        <f t="shared" si="7"/>
        <v>42685.92732638889</v>
      </c>
    </row>
    <row r="229" spans="1:7" x14ac:dyDescent="0.25">
      <c r="A229" s="8">
        <v>42685.930254629631</v>
      </c>
      <c r="B229" t="s">
        <v>235</v>
      </c>
      <c r="C229" t="s">
        <v>628</v>
      </c>
      <c r="D229">
        <v>1230000</v>
      </c>
      <c r="E229" t="s">
        <v>270</v>
      </c>
      <c r="F229" s="21" t="str">
        <f t="shared" si="6"/>
        <v>rtdc.l.rtdc.4032:itc</v>
      </c>
      <c r="G229" s="8">
        <f t="shared" si="7"/>
        <v>42685.930254629631</v>
      </c>
    </row>
    <row r="230" spans="1:7" x14ac:dyDescent="0.25">
      <c r="A230" s="8">
        <v>42685.942291666666</v>
      </c>
      <c r="B230" t="s">
        <v>242</v>
      </c>
      <c r="C230" t="s">
        <v>629</v>
      </c>
      <c r="D230">
        <v>2630000</v>
      </c>
      <c r="E230" t="s">
        <v>559</v>
      </c>
      <c r="F230" s="21" t="str">
        <f t="shared" si="6"/>
        <v>rtdc.l.rtdc.4041:itc</v>
      </c>
      <c r="G230" s="8">
        <f t="shared" si="7"/>
        <v>42685.942291666666</v>
      </c>
    </row>
    <row r="231" spans="1:7" x14ac:dyDescent="0.25">
      <c r="A231" s="8">
        <v>42685.954340277778</v>
      </c>
      <c r="B231" t="s">
        <v>231</v>
      </c>
      <c r="C231" t="s">
        <v>630</v>
      </c>
      <c r="D231">
        <v>1300000</v>
      </c>
      <c r="E231" t="s">
        <v>113</v>
      </c>
      <c r="F231" s="21" t="str">
        <f t="shared" si="6"/>
        <v>rtdc.l.rtdc.4003:itc</v>
      </c>
      <c r="G231" s="8">
        <f t="shared" si="7"/>
        <v>42685.954340277778</v>
      </c>
    </row>
    <row r="232" spans="1:7" x14ac:dyDescent="0.25">
      <c r="A232" s="8">
        <v>42685.954467592594</v>
      </c>
      <c r="B232" t="s">
        <v>234</v>
      </c>
      <c r="C232" t="s">
        <v>631</v>
      </c>
      <c r="D232">
        <v>1800000</v>
      </c>
      <c r="E232" t="s">
        <v>614</v>
      </c>
      <c r="F232" s="21" t="str">
        <f t="shared" si="6"/>
        <v>rtdc.l.rtdc.4039:itc</v>
      </c>
      <c r="G232" s="8">
        <f t="shared" si="7"/>
        <v>42685.954467592594</v>
      </c>
    </row>
    <row r="233" spans="1:7" x14ac:dyDescent="0.25">
      <c r="A233" s="8">
        <v>42685.962743055556</v>
      </c>
      <c r="B233" t="s">
        <v>248</v>
      </c>
      <c r="C233" t="s">
        <v>632</v>
      </c>
      <c r="D233">
        <v>1230000</v>
      </c>
      <c r="E233" t="s">
        <v>270</v>
      </c>
      <c r="F233" s="21" t="str">
        <f t="shared" si="6"/>
        <v>rtdc.l.rtdc.4031:itc</v>
      </c>
      <c r="G233" s="8">
        <f t="shared" si="7"/>
        <v>42685.962743055556</v>
      </c>
    </row>
    <row r="234" spans="1:7" x14ac:dyDescent="0.25">
      <c r="A234" s="8">
        <v>42685.972893518519</v>
      </c>
      <c r="B234" t="s">
        <v>296</v>
      </c>
      <c r="C234" t="s">
        <v>633</v>
      </c>
      <c r="D234">
        <v>2000000</v>
      </c>
      <c r="E234" t="s">
        <v>244</v>
      </c>
      <c r="F234" s="21" t="str">
        <f t="shared" si="6"/>
        <v>rtdc.l.rtdc.4010:itc</v>
      </c>
      <c r="G234" s="8">
        <f t="shared" si="7"/>
        <v>42685.972893518519</v>
      </c>
    </row>
    <row r="235" spans="1:7" x14ac:dyDescent="0.25">
      <c r="A235" s="8">
        <v>42685.993368055555</v>
      </c>
      <c r="B235" t="s">
        <v>237</v>
      </c>
      <c r="C235" t="s">
        <v>634</v>
      </c>
      <c r="D235">
        <v>1300000</v>
      </c>
      <c r="E235" t="s">
        <v>113</v>
      </c>
      <c r="F235" s="21" t="str">
        <f t="shared" si="6"/>
        <v>rtdc.l.rtdc.4004:itc</v>
      </c>
      <c r="G235" s="8">
        <f t="shared" si="7"/>
        <v>42685.993368055555</v>
      </c>
    </row>
    <row r="236" spans="1:7" x14ac:dyDescent="0.25">
      <c r="A236" s="8">
        <v>42685.997523148151</v>
      </c>
      <c r="B236" t="s">
        <v>226</v>
      </c>
      <c r="C236" t="s">
        <v>635</v>
      </c>
      <c r="D236">
        <v>1800000</v>
      </c>
      <c r="E236" t="s">
        <v>614</v>
      </c>
      <c r="F236" s="21" t="str">
        <f t="shared" ref="F236:F265" si="8">B236</f>
        <v>rtdc.l.rtdc.4040:itc</v>
      </c>
      <c r="G236" s="8">
        <f t="shared" ref="G236:G265" si="9">A236</f>
        <v>42685.997523148151</v>
      </c>
    </row>
    <row r="237" spans="1:7" x14ac:dyDescent="0.25">
      <c r="A237" s="8">
        <v>42686.003379629627</v>
      </c>
      <c r="B237" t="s">
        <v>187</v>
      </c>
      <c r="C237" t="s">
        <v>636</v>
      </c>
      <c r="D237">
        <v>2000000</v>
      </c>
      <c r="E237" t="s">
        <v>244</v>
      </c>
      <c r="F237" s="21" t="str">
        <f t="shared" si="8"/>
        <v>rtdc.l.rtdc.4009:itc</v>
      </c>
      <c r="G237" s="8">
        <f t="shared" si="9"/>
        <v>42686.003379629627</v>
      </c>
    </row>
    <row r="238" spans="1:7" x14ac:dyDescent="0.25">
      <c r="A238" s="8">
        <v>42686.013796296298</v>
      </c>
      <c r="B238" t="s">
        <v>235</v>
      </c>
      <c r="C238" t="s">
        <v>637</v>
      </c>
      <c r="D238">
        <v>1230000</v>
      </c>
      <c r="E238" t="s">
        <v>270</v>
      </c>
      <c r="F238" s="21" t="str">
        <f t="shared" si="8"/>
        <v>rtdc.l.rtdc.4032:itc</v>
      </c>
      <c r="G238" s="8">
        <f t="shared" si="9"/>
        <v>42686.013796296298</v>
      </c>
    </row>
    <row r="239" spans="1:7" x14ac:dyDescent="0.25">
      <c r="A239" s="8">
        <v>42686.033252314817</v>
      </c>
      <c r="B239" t="s">
        <v>234</v>
      </c>
      <c r="C239" t="s">
        <v>638</v>
      </c>
      <c r="D239">
        <v>1800000</v>
      </c>
      <c r="E239" t="s">
        <v>614</v>
      </c>
      <c r="F239" s="21" t="str">
        <f t="shared" si="8"/>
        <v>rtdc.l.rtdc.4039:itc</v>
      </c>
      <c r="G239" s="8">
        <f t="shared" si="9"/>
        <v>42686.033252314817</v>
      </c>
    </row>
    <row r="240" spans="1:7" x14ac:dyDescent="0.25">
      <c r="A240" s="8">
        <v>42686.037164351852</v>
      </c>
      <c r="B240" t="s">
        <v>231</v>
      </c>
      <c r="C240" t="s">
        <v>639</v>
      </c>
      <c r="D240">
        <v>1300000</v>
      </c>
      <c r="E240" t="s">
        <v>113</v>
      </c>
      <c r="F240" s="21" t="str">
        <f t="shared" si="8"/>
        <v>rtdc.l.rtdc.4003:itc</v>
      </c>
      <c r="G240" s="8">
        <f t="shared" si="9"/>
        <v>42686.037164351852</v>
      </c>
    </row>
    <row r="241" spans="1:7" x14ac:dyDescent="0.25">
      <c r="A241" s="8">
        <v>42686.045624999999</v>
      </c>
      <c r="B241" t="s">
        <v>248</v>
      </c>
      <c r="C241" t="s">
        <v>640</v>
      </c>
      <c r="D241">
        <v>1230000</v>
      </c>
      <c r="E241" t="s">
        <v>270</v>
      </c>
      <c r="F241" s="21" t="str">
        <f t="shared" si="8"/>
        <v>rtdc.l.rtdc.4031:itc</v>
      </c>
      <c r="G241" s="8">
        <f t="shared" si="9"/>
        <v>42686.045624999999</v>
      </c>
    </row>
    <row r="242" spans="1:7" x14ac:dyDescent="0.25">
      <c r="A242" s="8">
        <v>42686.052118055559</v>
      </c>
      <c r="B242" t="s">
        <v>296</v>
      </c>
      <c r="C242" t="s">
        <v>641</v>
      </c>
      <c r="D242">
        <v>2000000</v>
      </c>
      <c r="E242" t="s">
        <v>244</v>
      </c>
      <c r="F242" s="21" t="str">
        <f t="shared" si="8"/>
        <v>rtdc.l.rtdc.4010:itc</v>
      </c>
      <c r="G242" s="8">
        <f t="shared" si="9"/>
        <v>42686.052118055559</v>
      </c>
    </row>
    <row r="243" spans="1:7" x14ac:dyDescent="0.25">
      <c r="A243" s="8">
        <v>42686.068854166668</v>
      </c>
      <c r="B243" t="s">
        <v>226</v>
      </c>
      <c r="C243" t="s">
        <v>642</v>
      </c>
      <c r="D243">
        <v>1800000</v>
      </c>
      <c r="E243" t="s">
        <v>614</v>
      </c>
      <c r="F243" s="21" t="str">
        <f t="shared" si="8"/>
        <v>rtdc.l.rtdc.4040:itc</v>
      </c>
      <c r="G243" s="8">
        <f t="shared" si="9"/>
        <v>42686.068854166668</v>
      </c>
    </row>
    <row r="244" spans="1:7" x14ac:dyDescent="0.25">
      <c r="A244" s="8">
        <v>42684.868055555555</v>
      </c>
      <c r="B244" t="s">
        <v>297</v>
      </c>
      <c r="C244" t="s">
        <v>345</v>
      </c>
      <c r="D244">
        <v>2550000</v>
      </c>
      <c r="E244" t="s">
        <v>268</v>
      </c>
      <c r="F244" s="21" t="str">
        <f t="shared" si="8"/>
        <v>rtdc.l.rtdc.4022:itc</v>
      </c>
      <c r="G244" s="8">
        <f t="shared" si="9"/>
        <v>42684.868055555555</v>
      </c>
    </row>
    <row r="245" spans="1:7" x14ac:dyDescent="0.25">
      <c r="A245" s="8">
        <v>42684.870162037034</v>
      </c>
      <c r="B245" t="s">
        <v>336</v>
      </c>
      <c r="C245" t="s">
        <v>346</v>
      </c>
      <c r="D245">
        <v>1300000</v>
      </c>
      <c r="E245" t="s">
        <v>113</v>
      </c>
      <c r="F245" s="21" t="str">
        <f t="shared" si="8"/>
        <v>rtdc.l.rtdc.4037:itc</v>
      </c>
      <c r="G245" s="8">
        <f t="shared" si="9"/>
        <v>42684.870162037034</v>
      </c>
    </row>
    <row r="246" spans="1:7" x14ac:dyDescent="0.25">
      <c r="A246" s="8">
        <v>42684.880972222221</v>
      </c>
      <c r="B246" t="s">
        <v>189</v>
      </c>
      <c r="C246" t="s">
        <v>331</v>
      </c>
      <c r="D246">
        <v>2610000</v>
      </c>
      <c r="E246" t="s">
        <v>269</v>
      </c>
      <c r="F246" s="21" t="str">
        <f t="shared" si="8"/>
        <v>rtdc.l.rtdc.4044:itc</v>
      </c>
      <c r="G246" s="8">
        <f t="shared" si="9"/>
        <v>42684.880972222221</v>
      </c>
    </row>
    <row r="247" spans="1:7" x14ac:dyDescent="0.25">
      <c r="A247" s="8">
        <v>42684.88553240741</v>
      </c>
      <c r="B247" t="s">
        <v>264</v>
      </c>
      <c r="C247" t="s">
        <v>347</v>
      </c>
      <c r="D247">
        <v>2420000</v>
      </c>
      <c r="E247" t="s">
        <v>303</v>
      </c>
      <c r="F247" s="21" t="str">
        <f t="shared" si="8"/>
        <v>rtdc.l.rtdc.4002:itc</v>
      </c>
      <c r="G247" s="8">
        <f t="shared" si="9"/>
        <v>42684.88553240741</v>
      </c>
    </row>
    <row r="248" spans="1:7" x14ac:dyDescent="0.25">
      <c r="A248" s="8">
        <v>42684.889027777775</v>
      </c>
      <c r="B248" t="s">
        <v>251</v>
      </c>
      <c r="C248" t="s">
        <v>348</v>
      </c>
      <c r="D248">
        <v>2000000</v>
      </c>
      <c r="E248" t="s">
        <v>244</v>
      </c>
      <c r="F248" s="21" t="str">
        <f t="shared" si="8"/>
        <v>rtdc.l.rtdc.4012:itc</v>
      </c>
      <c r="G248" s="8">
        <f t="shared" si="9"/>
        <v>42684.889027777775</v>
      </c>
    </row>
    <row r="249" spans="1:7" x14ac:dyDescent="0.25">
      <c r="A249" s="8">
        <v>42684.900092592594</v>
      </c>
      <c r="B249" t="s">
        <v>280</v>
      </c>
      <c r="C249" t="s">
        <v>349</v>
      </c>
      <c r="D249">
        <v>2610000</v>
      </c>
      <c r="E249" t="s">
        <v>269</v>
      </c>
      <c r="F249" s="21" t="str">
        <f t="shared" si="8"/>
        <v>rtdc.l.rtdc.4043:itc</v>
      </c>
      <c r="G249" s="8">
        <f t="shared" si="9"/>
        <v>42684.900092592594</v>
      </c>
    </row>
    <row r="250" spans="1:7" x14ac:dyDescent="0.25">
      <c r="A250" s="8">
        <v>42684.910300925927</v>
      </c>
      <c r="B250" t="s">
        <v>299</v>
      </c>
      <c r="C250" t="s">
        <v>350</v>
      </c>
      <c r="D250">
        <v>2550000</v>
      </c>
      <c r="E250" t="s">
        <v>268</v>
      </c>
      <c r="F250" s="21" t="str">
        <f t="shared" si="8"/>
        <v>rtdc.l.rtdc.4021:itc</v>
      </c>
      <c r="G250" s="8">
        <f t="shared" si="9"/>
        <v>42684.910300925927</v>
      </c>
    </row>
    <row r="251" spans="1:7" x14ac:dyDescent="0.25">
      <c r="A251" s="8">
        <v>42684.913923611108</v>
      </c>
      <c r="B251" t="s">
        <v>330</v>
      </c>
      <c r="C251" t="s">
        <v>351</v>
      </c>
      <c r="D251">
        <v>1300000</v>
      </c>
      <c r="E251" t="s">
        <v>113</v>
      </c>
      <c r="F251" s="21" t="str">
        <f t="shared" si="8"/>
        <v>rtdc.l.rtdc.4038:itc</v>
      </c>
      <c r="G251" s="8">
        <f t="shared" si="9"/>
        <v>42684.913923611108</v>
      </c>
    </row>
    <row r="252" spans="1:7" x14ac:dyDescent="0.25">
      <c r="A252" s="8">
        <v>42684.914409722223</v>
      </c>
      <c r="B252" t="s">
        <v>189</v>
      </c>
      <c r="C252" t="s">
        <v>352</v>
      </c>
      <c r="D252">
        <v>2610000</v>
      </c>
      <c r="E252" t="s">
        <v>269</v>
      </c>
      <c r="F252" s="21" t="str">
        <f t="shared" si="8"/>
        <v>rtdc.l.rtdc.4044:itc</v>
      </c>
      <c r="G252" s="8">
        <f t="shared" si="9"/>
        <v>42684.914409722223</v>
      </c>
    </row>
    <row r="253" spans="1:7" x14ac:dyDescent="0.25">
      <c r="A253" s="8">
        <v>42684.923715277779</v>
      </c>
      <c r="B253" t="s">
        <v>263</v>
      </c>
      <c r="C253" t="s">
        <v>332</v>
      </c>
      <c r="D253">
        <v>2420000</v>
      </c>
      <c r="E253" t="s">
        <v>303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221</v>
      </c>
      <c r="C254" t="s">
        <v>353</v>
      </c>
      <c r="D254">
        <v>2000000</v>
      </c>
      <c r="E254" t="s">
        <v>244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280</v>
      </c>
      <c r="C255" t="s">
        <v>354</v>
      </c>
      <c r="D255">
        <v>2610000</v>
      </c>
      <c r="E255" t="s">
        <v>269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336</v>
      </c>
      <c r="C256" t="s">
        <v>355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297</v>
      </c>
      <c r="C257" t="s">
        <v>356</v>
      </c>
      <c r="D257">
        <v>2550000</v>
      </c>
      <c r="E257" t="s">
        <v>268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264</v>
      </c>
      <c r="C258" t="s">
        <v>334</v>
      </c>
      <c r="D258">
        <v>2420000</v>
      </c>
      <c r="E258" t="s">
        <v>303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251</v>
      </c>
      <c r="C259" t="s">
        <v>333</v>
      </c>
      <c r="D259">
        <v>2000000</v>
      </c>
      <c r="E259" t="s">
        <v>244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299</v>
      </c>
      <c r="C260" t="s">
        <v>357</v>
      </c>
      <c r="D260">
        <v>2550000</v>
      </c>
      <c r="E260" t="s">
        <v>268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330</v>
      </c>
      <c r="C261" t="s">
        <v>358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263</v>
      </c>
      <c r="C262" t="s">
        <v>359</v>
      </c>
      <c r="D262">
        <v>2420000</v>
      </c>
      <c r="E262" t="s">
        <v>303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221</v>
      </c>
      <c r="C263" t="s">
        <v>360</v>
      </c>
      <c r="D263">
        <v>2000000</v>
      </c>
      <c r="E263" t="s">
        <v>244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297</v>
      </c>
      <c r="C264" t="s">
        <v>361</v>
      </c>
      <c r="D264">
        <v>2550000</v>
      </c>
      <c r="E264" t="s">
        <v>268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336</v>
      </c>
      <c r="C265" t="s">
        <v>362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264</v>
      </c>
      <c r="C266" t="s">
        <v>363</v>
      </c>
      <c r="D266">
        <v>2420000</v>
      </c>
      <c r="E266" t="s">
        <v>303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251</v>
      </c>
      <c r="C267" t="s">
        <v>364</v>
      </c>
      <c r="D267">
        <v>2000000</v>
      </c>
      <c r="E267" t="s">
        <v>244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330</v>
      </c>
      <c r="C268" t="s">
        <v>365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190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187</v>
      </c>
      <c r="C270" t="s">
        <v>191</v>
      </c>
      <c r="D270">
        <v>1480000</v>
      </c>
      <c r="E270" t="s">
        <v>185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190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190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190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7" s="134" customFormat="1" x14ac:dyDescent="0.25">
      <c r="A1" s="164" t="s">
        <v>167</v>
      </c>
      <c r="B1" s="164" t="s">
        <v>170</v>
      </c>
      <c r="C1" s="164" t="s">
        <v>163</v>
      </c>
      <c r="D1" s="159" t="s">
        <v>177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168</v>
      </c>
      <c r="K1" s="164" t="s">
        <v>166</v>
      </c>
      <c r="L1" s="164" t="s">
        <v>161</v>
      </c>
      <c r="M1" s="164" t="s">
        <v>171</v>
      </c>
      <c r="N1" s="164" t="s">
        <v>165</v>
      </c>
      <c r="O1" s="164" t="s">
        <v>172</v>
      </c>
      <c r="P1" s="164" t="s">
        <v>169</v>
      </c>
      <c r="Q1"/>
    </row>
    <row r="2" spans="1:17" x14ac:dyDescent="0.25">
      <c r="A2" s="165">
        <v>43.02</v>
      </c>
      <c r="B2" s="165">
        <v>0.25</v>
      </c>
      <c r="C2" s="165">
        <v>27.78</v>
      </c>
      <c r="D2" s="8">
        <v>42685</v>
      </c>
      <c r="E2" s="165">
        <v>0.55000000000000004</v>
      </c>
      <c r="F2" s="165" t="s">
        <v>228</v>
      </c>
      <c r="G2" s="165">
        <v>243.48</v>
      </c>
      <c r="H2" s="165">
        <v>0</v>
      </c>
      <c r="I2" s="165">
        <v>0</v>
      </c>
      <c r="J2" s="165">
        <v>1029.92</v>
      </c>
      <c r="K2" s="165" t="s">
        <v>229</v>
      </c>
      <c r="L2" s="165">
        <v>43.02</v>
      </c>
      <c r="M2" s="165">
        <v>1478847600</v>
      </c>
      <c r="N2" s="165">
        <v>7.26</v>
      </c>
      <c r="O2" s="165">
        <v>0</v>
      </c>
      <c r="P2" s="165">
        <v>1.02</v>
      </c>
      <c r="Q2"/>
    </row>
    <row r="3" spans="1:17" x14ac:dyDescent="0.25">
      <c r="A3" s="165">
        <v>41.4</v>
      </c>
      <c r="B3" s="165">
        <v>0.2</v>
      </c>
      <c r="C3" s="165">
        <v>27.6</v>
      </c>
      <c r="D3" s="8">
        <v>42685.041666666664</v>
      </c>
      <c r="E3" s="165">
        <v>0.57999999999999996</v>
      </c>
      <c r="F3" s="165" t="s">
        <v>232</v>
      </c>
      <c r="G3" s="165">
        <v>242.9</v>
      </c>
      <c r="H3" s="165">
        <v>0</v>
      </c>
      <c r="I3" s="165">
        <v>0</v>
      </c>
      <c r="J3" s="165">
        <v>1030.1600000000001</v>
      </c>
      <c r="K3" s="165" t="s">
        <v>233</v>
      </c>
      <c r="L3" s="165">
        <v>41.4</v>
      </c>
      <c r="M3" s="165">
        <v>1478851200</v>
      </c>
      <c r="N3" s="165">
        <v>7.15</v>
      </c>
      <c r="O3" s="165">
        <v>131</v>
      </c>
      <c r="P3" s="165">
        <v>0.61</v>
      </c>
      <c r="Q3"/>
    </row>
    <row r="4" spans="1:17" x14ac:dyDescent="0.25">
      <c r="A4" s="165">
        <v>39.619999999999997</v>
      </c>
      <c r="B4" s="165">
        <v>0.13</v>
      </c>
      <c r="C4" s="165">
        <v>27.17</v>
      </c>
      <c r="D4" s="8">
        <v>42685.083333333336</v>
      </c>
      <c r="E4" s="165">
        <v>0.61</v>
      </c>
      <c r="F4" s="165" t="s">
        <v>232</v>
      </c>
      <c r="G4" s="165">
        <v>242.32</v>
      </c>
      <c r="H4" s="165">
        <v>0</v>
      </c>
      <c r="I4" s="165">
        <v>0</v>
      </c>
      <c r="J4" s="165">
        <v>1030.3699999999999</v>
      </c>
      <c r="K4" s="165" t="s">
        <v>233</v>
      </c>
      <c r="L4" s="165">
        <v>39.619999999999997</v>
      </c>
      <c r="M4" s="165">
        <v>1478854800</v>
      </c>
      <c r="N4" s="165">
        <v>6.16</v>
      </c>
      <c r="O4" s="165">
        <v>149</v>
      </c>
      <c r="P4" s="165">
        <v>1.04</v>
      </c>
      <c r="Q4"/>
    </row>
    <row r="5" spans="1:17" x14ac:dyDescent="0.25">
      <c r="A5" s="165">
        <v>38.32</v>
      </c>
      <c r="B5" s="165">
        <v>0.18</v>
      </c>
      <c r="C5" s="165">
        <v>27.42</v>
      </c>
      <c r="D5" s="8">
        <v>42685.125</v>
      </c>
      <c r="E5" s="165">
        <v>0.65</v>
      </c>
      <c r="F5" s="165" t="s">
        <v>232</v>
      </c>
      <c r="G5" s="165">
        <v>241.56</v>
      </c>
      <c r="H5" s="165">
        <v>0</v>
      </c>
      <c r="I5" s="165">
        <v>0</v>
      </c>
      <c r="J5" s="165">
        <v>1030.8499999999999</v>
      </c>
      <c r="K5" s="165" t="s">
        <v>233</v>
      </c>
      <c r="L5" s="165">
        <v>38.32</v>
      </c>
      <c r="M5" s="165">
        <v>1478858400</v>
      </c>
      <c r="N5" s="165">
        <v>5.63</v>
      </c>
      <c r="O5" s="165">
        <v>145</v>
      </c>
      <c r="P5" s="165">
        <v>1.41</v>
      </c>
      <c r="Q5"/>
    </row>
    <row r="6" spans="1:17" x14ac:dyDescent="0.25">
      <c r="A6" s="165">
        <v>36.520000000000003</v>
      </c>
      <c r="B6" s="165">
        <v>0.26</v>
      </c>
      <c r="C6" s="165">
        <v>26.93</v>
      </c>
      <c r="D6" s="8">
        <v>42685.166666666664</v>
      </c>
      <c r="E6" s="165">
        <v>0.68</v>
      </c>
      <c r="F6" s="165" t="s">
        <v>228</v>
      </c>
      <c r="G6" s="165">
        <v>240.71</v>
      </c>
      <c r="H6" s="165">
        <v>0</v>
      </c>
      <c r="I6" s="165">
        <v>0</v>
      </c>
      <c r="J6" s="165">
        <v>1031.4100000000001</v>
      </c>
      <c r="K6" s="165" t="s">
        <v>229</v>
      </c>
      <c r="L6" s="165">
        <v>36.520000000000003</v>
      </c>
      <c r="M6" s="165">
        <v>1478862000</v>
      </c>
      <c r="N6" s="165">
        <v>6.09</v>
      </c>
      <c r="O6" s="165">
        <v>165</v>
      </c>
      <c r="P6" s="165">
        <v>1.65</v>
      </c>
      <c r="Q6"/>
    </row>
    <row r="7" spans="1:17" x14ac:dyDescent="0.25">
      <c r="A7" s="165">
        <v>36.17</v>
      </c>
      <c r="B7" s="165">
        <v>0.28999999999999998</v>
      </c>
      <c r="C7" s="165">
        <v>27.05</v>
      </c>
      <c r="D7" s="8">
        <v>42685.208333333336</v>
      </c>
      <c r="E7" s="165">
        <v>0.69</v>
      </c>
      <c r="F7" s="165" t="s">
        <v>228</v>
      </c>
      <c r="G7" s="165">
        <v>239.82</v>
      </c>
      <c r="H7" s="165">
        <v>0</v>
      </c>
      <c r="I7" s="165">
        <v>0</v>
      </c>
      <c r="J7" s="165">
        <v>1031.74</v>
      </c>
      <c r="K7" s="165" t="s">
        <v>229</v>
      </c>
      <c r="L7" s="165">
        <v>36.17</v>
      </c>
      <c r="M7" s="165">
        <v>1478865600</v>
      </c>
      <c r="N7" s="165">
        <v>6.84</v>
      </c>
      <c r="O7" s="165">
        <v>152</v>
      </c>
      <c r="P7" s="165">
        <v>2.75</v>
      </c>
      <c r="Q7"/>
    </row>
    <row r="8" spans="1:17" x14ac:dyDescent="0.25">
      <c r="A8" s="165">
        <v>35.97</v>
      </c>
      <c r="B8" s="165">
        <v>0.25</v>
      </c>
      <c r="C8" s="165">
        <v>26.38</v>
      </c>
      <c r="D8" s="8">
        <v>42685.25</v>
      </c>
      <c r="E8" s="165">
        <v>0.68</v>
      </c>
      <c r="F8" s="165" t="s">
        <v>228</v>
      </c>
      <c r="G8" s="165">
        <v>238.77</v>
      </c>
      <c r="H8" s="165">
        <v>0</v>
      </c>
      <c r="I8" s="165">
        <v>0</v>
      </c>
      <c r="J8" s="165">
        <v>1031.6500000000001</v>
      </c>
      <c r="K8" s="165" t="s">
        <v>229</v>
      </c>
      <c r="L8" s="165">
        <v>35.97</v>
      </c>
      <c r="M8" s="165">
        <v>1478869200</v>
      </c>
      <c r="N8" s="165">
        <v>10</v>
      </c>
      <c r="O8" s="165">
        <v>165</v>
      </c>
      <c r="P8" s="165">
        <v>2.04</v>
      </c>
      <c r="Q8"/>
    </row>
    <row r="9" spans="1:17" x14ac:dyDescent="0.25">
      <c r="A9" s="165">
        <v>35.799999999999997</v>
      </c>
      <c r="B9" s="165">
        <v>0.15</v>
      </c>
      <c r="C9" s="165">
        <v>26.04</v>
      </c>
      <c r="D9" s="8">
        <v>42685.291666666664</v>
      </c>
      <c r="E9" s="165">
        <v>0.67</v>
      </c>
      <c r="F9" s="165" t="s">
        <v>250</v>
      </c>
      <c r="G9" s="165">
        <v>237.67</v>
      </c>
      <c r="H9" s="165">
        <v>0</v>
      </c>
      <c r="I9" s="165">
        <v>0</v>
      </c>
      <c r="J9" s="165">
        <v>1031.31</v>
      </c>
      <c r="K9" s="165" t="s">
        <v>233</v>
      </c>
      <c r="L9" s="165">
        <v>35.799999999999997</v>
      </c>
      <c r="M9" s="165">
        <v>1478872800</v>
      </c>
      <c r="N9" s="165">
        <v>4.8099999999999996</v>
      </c>
      <c r="O9" s="165">
        <v>189</v>
      </c>
      <c r="P9" s="165">
        <v>1.91</v>
      </c>
      <c r="Q9"/>
    </row>
    <row r="10" spans="1:17" x14ac:dyDescent="0.25">
      <c r="A10" s="165">
        <v>38.270000000000003</v>
      </c>
      <c r="B10" s="165">
        <v>0.08</v>
      </c>
      <c r="C10" s="165">
        <v>27.71</v>
      </c>
      <c r="D10" s="8">
        <v>42685.333333333336</v>
      </c>
      <c r="E10" s="165">
        <v>0.65</v>
      </c>
      <c r="F10" s="165" t="s">
        <v>250</v>
      </c>
      <c r="G10" s="165">
        <v>236.89</v>
      </c>
      <c r="H10" s="165">
        <v>0</v>
      </c>
      <c r="I10" s="165">
        <v>0</v>
      </c>
      <c r="J10" s="165">
        <v>1030.69</v>
      </c>
      <c r="K10" s="165" t="s">
        <v>233</v>
      </c>
      <c r="L10" s="165">
        <v>38.270000000000003</v>
      </c>
      <c r="M10" s="165">
        <v>1478876400</v>
      </c>
      <c r="N10" s="165">
        <v>4.74</v>
      </c>
      <c r="O10" s="165">
        <v>169</v>
      </c>
      <c r="P10" s="165">
        <v>1.47</v>
      </c>
      <c r="Q10"/>
    </row>
    <row r="11" spans="1:17" x14ac:dyDescent="0.25">
      <c r="A11" s="165">
        <v>43.06</v>
      </c>
      <c r="B11" s="165">
        <v>0.04</v>
      </c>
      <c r="C11" s="165">
        <v>30.57</v>
      </c>
      <c r="D11" s="8">
        <v>42685.375</v>
      </c>
      <c r="E11" s="165">
        <v>0.61</v>
      </c>
      <c r="F11" s="165" t="s">
        <v>250</v>
      </c>
      <c r="G11" s="165">
        <v>236.67</v>
      </c>
      <c r="H11" s="165">
        <v>0</v>
      </c>
      <c r="I11" s="165">
        <v>0</v>
      </c>
      <c r="J11" s="165">
        <v>1029.6500000000001</v>
      </c>
      <c r="K11" s="165" t="s">
        <v>233</v>
      </c>
      <c r="L11" s="165">
        <v>43.06</v>
      </c>
      <c r="M11" s="165">
        <v>1478880000</v>
      </c>
      <c r="N11" s="165">
        <v>4.63</v>
      </c>
      <c r="O11" s="165">
        <v>165</v>
      </c>
      <c r="P11" s="165">
        <v>1.32</v>
      </c>
      <c r="Q11"/>
    </row>
    <row r="12" spans="1:17" x14ac:dyDescent="0.25">
      <c r="A12" s="165">
        <v>48.19</v>
      </c>
      <c r="B12" s="165">
        <v>0.06</v>
      </c>
      <c r="C12" s="165">
        <v>30.94</v>
      </c>
      <c r="D12" s="8">
        <v>42685.416666666664</v>
      </c>
      <c r="E12" s="165">
        <v>0.51</v>
      </c>
      <c r="F12" s="165" t="s">
        <v>250</v>
      </c>
      <c r="G12" s="165">
        <v>236.76</v>
      </c>
      <c r="H12" s="165">
        <v>0</v>
      </c>
      <c r="I12" s="165">
        <v>0</v>
      </c>
      <c r="J12" s="165">
        <v>1028.3</v>
      </c>
      <c r="K12" s="165" t="s">
        <v>233</v>
      </c>
      <c r="L12" s="165">
        <v>48.19</v>
      </c>
      <c r="M12" s="165">
        <v>1478883600</v>
      </c>
      <c r="N12" s="165">
        <v>4.7</v>
      </c>
      <c r="O12" s="165">
        <v>141</v>
      </c>
      <c r="P12" s="165">
        <v>1.4</v>
      </c>
      <c r="Q12"/>
    </row>
    <row r="13" spans="1:17" x14ac:dyDescent="0.25">
      <c r="A13" s="165">
        <v>52.83</v>
      </c>
      <c r="B13" s="165">
        <v>7.0000000000000007E-2</v>
      </c>
      <c r="C13" s="165">
        <v>32.08</v>
      </c>
      <c r="D13" s="8">
        <v>42685.458333333336</v>
      </c>
      <c r="E13" s="165">
        <v>0.45</v>
      </c>
      <c r="F13" s="165" t="s">
        <v>250</v>
      </c>
      <c r="G13" s="165">
        <v>236.85</v>
      </c>
      <c r="H13" s="165">
        <v>0</v>
      </c>
      <c r="I13" s="165">
        <v>0</v>
      </c>
      <c r="J13" s="165">
        <v>1026.99</v>
      </c>
      <c r="K13" s="165" t="s">
        <v>233</v>
      </c>
      <c r="L13" s="165">
        <v>52.83</v>
      </c>
      <c r="M13" s="165">
        <v>1478887200</v>
      </c>
      <c r="N13" s="165">
        <v>4.79</v>
      </c>
      <c r="O13" s="165">
        <v>111</v>
      </c>
      <c r="P13" s="165">
        <v>1.52</v>
      </c>
      <c r="Q13"/>
    </row>
    <row r="14" spans="1:17" x14ac:dyDescent="0.25">
      <c r="A14" s="165">
        <v>56.15</v>
      </c>
      <c r="B14" s="165">
        <v>0.09</v>
      </c>
      <c r="C14" s="165">
        <v>32.96</v>
      </c>
      <c r="D14" s="8">
        <v>42685.5</v>
      </c>
      <c r="E14" s="165">
        <v>0.41</v>
      </c>
      <c r="F14" s="165" t="s">
        <v>250</v>
      </c>
      <c r="G14" s="165">
        <v>236.8</v>
      </c>
      <c r="H14" s="165">
        <v>0</v>
      </c>
      <c r="I14" s="165">
        <v>0</v>
      </c>
      <c r="J14" s="165">
        <v>1025.81</v>
      </c>
      <c r="K14" s="165" t="s">
        <v>233</v>
      </c>
      <c r="L14" s="165">
        <v>56.15</v>
      </c>
      <c r="M14" s="165">
        <v>1478890800</v>
      </c>
      <c r="N14" s="165">
        <v>5.01</v>
      </c>
      <c r="O14" s="165">
        <v>104</v>
      </c>
      <c r="P14" s="165">
        <v>2.83</v>
      </c>
      <c r="Q14"/>
    </row>
    <row r="15" spans="1:17" x14ac:dyDescent="0.25">
      <c r="A15" s="165">
        <v>58.54</v>
      </c>
      <c r="B15" s="165">
        <v>0.12</v>
      </c>
      <c r="C15" s="165">
        <v>33.39</v>
      </c>
      <c r="D15" s="8">
        <v>42685.541666666664</v>
      </c>
      <c r="E15" s="165">
        <v>0.39</v>
      </c>
      <c r="F15" s="165" t="s">
        <v>250</v>
      </c>
      <c r="G15" s="165">
        <v>236.75</v>
      </c>
      <c r="H15" s="165">
        <v>0</v>
      </c>
      <c r="I15" s="165">
        <v>0</v>
      </c>
      <c r="J15" s="165">
        <v>1024.73</v>
      </c>
      <c r="K15" s="165" t="s">
        <v>233</v>
      </c>
      <c r="L15" s="165">
        <v>58.54</v>
      </c>
      <c r="M15" s="165">
        <v>1478894400</v>
      </c>
      <c r="N15" s="165">
        <v>5.18</v>
      </c>
      <c r="O15" s="165">
        <v>96</v>
      </c>
      <c r="P15" s="165">
        <v>2.58</v>
      </c>
      <c r="Q15"/>
    </row>
    <row r="16" spans="1:17" x14ac:dyDescent="0.25">
      <c r="A16" s="165">
        <v>60.16</v>
      </c>
      <c r="B16" s="165">
        <v>0.17</v>
      </c>
      <c r="C16" s="165">
        <v>33.4</v>
      </c>
      <c r="D16" s="8">
        <v>42685.583333333336</v>
      </c>
      <c r="E16" s="165">
        <v>0.36</v>
      </c>
      <c r="F16" s="165" t="s">
        <v>250</v>
      </c>
      <c r="G16" s="165">
        <v>236.76</v>
      </c>
      <c r="H16" s="165">
        <v>0</v>
      </c>
      <c r="I16" s="165">
        <v>0</v>
      </c>
      <c r="J16" s="165">
        <v>1023.95</v>
      </c>
      <c r="K16" s="165" t="s">
        <v>233</v>
      </c>
      <c r="L16" s="165">
        <v>60.16</v>
      </c>
      <c r="M16" s="165">
        <v>1478898000</v>
      </c>
      <c r="N16" s="165">
        <v>5.31</v>
      </c>
      <c r="O16" s="165">
        <v>87</v>
      </c>
      <c r="P16" s="165">
        <v>3.55</v>
      </c>
      <c r="Q16"/>
    </row>
    <row r="17" spans="1:17" x14ac:dyDescent="0.25">
      <c r="A17" s="165">
        <v>60.59</v>
      </c>
      <c r="B17" s="165">
        <v>0.28000000000000003</v>
      </c>
      <c r="C17" s="165">
        <v>34.07</v>
      </c>
      <c r="D17" s="8">
        <v>42685.625</v>
      </c>
      <c r="E17" s="165">
        <v>0.37</v>
      </c>
      <c r="F17" s="165" t="s">
        <v>643</v>
      </c>
      <c r="G17" s="165">
        <v>236.81</v>
      </c>
      <c r="H17" s="165">
        <v>0</v>
      </c>
      <c r="I17" s="165">
        <v>0</v>
      </c>
      <c r="J17" s="165">
        <v>1023.61</v>
      </c>
      <c r="K17" s="165" t="s">
        <v>229</v>
      </c>
      <c r="L17" s="165">
        <v>60.59</v>
      </c>
      <c r="M17" s="165">
        <v>1478901600</v>
      </c>
      <c r="N17" s="165">
        <v>5.48</v>
      </c>
      <c r="O17" s="165">
        <v>93</v>
      </c>
      <c r="P17" s="165">
        <v>4.3600000000000003</v>
      </c>
      <c r="Q17"/>
    </row>
    <row r="18" spans="1:17" x14ac:dyDescent="0.25">
      <c r="A18" s="165">
        <v>58.17</v>
      </c>
      <c r="B18" s="165">
        <v>0.43</v>
      </c>
      <c r="C18" s="165">
        <v>32.14</v>
      </c>
      <c r="D18" s="8">
        <v>42685.666666666664</v>
      </c>
      <c r="E18" s="165">
        <v>0.37</v>
      </c>
      <c r="F18" s="165" t="s">
        <v>643</v>
      </c>
      <c r="G18" s="165">
        <v>236.94</v>
      </c>
      <c r="H18" s="165">
        <v>0</v>
      </c>
      <c r="I18" s="165">
        <v>0</v>
      </c>
      <c r="J18" s="165">
        <v>1023.53</v>
      </c>
      <c r="K18" s="165" t="s">
        <v>229</v>
      </c>
      <c r="L18" s="165">
        <v>58.17</v>
      </c>
      <c r="M18" s="165">
        <v>1478905200</v>
      </c>
      <c r="N18" s="165">
        <v>7.97</v>
      </c>
      <c r="O18" s="165">
        <v>109</v>
      </c>
      <c r="P18" s="165">
        <v>4.18</v>
      </c>
      <c r="Q18"/>
    </row>
    <row r="19" spans="1:17" x14ac:dyDescent="0.25">
      <c r="A19" s="165">
        <v>54.86</v>
      </c>
      <c r="B19" s="165">
        <v>0.61</v>
      </c>
      <c r="C19" s="165">
        <v>31.19</v>
      </c>
      <c r="D19" s="8">
        <v>42685.708333333336</v>
      </c>
      <c r="E19" s="165">
        <v>0.4</v>
      </c>
      <c r="F19" s="165" t="s">
        <v>228</v>
      </c>
      <c r="G19" s="165">
        <v>237.32</v>
      </c>
      <c r="H19" s="165">
        <v>0</v>
      </c>
      <c r="I19" s="165">
        <v>0</v>
      </c>
      <c r="J19" s="165">
        <v>1023.53</v>
      </c>
      <c r="K19" s="165" t="s">
        <v>644</v>
      </c>
      <c r="L19" s="165">
        <v>54.86</v>
      </c>
      <c r="M19" s="165">
        <v>1478908800</v>
      </c>
      <c r="N19" s="165">
        <v>8.4</v>
      </c>
      <c r="O19" s="165">
        <v>126</v>
      </c>
      <c r="P19" s="165">
        <v>4.04</v>
      </c>
      <c r="Q19"/>
    </row>
    <row r="20" spans="1:17" x14ac:dyDescent="0.25">
      <c r="A20" s="165">
        <v>51.64</v>
      </c>
      <c r="B20" s="165">
        <v>0.7</v>
      </c>
      <c r="C20" s="165">
        <v>30</v>
      </c>
      <c r="D20" s="8">
        <v>42685.75</v>
      </c>
      <c r="E20" s="165">
        <v>0.43</v>
      </c>
      <c r="F20" s="165" t="s">
        <v>228</v>
      </c>
      <c r="G20" s="165">
        <v>238.09</v>
      </c>
      <c r="H20" s="165">
        <v>0</v>
      </c>
      <c r="I20" s="165">
        <v>0</v>
      </c>
      <c r="J20" s="165">
        <v>1023.45</v>
      </c>
      <c r="K20" s="165" t="s">
        <v>644</v>
      </c>
      <c r="L20" s="165">
        <v>51.64</v>
      </c>
      <c r="M20" s="165">
        <v>1478912400</v>
      </c>
      <c r="N20" s="165">
        <v>8.82</v>
      </c>
      <c r="O20" s="165">
        <v>143</v>
      </c>
      <c r="P20" s="165">
        <v>3.71</v>
      </c>
      <c r="Q20"/>
    </row>
    <row r="21" spans="1:17" x14ac:dyDescent="0.25">
      <c r="A21" s="165">
        <v>49.23</v>
      </c>
      <c r="B21" s="165">
        <v>0.56999999999999995</v>
      </c>
      <c r="C21" s="165">
        <v>30.13</v>
      </c>
      <c r="D21" s="8">
        <v>42685.791666666664</v>
      </c>
      <c r="E21" s="165">
        <v>0.48</v>
      </c>
      <c r="F21" s="165" t="s">
        <v>228</v>
      </c>
      <c r="G21" s="165">
        <v>239.11</v>
      </c>
      <c r="H21" s="165">
        <v>0</v>
      </c>
      <c r="I21" s="165">
        <v>0</v>
      </c>
      <c r="J21" s="165">
        <v>1023.63</v>
      </c>
      <c r="K21" s="165" t="s">
        <v>229</v>
      </c>
      <c r="L21" s="165">
        <v>49.23</v>
      </c>
      <c r="M21" s="165">
        <v>1478916000</v>
      </c>
      <c r="N21" s="165">
        <v>9.26</v>
      </c>
      <c r="O21" s="165">
        <v>176</v>
      </c>
      <c r="P21" s="165">
        <v>2.4300000000000002</v>
      </c>
      <c r="Q21"/>
    </row>
    <row r="22" spans="1:17" x14ac:dyDescent="0.25">
      <c r="A22" s="165">
        <v>46.43</v>
      </c>
      <c r="B22" s="165">
        <v>0.53</v>
      </c>
      <c r="C22" s="165">
        <v>29.12</v>
      </c>
      <c r="D22" s="8">
        <v>42685.833333333336</v>
      </c>
      <c r="E22" s="165">
        <v>0.51</v>
      </c>
      <c r="F22" s="165" t="s">
        <v>228</v>
      </c>
      <c r="G22" s="165">
        <v>240.18</v>
      </c>
      <c r="H22" s="165">
        <v>0</v>
      </c>
      <c r="I22" s="165">
        <v>0</v>
      </c>
      <c r="J22" s="165">
        <v>1023.82</v>
      </c>
      <c r="K22" s="165" t="s">
        <v>229</v>
      </c>
      <c r="L22" s="165">
        <v>46.43</v>
      </c>
      <c r="M22" s="165">
        <v>1478919600</v>
      </c>
      <c r="N22" s="165">
        <v>9.4</v>
      </c>
      <c r="O22" s="165">
        <v>201</v>
      </c>
      <c r="P22" s="165">
        <v>1.72</v>
      </c>
      <c r="Q22"/>
    </row>
    <row r="23" spans="1:17" x14ac:dyDescent="0.25">
      <c r="A23" s="165">
        <v>46.21</v>
      </c>
      <c r="B23" s="165">
        <v>0.65</v>
      </c>
      <c r="C23" s="165">
        <v>29.67</v>
      </c>
      <c r="D23" s="8">
        <v>42685.875</v>
      </c>
      <c r="E23" s="165">
        <v>0.52</v>
      </c>
      <c r="F23" s="165" t="s">
        <v>228</v>
      </c>
      <c r="G23" s="165">
        <v>241.27</v>
      </c>
      <c r="H23" s="165">
        <v>0</v>
      </c>
      <c r="I23" s="165">
        <v>0</v>
      </c>
      <c r="J23" s="165">
        <v>1023.98</v>
      </c>
      <c r="K23" s="165" t="s">
        <v>644</v>
      </c>
      <c r="L23" s="165">
        <v>46.21</v>
      </c>
      <c r="M23" s="165">
        <v>1478923200</v>
      </c>
      <c r="N23" s="165">
        <v>9.11</v>
      </c>
      <c r="O23" s="165">
        <v>214</v>
      </c>
      <c r="P23" s="165">
        <v>2.27</v>
      </c>
      <c r="Q23"/>
    </row>
    <row r="24" spans="1:17" x14ac:dyDescent="0.25">
      <c r="A24" s="165">
        <v>41.75</v>
      </c>
      <c r="B24" s="165">
        <v>0.71</v>
      </c>
      <c r="C24" s="165">
        <v>27.56</v>
      </c>
      <c r="D24" s="8">
        <v>42685.916666666664</v>
      </c>
      <c r="E24" s="165">
        <v>0.54</v>
      </c>
      <c r="F24" s="165" t="s">
        <v>228</v>
      </c>
      <c r="G24" s="165">
        <v>242.39</v>
      </c>
      <c r="H24" s="165">
        <v>0</v>
      </c>
      <c r="I24" s="165">
        <v>0</v>
      </c>
      <c r="J24" s="165">
        <v>1024.1199999999999</v>
      </c>
      <c r="K24" s="165" t="s">
        <v>644</v>
      </c>
      <c r="L24" s="165">
        <v>43.05</v>
      </c>
      <c r="M24" s="165">
        <v>1478926800</v>
      </c>
      <c r="N24" s="165">
        <v>9.1300000000000008</v>
      </c>
      <c r="O24" s="165">
        <v>208</v>
      </c>
      <c r="P24" s="165">
        <v>3.06</v>
      </c>
      <c r="Q24"/>
    </row>
    <row r="25" spans="1:17" x14ac:dyDescent="0.25">
      <c r="A25" s="165">
        <v>42.3</v>
      </c>
      <c r="B25" s="165">
        <v>0.67</v>
      </c>
      <c r="C25" s="165">
        <v>27.19</v>
      </c>
      <c r="D25" s="8">
        <v>42685.958333333336</v>
      </c>
      <c r="E25" s="165">
        <v>0.55000000000000004</v>
      </c>
      <c r="F25" s="165" t="s">
        <v>228</v>
      </c>
      <c r="G25" s="165">
        <v>243.37</v>
      </c>
      <c r="H25" s="165">
        <v>0</v>
      </c>
      <c r="I25" s="165">
        <v>0</v>
      </c>
      <c r="J25" s="165">
        <v>1024.19</v>
      </c>
      <c r="K25" s="165" t="s">
        <v>644</v>
      </c>
      <c r="L25" s="165">
        <v>42.3</v>
      </c>
      <c r="M25" s="165">
        <v>1478930400</v>
      </c>
      <c r="N25" s="165">
        <v>9.33</v>
      </c>
      <c r="O25" s="165">
        <v>212</v>
      </c>
      <c r="P25" s="165">
        <v>2.93</v>
      </c>
      <c r="Q25"/>
    </row>
    <row r="26" spans="1:17" x14ac:dyDescent="0.25">
      <c r="A26" s="165">
        <v>41.7</v>
      </c>
      <c r="B26" s="165">
        <v>0.55000000000000004</v>
      </c>
      <c r="C26" s="165">
        <v>27.19</v>
      </c>
      <c r="D26" s="8">
        <v>42686</v>
      </c>
      <c r="E26" s="165">
        <v>0.56000000000000005</v>
      </c>
      <c r="F26" s="165" t="s">
        <v>228</v>
      </c>
      <c r="G26" s="165">
        <v>244.01</v>
      </c>
      <c r="H26" s="165">
        <v>0</v>
      </c>
      <c r="I26" s="165">
        <v>0</v>
      </c>
      <c r="J26" s="165">
        <v>1024.18</v>
      </c>
      <c r="K26" s="165" t="s">
        <v>229</v>
      </c>
      <c r="L26" s="165">
        <v>41.7</v>
      </c>
      <c r="M26" s="165">
        <v>1478934000</v>
      </c>
      <c r="N26" s="165">
        <v>9.4600000000000009</v>
      </c>
      <c r="O26" s="165">
        <v>212</v>
      </c>
      <c r="P26" s="165">
        <v>2.38</v>
      </c>
      <c r="Q26"/>
    </row>
    <row r="27" spans="1:17" x14ac:dyDescent="0.25">
      <c r="A27" s="165">
        <v>39.520000000000003</v>
      </c>
      <c r="B27" s="165">
        <v>0.45</v>
      </c>
      <c r="C27" s="165">
        <v>25.06</v>
      </c>
      <c r="D27" s="8">
        <v>42686.041666666664</v>
      </c>
      <c r="E27" s="165">
        <v>0.56000000000000005</v>
      </c>
      <c r="F27" s="165" t="s">
        <v>228</v>
      </c>
      <c r="G27" s="165">
        <v>244.64</v>
      </c>
      <c r="H27" s="165">
        <v>0</v>
      </c>
      <c r="I27" s="165">
        <v>0</v>
      </c>
      <c r="J27" s="165">
        <v>1024.1500000000001</v>
      </c>
      <c r="K27" s="165" t="s">
        <v>229</v>
      </c>
      <c r="L27" s="165">
        <v>39.520000000000003</v>
      </c>
      <c r="M27" s="165">
        <v>1478937600</v>
      </c>
      <c r="N27" s="165">
        <v>9.41</v>
      </c>
      <c r="O27" s="165">
        <v>215</v>
      </c>
      <c r="P27" s="165">
        <v>2.16</v>
      </c>
      <c r="Q27"/>
    </row>
    <row r="28" spans="1:17" x14ac:dyDescent="0.25">
      <c r="A28" s="165">
        <v>38.51</v>
      </c>
      <c r="B28" s="165">
        <v>0.26</v>
      </c>
      <c r="C28" s="165">
        <v>24.57</v>
      </c>
      <c r="D28" s="8">
        <v>42686.083333333336</v>
      </c>
      <c r="E28" s="165">
        <v>0.56999999999999995</v>
      </c>
      <c r="F28" s="165" t="s">
        <v>228</v>
      </c>
      <c r="G28" s="165">
        <v>245.27</v>
      </c>
      <c r="H28" s="165">
        <v>0</v>
      </c>
      <c r="I28" s="165">
        <v>0</v>
      </c>
      <c r="J28" s="165">
        <v>1024.0999999999999</v>
      </c>
      <c r="K28" s="165" t="s">
        <v>229</v>
      </c>
      <c r="L28" s="165">
        <v>38.51</v>
      </c>
      <c r="M28" s="165">
        <v>1478941200</v>
      </c>
      <c r="N28" s="165">
        <v>8.6300000000000008</v>
      </c>
      <c r="O28" s="165">
        <v>218</v>
      </c>
      <c r="P28" s="165">
        <v>1.92</v>
      </c>
      <c r="Q28"/>
    </row>
    <row r="29" spans="1:17" x14ac:dyDescent="0.25">
      <c r="A29" s="165">
        <v>36.520000000000003</v>
      </c>
      <c r="B29" s="165">
        <v>0.22</v>
      </c>
      <c r="C29" s="165">
        <v>22.45</v>
      </c>
      <c r="D29" s="8">
        <v>42686.125</v>
      </c>
      <c r="E29" s="165">
        <v>0.56000000000000005</v>
      </c>
      <c r="F29" s="165" t="s">
        <v>232</v>
      </c>
      <c r="G29" s="165">
        <v>246.37</v>
      </c>
      <c r="H29" s="165">
        <v>0</v>
      </c>
      <c r="I29" s="165">
        <v>0</v>
      </c>
      <c r="J29" s="165">
        <v>1024.42</v>
      </c>
      <c r="K29" s="165" t="s">
        <v>233</v>
      </c>
      <c r="L29" s="165">
        <v>36.520000000000003</v>
      </c>
      <c r="M29" s="165">
        <v>1478944800</v>
      </c>
      <c r="N29" s="165">
        <v>9.17</v>
      </c>
      <c r="O29" s="165">
        <v>227</v>
      </c>
      <c r="P29" s="165">
        <v>2.3199999999999998</v>
      </c>
      <c r="Q29"/>
    </row>
    <row r="30" spans="1:17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7" x14ac:dyDescent="0.25">
      <c r="A31" s="133" t="s">
        <v>213</v>
      </c>
    </row>
    <row r="33" spans="1:1" x14ac:dyDescent="0.25">
      <c r="A33" s="133" t="s"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D10" sqref="D10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42685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215</v>
      </c>
      <c r="J17" s="33"/>
      <c r="K17" s="34"/>
      <c r="L17" s="34"/>
    </row>
    <row r="18" spans="3:13" x14ac:dyDescent="0.25">
      <c r="C18" t="s">
        <v>776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777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778</v>
      </c>
      <c r="J20" t="s">
        <v>87</v>
      </c>
      <c r="M20" s="68" t="s">
        <v>294</v>
      </c>
    </row>
    <row r="21" spans="3:13" x14ac:dyDescent="0.25">
      <c r="C21" t="s">
        <v>779</v>
      </c>
      <c r="J21" s="21" t="s">
        <v>90</v>
      </c>
      <c r="K21" s="21" t="s">
        <v>91</v>
      </c>
      <c r="M21" s="68" t="s">
        <v>186</v>
      </c>
    </row>
    <row r="22" spans="3:13" x14ac:dyDescent="0.25">
      <c r="C22" t="s">
        <v>780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781</v>
      </c>
      <c r="J23" s="29" t="s">
        <v>95</v>
      </c>
      <c r="K23" s="21"/>
      <c r="M23" s="69">
        <v>-7</v>
      </c>
    </row>
    <row r="24" spans="3:13" x14ac:dyDescent="0.25">
      <c r="C24" t="s">
        <v>782</v>
      </c>
      <c r="J24" s="21" t="s">
        <v>108</v>
      </c>
      <c r="K24" s="21"/>
      <c r="M24" s="68" t="s">
        <v>110</v>
      </c>
    </row>
    <row r="25" spans="3:13" x14ac:dyDescent="0.25">
      <c r="C25" t="s">
        <v>783</v>
      </c>
      <c r="J25" t="s">
        <v>151</v>
      </c>
      <c r="M25" s="68" t="b">
        <v>1</v>
      </c>
    </row>
    <row r="26" spans="3:13" x14ac:dyDescent="0.25">
      <c r="C26" t="s">
        <v>784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C:\Users\stu\Documents\GitHub\eaglep3-reporting\EC\2016-11-11-refined-times.txt</v>
      </c>
    </row>
    <row r="27" spans="3:13" x14ac:dyDescent="0.25">
      <c r="C27" t="s">
        <v>785</v>
      </c>
      <c r="J27" t="s">
        <v>193</v>
      </c>
      <c r="M27" s="68" t="str">
        <f>"C:\Users\stu\Documents\GitHub\eaglep3-reporting\EC\"&amp;TEXT(A2,"YYYY-MM-DD")&amp;"-Enforcements.txt"</f>
        <v>C:\Users\stu\Documents\GitHub\eaglep3-reporting\EC\2016-11-11-Enforcements.txt</v>
      </c>
    </row>
    <row r="28" spans="3:13" x14ac:dyDescent="0.25">
      <c r="J28" t="s">
        <v>194</v>
      </c>
      <c r="M28" s="106" t="str">
        <f>"C:\Users\stu\Documents\GitHub\eaglep3-reporting\EC\"&amp;TEXT(A2,"YYYY-MM-DD")&amp;"-Runs-Refined.txt"</f>
        <v>C:\Users\stu\Documents\GitHub\eaglep3-reporting\EC\2016-11-11-Runs-Refined.txt</v>
      </c>
    </row>
    <row r="29" spans="3:13" x14ac:dyDescent="0.25">
      <c r="J29" t="s">
        <v>195</v>
      </c>
      <c r="M29" s="106" t="str">
        <f>"C:\Users\stu\Documents\GitHub\eaglep3-reporting\EC\"&amp;TEXT(A2,"YYYY-MM-DD")&amp;"-Trips.txt"</f>
        <v>C:\Users\stu\Documents\GitHub\eaglep3-reporting\EC\2016-11-11-Trips.txt</v>
      </c>
    </row>
    <row r="30" spans="3:13" x14ac:dyDescent="0.25">
      <c r="J30" t="s">
        <v>196</v>
      </c>
      <c r="M30" s="106" t="str">
        <f>"C:\Users\stu\Documents\GitHub\eaglep3-reporting\EC\"&amp;TEXT(A2,"YYYY-MM-DD")&amp;"-Weather.txt"</f>
        <v>C:\Users\stu\Documents\GitHub\eaglep3-reporting\EC\2016-11-11-Weather.txt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178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179</v>
      </c>
    </row>
    <row r="15" spans="1:11" x14ac:dyDescent="0.25">
      <c r="C15" s="116" t="s">
        <v>241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2016-11-14T16:39:40Z</dcterms:modified>
</cp:coreProperties>
</file>