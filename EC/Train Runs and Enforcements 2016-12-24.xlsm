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4" i="1" l="1"/>
  <c r="L154" i="1"/>
  <c r="M154" i="1"/>
  <c r="V154" i="1"/>
  <c r="Y154" i="1"/>
  <c r="Z154" i="1"/>
  <c r="AA154" i="1" s="1"/>
  <c r="AB154" i="1"/>
  <c r="AC154" i="1"/>
  <c r="AD154" i="1"/>
  <c r="T154" i="1" s="1"/>
  <c r="AE154" i="1"/>
  <c r="AF154" i="1"/>
  <c r="AH154" i="1"/>
  <c r="K145" i="1"/>
  <c r="L145" i="1"/>
  <c r="M145" i="1"/>
  <c r="V145" i="1"/>
  <c r="Y145" i="1"/>
  <c r="Z145" i="1"/>
  <c r="AA145" i="1" s="1"/>
  <c r="AB145" i="1"/>
  <c r="AC145" i="1"/>
  <c r="AD145" i="1"/>
  <c r="T145" i="1" s="1"/>
  <c r="AE145" i="1"/>
  <c r="AF145" i="1"/>
  <c r="AH145" i="1"/>
  <c r="K27" i="1"/>
  <c r="L27" i="1"/>
  <c r="M27" i="1"/>
  <c r="V27" i="1"/>
  <c r="Y27" i="1"/>
  <c r="Z27" i="1"/>
  <c r="AA27" i="1" s="1"/>
  <c r="AB27" i="1"/>
  <c r="AC27" i="1"/>
  <c r="AD27" i="1"/>
  <c r="T27" i="1" s="1"/>
  <c r="AE27" i="1"/>
  <c r="AF27" i="1"/>
  <c r="AH27" i="1"/>
  <c r="K15" i="1"/>
  <c r="L15" i="1"/>
  <c r="M15" i="1"/>
  <c r="V15" i="1"/>
  <c r="AA15" i="1"/>
  <c r="AB15" i="1"/>
  <c r="AC15" i="1"/>
  <c r="AD15" i="1"/>
  <c r="T15" i="1" s="1"/>
  <c r="AE15" i="1"/>
  <c r="AF15" i="1"/>
  <c r="AH15" i="1"/>
  <c r="K16" i="1"/>
  <c r="L16" i="1"/>
  <c r="M16" i="1"/>
  <c r="V16" i="1"/>
  <c r="AA16" i="1"/>
  <c r="AB16" i="1"/>
  <c r="AC16" i="1"/>
  <c r="AD16" i="1"/>
  <c r="T16" i="1" s="1"/>
  <c r="AE16" i="1"/>
  <c r="AF16" i="1"/>
  <c r="AH16" i="1"/>
  <c r="K43" i="1"/>
  <c r="L43" i="1"/>
  <c r="M43" i="1"/>
  <c r="P43" i="1" s="1"/>
  <c r="V43" i="1"/>
  <c r="Y43" i="1"/>
  <c r="Z43" i="1"/>
  <c r="AA43" i="1" s="1"/>
  <c r="AB43" i="1"/>
  <c r="AC43" i="1"/>
  <c r="AD43" i="1"/>
  <c r="T43" i="1" s="1"/>
  <c r="AE43" i="1"/>
  <c r="AF43" i="1"/>
  <c r="AH43" i="1"/>
  <c r="AG154" i="1" l="1"/>
  <c r="AG145" i="1"/>
  <c r="AG27" i="1"/>
  <c r="AG16" i="1"/>
  <c r="W16" i="1" s="1"/>
  <c r="X16" i="1"/>
  <c r="AG15" i="1"/>
  <c r="AG4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7" i="1"/>
  <c r="L17" i="1"/>
  <c r="M17" i="1"/>
  <c r="N17" i="1" s="1"/>
  <c r="V17" i="1"/>
  <c r="Y17" i="1"/>
  <c r="Z17" i="1"/>
  <c r="AB17" i="1"/>
  <c r="AC17" i="1"/>
  <c r="AD17" i="1"/>
  <c r="X17" i="1" s="1"/>
  <c r="AE17" i="1"/>
  <c r="AF17" i="1"/>
  <c r="AH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S10" i="3" s="1"/>
  <c r="Y40" i="1"/>
  <c r="Z40" i="1"/>
  <c r="AA40" i="1" s="1"/>
  <c r="AB40" i="1"/>
  <c r="AC40" i="1"/>
  <c r="AD40" i="1"/>
  <c r="AG40" i="1" s="1"/>
  <c r="AE40" i="1"/>
  <c r="R10" i="3" s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X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R16" i="3" s="1"/>
  <c r="AF47" i="1"/>
  <c r="AH47" i="1"/>
  <c r="K48" i="1"/>
  <c r="L48" i="1"/>
  <c r="M48" i="1"/>
  <c r="N48" i="1" s="1"/>
  <c r="V48" i="1"/>
  <c r="S19" i="3" s="1"/>
  <c r="Y48" i="1"/>
  <c r="Z48" i="1"/>
  <c r="AB48" i="1"/>
  <c r="AC48" i="1"/>
  <c r="AD48" i="1"/>
  <c r="T48" i="1" s="1"/>
  <c r="AE48" i="1"/>
  <c r="R19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X53" i="1" s="1"/>
  <c r="AE53" i="1"/>
  <c r="AF53" i="1"/>
  <c r="AH53" i="1"/>
  <c r="K54" i="1"/>
  <c r="L54" i="1"/>
  <c r="M54" i="1"/>
  <c r="N54" i="1" s="1"/>
  <c r="V54" i="1"/>
  <c r="S12" i="3" s="1"/>
  <c r="Y54" i="1"/>
  <c r="Z54" i="1"/>
  <c r="AB54" i="1"/>
  <c r="AC54" i="1"/>
  <c r="AD54" i="1"/>
  <c r="AG54" i="1" s="1"/>
  <c r="AE54" i="1"/>
  <c r="R12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P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S20" i="3" s="1"/>
  <c r="Y58" i="1"/>
  <c r="Z58" i="1"/>
  <c r="AB58" i="1"/>
  <c r="AC58" i="1"/>
  <c r="AD58" i="1"/>
  <c r="AG58" i="1" s="1"/>
  <c r="AE58" i="1"/>
  <c r="R20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P61" i="1" s="1"/>
  <c r="V61" i="1"/>
  <c r="Y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X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18" i="3" s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S15" i="3" s="1"/>
  <c r="Y82" i="1"/>
  <c r="Z82" i="1"/>
  <c r="AB82" i="1"/>
  <c r="AC82" i="1"/>
  <c r="AD82" i="1"/>
  <c r="AG82" i="1" s="1"/>
  <c r="AE82" i="1"/>
  <c r="R15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S7" i="3" s="1"/>
  <c r="Y85" i="1"/>
  <c r="Z85" i="1"/>
  <c r="AB85" i="1"/>
  <c r="AC85" i="1"/>
  <c r="AD85" i="1"/>
  <c r="T85" i="1" s="1"/>
  <c r="AE85" i="1"/>
  <c r="R7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P92" i="1" s="1"/>
  <c r="V92" i="1"/>
  <c r="S17" i="3" s="1"/>
  <c r="Y92" i="1"/>
  <c r="Z92" i="1"/>
  <c r="AB92" i="1"/>
  <c r="AC92" i="1"/>
  <c r="AD92" i="1"/>
  <c r="AE92" i="1"/>
  <c r="R17" i="3" s="1"/>
  <c r="AF92" i="1"/>
  <c r="AH92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3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1" i="1"/>
  <c r="K169" i="1"/>
  <c r="L169" i="1"/>
  <c r="M169" i="1"/>
  <c r="N169" i="1" s="1"/>
  <c r="V169" i="1"/>
  <c r="S25" i="3" s="1"/>
  <c r="Y169" i="1"/>
  <c r="Z169" i="1"/>
  <c r="AB169" i="1"/>
  <c r="AC169" i="1"/>
  <c r="AD169" i="1"/>
  <c r="AG169" i="1" s="1"/>
  <c r="AE169" i="1"/>
  <c r="R25" i="3" s="1"/>
  <c r="AF169" i="1"/>
  <c r="AH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7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19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2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8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9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0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1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52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3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5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6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7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8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9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60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61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2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3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4" i="1"/>
  <c r="K128" i="1"/>
  <c r="L128" i="1"/>
  <c r="M128" i="1"/>
  <c r="V128" i="1"/>
  <c r="S14" i="3" s="1"/>
  <c r="Y128" i="1"/>
  <c r="Z128" i="1"/>
  <c r="AB128" i="1"/>
  <c r="AC128" i="1"/>
  <c r="AD128" i="1"/>
  <c r="AG128" i="1" s="1"/>
  <c r="AE128" i="1"/>
  <c r="R14" i="3" s="1"/>
  <c r="AF128" i="1"/>
  <c r="AH165" i="1"/>
  <c r="K129" i="1"/>
  <c r="L129" i="1"/>
  <c r="M129" i="1"/>
  <c r="V129" i="1"/>
  <c r="Y129" i="1"/>
  <c r="Z129" i="1"/>
  <c r="AB129" i="1"/>
  <c r="AC129" i="1"/>
  <c r="AD129" i="1"/>
  <c r="T129" i="1" s="1"/>
  <c r="AE129" i="1"/>
  <c r="AF129" i="1"/>
  <c r="AH166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7" i="1"/>
  <c r="K131" i="1"/>
  <c r="L131" i="1"/>
  <c r="M131" i="1"/>
  <c r="N131" i="1" s="1"/>
  <c r="V131" i="1"/>
  <c r="S9" i="3" s="1"/>
  <c r="Y131" i="1"/>
  <c r="Z131" i="1"/>
  <c r="AB131" i="1"/>
  <c r="AC131" i="1"/>
  <c r="AD131" i="1"/>
  <c r="AG131" i="1" s="1"/>
  <c r="AE131" i="1"/>
  <c r="R9" i="3" s="1"/>
  <c r="AF131" i="1"/>
  <c r="AH168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R24" i="3" s="1"/>
  <c r="AF132" i="1"/>
  <c r="AH169" i="1"/>
  <c r="K133" i="1"/>
  <c r="L133" i="1"/>
  <c r="M133" i="1"/>
  <c r="N133" i="1" s="1"/>
  <c r="V133" i="1"/>
  <c r="S21" i="3" s="1"/>
  <c r="Y133" i="1"/>
  <c r="Z133" i="1"/>
  <c r="AB133" i="1"/>
  <c r="AC133" i="1"/>
  <c r="AD133" i="1"/>
  <c r="AE133" i="1"/>
  <c r="R21" i="3" s="1"/>
  <c r="AF133" i="1"/>
  <c r="AH170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71" i="1"/>
  <c r="K135" i="1"/>
  <c r="L135" i="1"/>
  <c r="M135" i="1"/>
  <c r="N135" i="1" s="1"/>
  <c r="V135" i="1"/>
  <c r="S8" i="3" s="1"/>
  <c r="Y135" i="1"/>
  <c r="Z135" i="1"/>
  <c r="AB135" i="1"/>
  <c r="AC135" i="1"/>
  <c r="AD135" i="1"/>
  <c r="AG135" i="1" s="1"/>
  <c r="AE135" i="1"/>
  <c r="AF135" i="1"/>
  <c r="AH172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3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4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5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6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7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8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9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80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1" i="1"/>
  <c r="K146" i="1"/>
  <c r="L146" i="1"/>
  <c r="M146" i="1"/>
  <c r="N146" i="1"/>
  <c r="V146" i="1"/>
  <c r="Y146" i="1"/>
  <c r="Z146" i="1"/>
  <c r="AB146" i="1"/>
  <c r="AC146" i="1"/>
  <c r="AD146" i="1"/>
  <c r="X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3" i="1"/>
  <c r="K148" i="1"/>
  <c r="L148" i="1"/>
  <c r="M148" i="1"/>
  <c r="N148" i="1" s="1"/>
  <c r="V148" i="1"/>
  <c r="S11" i="3" s="1"/>
  <c r="Y148" i="1"/>
  <c r="Z148" i="1"/>
  <c r="AB148" i="1"/>
  <c r="AC148" i="1"/>
  <c r="AD148" i="1"/>
  <c r="AE148" i="1"/>
  <c r="R11" i="3" s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5" i="1"/>
  <c r="K150" i="1"/>
  <c r="L150" i="1"/>
  <c r="M150" i="1"/>
  <c r="N150" i="1" s="1"/>
  <c r="V150" i="1"/>
  <c r="S13" i="3" s="1"/>
  <c r="Y150" i="1"/>
  <c r="Z150" i="1"/>
  <c r="AB150" i="1"/>
  <c r="AC150" i="1"/>
  <c r="AD150" i="1"/>
  <c r="X150" i="1" s="1"/>
  <c r="AE150" i="1"/>
  <c r="R13" i="3" s="1"/>
  <c r="AF150" i="1"/>
  <c r="AH186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93" i="1"/>
  <c r="AH194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5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6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8" i="1"/>
  <c r="K209" i="1"/>
  <c r="L209" i="1"/>
  <c r="M209" i="1"/>
  <c r="N209" i="1" s="1"/>
  <c r="V209" i="1"/>
  <c r="S26" i="3" s="1"/>
  <c r="Y209" i="1"/>
  <c r="Z209" i="1"/>
  <c r="AB209" i="1"/>
  <c r="AC209" i="1"/>
  <c r="AD209" i="1"/>
  <c r="AE209" i="1"/>
  <c r="R26" i="3" s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M10" i="3"/>
  <c r="U10" i="3"/>
  <c r="T10" i="3" s="1"/>
  <c r="V10" i="3"/>
  <c r="W10" i="3"/>
  <c r="X10" i="3"/>
  <c r="M16" i="3"/>
  <c r="S16" i="3"/>
  <c r="U16" i="3"/>
  <c r="T16" i="3" s="1"/>
  <c r="V16" i="3"/>
  <c r="W16" i="3"/>
  <c r="X16" i="3"/>
  <c r="AC16" i="3"/>
  <c r="M19" i="3"/>
  <c r="U19" i="3"/>
  <c r="T19" i="3" s="1"/>
  <c r="V19" i="3"/>
  <c r="W19" i="3"/>
  <c r="X19" i="3"/>
  <c r="AC19" i="3"/>
  <c r="M12" i="3"/>
  <c r="U12" i="3"/>
  <c r="T12" i="3" s="1"/>
  <c r="V12" i="3"/>
  <c r="W12" i="3"/>
  <c r="X12" i="3"/>
  <c r="M25" i="3"/>
  <c r="U25" i="3"/>
  <c r="T25" i="3" s="1"/>
  <c r="V25" i="3"/>
  <c r="W25" i="3"/>
  <c r="X25" i="3"/>
  <c r="AC25" i="3"/>
  <c r="M20" i="3"/>
  <c r="U20" i="3"/>
  <c r="T20" i="3" s="1"/>
  <c r="V20" i="3"/>
  <c r="W20" i="3"/>
  <c r="X20" i="3"/>
  <c r="AC20" i="3"/>
  <c r="M26" i="3"/>
  <c r="U26" i="3"/>
  <c r="T26" i="3" s="1"/>
  <c r="V26" i="3"/>
  <c r="W26" i="3"/>
  <c r="X26" i="3"/>
  <c r="AC26" i="3"/>
  <c r="M18" i="3"/>
  <c r="R18" i="3"/>
  <c r="U18" i="3"/>
  <c r="T18" i="3" s="1"/>
  <c r="V18" i="3"/>
  <c r="W18" i="3"/>
  <c r="X18" i="3"/>
  <c r="AC18" i="3"/>
  <c r="M7" i="3"/>
  <c r="U7" i="3"/>
  <c r="T7" i="3" s="1"/>
  <c r="V7" i="3"/>
  <c r="W7" i="3"/>
  <c r="Y7" i="3" s="1"/>
  <c r="X7" i="3"/>
  <c r="AC7" i="3"/>
  <c r="M15" i="3"/>
  <c r="U15" i="3"/>
  <c r="T15" i="3" s="1"/>
  <c r="V15" i="3"/>
  <c r="W15" i="3"/>
  <c r="X15" i="3"/>
  <c r="AC15" i="3"/>
  <c r="M17" i="3"/>
  <c r="U17" i="3"/>
  <c r="T17" i="3" s="1"/>
  <c r="V17" i="3"/>
  <c r="W17" i="3"/>
  <c r="X17" i="3"/>
  <c r="AC17" i="3"/>
  <c r="M23" i="3"/>
  <c r="U23" i="3"/>
  <c r="T23" i="3" s="1"/>
  <c r="V23" i="3"/>
  <c r="W23" i="3"/>
  <c r="X23" i="3"/>
  <c r="AC23" i="3"/>
  <c r="M24" i="3"/>
  <c r="U24" i="3"/>
  <c r="T24" i="3" s="1"/>
  <c r="V24" i="3"/>
  <c r="W24" i="3"/>
  <c r="Y24" i="3" s="1"/>
  <c r="X24" i="3"/>
  <c r="AC24" i="3"/>
  <c r="M14" i="3"/>
  <c r="U14" i="3"/>
  <c r="T14" i="3" s="1"/>
  <c r="V14" i="3"/>
  <c r="W14" i="3"/>
  <c r="X14" i="3"/>
  <c r="AC14" i="3"/>
  <c r="M9" i="3"/>
  <c r="U9" i="3"/>
  <c r="T9" i="3" s="1"/>
  <c r="V9" i="3"/>
  <c r="W9" i="3"/>
  <c r="X9" i="3"/>
  <c r="AC9" i="3"/>
  <c r="M21" i="3"/>
  <c r="U21" i="3"/>
  <c r="T21" i="3" s="1"/>
  <c r="V21" i="3"/>
  <c r="W21" i="3"/>
  <c r="X21" i="3"/>
  <c r="AC21" i="3"/>
  <c r="M8" i="3"/>
  <c r="R8" i="3"/>
  <c r="U8" i="3"/>
  <c r="T8" i="3" s="1"/>
  <c r="V8" i="3"/>
  <c r="W8" i="3"/>
  <c r="Y8" i="3" s="1"/>
  <c r="X8" i="3"/>
  <c r="AC8" i="3"/>
  <c r="M11" i="3"/>
  <c r="U11" i="3"/>
  <c r="T11" i="3" s="1"/>
  <c r="V11" i="3"/>
  <c r="W11" i="3"/>
  <c r="X11" i="3"/>
  <c r="AC11" i="3"/>
  <c r="M13" i="3"/>
  <c r="U13" i="3"/>
  <c r="T13" i="3" s="1"/>
  <c r="V13" i="3"/>
  <c r="W13" i="3"/>
  <c r="X13" i="3"/>
  <c r="AC13" i="3"/>
  <c r="AA135" i="1" l="1"/>
  <c r="AA132" i="1"/>
  <c r="AA193" i="1"/>
  <c r="AA192" i="1"/>
  <c r="W192" i="1" s="1"/>
  <c r="AA189" i="1"/>
  <c r="W189" i="1" s="1"/>
  <c r="AG157" i="1"/>
  <c r="X157" i="1"/>
  <c r="T156" i="1"/>
  <c r="X156" i="1"/>
  <c r="AA209" i="1"/>
  <c r="AA83" i="1"/>
  <c r="AA75" i="1"/>
  <c r="W75" i="1" s="1"/>
  <c r="X154" i="1"/>
  <c r="AC10" i="3"/>
  <c r="Y19" i="3"/>
  <c r="Y25" i="3"/>
  <c r="Y10" i="3"/>
  <c r="AI154" i="1"/>
  <c r="U154" i="1"/>
  <c r="S154" i="1" s="1"/>
  <c r="W154" i="1"/>
  <c r="AG149" i="1"/>
  <c r="X149" i="1"/>
  <c r="AG148" i="1"/>
  <c r="X148" i="1"/>
  <c r="T147" i="1"/>
  <c r="X147" i="1"/>
  <c r="W132" i="1"/>
  <c r="AG144" i="1"/>
  <c r="X145" i="1"/>
  <c r="AI145" i="1"/>
  <c r="U145" i="1"/>
  <c r="S145" i="1" s="1"/>
  <c r="W145" i="1"/>
  <c r="AG28" i="1"/>
  <c r="X28" i="1"/>
  <c r="AG26" i="1"/>
  <c r="AI26" i="1" s="1"/>
  <c r="X27" i="1"/>
  <c r="AI84" i="1"/>
  <c r="W83" i="1"/>
  <c r="AI16" i="1"/>
  <c r="AI27" i="1"/>
  <c r="U27" i="1"/>
  <c r="S27" i="1" s="1"/>
  <c r="W27" i="1"/>
  <c r="AA149" i="1"/>
  <c r="W149" i="1" s="1"/>
  <c r="AG18" i="1"/>
  <c r="X18" i="1"/>
  <c r="X15" i="1"/>
  <c r="U16" i="1"/>
  <c r="S16" i="1" s="1"/>
  <c r="W18" i="1"/>
  <c r="AI15" i="1"/>
  <c r="U15" i="1"/>
  <c r="S15" i="1" s="1"/>
  <c r="W15" i="1"/>
  <c r="T160" i="1"/>
  <c r="X160" i="1"/>
  <c r="X159" i="1"/>
  <c r="P128" i="1"/>
  <c r="AI185" i="1"/>
  <c r="AA152" i="1"/>
  <c r="W152" i="1" s="1"/>
  <c r="AI135" i="1"/>
  <c r="T44" i="1"/>
  <c r="X44" i="1"/>
  <c r="T42" i="1"/>
  <c r="X42" i="1"/>
  <c r="X43" i="1"/>
  <c r="AA114" i="1"/>
  <c r="AA198" i="1"/>
  <c r="W198" i="1" s="1"/>
  <c r="AA195" i="1"/>
  <c r="AA194" i="1"/>
  <c r="W194" i="1" s="1"/>
  <c r="AA128" i="1"/>
  <c r="AA127" i="1"/>
  <c r="AA124" i="1"/>
  <c r="AA63" i="1"/>
  <c r="AA62" i="1"/>
  <c r="AA59" i="1"/>
  <c r="AA58" i="1"/>
  <c r="W58" i="1" s="1"/>
  <c r="AA55" i="1"/>
  <c r="AA54" i="1"/>
  <c r="X37" i="1"/>
  <c r="AI31" i="1"/>
  <c r="AA30" i="1"/>
  <c r="R23" i="3"/>
  <c r="AI212" i="1"/>
  <c r="AA143" i="1"/>
  <c r="W143" i="1" s="1"/>
  <c r="AA140" i="1"/>
  <c r="AA136" i="1"/>
  <c r="W136" i="1" s="1"/>
  <c r="X117" i="1"/>
  <c r="T190" i="1"/>
  <c r="AA185" i="1"/>
  <c r="AA181" i="1"/>
  <c r="W181" i="1" s="1"/>
  <c r="AA178" i="1"/>
  <c r="W178" i="1" s="1"/>
  <c r="AA175" i="1"/>
  <c r="AA173" i="1"/>
  <c r="W173" i="1" s="1"/>
  <c r="AA163" i="1"/>
  <c r="AA160" i="1"/>
  <c r="AI91" i="1"/>
  <c r="AA86" i="1"/>
  <c r="AA85" i="1"/>
  <c r="AA26" i="1"/>
  <c r="AA199" i="1"/>
  <c r="AI139" i="1"/>
  <c r="AA139" i="1"/>
  <c r="W139" i="1" s="1"/>
  <c r="AA138" i="1"/>
  <c r="AI101" i="1"/>
  <c r="AI173" i="1"/>
  <c r="AA97" i="1"/>
  <c r="X86" i="1"/>
  <c r="AI43" i="1"/>
  <c r="U43" i="1"/>
  <c r="S43" i="1" s="1"/>
  <c r="AG168" i="1"/>
  <c r="AI168" i="1" s="1"/>
  <c r="X168" i="1"/>
  <c r="AA165" i="1"/>
  <c r="AA214" i="1"/>
  <c r="W214" i="1" s="1"/>
  <c r="AI204" i="1"/>
  <c r="T197" i="1"/>
  <c r="X194" i="1"/>
  <c r="AA157" i="1"/>
  <c r="W157" i="1" s="1"/>
  <c r="AA148" i="1"/>
  <c r="AA111" i="1"/>
  <c r="AA108" i="1"/>
  <c r="AA107" i="1"/>
  <c r="W107" i="1" s="1"/>
  <c r="AA103" i="1"/>
  <c r="W103" i="1" s="1"/>
  <c r="AA208" i="1"/>
  <c r="W208" i="1" s="1"/>
  <c r="X173" i="1"/>
  <c r="AI169" i="1"/>
  <c r="AA168" i="1"/>
  <c r="W168" i="1" s="1"/>
  <c r="AA67" i="1"/>
  <c r="W67" i="1" s="1"/>
  <c r="T57" i="1"/>
  <c r="U57" i="1" s="1"/>
  <c r="S57" i="1" s="1"/>
  <c r="X54" i="1"/>
  <c r="AA51" i="1"/>
  <c r="AI50" i="1"/>
  <c r="AG45" i="1"/>
  <c r="AI45" i="1" s="1"/>
  <c r="W43" i="1"/>
  <c r="AG201" i="1"/>
  <c r="T201" i="1"/>
  <c r="W97" i="1"/>
  <c r="T61" i="1"/>
  <c r="AG61" i="1"/>
  <c r="AI143" i="1"/>
  <c r="S23" i="3"/>
  <c r="S24" i="3"/>
  <c r="AG46" i="1"/>
  <c r="AI46" i="1" s="1"/>
  <c r="AA211" i="1"/>
  <c r="AG151" i="1"/>
  <c r="AI151" i="1" s="1"/>
  <c r="AA126" i="1"/>
  <c r="AG114" i="1"/>
  <c r="W114" i="1" s="1"/>
  <c r="T114" i="1"/>
  <c r="AI112" i="1"/>
  <c r="T74" i="1"/>
  <c r="AG74" i="1"/>
  <c r="T38" i="1"/>
  <c r="AG38" i="1"/>
  <c r="AI38" i="1" s="1"/>
  <c r="AA121" i="1"/>
  <c r="AA120" i="1"/>
  <c r="T161" i="1"/>
  <c r="AG161" i="1"/>
  <c r="AG35" i="1"/>
  <c r="AI35" i="1" s="1"/>
  <c r="T35" i="1"/>
  <c r="AA183" i="1"/>
  <c r="AA180" i="1"/>
  <c r="AA84" i="1"/>
  <c r="W84" i="1" s="1"/>
  <c r="AA213" i="1"/>
  <c r="U197" i="1"/>
  <c r="AI192" i="1"/>
  <c r="AA156" i="1"/>
  <c r="AI134" i="1"/>
  <c r="AA134" i="1"/>
  <c r="AA118" i="1"/>
  <c r="AI208" i="1"/>
  <c r="AA191" i="1"/>
  <c r="W191" i="1" s="1"/>
  <c r="AA177" i="1"/>
  <c r="W177" i="1" s="1"/>
  <c r="AG172" i="1"/>
  <c r="U172" i="1" s="1"/>
  <c r="S172" i="1" s="1"/>
  <c r="AA169" i="1"/>
  <c r="W169" i="1" s="1"/>
  <c r="AG164" i="1"/>
  <c r="U164" i="1" s="1"/>
  <c r="S164" i="1" s="1"/>
  <c r="X164" i="1"/>
  <c r="AG85" i="1"/>
  <c r="W85" i="1" s="1"/>
  <c r="X85" i="1"/>
  <c r="AI76" i="1"/>
  <c r="AI67" i="1"/>
  <c r="AG20" i="1"/>
  <c r="AI20" i="1" s="1"/>
  <c r="AA212" i="1"/>
  <c r="W212" i="1" s="1"/>
  <c r="AA203" i="1"/>
  <c r="AA202" i="1"/>
  <c r="W202" i="1" s="1"/>
  <c r="AI152" i="1"/>
  <c r="AA144" i="1"/>
  <c r="AG142" i="1"/>
  <c r="AI142" i="1" s="1"/>
  <c r="AI131" i="1"/>
  <c r="AG125" i="1"/>
  <c r="U125" i="1" s="1"/>
  <c r="S125" i="1" s="1"/>
  <c r="X125" i="1"/>
  <c r="X208" i="1"/>
  <c r="AA101" i="1"/>
  <c r="W101" i="1" s="1"/>
  <c r="T96" i="1"/>
  <c r="U96" i="1" s="1"/>
  <c r="S96" i="1" s="1"/>
  <c r="AA166" i="1"/>
  <c r="X162" i="1"/>
  <c r="AG160" i="1"/>
  <c r="AI160" i="1" s="1"/>
  <c r="AA91" i="1"/>
  <c r="W91" i="1" s="1"/>
  <c r="AG78" i="1"/>
  <c r="AI78" i="1" s="1"/>
  <c r="X75" i="1"/>
  <c r="AI71" i="1"/>
  <c r="AA66" i="1"/>
  <c r="AA61" i="1"/>
  <c r="AI47" i="1"/>
  <c r="AG37" i="1"/>
  <c r="AI37" i="1" s="1"/>
  <c r="AA35" i="1"/>
  <c r="AI23" i="1"/>
  <c r="AA22" i="1"/>
  <c r="X152" i="1"/>
  <c r="T134" i="1"/>
  <c r="U134" i="1" s="1"/>
  <c r="S134" i="1" s="1"/>
  <c r="T110" i="1"/>
  <c r="AI102" i="1"/>
  <c r="T100" i="1"/>
  <c r="U100" i="1" s="1"/>
  <c r="S100" i="1" s="1"/>
  <c r="X67" i="1"/>
  <c r="X62" i="1"/>
  <c r="X35" i="1"/>
  <c r="AA215" i="1"/>
  <c r="AG211" i="1"/>
  <c r="U211" i="1" s="1"/>
  <c r="S211" i="1" s="1"/>
  <c r="AA206" i="1"/>
  <c r="W206" i="1" s="1"/>
  <c r="AA159" i="1"/>
  <c r="AA158" i="1"/>
  <c r="AA153" i="1"/>
  <c r="AA151" i="1"/>
  <c r="AA146" i="1"/>
  <c r="X139" i="1"/>
  <c r="AA137" i="1"/>
  <c r="X135" i="1"/>
  <c r="AA131" i="1"/>
  <c r="W131" i="1" s="1"/>
  <c r="AI128" i="1"/>
  <c r="AA123" i="1"/>
  <c r="W123" i="1" s="1"/>
  <c r="X118" i="1"/>
  <c r="AG106" i="1"/>
  <c r="AI106" i="1" s="1"/>
  <c r="X106" i="1"/>
  <c r="AA105" i="1"/>
  <c r="AA104" i="1"/>
  <c r="AA207" i="1"/>
  <c r="AA186" i="1"/>
  <c r="AA176" i="1"/>
  <c r="AA93" i="1"/>
  <c r="W93" i="1" s="1"/>
  <c r="AA92" i="1"/>
  <c r="X91" i="1"/>
  <c r="AA90" i="1"/>
  <c r="AA87" i="1"/>
  <c r="AA76" i="1"/>
  <c r="W76" i="1" s="1"/>
  <c r="AG69" i="1"/>
  <c r="U69" i="1" s="1"/>
  <c r="S69" i="1" s="1"/>
  <c r="AA68" i="1"/>
  <c r="AI54" i="1"/>
  <c r="X49" i="1"/>
  <c r="AA49" i="1"/>
  <c r="AA48" i="1"/>
  <c r="AG42" i="1"/>
  <c r="AI42" i="1" s="1"/>
  <c r="AI40" i="1"/>
  <c r="AA39" i="1"/>
  <c r="T34" i="1"/>
  <c r="AA31" i="1"/>
  <c r="W31" i="1" s="1"/>
  <c r="AG30" i="1"/>
  <c r="AI30" i="1" s="1"/>
  <c r="AA28" i="1"/>
  <c r="W28" i="1" s="1"/>
  <c r="AA19" i="1"/>
  <c r="X212" i="1"/>
  <c r="AA210" i="1"/>
  <c r="AA205" i="1"/>
  <c r="X201" i="1"/>
  <c r="AI157" i="1"/>
  <c r="AG138" i="1"/>
  <c r="AI138" i="1" s="1"/>
  <c r="AA122" i="1"/>
  <c r="AA119" i="1"/>
  <c r="W119" i="1" s="1"/>
  <c r="AI116" i="1"/>
  <c r="AA115" i="1"/>
  <c r="W115" i="1" s="1"/>
  <c r="AA112" i="1"/>
  <c r="W112" i="1" s="1"/>
  <c r="X97" i="1"/>
  <c r="X191" i="1"/>
  <c r="AA188" i="1"/>
  <c r="T187" i="1"/>
  <c r="AA184" i="1"/>
  <c r="W184" i="1" s="1"/>
  <c r="AA182" i="1"/>
  <c r="T94" i="1"/>
  <c r="U94" i="1" s="1"/>
  <c r="S94" i="1" s="1"/>
  <c r="AA170" i="1"/>
  <c r="AA167" i="1"/>
  <c r="W167" i="1" s="1"/>
  <c r="AA161" i="1"/>
  <c r="AG90" i="1"/>
  <c r="AI90" i="1" s="1"/>
  <c r="AG86" i="1"/>
  <c r="AI86" i="1" s="1"/>
  <c r="AI83" i="1"/>
  <c r="AA82" i="1"/>
  <c r="W82" i="1" s="1"/>
  <c r="AI75" i="1"/>
  <c r="AA70" i="1"/>
  <c r="AA69" i="1"/>
  <c r="AG66" i="1"/>
  <c r="AI66" i="1" s="1"/>
  <c r="AG62" i="1"/>
  <c r="AI62" i="1" s="1"/>
  <c r="AG48" i="1"/>
  <c r="U48" i="1" s="1"/>
  <c r="S48" i="1" s="1"/>
  <c r="AA45" i="1"/>
  <c r="AA36" i="1"/>
  <c r="AG34" i="1"/>
  <c r="AI34" i="1" s="1"/>
  <c r="AA25" i="1"/>
  <c r="W25" i="1" s="1"/>
  <c r="AA23" i="1"/>
  <c r="W23" i="1" s="1"/>
  <c r="AG21" i="1"/>
  <c r="U21" i="1" s="1"/>
  <c r="S21" i="1" s="1"/>
  <c r="T18" i="1"/>
  <c r="U18" i="1" s="1"/>
  <c r="S18" i="1" s="1"/>
  <c r="AI100" i="1"/>
  <c r="T202" i="1"/>
  <c r="U202" i="1" s="1"/>
  <c r="S202" i="1" s="1"/>
  <c r="T159" i="1"/>
  <c r="AA147" i="1"/>
  <c r="T143" i="1"/>
  <c r="U143" i="1" s="1"/>
  <c r="S143" i="1" s="1"/>
  <c r="AA130" i="1"/>
  <c r="AG126" i="1"/>
  <c r="U126" i="1" s="1"/>
  <c r="S126" i="1" s="1"/>
  <c r="X126" i="1"/>
  <c r="X123" i="1"/>
  <c r="AG122" i="1"/>
  <c r="U122" i="1" s="1"/>
  <c r="S122" i="1" s="1"/>
  <c r="X122" i="1"/>
  <c r="T118" i="1"/>
  <c r="AA110" i="1"/>
  <c r="AG109" i="1"/>
  <c r="X109" i="1"/>
  <c r="AA106" i="1"/>
  <c r="W106" i="1" s="1"/>
  <c r="X207" i="1"/>
  <c r="AA100" i="1"/>
  <c r="W100" i="1" s="1"/>
  <c r="AG183" i="1"/>
  <c r="U183" i="1" s="1"/>
  <c r="S183" i="1" s="1"/>
  <c r="AA174" i="1"/>
  <c r="W174" i="1" s="1"/>
  <c r="W54" i="1"/>
  <c r="W40" i="1"/>
  <c r="AI25" i="1"/>
  <c r="W215" i="1"/>
  <c r="T212" i="1"/>
  <c r="U212" i="1" s="1"/>
  <c r="S212" i="1" s="1"/>
  <c r="T198" i="1"/>
  <c r="T215" i="1"/>
  <c r="U215" i="1" s="1"/>
  <c r="S215" i="1" s="1"/>
  <c r="X206" i="1"/>
  <c r="AG205" i="1"/>
  <c r="U205" i="1" s="1"/>
  <c r="S205" i="1" s="1"/>
  <c r="AA201" i="1"/>
  <c r="AG200" i="1"/>
  <c r="AI200" i="1" s="1"/>
  <c r="AA197" i="1"/>
  <c r="W197" i="1" s="1"/>
  <c r="AG159" i="1"/>
  <c r="AG156" i="1"/>
  <c r="AA155" i="1"/>
  <c r="T152" i="1"/>
  <c r="U152" i="1" s="1"/>
  <c r="S152" i="1" s="1"/>
  <c r="AG147" i="1"/>
  <c r="AI147" i="1" s="1"/>
  <c r="AA142" i="1"/>
  <c r="AA141" i="1"/>
  <c r="T139" i="1"/>
  <c r="U139" i="1" s="1"/>
  <c r="S139" i="1" s="1"/>
  <c r="T135" i="1"/>
  <c r="U135" i="1" s="1"/>
  <c r="S135" i="1" s="1"/>
  <c r="X131" i="1"/>
  <c r="AG130" i="1"/>
  <c r="AI130" i="1" s="1"/>
  <c r="AA125" i="1"/>
  <c r="X119" i="1"/>
  <c r="AG118" i="1"/>
  <c r="AI118" i="1" s="1"/>
  <c r="AA116" i="1"/>
  <c r="W116" i="1" s="1"/>
  <c r="AG110" i="1"/>
  <c r="X107" i="1"/>
  <c r="T208" i="1"/>
  <c r="U208" i="1" s="1"/>
  <c r="S208" i="1" s="1"/>
  <c r="AA99" i="1"/>
  <c r="T97" i="1"/>
  <c r="U97" i="1" s="1"/>
  <c r="S97" i="1" s="1"/>
  <c r="T191" i="1"/>
  <c r="X184" i="1"/>
  <c r="AA94" i="1"/>
  <c r="W94" i="1" s="1"/>
  <c r="AG176" i="1"/>
  <c r="T176" i="1"/>
  <c r="W211" i="1"/>
  <c r="X202" i="1"/>
  <c r="X198" i="1"/>
  <c r="AA196" i="1"/>
  <c r="T194" i="1"/>
  <c r="U194" i="1" s="1"/>
  <c r="S194" i="1" s="1"/>
  <c r="AA150" i="1"/>
  <c r="X143" i="1"/>
  <c r="AA133" i="1"/>
  <c r="T123" i="1"/>
  <c r="U123" i="1" s="1"/>
  <c r="S123" i="1" s="1"/>
  <c r="AA117" i="1"/>
  <c r="AA109" i="1"/>
  <c r="W109" i="1" s="1"/>
  <c r="X103" i="1"/>
  <c r="AA102" i="1"/>
  <c r="W102" i="1" s="1"/>
  <c r="AA98" i="1"/>
  <c r="AA96" i="1"/>
  <c r="W96" i="1" s="1"/>
  <c r="AA187" i="1"/>
  <c r="W187" i="1" s="1"/>
  <c r="AG180" i="1"/>
  <c r="X180" i="1"/>
  <c r="AG165" i="1"/>
  <c r="AI165" i="1" s="1"/>
  <c r="T165" i="1"/>
  <c r="T206" i="1"/>
  <c r="U206" i="1" s="1"/>
  <c r="S206" i="1" s="1"/>
  <c r="AA200" i="1"/>
  <c r="T157" i="1"/>
  <c r="U157" i="1" s="1"/>
  <c r="S157" i="1" s="1"/>
  <c r="T148" i="1"/>
  <c r="U148" i="1" s="1"/>
  <c r="S148" i="1" s="1"/>
  <c r="T131" i="1"/>
  <c r="U131" i="1" s="1"/>
  <c r="S131" i="1" s="1"/>
  <c r="T107" i="1"/>
  <c r="AG188" i="1"/>
  <c r="X188" i="1"/>
  <c r="AI82" i="1"/>
  <c r="AI58" i="1"/>
  <c r="T173" i="1"/>
  <c r="U173" i="1" s="1"/>
  <c r="S173" i="1" s="1"/>
  <c r="T83" i="1"/>
  <c r="U83" i="1" s="1"/>
  <c r="S83" i="1" s="1"/>
  <c r="T82" i="1"/>
  <c r="U82" i="1" s="1"/>
  <c r="S82" i="1" s="1"/>
  <c r="AA79" i="1"/>
  <c r="X78" i="1"/>
  <c r="T75" i="1"/>
  <c r="U75" i="1" s="1"/>
  <c r="S75" i="1" s="1"/>
  <c r="X69" i="1"/>
  <c r="T65" i="1"/>
  <c r="U65" i="1" s="1"/>
  <c r="S65" i="1" s="1"/>
  <c r="X61" i="1"/>
  <c r="X58" i="1"/>
  <c r="T54" i="1"/>
  <c r="T53" i="1"/>
  <c r="T177" i="1"/>
  <c r="AA172" i="1"/>
  <c r="AA171" i="1"/>
  <c r="X165" i="1"/>
  <c r="T90" i="1"/>
  <c r="AA88" i="1"/>
  <c r="W88" i="1" s="1"/>
  <c r="AA77" i="1"/>
  <c r="AA74" i="1"/>
  <c r="W74" i="1" s="1"/>
  <c r="AA72" i="1"/>
  <c r="X71" i="1"/>
  <c r="AG70" i="1"/>
  <c r="AI70" i="1" s="1"/>
  <c r="X70" i="1"/>
  <c r="T66" i="1"/>
  <c r="AA60" i="1"/>
  <c r="W60" i="1" s="1"/>
  <c r="AG53" i="1"/>
  <c r="AI53" i="1" s="1"/>
  <c r="AG52" i="1"/>
  <c r="U52" i="1" s="1"/>
  <c r="S52" i="1" s="1"/>
  <c r="AA50" i="1"/>
  <c r="W50" i="1" s="1"/>
  <c r="T50" i="1"/>
  <c r="U50" i="1" s="1"/>
  <c r="S50" i="1" s="1"/>
  <c r="T49" i="1"/>
  <c r="T45" i="1"/>
  <c r="X38" i="1"/>
  <c r="AA34" i="1"/>
  <c r="AG33" i="1"/>
  <c r="U33" i="1" s="1"/>
  <c r="S33" i="1" s="1"/>
  <c r="T31" i="1"/>
  <c r="U31" i="1" s="1"/>
  <c r="S31" i="1" s="1"/>
  <c r="X30" i="1"/>
  <c r="AA29" i="1"/>
  <c r="T25" i="1"/>
  <c r="U25" i="1" s="1"/>
  <c r="S25" i="1" s="1"/>
  <c r="AA21" i="1"/>
  <c r="AA14" i="1"/>
  <c r="W68" i="1"/>
  <c r="T58" i="1"/>
  <c r="U58" i="1" s="1"/>
  <c r="S58" i="1" s="1"/>
  <c r="AA17" i="1"/>
  <c r="T17" i="1"/>
  <c r="AA190" i="1"/>
  <c r="W190" i="1" s="1"/>
  <c r="AA95" i="1"/>
  <c r="T184" i="1"/>
  <c r="U184" i="1" s="1"/>
  <c r="S184" i="1" s="1"/>
  <c r="AA179" i="1"/>
  <c r="X177" i="1"/>
  <c r="AA162" i="1"/>
  <c r="W162" i="1" s="1"/>
  <c r="T162" i="1"/>
  <c r="U162" i="1" s="1"/>
  <c r="S162" i="1" s="1"/>
  <c r="T91" i="1"/>
  <c r="U91" i="1" s="1"/>
  <c r="S91" i="1" s="1"/>
  <c r="AA80" i="1"/>
  <c r="W80" i="1" s="1"/>
  <c r="AA78" i="1"/>
  <c r="AG77" i="1"/>
  <c r="U77" i="1" s="1"/>
  <c r="S77" i="1" s="1"/>
  <c r="X77" i="1"/>
  <c r="AA71" i="1"/>
  <c r="W71" i="1" s="1"/>
  <c r="T67" i="1"/>
  <c r="U67" i="1" s="1"/>
  <c r="S67" i="1" s="1"/>
  <c r="AA53" i="1"/>
  <c r="X50" i="1"/>
  <c r="AG49" i="1"/>
  <c r="AI49" i="1" s="1"/>
  <c r="T46" i="1"/>
  <c r="AA38" i="1"/>
  <c r="AA33" i="1"/>
  <c r="AA32" i="1"/>
  <c r="X31" i="1"/>
  <c r="X21" i="1"/>
  <c r="AI18" i="1"/>
  <c r="AG17" i="1"/>
  <c r="AI17" i="1" s="1"/>
  <c r="AG14" i="1"/>
  <c r="AI14" i="1" s="1"/>
  <c r="AI214" i="1"/>
  <c r="AI210" i="1"/>
  <c r="AI206" i="1"/>
  <c r="W210" i="1"/>
  <c r="AG209" i="1"/>
  <c r="T209" i="1"/>
  <c r="X209" i="1"/>
  <c r="AI202" i="1"/>
  <c r="AI181" i="1"/>
  <c r="AG127" i="1"/>
  <c r="AI127" i="1" s="1"/>
  <c r="X127" i="1"/>
  <c r="T127" i="1"/>
  <c r="T213" i="1"/>
  <c r="X213" i="1"/>
  <c r="AG213" i="1"/>
  <c r="X205" i="1"/>
  <c r="X211" i="1"/>
  <c r="T199" i="1"/>
  <c r="X199" i="1"/>
  <c r="AG199" i="1"/>
  <c r="T196" i="1"/>
  <c r="X196" i="1"/>
  <c r="T146" i="1"/>
  <c r="AG146" i="1"/>
  <c r="AI215" i="1"/>
  <c r="X215" i="1"/>
  <c r="AA204" i="1"/>
  <c r="W204" i="1" s="1"/>
  <c r="T203" i="1"/>
  <c r="X203" i="1"/>
  <c r="AG203" i="1"/>
  <c r="AI203" i="1" s="1"/>
  <c r="W201" i="1"/>
  <c r="T200" i="1"/>
  <c r="X200" i="1"/>
  <c r="U198" i="1"/>
  <c r="S198" i="1" s="1"/>
  <c r="S197" i="1"/>
  <c r="AI199" i="1"/>
  <c r="X197" i="1"/>
  <c r="AG196" i="1"/>
  <c r="AI191" i="1"/>
  <c r="AI184" i="1"/>
  <c r="U142" i="1"/>
  <c r="S142" i="1" s="1"/>
  <c r="AG141" i="1"/>
  <c r="X142" i="1"/>
  <c r="T141" i="1"/>
  <c r="X141" i="1"/>
  <c r="W134" i="1"/>
  <c r="AI149" i="1"/>
  <c r="AG111" i="1"/>
  <c r="AI111" i="1" s="1"/>
  <c r="X111" i="1"/>
  <c r="T111" i="1"/>
  <c r="T204" i="1"/>
  <c r="U204" i="1" s="1"/>
  <c r="S204" i="1" s="1"/>
  <c r="X204" i="1"/>
  <c r="T137" i="1"/>
  <c r="X137" i="1"/>
  <c r="AG137" i="1"/>
  <c r="X138" i="1"/>
  <c r="T210" i="1"/>
  <c r="U210" i="1" s="1"/>
  <c r="S210" i="1" s="1"/>
  <c r="X210" i="1"/>
  <c r="AG195" i="1"/>
  <c r="AI195" i="1" s="1"/>
  <c r="T195" i="1"/>
  <c r="X195" i="1"/>
  <c r="T150" i="1"/>
  <c r="AG150" i="1"/>
  <c r="X151" i="1"/>
  <c r="AI176" i="1"/>
  <c r="W135" i="1"/>
  <c r="T133" i="1"/>
  <c r="X133" i="1"/>
  <c r="AG133" i="1"/>
  <c r="X134" i="1"/>
  <c r="AI167" i="1"/>
  <c r="X113" i="1"/>
  <c r="AG113" i="1"/>
  <c r="X114" i="1"/>
  <c r="U109" i="1"/>
  <c r="S109" i="1" s="1"/>
  <c r="U106" i="1"/>
  <c r="S106" i="1" s="1"/>
  <c r="T104" i="1"/>
  <c r="X104" i="1"/>
  <c r="AG104" i="1"/>
  <c r="AI136" i="1"/>
  <c r="U190" i="1"/>
  <c r="S190" i="1" s="1"/>
  <c r="AI119" i="1"/>
  <c r="AI103" i="1"/>
  <c r="AI80" i="1"/>
  <c r="T64" i="1"/>
  <c r="X64" i="1"/>
  <c r="AG64" i="1"/>
  <c r="X65" i="1"/>
  <c r="T158" i="1"/>
  <c r="X158" i="1"/>
  <c r="AG158" i="1"/>
  <c r="AG155" i="1"/>
  <c r="T155" i="1"/>
  <c r="AI187" i="1"/>
  <c r="AI180" i="1"/>
  <c r="AG98" i="1"/>
  <c r="AI98" i="1" s="1"/>
  <c r="T98" i="1"/>
  <c r="X98" i="1"/>
  <c r="T214" i="1"/>
  <c r="U214" i="1" s="1"/>
  <c r="S214" i="1" s="1"/>
  <c r="X214" i="1"/>
  <c r="AI194" i="1"/>
  <c r="X129" i="1"/>
  <c r="AG129" i="1"/>
  <c r="X130" i="1"/>
  <c r="W128" i="1"/>
  <c r="AI162" i="1"/>
  <c r="T120" i="1"/>
  <c r="X120" i="1"/>
  <c r="AG120" i="1"/>
  <c r="AI120" i="1" s="1"/>
  <c r="T193" i="1"/>
  <c r="X193" i="1"/>
  <c r="AG193" i="1"/>
  <c r="W193" i="1" s="1"/>
  <c r="X96" i="1"/>
  <c r="W185" i="1"/>
  <c r="T179" i="1"/>
  <c r="X179" i="1"/>
  <c r="AG179" i="1"/>
  <c r="W179" i="1" s="1"/>
  <c r="X94" i="1"/>
  <c r="AG153" i="1"/>
  <c r="AI153" i="1" s="1"/>
  <c r="AG140" i="1"/>
  <c r="X153" i="1"/>
  <c r="T149" i="1"/>
  <c r="U149" i="1" s="1"/>
  <c r="S149" i="1" s="1"/>
  <c r="X144" i="1"/>
  <c r="T144" i="1"/>
  <c r="X140" i="1"/>
  <c r="X136" i="1"/>
  <c r="T136" i="1"/>
  <c r="U136" i="1" s="1"/>
  <c r="S136" i="1" s="1"/>
  <c r="X132" i="1"/>
  <c r="T132" i="1"/>
  <c r="U132" i="1" s="1"/>
  <c r="S132" i="1" s="1"/>
  <c r="AA129" i="1"/>
  <c r="AG121" i="1"/>
  <c r="X121" i="1"/>
  <c r="T119" i="1"/>
  <c r="U119" i="1" s="1"/>
  <c r="S119" i="1" s="1"/>
  <c r="T116" i="1"/>
  <c r="U116" i="1" s="1"/>
  <c r="S116" i="1" s="1"/>
  <c r="X116" i="1"/>
  <c r="X115" i="1"/>
  <c r="AA113" i="1"/>
  <c r="U107" i="1"/>
  <c r="S107" i="1" s="1"/>
  <c r="AG105" i="1"/>
  <c r="X105" i="1"/>
  <c r="T103" i="1"/>
  <c r="U103" i="1" s="1"/>
  <c r="S103" i="1" s="1"/>
  <c r="T102" i="1"/>
  <c r="U102" i="1" s="1"/>
  <c r="S102" i="1" s="1"/>
  <c r="X102" i="1"/>
  <c r="X101" i="1"/>
  <c r="AI123" i="1"/>
  <c r="T182" i="1"/>
  <c r="X182" i="1"/>
  <c r="AG182" i="1"/>
  <c r="X183" i="1"/>
  <c r="AI107" i="1"/>
  <c r="T124" i="1"/>
  <c r="X124" i="1"/>
  <c r="T117" i="1"/>
  <c r="T108" i="1"/>
  <c r="X108" i="1"/>
  <c r="T207" i="1"/>
  <c r="T99" i="1"/>
  <c r="X99" i="1"/>
  <c r="T95" i="1"/>
  <c r="X95" i="1"/>
  <c r="AG95" i="1"/>
  <c r="AI95" i="1" s="1"/>
  <c r="X190" i="1"/>
  <c r="AI115" i="1"/>
  <c r="U180" i="1"/>
  <c r="S180" i="1" s="1"/>
  <c r="T175" i="1"/>
  <c r="X175" i="1"/>
  <c r="AG175" i="1"/>
  <c r="X176" i="1"/>
  <c r="T128" i="1"/>
  <c r="U128" i="1" s="1"/>
  <c r="X128" i="1"/>
  <c r="AG124" i="1"/>
  <c r="AI124" i="1" s="1"/>
  <c r="AG117" i="1"/>
  <c r="T115" i="1"/>
  <c r="U115" i="1" s="1"/>
  <c r="S115" i="1" s="1"/>
  <c r="T112" i="1"/>
  <c r="U112" i="1" s="1"/>
  <c r="S112" i="1" s="1"/>
  <c r="X112" i="1"/>
  <c r="AG108" i="1"/>
  <c r="AG207" i="1"/>
  <c r="W207" i="1" s="1"/>
  <c r="T101" i="1"/>
  <c r="U101" i="1" s="1"/>
  <c r="S101" i="1" s="1"/>
  <c r="X100" i="1"/>
  <c r="AG99" i="1"/>
  <c r="U191" i="1"/>
  <c r="S191" i="1" s="1"/>
  <c r="U187" i="1"/>
  <c r="S187" i="1" s="1"/>
  <c r="T186" i="1"/>
  <c r="X186" i="1"/>
  <c r="AG186" i="1"/>
  <c r="X187" i="1"/>
  <c r="U177" i="1"/>
  <c r="S177" i="1" s="1"/>
  <c r="T171" i="1"/>
  <c r="X171" i="1"/>
  <c r="AG171" i="1"/>
  <c r="AI171" i="1" s="1"/>
  <c r="X172" i="1"/>
  <c r="AI74" i="1"/>
  <c r="X192" i="1"/>
  <c r="T192" i="1"/>
  <c r="U192" i="1" s="1"/>
  <c r="S192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8" i="1"/>
  <c r="T178" i="1"/>
  <c r="U178" i="1" s="1"/>
  <c r="S178" i="1" s="1"/>
  <c r="X174" i="1"/>
  <c r="T174" i="1"/>
  <c r="U174" i="1" s="1"/>
  <c r="S174" i="1" s="1"/>
  <c r="T93" i="1"/>
  <c r="U93" i="1" s="1"/>
  <c r="S93" i="1" s="1"/>
  <c r="X93" i="1"/>
  <c r="X169" i="1"/>
  <c r="AI97" i="1"/>
  <c r="X89" i="1"/>
  <c r="AG89" i="1"/>
  <c r="AI88" i="1"/>
  <c r="AG87" i="1"/>
  <c r="T87" i="1"/>
  <c r="X81" i="1"/>
  <c r="AG81" i="1"/>
  <c r="X82" i="1"/>
  <c r="AG79" i="1"/>
  <c r="W79" i="1" s="1"/>
  <c r="X79" i="1"/>
  <c r="T79" i="1"/>
  <c r="AI56" i="1"/>
  <c r="T170" i="1"/>
  <c r="AI94" i="1"/>
  <c r="AI93" i="1"/>
  <c r="T92" i="1"/>
  <c r="X92" i="1"/>
  <c r="AI85" i="1"/>
  <c r="T81" i="1"/>
  <c r="T72" i="1"/>
  <c r="X72" i="1"/>
  <c r="AG72" i="1"/>
  <c r="AI68" i="1"/>
  <c r="AI60" i="1"/>
  <c r="U54" i="1"/>
  <c r="S54" i="1" s="1"/>
  <c r="AG170" i="1"/>
  <c r="T169" i="1"/>
  <c r="U169" i="1" s="1"/>
  <c r="S169" i="1" s="1"/>
  <c r="U168" i="1"/>
  <c r="S168" i="1" s="1"/>
  <c r="AG166" i="1"/>
  <c r="X166" i="1"/>
  <c r="T166" i="1"/>
  <c r="T163" i="1"/>
  <c r="X163" i="1"/>
  <c r="AG163" i="1"/>
  <c r="AI163" i="1" s="1"/>
  <c r="AG92" i="1"/>
  <c r="W92" i="1" s="1"/>
  <c r="AA89" i="1"/>
  <c r="T89" i="1"/>
  <c r="T88" i="1"/>
  <c r="U88" i="1" s="1"/>
  <c r="S88" i="1" s="1"/>
  <c r="X88" i="1"/>
  <c r="AI61" i="1"/>
  <c r="T51" i="1"/>
  <c r="X51" i="1"/>
  <c r="AG51" i="1"/>
  <c r="X52" i="1"/>
  <c r="T167" i="1"/>
  <c r="U167" i="1" s="1"/>
  <c r="S167" i="1" s="1"/>
  <c r="X167" i="1"/>
  <c r="AA164" i="1"/>
  <c r="W164" i="1" s="1"/>
  <c r="T84" i="1"/>
  <c r="U84" i="1" s="1"/>
  <c r="S84" i="1" s="1"/>
  <c r="X84" i="1"/>
  <c r="X83" i="1"/>
  <c r="AA81" i="1"/>
  <c r="AG73" i="1"/>
  <c r="X73" i="1"/>
  <c r="T71" i="1"/>
  <c r="U71" i="1" s="1"/>
  <c r="S71" i="1" s="1"/>
  <c r="T68" i="1"/>
  <c r="U68" i="1" s="1"/>
  <c r="S68" i="1" s="1"/>
  <c r="X68" i="1"/>
  <c r="AA65" i="1"/>
  <c r="W65" i="1" s="1"/>
  <c r="AA64" i="1"/>
  <c r="AG63" i="1"/>
  <c r="T63" i="1"/>
  <c r="X63" i="1"/>
  <c r="T60" i="1"/>
  <c r="U60" i="1" s="1"/>
  <c r="S60" i="1" s="1"/>
  <c r="X60" i="1"/>
  <c r="AI57" i="1"/>
  <c r="X57" i="1"/>
  <c r="T32" i="1"/>
  <c r="X32" i="1"/>
  <c r="AG32" i="1"/>
  <c r="X33" i="1"/>
  <c r="T76" i="1"/>
  <c r="U76" i="1" s="1"/>
  <c r="S76" i="1" s="1"/>
  <c r="X76" i="1"/>
  <c r="X74" i="1"/>
  <c r="AA73" i="1"/>
  <c r="AI65" i="1"/>
  <c r="AA57" i="1"/>
  <c r="W57" i="1" s="1"/>
  <c r="AA56" i="1"/>
  <c r="W56" i="1" s="1"/>
  <c r="AG55" i="1"/>
  <c r="W55" i="1" s="1"/>
  <c r="T55" i="1"/>
  <c r="X55" i="1"/>
  <c r="AA47" i="1"/>
  <c r="W47" i="1" s="1"/>
  <c r="AA44" i="1"/>
  <c r="X24" i="1"/>
  <c r="AG24" i="1"/>
  <c r="X25" i="1"/>
  <c r="AG22" i="1"/>
  <c r="W22" i="1" s="1"/>
  <c r="X22" i="1"/>
  <c r="T22" i="1"/>
  <c r="T80" i="1"/>
  <c r="U80" i="1" s="1"/>
  <c r="S80" i="1" s="1"/>
  <c r="X80" i="1"/>
  <c r="AG59" i="1"/>
  <c r="T59" i="1"/>
  <c r="X59" i="1"/>
  <c r="T56" i="1"/>
  <c r="U56" i="1" s="1"/>
  <c r="S56" i="1" s="1"/>
  <c r="X56" i="1"/>
  <c r="AI52" i="1"/>
  <c r="T47" i="1"/>
  <c r="U47" i="1" s="1"/>
  <c r="S47" i="1" s="1"/>
  <c r="X47" i="1"/>
  <c r="X48" i="1"/>
  <c r="AG44" i="1"/>
  <c r="X41" i="1"/>
  <c r="AG41" i="1"/>
  <c r="AG39" i="1"/>
  <c r="X39" i="1"/>
  <c r="T39" i="1"/>
  <c r="AI28" i="1"/>
  <c r="AI48" i="1"/>
  <c r="AA41" i="1"/>
  <c r="T37" i="1"/>
  <c r="T28" i="1"/>
  <c r="U28" i="1" s="1"/>
  <c r="S28" i="1" s="1"/>
  <c r="X26" i="1"/>
  <c r="AA24" i="1"/>
  <c r="T20" i="1"/>
  <c r="T36" i="1"/>
  <c r="X36" i="1"/>
  <c r="T29" i="1"/>
  <c r="T19" i="1"/>
  <c r="X19" i="1"/>
  <c r="AA52" i="1"/>
  <c r="T40" i="1"/>
  <c r="U40" i="1" s="1"/>
  <c r="S40" i="1" s="1"/>
  <c r="X40" i="1"/>
  <c r="AA37" i="1"/>
  <c r="AG36" i="1"/>
  <c r="AG29" i="1"/>
  <c r="T26" i="1"/>
  <c r="U26" i="1" s="1"/>
  <c r="S26" i="1" s="1"/>
  <c r="T23" i="1"/>
  <c r="U23" i="1" s="1"/>
  <c r="S23" i="1" s="1"/>
  <c r="X23" i="1"/>
  <c r="AA20" i="1"/>
  <c r="AG19" i="1"/>
  <c r="AD10" i="3"/>
  <c r="Y13" i="3"/>
  <c r="Y9" i="3"/>
  <c r="Y17" i="3"/>
  <c r="Y26" i="3"/>
  <c r="Y21" i="3"/>
  <c r="Y15" i="3"/>
  <c r="AD11" i="3"/>
  <c r="AD21" i="3"/>
  <c r="AD14" i="3"/>
  <c r="AD23" i="3"/>
  <c r="AD15" i="3"/>
  <c r="AD18" i="3"/>
  <c r="AD20" i="3"/>
  <c r="AD12" i="3"/>
  <c r="AD16" i="3"/>
  <c r="AC12" i="3"/>
  <c r="AD13" i="3"/>
  <c r="AD8" i="3"/>
  <c r="AD24" i="3"/>
  <c r="AD17" i="3"/>
  <c r="AD7" i="3"/>
  <c r="AD26" i="3"/>
  <c r="AD25" i="3"/>
  <c r="AD19" i="3"/>
  <c r="Y11" i="3"/>
  <c r="Y14" i="3"/>
  <c r="Y23" i="3"/>
  <c r="Y18" i="3"/>
  <c r="Y20" i="3"/>
  <c r="Y12" i="3"/>
  <c r="Y16" i="3"/>
  <c r="M22" i="3"/>
  <c r="U22" i="3"/>
  <c r="T22" i="3" s="1"/>
  <c r="V22" i="3"/>
  <c r="W22" i="3"/>
  <c r="X22" i="3"/>
  <c r="AC22" i="3"/>
  <c r="W21" i="1" l="1"/>
  <c r="U78" i="1"/>
  <c r="S78" i="1" s="1"/>
  <c r="W176" i="1"/>
  <c r="W182" i="1"/>
  <c r="U14" i="1"/>
  <c r="S14" i="1" s="1"/>
  <c r="U144" i="1"/>
  <c r="S144" i="1" s="1"/>
  <c r="W140" i="1"/>
  <c r="U66" i="1"/>
  <c r="S66" i="1" s="1"/>
  <c r="U176" i="1"/>
  <c r="S176" i="1" s="1"/>
  <c r="U114" i="1"/>
  <c r="S114" i="1" s="1"/>
  <c r="U201" i="1"/>
  <c r="S201" i="1" s="1"/>
  <c r="U86" i="1"/>
  <c r="S86" i="1" s="1"/>
  <c r="U85" i="1"/>
  <c r="S85" i="1" s="1"/>
  <c r="W26" i="1"/>
  <c r="U30" i="1"/>
  <c r="S30" i="1" s="1"/>
  <c r="U151" i="1"/>
  <c r="S151" i="1" s="1"/>
  <c r="W148" i="1"/>
  <c r="U130" i="1"/>
  <c r="S130" i="1" s="1"/>
  <c r="AI126" i="1"/>
  <c r="W69" i="1"/>
  <c r="W144" i="1"/>
  <c r="W111" i="1"/>
  <c r="W127" i="1"/>
  <c r="W48" i="1"/>
  <c r="W126" i="1"/>
  <c r="U110" i="1"/>
  <c r="S110" i="1" s="1"/>
  <c r="W125" i="1"/>
  <c r="U74" i="1"/>
  <c r="S74" i="1" s="1"/>
  <c r="U45" i="1"/>
  <c r="S45" i="1" s="1"/>
  <c r="U20" i="1"/>
  <c r="S20" i="1" s="1"/>
  <c r="AI21" i="1"/>
  <c r="W175" i="1"/>
  <c r="W34" i="1"/>
  <c r="W45" i="1"/>
  <c r="U161" i="1"/>
  <c r="S161" i="1" s="1"/>
  <c r="W20" i="1"/>
  <c r="W29" i="1"/>
  <c r="AI172" i="1"/>
  <c r="U147" i="1"/>
  <c r="S147" i="1" s="1"/>
  <c r="W172" i="1"/>
  <c r="W87" i="1"/>
  <c r="W151" i="1"/>
  <c r="AI33" i="1"/>
  <c r="W160" i="1"/>
  <c r="AI77" i="1"/>
  <c r="U70" i="1"/>
  <c r="S70" i="1" s="1"/>
  <c r="W133" i="1"/>
  <c r="W14" i="1"/>
  <c r="W150" i="1"/>
  <c r="U35" i="1"/>
  <c r="S35" i="1" s="1"/>
  <c r="W159" i="1"/>
  <c r="W77" i="1"/>
  <c r="W196" i="1"/>
  <c r="W38" i="1"/>
  <c r="U90" i="1"/>
  <c r="S90" i="1" s="1"/>
  <c r="W188" i="1"/>
  <c r="W138" i="1"/>
  <c r="AI69" i="1"/>
  <c r="AI114" i="1"/>
  <c r="W137" i="1"/>
  <c r="AI211" i="1"/>
  <c r="W32" i="1"/>
  <c r="W49" i="1"/>
  <c r="W78" i="1"/>
  <c r="U62" i="1"/>
  <c r="S62" i="1" s="1"/>
  <c r="W35" i="1"/>
  <c r="W161" i="1"/>
  <c r="W121" i="1"/>
  <c r="W61" i="1"/>
  <c r="U37" i="1"/>
  <c r="S37" i="1" s="1"/>
  <c r="W146" i="1"/>
  <c r="U61" i="1"/>
  <c r="S61" i="1" s="1"/>
  <c r="U46" i="1"/>
  <c r="S46" i="1" s="1"/>
  <c r="W37" i="1"/>
  <c r="W81" i="1"/>
  <c r="U49" i="1"/>
  <c r="S49" i="1" s="1"/>
  <c r="U160" i="1"/>
  <c r="S160" i="1" s="1"/>
  <c r="W129" i="1"/>
  <c r="AI188" i="1"/>
  <c r="U42" i="1"/>
  <c r="S42" i="1" s="1"/>
  <c r="W183" i="1"/>
  <c r="W200" i="1"/>
  <c r="U118" i="1"/>
  <c r="S118" i="1" s="1"/>
  <c r="W142" i="1"/>
  <c r="U159" i="1"/>
  <c r="S159" i="1" s="1"/>
  <c r="W205" i="1"/>
  <c r="W122" i="1"/>
  <c r="U34" i="1"/>
  <c r="S34" i="1" s="1"/>
  <c r="U38" i="1"/>
  <c r="S38" i="1" s="1"/>
  <c r="U188" i="1"/>
  <c r="S188" i="1" s="1"/>
  <c r="U200" i="1"/>
  <c r="S200" i="1" s="1"/>
  <c r="W180" i="1"/>
  <c r="W52" i="1"/>
  <c r="W64" i="1"/>
  <c r="AI122" i="1"/>
  <c r="AI110" i="1"/>
  <c r="AI146" i="1"/>
  <c r="AI183" i="1"/>
  <c r="W141" i="1"/>
  <c r="W17" i="1"/>
  <c r="W156" i="1"/>
  <c r="U138" i="1"/>
  <c r="S138" i="1" s="1"/>
  <c r="W46" i="1"/>
  <c r="AI196" i="1"/>
  <c r="AI159" i="1"/>
  <c r="W30" i="1"/>
  <c r="W66" i="1"/>
  <c r="W42" i="1"/>
  <c r="W41" i="1"/>
  <c r="U17" i="1"/>
  <c r="S17" i="1" s="1"/>
  <c r="W62" i="1"/>
  <c r="W33" i="1"/>
  <c r="U53" i="1"/>
  <c r="S53" i="1" s="1"/>
  <c r="W90" i="1"/>
  <c r="W86" i="1"/>
  <c r="W108" i="1"/>
  <c r="AI108" i="1"/>
  <c r="AI179" i="1"/>
  <c r="U165" i="1"/>
  <c r="S165" i="1" s="1"/>
  <c r="W147" i="1"/>
  <c r="W44" i="1"/>
  <c r="AI175" i="1"/>
  <c r="AI207" i="1"/>
  <c r="W53" i="1"/>
  <c r="W70" i="1"/>
  <c r="W130" i="1"/>
  <c r="W124" i="1"/>
  <c r="W165" i="1"/>
  <c r="W110" i="1"/>
  <c r="W120" i="1"/>
  <c r="W118" i="1"/>
  <c r="AI156" i="1"/>
  <c r="U156" i="1"/>
  <c r="S156" i="1" s="1"/>
  <c r="U19" i="1"/>
  <c r="S19" i="1" s="1"/>
  <c r="AI19" i="1"/>
  <c r="AI24" i="1"/>
  <c r="U24" i="1"/>
  <c r="S24" i="1" s="1"/>
  <c r="U63" i="1"/>
  <c r="S63" i="1" s="1"/>
  <c r="AI63" i="1"/>
  <c r="AI73" i="1"/>
  <c r="U73" i="1"/>
  <c r="S73" i="1" s="1"/>
  <c r="U36" i="1"/>
  <c r="S36" i="1" s="1"/>
  <c r="AI36" i="1"/>
  <c r="U39" i="1"/>
  <c r="S39" i="1" s="1"/>
  <c r="AI39" i="1"/>
  <c r="U59" i="1"/>
  <c r="S59" i="1" s="1"/>
  <c r="AI59" i="1"/>
  <c r="W39" i="1"/>
  <c r="W19" i="1"/>
  <c r="U163" i="1"/>
  <c r="S163" i="1" s="1"/>
  <c r="AI96" i="1"/>
  <c r="W163" i="1"/>
  <c r="AI72" i="1"/>
  <c r="U72" i="1"/>
  <c r="S72" i="1" s="1"/>
  <c r="U186" i="1"/>
  <c r="S186" i="1" s="1"/>
  <c r="AI121" i="1"/>
  <c r="AI155" i="1"/>
  <c r="U117" i="1"/>
  <c r="S117" i="1" s="1"/>
  <c r="W186" i="1"/>
  <c r="U95" i="1"/>
  <c r="S95" i="1" s="1"/>
  <c r="AI125" i="1"/>
  <c r="AI141" i="1"/>
  <c r="U105" i="1"/>
  <c r="S105" i="1" s="1"/>
  <c r="W113" i="1"/>
  <c r="U155" i="1"/>
  <c r="S155" i="1" s="1"/>
  <c r="AI190" i="1"/>
  <c r="AI64" i="1"/>
  <c r="U64" i="1"/>
  <c r="S64" i="1" s="1"/>
  <c r="W117" i="1"/>
  <c r="U137" i="1"/>
  <c r="S137" i="1" s="1"/>
  <c r="AI174" i="1"/>
  <c r="U111" i="1"/>
  <c r="S111" i="1" s="1"/>
  <c r="AI148" i="1"/>
  <c r="W155" i="1"/>
  <c r="U146" i="1"/>
  <c r="S146" i="1" s="1"/>
  <c r="AI182" i="1"/>
  <c r="U127" i="1"/>
  <c r="S127" i="1" s="1"/>
  <c r="AI164" i="1"/>
  <c r="AI81" i="1"/>
  <c r="U81" i="1"/>
  <c r="S81" i="1" s="1"/>
  <c r="U87" i="1"/>
  <c r="S87" i="1" s="1"/>
  <c r="AI87" i="1"/>
  <c r="AI133" i="1"/>
  <c r="U99" i="1"/>
  <c r="S99" i="1" s="1"/>
  <c r="U98" i="1"/>
  <c r="S98" i="1" s="1"/>
  <c r="AI132" i="1"/>
  <c r="AI140" i="1"/>
  <c r="U104" i="1"/>
  <c r="S104" i="1" s="1"/>
  <c r="AI150" i="1"/>
  <c r="U113" i="1"/>
  <c r="S113" i="1" s="1"/>
  <c r="U133" i="1"/>
  <c r="S133" i="1" s="1"/>
  <c r="AI170" i="1"/>
  <c r="U195" i="1"/>
  <c r="S195" i="1" s="1"/>
  <c r="AI197" i="1"/>
  <c r="W36" i="1"/>
  <c r="W98" i="1"/>
  <c r="U213" i="1"/>
  <c r="S213" i="1" s="1"/>
  <c r="AI213" i="1"/>
  <c r="U209" i="1"/>
  <c r="S209" i="1" s="1"/>
  <c r="AI209" i="1"/>
  <c r="AI29" i="1"/>
  <c r="U29" i="1"/>
  <c r="S29" i="1" s="1"/>
  <c r="AI41" i="1"/>
  <c r="U41" i="1"/>
  <c r="S41" i="1" s="1"/>
  <c r="AI44" i="1"/>
  <c r="U44" i="1"/>
  <c r="S44" i="1" s="1"/>
  <c r="W73" i="1"/>
  <c r="AI32" i="1"/>
  <c r="U32" i="1"/>
  <c r="S32" i="1" s="1"/>
  <c r="W89" i="1"/>
  <c r="U170" i="1"/>
  <c r="S170" i="1" s="1"/>
  <c r="AI104" i="1"/>
  <c r="U124" i="1"/>
  <c r="S124" i="1" s="1"/>
  <c r="AI161" i="1"/>
  <c r="W72" i="1"/>
  <c r="W105" i="1"/>
  <c r="W59" i="1"/>
  <c r="U182" i="1"/>
  <c r="S182" i="1" s="1"/>
  <c r="AI117" i="1"/>
  <c r="U121" i="1"/>
  <c r="S121" i="1" s="1"/>
  <c r="U153" i="1"/>
  <c r="S153" i="1" s="1"/>
  <c r="AI189" i="1"/>
  <c r="W153" i="1"/>
  <c r="AI158" i="1"/>
  <c r="U120" i="1"/>
  <c r="S120" i="1" s="1"/>
  <c r="W95" i="1"/>
  <c r="W104" i="1"/>
  <c r="U158" i="1"/>
  <c r="S158" i="1" s="1"/>
  <c r="AI193" i="1"/>
  <c r="W99" i="1"/>
  <c r="U150" i="1"/>
  <c r="S150" i="1" s="1"/>
  <c r="AI186" i="1"/>
  <c r="U199" i="1"/>
  <c r="S199" i="1" s="1"/>
  <c r="W199" i="1"/>
  <c r="AI201" i="1"/>
  <c r="W158" i="1"/>
  <c r="U166" i="1"/>
  <c r="S166" i="1" s="1"/>
  <c r="AI99" i="1"/>
  <c r="W166" i="1"/>
  <c r="AI137" i="1"/>
  <c r="U207" i="1"/>
  <c r="S207" i="1" s="1"/>
  <c r="U140" i="1"/>
  <c r="S140" i="1" s="1"/>
  <c r="AI177" i="1"/>
  <c r="U179" i="1"/>
  <c r="S179" i="1" s="1"/>
  <c r="AI113" i="1"/>
  <c r="W24" i="1"/>
  <c r="U22" i="1"/>
  <c r="S22" i="1" s="1"/>
  <c r="AI22" i="1"/>
  <c r="U55" i="1"/>
  <c r="S55" i="1" s="1"/>
  <c r="AI55" i="1"/>
  <c r="U51" i="1"/>
  <c r="S51" i="1" s="1"/>
  <c r="AI51" i="1"/>
  <c r="U92" i="1"/>
  <c r="S92" i="1" s="1"/>
  <c r="AI92" i="1"/>
  <c r="W51" i="1"/>
  <c r="W63" i="1"/>
  <c r="U79" i="1"/>
  <c r="S79" i="1" s="1"/>
  <c r="AI79" i="1"/>
  <c r="AI89" i="1"/>
  <c r="U89" i="1"/>
  <c r="S89" i="1" s="1"/>
  <c r="U171" i="1"/>
  <c r="S171" i="1" s="1"/>
  <c r="AI105" i="1"/>
  <c r="U108" i="1"/>
  <c r="S108" i="1" s="1"/>
  <c r="AI144" i="1"/>
  <c r="W171" i="1"/>
  <c r="U175" i="1"/>
  <c r="S175" i="1" s="1"/>
  <c r="AI109" i="1"/>
  <c r="W170" i="1"/>
  <c r="U193" i="1"/>
  <c r="S193" i="1" s="1"/>
  <c r="AI129" i="1"/>
  <c r="U129" i="1"/>
  <c r="S128" i="1" s="1"/>
  <c r="AI166" i="1"/>
  <c r="U141" i="1"/>
  <c r="S141" i="1" s="1"/>
  <c r="AI178" i="1"/>
  <c r="AI198" i="1"/>
  <c r="U196" i="1"/>
  <c r="S196" i="1" s="1"/>
  <c r="U203" i="1"/>
  <c r="S203" i="1" s="1"/>
  <c r="W203" i="1"/>
  <c r="AI205" i="1"/>
  <c r="W209" i="1"/>
  <c r="W213" i="1"/>
  <c r="W195" i="1"/>
  <c r="AD9" i="3"/>
  <c r="Y22" i="3"/>
  <c r="M28" i="5" l="1"/>
  <c r="AD22" i="3" l="1"/>
  <c r="B3" i="6" l="1"/>
  <c r="F3" i="6" s="1"/>
  <c r="K3" i="6"/>
  <c r="B4" i="6"/>
  <c r="G4" i="6" s="1"/>
  <c r="K4" i="6"/>
  <c r="B5" i="6"/>
  <c r="F5" i="6" s="1"/>
  <c r="K5" i="6"/>
  <c r="B6" i="6"/>
  <c r="F6" i="6" s="1"/>
  <c r="K6" i="6"/>
  <c r="B7" i="6"/>
  <c r="F7" i="6" s="1"/>
  <c r="K7" i="6"/>
  <c r="B8" i="6"/>
  <c r="G8" i="6" s="1"/>
  <c r="K8" i="6"/>
  <c r="B9" i="6"/>
  <c r="K9" i="6"/>
  <c r="B10" i="6"/>
  <c r="F10" i="6" s="1"/>
  <c r="K10" i="6"/>
  <c r="B11" i="6"/>
  <c r="F11" i="6" s="1"/>
  <c r="K11" i="6"/>
  <c r="B12" i="6"/>
  <c r="G12" i="6" s="1"/>
  <c r="K12" i="6"/>
  <c r="B13" i="6"/>
  <c r="F13" i="6" s="1"/>
  <c r="K13" i="6"/>
  <c r="B14" i="6"/>
  <c r="F14" i="6" s="1"/>
  <c r="K14" i="6"/>
  <c r="I5" i="6" l="1"/>
  <c r="F8" i="6"/>
  <c r="F9" i="6"/>
  <c r="I9" i="6"/>
  <c r="G6" i="6"/>
  <c r="F12" i="6"/>
  <c r="I13" i="6"/>
  <c r="G10" i="6"/>
  <c r="G14" i="6"/>
  <c r="F4" i="6"/>
  <c r="H13" i="6"/>
  <c r="H9" i="6"/>
  <c r="H5" i="6"/>
  <c r="I14" i="6"/>
  <c r="G13" i="6"/>
  <c r="J12" i="6"/>
  <c r="I10" i="6"/>
  <c r="G9" i="6"/>
  <c r="J8" i="6"/>
  <c r="I6" i="6"/>
  <c r="G5" i="6"/>
  <c r="J4" i="6"/>
  <c r="H14" i="6"/>
  <c r="J13" i="6"/>
  <c r="I12" i="6"/>
  <c r="I11" i="6"/>
  <c r="H10" i="6"/>
  <c r="J9" i="6"/>
  <c r="I8" i="6"/>
  <c r="I7" i="6"/>
  <c r="H6" i="6"/>
  <c r="J5" i="6"/>
  <c r="I4" i="6"/>
  <c r="I3" i="6"/>
  <c r="H11" i="6"/>
  <c r="H7" i="6"/>
  <c r="H3" i="6"/>
  <c r="J14" i="6"/>
  <c r="H12" i="6"/>
  <c r="G11" i="6"/>
  <c r="J10" i="6"/>
  <c r="H8" i="6"/>
  <c r="G7" i="6"/>
  <c r="J6" i="6"/>
  <c r="H4" i="6"/>
  <c r="G3" i="6"/>
  <c r="J11" i="6"/>
  <c r="J7" i="6"/>
  <c r="J3" i="6"/>
  <c r="B53" i="9" l="1"/>
  <c r="B54" i="9"/>
  <c r="B55" i="9"/>
  <c r="B56" i="9"/>
  <c r="B57" i="9"/>
  <c r="B58" i="9"/>
  <c r="B59" i="9"/>
  <c r="B60" i="9"/>
  <c r="B61" i="9"/>
  <c r="B62" i="9"/>
  <c r="C62" i="9" s="1"/>
  <c r="B63" i="9"/>
  <c r="B64" i="9"/>
  <c r="C64" i="9" l="1"/>
  <c r="C60" i="9"/>
  <c r="C56" i="9"/>
  <c r="C58" i="9"/>
  <c r="C63" i="9"/>
  <c r="C59" i="9"/>
  <c r="C55" i="9"/>
  <c r="C54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0" i="3" s="1"/>
  <c r="G63" i="4"/>
  <c r="G64" i="4"/>
  <c r="N16" i="3" s="1"/>
  <c r="G65" i="4"/>
  <c r="N22" i="3" s="1"/>
  <c r="G66" i="4"/>
  <c r="G67" i="4"/>
  <c r="G68" i="4"/>
  <c r="G69" i="4"/>
  <c r="G70" i="4"/>
  <c r="G71" i="4"/>
  <c r="G72" i="4"/>
  <c r="G73" i="4"/>
  <c r="G74" i="4"/>
  <c r="N19" i="3" s="1"/>
  <c r="G75" i="4"/>
  <c r="G76" i="4"/>
  <c r="G77" i="4"/>
  <c r="G78" i="4"/>
  <c r="G79" i="4"/>
  <c r="G80" i="4"/>
  <c r="G81" i="4"/>
  <c r="N12" i="3" s="1"/>
  <c r="G82" i="4"/>
  <c r="G83" i="4"/>
  <c r="G84" i="4"/>
  <c r="G85" i="4"/>
  <c r="G86" i="4"/>
  <c r="N25" i="3" s="1"/>
  <c r="G87" i="4"/>
  <c r="N20" i="3" s="1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N26" i="3" s="1"/>
  <c r="G101" i="4"/>
  <c r="G102" i="4"/>
  <c r="G103" i="4"/>
  <c r="G104" i="4"/>
  <c r="G105" i="4"/>
  <c r="G106" i="4"/>
  <c r="G107" i="4"/>
  <c r="G108" i="4"/>
  <c r="N18" i="3" s="1"/>
  <c r="G109" i="4"/>
  <c r="G110" i="4"/>
  <c r="G111" i="4"/>
  <c r="G112" i="4"/>
  <c r="G113" i="4"/>
  <c r="G114" i="4"/>
  <c r="G115" i="4"/>
  <c r="G116" i="4"/>
  <c r="N7" i="3" s="1"/>
  <c r="G117" i="4"/>
  <c r="G118" i="4"/>
  <c r="N15" i="3" s="1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N17" i="3" s="1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14" i="3" s="1"/>
  <c r="G183" i="4"/>
  <c r="G184" i="4"/>
  <c r="G185" i="4"/>
  <c r="N9" i="3" s="1"/>
  <c r="G186" i="4"/>
  <c r="N21" i="3" s="1"/>
  <c r="G187" i="4"/>
  <c r="G188" i="4"/>
  <c r="G189" i="4"/>
  <c r="G190" i="4"/>
  <c r="G191" i="4"/>
  <c r="G192" i="4"/>
  <c r="N8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1" i="3" s="1"/>
  <c r="G209" i="4"/>
  <c r="G210" i="4"/>
  <c r="G211" i="4"/>
  <c r="N13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3" i="3" l="1"/>
  <c r="N2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22" i="3" s="1"/>
  <c r="Y13" i="1"/>
  <c r="Z13" i="1"/>
  <c r="AB13" i="1"/>
  <c r="AC13" i="1"/>
  <c r="AD13" i="1"/>
  <c r="X14" i="1" s="1"/>
  <c r="AE13" i="1"/>
  <c r="R22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<sst xmlns="http://schemas.openxmlformats.org/spreadsheetml/2006/main" count="2406" uniqueCount="857">
  <si>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</si>
  <si>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</si>
  <si>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</si>
  <si>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</si>
  <si>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</si>
  <si>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</si>
  <si>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</si>
  <si>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</si>
  <si>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</si>
  <si>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</si>
  <si>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</si>
  <si>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</si>
  <si>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</si>
  <si>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</si>
  <si>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</si>
  <si>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</si>
  <si>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</si>
  <si>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</si>
  <si>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</si>
  <si>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</si>
  <si>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</si>
  <si>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</si>
  <si>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</si>
  <si>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</si>
  <si>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</si>
  <si>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</si>
  <si>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</si>
  <si>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</si>
  <si>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</si>
  <si>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</si>
  <si>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</si>
  <si>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</si>
  <si>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</si>
  <si>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</si>
  <si>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</si>
  <si>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</si>
  <si>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</si>
  <si>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</si>
  <si>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</si>
  <si>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</si>
  <si>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</si>
  <si>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</si>
  <si>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</si>
  <si>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</si>
  <si>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</si>
  <si>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</si>
  <si>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</si>
  <si>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</si>
  <si>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</si>
  <si>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</si>
  <si>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</si>
  <si>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</si>
  <si>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</si>
  <si>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</si>
  <si>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</si>
  <si>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</si>
  <si>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</si>
  <si>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</si>
  <si>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</si>
  <si>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</si>
  <si>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</si>
  <si>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</si>
  <si>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</si>
  <si>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</si>
  <si>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</si>
  <si>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</si>
  <si>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</si>
  <si>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</si>
  <si>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</si>
  <si>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</si>
  <si>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</si>
  <si>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</si>
  <si>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</si>
  <si>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</si>
  <si>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</si>
  <si>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</si>
  <si>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</si>
  <si>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</si>
  <si>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</si>
  <si>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</si>
  <si>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</si>
  <si>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</si>
  <si>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</si>
  <si>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</si>
  <si>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</si>
  <si>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</si>
  <si>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</si>
  <si>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</si>
  <si>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</si>
  <si>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</si>
  <si>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</si>
  <si>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</si>
  <si>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</si>
  <si>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</si>
  <si>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</si>
  <si>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</si>
  <si>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</si>
  <si>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</si>
  <si>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</si>
  <si>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</si>
  <si>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</si>
  <si>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</si>
  <si>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</si>
  <si>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</si>
  <si>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</si>
  <si>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</si>
  <si>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</si>
  <si>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</si>
  <si>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</si>
  <si>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</si>
  <si>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</si>
  <si>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</si>
  <si>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</si>
  <si>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</si>
  <si>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</si>
  <si>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</si>
  <si>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</si>
  <si>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</si>
  <si>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</si>
  <si>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</si>
  <si>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</si>
  <si>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</si>
  <si>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</si>
  <si>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</si>
  <si>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</si>
  <si>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</si>
  <si>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</si>
  <si>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</si>
  <si>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</si>
  <si>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</si>
  <si>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</si>
  <si>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</si>
  <si>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</si>
  <si>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</si>
  <si>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</si>
  <si>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</si>
  <si>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</si>
  <si>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</si>
  <si>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</si>
  <si>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</si>
  <si>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</si>
  <si>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</si>
  <si>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</si>
  <si>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</si>
  <si>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</si>
  <si>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</si>
  <si>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</si>
  <si>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</si>
  <si>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</si>
  <si>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</si>
  <si>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</si>
  <si>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</si>
  <si>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</si>
  <si>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</si>
  <si>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</si>
  <si>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</si>
  <si>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</si>
  <si>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</si>
  <si>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</si>
  <si>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</si>
  <si>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</si>
  <si>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</si>
  <si>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</si>
  <si>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</si>
  <si>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</si>
  <si>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</si>
  <si>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</si>
  <si>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</si>
  <si>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</si>
  <si>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</si>
  <si>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</si>
  <si>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</si>
  <si>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</si>
  <si>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</si>
  <si>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</si>
  <si>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</si>
  <si>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</si>
  <si>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</si>
  <si>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</si>
  <si>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</si>
  <si>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</si>
  <si>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</si>
  <si>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</si>
  <si>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</si>
  <si>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</si>
  <si>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</si>
  <si>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</si>
  <si>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</si>
  <si>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</si>
  <si>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</si>
  <si>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</si>
  <si>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</si>
  <si>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</si>
  <si>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</si>
  <si>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</si>
  <si>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</si>
  <si>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</si>
  <si>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</si>
  <si>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</si>
  <si>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</si>
  <si>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</si>
  <si>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</si>
  <si>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</si>
  <si>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</si>
  <si>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</si>
  <si>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</si>
  <si>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</si>
  <si>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</si>
  <si>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</si>
  <si>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</si>
  <si>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</si>
  <si>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</si>
  <si>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</si>
  <si>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</si>
  <si>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</si>
  <si>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</si>
  <si>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</si>
  <si>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</si>
  <si>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</si>
  <si>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</si>
  <si>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</si>
  <si>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</si>
  <si>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</si>
  <si>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</si>
  <si>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</si>
  <si>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</si>
  <si>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</si>
  <si>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</si>
  <si>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</si>
  <si>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</si>
  <si>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</si>
  <si>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</si>
  <si>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</si>
  <si>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</si>
  <si>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</si>
  <si>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</si>
  <si>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</si>
  <si>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</si>
  <si>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</si>
  <si>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</si>
  <si>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</si>
  <si>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</si>
  <si>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</si>
  <si>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</si>
  <si>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</si>
  <si>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</si>
  <si>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</si>
  <si>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</si>
  <si>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</si>
  <si>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</si>
  <si>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</si>
  <si>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</si>
  <si>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</si>
  <si>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</si>
  <si>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</si>
  <si>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</si>
  <si>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</si>
  <si>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</si>
  <si>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</si>
  <si>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204:147</t>
  </si>
  <si>
    <t>204:139</t>
  </si>
  <si>
    <t>MICHAEL</t>
  </si>
  <si>
    <t>DAVIS</t>
  </si>
  <si>
    <t>204:467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</si>
  <si>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</si>
  <si>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</si>
  <si>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</si>
  <si>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</si>
  <si>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</si>
  <si>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</si>
  <si>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</si>
  <si>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</si>
  <si>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</si>
  <si>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</si>
  <si>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</si>
  <si>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</si>
  <si>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</si>
  <si>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</si>
  <si>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</si>
  <si>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</si>
  <si>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</si>
  <si>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</si>
  <si>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204:469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</si>
  <si>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</si>
  <si>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</si>
  <si>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</si>
  <si>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</si>
  <si>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</si>
  <si>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</si>
  <si>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</si>
  <si>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</si>
  <si>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</si>
  <si>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</si>
  <si>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</si>
  <si>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</si>
  <si>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</si>
  <si>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</si>
  <si>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</si>
  <si>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</si>
  <si>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</si>
  <si>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</si>
  <si>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</si>
  <si>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</si>
  <si>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</si>
  <si>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</si>
  <si>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</si>
  <si>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</si>
  <si>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</si>
  <si>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204:433</t>
  </si>
  <si>
    <t>204:745</t>
  </si>
  <si>
    <t>204:232984</t>
  </si>
  <si>
    <t>204:473</t>
  </si>
  <si>
    <t>204:233285</t>
  </si>
  <si>
    <t>204:233297</t>
  </si>
  <si>
    <t>300:23302</t>
  </si>
  <si>
    <t>YANG</t>
  </si>
  <si>
    <t>JAN</t>
  </si>
  <si>
    <t>partly-cloudy-day</t>
  </si>
  <si>
    <t>204:748</t>
  </si>
  <si>
    <t>204:233312</t>
  </si>
  <si>
    <t>204:233293</t>
  </si>
  <si>
    <t>204:232991</t>
  </si>
  <si>
    <t>204:152</t>
  </si>
  <si>
    <t>204:232975</t>
  </si>
  <si>
    <t>204:232969</t>
  </si>
  <si>
    <t>204:232980</t>
  </si>
  <si>
    <t>204:232983</t>
  </si>
  <si>
    <t>204:232982</t>
  </si>
  <si>
    <t>204:466</t>
  </si>
  <si>
    <t>204:165</t>
  </si>
  <si>
    <t>ISHMAEL</t>
  </si>
  <si>
    <t>JOSEPH</t>
  </si>
  <si>
    <t>GEBRETEKLE</t>
  </si>
  <si>
    <t>DAGNEW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</si>
  <si>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</si>
  <si>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</si>
  <si>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</si>
  <si>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</si>
  <si>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</si>
  <si>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</si>
  <si>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</si>
  <si>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</si>
  <si>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</si>
  <si>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</si>
  <si>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</si>
  <si>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</si>
  <si>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</si>
  <si>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</si>
  <si>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204:232998</t>
  </si>
  <si>
    <t>204:233304</t>
  </si>
  <si>
    <t>204:233303</t>
  </si>
  <si>
    <t>204:141</t>
  </si>
  <si>
    <t>204:233307</t>
  </si>
  <si>
    <t>204:233314</t>
  </si>
  <si>
    <t>204:233338</t>
  </si>
  <si>
    <t>204:715</t>
  </si>
  <si>
    <t>rtdc.l.rtdc.4008:itc</t>
  </si>
  <si>
    <t>rtdc.l.rtdc.4025:itc</t>
  </si>
  <si>
    <t>SWITCH UNKNOWN</t>
  </si>
  <si>
    <t>Track device (7)</t>
  </si>
  <si>
    <t>rtdc.l.rtdc.4026:itc</t>
  </si>
  <si>
    <t>242-23</t>
  </si>
  <si>
    <t>WENDY</t>
  </si>
  <si>
    <t>ROBINSON</t>
  </si>
  <si>
    <t>KADDIBA</t>
  </si>
  <si>
    <t>rtdc.l.rtdc.4007:itc</t>
  </si>
  <si>
    <t>SHOOK</t>
  </si>
  <si>
    <t>SAFIEF</t>
  </si>
  <si>
    <t>AEIMEN</t>
  </si>
  <si>
    <t>STEWART</t>
  </si>
  <si>
    <t>rtdc.l.rtdc.4054:itc</t>
  </si>
  <si>
    <t>rtdc.l.rtdc.4053:itc</t>
  </si>
  <si>
    <t>STRICKLAND</t>
  </si>
  <si>
    <t>EVAN</t>
  </si>
  <si>
    <t>KILLION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</si>
  <si>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</si>
  <si>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</si>
  <si>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</si>
  <si>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</si>
  <si>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</si>
  <si>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</si>
  <si>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</si>
  <si>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</si>
  <si>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</si>
  <si>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</si>
  <si>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</si>
  <si>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Clear</t>
  </si>
  <si>
    <t>clear-night</t>
  </si>
  <si>
    <t>204:757</t>
  </si>
  <si>
    <t>204:232961</t>
  </si>
  <si>
    <t>204:232971</t>
  </si>
  <si>
    <t>204:1175</t>
  </si>
  <si>
    <t>204:233334</t>
  </si>
  <si>
    <t>204:233008</t>
  </si>
  <si>
    <t>204:233005</t>
  </si>
  <si>
    <t>204:233315</t>
  </si>
  <si>
    <t>204:233342</t>
  </si>
  <si>
    <t>204:457</t>
  </si>
  <si>
    <t>204:233291</t>
  </si>
  <si>
    <t>204:233021</t>
  </si>
  <si>
    <t>204:136</t>
  </si>
  <si>
    <t>204:156</t>
  </si>
  <si>
    <t>204:233317</t>
  </si>
  <si>
    <t>204:233284</t>
  </si>
  <si>
    <t>204:232957</t>
  </si>
  <si>
    <t>204:232965</t>
  </si>
  <si>
    <t>204:233280</t>
  </si>
  <si>
    <t>204:435</t>
  </si>
  <si>
    <t>204:478</t>
  </si>
  <si>
    <t>204:233305</t>
  </si>
  <si>
    <t>204:489</t>
  </si>
  <si>
    <t>204:233053</t>
  </si>
  <si>
    <t>204:233311</t>
  </si>
  <si>
    <t>204:169</t>
  </si>
  <si>
    <t>204:233349</t>
  </si>
  <si>
    <t>204:134</t>
  </si>
  <si>
    <t>204:429</t>
  </si>
  <si>
    <t>300:23308</t>
  </si>
  <si>
    <t>300:23306</t>
  </si>
  <si>
    <t>300:23304</t>
  </si>
  <si>
    <t>204:740</t>
  </si>
  <si>
    <t>300:58999</t>
  </si>
  <si>
    <t>204:1030</t>
  </si>
  <si>
    <t>300:58975</t>
  </si>
  <si>
    <t>204:734</t>
  </si>
  <si>
    <t>300:58672</t>
  </si>
  <si>
    <t>204:1027</t>
  </si>
  <si>
    <t>204:1014</t>
  </si>
  <si>
    <t>204:1021</t>
  </si>
  <si>
    <t>300:58677</t>
  </si>
  <si>
    <t>204:1041</t>
  </si>
  <si>
    <t>204:1032</t>
  </si>
  <si>
    <t>300:58941</t>
  </si>
  <si>
    <t>300:58626</t>
  </si>
  <si>
    <t>101-24</t>
  </si>
  <si>
    <t>rtdc.l.rtdc.4030:itc</t>
  </si>
  <si>
    <t>128-24</t>
  </si>
  <si>
    <t>135-24</t>
  </si>
  <si>
    <t>136-24</t>
  </si>
  <si>
    <t>142-24</t>
  </si>
  <si>
    <t>1809-24</t>
  </si>
  <si>
    <t>rtdc.l.rtdc.4017:itc</t>
  </si>
  <si>
    <t>146-24</t>
  </si>
  <si>
    <t>50-24</t>
  </si>
  <si>
    <t>162-24</t>
  </si>
  <si>
    <t>rtdc.l.rtdc.4018:itc</t>
  </si>
  <si>
    <t>173-24</t>
  </si>
  <si>
    <t>170-24</t>
  </si>
  <si>
    <t>180-24</t>
  </si>
  <si>
    <t>219-24</t>
  </si>
  <si>
    <t>216-24</t>
  </si>
  <si>
    <t>218-24</t>
  </si>
  <si>
    <t>220-24</t>
  </si>
  <si>
    <t>222-24</t>
  </si>
  <si>
    <t>235-24</t>
  </si>
  <si>
    <t>237-24</t>
  </si>
  <si>
    <t>302-24</t>
  </si>
  <si>
    <t>306-24</t>
  </si>
  <si>
    <t>MAHAN</t>
  </si>
  <si>
    <t>DUANE</t>
  </si>
  <si>
    <t>102-24</t>
  </si>
  <si>
    <t>105-24</t>
  </si>
  <si>
    <t>308-24</t>
  </si>
  <si>
    <t>310-24</t>
  </si>
  <si>
    <t>107-24</t>
  </si>
  <si>
    <t>109-24</t>
  </si>
  <si>
    <t>113-24</t>
  </si>
  <si>
    <t>111-24</t>
  </si>
  <si>
    <t>LOZA</t>
  </si>
  <si>
    <t>FIDEL</t>
  </si>
  <si>
    <t>106-24</t>
  </si>
  <si>
    <t>1901-24</t>
  </si>
  <si>
    <t>108-24</t>
  </si>
  <si>
    <t>1800-24</t>
  </si>
  <si>
    <t>110-24</t>
  </si>
  <si>
    <t>117-24</t>
  </si>
  <si>
    <t>112-24</t>
  </si>
  <si>
    <t>119-24</t>
  </si>
  <si>
    <t>114-24</t>
  </si>
  <si>
    <t>1801-24</t>
  </si>
  <si>
    <t>121-24</t>
  </si>
  <si>
    <t>116-24</t>
  </si>
  <si>
    <t>123-24</t>
  </si>
  <si>
    <t>118-24</t>
  </si>
  <si>
    <t>125-24</t>
  </si>
  <si>
    <t>1802-24</t>
  </si>
  <si>
    <t>120-24</t>
  </si>
  <si>
    <t>127-24</t>
  </si>
  <si>
    <t>1803-24</t>
  </si>
  <si>
    <t>122-24</t>
  </si>
  <si>
    <t>129-24</t>
  </si>
  <si>
    <t>124-24</t>
  </si>
  <si>
    <t>131-24</t>
  </si>
  <si>
    <t>126-24</t>
  </si>
  <si>
    <t>1804-24</t>
  </si>
  <si>
    <t>133-24</t>
  </si>
  <si>
    <t>1805-24</t>
  </si>
  <si>
    <t>130-24</t>
  </si>
  <si>
    <t>137-24</t>
  </si>
  <si>
    <t>132-24</t>
  </si>
  <si>
    <t>139-24</t>
  </si>
  <si>
    <t>134-24</t>
  </si>
  <si>
    <t>1806-24</t>
  </si>
  <si>
    <t>141-24</t>
  </si>
  <si>
    <t>143-24</t>
  </si>
  <si>
    <t>1807-24</t>
  </si>
  <si>
    <t>138-24</t>
  </si>
  <si>
    <t>145-24</t>
  </si>
  <si>
    <t>140-24</t>
  </si>
  <si>
    <t>147-24</t>
  </si>
  <si>
    <t>1808-24</t>
  </si>
  <si>
    <t>149-24</t>
  </si>
  <si>
    <t>144-24</t>
  </si>
  <si>
    <t>151-24</t>
  </si>
  <si>
    <t>153-24</t>
  </si>
  <si>
    <t>148-24</t>
  </si>
  <si>
    <t>155-24</t>
  </si>
  <si>
    <t>ADANE</t>
  </si>
  <si>
    <t>ELSHADAY</t>
  </si>
  <si>
    <t>150-24</t>
  </si>
  <si>
    <t>1810-24</t>
  </si>
  <si>
    <t>157-24</t>
  </si>
  <si>
    <t>152-24</t>
  </si>
  <si>
    <t>159-24</t>
  </si>
  <si>
    <t>1811-24</t>
  </si>
  <si>
    <t>154-24</t>
  </si>
  <si>
    <t>156-24</t>
  </si>
  <si>
    <t>161-24</t>
  </si>
  <si>
    <t>ROMERO</t>
  </si>
  <si>
    <t>CHAD</t>
  </si>
  <si>
    <t>SCOTT</t>
  </si>
  <si>
    <t>163-24</t>
  </si>
  <si>
    <t>158-24</t>
  </si>
  <si>
    <t>1812-24</t>
  </si>
  <si>
    <t>165-24</t>
  </si>
  <si>
    <t>160-24</t>
  </si>
  <si>
    <t>167-24</t>
  </si>
  <si>
    <t>1813-24</t>
  </si>
  <si>
    <t>51-24</t>
  </si>
  <si>
    <t>169-24</t>
  </si>
  <si>
    <t>164-24</t>
  </si>
  <si>
    <t>171-24</t>
  </si>
  <si>
    <t>1814-24</t>
  </si>
  <si>
    <t>166-24</t>
  </si>
  <si>
    <t>168-24</t>
  </si>
  <si>
    <t>175-24</t>
  </si>
  <si>
    <t>1815-24</t>
  </si>
  <si>
    <t>177-24</t>
  </si>
  <si>
    <t>172-24</t>
  </si>
  <si>
    <t>179-24</t>
  </si>
  <si>
    <t>174-24</t>
  </si>
  <si>
    <t>1816-24</t>
  </si>
  <si>
    <t>181-24</t>
  </si>
  <si>
    <t>176-24</t>
  </si>
  <si>
    <t>183-24</t>
  </si>
  <si>
    <t>178-24</t>
  </si>
  <si>
    <t>185-24</t>
  </si>
  <si>
    <t>1817-24</t>
  </si>
  <si>
    <t>187-24</t>
  </si>
  <si>
    <t>182-24</t>
  </si>
  <si>
    <t>1818-24</t>
  </si>
  <si>
    <t>184-24</t>
  </si>
  <si>
    <t>189-24</t>
  </si>
  <si>
    <t>191-24</t>
  </si>
  <si>
    <t>186-24</t>
  </si>
  <si>
    <t>193-24</t>
  </si>
  <si>
    <t>1819-24</t>
  </si>
  <si>
    <t>188-24</t>
  </si>
  <si>
    <t>195-24</t>
  </si>
  <si>
    <t>1820-24</t>
  </si>
  <si>
    <t>190-24</t>
  </si>
  <si>
    <t>197-24</t>
  </si>
  <si>
    <t>192-24</t>
  </si>
  <si>
    <t>199-24</t>
  </si>
  <si>
    <t>194-24</t>
  </si>
  <si>
    <t>201-24</t>
  </si>
  <si>
    <t>196-24</t>
  </si>
  <si>
    <t>1821-24</t>
  </si>
  <si>
    <t>198-24</t>
  </si>
  <si>
    <t>203-24</t>
  </si>
  <si>
    <t>205-24</t>
  </si>
  <si>
    <t>1822-24</t>
  </si>
  <si>
    <t>200-24</t>
  </si>
  <si>
    <t>207-24</t>
  </si>
  <si>
    <t>202-24</t>
  </si>
  <si>
    <t>71-24</t>
  </si>
  <si>
    <t>209-24</t>
  </si>
  <si>
    <t>1823-24</t>
  </si>
  <si>
    <t>204-24</t>
  </si>
  <si>
    <t>211-24</t>
  </si>
  <si>
    <t>206-24</t>
  </si>
  <si>
    <t>1824-24</t>
  </si>
  <si>
    <t>213-24</t>
  </si>
  <si>
    <t>70-24</t>
  </si>
  <si>
    <t>208-24</t>
  </si>
  <si>
    <t>215-24</t>
  </si>
  <si>
    <t>74-24</t>
  </si>
  <si>
    <t>210-24</t>
  </si>
  <si>
    <t>212-24</t>
  </si>
  <si>
    <t>217-24</t>
  </si>
  <si>
    <t>1825-24</t>
  </si>
  <si>
    <t>75-24</t>
  </si>
  <si>
    <t>214-24</t>
  </si>
  <si>
    <t>1826-24</t>
  </si>
  <si>
    <t>303-24</t>
  </si>
  <si>
    <t>221-24</t>
  </si>
  <si>
    <t>305-24</t>
  </si>
  <si>
    <t>1827-24</t>
  </si>
  <si>
    <t>223-24</t>
  </si>
  <si>
    <t>1828-24</t>
  </si>
  <si>
    <t>307-24</t>
  </si>
  <si>
    <t>225-24</t>
  </si>
  <si>
    <t>227-24</t>
  </si>
  <si>
    <t>224-24</t>
  </si>
  <si>
    <t>1829-24</t>
  </si>
  <si>
    <t>1830-24</t>
  </si>
  <si>
    <t>226-24</t>
  </si>
  <si>
    <t>229-24</t>
  </si>
  <si>
    <t>228-24</t>
  </si>
  <si>
    <t>231-24</t>
  </si>
  <si>
    <t>1831-24</t>
  </si>
  <si>
    <t>1832-24</t>
  </si>
  <si>
    <t>233-24</t>
  </si>
  <si>
    <t>230-24</t>
  </si>
  <si>
    <t>1833-24</t>
  </si>
  <si>
    <t>1902-24</t>
  </si>
  <si>
    <t>234-24</t>
  </si>
  <si>
    <t>236-24</t>
  </si>
  <si>
    <t>238-24</t>
  </si>
  <si>
    <t>239-24</t>
  </si>
  <si>
    <t>240-24</t>
  </si>
  <si>
    <t>243-24</t>
  </si>
  <si>
    <t>245-24</t>
  </si>
  <si>
    <t>242-24</t>
  </si>
  <si>
    <t>244-24</t>
  </si>
  <si>
    <t>309-24</t>
  </si>
  <si>
    <t>311-24</t>
  </si>
  <si>
    <t>50-25</t>
  </si>
  <si>
    <t>246-24</t>
  </si>
  <si>
    <t>313-24</t>
  </si>
  <si>
    <t>Snow</t>
  </si>
  <si>
    <t>204:770</t>
  </si>
  <si>
    <t>204:233439</t>
  </si>
  <si>
    <t>204:232621</t>
  </si>
  <si>
    <t>204:755</t>
  </si>
  <si>
    <t>204:232656</t>
  </si>
  <si>
    <t>204:130</t>
  </si>
  <si>
    <t>204:444</t>
  </si>
  <si>
    <t>204:233286</t>
  </si>
  <si>
    <t>204:232996</t>
  </si>
  <si>
    <t>204:754</t>
  </si>
  <si>
    <t>204:176</t>
  </si>
  <si>
    <t>204:768</t>
  </si>
  <si>
    <t>204:233332</t>
  </si>
  <si>
    <t>204:1171</t>
  </si>
  <si>
    <t>204:232989</t>
  </si>
  <si>
    <t>204:438</t>
  </si>
  <si>
    <t>204:233318</t>
  </si>
  <si>
    <t>204:232990</t>
  </si>
  <si>
    <t>204:233302</t>
  </si>
  <si>
    <t>204:1177</t>
  </si>
  <si>
    <t>204:19128</t>
  </si>
  <si>
    <t>204:486</t>
  </si>
  <si>
    <t>204:233322</t>
  </si>
  <si>
    <t>204:233336</t>
  </si>
  <si>
    <t>204:233015</t>
  </si>
  <si>
    <t>204:420</t>
  </si>
  <si>
    <t>204:233316</t>
  </si>
  <si>
    <t>204:233003</t>
  </si>
  <si>
    <t>204:233309</t>
  </si>
  <si>
    <t>204:233026</t>
  </si>
  <si>
    <t>204:446</t>
  </si>
  <si>
    <t>204:232985</t>
  </si>
  <si>
    <t>204:17409</t>
  </si>
  <si>
    <t>204:1037</t>
  </si>
  <si>
    <t>300:58976</t>
  </si>
  <si>
    <t>300:58666</t>
  </si>
  <si>
    <t>300:58980</t>
  </si>
  <si>
    <t>300:58673</t>
  </si>
  <si>
    <t>204:733</t>
  </si>
  <si>
    <t>204:1006</t>
  </si>
  <si>
    <t>300:57354</t>
  </si>
  <si>
    <t>204:741</t>
  </si>
  <si>
    <t>204:1028</t>
  </si>
  <si>
    <t>300:59003</t>
  </si>
  <si>
    <t>300:58696</t>
  </si>
  <si>
    <t>204:729</t>
  </si>
  <si>
    <t>300:59010</t>
  </si>
  <si>
    <t>204:233344</t>
  </si>
  <si>
    <t>300:58702</t>
  </si>
  <si>
    <t>300:59001</t>
  </si>
  <si>
    <t>204:738</t>
  </si>
  <si>
    <t>204:1007</t>
  </si>
  <si>
    <t>300:59008</t>
  </si>
  <si>
    <t>204:727</t>
  </si>
  <si>
    <t>300:58988</t>
  </si>
  <si>
    <t>300:58939</t>
  </si>
  <si>
    <t>300:58621</t>
  </si>
  <si>
    <t>204:689</t>
  </si>
  <si>
    <t>204:985</t>
  </si>
  <si>
    <t>300:58943</t>
  </si>
  <si>
    <t>204:233032</t>
  </si>
  <si>
    <t>300:58624</t>
  </si>
  <si>
    <t>204:736</t>
  </si>
  <si>
    <t>204:1039</t>
  </si>
  <si>
    <t>300:58946</t>
  </si>
  <si>
    <t>300:58630</t>
  </si>
  <si>
    <t>300:58944</t>
  </si>
  <si>
    <t>204:743</t>
  </si>
  <si>
    <t>204:1048</t>
  </si>
  <si>
    <t>204:1018</t>
  </si>
  <si>
    <t>300:58613</t>
  </si>
  <si>
    <t>300:58937</t>
  </si>
  <si>
    <t>300:58615</t>
  </si>
  <si>
    <t>204:233306</t>
  </si>
  <si>
    <t>300:29878</t>
  </si>
  <si>
    <t>300:58636</t>
  </si>
  <si>
    <t>300:21502</t>
  </si>
  <si>
    <t>204:233343</t>
  </si>
  <si>
    <t>204:233019</t>
  </si>
  <si>
    <t>204:116</t>
  </si>
  <si>
    <t>204:232974</t>
  </si>
  <si>
    <t>204:422</t>
  </si>
  <si>
    <t>204:129</t>
  </si>
  <si>
    <t>204:471</t>
  </si>
  <si>
    <t>204:232972</t>
  </si>
  <si>
    <t>204:42185</t>
  </si>
  <si>
    <t>204:41955</t>
  </si>
  <si>
    <t>204:185</t>
  </si>
  <si>
    <t>204:233327</t>
  </si>
  <si>
    <t>204:209</t>
  </si>
  <si>
    <t>204:232429</t>
  </si>
  <si>
    <t>204:524</t>
  </si>
  <si>
    <t>204:157893</t>
  </si>
  <si>
    <t>204:157665</t>
  </si>
  <si>
    <t>204:233366</t>
  </si>
  <si>
    <t>204:232963</t>
  </si>
  <si>
    <t>204:114</t>
  </si>
  <si>
    <t>204:153</t>
  </si>
  <si>
    <t>204:174</t>
  </si>
  <si>
    <t>204:395</t>
  </si>
  <si>
    <t>204:924</t>
  </si>
  <si>
    <t>300:23124</t>
  </si>
  <si>
    <t>204:167</t>
  </si>
  <si>
    <t>300:23346</t>
  </si>
  <si>
    <t>300:23291</t>
  </si>
  <si>
    <t>300:22874</t>
  </si>
  <si>
    <t>204:132</t>
  </si>
  <si>
    <t>300:23320</t>
  </si>
  <si>
    <t>300:23247</t>
  </si>
  <si>
    <t>204:441</t>
  </si>
  <si>
    <t>300:23096</t>
  </si>
  <si>
    <t>300:23235</t>
  </si>
  <si>
    <t>300:23274</t>
  </si>
  <si>
    <t>300:22083</t>
  </si>
  <si>
    <t>204:2080</t>
  </si>
  <si>
    <t>204:233057</t>
  </si>
  <si>
    <t>204:105</t>
  </si>
  <si>
    <t>300:24214</t>
  </si>
  <si>
    <t>300:21956</t>
  </si>
  <si>
    <t>204:926</t>
  </si>
  <si>
    <t>204:1484</t>
  </si>
  <si>
    <t>300:23069</t>
  </si>
  <si>
    <t>204:375</t>
  </si>
  <si>
    <t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t>
  </si>
  <si>
    <t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t>
  </si>
  <si>
    <t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t>
  </si>
  <si>
    <t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t>
  </si>
  <si>
    <t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t>
  </si>
  <si>
    <t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t>
  </si>
  <si>
    <t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t>
  </si>
  <si>
    <t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t>
  </si>
  <si>
    <t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t>
  </si>
  <si>
    <t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t>
  </si>
  <si>
    <t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t>
  </si>
  <si>
    <t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t>
  </si>
  <si>
    <t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t>
  </si>
  <si>
    <t>Onboard in-route failure</t>
  </si>
  <si>
    <t>BPP readings were low until init at 38th</t>
  </si>
  <si>
    <t>Wi-MAX data drop</t>
  </si>
  <si>
    <t>http://stevetu21.github.io/eaglep3/load_kml.html?kml=http://rtdc.gmaps-snips.s3.amazonaws.com/d93217bf-69ea-4966-a8c3-d2fc6ac2af08.kml</t>
  </si>
  <si>
    <t>Turned around at 61st/Pena (Public threat)?</t>
  </si>
  <si>
    <t>Early arrival</t>
  </si>
  <si>
    <t>40th 4S STOP</t>
  </si>
  <si>
    <t>http://stevetu21.github.io/eaglep3/load_kml.html?kml=http://rtdc.gmaps-snips.s3.amazonaws.com/e330293b-f28a-4039-89ae-314e70f8a012.kml</t>
  </si>
  <si>
    <t>103-24</t>
  </si>
  <si>
    <t>104-24</t>
  </si>
  <si>
    <t>Onboard networking issues</t>
  </si>
  <si>
    <t>115-24</t>
  </si>
  <si>
    <t>Did not init</t>
  </si>
  <si>
    <t>232-24</t>
  </si>
  <si>
    <t>Did not init (public threat?)</t>
  </si>
  <si>
    <t>241-24</t>
  </si>
  <si>
    <t>SYS :2016/12/24 10:52:09.824:ENFORCEMENT:Predictive Enforcement Action:  Target Number: 00001003  Target Speed:   0.0  Current Speed:   1.8</t>
  </si>
  <si>
    <t>SYS :2016/12/24 10:52:10.121:ENFORCEMENT:Predictive Enforcement Action:  Target Number: 00001003  Target Speed:   0.0  Current Speed:   1.8</t>
  </si>
  <si>
    <t>SYS :2016/12/24 10:52:10.187:ENFORCEMENT:Predictive Enforcement Action:  Target Number: 00001003  Target Speed:   0.0  Current Speed:   1.8</t>
  </si>
  <si>
    <t>SYS :2016/12/24 15:03:02.583:ENFORCEMENT:Reactive Enforcement Action:  Target Number: 00010059  Target Speed:  70.0  Current Speed:  75.0</t>
  </si>
  <si>
    <t>SYS :2016/12/24 15:03:03.306:ENFORCEMENT:Reactive Enforcement Action:  Target Number: 00010059  Target Speed:  70.0  Current Speed:  75.0</t>
  </si>
  <si>
    <t>SYS :2016/12/24 15:03:03.380:ENFORCEMENT:Reactive Enforcement Action:  Target Number: 0001005A  Target Speed:  70.0  Current Speed:  75.0</t>
  </si>
  <si>
    <t>SYS :2016/12/24 15:24:26.666:ENFORCEMENT:Predictive Enforcement Action:  Target Number: 000060C4  Target Speed:   0.0  Current Speed:  69.7</t>
  </si>
  <si>
    <t>SYS :2016/12/24 15:24:27.016:ENFORCEMENT:Predictive Enforcement Action:  Target Number: 000060CB  Target Speed:   0.0  Current Speed:  70.8</t>
  </si>
  <si>
    <t>SYS :2016/12/24 15:24:27.383:ENFORCEMENT:Predictive Enforcement Action:  Target Number: 000060CC  Target Speed:   0.0  Current Speed:  69.7</t>
  </si>
  <si>
    <t>SYS :2016/12/24 16:37:15.583:ENFORCEMENT:Predictive Enforcement Action:  Target Number: 0000100A  Target Speed:   0.0  Current Speed:   5.1</t>
  </si>
  <si>
    <t>SYS :2016/12/24 16:37:15.807:ENFORCEMENT:Predictive Enforcement Action:  Target Number: 0000100A  Target Speed:   0.0  Current Speed:   5.2</t>
  </si>
  <si>
    <t>SYS :2016/12/24 16:37:16.016:ENFORCEMENT:Predictive Enforcement Action:  Target Number: 0000100A  Target Speed:   0.0  Current Speed:   5.1</t>
  </si>
  <si>
    <t>SYS :2016/12/24 16:43:35.300:ENFORCEMENT:Reactive Enforcement Action:  Target Number: 00010077  Target Speed:  55.0  Current Speed:  60.2</t>
  </si>
  <si>
    <t>SYS :2016/12/24 16:43:35.576:ENFORCEMENT:Reactive Enforcement Action:  Target Number: 00010077  Target Speed:  55.0  Current Speed:  60.2</t>
  </si>
  <si>
    <t>SYS :2016/12/24 16:43:36.379:ENFORCEMENT:Reactive Enforcement Action:  Target Number: 00010078  Target Speed:  55.0  Current Speed:  60.2</t>
  </si>
  <si>
    <t>SYS :2016/12/24 16:47:14.688:ENFORCEMENT:Predictive Enforcement Action:  Target Number: 00010015  Target Speed:  60.0  Current Speed:  68.7</t>
  </si>
  <si>
    <t>SYS :2016/12/24 17:35:46.618:ENFORCEMENT:Reactive Enforcement Action:  Target Number: 00001011  Target Speed:   0.0  Current Speed:   0.8</t>
  </si>
  <si>
    <t>SYS :2016/12/24 17:35:46.837:ENFORCEMENT:Reactive Enforcement Action:  Target Number: 00001011  Target Speed:   0.0  Current Speed:   0.5</t>
  </si>
  <si>
    <t>SYS :2016/12/24 17:35:47.175:ENFORCEMENT:Reactive Enforcement Action:  Target Number: 00001011  Target Speed:   0.0  Current Speed:   0.5</t>
  </si>
  <si>
    <t>SYS :2016/12/24 17:50:59.231:ENFORCEMENT:Predictive Enforcement Action:  Target Number: 00001006  Target Speed:   0.0  Current Speed:   9.9</t>
  </si>
  <si>
    <t>SYS :2016/12/24 17:50:59.233:ENFORCEMENT:Predictive Enforcement Action:  Target Number: 00001006  Target Speed:   0.0  Current Speed:   9.9</t>
  </si>
  <si>
    <t>SYS :2016/12/24 17:50:59.304:ENFORCEMENT:Predictive Enforcement Action:  Target Number: 00001006  Target Speed:   0.0  Current Speed:   9.9</t>
  </si>
  <si>
    <t>SYS :2016/12/24 19:33:01.122:ENFORCEMENT:Predictive Enforcement Action:  Target Number: 0000A004  Target Speed:  10.0  Current Speed:  31.1</t>
  </si>
  <si>
    <t>SYS :2016/12/24 19:33:01.382:ENFORCEMENT:Predictive Enforcement Action:  Target Number: 0000A004  Target Speed:  10.0  Current Speed:  31.1</t>
  </si>
  <si>
    <t>SYS :2016/12/24 19:33:01.737:ENFORCEMENT:Predictive Enforcement Action:  Target Number: 0000A004  Target Speed:  10.0  Current Speed:  31.2</t>
  </si>
  <si>
    <t>SYS :2016/12/24 19:35:23.179:ENFORCEMENT:Predictive Enforcement Action:  Target Number: 00001017  Target Speed:   0.0  Current Speed:   0.8</t>
  </si>
  <si>
    <t>SYS :2016/12/24 19:51:42.028:ENFORCEMENT:Predictive Enforcement Action:  Target Number: 00017031  Target Speed:   0.0  Current Speed:  21.0</t>
  </si>
  <si>
    <t>SYS :2016/12/24 19:51:42.223:ENFORCEMENT:Predictive Enforcement Action:  Target Number: 00017020  Target Speed:   0.0  Current Speed:  21.1</t>
  </si>
  <si>
    <t>SYS :2016/12/24 19:51:43.241:ENFORCEMENT:Reactive Enforcement Action:  Target Number: 00017031  Target Speed:   0.0  Current Speed:  21.0</t>
  </si>
  <si>
    <t>SYS :2016/12/24 20:23:44.717:ENFORCEMENT:Predictive Enforcement Action:  Target Number: 00006102  Target Speed:   0.0  Current Speed:  36.1</t>
  </si>
  <si>
    <t>SYS :2016/12/24 20:23:45.322:ENFORCEMENT:Predictive Enforcement Action:  Target Number: 0000611F  Target Speed:   0.0  Current Speed:  36.1</t>
  </si>
  <si>
    <t>SYS :2016/12/24 22:01:18.571:ENFORCEMENT:Predictive Enforcement Action:  Target Number: 000040B8  Target Speed:   0.0  Current Speed:  37.9</t>
  </si>
  <si>
    <t>SYS :2016/12/24 22:01:18.591:ENFORCEMENT:Predictive Enforcement Action:  Target Number: 000040B7  Target Speed:   0.0  Current Speed:  37.9</t>
  </si>
  <si>
    <t>SYS :2016/12/24 22:01:18.628:ENFORCEMENT:Predictive Enforcement Action:  Target Number: 000040B8  Target Speed:   0.0  Current Speed:  37.9</t>
  </si>
  <si>
    <t>SYS :2016/12/24 22:01:18.641:ENFORCEMENT:Predictive Enforcement Action:  Target Number: 000040B7  Target Speed:   0.0  Current Speed:  37.9</t>
  </si>
  <si>
    <t>SYS :2016/12/24 22:01:18.816:ENFORCEMENT:Predictive Enforcement Action:  Target Number: 000040B8  Target Speed:   0.0  Current Speed:  37.9</t>
  </si>
  <si>
    <t>SYS :2016/12/24 22:01:18.830:ENFORCEMENT:Predictive Enforcement Action:  Target Number: 000040B7  Target Speed:   0.0  Current Speed:  37.9</t>
  </si>
  <si>
    <t>SYS :2016/12/25 02:04:49.618:ENFORCEMENT:Predictive Enforcement Action:  Target Number: 0000100D  Target Speed:   0.0  Current Speed:  14.0</t>
  </si>
  <si>
    <t>SYS :2016/12/25 02:04:49.986:ENFORCEMENT:Predictive Enforcement Action:  Target Number: 0000100D  Target Speed:   0.0  Current Speed:  14.1</t>
  </si>
  <si>
    <t>SYS :2016/12/25 02:05:33.619:ENFORCEMENT:Predictive Enforcement Action:  Target Number: 0000100D  Target Speed:   0.0  Current Speed:   6.8</t>
  </si>
  <si>
    <t>SYS :2016/12/25 02:05:33.682:ENFORCEMENT:Predictive Enforcement Action:  Target Number: 0000100D  Target Speed:   0.0  Current Speed:   6.8</t>
  </si>
  <si>
    <t>SYS :2016/12/25 02:05:33.983:ENFORCEMENT:Predictive Enforcement Action:  Target Number: 0000100D  Target Speed:   0.0  Current Speed:   6.8</t>
  </si>
  <si>
    <t>SYS :2016/12/25 02:06:05.614:ENFORCEMENT:Predictive Enforcement Action:  Target Number: 0000100D  Target Speed:   0.0  Current Speed:   2.3</t>
  </si>
  <si>
    <t>SYS :2016/12/25 02:06:05.681:ENFORCEMENT:Predictive Enforcement Action:  Target Number: 0000100D  Target Speed:   0.0  Current Speed:   2.3</t>
  </si>
  <si>
    <t>SYS :2016/12/25 02:06:05.988:ENFORCEMENT:Predictive Enforcement Action:  Target Number: 0000100D  Target Speed:   0.0  Current Speed:   2.3</t>
  </si>
  <si>
    <t>SYS :2016/12/25 02:23:13.762:ENFORCEMENT:Predictive Enforcement Action:  Target Number: 00006245  Target Speed:   0.0  Current Speed:  62.6</t>
  </si>
  <si>
    <t>SYS :2016/12/25 02:23:14.299:ENFORCEMENT:Predictive Enforcement Action:  Target Number: 00006245  Target Speed:   0.0  Current Speed:  62.6</t>
  </si>
  <si>
    <t>SYS :2016/12/25 02:40:06.130:ENFORCEMENT:Predictive Enforcement Action:  Target Number: 000170B1  Target Speed:  30.0  Current Speed:  40.6</t>
  </si>
  <si>
    <t>SYS :2016/12/25 02:40:06.378:ENFORCEMENT:Predictive Enforcement Action:  Target Number: 000170B1  Target Speed:  30.0  Current Speed:  40.6</t>
  </si>
  <si>
    <t>SYS :2016/12/25 02:40:06.741:ENFORCEMENT:Predictive Enforcement Action:  Target Number: 000170B1  Target Speed:  30.0  Current Speed:  40.6</t>
  </si>
  <si>
    <t>SYS :2016/12/25 03:03:26.809:ENFORCEMENT:Predictive Enforcement Action:  Target Number: 00001019  Target Speed:   0.0  Current Speed:   8.6</t>
  </si>
  <si>
    <t>SYS :2016/12/25 03:03:27.016:ENFORCEMENT:Predictive Enforcement Action:  Target Number: 00001019  Target Speed:   0.0  Current Speed:   8.2</t>
  </si>
  <si>
    <t>SYS :2016/12/25 03:27:46.954:ENFORCEMENT:Predictive Enforcement Action:  Target Number: 000170D1  Target Speed:   0.0  Current Speed:  16.3</t>
  </si>
  <si>
    <t>SYS :2016/12/25 03:27:47.166:ENFORCEMENT:Reactive Enforcement Action:  Target Number: 000170D1  Target Speed:   0.0  Current Speed:  16.3</t>
  </si>
  <si>
    <t>SYS :2016/12/25 03:27:47.295:ENFORCEMENT:Reactive Enforcement Action:  Target Number: 000170D1  Target Speed:   0.0  Current Speed:  16.3</t>
  </si>
  <si>
    <t>SYS :2016/12/25 04:34:28.109:ENFORCEMENT:Predictive Enforcement Action:  Target Number: 00001017  Target Speed:   0.0  Current Speed:   6.8</t>
  </si>
  <si>
    <t>SYS :2016/12/25 04:34:28.359:ENFORCEMENT:Predictive Enforcement Action:  Target Number: 00001017  Target Speed:   0.0  Current Speed:   6.8</t>
  </si>
  <si>
    <t>SYS :2016/12/25 06:09:33.632:ENFORCEMENT:Predictive Enforcement Action:  Target Number: 00010105  Target Speed:  60.0  Current Speed:  74.0</t>
  </si>
  <si>
    <t>SYS :2016/12/25 06:09:34.006:ENFORCEMENT:Predictive Enforcement Action:  Target Number: 00010107  Target Speed:  60.0  Current Speed:  74.0</t>
  </si>
  <si>
    <t>SYS :2016/12/25 06:09:34.703:ENFORCEMENT:Predictive Enforcement Action:  Target Number: 00010107  Target Speed:  60.0  Current Speed:  74.1</t>
  </si>
  <si>
    <t>SYS :2016/12/25 06:32:38.839:ENFORCEMENT:Predictive Enforcement Action:  Target Number: 000101B5  Target Speed:  35.0  Current Speed:  51.6</t>
  </si>
  <si>
    <t>SYS :2016/12/25 06:32:39.132:ENFORCEMENT:Predictive Enforcement Action:  Target Number: 000101B6  Target Speed:  35.0  Current Speed:  51.0</t>
  </si>
  <si>
    <t>SYS :2016/12/25 06:32:39.195:ENFORCEMENT:Predictive Enforcement Action:  Target Number: 000101B4  Target Speed:  35.0  Current Speed:  51.0</t>
  </si>
  <si>
    <t>SYS :2016/12/25 08:24:05.839:ENFORCEMENT:Reactive Enforcement Action:  Target Number: 000101BF  Target Speed:  45.0  Current Speed:  50.4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</si>
</sst>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e330293b-f28a-4039-89ae-314e70f8a012.kml" TargetMode="External"/><Relationship Id="rId1" Type="http://schemas.openxmlformats.org/officeDocument/2006/relationships/hyperlink" Target="http://stevetu21.github.io/eaglep3/load_kml.html?kml=http://rtdc.gmaps-snips.s3.amazonaws.com/d93217bf-69ea-4966-a8c3-d2fc6ac2af08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6"/>
  <sheetViews>
    <sheetView topLeftCell="A166" zoomScaleNormal="100" workbookViewId="0">
      <selection activeCell="R155" sqref="R15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42728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42728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COUNTIFS($N$13:$N$9366,"&gt;0",$AG$13:$AG$9366,I1)</f>
        <v>136</v>
      </c>
      <c r="K5" s="44"/>
      <c r="L5" s="44"/>
      <c r="M5" s="45">
        <f>AVERAGEIFS($N$13:$N$9366,$AG$13:$AG$9366,I1)</f>
        <v>37.950612744787257</v>
      </c>
      <c r="N5" s="43">
        <f t="array" ref="N5">MIN(IF($AG$13:$AG$9366=I1,IF(ISNUMBER($N$13:$N$9366),IF($N$13:$N$9366&gt;0,$N$13:$N$9366))))</f>
        <v>28.433333337306976</v>
      </c>
      <c r="O5" s="3">
        <f t="array" ref="O5">MAX(IF($AG$13:$AG$9366=I1,IF(ISNUMBER($N$13:$N$9366),IF($N$13:$N$9366&gt;0,$N$13:$N$9366))))</f>
        <v>61.383333328412846</v>
      </c>
      <c r="P5" s="2"/>
      <c r="R5" s="80" t="s">
        <v>17</v>
      </c>
      <c r="S5" s="55">
        <f>COUNTIFS($N$13:$N$9366,"&gt;0",$AG$13:$AG$9366,R1)</f>
        <v>34</v>
      </c>
      <c r="T5" s="44"/>
      <c r="U5" s="168"/>
      <c r="V5" s="45">
        <f>AVERAGEIFS($N$13:$N$9366,$AG$13:$AG$9366,R1)</f>
        <v>14.813725490307929</v>
      </c>
      <c r="W5" s="43">
        <f t="array" ref="W5">MIN(IF($AG$13:$AG$9366=R1,IF(ISNUMBER($N$13:$N$9366),IF($N$13:$N$9366&gt;0,$N$13:$N$9366))))</f>
        <v>12.716666663764045</v>
      </c>
      <c r="X5" s="173">
        <f t="array" ref="X5">MAX(IF($AG$13:$AG$9366=R1,IF(ISNUMBER($N$13:$N$9366),IF($N$13:$N$9366&gt;0,$N$13:$N$9366))))</f>
        <v>18.68333334219642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8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COUNTIFS($P$13:$P$9366,"&gt;0",$AG$13:$AG$9366,I1)</f>
        <v>10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COUNTIFS($P$13:$P$9366,"&gt;0",$AG$13:$AG$9366,R1)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136</v>
      </c>
      <c r="K8" s="44"/>
      <c r="L8" s="44"/>
      <c r="M8" s="45">
        <f>M5</f>
        <v>37.950612744787257</v>
      </c>
      <c r="N8" s="43">
        <f>N5</f>
        <v>28.433333337306976</v>
      </c>
      <c r="O8" s="3">
        <f>O5</f>
        <v>61.383333328412846</v>
      </c>
      <c r="P8" s="2"/>
      <c r="R8" s="80" t="s">
        <v>16</v>
      </c>
      <c r="S8" s="55">
        <f>S5</f>
        <v>34</v>
      </c>
      <c r="T8" s="44"/>
      <c r="U8" s="168"/>
      <c r="V8" s="45">
        <f>V5</f>
        <v>14.813725490307929</v>
      </c>
      <c r="W8" s="43">
        <f>W5</f>
        <v>12.716666663764045</v>
      </c>
      <c r="X8" s="173">
        <f>X5</f>
        <v>18.68333334219642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0.93150684931506844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AVERAGE(S13:S104)</f>
        <v>0.94565217391304346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434</v>
      </c>
      <c r="B13" s="7">
        <v>4044</v>
      </c>
      <c r="C13" s="22" t="s">
        <v>205</v>
      </c>
      <c r="D13" s="22" t="s">
        <v>641</v>
      </c>
      <c r="E13" s="13">
        <v>42728.13480324074</v>
      </c>
      <c r="F13" s="13">
        <v>42728.135960648149</v>
      </c>
      <c r="G13" s="7">
        <v>1</v>
      </c>
      <c r="H13" s="22" t="s">
        <v>642</v>
      </c>
      <c r="I13" s="13">
        <v>42728.161273148151</v>
      </c>
      <c r="J13" s="7">
        <v>1</v>
      </c>
      <c r="K13" s="109" t="str">
        <f t="shared" ref="K13:K46" si="0">IF(ISEVEN(B13),(B13-1)&amp;"/"&amp;B13,B13&amp;"/"&amp;(B13+1))</f>
        <v>4043/4044</v>
      </c>
      <c r="L13" s="22" t="str">
        <f>VLOOKUP(A13,'Trips&amp;Operators'!$C$1:$G$99999,5,FALSE)</f>
        <v>ISHMAEL JOSEPH</v>
      </c>
      <c r="M13" s="6">
        <f t="shared" ref="M13:M46" si="1">I13-F13</f>
        <v>2.531250000174623E-2</v>
      </c>
      <c r="N13" s="7">
        <f t="shared" ref="N13:P46" si="2">24*60*SUM($M13:$M13)</f>
        <v>36.450000002514571</v>
      </c>
      <c r="O13" s="7"/>
      <c r="P13" s="7"/>
      <c r="Q13" s="23"/>
      <c r="R13" s="23"/>
      <c r="S13" s="35">
        <f t="shared" ref="S13:S46" si="3">SUM(U13:U13)/IF(AG13="EC",12,1)</f>
        <v>1</v>
      </c>
      <c r="T13" s="50" t="str">
        <f t="shared" ref="T13:T4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4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https://search-rtdc-monitor-bjffxe2xuh6vdkpspy63sjmuny.us-east-1.es.amazonaws.com/_plugin/kibana/#/discover/Steve-Slow-Train-Analysis-(2080s-and-2083s)?_g=(refreshInterval:(display:Off,section:0,value:0),time:(from:'2016-12-24 02:14:07-700',mode:absolute,to:'2016-12-24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" s="52" t="str">
        <f t="shared" ref="W13:W46" si="6">IF(AA13&lt;IF(AG13="EC",23,5.65),"Y","N")</f>
        <v>N</v>
      </c>
      <c r="X13" s="177" t="e">
        <f t="shared" ref="X13:X46" si="7">VALUE(LEFT(AD13,4))-VALUE(LEFT(AD12,4))</f>
        <v>#VALUE!</v>
      </c>
      <c r="Y13" s="67">
        <f t="shared" ref="Y13:Y46" si="8">RIGHT(D13,LEN(D13)-4)/10000</f>
        <v>7.6999999999999999E-2</v>
      </c>
      <c r="Z13" s="67">
        <f t="shared" ref="Z13:Z46" si="9">RIGHT(H13,LEN(H13)-4)/10000</f>
        <v>23.343900000000001</v>
      </c>
      <c r="AA13" s="67">
        <f t="shared" ref="AA13:AA46" si="10">ABS(Z13-Y13)</f>
        <v>23.2669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46" si="11">IF(LEN(A13)=6,"0"&amp;A13,A13)</f>
        <v>0101-24</v>
      </c>
      <c r="AE13" s="91" t="str">
        <f t="shared" ref="AE13:AE4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3" s="88" t="str">
        <f t="shared" ref="AF13:AF4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/stypes="app*4044*20161224*" /stext=" 10:.+((SYSTEM_STATE.+slice.+state.+changed )|(ment ac)|(multiple cpu faults)|(system.+state.+changed )|(\[timeout)|(PRM\|1\|D)|(kpr)|(kdp)|(\|lc)|(penalty))" /e /r /s</v>
      </c>
      <c r="AG13" s="1" t="str">
        <f t="shared" ref="AG13:AG4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4044 --swversion DE.1.0.8.0 --startMP 204:770 --initTime 2016-12-24T03:14:07 --startdatetime 2016-12-24T03:15:47 --delay 1 --endMP 204:233439 --enddatetime 2016-12-24T03:52:14 --enforcementcount 1 &gt;&gt;C:\Users\stu\Documents\GitHub\eaglep3-reporting\EC\2016-12-24-refined-times.txt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{"issue":{"subject":"","project_id":79,"tracker_id":40,"status_id":1,"priority_id":2,"assigned_to_id":23,"start_date":"2016-12-24","description":"","custom_fields":[{"id":1,"name":"Subdivision","value":"EC"},{"id":4,"name":"Milepost","value":"23.3439"},{"id":17,"name":"Train ID","value":"101-24"},{"id":16,"name":"Locomotive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460</v>
      </c>
      <c r="B14" s="7">
        <v>4030</v>
      </c>
      <c r="C14" s="22" t="s">
        <v>205</v>
      </c>
      <c r="D14" s="22" t="s">
        <v>643</v>
      </c>
      <c r="E14" s="13">
        <v>42728.167638888888</v>
      </c>
      <c r="F14" s="13">
        <v>42728.174513888887</v>
      </c>
      <c r="G14" s="7">
        <v>1</v>
      </c>
      <c r="H14" s="22" t="s">
        <v>224</v>
      </c>
      <c r="I14" s="13">
        <v>42728.202037037037</v>
      </c>
      <c r="J14" s="7">
        <v>1</v>
      </c>
      <c r="K14" s="109" t="str">
        <f t="shared" si="0"/>
        <v>4029/4030</v>
      </c>
      <c r="L14" s="22" t="str">
        <f>VLOOKUP(A14,'Trips&amp;Operators'!$C$1:$G$99999,5,FALSE)</f>
        <v>ISHMAEL JOSEPH</v>
      </c>
      <c r="M14" s="6">
        <f t="shared" si="1"/>
        <v>2.7523148150066845E-2</v>
      </c>
      <c r="N14" s="7">
        <f t="shared" si="2"/>
        <v>39.633333336096257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23.2621</v>
      </c>
      <c r="Z14" s="67">
        <f t="shared" si="9"/>
        <v>1.54E-2</v>
      </c>
      <c r="AA14" s="67">
        <f t="shared" si="10"/>
        <v>23.246700000000001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0102-24</v>
      </c>
      <c r="AE14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14" s="88" t="str">
        <f t="shared" si="13"/>
        <v>"C:\Program Files (x86)\AstroGrep\AstroGrep.exe" /spath="%USERPROFILE%\AppData\Local\Temp\OnboardLogs" /stypes="app*4030*20161224*"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9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4030 --swversion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4" s="119" t="str">
        <f t="shared" ref="AI14:AI79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{"issue":{"subject":"","project_id":79,"tracker_id":40,"status_id":1,"priority_id":2,"assigned_to_id":23,"start_date":"2016-12-24","description":"","custom_fields":[{"id":1,"name":"Subdivision","value":"EC"},{"id":4,"name":"Milepost","value":"0.0154"},{"id":17,"name":"Train ID","value":"102-24"},{"id":16,"name":"Locomotive ID","value":"4030"},{"id":130,"name":"Impact","value":""},{"id":150,"name":"Time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785</v>
      </c>
      <c r="B15" s="7">
        <v>4003</v>
      </c>
      <c r="C15" s="22" t="s">
        <v>205</v>
      </c>
      <c r="D15" s="22" t="s">
        <v>643</v>
      </c>
      <c r="E15" s="13">
        <v>42728.167638888888</v>
      </c>
      <c r="F15" s="13">
        <v>42728.174513888887</v>
      </c>
      <c r="G15" s="7">
        <v>1</v>
      </c>
      <c r="H15" s="22" t="s">
        <v>224</v>
      </c>
      <c r="I15" s="13">
        <v>42728.202037037037</v>
      </c>
      <c r="J15" s="7">
        <v>1</v>
      </c>
      <c r="K15" s="109" t="str">
        <f t="shared" ref="K15:K16" si="19">IF(ISEVEN(B15),(B15-1)&amp;"/"&amp;B15,B15&amp;"/"&amp;(B15+1))</f>
        <v>4003/4004</v>
      </c>
      <c r="L15" s="22" t="e">
        <f>VLOOKUP(A15,'Trips&amp;Operators'!$C$1:$G$99999,5,FALSE)</f>
        <v>#N/A</v>
      </c>
      <c r="M15" s="6">
        <f t="shared" ref="M15:M16" si="20">I15-F15</f>
        <v>2.7523148150066845E-2</v>
      </c>
      <c r="N15" s="7"/>
      <c r="O15" s="7"/>
      <c r="P15" s="7">
        <v>1</v>
      </c>
      <c r="Q15" s="23"/>
      <c r="R15" s="23" t="s">
        <v>787</v>
      </c>
      <c r="S15" s="35">
        <f t="shared" ref="S15:S16" si="21">SUM(U15:U15)/IF(AG15="EC",12,1)</f>
        <v>0</v>
      </c>
      <c r="T15" s="50" t="str">
        <f t="shared" ref="T15:T16" si="22"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ref="V15:V16" si="23"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" s="52" t="str">
        <f t="shared" ref="W15:W16" si="24">IF(AA15&lt;IF(AG15="EC",23,5.65),"Y","N")</f>
        <v>Y</v>
      </c>
      <c r="X15" s="177">
        <f t="shared" ref="X15:X18" si="25">VALUE(LEFT(AD15,4))-VALUE(LEFT(AD14,4))</f>
        <v>1</v>
      </c>
      <c r="Y15" s="67">
        <v>0</v>
      </c>
      <c r="Z15" s="67">
        <v>0</v>
      </c>
      <c r="AA15" s="67">
        <f t="shared" ref="AA15:AA16" si="26">ABS(Z15-Y15)</f>
        <v>0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ref="AD15:AD16" si="27">IF(LEN(A15)=6,"0"&amp;A15,A15)</f>
        <v>0103-24</v>
      </c>
      <c r="AE15" s="91" t="str">
        <f t="shared" ref="AE15:AE16" si="28"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5" s="88" t="str">
        <f t="shared" ref="AF15:AF16" si="29"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/stypes="app*4003*20161224*" /stext=" 11:.+((SYSTEM_STATE.+slice.+state.+changed )|(ment ac)|(multiple cpu faults)|(system.+state.+changed )|(\[timeout)|(PRM\|1\|D)|(kpr)|(kdp)|(\|lc)|(penalty))" /e /r /s</v>
      </c>
      <c r="AG15" s="1" t="str">
        <f t="shared" ref="AG15:AG16" si="30">IFERROR(IF(VALUE(LEFT(AD15,2))&lt;=2,"EC",IF(OR(VALUE(LEFT(AD15,2))=8,VALUE(LEFT(AD15,2))=18),"NW","Other")),"Other")</f>
        <v>EC</v>
      </c>
      <c r="AH15" s="92" t="str">
        <f t="shared" ref="AH15:AH16" si="31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103-24 --locoid 4003 --swversion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5" s="119" t="str">
        <f t="shared" ref="AI15:AI16" si="32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{"issue":{"subject":"Onboard networking issues","project_id":79,"tracker_id":40,"status_id":1,"priority_id":2,"assigned_to_id":23,"start_date":"2016-12-24","description":"","custom_fields":[{"id":1,"name":"Subdivision","value":"EC"},{"id":4,"name":"Milepost","value":"0"},{"id":17,"name":"Train ID","value":"103-24"},{"id":16,"name":"Locomotive ID","value":"4003"},{"id":130,"name":"Impact","value":""},{"id":150,"name":"Time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</row>
    <row r="16" spans="1:91" s="1" customFormat="1" x14ac:dyDescent="0.25">
      <c r="A16" s="37" t="s">
        <v>786</v>
      </c>
      <c r="B16" s="7">
        <v>4004</v>
      </c>
      <c r="C16" s="22" t="s">
        <v>205</v>
      </c>
      <c r="D16" s="22" t="s">
        <v>643</v>
      </c>
      <c r="E16" s="13">
        <v>42728.167638888888</v>
      </c>
      <c r="F16" s="13">
        <v>42728.174513888887</v>
      </c>
      <c r="G16" s="7">
        <v>1</v>
      </c>
      <c r="H16" s="22" t="s">
        <v>224</v>
      </c>
      <c r="I16" s="13">
        <v>42728.202037037037</v>
      </c>
      <c r="J16" s="7">
        <v>1</v>
      </c>
      <c r="K16" s="109" t="str">
        <f t="shared" si="19"/>
        <v>4003/4004</v>
      </c>
      <c r="L16" s="22" t="e">
        <f>VLOOKUP(A16,'Trips&amp;Operators'!$C$1:$G$99999,5,FALSE)</f>
        <v>#N/A</v>
      </c>
      <c r="M16" s="6">
        <f t="shared" si="20"/>
        <v>2.7523148150066845E-2</v>
      </c>
      <c r="N16" s="7"/>
      <c r="O16" s="7"/>
      <c r="P16" s="7">
        <v>1</v>
      </c>
      <c r="Q16" s="23"/>
      <c r="R16" s="23" t="s">
        <v>787</v>
      </c>
      <c r="S16" s="35">
        <f t="shared" si="21"/>
        <v>0</v>
      </c>
      <c r="T16" s="50" t="str">
        <f t="shared" si="22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https://search-rtdc-monitor-bjffxe2xuh6vdkpspy63sjmuny.us-east-1.es.amazonaws.com/_plugin/kibana/#/discover/Steve-Slow-Train-Analysis-(2080s-and-2083s)?_g=(refreshInterval:(display:Off,section:0,value:0),time:(from:'2016-12-24 03:01:24-700',mode:absolute,to:'2016-12-24 05:50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24"/>
        <v>Y</v>
      </c>
      <c r="X16" s="177">
        <f t="shared" si="25"/>
        <v>1</v>
      </c>
      <c r="Y16" s="67">
        <v>0</v>
      </c>
      <c r="Z16" s="67">
        <v>0</v>
      </c>
      <c r="AA16" s="67">
        <f t="shared" si="26"/>
        <v>0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27"/>
        <v>0104-24</v>
      </c>
      <c r="AE16" s="91" t="str">
        <f t="shared" si="28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6" s="88" t="str">
        <f t="shared" si="29"/>
        <v>"C:\Program Files (x86)\AstroGrep\AstroGrep.exe" /spath="%USERPROFILE%\AppData\Local\Temp\OnboardLogs" /stypes="app*4004*20161224*" /stext=" 11:.+((SYSTEM_STATE.+slice.+state.+changed )|(ment ac)|(multiple cpu faults)|(system.+state.+changed )|(\[timeout)|(PRM\|1\|D)|(kpr)|(kdp)|(\|lc)|(penalty))" /e /r /s</v>
      </c>
      <c r="AG16" s="1" t="str">
        <f t="shared" si="30"/>
        <v>EC</v>
      </c>
      <c r="AH16" s="92" t="str">
        <f t="shared" si="31"/>
        <v>"%USERPROFILE%\Documents\GitHub\eaglep3\Utilities\RefineRTDCRunTimes.py" --tripid 104-24 --locoid 4004 --swversion DE.1.0.8.0 --startMP 204:232621 --initTime 2016-12-24T04:01:24 --startdatetime 2016-12-24T04:11:18 --delay 1 --endMP 204:154 --enddatetime 2016-12-24T04:50:56 --enforcementcount 1 &gt;&gt;C:\Users\stu\Documents\GitHub\eaglep3-reporting\EC\2016-12-24-refined-times.txt</v>
      </c>
      <c r="AI16" s="119" t="str">
        <f t="shared" si="32"/>
        <v>echo {"issue":{"subject":"Onboard networking issues","project_id":79,"tracker_id":40,"status_id":1,"priority_id":2,"assigned_to_id":23,"start_date":"2016-12-24","description":"","custom_fields":[{"id":1,"name":"Subdivision","value":"EC"},{"id":4,"name":"Milepost","value":"0"},{"id":17,"name":"Train ID","value":"104-24"},{"id":16,"name":"Locomotive ID","value":"4004"},{"id":130,"name":"Impact","value":""},{"id":150,"name":"Time of Event (Mountain Time)","value":"04:50:56"},{"id":151,"name":"Denver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</row>
    <row r="17" spans="1:91" s="1" customFormat="1" x14ac:dyDescent="0.25">
      <c r="A17" s="37" t="s">
        <v>461</v>
      </c>
      <c r="B17" s="7">
        <v>4007</v>
      </c>
      <c r="C17" s="22" t="s">
        <v>205</v>
      </c>
      <c r="D17" s="22" t="s">
        <v>644</v>
      </c>
      <c r="E17" s="13">
        <v>42728.171388888892</v>
      </c>
      <c r="F17" s="13">
        <v>42728.177511574075</v>
      </c>
      <c r="G17" s="7">
        <v>2</v>
      </c>
      <c r="H17" s="22" t="s">
        <v>349</v>
      </c>
      <c r="I17" s="13">
        <v>42728.203900462962</v>
      </c>
      <c r="J17" s="7">
        <v>1</v>
      </c>
      <c r="K17" s="109" t="str">
        <f t="shared" si="0"/>
        <v>4007/4008</v>
      </c>
      <c r="L17" s="22" t="str">
        <f>VLOOKUP(A17,'Trips&amp;Operators'!$C$1:$G$99999,5,FALSE)</f>
        <v>MAHAN DUANE</v>
      </c>
      <c r="M17" s="6">
        <f t="shared" si="1"/>
        <v>2.6388888887595385E-2</v>
      </c>
      <c r="N17" s="7">
        <f t="shared" si="2"/>
        <v>37.999999998137355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03:06:48-700',mode:absolute,to:'2016-12-24 05:53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7" s="52" t="str">
        <f t="shared" si="6"/>
        <v>N</v>
      </c>
      <c r="X17" s="177">
        <f t="shared" si="25"/>
        <v>1</v>
      </c>
      <c r="Y17" s="67">
        <f t="shared" si="8"/>
        <v>7.5499999999999998E-2</v>
      </c>
      <c r="Z17" s="67">
        <f t="shared" si="9"/>
        <v>23.330400000000001</v>
      </c>
      <c r="AA17" s="67">
        <f t="shared" si="10"/>
        <v>23.254899999999999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0105-24</v>
      </c>
      <c r="AE17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7" s="88" t="str">
        <f t="shared" si="13"/>
        <v>"C:\Program Files (x86)\AstroGrep\AstroGrep.exe" /spath="%USERPROFILE%\AppData\Local\Temp\OnboardLogs" /stypes="app*4007*20161224*"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105-24 --locoid 4007 --swversion DE.1.0.8.0 --startMP 204:755 --initTime 2016-12-24T04:06:48 --startdatetime 2016-12-24T04:15:37 --delay 2 --endMP 204:233304 --enddatetime 2016-12-24T04:53:37 --enforcementcount 1 &gt;&gt;C:\Users\stu\Documents\GitHub\eaglep3-reporting\EC\2016-12-24-refined-times.txt</v>
      </c>
      <c r="AI1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{"issue":{"subject":"","project_id":79,"tracker_id":40,"status_id":1,"priority_id":2,"assigned_to_id":23,"start_date":"2016-12-24","description":"","custom_fields":[{"id":1,"name":"Subdivision","value":"EC"},{"id":4,"name":"Milepost","value":"23.3304"},{"id":17,"name":"Train ID","value":"105-24"},{"id":16,"name":"Locomotive ID","value":"4007"},{"id":130,"name":"Impact","value":""},{"id":150,"name":"Time of Event (Mountain Time)","value":"04:53:37"},{"id":151,"name":"Denver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470</v>
      </c>
      <c r="B18" s="7">
        <v>4017</v>
      </c>
      <c r="C18" s="22" t="s">
        <v>205</v>
      </c>
      <c r="D18" s="22" t="s">
        <v>645</v>
      </c>
      <c r="E18" s="13">
        <v>42728.210381944446</v>
      </c>
      <c r="F18" s="13">
        <v>42728.21634259259</v>
      </c>
      <c r="G18" s="7">
        <v>1</v>
      </c>
      <c r="H18" s="22" t="s">
        <v>646</v>
      </c>
      <c r="I18" s="13">
        <v>42728.245509259257</v>
      </c>
      <c r="J18" s="7">
        <v>1</v>
      </c>
      <c r="K18" s="109" t="str">
        <f t="shared" si="0"/>
        <v>4017/4018</v>
      </c>
      <c r="L18" s="22" t="str">
        <f>VLOOKUP(A18,'Trips&amp;Operators'!$C$1:$G$99999,5,FALSE)</f>
        <v>MAHAN DUANE</v>
      </c>
      <c r="M18" s="6">
        <f t="shared" si="1"/>
        <v>2.9166666667151731E-2</v>
      </c>
      <c r="N18" s="7">
        <f t="shared" si="2"/>
        <v>42.000000000698492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04:02:57-700',mode:absolute,to:'2016-12-24 06:53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" s="52" t="str">
        <f t="shared" si="6"/>
        <v>N</v>
      </c>
      <c r="X18" s="177">
        <f t="shared" si="25"/>
        <v>1</v>
      </c>
      <c r="Y18" s="67">
        <f t="shared" si="8"/>
        <v>23.265599999999999</v>
      </c>
      <c r="Z18" s="67">
        <f t="shared" si="9"/>
        <v>1.2999999999999999E-2</v>
      </c>
      <c r="AA18" s="67">
        <f t="shared" si="10"/>
        <v>23.252599999999997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0106-24</v>
      </c>
      <c r="AE18" s="91" t="str">
        <f t="shared" si="1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8" s="88" t="str">
        <f t="shared" si="13"/>
        <v>"C:\Program Files (x86)\AstroGrep\AstroGrep.exe" /spath="%USERPROFILE%\AppData\Local\Temp\OnboardLogs" /stypes="app*4017*20161224*"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106-24 --locoid 4017 --swversion DE.1.0.8.0 --startMP 204:232656 --initTime 2016-12-24T05:02:57 --startdatetime 2016-12-24T05:11:32 --delay 1 --endMP 204:130 --enddatetime 2016-12-24T05:53:32 --enforcementcount 1 &gt;&gt;C:\Users\stu\Documents\GitHub\eaglep3-reporting\EC\2016-12-24-refined-times.txt</v>
      </c>
      <c r="AI1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{"issue":{"subject":"","project_id":79,"tracker_id":40,"status_id":1,"priority_id":2,"assigned_to_id":23,"start_date":"2016-12-24","description":"","custom_fields":[{"id":1,"name":"Subdivision","value":"EC"},{"id":4,"name":"Milepost","value":"0.013"},{"id":17,"name":"Train ID","value":"106-24"},{"id":16,"name":"Locomotive ID","value":"4017"},{"id":130,"name":"Impact","value":""},{"id":150,"name":"Time of Event (Mountain Time)","value":"05:53:32"},{"id":151,"name":"Denver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464</v>
      </c>
      <c r="B19" s="7">
        <v>4011</v>
      </c>
      <c r="C19" s="22" t="s">
        <v>205</v>
      </c>
      <c r="D19" s="22" t="s">
        <v>647</v>
      </c>
      <c r="E19" s="13">
        <v>42728.183194444442</v>
      </c>
      <c r="F19" s="13">
        <v>42728.187719907408</v>
      </c>
      <c r="G19" s="7">
        <v>1</v>
      </c>
      <c r="H19" s="22" t="s">
        <v>648</v>
      </c>
      <c r="I19" s="13">
        <v>42728.212719907409</v>
      </c>
      <c r="J19" s="7">
        <v>1</v>
      </c>
      <c r="K19" s="109" t="str">
        <f t="shared" si="0"/>
        <v>4011/4012</v>
      </c>
      <c r="L19" s="22" t="str">
        <f>VLOOKUP(A19,'Trips&amp;Operators'!$C$1:$G$99999,5,FALSE)</f>
        <v>DAVIS WENDY</v>
      </c>
      <c r="M19" s="6">
        <f t="shared" si="1"/>
        <v>2.5000000001455192E-2</v>
      </c>
      <c r="N19" s="7">
        <f t="shared" si="2"/>
        <v>36.000000002095476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03:23:48-700',mode:absolute,to:'2016-12-24 06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4.4400000000000002E-2</v>
      </c>
      <c r="Z19" s="67">
        <f t="shared" si="9"/>
        <v>23.328600000000002</v>
      </c>
      <c r="AA19" s="67">
        <f t="shared" si="10"/>
        <v>23.284200000000002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0107-24</v>
      </c>
      <c r="AE19" s="91" t="str">
        <f t="shared" si="1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9" s="88" t="str">
        <f t="shared" si="13"/>
        <v>"C:\Program Files (x86)\AstroGrep\AstroGrep.exe" /spath="%USERPROFILE%\AppData\Local\Temp\OnboardLogs" /stypes="app*4011*20161224*"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107-24 --locoid 4011 --swversion DE.1.0.8.0 --startMP 204:444 --initTime 2016-12-24T04:23:48 --startdatetime 2016-12-24T04:30:19 --delay 1 --endMP 204:233286 --enddatetime 2016-12-24T05:06:19 --enforcementcount 1 &gt;&gt;C:\Users\stu\Documents\GitHub\eaglep3-reporting\EC\2016-12-24-refined-times.txt</v>
      </c>
      <c r="AI1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{"issue":{"subject":"","project_id":79,"tracker_id":40,"status_id":1,"priority_id":2,"assigned_to_id":23,"start_date":"2016-12-24","description":"","custom_fields":[{"id":1,"name":"Subdivision","value":"EC"},{"id":4,"name":"Milepost","value":"23.3286"},{"id":17,"name":"Train ID","value":"107-24"},{"id":16,"name":"Locomotive ID","value":"4011"},{"id":130,"name":"Impact","value":""},{"id":150,"name":"Time of Event (Mountain Time)","value":"05:06:19"},{"id":151,"name":"Denver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472</v>
      </c>
      <c r="B20" s="7">
        <v>4012</v>
      </c>
      <c r="C20" s="22" t="s">
        <v>205</v>
      </c>
      <c r="D20" s="22" t="s">
        <v>327</v>
      </c>
      <c r="E20" s="13">
        <v>42728.223657407405</v>
      </c>
      <c r="F20" s="13">
        <v>42728.260578703703</v>
      </c>
      <c r="G20" s="7">
        <v>1</v>
      </c>
      <c r="H20" s="22" t="s">
        <v>233</v>
      </c>
      <c r="I20" s="13">
        <v>42728.285891203705</v>
      </c>
      <c r="J20" s="7">
        <v>1</v>
      </c>
      <c r="K20" s="109" t="str">
        <f t="shared" si="0"/>
        <v>4011/4012</v>
      </c>
      <c r="L20" s="22" t="str">
        <f>VLOOKUP(A20,'Trips&amp;Operators'!$C$1:$G$99999,5,FALSE)</f>
        <v>DAVIS WENDY</v>
      </c>
      <c r="M20" s="6">
        <f t="shared" si="1"/>
        <v>2.531250000174623E-2</v>
      </c>
      <c r="N20" s="7">
        <f t="shared" si="2"/>
        <v>36.450000002514571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04:22:04-700',mode:absolute,to:'2016-12-24 07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23.298200000000001</v>
      </c>
      <c r="Z20" s="67">
        <f t="shared" si="9"/>
        <v>1.4500000000000001E-2</v>
      </c>
      <c r="AA20" s="67">
        <f t="shared" si="10"/>
        <v>23.2837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0108-24</v>
      </c>
      <c r="AE20" s="91" t="str">
        <f t="shared" si="1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20" s="88" t="str">
        <f t="shared" si="13"/>
        <v>"C:\Program Files (x86)\AstroGrep\AstroGrep.exe" /spath="%USERPROFILE%\AppData\Local\Temp\OnboardLogs" /stypes="app*4012*20161224*"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108-24 --locoid 4012 --swversion DE.1.0.8.0 --startMP 204:232982 --initTime 2016-12-24T05:22:04 --startdatetime 2016-12-24T06:15:14 --delay 1 --endMP 204:145 --enddatetime 2016-12-24T06:51:41 --enforcementcount 1 &gt;&gt;C:\Users\stu\Documents\GitHub\eaglep3-reporting\EC\2016-12-24-refined-times.txt</v>
      </c>
      <c r="AI2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ID","value":"108-24"},{"id":16,"name":"Locomotive ID","value":"4012"},{"id":130,"name":"Impact","value":""},{"id":150,"name":"Time of Event (Mountain Time)","value":"06:51:41"},{"id":151,"name":"Denver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465</v>
      </c>
      <c r="B21" s="7">
        <v>4031</v>
      </c>
      <c r="C21" s="22" t="s">
        <v>205</v>
      </c>
      <c r="D21" s="22" t="s">
        <v>282</v>
      </c>
      <c r="E21" s="13">
        <v>42728.193356481483</v>
      </c>
      <c r="F21" s="13">
        <v>42728.198159722226</v>
      </c>
      <c r="G21" s="7">
        <v>1</v>
      </c>
      <c r="H21" s="22" t="s">
        <v>277</v>
      </c>
      <c r="I21" s="13">
        <v>42728.223865740743</v>
      </c>
      <c r="J21" s="7">
        <v>1</v>
      </c>
      <c r="K21" s="109" t="str">
        <f t="shared" si="0"/>
        <v>4031/4032</v>
      </c>
      <c r="L21" s="22" t="str">
        <f>VLOOKUP(A21,'Trips&amp;Operators'!$C$1:$G$99999,5,FALSE)</f>
        <v>OUN ZACK</v>
      </c>
      <c r="M21" s="6">
        <f t="shared" si="1"/>
        <v>2.5706018517666962E-2</v>
      </c>
      <c r="N21" s="7">
        <f t="shared" si="2"/>
        <v>37.016666665440425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03:38:26-700',mode:absolute,to:'2016-12-24 06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4.6899999999999997E-2</v>
      </c>
      <c r="Z21" s="67">
        <f t="shared" si="9"/>
        <v>23.329799999999999</v>
      </c>
      <c r="AA21" s="67">
        <f t="shared" si="10"/>
        <v>23.282899999999998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0109-24</v>
      </c>
      <c r="AE21" s="91" t="str">
        <f t="shared" si="1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21" s="88" t="str">
        <f t="shared" si="13"/>
        <v>"C:\Program Files (x86)\AstroGrep\AstroGrep.exe" /spath="%USERPROFILE%\AppData\Local\Temp\OnboardLogs" /stypes="app*4031*20161224*"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109-24 --locoid 4031 --swversion DE.1.0.8.0 --startMP 204:469 --initTime 2016-12-24T04:38:26 --startdatetime 2016-12-24T04:45:21 --delay 1 --endMP 204:233298 --enddatetime 2016-12-24T05:22:22 --enforcementcount 1 &gt;&gt;C:\Users\stu\Documents\GitHub\eaglep3-reporting\EC\2016-12-24-refined-times.txt</v>
      </c>
      <c r="AI2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{"issue":{"subject":"","project_id":79,"tracker_id":40,"status_id":1,"priority_id":2,"assigned_to_id":23,"start_date":"2016-12-24","description":"","custom_fields":[{"id":1,"name":"Subdivision","value":"EC"},{"id":4,"name":"Milepost","value":"23.3298"},{"id":17,"name":"Train ID","value":"109-24"},{"id":16,"name":"Locomotive ID","value":"4031"},{"id":130,"name":"Impact","value":""},{"id":150,"name":"Time of Event (Mountain Time)","value":"05:22:22"},{"id":151,"name":"Denver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474</v>
      </c>
      <c r="B22" s="7">
        <v>4032</v>
      </c>
      <c r="C22" s="22" t="s">
        <v>205</v>
      </c>
      <c r="D22" s="22" t="s">
        <v>649</v>
      </c>
      <c r="E22" s="13">
        <v>42728.231111111112</v>
      </c>
      <c r="F22" s="13">
        <v>42728.23710648148</v>
      </c>
      <c r="G22" s="7">
        <v>1</v>
      </c>
      <c r="H22" s="22" t="s">
        <v>415</v>
      </c>
      <c r="I22" s="13">
        <v>42728.265567129631</v>
      </c>
      <c r="J22" s="7">
        <v>1</v>
      </c>
      <c r="K22" s="109" t="str">
        <f t="shared" si="0"/>
        <v>4031/4032</v>
      </c>
      <c r="L22" s="22" t="str">
        <f>VLOOKUP(A22,'Trips&amp;Operators'!$C$1:$G$99999,5,FALSE)</f>
        <v>OUN ZACK</v>
      </c>
      <c r="M22" s="6">
        <f t="shared" si="1"/>
        <v>2.846064815093996E-2</v>
      </c>
      <c r="N22" s="7">
        <f t="shared" si="2"/>
        <v>40.983333337353542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04:32:48-700',mode:absolute,to:'2016-12-24 07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23.299600000000002</v>
      </c>
      <c r="Z22" s="67">
        <f t="shared" si="9"/>
        <v>1.34E-2</v>
      </c>
      <c r="AA22" s="67">
        <f t="shared" si="10"/>
        <v>23.286200000000001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0110-24</v>
      </c>
      <c r="AE22" s="91" t="str">
        <f t="shared" si="1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22" s="88" t="str">
        <f t="shared" si="13"/>
        <v>"C:\Program Files (x86)\AstroGrep\AstroGrep.exe" /spath="%USERPROFILE%\AppData\Local\Temp\OnboardLogs" /stypes="app*4032*20161224*"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110-24 --locoid 4032 --swversion DE.1.0.8.0 --startMP 204:232996 --initTime 2016-12-24T05:32:48 --startdatetime 2016-12-24T05:41:26 --delay 1 --endMP 204:134 --enddatetime 2016-12-24T06:22:25 --enforcementcount 1 &gt;&gt;C:\Users\stu\Documents\GitHub\eaglep3-reporting\EC\2016-12-24-refined-times.txt</v>
      </c>
      <c r="AI2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{"issue":{"subject":"","project_id":79,"tracker_id":40,"status_id":1,"priority_id":2,"assigned_to_id":23,"start_date":"2016-12-24","description":"","custom_fields":[{"id":1,"name":"Subdivision","value":"EC"},{"id":4,"name":"Milepost","value":"0.0134"},{"id":17,"name":"Train ID","value":"110-24"},{"id":16,"name":"Locomotive ID","value":"4032"},{"id":130,"name":"Impact","value":""},{"id":150,"name":"Time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467</v>
      </c>
      <c r="B23" s="7">
        <v>4044</v>
      </c>
      <c r="C23" s="22" t="s">
        <v>205</v>
      </c>
      <c r="D23" s="22" t="s">
        <v>650</v>
      </c>
      <c r="E23" s="13">
        <v>42728.206423611111</v>
      </c>
      <c r="F23" s="13">
        <v>42728.208761574075</v>
      </c>
      <c r="G23" s="7">
        <v>1</v>
      </c>
      <c r="H23" s="22" t="s">
        <v>272</v>
      </c>
      <c r="I23" s="13">
        <v>42728.232928240737</v>
      </c>
      <c r="J23" s="7">
        <v>1</v>
      </c>
      <c r="K23" s="109" t="str">
        <f t="shared" si="0"/>
        <v>4043/4044</v>
      </c>
      <c r="L23" s="22" t="str">
        <f>VLOOKUP(A23,'Trips&amp;Operators'!$C$1:$G$99999,5,FALSE)</f>
        <v>LOZA FIDEL</v>
      </c>
      <c r="M23" s="6">
        <f t="shared" si="1"/>
        <v>2.4166666662495118E-2</v>
      </c>
      <c r="N23" s="7">
        <f t="shared" si="2"/>
        <v>34.799999993992969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03:57:15-700',mode:absolute,to:'2016-12-24 06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7.5399999999999995E-2</v>
      </c>
      <c r="Z23" s="67">
        <f t="shared" si="9"/>
        <v>23.328900000000001</v>
      </c>
      <c r="AA23" s="67">
        <f t="shared" si="10"/>
        <v>23.253500000000003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0111-24</v>
      </c>
      <c r="AE23" s="91" t="str">
        <f t="shared" si="1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23" s="88" t="str">
        <f t="shared" si="13"/>
        <v>"C:\Program Files (x86)\AstroGrep\AstroGrep.exe" /spath="%USERPROFILE%\AppData\Local\Temp\OnboardLogs" /stypes="app*4044*20161224*"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111-24 --locoid 4044 --swversion DE.1.0.8.0 --startMP 204:754 --initTime 2016-12-24T04:57:15 --startdatetime 2016-12-24T05:00:37 --delay 1 --endMP 204:233289 --enddatetime 2016-12-24T05:35:25 --enforcementcount 1 &gt;&gt;C:\Users\stu\Documents\GitHub\eaglep3-reporting\EC\2016-12-24-refined-times.txt</v>
      </c>
      <c r="AI2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{"issue":{"subject":"","project_id":79,"tracker_id":40,"status_id":1,"priority_id":2,"assigned_to_id":23,"start_date":"2016-12-24","description":"","custom_fields":[{"id":1,"name":"Subdivision","value":"EC"},{"id":4,"name":"Milepost","value":"23.3289"},{"id":17,"name":"Train ID","value":"111-24"},{"id":16,"name":"Locomotive ID","value":"4044"},{"id":130,"name":"Impact","value":""},{"id":150,"name":"Time of Event (Mountain Time)","value":"05:35:25"},{"id":151,"name":"Denver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476</v>
      </c>
      <c r="B24" s="7">
        <v>4043</v>
      </c>
      <c r="C24" s="22" t="s">
        <v>205</v>
      </c>
      <c r="D24" s="22" t="s">
        <v>264</v>
      </c>
      <c r="E24" s="13">
        <v>42728.239120370374</v>
      </c>
      <c r="F24" s="13">
        <v>42728.247430555559</v>
      </c>
      <c r="G24" s="7">
        <v>1</v>
      </c>
      <c r="H24" s="22" t="s">
        <v>224</v>
      </c>
      <c r="I24" s="13">
        <v>42728.274201388886</v>
      </c>
      <c r="J24" s="7">
        <v>1</v>
      </c>
      <c r="K24" s="109" t="str">
        <f t="shared" si="0"/>
        <v>4043/4044</v>
      </c>
      <c r="L24" s="22" t="str">
        <f>VLOOKUP(A24,'Trips&amp;Operators'!$C$1:$G$99999,5,FALSE)</f>
        <v>LOZA FIDEL</v>
      </c>
      <c r="M24" s="6">
        <f t="shared" si="1"/>
        <v>2.6770833326736465E-2</v>
      </c>
      <c r="N24" s="7">
        <f t="shared" si="2"/>
        <v>38.54999999050051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04:44:20-700',mode:absolute,to:'2016-12-24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23.297699999999999</v>
      </c>
      <c r="Z24" s="67">
        <f t="shared" si="9"/>
        <v>1.54E-2</v>
      </c>
      <c r="AA24" s="67">
        <f t="shared" si="10"/>
        <v>23.282299999999999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0112-24</v>
      </c>
      <c r="AE24" s="91" t="str">
        <f t="shared" si="1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24" s="88" t="str">
        <f t="shared" si="13"/>
        <v>"C:\Program Files (x86)\AstroGrep\AstroGrep.exe" /spath="%USERPROFILE%\AppData\Local\Temp\OnboardLogs" /stypes="app*4043*20161224*"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112-24 --locoid 4043 --swversion DE.1.0.8.0 --startMP 204:232977 --initTime 2016-12-24T05:44:20 --startdatetime 2016-12-24T05:56:18 --delay 1 --endMP 204:154 --enddatetime 2016-12-24T06:34:51 --enforcementcount 1 &gt;&gt;C:\Users\stu\Documents\GitHub\eaglep3-reporting\EC\2016-12-24-refined-times.txt</v>
      </c>
      <c r="AI2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{"issue":{"subject":"","project_id":79,"tracker_id":40,"status_id":1,"priority_id":2,"assigned_to_id":23,"start_date":"2016-12-24","description":"","custom_fields":[{"id":1,"name":"Subdivision","value":"EC"},{"id":4,"name":"Milepost","value":"0.0154"},{"id":17,"name":"Train ID","value":"112-24"},{"id":16,"name":"Locomotive ID","value":"4043"},{"id":130,"name":"Impact","value":""},{"id":150,"name":"Time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466</v>
      </c>
      <c r="B25" s="7">
        <v>4029</v>
      </c>
      <c r="C25" s="22" t="s">
        <v>205</v>
      </c>
      <c r="D25" s="22" t="s">
        <v>193</v>
      </c>
      <c r="E25" s="13">
        <v>42728.206053240741</v>
      </c>
      <c r="F25" s="13">
        <v>42728.218923611108</v>
      </c>
      <c r="G25" s="7">
        <v>1</v>
      </c>
      <c r="H25" s="22" t="s">
        <v>402</v>
      </c>
      <c r="I25" s="13">
        <v>42728.243576388886</v>
      </c>
      <c r="J25" s="7">
        <v>1</v>
      </c>
      <c r="K25" s="109" t="str">
        <f t="shared" si="0"/>
        <v>4029/4030</v>
      </c>
      <c r="L25" s="22" t="str">
        <f>VLOOKUP(A25,'Trips&amp;Operators'!$C$1:$G$99999,5,FALSE)</f>
        <v>ISHMAEL JOSEPH</v>
      </c>
      <c r="M25" s="6">
        <f t="shared" si="1"/>
        <v>2.4652777778101154E-2</v>
      </c>
      <c r="N25" s="7">
        <f t="shared" si="2"/>
        <v>35.500000000465661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03:56:43-700',mode:absolute,to:'2016-12-24 06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4.4699999999999997E-2</v>
      </c>
      <c r="Z25" s="67">
        <f t="shared" si="9"/>
        <v>23.331700000000001</v>
      </c>
      <c r="AA25" s="67">
        <f t="shared" si="10"/>
        <v>23.287000000000003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0113-24</v>
      </c>
      <c r="AE25" s="91" t="str">
        <f t="shared" si="12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25" s="88" t="str">
        <f t="shared" si="13"/>
        <v>"C:\Program Files (x86)\AstroGrep\AstroGrep.exe" /spath="%USERPROFILE%\AppData\Local\Temp\OnboardLogs" /stypes="app*4029*20161224*"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113-24 --locoid 4029 --swversion DE.1.0.8.0 --startMP 204:447 --initTime 2016-12-24T04:56:43 --startdatetime 2016-12-24T05:15:15 --delay 1 --endMP 204:233317 --enddatetime 2016-12-24T05:50:45 --enforcementcount 1 &gt;&gt;C:\Users\stu\Documents\GitHub\eaglep3-reporting\EC\2016-12-24-refined-times.txt</v>
      </c>
      <c r="AI2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{"issue":{"subject":"","project_id":79,"tracker_id":40,"status_id":1,"priority_id":2,"assigned_to_id":23,"start_date":"2016-12-24","description":"","custom_fields":[{"id":1,"name":"Subdivision","value":"EC"},{"id":4,"name":"Milepost","value":"23.3317"},{"id":17,"name":"Train ID","value":"113-24"},{"id":16,"name":"Locomotive ID","value":"4029"},{"id":130,"name":"Impact","value":""},{"id":150,"name":"Time of Event (Mountain Time)","value":"05:50:45"},{"id":151,"name":"Denver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478</v>
      </c>
      <c r="B26" s="7">
        <v>4030</v>
      </c>
      <c r="C26" s="22" t="s">
        <v>205</v>
      </c>
      <c r="D26" s="22" t="s">
        <v>267</v>
      </c>
      <c r="E26" s="13">
        <v>42728.251712962963</v>
      </c>
      <c r="F26" s="13">
        <v>42728.257847222223</v>
      </c>
      <c r="G26" s="7">
        <v>1</v>
      </c>
      <c r="H26" s="22" t="s">
        <v>401</v>
      </c>
      <c r="I26" s="13">
        <v>42728.285138888888</v>
      </c>
      <c r="J26" s="7">
        <v>1</v>
      </c>
      <c r="K26" s="109" t="str">
        <f t="shared" si="0"/>
        <v>4029/4030</v>
      </c>
      <c r="L26" s="22" t="str">
        <f>VLOOKUP(A26,'Trips&amp;Operators'!$C$1:$G$99999,5,FALSE)</f>
        <v>ISHMAEL JOSEPH</v>
      </c>
      <c r="M26" s="6">
        <f t="shared" si="1"/>
        <v>2.7291666665405501E-2</v>
      </c>
      <c r="N26" s="7">
        <f t="shared" si="2"/>
        <v>39.299999998183921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05:02:28-700',mode:absolute,to:'2016-12-24 07:50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23.299299999999999</v>
      </c>
      <c r="Z26" s="67">
        <f t="shared" si="9"/>
        <v>1.5599999999999999E-2</v>
      </c>
      <c r="AA26" s="67">
        <f t="shared" si="10"/>
        <v>23.2837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0114-24</v>
      </c>
      <c r="AE26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26" s="88" t="str">
        <f t="shared" si="13"/>
        <v>"C:\Program Files (x86)\AstroGrep\AstroGrep.exe" /spath="%USERPROFILE%\AppData\Local\Temp\OnboardLogs" /stypes="app*4030*20161224*"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114-24 --locoid 4030 --swversion DE.1.0.8.0 --startMP 204:232993 --initTime 2016-12-24T06:02:28 --startdatetime 2016-12-24T06:11:18 --delay 1 --endMP 204:156 --enddatetime 2016-12-24T06:50:36 --enforcementcount 1 &gt;&gt;C:\Users\stu\Documents\GitHub\eaglep3-reporting\EC\2016-12-24-refined-times.txt</v>
      </c>
      <c r="AI2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{"issue":{"subject":"","project_id":79,"tracker_id":40,"status_id":1,"priority_id":2,"assigned_to_id":23,"start_date":"2016-12-24","description":"","custom_fields":[{"id":1,"name":"Subdivision","value":"EC"},{"id":4,"name":"Milepost","value":"0.0156"},{"id":17,"name":"Train ID","value":"114-24"},{"id":16,"name":"Locomotive ID","value":"4030"},{"id":130,"name":"Impact","value":""},{"id":150,"name":"Time of Event (Mountain Time)","value":"06:50:36"},{"id":151,"name":"Denver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788</v>
      </c>
      <c r="B27" s="7"/>
      <c r="C27" s="22" t="s">
        <v>205</v>
      </c>
      <c r="D27" s="22" t="s">
        <v>267</v>
      </c>
      <c r="E27" s="13">
        <v>42728.251712962963</v>
      </c>
      <c r="F27" s="13"/>
      <c r="G27" s="7"/>
      <c r="H27" s="22"/>
      <c r="I27" s="13"/>
      <c r="J27" s="7">
        <v>1</v>
      </c>
      <c r="K27" s="109" t="str">
        <f t="shared" ref="K27" si="33">IF(ISEVEN(B27),(B27-1)&amp;"/"&amp;B27,B27&amp;"/"&amp;(B27+1))</f>
        <v>-1/</v>
      </c>
      <c r="L27" s="22" t="e">
        <f>VLOOKUP(A27,'Trips&amp;Operators'!$C$1:$G$99999,5,FALSE)</f>
        <v>#N/A</v>
      </c>
      <c r="M27" s="6">
        <f t="shared" ref="M27" si="34">I27-F27</f>
        <v>0</v>
      </c>
      <c r="N27" s="7"/>
      <c r="O27" s="7"/>
      <c r="P27" s="7">
        <v>1</v>
      </c>
      <c r="Q27" s="23"/>
      <c r="R27" s="23" t="s">
        <v>789</v>
      </c>
      <c r="S27" s="35">
        <f t="shared" ref="S27" si="35">SUM(U27:U27)/IF(AG27="EC",12,1)</f>
        <v>0</v>
      </c>
      <c r="T27" s="50" t="str">
        <f t="shared" ref="T27" si="36"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8" t="str">
        <f t="shared" ref="V27" si="37"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https://search-rtdc-monitor-bjffxe2xuh6vdkpspy63sjmuny.us-east-1.es.amazonaws.com/_plugin/kibana/#/discover/Steve-Slow-Train-Analysis-(2080s-and-2083s)?_g=(refreshInterval:(display:Off,section:0,value:0),time:(from:'2016-12-24 05:02:28-700',mode:absolute,to:'1900-01-00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27" s="52" t="e">
        <f t="shared" ref="W27" si="38">IF(AA27&lt;IF(AG27="EC",23,5.65),"Y","N")</f>
        <v>#VALUE!</v>
      </c>
      <c r="X27" s="177">
        <f t="shared" si="7"/>
        <v>1</v>
      </c>
      <c r="Y27" s="67">
        <f t="shared" ref="Y27" si="39">RIGHT(D27,LEN(D27)-4)/10000</f>
        <v>23.299299999999999</v>
      </c>
      <c r="Z27" s="67" t="e">
        <f t="shared" ref="Z27" si="40">RIGHT(H27,LEN(H27)-4)/10000</f>
        <v>#VALUE!</v>
      </c>
      <c r="AA27" s="67" t="e">
        <f t="shared" ref="AA27" si="41">ABS(Z27-Y27)</f>
        <v>#VALUE!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ref="AD27" si="42">IF(LEN(A27)=6,"0"&amp;A27,A27)</f>
        <v>0115-24</v>
      </c>
      <c r="AE27" s="91" t="str">
        <f t="shared" ref="AE27" si="43"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7" s="88" t="str">
        <f t="shared" ref="AF27" si="44"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27" s="1" t="str">
        <f t="shared" ref="AG27" si="45">IFERROR(IF(VALUE(LEFT(AD27,2))&lt;=2,"EC",IF(OR(VALUE(LEFT(AD27,2))=8,VALUE(LEFT(AD27,2))=18),"NW","Other")),"Other")</f>
        <v>EC</v>
      </c>
      <c r="AH27" s="92" t="str">
        <f t="shared" ref="AH27" si="46"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115-24 --locoid  --swversion DE.1.0.8.0 --startMP 204:232993 --initTime 2016-12-24T06:02:28 --startdatetime 1900-01-00T00:00:00 --delay  --endMP  --enddatetime 1900-01-00T00:00:00 --enforcementcount 1 &gt;&gt;C:\Users\stu\Documents\GitHub\eaglep3-reporting\EC\2016-12-24-refined-times.txt</v>
      </c>
      <c r="AI27" s="119" t="e">
        <f t="shared" ref="AI27" si="47"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#VALUE!</v>
      </c>
      <c r="AJ27" s="53"/>
      <c r="AK27" s="53"/>
      <c r="AL27" s="53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</row>
    <row r="28" spans="1:91" s="1" customFormat="1" x14ac:dyDescent="0.25">
      <c r="A28" s="37" t="s">
        <v>481</v>
      </c>
      <c r="B28" s="7">
        <v>4004</v>
      </c>
      <c r="C28" s="22" t="s">
        <v>205</v>
      </c>
      <c r="D28" s="22" t="s">
        <v>274</v>
      </c>
      <c r="E28" s="13">
        <v>42728.262488425928</v>
      </c>
      <c r="F28" s="13">
        <v>42728.268252314818</v>
      </c>
      <c r="G28" s="7">
        <v>2</v>
      </c>
      <c r="H28" s="22" t="s">
        <v>651</v>
      </c>
      <c r="I28" s="13">
        <v>42728.29650462963</v>
      </c>
      <c r="J28" s="7">
        <v>1</v>
      </c>
      <c r="K28" s="109" t="str">
        <f t="shared" si="0"/>
        <v>4003/4004</v>
      </c>
      <c r="L28" s="22" t="str">
        <f>VLOOKUP(A28,'Trips&amp;Operators'!$C$1:$G$99999,5,FALSE)</f>
        <v>GEBRETEKLE DAGNEW</v>
      </c>
      <c r="M28" s="6">
        <f t="shared" si="1"/>
        <v>2.8252314812561963E-2</v>
      </c>
      <c r="N28" s="7">
        <f t="shared" si="2"/>
        <v>40.683333330089226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05:17:59-700',mode:absolute,to:'2016-12-24 08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9"/>
        <v>1.7600000000000001E-2</v>
      </c>
      <c r="AA28" s="67">
        <f t="shared" si="10"/>
        <v>23.280999999999999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0116-24</v>
      </c>
      <c r="AE28" s="91" t="str">
        <f t="shared" si="1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28" s="88" t="str">
        <f t="shared" si="13"/>
        <v>"C:\Program Files (x86)\AstroGrep\AstroGrep.exe" /spath="%USERPROFILE%\AppData\Local\Temp\OnboardLogs" /stypes="app*4004*20161224*"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116-24 --locoid 4004 --swversion DE.1.0.8.0 --startMP 204:232986 --initTime 2016-12-24T06:17:59 --startdatetime 2016-12-24T06:26:17 --delay 2 --endMP 204:176 --enddatetime 2016-12-24T07:06:58 --enforcementcount 1 &gt;&gt;C:\Users\stu\Documents\GitHub\eaglep3-reporting\EC\2016-12-24-refined-times.txt</v>
      </c>
      <c r="AI2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{"issue":{"subject":"","project_id":79,"tracker_id":40,"status_id":1,"priority_id":2,"assigned_to_id":23,"start_date":"2016-12-24","description":"","custom_fields":[{"id":1,"name":"Subdivision","value":"EC"},{"id":4,"name":"Milepost","value":"0.0176"},{"id":17,"name":"Train ID","value":"116-24"},{"id":16,"name":"Locomotive ID","value":"4004"},{"id":130,"name":"Impact","value":""},{"id":150,"name":"Time of Event (Mountain Time)","value":"07:06:58"},{"id":151,"name":"Denver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475</v>
      </c>
      <c r="B29" s="7">
        <v>4042</v>
      </c>
      <c r="C29" s="22" t="s">
        <v>205</v>
      </c>
      <c r="D29" s="22" t="s">
        <v>275</v>
      </c>
      <c r="E29" s="13">
        <v>42728.231006944443</v>
      </c>
      <c r="F29" s="13">
        <v>42728.23978009259</v>
      </c>
      <c r="G29" s="7">
        <v>1</v>
      </c>
      <c r="H29" s="22" t="s">
        <v>353</v>
      </c>
      <c r="I29" s="13">
        <v>42728.264837962961</v>
      </c>
      <c r="J29" s="7">
        <v>1</v>
      </c>
      <c r="K29" s="109" t="str">
        <f t="shared" si="0"/>
        <v>4041/4042</v>
      </c>
      <c r="L29" s="22" t="str">
        <f>VLOOKUP(A29,'Trips&amp;Operators'!$C$1:$G$99999,5,FALSE)</f>
        <v>KILLION DAVID</v>
      </c>
      <c r="M29" s="6">
        <f t="shared" si="1"/>
        <v>2.5057870370801538E-2</v>
      </c>
      <c r="N29" s="7">
        <f t="shared" si="2"/>
        <v>36.083333333954215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04:32:39-700',mode:absolute,to:'2016-12-24 07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4.3999999999999997E-2</v>
      </c>
      <c r="Z29" s="67">
        <f t="shared" si="9"/>
        <v>23.331399999999999</v>
      </c>
      <c r="AA29" s="67">
        <f t="shared" si="10"/>
        <v>23.287399999999998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0117-24</v>
      </c>
      <c r="AE29" s="91" t="str">
        <f t="shared" si="1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29" s="88" t="str">
        <f t="shared" si="13"/>
        <v>"C:\Program Files (x86)\AstroGrep\AstroGrep.exe" /spath="%USERPROFILE%\AppData\Local\Temp\OnboardLogs" /stypes="app*4042*20161224*"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117-24 --locoid 4042 --swversion DE.1.0.8.0 --startMP 204:440 --initTime 2016-12-24T05:32:39 --startdatetime 2016-12-24T05:45:17 --delay 1 --endMP 204:233314 --enddatetime 2016-12-24T06:21:22 --enforcementcount 1 &gt;&gt;C:\Users\stu\Documents\GitHub\eaglep3-reporting\EC\2016-12-24-refined-times.txt</v>
      </c>
      <c r="AI2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{"issue":{"subject":"","project_id":79,"tracker_id":40,"status_id":1,"priority_id":2,"assigned_to_id":23,"start_date":"2016-12-24","description":"","custom_fields":[{"id":1,"name":"Subdivision","value":"EC"},{"id":4,"name":"Milepost","value":"23.3314"},{"id":17,"name":"Train ID","value":"117-24"},{"id":16,"name":"Locomotive ID","value":"4042"},{"id":130,"name":"Impact","value":""},{"id":150,"name":"Time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483</v>
      </c>
      <c r="B30" s="7">
        <v>4041</v>
      </c>
      <c r="C30" s="22" t="s">
        <v>205</v>
      </c>
      <c r="D30" s="22" t="s">
        <v>393</v>
      </c>
      <c r="E30" s="13">
        <v>42728.274155092593</v>
      </c>
      <c r="F30" s="13">
        <v>42728.278784722221</v>
      </c>
      <c r="G30" s="7">
        <v>2</v>
      </c>
      <c r="H30" s="22" t="s">
        <v>322</v>
      </c>
      <c r="I30" s="13">
        <v>42728.305868055555</v>
      </c>
      <c r="J30" s="7">
        <v>1</v>
      </c>
      <c r="K30" s="109" t="str">
        <f t="shared" si="0"/>
        <v>4041/4042</v>
      </c>
      <c r="L30" s="22" t="str">
        <f>VLOOKUP(A30,'Trips&amp;Operators'!$C$1:$G$99999,5,FALSE)</f>
        <v>ROBINSON KADDIBA</v>
      </c>
      <c r="M30" s="6">
        <f t="shared" si="1"/>
        <v>2.7083333334303461E-2</v>
      </c>
      <c r="N30" s="7">
        <f t="shared" si="2"/>
        <v>39.000000001396984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05:34:47-700',mode:absolute,to:'2016-12-24 08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23.300799999999999</v>
      </c>
      <c r="Z30" s="67">
        <f t="shared" si="9"/>
        <v>1.52E-2</v>
      </c>
      <c r="AA30" s="67">
        <f t="shared" si="10"/>
        <v>23.285599999999999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0118-24</v>
      </c>
      <c r="AE30" s="91" t="str">
        <f t="shared" si="1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30" s="88" t="str">
        <f t="shared" si="13"/>
        <v>"C:\Program Files (x86)\AstroGrep\AstroGrep.exe" /spath="%USERPROFILE%\AppData\Local\Temp\OnboardLogs" /stypes="app*4041*20161224*"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118-24 --locoid 4041 --swversion DE.1.0.8.0 --startMP 204:233008 --initTime 2016-12-24T06:34:47 --startdatetime 2016-12-24T06:41:27 --delay 2 --endMP 204:152 --enddatetime 2016-12-24T07:20:27 --enforcementcount 1 &gt;&gt;C:\Users\stu\Documents\GitHub\eaglep3-reporting\EC\2016-12-24-refined-times.txt</v>
      </c>
      <c r="AI3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ID","value":"118-24"},{"id":16,"name":"Locomotive ID","value":"4041"},{"id":130,"name":"Impact","value":""},{"id":150,"name":"Time of Event (Mountain Time)","value":"07:20:27"},{"id":151,"name":"Denver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477</v>
      </c>
      <c r="B31" s="7">
        <v>4007</v>
      </c>
      <c r="C31" s="22" t="s">
        <v>205</v>
      </c>
      <c r="D31" s="22" t="s">
        <v>652</v>
      </c>
      <c r="E31" s="13">
        <v>42728.248657407406</v>
      </c>
      <c r="F31" s="13">
        <v>42728.250625000001</v>
      </c>
      <c r="G31" s="7">
        <v>1</v>
      </c>
      <c r="H31" s="22" t="s">
        <v>313</v>
      </c>
      <c r="I31" s="13">
        <v>42728.276828703703</v>
      </c>
      <c r="J31" s="7">
        <v>1</v>
      </c>
      <c r="K31" s="109" t="str">
        <f t="shared" si="0"/>
        <v>4007/4008</v>
      </c>
      <c r="L31" s="22" t="str">
        <f>VLOOKUP(A31,'Trips&amp;Operators'!$C$1:$G$99999,5,FALSE)</f>
        <v>MAHAN DUANE</v>
      </c>
      <c r="M31" s="6">
        <f t="shared" si="1"/>
        <v>2.6203703702776693E-2</v>
      </c>
      <c r="N31" s="7">
        <f t="shared" si="2"/>
        <v>37.733333331998438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04:58:04-700',mode:absolute,to:'2016-12-24 07:38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7.6799999999999993E-2</v>
      </c>
      <c r="Z31" s="67">
        <f t="shared" si="9"/>
        <v>23.329699999999999</v>
      </c>
      <c r="AA31" s="67">
        <f t="shared" si="10"/>
        <v>23.2529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0119-24</v>
      </c>
      <c r="AE31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31" s="88" t="str">
        <f t="shared" si="13"/>
        <v>"C:\Program Files (x86)\AstroGrep\AstroGrep.exe" /spath="%USERPROFILE%\AppData\Local\Temp\OnboardLogs" /stypes="app*4007*20161224*"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119-24 --locoid 4007 --swversion DE.1.0.8.0 --startMP 204:768 --initTime 2016-12-24T05:58:04 --startdatetime 2016-12-24T06:00:54 --delay 1 --endMP 204:233297 --enddatetime 2016-12-24T06:38:38 --enforcementcount 1 &gt;&gt;C:\Users\stu\Documents\GitHub\eaglep3-reporting\EC\2016-12-24-refined-times.txt</v>
      </c>
      <c r="AI3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ID","value":"119-24"},{"id":16,"name":"Locomotive ID","value":"4007"},{"id":130,"name":"Impact","value":""},{"id":150,"name":"Time of Event (Mountain Time)","value":"06:38:38"},{"id":151,"name":"Denver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486</v>
      </c>
      <c r="B32" s="7">
        <v>4008</v>
      </c>
      <c r="C32" s="22" t="s">
        <v>205</v>
      </c>
      <c r="D32" s="22" t="s">
        <v>323</v>
      </c>
      <c r="E32" s="13">
        <v>42728.282326388886</v>
      </c>
      <c r="F32" s="13">
        <v>42728.289085648146</v>
      </c>
      <c r="G32" s="7">
        <v>1</v>
      </c>
      <c r="H32" s="22" t="s">
        <v>322</v>
      </c>
      <c r="I32" s="13">
        <v>42728.317685185182</v>
      </c>
      <c r="J32" s="7">
        <v>1</v>
      </c>
      <c r="K32" s="109" t="str">
        <f t="shared" si="0"/>
        <v>4007/4008</v>
      </c>
      <c r="L32" s="22" t="str">
        <f>VLOOKUP(A32,'Trips&amp;Operators'!$C$1:$G$99999,5,FALSE)</f>
        <v>MAHAN DUANE</v>
      </c>
      <c r="M32" s="6">
        <f t="shared" si="1"/>
        <v>2.8599537035916001E-2</v>
      </c>
      <c r="N32" s="7">
        <f t="shared" si="2"/>
        <v>41.183333331719041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05:46:33-700',mode:absolute,to:'2016-12-24 08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23.297499999999999</v>
      </c>
      <c r="Z32" s="67">
        <f t="shared" si="9"/>
        <v>1.52E-2</v>
      </c>
      <c r="AA32" s="67">
        <f t="shared" si="10"/>
        <v>23.282299999999999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0120-24</v>
      </c>
      <c r="AE32" s="91" t="str">
        <f t="shared" si="1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32" s="88" t="str">
        <f t="shared" si="13"/>
        <v>"C:\Program Files (x86)\AstroGrep\AstroGrep.exe" /spath="%USERPROFILE%\AppData\Local\Temp\OnboardLogs" /stypes="app*4008*20161224*"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120-24 --locoid 4008 --swversion DE.1.0.8.0 --startMP 204:232975 --initTime 2016-12-24T06:46:33 --startdatetime 2016-12-24T06:56:17 --delay 1 --endMP 204:152 --enddatetime 2016-12-24T07:37:28 --enforcementcount 1 &gt;&gt;C:\Users\stu\Documents\GitHub\eaglep3-reporting\EC\2016-12-24-refined-times.txt</v>
      </c>
      <c r="AI3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ID","value":"120-24"},{"id":16,"name":"Locomotive ID","value":"4008"},{"id":130,"name":"Impact","value":""},{"id":150,"name":"Time of Event (Mountain Time)","value":"07:37:28"},{"id":151,"name":"Denver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480</v>
      </c>
      <c r="B33" s="7">
        <v>4011</v>
      </c>
      <c r="C33" s="22" t="s">
        <v>205</v>
      </c>
      <c r="D33" s="22" t="s">
        <v>308</v>
      </c>
      <c r="E33" s="13">
        <v>42728.258715277778</v>
      </c>
      <c r="F33" s="13">
        <v>42728.260578703703</v>
      </c>
      <c r="G33" s="7">
        <v>1</v>
      </c>
      <c r="H33" s="22" t="s">
        <v>313</v>
      </c>
      <c r="I33" s="13">
        <v>42728.285891203705</v>
      </c>
      <c r="J33" s="7">
        <v>1</v>
      </c>
      <c r="K33" s="109" t="str">
        <f t="shared" si="0"/>
        <v>4011/4012</v>
      </c>
      <c r="L33" s="22" t="str">
        <f>VLOOKUP(A33,'Trips&amp;Operators'!$C$1:$G$99999,5,FALSE)</f>
        <v>DAVIS WENDY</v>
      </c>
      <c r="M33" s="6">
        <f t="shared" si="1"/>
        <v>2.531250000174623E-2</v>
      </c>
      <c r="N33" s="7">
        <f t="shared" si="2"/>
        <v>36.450000002514571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05:12:33-700',mode:absolute,to:'2016-12-24 07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4.3299999999999998E-2</v>
      </c>
      <c r="Z33" s="67">
        <f t="shared" si="9"/>
        <v>23.329699999999999</v>
      </c>
      <c r="AA33" s="67">
        <f t="shared" si="10"/>
        <v>23.2864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0121-24</v>
      </c>
      <c r="AE33" s="91" t="str">
        <f t="shared" si="1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33" s="88" t="str">
        <f t="shared" si="13"/>
        <v>"C:\Program Files (x86)\AstroGrep\AstroGrep.exe" /spath="%USERPROFILE%\AppData\Local\Temp\OnboardLogs" /stypes="app*4011*20161224*" /stext=" 13:.+((SYSTEM_STATE.+slice.+state.+changed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121-24 --locoid 4011 --swversion DE.1.0.8.0 --startMP 204:433 --initTime 2016-12-24T06:12:33 --startdatetime 2016-12-24T06:15:14 --delay 1 --endMP 204:233297 --enddatetime 2016-12-24T06:51:41 --enforcementcount 1 &gt;&gt;C:\Users\stu\Documents\GitHub\eaglep3-reporting\EC\2016-12-24-refined-times.txt</v>
      </c>
      <c r="AI3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ID","value":"121-24"},{"id":16,"name":"Locomotive ID","value":"4011"},{"id":130,"name":"Impact","value":""},{"id":150,"name":"Time of Event (Mountain Time)","value":"06:51:41"},{"id":151,"name":"Denver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489</v>
      </c>
      <c r="B34" s="7">
        <v>4012</v>
      </c>
      <c r="C34" s="22" t="s">
        <v>205</v>
      </c>
      <c r="D34" s="22" t="s">
        <v>326</v>
      </c>
      <c r="E34" s="13">
        <v>42728.292824074073</v>
      </c>
      <c r="F34" s="13">
        <v>42728.299513888887</v>
      </c>
      <c r="G34" s="7">
        <v>1</v>
      </c>
      <c r="H34" s="22" t="s">
        <v>400</v>
      </c>
      <c r="I34" s="13">
        <v>42728.327546296299</v>
      </c>
      <c r="J34" s="7">
        <v>1</v>
      </c>
      <c r="K34" s="109" t="str">
        <f t="shared" si="0"/>
        <v>4011/4012</v>
      </c>
      <c r="L34" s="22" t="str">
        <f>VLOOKUP(A34,'Trips&amp;Operators'!$C$1:$G$99999,5,FALSE)</f>
        <v>DAVIS WENDY</v>
      </c>
      <c r="M34" s="6">
        <f t="shared" si="1"/>
        <v>2.8032407411956228E-2</v>
      </c>
      <c r="N34" s="7">
        <f t="shared" si="2"/>
        <v>40.366666673216969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06:01:40-700',mode:absolute,to:'2016-12-24 08:51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23.298300000000001</v>
      </c>
      <c r="Z34" s="67">
        <f t="shared" si="9"/>
        <v>1.3599999999999999E-2</v>
      </c>
      <c r="AA34" s="67">
        <f t="shared" si="10"/>
        <v>23.284700000000001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0122-24</v>
      </c>
      <c r="AE34" s="91" t="str">
        <f t="shared" si="1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34" s="88" t="str">
        <f t="shared" si="13"/>
        <v>"C:\Program Files (x86)\AstroGrep\AstroGrep.exe" /spath="%USERPROFILE%\AppData\Local\Temp\OnboardLogs" /stypes="app*4012*20161224*" /stext=" 14:.+((SYSTEM_STATE.+slice.+state.+changed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122-24 --locoid 4012 --swversion DE.1.0.8.0 --startMP 204:232983 --initTime 2016-12-24T07:01:40 --startdatetime 2016-12-24T07:11:18 --delay 1 --endMP 204:136 --enddatetime 2016-12-24T07:51:40 --enforcementcount 1 &gt;&gt;C:\Users\stu\Documents\GitHub\eaglep3-reporting\EC\2016-12-24-refined-times.txt</v>
      </c>
      <c r="AI3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{"issue":{"subject":"","project_id":79,"tracker_id":40,"status_id":1,"priority_id":2,"assigned_to_id":23,"start_date":"2016-12-24","description":"","custom_fields":[{"id":1,"name":"Subdivision","value":"EC"},{"id":4,"name":"Milepost","value":"0.0136"},{"id":17,"name":"Train ID","value":"122-24"},{"id":16,"name":"Locomotive ID","value":"4012"},{"id":130,"name":"Impact","value":""},{"id":150,"name":"Time of Event (Mountain Time)","value":"07:51:40"},{"id":151,"name":"Denver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482</v>
      </c>
      <c r="B35" s="7">
        <v>4031</v>
      </c>
      <c r="C35" s="22" t="s">
        <v>205</v>
      </c>
      <c r="D35" s="22" t="s">
        <v>241</v>
      </c>
      <c r="E35" s="13">
        <v>42728.266932870371</v>
      </c>
      <c r="F35" s="13">
        <v>42728.27107638889</v>
      </c>
      <c r="G35" s="7">
        <v>1</v>
      </c>
      <c r="H35" s="22" t="s">
        <v>653</v>
      </c>
      <c r="I35" s="13">
        <v>42728.296446759261</v>
      </c>
      <c r="J35" s="7">
        <v>1</v>
      </c>
      <c r="K35" s="109" t="str">
        <f t="shared" si="0"/>
        <v>4031/4032</v>
      </c>
      <c r="L35" s="22" t="str">
        <f>VLOOKUP(A35,'Trips&amp;Operators'!$C$1:$G$99999,5,FALSE)</f>
        <v>OUN ZACK</v>
      </c>
      <c r="M35" s="6">
        <f t="shared" si="1"/>
        <v>2.5370370371092577E-2</v>
      </c>
      <c r="N35" s="7">
        <f t="shared" si="2"/>
        <v>36.53333333437331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05:24:23-700',mode:absolute,to:'2016-12-24 08:06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4.58E-2</v>
      </c>
      <c r="Z35" s="67">
        <f t="shared" si="9"/>
        <v>23.333200000000001</v>
      </c>
      <c r="AA35" s="67">
        <f t="shared" si="10"/>
        <v>23.287400000000002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0123-24</v>
      </c>
      <c r="AE35" s="91" t="str">
        <f t="shared" si="1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35" s="88" t="str">
        <f t="shared" si="13"/>
        <v>"C:\Program Files (x86)\AstroGrep\AstroGrep.exe" /spath="%USERPROFILE%\AppData\Local\Temp\OnboardLogs" /stypes="app*4031*20161224*"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123-24 --locoid 4031 --swversion DE.1.0.8.0 --startMP 204:458 --initTime 2016-12-24T06:24:23 --startdatetime 2016-12-24T06:30:21 --delay 1 --endMP 204:233332 --enddatetime 2016-12-24T07:06:53 --enforcementcount 1 &gt;&gt;C:\Users\stu\Documents\GitHub\eaglep3-reporting\EC\2016-12-24-refined-times.txt</v>
      </c>
      <c r="AI3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{"issue":{"subject":"","project_id":79,"tracker_id":40,"status_id":1,"priority_id":2,"assigned_to_id":23,"start_date":"2016-12-24","description":"","custom_fields":[{"id":1,"name":"Subdivision","value":"EC"},{"id":4,"name":"Milepost","value":"23.3332"},{"id":17,"name":"Train ID","value":"123-24"},{"id":16,"name":"Locomotive ID","value":"4031"},{"id":130,"name":"Impact","value":""},{"id":150,"name":"Time of Event (Mountain Time)","value":"07:06:53"},{"id":151,"name":"Denver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491</v>
      </c>
      <c r="B36" s="7">
        <v>4032</v>
      </c>
      <c r="C36" s="22" t="s">
        <v>205</v>
      </c>
      <c r="D36" s="22" t="s">
        <v>287</v>
      </c>
      <c r="E36" s="13">
        <v>42728.305324074077</v>
      </c>
      <c r="F36" s="13">
        <v>42728.31</v>
      </c>
      <c r="G36" s="7">
        <v>1</v>
      </c>
      <c r="H36" s="22" t="s">
        <v>271</v>
      </c>
      <c r="I36" s="13">
        <v>42728.338240740741</v>
      </c>
      <c r="J36" s="7">
        <v>1</v>
      </c>
      <c r="K36" s="109" t="str">
        <f t="shared" si="0"/>
        <v>4031/4032</v>
      </c>
      <c r="L36" s="22" t="str">
        <f>VLOOKUP(A36,'Trips&amp;Operators'!$C$1:$G$99999,5,FALSE)</f>
        <v>OUN ZACK</v>
      </c>
      <c r="M36" s="6">
        <f t="shared" si="1"/>
        <v>2.8240740743058268E-2</v>
      </c>
      <c r="N36" s="7">
        <f t="shared" si="2"/>
        <v>40.666666670003906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06:19:40-700',mode:absolute,to:'2016-12-24 09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23.297799999999999</v>
      </c>
      <c r="Z36" s="67">
        <f t="shared" si="9"/>
        <v>1.38E-2</v>
      </c>
      <c r="AA36" s="67">
        <f t="shared" si="10"/>
        <v>23.283999999999999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0124-24</v>
      </c>
      <c r="AE36" s="91" t="str">
        <f t="shared" si="1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36" s="88" t="str">
        <f t="shared" si="13"/>
        <v>"C:\Program Files (x86)\AstroGrep\AstroGrep.exe" /spath="%USERPROFILE%\AppData\Local\Temp\OnboardLogs" /stypes="app*4032*20161224*" /stext=" 15:.+((SYSTEM_STATE.+slice.+state.+changed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124-24 --locoid 4032 --swversion DE.1.0.8.0 --startMP 204:232978 --initTime 2016-12-24T07:19:40 --startdatetime 2016-12-24T07:26:24 --delay 1 --endMP 204:138 --enddatetime 2016-12-24T08:07:04 --enforcementcount 1 &gt;&gt;C:\Users\stu\Documents\GitHub\eaglep3-reporting\EC\2016-12-24-refined-times.txt</v>
      </c>
      <c r="AI3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{"issue":{"subject":"","project_id":79,"tracker_id":40,"status_id":1,"priority_id":2,"assigned_to_id":23,"start_date":"2016-12-24","description":"","custom_fields":[{"id":1,"name":"Subdivision","value":"EC"},{"id":4,"name":"Milepost","value":"0.0138"},{"id":17,"name":"Train ID","value":"124-24"},{"id":16,"name":"Locomotive ID","value":"4032"},{"id":130,"name":"Impact","value":""},{"id":150,"name":"Time of Event (Mountain Time)","value":"08:07:04"},{"id":151,"name":"Denver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484</v>
      </c>
      <c r="B37" s="7">
        <v>4044</v>
      </c>
      <c r="C37" s="22" t="s">
        <v>205</v>
      </c>
      <c r="D37" s="22" t="s">
        <v>281</v>
      </c>
      <c r="E37" s="13">
        <v>42728.276782407411</v>
      </c>
      <c r="F37" s="13">
        <v>42728.281747685185</v>
      </c>
      <c r="G37" s="7">
        <v>1</v>
      </c>
      <c r="H37" s="22" t="s">
        <v>285</v>
      </c>
      <c r="I37" s="13">
        <v>42728.305810185186</v>
      </c>
      <c r="J37" s="7">
        <v>1</v>
      </c>
      <c r="K37" s="109" t="str">
        <f t="shared" si="0"/>
        <v>4043/4044</v>
      </c>
      <c r="L37" s="22" t="str">
        <f>VLOOKUP(A37,'Trips&amp;Operators'!$C$1:$G$99999,5,FALSE)</f>
        <v>LOZA FIDEL</v>
      </c>
      <c r="M37" s="6">
        <f t="shared" si="1"/>
        <v>2.4062500000582077E-2</v>
      </c>
      <c r="N37" s="7">
        <f t="shared" si="2"/>
        <v>34.65000000083819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05:38:34-700',mode:absolute,to:'2016-12-24 08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4.4900000000000002E-2</v>
      </c>
      <c r="Z37" s="67">
        <f t="shared" si="9"/>
        <v>23.3308</v>
      </c>
      <c r="AA37" s="67">
        <f t="shared" si="10"/>
        <v>23.285900000000002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0125-24</v>
      </c>
      <c r="AE37" s="91" t="str">
        <f t="shared" si="1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37" s="88" t="str">
        <f t="shared" si="13"/>
        <v>"C:\Program Files (x86)\AstroGrep\AstroGrep.exe" /spath="%USERPROFILE%\AppData\Local\Temp\OnboardLogs" /stypes="app*4044*20161224*"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125-24 --locoid 4044 --swversion DE.1.0.8.0 --startMP 204:449 --initTime 2016-12-24T06:38:34 --startdatetime 2016-12-24T06:45:43 --delay 1 --endMP 204:233308 --enddatetime 2016-12-24T07:20:22 --enforcementcount 1 &gt;&gt;C:\Users\stu\Documents\GitHub\eaglep3-reporting\EC\2016-12-24-refined-times.txt</v>
      </c>
      <c r="AI3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{"issue":{"subject":"","project_id":79,"tracker_id":40,"status_id":1,"priority_id":2,"assigned_to_id":23,"start_date":"2016-12-24","description":"","custom_fields":[{"id":1,"name":"Subdivision","value":"EC"},{"id":4,"name":"Milepost","value":"23.3308"},{"id":17,"name":"Train ID","value":"125-24"},{"id":16,"name":"Locomotive ID","value":"4044"},{"id":130,"name":"Impact","value":""},{"id":150,"name":"Time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493</v>
      </c>
      <c r="B38" s="7">
        <v>4043</v>
      </c>
      <c r="C38" s="22" t="s">
        <v>205</v>
      </c>
      <c r="D38" s="22" t="s">
        <v>267</v>
      </c>
      <c r="E38" s="13">
        <v>42728.316365740742</v>
      </c>
      <c r="F38" s="13">
        <v>42728.3203587963</v>
      </c>
      <c r="G38" s="7">
        <v>1</v>
      </c>
      <c r="H38" s="22" t="s">
        <v>191</v>
      </c>
      <c r="I38" s="13">
        <v>42728.346898148149</v>
      </c>
      <c r="J38" s="7">
        <v>1</v>
      </c>
      <c r="K38" s="109" t="str">
        <f t="shared" si="0"/>
        <v>4043/4044</v>
      </c>
      <c r="L38" s="22" t="str">
        <f>VLOOKUP(A38,'Trips&amp;Operators'!$C$1:$G$99999,5,FALSE)</f>
        <v>LOZA FIDEL</v>
      </c>
      <c r="M38" s="6">
        <f t="shared" si="1"/>
        <v>2.6539351849351078E-2</v>
      </c>
      <c r="N38" s="7">
        <f t="shared" si="2"/>
        <v>38.216666663065553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06:35:34-700',mode:absolute,to:'2016-12-24 09:19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23.299299999999999</v>
      </c>
      <c r="Z38" s="67">
        <f t="shared" si="9"/>
        <v>1.49E-2</v>
      </c>
      <c r="AA38" s="67">
        <f t="shared" si="10"/>
        <v>23.284399999999998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0126-24</v>
      </c>
      <c r="AE38" s="91" t="str">
        <f t="shared" si="1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38" s="88" t="str">
        <f t="shared" si="13"/>
        <v>"C:\Program Files (x86)\AstroGrep\AstroGrep.exe" /spath="%USERPROFILE%\AppData\Local\Temp\OnboardLogs" /stypes="app*4043*20161224*" /stext=" 15:.+((SYSTEM_STATE.+slice.+state.+changed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126-24 --locoid 4043 --swversion DE.1.0.8.0 --startMP 204:232993 --initTime 2016-12-24T07:35:34 --startdatetime 2016-12-24T07:41:19 --delay 1 --endMP 204:149 --enddatetime 2016-12-24T08:19:32 --enforcementcount 1 &gt;&gt;C:\Users\stu\Documents\GitHub\eaglep3-reporting\EC\2016-12-24-refined-times.txt</v>
      </c>
      <c r="AI3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ID","value":"126-24"},{"id":16,"name":"Locomotive ID","value":"4043"},{"id":130,"name":"Impact","value":""},{"id":150,"name":"Time of Event (Mountain Time)","value":"08:19:32"},{"id":151,"name":"Denver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487</v>
      </c>
      <c r="B39" s="7">
        <v>4029</v>
      </c>
      <c r="C39" s="22" t="s">
        <v>205</v>
      </c>
      <c r="D39" s="22" t="s">
        <v>229</v>
      </c>
      <c r="E39" s="13">
        <v>42728.286215277774</v>
      </c>
      <c r="F39" s="13">
        <v>42728.292118055557</v>
      </c>
      <c r="G39" s="7">
        <v>1</v>
      </c>
      <c r="H39" s="22" t="s">
        <v>414</v>
      </c>
      <c r="I39" s="13">
        <v>42728.316203703704</v>
      </c>
      <c r="J39" s="7">
        <v>1</v>
      </c>
      <c r="K39" s="109" t="str">
        <f t="shared" si="0"/>
        <v>4029/4030</v>
      </c>
      <c r="L39" s="22" t="str">
        <f>VLOOKUP(A39,'Trips&amp;Operators'!$C$1:$G$99999,5,FALSE)</f>
        <v>ISHMAEL JOSEPH</v>
      </c>
      <c r="M39" s="6">
        <f t="shared" si="1"/>
        <v>2.4085648146865424E-2</v>
      </c>
      <c r="N39" s="7">
        <f t="shared" si="2"/>
        <v>34.68333333148621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05:52:09-700',mode:absolute,to:'2016-12-24 08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4.5999999999999999E-2</v>
      </c>
      <c r="Z39" s="67">
        <f t="shared" si="9"/>
        <v>23.334900000000001</v>
      </c>
      <c r="AA39" s="67">
        <f t="shared" si="10"/>
        <v>23.288900000000002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0127-24</v>
      </c>
      <c r="AE39" s="91" t="str">
        <f t="shared" si="12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39" s="88" t="str">
        <f t="shared" si="13"/>
        <v>"C:\Program Files (x86)\AstroGrep\AstroGrep.exe" /spath="%USERPROFILE%\AppData\Local\Temp\OnboardLogs" /stypes="app*4029*20161224*" /stext=" 14:.+((SYSTEM_STATE.+slice.+state.+changed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127-24 --locoid 4029 --swversion DE.1.0.8.0 --startMP 204:460 --initTime 2016-12-24T06:52:09 --startdatetime 2016-12-24T07:00:39 --delay 1 --endMP 204:233349 --enddatetime 2016-12-24T07:35:20 --enforcementcount 1 &gt;&gt;C:\Users\stu\Documents\GitHub\eaglep3-reporting\EC\2016-12-24-refined-times.txt</v>
      </c>
      <c r="AI3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{"issue":{"subject":"","project_id":79,"tracker_id":40,"status_id":1,"priority_id":2,"assigned_to_id":23,"start_date":"2016-12-24","description":"","custom_fields":[{"id":1,"name":"Subdivision","value":"EC"},{"id":4,"name":"Milepost","value":"23.3349"},{"id":17,"name":"Train ID","value":"127-24"},{"id":16,"name":"Locomotive ID","value":"4029"},{"id":130,"name":"Impact","value":""},{"id":150,"name":"Time of Event (Mountain Time)","value":"07:35:20"},{"id":151,"name":"Denver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436</v>
      </c>
      <c r="B40" s="7">
        <v>4030</v>
      </c>
      <c r="C40" s="22" t="s">
        <v>205</v>
      </c>
      <c r="D40" s="22" t="s">
        <v>274</v>
      </c>
      <c r="E40" s="13">
        <v>42728.32309027778</v>
      </c>
      <c r="F40" s="13">
        <v>42728.330763888887</v>
      </c>
      <c r="G40" s="7">
        <v>1</v>
      </c>
      <c r="H40" s="22" t="s">
        <v>322</v>
      </c>
      <c r="I40" s="13">
        <v>42728.360127314816</v>
      </c>
      <c r="J40" s="7">
        <v>1</v>
      </c>
      <c r="K40" s="109" t="str">
        <f t="shared" si="0"/>
        <v>4029/4030</v>
      </c>
      <c r="L40" s="22" t="str">
        <f>VLOOKUP(A40,'Trips&amp;Operators'!$C$1:$G$99999,5,FALSE)</f>
        <v>ISHMAEL JOSEPH</v>
      </c>
      <c r="M40" s="6">
        <f t="shared" si="1"/>
        <v>2.9363425928750075E-2</v>
      </c>
      <c r="N40" s="7">
        <f t="shared" si="2"/>
        <v>42.283333337400109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06:45:15-700',mode:absolute,to:'2016-12-24 09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23.2986</v>
      </c>
      <c r="Z40" s="67">
        <f t="shared" si="9"/>
        <v>1.52E-2</v>
      </c>
      <c r="AA40" s="67">
        <f t="shared" si="10"/>
        <v>23.2834</v>
      </c>
      <c r="AB40" s="64" t="str">
        <f>VLOOKUP(A40,Enforcements!$C$7:$K$19,8,0)</f>
        <v>Speed (6)</v>
      </c>
      <c r="AC40" s="60" t="str">
        <f>VLOOKUP(A40,Enforcements!$C$7:$E$19,3,0)</f>
        <v>PERMANENT SPEED RESTRICTION</v>
      </c>
      <c r="AD40" s="61" t="str">
        <f t="shared" si="11"/>
        <v>0128-24</v>
      </c>
      <c r="AE40" s="91" t="str">
        <f t="shared" si="12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40" s="88" t="str">
        <f t="shared" si="13"/>
        <v>"C:\Program Files (x86)\AstroGrep\AstroGrep.exe" /spath="%USERPROFILE%\AppData\Local\Temp\OnboardLogs" /stypes="app*4030*20161224*" /stext=" 15:.+((SYSTEM_STATE.+slice.+state.+changed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128-24 --locoid 4030 --swversion DE.1.0.8.0 --startMP 204:232986 --initTime 2016-12-24T07:45:15 --startdatetime 2016-12-24T07:56:18 --delay 1 --endMP 204:152 --enddatetime 2016-12-24T08:38:35 --enforcementcount 1 &gt;&gt;C:\Users\stu\Documents\GitHub\eaglep3-reporting\EC\2016-12-24-refined-times.txt</v>
      </c>
      <c r="AI4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ID","value":"128-24"},{"id":16,"name":"Locomotive ID","value":"4030"},{"id":130,"name":"Impact","value":""},{"id":150,"name":"Time of Event (Mountain Time)","value":"08:38:35"},{"id":151,"name":"Denver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490</v>
      </c>
      <c r="B41" s="7">
        <v>4003</v>
      </c>
      <c r="C41" s="22" t="s">
        <v>205</v>
      </c>
      <c r="D41" s="22" t="s">
        <v>229</v>
      </c>
      <c r="E41" s="13">
        <v>42728.298796296294</v>
      </c>
      <c r="F41" s="13">
        <v>42728.302291666667</v>
      </c>
      <c r="G41" s="7">
        <v>1</v>
      </c>
      <c r="H41" s="22" t="s">
        <v>353</v>
      </c>
      <c r="I41" s="13">
        <v>42728.326620370368</v>
      </c>
      <c r="J41" s="7">
        <v>1</v>
      </c>
      <c r="K41" s="109" t="str">
        <f t="shared" si="0"/>
        <v>4003/4004</v>
      </c>
      <c r="L41" s="22" t="str">
        <f>VLOOKUP(A41,'Trips&amp;Operators'!$C$1:$G$99999,5,FALSE)</f>
        <v>GEBRETEKLE DAGNEW</v>
      </c>
      <c r="M41" s="6">
        <f t="shared" si="1"/>
        <v>2.4328703701030463E-2</v>
      </c>
      <c r="N41" s="7">
        <f t="shared" si="2"/>
        <v>35.033333329483867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06:10:16-700',mode:absolute,to:'2016-12-24 08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4.5999999999999999E-2</v>
      </c>
      <c r="Z41" s="67">
        <f t="shared" si="9"/>
        <v>23.331399999999999</v>
      </c>
      <c r="AA41" s="67">
        <f t="shared" si="10"/>
        <v>23.285399999999999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0129-24</v>
      </c>
      <c r="AE41" s="91" t="str">
        <f t="shared" si="1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41" s="88" t="str">
        <f t="shared" si="13"/>
        <v>"C:\Program Files (x86)\AstroGrep\AstroGrep.exe" /spath="%USERPROFILE%\AppData\Local\Temp\OnboardLogs" /stypes="app*4003*20161224*" /stext=" 14:.+((SYSTEM_STATE.+slice.+state.+changed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129-24 --locoid 4003 --swversion DE.1.0.8.0 --startMP 204:460 --initTime 2016-12-24T07:10:16 --startdatetime 2016-12-24T07:15:18 --delay 1 --endMP 204:233314 --enddatetime 2016-12-24T07:50:20 --enforcementcount 1 &gt;&gt;C:\Users\stu\Documents\GitHub\eaglep3-reporting\EC\2016-12-24-refined-times.txt</v>
      </c>
      <c r="AI4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{"issue":{"subject":"","project_id":79,"tracker_id":40,"status_id":1,"priority_id":2,"assigned_to_id":23,"start_date":"2016-12-24","description":"","custom_fields":[{"id":1,"name":"Subdivision","value":"EC"},{"id":4,"name":"Milepost","value":"23.3314"},{"id":17,"name":"Train ID","value":"129-24"},{"id":16,"name":"Locomotive ID","value":"4003"},{"id":130,"name":"Impact","value":""},{"id":150,"name":"Time of Event (Mountain Time)","value":"07:50:20"},{"id":151,"name":"Denver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497</v>
      </c>
      <c r="B42" s="7">
        <v>4004</v>
      </c>
      <c r="C42" s="22" t="s">
        <v>205</v>
      </c>
      <c r="D42" s="22" t="s">
        <v>273</v>
      </c>
      <c r="E42" s="13">
        <v>42728.337268518517</v>
      </c>
      <c r="F42" s="13">
        <v>42728.341180555559</v>
      </c>
      <c r="G42" s="7">
        <v>1</v>
      </c>
      <c r="H42" s="22" t="s">
        <v>259</v>
      </c>
      <c r="I42" s="13">
        <v>42728.370613425926</v>
      </c>
      <c r="J42" s="7">
        <v>1</v>
      </c>
      <c r="K42" s="109" t="str">
        <f t="shared" si="0"/>
        <v>4003/4004</v>
      </c>
      <c r="L42" s="22" t="str">
        <f>VLOOKUP(A42,'Trips&amp;Operators'!$C$1:$G$99999,5,FALSE)</f>
        <v>GEBRETEKLE DAGNEW</v>
      </c>
      <c r="M42" s="6">
        <f t="shared" si="1"/>
        <v>2.9432870367600117E-2</v>
      </c>
      <c r="N42" s="7">
        <f t="shared" si="2"/>
        <v>42.383333329344168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07:05:40-700',mode:absolute,to:'2016-12-24 09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23.3</v>
      </c>
      <c r="Z42" s="67">
        <f t="shared" si="9"/>
        <v>1.47E-2</v>
      </c>
      <c r="AA42" s="67">
        <f t="shared" si="10"/>
        <v>23.285299999999999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0130-24</v>
      </c>
      <c r="AE42" s="91" t="str">
        <f t="shared" si="1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42" s="88" t="str">
        <f t="shared" si="13"/>
        <v>"C:\Program Files (x86)\AstroGrep\AstroGrep.exe" /spath="%USERPROFILE%\AppData\Local\Temp\OnboardLogs" /stypes="app*4004*20161224*" /stext=" 15:.+((SYSTEM_STATE.+slice.+state.+changed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130-24 --locoid 4004 --swversion DE.1.0.8.0 --startMP 204:233000 --initTime 2016-12-24T08:05:40 --startdatetime 2016-12-24T08:11:18 --delay 1 --endMP 204:147 --enddatetime 2016-12-24T08:53:41 --enforcementcount 1 &gt;&gt;C:\Users\stu\Documents\GitHub\eaglep3-reporting\EC\2016-12-24-refined-times.txt</v>
      </c>
      <c r="AI4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{"issue":{"subject":"","project_id":79,"tracker_id":40,"status_id":1,"priority_id":2,"assigned_to_id":23,"start_date":"2016-12-24","description":"","custom_fields":[{"id":1,"name":"Subdivision","value":"EC"},{"id":4,"name":"Milepost","value":"0.0147"},{"id":17,"name":"Train ID","value":"130-24"},{"id":16,"name":"Locomotive ID","value":"4004"},{"id":130,"name":"Impact","value":""},{"id":150,"name":"Time of Event (Mountain Time)","value":"08:53:41"},{"id":151,"name":"Denver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492</v>
      </c>
      <c r="B43" s="7">
        <v>4042</v>
      </c>
      <c r="C43" s="22" t="s">
        <v>205</v>
      </c>
      <c r="D43" s="22" t="s">
        <v>255</v>
      </c>
      <c r="E43" s="13">
        <v>42728.308425925927</v>
      </c>
      <c r="F43" s="13">
        <v>42728.309479166666</v>
      </c>
      <c r="G43" s="7">
        <v>1</v>
      </c>
      <c r="H43" s="22" t="s">
        <v>228</v>
      </c>
      <c r="I43" s="13">
        <v>42728.310543981483</v>
      </c>
      <c r="J43" s="7">
        <v>0</v>
      </c>
      <c r="K43" s="109" t="str">
        <f t="shared" si="0"/>
        <v>4041/4042</v>
      </c>
      <c r="L43" s="22" t="str">
        <f>VLOOKUP(A43,'Trips&amp;Operators'!$C$1:$G$99999,5,FALSE)</f>
        <v>KILLION DAVID</v>
      </c>
      <c r="M43" s="6">
        <f t="shared" si="1"/>
        <v>1.0648148163454607E-3</v>
      </c>
      <c r="N43" s="7"/>
      <c r="O43" s="7"/>
      <c r="P43" s="7">
        <f t="shared" si="2"/>
        <v>1.5333333355374634</v>
      </c>
      <c r="Q43" s="23"/>
      <c r="R43" s="23" t="s">
        <v>777</v>
      </c>
      <c r="S43" s="35">
        <f t="shared" si="3"/>
        <v>0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06:24:08-700',mode:absolute,to:'2016-12-24 08:27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3" s="52" t="str">
        <f t="shared" si="6"/>
        <v>Y</v>
      </c>
      <c r="X43" s="177">
        <f t="shared" si="7"/>
        <v>1</v>
      </c>
      <c r="Y43" s="67">
        <f t="shared" si="8"/>
        <v>4.6399999999999997E-2</v>
      </c>
      <c r="Z43" s="67">
        <f t="shared" si="9"/>
        <v>4.5499999999999999E-2</v>
      </c>
      <c r="AA43" s="67">
        <f t="shared" si="10"/>
        <v>8.9999999999999802E-4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0131-24</v>
      </c>
      <c r="AE43" s="91" t="str">
        <f t="shared" si="1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43" s="88" t="str">
        <f t="shared" si="13"/>
        <v>"C:\Program Files (x86)\AstroGrep\AstroGrep.exe" /spath="%USERPROFILE%\AppData\Local\Temp\OnboardLogs" /stypes="app*4042*20161224*"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131-24 --locoid 4042 --swversion DE.1.0.8.0 --startMP 204:464 --initTime 2016-12-24T07:24:08 --startdatetime 2016-12-24T07:25:39 --delay 1 --endMP 204:455 --enddatetime 2016-12-24T07:27:11 --enforcementcount 0 &gt;&gt;C:\Users\stu\Documents\GitHub\eaglep3-reporting\EC\2016-12-24-refined-times.txt</v>
      </c>
      <c r="AI43" s="119" t="str">
        <f t="shared" si="18"/>
        <v>echo {"issue":{"subject":"Onboard in-route failure","project_id":79,"tracker_id":40,"status_id":1,"priority_id":2,"assigned_to_id":23,"start_date":"2016-12-24","description":"","custom_fields":[{"id":1,"name":"Subdivision","value":"EC"},{"id":4,"name":"Milepost","value":"0.0455"},{"id":17,"name":"Train ID","value":"131-24"},{"id":16,"name":"Locomotive ID","value":"4042"},{"id":130,"name":"Impact","value":""},{"id":150,"name":"Time of Event (Mountain Time)","value":"07:27:11"},{"id":151,"name":"Denver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499</v>
      </c>
      <c r="B44" s="7">
        <v>4041</v>
      </c>
      <c r="C44" s="22" t="s">
        <v>205</v>
      </c>
      <c r="D44" s="22" t="s">
        <v>287</v>
      </c>
      <c r="E44" s="13">
        <v>42728.349444444444</v>
      </c>
      <c r="F44" s="13">
        <v>42728.351620370369</v>
      </c>
      <c r="G44" s="7">
        <v>0</v>
      </c>
      <c r="H44" s="22" t="s">
        <v>654</v>
      </c>
      <c r="I44" s="13">
        <v>42728.378946759258</v>
      </c>
      <c r="J44" s="7">
        <v>1</v>
      </c>
      <c r="K44" s="109" t="str">
        <f t="shared" si="0"/>
        <v>4041/4042</v>
      </c>
      <c r="L44" s="22" t="str">
        <f>VLOOKUP(A44,'Trips&amp;Operators'!$C$1:$G$99999,5,FALSE)</f>
        <v>ROBINSON KADDIBA</v>
      </c>
      <c r="M44" s="6">
        <f t="shared" si="1"/>
        <v>2.73263888884685E-2</v>
      </c>
      <c r="N44" s="7">
        <f t="shared" si="2"/>
        <v>39.34999999939464</v>
      </c>
      <c r="O44" s="7"/>
      <c r="P44" s="7"/>
      <c r="Q44" s="23"/>
      <c r="R44" s="23"/>
      <c r="S44" s="35">
        <f t="shared" si="3"/>
        <v>1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07:23:12-700',mode:absolute,to:'2016-12-24 10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23.297799999999999</v>
      </c>
      <c r="Z44" s="67">
        <f t="shared" si="9"/>
        <v>0.1171</v>
      </c>
      <c r="AA44" s="67">
        <f t="shared" si="10"/>
        <v>23.180699999999998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0132-24</v>
      </c>
      <c r="AE44" s="91" t="str">
        <f t="shared" si="1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44" s="88" t="str">
        <f t="shared" si="13"/>
        <v>"C:\Program Files (x86)\AstroGrep\AstroGrep.exe" /spath="%USERPROFILE%\AppData\Local\Temp\OnboardLogs" /stypes="app*4041*20161224*" /stext=" 16:.+((SYSTEM_STATE.+slice.+state.+changed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132-24 --locoid 4041 --swversion DE.1.0.8.0 --startMP 204:232978 --initTime 2016-12-24T08:23:12 --startdatetime 2016-12-24T08:26:20 --delay 0 --endMP 204:1171 --enddatetime 2016-12-24T09:05:41 --enforcementcount 1 &gt;&gt;C:\Users\stu\Documents\GitHub\eaglep3-reporting\EC\2016-12-24-refined-times.txt</v>
      </c>
      <c r="AI4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{"issue":{"subject":"","project_id":79,"tracker_id":40,"status_id":1,"priority_id":2,"assigned_to_id":23,"start_date":"2016-12-24","description":"","custom_fields":[{"id":1,"name":"Subdivision","value":"EC"},{"id":4,"name":"Milepost","value":"0.1171"},{"id":17,"name":"Train ID","value":"132-24"},{"id":16,"name":"Locomotive ID","value":"4041"},{"id":130,"name":"Impact","value":""},{"id":150,"name":"Time of Event (Mountain Time)","value":"09:05:41"},{"id":151,"name":"Denver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495</v>
      </c>
      <c r="B45" s="7">
        <v>4007</v>
      </c>
      <c r="C45" s="22" t="s">
        <v>205</v>
      </c>
      <c r="D45" s="22" t="s">
        <v>266</v>
      </c>
      <c r="E45" s="13">
        <v>42728.320162037038</v>
      </c>
      <c r="F45" s="13">
        <v>42728.323321759257</v>
      </c>
      <c r="G45" s="7">
        <v>1</v>
      </c>
      <c r="H45" s="22" t="s">
        <v>284</v>
      </c>
      <c r="I45" s="13">
        <v>42728.350787037038</v>
      </c>
      <c r="J45" s="7">
        <v>1</v>
      </c>
      <c r="K45" s="109" t="str">
        <f t="shared" si="0"/>
        <v>4007/4008</v>
      </c>
      <c r="L45" s="22" t="str">
        <f>VLOOKUP(A45,'Trips&amp;Operators'!$C$1:$G$99999,5,FALSE)</f>
        <v>MAHAN DUANE</v>
      </c>
      <c r="M45" s="6">
        <f t="shared" si="1"/>
        <v>2.7465277780720498E-2</v>
      </c>
      <c r="N45" s="7">
        <f t="shared" si="2"/>
        <v>39.550000004237518</v>
      </c>
      <c r="O45" s="7"/>
      <c r="P45" s="7"/>
      <c r="Q45" s="23"/>
      <c r="R45" s="23"/>
      <c r="S45" s="35">
        <f t="shared" si="3"/>
        <v>1</v>
      </c>
      <c r="T45" s="50" t="str">
        <f t="shared" si="4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06:41:02-700',mode:absolute,to:'2016-12-24 09:25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4.6199999999999998E-2</v>
      </c>
      <c r="Z45" s="67">
        <f t="shared" si="9"/>
        <v>23.329499999999999</v>
      </c>
      <c r="AA45" s="67">
        <f t="shared" si="10"/>
        <v>23.283300000000001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0133-24</v>
      </c>
      <c r="AE45" s="91" t="str">
        <f t="shared" si="1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45" s="88" t="str">
        <f t="shared" si="13"/>
        <v>"C:\Program Files (x86)\AstroGrep\AstroGrep.exe" /spath="%USERPROFILE%\AppData\Local\Temp\OnboardLogs" /stypes="app*4007*20161224*"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133-24 --locoid 4007 --swversion DE.1.0.8.0 --startMP 204:462 --initTime 2016-12-24T07:41:02 --startdatetime 2016-12-24T07:45:35 --delay 1 --endMP 204:233295 --enddatetime 2016-12-24T08:25:08 --enforcementcount 1 &gt;&gt;C:\Users\stu\Documents\GitHub\eaglep3-reporting\EC\2016-12-24-refined-times.txt</v>
      </c>
      <c r="AI4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{"issue":{"subject":"","project_id":79,"tracker_id":40,"status_id":1,"priority_id":2,"assigned_to_id":23,"start_date":"2016-12-24","description":"","custom_fields":[{"id":1,"name":"Subdivision","value":"EC"},{"id":4,"name":"Milepost","value":"23.3295"},{"id":17,"name":"Train ID","value":"133-24"},{"id":16,"name":"Locomotive ID","value":"4007"},{"id":130,"name":"Impact","value":""},{"id":150,"name":"Time of Event (Mountain Time)","value":"08:25:08"},{"id":151,"name":"Denver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501</v>
      </c>
      <c r="B46" s="7">
        <v>4008</v>
      </c>
      <c r="C46" s="22" t="s">
        <v>205</v>
      </c>
      <c r="D46" s="22" t="s">
        <v>264</v>
      </c>
      <c r="E46" s="13">
        <v>42728.356388888889</v>
      </c>
      <c r="F46" s="13">
        <v>42728.362002314818</v>
      </c>
      <c r="G46" s="7">
        <v>1</v>
      </c>
      <c r="H46" s="22" t="s">
        <v>351</v>
      </c>
      <c r="I46" s="13">
        <v>42728.390115740738</v>
      </c>
      <c r="J46" s="7">
        <v>1</v>
      </c>
      <c r="K46" s="109" t="str">
        <f t="shared" si="0"/>
        <v>4007/4008</v>
      </c>
      <c r="L46" s="22" t="str">
        <f>VLOOKUP(A46,'Trips&amp;Operators'!$C$1:$G$99999,5,FALSE)</f>
        <v>MAHAN DUANE</v>
      </c>
      <c r="M46" s="6">
        <f t="shared" si="1"/>
        <v>2.8113425920309965E-2</v>
      </c>
      <c r="N46" s="7">
        <f t="shared" si="2"/>
        <v>40.483333325246349</v>
      </c>
      <c r="O46" s="7"/>
      <c r="P46" s="7"/>
      <c r="Q46" s="23"/>
      <c r="R46" s="23"/>
      <c r="S46" s="35">
        <f t="shared" si="3"/>
        <v>1</v>
      </c>
      <c r="T46" s="50" t="str">
        <f t="shared" si="4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https://search-rtdc-monitor-bjffxe2xuh6vdkpspy63sjmuny.us-east-1.es.amazonaws.com/_plugin/kibana/#/discover/Steve-Slow-Train-Analysis-(2080s-and-2083s)?_g=(refreshInterval:(display:Off,section:0,value:0),time:(from:'2016-12-24 07:33:12-700',mode:absolute,to:'2016-12-24 10:21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23.297699999999999</v>
      </c>
      <c r="Z46" s="67">
        <f t="shared" si="9"/>
        <v>1.41E-2</v>
      </c>
      <c r="AA46" s="67">
        <f t="shared" si="10"/>
        <v>23.2836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0134-24</v>
      </c>
      <c r="AE46" s="91" t="str">
        <f t="shared" si="1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46" s="88" t="str">
        <f t="shared" si="13"/>
        <v>"C:\Program Files (x86)\AstroGrep\AstroGrep.exe" /spath="%USERPROFILE%\AppData\Local\Temp\OnboardLogs" /stypes="app*4008*20161224*" /stext=" 16:.+((SYSTEM_STATE.+slice.+state.+changed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134-24 --locoid 4008 --swversion DE.1.0.8.0 --startMP 204:232977 --initTime 2016-12-24T08:33:12 --startdatetime 2016-12-24T08:41:17 --delay 1 --endMP 204:141 --enddatetime 2016-12-24T09:21:46 --enforcementcount 1 &gt;&gt;C:\Users\stu\Documents\GitHub\eaglep3-reporting\EC\2016-12-24-refined-times.txt</v>
      </c>
      <c r="AI4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ID","value":"134-24"},{"id":16,"name":"Locomotive ID","value":"4008"},{"id":130,"name":"Impact","value":""},{"id":150,"name":"Time of Event (Mountain Time)","value":"09:21:46"},{"id":151,"name":"Denver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437</v>
      </c>
      <c r="B47" s="7">
        <v>4011</v>
      </c>
      <c r="C47" s="22" t="s">
        <v>205</v>
      </c>
      <c r="D47" s="22" t="s">
        <v>241</v>
      </c>
      <c r="E47" s="13">
        <v>42728.329074074078</v>
      </c>
      <c r="F47" s="13">
        <v>42728.333692129629</v>
      </c>
      <c r="G47" s="7">
        <v>1</v>
      </c>
      <c r="H47" s="22" t="s">
        <v>284</v>
      </c>
      <c r="I47" s="13">
        <v>42728.358657407407</v>
      </c>
      <c r="J47" s="7">
        <v>1</v>
      </c>
      <c r="K47" s="109" t="str">
        <f t="shared" ref="K47:K78" si="48">IF(ISEVEN(B47),(B47-1)&amp;"/"&amp;B47,B47&amp;"/"&amp;(B47+1))</f>
        <v>4011/4012</v>
      </c>
      <c r="L47" s="22" t="str">
        <f>VLOOKUP(A47,'Trips&amp;Operators'!$C$1:$G$99999,5,FALSE)</f>
        <v>DAVIS WENDY</v>
      </c>
      <c r="M47" s="6">
        <f t="shared" ref="M47:M78" si="49">I47-F47</f>
        <v>2.4965277778392192E-2</v>
      </c>
      <c r="N47" s="7">
        <f t="shared" ref="N47:P78" si="50">24*60*SUM($M47:$M47)</f>
        <v>35.950000000884756</v>
      </c>
      <c r="O47" s="7"/>
      <c r="P47" s="7"/>
      <c r="Q47" s="23"/>
      <c r="R47" s="23"/>
      <c r="S47" s="35">
        <f t="shared" ref="S47:S78" si="51">SUM(U47:U47)/IF(AG47="EC",12,1)</f>
        <v>1</v>
      </c>
      <c r="T47" s="50" t="str">
        <f t="shared" ref="T47:T78" si="52"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ref="V47:V78" si="53"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https://search-rtdc-monitor-bjffxe2xuh6vdkpspy63sjmuny.us-east-1.es.amazonaws.com/_plugin/kibana/#/discover/Steve-Slow-Train-Analysis-(2080s-and-2083s)?_g=(refreshInterval:(display:Off,section:0,value:0),time:(from:'2016-12-24 06:53:52-700',mode:absolute,to:'2016-12-24 09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7" s="52" t="str">
        <f t="shared" ref="W47:W78" si="54">IF(AA47&lt;IF(AG47="EC",23,5.65),"Y","N")</f>
        <v>N</v>
      </c>
      <c r="X47" s="177">
        <f t="shared" ref="X47:X78" si="55">VALUE(LEFT(AD47,4))-VALUE(LEFT(AD46,4))</f>
        <v>1</v>
      </c>
      <c r="Y47" s="67">
        <f t="shared" ref="Y47:Y78" si="56">RIGHT(D47,LEN(D47)-4)/10000</f>
        <v>4.58E-2</v>
      </c>
      <c r="Z47" s="67">
        <f t="shared" ref="Z47:Z78" si="57">RIGHT(H47,LEN(H47)-4)/10000</f>
        <v>23.329499999999999</v>
      </c>
      <c r="AA47" s="67">
        <f t="shared" ref="AA47:AA78" si="58">ABS(Z47-Y47)</f>
        <v>23.2837</v>
      </c>
      <c r="AB47" s="64" t="str">
        <f>VLOOKUP(A47,Enforcements!$C$7:$K$19,8,0)</f>
        <v>Signal based authority (5)</v>
      </c>
      <c r="AC47" s="60" t="str">
        <f>VLOOKUP(A47,Enforcements!$C$7:$E$19,3,0)</f>
        <v>SIGNAL</v>
      </c>
      <c r="AD47" s="61" t="str">
        <f t="shared" ref="AD47:AD78" si="59">IF(LEN(A47)=6,"0"&amp;A47,A47)</f>
        <v>0135-24</v>
      </c>
      <c r="AE47" s="91" t="str">
        <f t="shared" ref="AE47:AE78" si="60"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47" s="88" t="str">
        <f t="shared" ref="AF47:AF78" si="61"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/stypes="app*4011*20161224*" /stext=" 15:.+((SYSTEM_STATE.+slice.+state.+changed )|(ment ac)|(multiple cpu faults)|(system.+state.+changed )|(\[timeout)|(PRM\|1\|D)|(kpr)|(kdp)|(\|lc)|(penalty))" /e /r /s</v>
      </c>
      <c r="AG47" s="1" t="str">
        <f t="shared" ref="AG47:AG78" si="62">IFERROR(IF(VALUE(LEFT(AD47,2))&lt;=2,"EC",IF(OR(VALUE(LEFT(AD47,2))=8,VALUE(LEFT(AD47,2))=18),"NW","Other")),"Other")</f>
        <v>EC</v>
      </c>
      <c r="AH47" s="92" t="str">
        <f t="shared" si="17"/>
        <v>"%USERPROFILE%\Documents\GitHub\eaglep3\Utilities\RefineRTDCRunTimes.py" --tripid 135-24 --locoid 4011 --swversion DE.1.0.8.0 --startMP 204:458 --initTime 2016-12-24T07:53:52 --startdatetime 2016-12-24T08:00:31 --delay 1 --endMP 204:233295 --enddatetime 2016-12-24T08:36:28 --enforcementcount 1 &gt;&gt;C:\Users\stu\Documents\GitHub\eaglep3-reporting\EC\2016-12-24-refined-times.txt</v>
      </c>
      <c r="AI4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{"issue":{"subject":"","project_id":79,"tracker_id":40,"status_id":1,"priority_id":2,"assigned_to_id":23,"start_date":"2016-12-24","description":"","custom_fields":[{"id":1,"name":"Subdivision","value":"EC"},{"id":4,"name":"Milepost","value":"23.3295"},{"id":17,"name":"Train ID","value":"135-24"},{"id":16,"name":"Locomotive ID","value":"4011"},{"id":130,"name":"Impact","value":""},{"id":150,"name":"Time of Event (Mountain Time)","value":"08:36:28"},{"id":151,"name":"Denver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438</v>
      </c>
      <c r="B48" s="7">
        <v>4012</v>
      </c>
      <c r="C48" s="22" t="s">
        <v>205</v>
      </c>
      <c r="D48" s="22" t="s">
        <v>325</v>
      </c>
      <c r="E48" s="13">
        <v>42728.368888888886</v>
      </c>
      <c r="F48" s="13">
        <v>42728.372372685182</v>
      </c>
      <c r="G48" s="7">
        <v>1</v>
      </c>
      <c r="H48" s="22" t="s">
        <v>243</v>
      </c>
      <c r="I48" s="13">
        <v>42728.400937500002</v>
      </c>
      <c r="J48" s="7">
        <v>1</v>
      </c>
      <c r="K48" s="109" t="str">
        <f t="shared" si="48"/>
        <v>4011/4012</v>
      </c>
      <c r="L48" s="22" t="str">
        <f>VLOOKUP(A48,'Trips&amp;Operators'!$C$1:$G$99999,5,FALSE)</f>
        <v>DAVIS WENDY</v>
      </c>
      <c r="M48" s="6">
        <f t="shared" si="49"/>
        <v>2.8564814820128959E-2</v>
      </c>
      <c r="N48" s="7">
        <f t="shared" si="50"/>
        <v>41.1333333409857</v>
      </c>
      <c r="O48" s="7"/>
      <c r="P48" s="7"/>
      <c r="Q48" s="23"/>
      <c r="R48" s="23"/>
      <c r="S48" s="35">
        <f t="shared" si="51"/>
        <v>1</v>
      </c>
      <c r="T48" s="50" t="str">
        <f t="shared" si="5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07:51:12-700',mode:absolute,to:'2016-12-24 10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8" s="52" t="str">
        <f t="shared" si="54"/>
        <v>N</v>
      </c>
      <c r="X48" s="177">
        <f t="shared" si="55"/>
        <v>1</v>
      </c>
      <c r="Y48" s="67">
        <f t="shared" si="56"/>
        <v>23.297999999999998</v>
      </c>
      <c r="Z48" s="67">
        <f t="shared" si="57"/>
        <v>1.6299999999999999E-2</v>
      </c>
      <c r="AA48" s="67">
        <f t="shared" si="58"/>
        <v>23.281699999999997</v>
      </c>
      <c r="AB48" s="64" t="str">
        <f>VLOOKUP(A48,Enforcements!$C$7:$K$19,8,0)</f>
        <v>Form based authority (4)</v>
      </c>
      <c r="AC48" s="60" t="str">
        <f>VLOOKUP(A48,Enforcements!$C$7:$E$19,3,0)</f>
        <v>TRACK WARRANT AUTHORITY</v>
      </c>
      <c r="AD48" s="61" t="str">
        <f t="shared" si="59"/>
        <v>0136-24</v>
      </c>
      <c r="AE48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48" s="88" t="str">
        <f t="shared" si="61"/>
        <v>"C:\Program Files (x86)\AstroGrep\AstroGrep.exe" /spath="%USERPROFILE%\AppData\Local\Temp\OnboardLogs" /stypes="app*4012*20161224*" /stext=" 16:.+((SYSTEM_STATE.+slice.+state.+changed )|(ment ac)|(multiple cpu faults)|(system.+state.+changed )|(\[timeout)|(PRM\|1\|D)|(kpr)|(kdp)|(\|lc)|(penalty))" /e /r /s</v>
      </c>
      <c r="AG48" s="1" t="str">
        <f t="shared" si="62"/>
        <v>EC</v>
      </c>
      <c r="AH48" s="92" t="str">
        <f t="shared" si="17"/>
        <v>"%USERPROFILE%\Documents\GitHub\eaglep3\Utilities\RefineRTDCRunTimes.py" --tripid 136-24 --locoid 4012 --swversion DE.1.0.8.0 --startMP 204:232980 --initTime 2016-12-24T08:51:12 --startdatetime 2016-12-24T08:56:13 --delay 1 --endMP 204:163 --enddatetime 2016-12-24T09:37:21 --enforcementcount 1 &gt;&gt;C:\Users\stu\Documents\GitHub\eaglep3-reporting\EC\2016-12-24-refined-times.txt</v>
      </c>
      <c r="AI4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ID","value":"136-24"},{"id":16,"name":"Locomotive ID","value":"4012"},{"id":130,"name":"Impact","value":""},{"id":150,"name":"Time of Event (Mountain Time)","value":"09:37:21"},{"id":151,"name":"Denver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498</v>
      </c>
      <c r="B49" s="7">
        <v>4031</v>
      </c>
      <c r="C49" s="22" t="s">
        <v>205</v>
      </c>
      <c r="D49" s="22" t="s">
        <v>193</v>
      </c>
      <c r="E49" s="13">
        <v>42728.340150462966</v>
      </c>
      <c r="F49" s="13">
        <v>42728.344027777777</v>
      </c>
      <c r="G49" s="7">
        <v>0</v>
      </c>
      <c r="H49" s="22" t="s">
        <v>312</v>
      </c>
      <c r="I49" s="13">
        <v>42728.369444444441</v>
      </c>
      <c r="J49" s="7">
        <v>1</v>
      </c>
      <c r="K49" s="109" t="str">
        <f t="shared" si="48"/>
        <v>4031/4032</v>
      </c>
      <c r="L49" s="22" t="str">
        <f>VLOOKUP(A49,'Trips&amp;Operators'!$C$1:$G$99999,5,FALSE)</f>
        <v>OUN ZACK</v>
      </c>
      <c r="M49" s="6">
        <f t="shared" si="49"/>
        <v>2.5416666663659271E-2</v>
      </c>
      <c r="N49" s="7">
        <f t="shared" si="50"/>
        <v>36.59999999566935</v>
      </c>
      <c r="O49" s="7"/>
      <c r="P49" s="7"/>
      <c r="Q49" s="23"/>
      <c r="R49" s="23"/>
      <c r="S49" s="35">
        <f t="shared" si="51"/>
        <v>1</v>
      </c>
      <c r="T49" s="50" t="str">
        <f t="shared" si="5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07:09:49-700',mode:absolute,to:'2016-12-24 09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9" s="52" t="str">
        <f t="shared" si="54"/>
        <v>N</v>
      </c>
      <c r="X49" s="177">
        <f t="shared" si="55"/>
        <v>1</v>
      </c>
      <c r="Y49" s="67">
        <f t="shared" si="56"/>
        <v>4.4699999999999997E-2</v>
      </c>
      <c r="Z49" s="67">
        <f t="shared" si="57"/>
        <v>23.328499999999998</v>
      </c>
      <c r="AA49" s="67">
        <f t="shared" si="58"/>
        <v>23.283799999999999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59"/>
        <v>0137-24</v>
      </c>
      <c r="AE49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49" s="88" t="str">
        <f t="shared" si="61"/>
        <v>"C:\Program Files (x86)\AstroGrep\AstroGrep.exe" /spath="%USERPROFILE%\AppData\Local\Temp\OnboardLogs" /stypes="app*4031*20161224*" /stext=" 15:.+((SYSTEM_STATE.+slice.+state.+changed )|(ment ac)|(multiple cpu faults)|(system.+state.+changed )|(\[timeout)|(PRM\|1\|D)|(kpr)|(kdp)|(\|lc)|(penalty))" /e /r /s</v>
      </c>
      <c r="AG49" s="1" t="str">
        <f t="shared" si="62"/>
        <v>EC</v>
      </c>
      <c r="AH49" s="92" t="str">
        <f t="shared" si="17"/>
        <v>"%USERPROFILE%\Documents\GitHub\eaglep3\Utilities\RefineRTDCRunTimes.py" --tripid 137-24 --locoid 4031 --swversion DE.1.0.8.0 --startMP 204:447 --initTime 2016-12-24T08:09:49 --startdatetime 2016-12-24T08:15:24 --delay 0 --endMP 204:233285 --enddatetime 2016-12-24T08:52:00 --enforcementcount 1 &gt;&gt;C:\Users\stu\Documents\GitHub\eaglep3-reporting\EC\2016-12-24-refined-times.txt</v>
      </c>
      <c r="AI4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{"issue":{"subject":"","project_id":79,"tracker_id":40,"status_id":1,"priority_id":2,"assigned_to_id":23,"start_date":"2016-12-24","description":"","custom_fields":[{"id":1,"name":"Subdivision","value":"EC"},{"id":4,"name":"Milepost","value":"23.3285"},{"id":17,"name":"Train ID","value":"137-24"},{"id":16,"name":"Locomotive ID","value":"4031"},{"id":130,"name":"Impact","value":""},{"id":150,"name":"Time of Event (Mountain Time)","value":"08:52:00"},{"id":151,"name":"Denver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506</v>
      </c>
      <c r="B50" s="7">
        <v>4032</v>
      </c>
      <c r="C50" s="22" t="s">
        <v>205</v>
      </c>
      <c r="D50" s="22" t="s">
        <v>655</v>
      </c>
      <c r="E50" s="13">
        <v>42728.376956018517</v>
      </c>
      <c r="F50" s="13">
        <v>42728.382928240739</v>
      </c>
      <c r="G50" s="7">
        <v>1</v>
      </c>
      <c r="H50" s="22" t="s">
        <v>233</v>
      </c>
      <c r="I50" s="13">
        <v>42728.410810185182</v>
      </c>
      <c r="J50" s="7">
        <v>1</v>
      </c>
      <c r="K50" s="109" t="str">
        <f t="shared" si="48"/>
        <v>4031/4032</v>
      </c>
      <c r="L50" s="22" t="str">
        <f>VLOOKUP(A50,'Trips&amp;Operators'!$C$1:$G$99999,5,FALSE)</f>
        <v>OUN ZACK</v>
      </c>
      <c r="M50" s="6">
        <f t="shared" si="49"/>
        <v>2.7881944442924578E-2</v>
      </c>
      <c r="N50" s="7">
        <f t="shared" si="50"/>
        <v>40.149999997811392</v>
      </c>
      <c r="O50" s="7"/>
      <c r="P50" s="7"/>
      <c r="Q50" s="23"/>
      <c r="R50" s="23"/>
      <c r="S50" s="35">
        <f t="shared" si="51"/>
        <v>1</v>
      </c>
      <c r="T50" s="50" t="str">
        <f t="shared" si="5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08:02:49-700',mode:absolute,to:'2016-12-24 10:51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0" s="52" t="str">
        <f t="shared" si="54"/>
        <v>N</v>
      </c>
      <c r="X50" s="177">
        <f t="shared" si="55"/>
        <v>1</v>
      </c>
      <c r="Y50" s="67">
        <f t="shared" si="56"/>
        <v>23.2989</v>
      </c>
      <c r="Z50" s="67">
        <f t="shared" si="57"/>
        <v>1.4500000000000001E-2</v>
      </c>
      <c r="AA50" s="67">
        <f t="shared" si="58"/>
        <v>23.284399999999998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59"/>
        <v>0138-24</v>
      </c>
      <c r="AE50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50" s="88" t="str">
        <f t="shared" si="61"/>
        <v>"C:\Program Files (x86)\AstroGrep\AstroGrep.exe" /spath="%USERPROFILE%\AppData\Local\Temp\OnboardLogs" /stypes="app*4032*20161224*" /stext=" 16:.+((SYSTEM_STATE.+slice.+state.+changed )|(ment ac)|(multiple cpu faults)|(system.+state.+changed )|(\[timeout)|(PRM\|1\|D)|(kpr)|(kdp)|(\|lc)|(penalty))" /e /r /s</v>
      </c>
      <c r="AG50" s="1" t="str">
        <f t="shared" si="62"/>
        <v>EC</v>
      </c>
      <c r="AH50" s="92" t="str">
        <f t="shared" si="17"/>
        <v>"%USERPROFILE%\Documents\GitHub\eaglep3\Utilities\RefineRTDCRunTimes.py" --tripid 138-24 --locoid 4032 --swversion DE.1.0.8.0 --startMP 204:232989 --initTime 2016-12-24T09:02:49 --startdatetime 2016-12-24T09:11:25 --delay 1 --endMP 204:145 --enddatetime 2016-12-24T09:51:34 --enforcementcount 1 &gt;&gt;C:\Users\stu\Documents\GitHub\eaglep3-reporting\EC\2016-12-24-refined-times.txt</v>
      </c>
      <c r="AI5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ID","value":"138-24"},{"id":16,"name":"Locomotive ID","value":"4032"},{"id":130,"name":"Impact","value":""},{"id":150,"name":"Time of Event (Mountain Time)","value":"09:51:34"},{"id":151,"name":"Denver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500</v>
      </c>
      <c r="B51" s="7">
        <v>4044</v>
      </c>
      <c r="C51" s="22" t="s">
        <v>205</v>
      </c>
      <c r="D51" s="22" t="s">
        <v>656</v>
      </c>
      <c r="E51" s="13">
        <v>42728.350810185184</v>
      </c>
      <c r="F51" s="13">
        <v>42728.354432870372</v>
      </c>
      <c r="G51" s="7">
        <v>1</v>
      </c>
      <c r="H51" s="22" t="s">
        <v>657</v>
      </c>
      <c r="I51" s="13">
        <v>42728.378530092596</v>
      </c>
      <c r="J51" s="7">
        <v>1</v>
      </c>
      <c r="K51" s="109" t="str">
        <f t="shared" si="48"/>
        <v>4043/4044</v>
      </c>
      <c r="L51" s="22" t="str">
        <f>VLOOKUP(A51,'Trips&amp;Operators'!$C$1:$G$99999,5,FALSE)</f>
        <v>LOZA FIDEL</v>
      </c>
      <c r="M51" s="6">
        <f t="shared" si="49"/>
        <v>2.4097222223645076E-2</v>
      </c>
      <c r="N51" s="7">
        <f t="shared" si="50"/>
        <v>34.70000000204891</v>
      </c>
      <c r="O51" s="7"/>
      <c r="P51" s="7"/>
      <c r="Q51" s="23"/>
      <c r="R51" s="23"/>
      <c r="S51" s="35">
        <f t="shared" si="51"/>
        <v>1</v>
      </c>
      <c r="T51" s="50" t="str">
        <f t="shared" si="5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07:25:10-700',mode:absolute,to:'2016-12-24 10:05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1" s="52" t="str">
        <f t="shared" si="54"/>
        <v>N</v>
      </c>
      <c r="X51" s="177">
        <f t="shared" si="55"/>
        <v>1</v>
      </c>
      <c r="Y51" s="67">
        <f t="shared" si="56"/>
        <v>4.3799999999999999E-2</v>
      </c>
      <c r="Z51" s="67">
        <f t="shared" si="57"/>
        <v>23.331800000000001</v>
      </c>
      <c r="AA51" s="67">
        <f t="shared" si="58"/>
        <v>23.288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59"/>
        <v>0139-24</v>
      </c>
      <c r="AE51" s="91" t="str">
        <f t="shared" si="60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51" s="88" t="str">
        <f t="shared" si="61"/>
        <v>"C:\Program Files (x86)\AstroGrep\AstroGrep.exe" /spath="%USERPROFILE%\AppData\Local\Temp\OnboardLogs" /stypes="app*4044*20161224*" /stext=" 16:.+((SYSTEM_STATE.+slice.+state.+changed )|(ment ac)|(multiple cpu faults)|(system.+state.+changed )|(\[timeout)|(PRM\|1\|D)|(kpr)|(kdp)|(\|lc)|(penalty))" /e /r /s</v>
      </c>
      <c r="AG51" s="1" t="str">
        <f t="shared" si="62"/>
        <v>EC</v>
      </c>
      <c r="AH51" s="92" t="str">
        <f t="shared" si="17"/>
        <v>"%USERPROFILE%\Documents\GitHub\eaglep3\Utilities\RefineRTDCRunTimes.py" --tripid 139-24 --locoid 4044 --swversion DE.1.0.8.0 --startMP 204:438 --initTime 2016-12-24T08:25:10 --startdatetime 2016-12-24T08:30:23 --delay 1 --endMP 204:233318 --enddatetime 2016-12-24T09:05:05 --enforcementcount 1 &gt;&gt;C:\Users\stu\Documents\GitHub\eaglep3-reporting\EC\2016-12-24-refined-times.txt</v>
      </c>
      <c r="AI5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{"issue":{"subject":"","project_id":79,"tracker_id":40,"status_id":1,"priority_id":2,"assigned_to_id":23,"start_date":"2016-12-24","description":"","custom_fields":[{"id":1,"name":"Subdivision","value":"EC"},{"id":4,"name":"Milepost","value":"23.3318"},{"id":17,"name":"Train ID","value":"139-24"},{"id":16,"name":"Locomotive ID","value":"4044"},{"id":130,"name":"Impact","value":""},{"id":150,"name":"Time of Event (Mountain Time)","value":"09:05:05"},{"id":151,"name":"Denver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508</v>
      </c>
      <c r="B52" s="7">
        <v>4043</v>
      </c>
      <c r="C52" s="22" t="s">
        <v>205</v>
      </c>
      <c r="D52" s="22" t="s">
        <v>658</v>
      </c>
      <c r="E52" s="13">
        <v>42728.389490740738</v>
      </c>
      <c r="F52" s="13">
        <v>42728.39334490741</v>
      </c>
      <c r="G52" s="7">
        <v>1</v>
      </c>
      <c r="H52" s="22" t="s">
        <v>192</v>
      </c>
      <c r="I52" s="13">
        <v>42728.420416666668</v>
      </c>
      <c r="J52" s="7">
        <v>1</v>
      </c>
      <c r="K52" s="109" t="str">
        <f t="shared" si="48"/>
        <v>4043/4044</v>
      </c>
      <c r="L52" s="22" t="str">
        <f>VLOOKUP(A52,'Trips&amp;Operators'!$C$1:$G$99999,5,FALSE)</f>
        <v>LOZA FIDEL</v>
      </c>
      <c r="M52" s="6">
        <f t="shared" si="49"/>
        <v>2.7071759257523809E-2</v>
      </c>
      <c r="N52" s="7">
        <f t="shared" si="50"/>
        <v>38.983333330834284</v>
      </c>
      <c r="O52" s="7"/>
      <c r="P52" s="7"/>
      <c r="Q52" s="23"/>
      <c r="R52" s="23"/>
      <c r="S52" s="35">
        <f t="shared" si="51"/>
        <v>1</v>
      </c>
      <c r="T52" s="50" t="str">
        <f t="shared" si="5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08:20:52-700',mode:absolute,to:'2016-12-24 11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2" s="52" t="str">
        <f t="shared" si="54"/>
        <v>N</v>
      </c>
      <c r="X52" s="177">
        <f t="shared" si="55"/>
        <v>1</v>
      </c>
      <c r="Y52" s="67">
        <f t="shared" si="56"/>
        <v>23.298999999999999</v>
      </c>
      <c r="Z52" s="67">
        <f t="shared" si="57"/>
        <v>1.43E-2</v>
      </c>
      <c r="AA52" s="67">
        <f t="shared" si="58"/>
        <v>23.284700000000001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59"/>
        <v>0140-24</v>
      </c>
      <c r="AE52" s="91" t="str">
        <f t="shared" si="60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52" s="88" t="str">
        <f t="shared" si="61"/>
        <v>"C:\Program Files (x86)\AstroGrep\AstroGrep.exe" /spath="%USERPROFILE%\AppData\Local\Temp\OnboardLogs" /stypes="app*4043*20161224*" /stext=" 17:.+((SYSTEM_STATE.+slice.+state.+changed )|(ment ac)|(multiple cpu faults)|(system.+state.+changed )|(\[timeout)|(PRM\|1\|D)|(kpr)|(kdp)|(\|lc)|(penalty))" /e /r /s</v>
      </c>
      <c r="AG52" s="1" t="str">
        <f t="shared" si="62"/>
        <v>EC</v>
      </c>
      <c r="AH52" s="92" t="str">
        <f t="shared" si="17"/>
        <v>"%USERPROFILE%\Documents\GitHub\eaglep3\Utilities\RefineRTDCRunTimes.py" --tripid 140-24 --locoid 4043 --swversion DE.1.0.8.0 --startMP 204:232990 --initTime 2016-12-24T09:20:52 --startdatetime 2016-12-24T09:26:25 --delay 1 --endMP 204:143 --enddatetime 2016-12-24T10:05:24 --enforcementcount 1 &gt;&gt;C:\Users\stu\Documents\GitHub\eaglep3-reporting\EC\2016-12-24-refined-times.txt</v>
      </c>
      <c r="AI5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ID","value":"140-24"},{"id":16,"name":"Locomotive ID","value":"4043"},{"id":130,"name":"Impact","value":""},{"id":150,"name":"Time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503</v>
      </c>
      <c r="B53" s="7">
        <v>4029</v>
      </c>
      <c r="C53" s="22" t="s">
        <v>205</v>
      </c>
      <c r="D53" s="22" t="s">
        <v>328</v>
      </c>
      <c r="E53" s="13">
        <v>42728.361446759256</v>
      </c>
      <c r="F53" s="13">
        <v>42728.364930555559</v>
      </c>
      <c r="G53" s="7">
        <v>0</v>
      </c>
      <c r="H53" s="22" t="s">
        <v>659</v>
      </c>
      <c r="I53" s="13">
        <v>42728.389224537037</v>
      </c>
      <c r="J53" s="7">
        <v>1</v>
      </c>
      <c r="K53" s="109" t="str">
        <f t="shared" si="48"/>
        <v>4029/4030</v>
      </c>
      <c r="L53" s="22" t="str">
        <f>VLOOKUP(A53,'Trips&amp;Operators'!$C$1:$G$99999,5,FALSE)</f>
        <v>ISHMAEL JOSEPH</v>
      </c>
      <c r="M53" s="6">
        <f t="shared" si="49"/>
        <v>2.4293981477967463E-2</v>
      </c>
      <c r="N53" s="7">
        <f t="shared" si="50"/>
        <v>34.983333328273147</v>
      </c>
      <c r="O53" s="7"/>
      <c r="P53" s="7"/>
      <c r="Q53" s="23"/>
      <c r="R53" s="23"/>
      <c r="S53" s="35">
        <f t="shared" si="51"/>
        <v>1</v>
      </c>
      <c r="T53" s="50" t="str">
        <f t="shared" si="5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07:40:29-700',mode:absolute,to:'2016-12-24 10:20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54"/>
        <v>N</v>
      </c>
      <c r="X53" s="177">
        <f t="shared" si="55"/>
        <v>1</v>
      </c>
      <c r="Y53" s="67">
        <f t="shared" si="56"/>
        <v>4.6600000000000003E-2</v>
      </c>
      <c r="Z53" s="67">
        <f t="shared" si="57"/>
        <v>23.330200000000001</v>
      </c>
      <c r="AA53" s="67">
        <f t="shared" si="58"/>
        <v>23.2836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59"/>
        <v>0141-24</v>
      </c>
      <c r="AE53" s="91" t="str">
        <f t="shared" si="60"/>
        <v>aws s3 cp s3://rtdc.mdm.uploadarchive.raw/RTDC4029/ "%USERPROFILE%\AppData\Local\Temp\OnboardLogs"\RTDC4029\2016-12-24 --exclude "*" --recursive --include "*20161224*" &amp; "%USERPROFILE%\Documents\GitHub\mrs-test-scripts\Headless Mode &amp; Sideloading\WalkAndUnGZ.bat" "%USERPROFILE%\AppData\Local\Temp\OnboardLogs"\RTDC4029\2016-12-24 &amp; aws s3 cp s3://rtdc.mdm.uploadarchive.raw/RTDC4029/ "%USERPROFILE%\AppData\Local\Temp\OnboardLogs"\RTDC4029\2016-12-25 --exclude "*" --recursive --include "*20161225*" &amp; "%USERPROFILE%\Documents\GitHub\mrs-test-scripts\Headless Mode &amp; Sideloading\WalkAndUnGZ.bat" "%USERPROFILE%\AppData\Local\Temp\OnboardLogs"\RTDC4029\2016-12-25</v>
      </c>
      <c r="AF53" s="88" t="str">
        <f t="shared" si="61"/>
        <v>"C:\Program Files (x86)\AstroGrep\AstroGrep.exe" /spath="%USERPROFILE%\AppData\Local\Temp\OnboardLogs" /stypes="app*4029*20161224*" /stext=" 16:.+((SYSTEM_STATE.+slice.+state.+changed )|(ment ac)|(multiple cpu faults)|(system.+state.+changed )|(\[timeout)|(PRM\|1\|D)|(kpr)|(kdp)|(\|lc)|(penalty))" /e /r /s</v>
      </c>
      <c r="AG53" s="1" t="str">
        <f t="shared" si="62"/>
        <v>EC</v>
      </c>
      <c r="AH53" s="92" t="str">
        <f t="shared" si="17"/>
        <v>"%USERPROFILE%\Documents\GitHub\eaglep3\Utilities\RefineRTDCRunTimes.py" --tripid 141-24 --locoid 4029 --swversion DE.1.0.8.0 --startMP 204:466 --initTime 2016-12-24T08:40:29 --startdatetime 2016-12-24T08:45:30 --delay 0 --endMP 204:233302 --enddatetime 2016-12-24T09:20:29 --enforcementcount 1 &gt;&gt;C:\Users\stu\Documents\GitHub\eaglep3-reporting\EC\2016-12-24-refined-times.txt</v>
      </c>
      <c r="AI5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{"issue":{"subject":"","project_id":79,"tracker_id":40,"status_id":1,"priority_id":2,"assigned_to_id":23,"start_date":"2016-12-24","description":"","custom_fields":[{"id":1,"name":"Subdivision","value":"EC"},{"id":4,"name":"Milepost","value":"23.3302"},{"id":17,"name":"Train ID","value":"141-24"},{"id":16,"name":"Locomotive ID","value":"4029"},{"id":130,"name":"Impact","value":""},{"id":150,"name":"Time of Event (Mountain Time)","value":"09:20:29"},{"id":151,"name":"Denver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439</v>
      </c>
      <c r="B54" s="7">
        <v>4030</v>
      </c>
      <c r="C54" s="22" t="s">
        <v>205</v>
      </c>
      <c r="D54" s="22" t="s">
        <v>348</v>
      </c>
      <c r="E54" s="13">
        <v>42728.394861111112</v>
      </c>
      <c r="F54" s="13">
        <v>42728.403819444444</v>
      </c>
      <c r="G54" s="7">
        <v>1</v>
      </c>
      <c r="H54" s="22" t="s">
        <v>660</v>
      </c>
      <c r="I54" s="13">
        <v>42728.431400462963</v>
      </c>
      <c r="J54" s="7">
        <v>1</v>
      </c>
      <c r="K54" s="109" t="str">
        <f t="shared" si="48"/>
        <v>4029/4030</v>
      </c>
      <c r="L54" s="22" t="str">
        <f>VLOOKUP(A54,'Trips&amp;Operators'!$C$1:$G$99999,5,FALSE)</f>
        <v>ISHMAEL JOSEPH</v>
      </c>
      <c r="M54" s="6">
        <f t="shared" si="49"/>
        <v>2.7581018519413192E-2</v>
      </c>
      <c r="N54" s="7">
        <f t="shared" si="50"/>
        <v>39.716666667954996</v>
      </c>
      <c r="O54" s="7"/>
      <c r="P54" s="7"/>
      <c r="Q54" s="23"/>
      <c r="R54" s="23"/>
      <c r="S54" s="35">
        <f t="shared" si="51"/>
        <v>1</v>
      </c>
      <c r="T54" s="50" t="str">
        <f t="shared" si="5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08:28:36-700',mode:absolute,to:'2016-12-24 11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54"/>
        <v>N</v>
      </c>
      <c r="X54" s="177">
        <f t="shared" si="55"/>
        <v>1</v>
      </c>
      <c r="Y54" s="67">
        <f t="shared" si="56"/>
        <v>23.299800000000001</v>
      </c>
      <c r="Z54" s="67">
        <f t="shared" si="57"/>
        <v>0.1177</v>
      </c>
      <c r="AA54" s="67">
        <f t="shared" si="58"/>
        <v>23.182100000000002</v>
      </c>
      <c r="AB54" s="64" t="str">
        <f>VLOOKUP(A54,Enforcements!$C$7:$K$19,8,0)</f>
        <v>Speed (6)</v>
      </c>
      <c r="AC54" s="60" t="str">
        <f>VLOOKUP(A54,Enforcements!$C$7:$E$19,3,0)</f>
        <v>PERMANENT SPEED RESTRICTION</v>
      </c>
      <c r="AD54" s="61" t="str">
        <f t="shared" si="59"/>
        <v>0142-24</v>
      </c>
      <c r="AE54" s="91" t="str">
        <f t="shared" si="60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54" s="88" t="str">
        <f t="shared" si="61"/>
        <v>"C:\Program Files (x86)\AstroGrep\AstroGrep.exe" /spath="%USERPROFILE%\AppData\Local\Temp\OnboardLogs" /stypes="app*4030*20161224*" /stext=" 17:.+((SYSTEM_STATE.+slice.+state.+changed )|(ment ac)|(multiple cpu faults)|(system.+state.+changed )|(\[timeout)|(PRM\|1\|D)|(kpr)|(kdp)|(\|lc)|(penalty))" /e /r /s</v>
      </c>
      <c r="AG54" s="1" t="str">
        <f t="shared" si="62"/>
        <v>EC</v>
      </c>
      <c r="AH54" s="92" t="str">
        <f t="shared" si="17"/>
        <v>"%USERPROFILE%\Documents\GitHub\eaglep3\Utilities\RefineRTDCRunTimes.py" --tripid 142-24 --locoid 4030 --swversion DE.1.0.8.0 --startMP 204:232998 --initTime 2016-12-24T09:28:36 --startdatetime 2016-12-24T09:41:30 --delay 1 --endMP 204:1177 --enddatetime 2016-12-24T10:21:13 --enforcementcount 1 &gt;&gt;C:\Users\stu\Documents\GitHub\eaglep3-reporting\EC\2016-12-24-refined-times.txt</v>
      </c>
      <c r="AI5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{"issue":{"subject":"","project_id":79,"tracker_id":40,"status_id":1,"priority_id":2,"assigned_to_id":23,"start_date":"2016-12-24","description":"","custom_fields":[{"id":1,"name":"Subdivision","value":"EC"},{"id":4,"name":"Milepost","value":"0.1177"},{"id":17,"name":"Train ID","value":"142-24"},{"id":16,"name":"Locomotive ID","value":"4030"},{"id":130,"name":"Impact","value":""},{"id":150,"name":"Time of Event (Mountain Time)","value":"10:21:13"},{"id":151,"name":"Denver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504</v>
      </c>
      <c r="B55" s="7">
        <v>4003</v>
      </c>
      <c r="C55" s="22" t="s">
        <v>205</v>
      </c>
      <c r="D55" s="22" t="s">
        <v>281</v>
      </c>
      <c r="E55" s="13">
        <v>42728.372754629629</v>
      </c>
      <c r="F55" s="13">
        <v>42728.375196759262</v>
      </c>
      <c r="G55" s="7">
        <v>1</v>
      </c>
      <c r="H55" s="22" t="s">
        <v>398</v>
      </c>
      <c r="I55" s="13">
        <v>42728.399305555555</v>
      </c>
      <c r="J55" s="7">
        <v>1</v>
      </c>
      <c r="K55" s="109" t="str">
        <f t="shared" si="48"/>
        <v>4003/4004</v>
      </c>
      <c r="L55" s="22" t="str">
        <f>VLOOKUP(A55,'Trips&amp;Operators'!$C$1:$G$99999,5,FALSE)</f>
        <v>GEBRETEKLE DAGNEW</v>
      </c>
      <c r="M55" s="6">
        <f t="shared" si="49"/>
        <v>2.4108796293148771E-2</v>
      </c>
      <c r="N55" s="7">
        <f t="shared" si="50"/>
        <v>34.71666666213423</v>
      </c>
      <c r="O55" s="7"/>
      <c r="P55" s="7"/>
      <c r="Q55" s="23"/>
      <c r="R55" s="23"/>
      <c r="S55" s="35">
        <f t="shared" si="51"/>
        <v>1</v>
      </c>
      <c r="T55" s="50" t="str">
        <f t="shared" si="5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07:56:46-700',mode:absolute,to:'2016-12-24 10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5" s="52" t="str">
        <f t="shared" si="54"/>
        <v>N</v>
      </c>
      <c r="X55" s="177">
        <f t="shared" si="55"/>
        <v>1</v>
      </c>
      <c r="Y55" s="67">
        <f t="shared" si="56"/>
        <v>4.4900000000000002E-2</v>
      </c>
      <c r="Z55" s="67">
        <f t="shared" si="57"/>
        <v>23.3291</v>
      </c>
      <c r="AA55" s="67">
        <f t="shared" si="58"/>
        <v>23.284200000000002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59"/>
        <v>0143-24</v>
      </c>
      <c r="AE55" s="91" t="str">
        <f t="shared" si="60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55" s="88" t="str">
        <f t="shared" si="61"/>
        <v>"C:\Program Files (x86)\AstroGrep\AstroGrep.exe" /spath="%USERPROFILE%\AppData\Local\Temp\OnboardLogs" /stypes="app*4003*20161224*" /stext=" 16:.+((SYSTEM_STATE.+slice.+state.+changed )|(ment ac)|(multiple cpu faults)|(system.+state.+changed )|(\[timeout)|(PRM\|1\|D)|(kpr)|(kdp)|(\|lc)|(penalty))" /e /r /s</v>
      </c>
      <c r="AG55" s="1" t="str">
        <f t="shared" si="62"/>
        <v>EC</v>
      </c>
      <c r="AH55" s="92" t="str">
        <f t="shared" si="17"/>
        <v>"%USERPROFILE%\Documents\GitHub\eaglep3\Utilities\RefineRTDCRunTimes.py" --tripid 143-24 --locoid 4003 --swversion DE.1.0.8.0 --startMP 204:449 --initTime 2016-12-24T08:56:46 --startdatetime 2016-12-24T09:00:17 --delay 1 --endMP 204:233291 --enddatetime 2016-12-24T09:35:00 --enforcementcount 1 &gt;&gt;C:\Users\stu\Documents\GitHub\eaglep3-reporting\EC\2016-12-24-refined-times.txt</v>
      </c>
      <c r="AI5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ID","value":"143-24"},{"id":16,"name":"Locomotive ID","value":"4003"},{"id":130,"name":"Impact","value":""},{"id":150,"name":"Time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512</v>
      </c>
      <c r="B56" s="7">
        <v>4004</v>
      </c>
      <c r="C56" s="22" t="s">
        <v>205</v>
      </c>
      <c r="D56" s="22" t="s">
        <v>324</v>
      </c>
      <c r="E56" s="13">
        <v>42728.411412037036</v>
      </c>
      <c r="F56" s="13">
        <v>42728.414131944446</v>
      </c>
      <c r="G56" s="7">
        <v>3</v>
      </c>
      <c r="H56" s="22" t="s">
        <v>260</v>
      </c>
      <c r="I56" s="13">
        <v>42728.441041666665</v>
      </c>
      <c r="J56" s="7">
        <v>1</v>
      </c>
      <c r="K56" s="109" t="str">
        <f t="shared" si="48"/>
        <v>4003/4004</v>
      </c>
      <c r="L56" s="22" t="str">
        <f>VLOOKUP(A56,'Trips&amp;Operators'!$C$1:$G$99999,5,FALSE)</f>
        <v>GEBRETEKLE DAGNEW</v>
      </c>
      <c r="M56" s="6">
        <f t="shared" si="49"/>
        <v>2.6909722218988463E-2</v>
      </c>
      <c r="N56" s="7">
        <f t="shared" si="50"/>
        <v>38.749999995343387</v>
      </c>
      <c r="O56" s="7"/>
      <c r="P56" s="7"/>
      <c r="Q56" s="23"/>
      <c r="R56" s="23"/>
      <c r="S56" s="35">
        <f t="shared" si="51"/>
        <v>1</v>
      </c>
      <c r="T56" s="50" t="str">
        <f t="shared" si="5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08:52:26-700',mode:absolute,to:'2016-12-24 11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6" s="52" t="str">
        <f t="shared" si="54"/>
        <v>N</v>
      </c>
      <c r="X56" s="177">
        <f t="shared" si="55"/>
        <v>1</v>
      </c>
      <c r="Y56" s="67">
        <f t="shared" si="56"/>
        <v>23.296900000000001</v>
      </c>
      <c r="Z56" s="67">
        <f t="shared" si="57"/>
        <v>1.3899999999999999E-2</v>
      </c>
      <c r="AA56" s="67">
        <f t="shared" si="58"/>
        <v>23.283000000000001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59"/>
        <v>0144-24</v>
      </c>
      <c r="AE56" s="91" t="str">
        <f t="shared" si="60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56" s="88" t="str">
        <f t="shared" si="61"/>
        <v>"C:\Program Files (x86)\AstroGrep\AstroGrep.exe" /spath="%USERPROFILE%\AppData\Local\Temp\OnboardLogs" /stypes="app*4004*20161224*" /stext=" 17:.+((SYSTEM_STATE.+slice.+state.+changed )|(ment ac)|(multiple cpu faults)|(system.+state.+changed )|(\[timeout)|(PRM\|1\|D)|(kpr)|(kdp)|(\|lc)|(penalty))" /e /r /s</v>
      </c>
      <c r="AG56" s="1" t="str">
        <f t="shared" si="62"/>
        <v>EC</v>
      </c>
      <c r="AH56" s="92" t="str">
        <f t="shared" si="17"/>
        <v>"%USERPROFILE%\Documents\GitHub\eaglep3\Utilities\RefineRTDCRunTimes.py" --tripid 144-24 --locoid 4004 --swversion DE.1.0.8.0 --startMP 204:232969 --initTime 2016-12-24T09:52:26 --startdatetime 2016-12-24T09:56:21 --delay 3 --endMP 204:139 --enddatetime 2016-12-24T10:35:06 --enforcementcount 1 &gt;&gt;C:\Users\stu\Documents\GitHub\eaglep3-reporting\EC\2016-12-24-refined-times.txt</v>
      </c>
      <c r="AI5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ID","value":"144-24"},{"id":16,"name":"Locomotive ID","value":"4004"},{"id":130,"name":"Impact","value":""},{"id":150,"name":"Time of Event (Mountain Time)","value":"10:35:06"},{"id":151,"name":"Denver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507</v>
      </c>
      <c r="B57" s="7">
        <v>4018</v>
      </c>
      <c r="C57" s="22" t="s">
        <v>205</v>
      </c>
      <c r="D57" s="22" t="s">
        <v>661</v>
      </c>
      <c r="E57" s="13">
        <v>42728.389374999999</v>
      </c>
      <c r="F57" s="13">
        <v>42728.390729166669</v>
      </c>
      <c r="G57" s="7">
        <v>1</v>
      </c>
      <c r="H57" s="22" t="s">
        <v>285</v>
      </c>
      <c r="I57" s="13">
        <v>42728.412858796299</v>
      </c>
      <c r="J57" s="7">
        <v>1</v>
      </c>
      <c r="K57" s="109" t="str">
        <f t="shared" si="48"/>
        <v>4017/4018</v>
      </c>
      <c r="L57" s="22" t="str">
        <f>VLOOKUP(A57,'Trips&amp;Operators'!$C$1:$G$99999,5,FALSE)</f>
        <v>STRICKLAND EVAN</v>
      </c>
      <c r="M57" s="6">
        <f t="shared" si="49"/>
        <v>2.21296296294895E-2</v>
      </c>
      <c r="N57" s="7"/>
      <c r="O57" s="7"/>
      <c r="P57" s="7">
        <f t="shared" si="50"/>
        <v>31.86666666646488</v>
      </c>
      <c r="Q57" s="23"/>
      <c r="R57" s="7" t="s">
        <v>778</v>
      </c>
      <c r="S57" s="35">
        <f t="shared" si="51"/>
        <v>1</v>
      </c>
      <c r="T57" s="50" t="str">
        <f t="shared" si="5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08:20:42-700',mode:absolute,to:'2016-12-24 10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7" s="52" t="str">
        <f t="shared" si="54"/>
        <v>Y</v>
      </c>
      <c r="X57" s="177">
        <f t="shared" si="55"/>
        <v>1</v>
      </c>
      <c r="Y57" s="67">
        <f t="shared" si="56"/>
        <v>1.9128000000000001</v>
      </c>
      <c r="Z57" s="67">
        <f t="shared" si="57"/>
        <v>23.3308</v>
      </c>
      <c r="AA57" s="67">
        <f t="shared" si="58"/>
        <v>21.417999999999999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59"/>
        <v>0145-24</v>
      </c>
      <c r="AE57" s="91" t="str">
        <f t="shared" si="60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57" s="88" t="str">
        <f t="shared" si="61"/>
        <v>"C:\Program Files (x86)\AstroGrep\AstroGrep.exe" /spath="%USERPROFILE%\AppData\Local\Temp\OnboardLogs" /stypes="app*4018*20161224*" /stext=" 16:.+((SYSTEM_STATE.+slice.+state.+changed )|(ment ac)|(multiple cpu faults)|(system.+state.+changed )|(\[timeout)|(PRM\|1\|D)|(kpr)|(kdp)|(\|lc)|(penalty))" /e /r /s</v>
      </c>
      <c r="AG57" s="1" t="str">
        <f t="shared" si="62"/>
        <v>EC</v>
      </c>
      <c r="AH57" s="92" t="str">
        <f t="shared" si="17"/>
        <v>"%USERPROFILE%\Documents\GitHub\eaglep3\Utilities\RefineRTDCRunTimes.py" --tripid 145-24 --locoid 4018 --swversion DE.1.0.8.0 --startMP 204:19128 --initTime 2016-12-24T09:20:42 --startdatetime 2016-12-24T09:22:39 --delay 1 --endMP 204:233308 --enddatetime 2016-12-24T09:54:31 --enforcementcount 1 &gt;&gt;C:\Users\stu\Documents\GitHub\eaglep3-reporting\EC\2016-12-24-refined-times.txt</v>
      </c>
      <c r="AI57" s="119" t="str">
        <f t="shared" si="18"/>
        <v>echo {"issue":{"subject":"BPP readings were low until init at 38th","project_id":79,"tracker_id":40,"status_id":1,"priority_id":2,"assigned_to_id":23,"start_date":"2016-12-24","description":"","custom_fields":[{"id":1,"name":"Subdivision","value":"EC"},{"id":4,"name":"Milepost","value":"23.3308"},{"id":17,"name":"Train ID","value":"145-24"},{"id":16,"name":"Locomotive ID","value":"4018"},{"id":130,"name":"Impact","value":""},{"id":150,"name":"Time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442</v>
      </c>
      <c r="B58" s="7">
        <v>4017</v>
      </c>
      <c r="C58" s="22" t="s">
        <v>205</v>
      </c>
      <c r="D58" s="22" t="s">
        <v>321</v>
      </c>
      <c r="E58" s="13">
        <v>42728.420034722221</v>
      </c>
      <c r="F58" s="13">
        <v>42728.424803240741</v>
      </c>
      <c r="G58" s="7">
        <v>1</v>
      </c>
      <c r="H58" s="22" t="s">
        <v>211</v>
      </c>
      <c r="I58" s="13">
        <v>42728.452615740738</v>
      </c>
      <c r="J58" s="7">
        <v>1</v>
      </c>
      <c r="K58" s="109" t="str">
        <f t="shared" si="48"/>
        <v>4017/4018</v>
      </c>
      <c r="L58" s="22" t="str">
        <f>VLOOKUP(A58,'Trips&amp;Operators'!$C$1:$G$99999,5,FALSE)</f>
        <v>STRICKLAND EVAN</v>
      </c>
      <c r="M58" s="6">
        <f t="shared" si="49"/>
        <v>2.7812499996798579E-2</v>
      </c>
      <c r="N58" s="7">
        <f t="shared" si="50"/>
        <v>40.049999995389953</v>
      </c>
      <c r="O58" s="7"/>
      <c r="P58" s="7"/>
      <c r="Q58" s="23"/>
      <c r="R58" s="23"/>
      <c r="S58" s="35">
        <f t="shared" si="51"/>
        <v>1</v>
      </c>
      <c r="T58" s="50" t="str">
        <f t="shared" si="5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09:04:51-700',mode:absolute,to:'2016-12-24 11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8" s="52" t="str">
        <f t="shared" si="54"/>
        <v>N</v>
      </c>
      <c r="X58" s="177">
        <f t="shared" si="55"/>
        <v>1</v>
      </c>
      <c r="Y58" s="67">
        <f t="shared" si="56"/>
        <v>23.299099999999999</v>
      </c>
      <c r="Z58" s="67">
        <f t="shared" si="57"/>
        <v>1.4999999999999999E-2</v>
      </c>
      <c r="AA58" s="67">
        <f t="shared" si="58"/>
        <v>23.284099999999999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59"/>
        <v>0146-24</v>
      </c>
      <c r="AE58" s="91" t="str">
        <f t="shared" si="60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58" s="88" t="str">
        <f t="shared" si="61"/>
        <v>"C:\Program Files (x86)\AstroGrep\AstroGrep.exe" /spath="%USERPROFILE%\AppData\Local\Temp\OnboardLogs" /stypes="app*4017*20161224*" /stext=" 17:.+((SYSTEM_STATE.+slice.+state.+changed )|(ment ac)|(multiple cpu faults)|(system.+state.+changed )|(\[timeout)|(PRM\|1\|D)|(kpr)|(kdp)|(\|lc)|(penalty))" /e /r /s</v>
      </c>
      <c r="AG58" s="1" t="str">
        <f t="shared" si="62"/>
        <v>EC</v>
      </c>
      <c r="AH58" s="92" t="str">
        <f t="shared" si="17"/>
        <v>"%USERPROFILE%\Documents\GitHub\eaglep3\Utilities\RefineRTDCRunTimes.py" --tripid 146-24 --locoid 4017 --swversion DE.1.0.8.0 --startMP 204:232991 --initTime 2016-12-24T10:04:51 --startdatetime 2016-12-24T10:11:43 --delay 1 --endMP 204:150 --enddatetime 2016-12-24T10:51:46 --enforcementcount 1 &gt;&gt;C:\Users\stu\Documents\GitHub\eaglep3-reporting\EC\2016-12-24-refined-times.txt</v>
      </c>
      <c r="AI5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ID","value":"146-24"},{"id":16,"name":"Locomotive ID","value":"4017"},{"id":130,"name":"Impact","value":""},{"id":150,"name":"Time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509</v>
      </c>
      <c r="B59" s="7">
        <v>4007</v>
      </c>
      <c r="C59" s="22" t="s">
        <v>205</v>
      </c>
      <c r="D59" s="22" t="s">
        <v>410</v>
      </c>
      <c r="E59" s="13">
        <v>42728.393055555556</v>
      </c>
      <c r="F59" s="13">
        <v>42728.396018518521</v>
      </c>
      <c r="G59" s="7">
        <v>1</v>
      </c>
      <c r="H59" s="22" t="s">
        <v>320</v>
      </c>
      <c r="I59" s="13">
        <v>42728.42083333333</v>
      </c>
      <c r="J59" s="7">
        <v>1</v>
      </c>
      <c r="K59" s="109" t="str">
        <f t="shared" si="48"/>
        <v>4007/4008</v>
      </c>
      <c r="L59" s="22" t="str">
        <f>VLOOKUP(A59,'Trips&amp;Operators'!$C$1:$G$99999,5,FALSE)</f>
        <v>MAHAN DUANE</v>
      </c>
      <c r="M59" s="6">
        <f t="shared" si="49"/>
        <v>2.4814814809360541E-2</v>
      </c>
      <c r="N59" s="7">
        <f t="shared" si="50"/>
        <v>35.73333332547918</v>
      </c>
      <c r="O59" s="7"/>
      <c r="P59" s="7"/>
      <c r="Q59" s="23"/>
      <c r="R59" s="23"/>
      <c r="S59" s="35">
        <f t="shared" si="51"/>
        <v>1</v>
      </c>
      <c r="T59" s="50" t="str">
        <f t="shared" si="5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08:26:00-700',mode:absolute,to:'2016-12-24 11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9" s="52" t="str">
        <f t="shared" si="54"/>
        <v>N</v>
      </c>
      <c r="X59" s="177">
        <f t="shared" si="55"/>
        <v>1</v>
      </c>
      <c r="Y59" s="67">
        <f t="shared" si="56"/>
        <v>4.8899999999999999E-2</v>
      </c>
      <c r="Z59" s="67">
        <f t="shared" si="57"/>
        <v>23.3293</v>
      </c>
      <c r="AA59" s="67">
        <f t="shared" si="58"/>
        <v>23.2804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59"/>
        <v>0147-24</v>
      </c>
      <c r="AE59" s="91" t="str">
        <f t="shared" si="60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59" s="88" t="str">
        <f t="shared" si="61"/>
        <v>"C:\Program Files (x86)\AstroGrep\AstroGrep.exe" /spath="%USERPROFILE%\AppData\Local\Temp\OnboardLogs" /stypes="app*4007*20161224*" /stext=" 17:.+((SYSTEM_STATE.+slice.+state.+changed )|(ment ac)|(multiple cpu faults)|(system.+state.+changed )|(\[timeout)|(PRM\|1\|D)|(kpr)|(kdp)|(\|lc)|(penalty))" /e /r /s</v>
      </c>
      <c r="AG59" s="1" t="str">
        <f t="shared" si="62"/>
        <v>EC</v>
      </c>
      <c r="AH59" s="92" t="str">
        <f t="shared" si="17"/>
        <v>"%USERPROFILE%\Documents\GitHub\eaglep3\Utilities\RefineRTDCRunTimes.py" --tripid 147-24 --locoid 4007 --swversion DE.1.0.8.0 --startMP 204:489 --initTime 2016-12-24T09:26:00 --startdatetime 2016-12-24T09:30:16 --delay 1 --endMP 204:233293 --enddatetime 2016-12-24T10:06:00 --enforcementcount 1 &gt;&gt;C:\Users\stu\Documents\GitHub\eaglep3-reporting\EC\2016-12-24-refined-times.txt</v>
      </c>
      <c r="AI5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ID","value":"147-24"},{"id":16,"name":"Locomotive ID","value":"4007"},{"id":130,"name":"Impact","value":""},{"id":150,"name":"Time of Event (Mountain Time)","value":"10:06:00"},{"id":151,"name":"Denver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515</v>
      </c>
      <c r="B60" s="7">
        <v>4008</v>
      </c>
      <c r="C60" s="22" t="s">
        <v>205</v>
      </c>
      <c r="D60" s="22" t="s">
        <v>389</v>
      </c>
      <c r="E60" s="13">
        <v>42728.427453703705</v>
      </c>
      <c r="F60" s="13">
        <v>42728.435150462959</v>
      </c>
      <c r="G60" s="7">
        <v>1</v>
      </c>
      <c r="H60" s="22" t="s">
        <v>351</v>
      </c>
      <c r="I60" s="13">
        <v>42728.463368055556</v>
      </c>
      <c r="J60" s="7">
        <v>1</v>
      </c>
      <c r="K60" s="109" t="str">
        <f t="shared" si="48"/>
        <v>4007/4008</v>
      </c>
      <c r="L60" s="22" t="str">
        <f>VLOOKUP(A60,'Trips&amp;Operators'!$C$1:$G$99999,5,FALSE)</f>
        <v>MAHAN DUANE</v>
      </c>
      <c r="M60" s="6">
        <f t="shared" si="49"/>
        <v>2.8217592596774921E-2</v>
      </c>
      <c r="N60" s="7">
        <f t="shared" si="50"/>
        <v>40.633333339355886</v>
      </c>
      <c r="O60" s="7"/>
      <c r="P60" s="7"/>
      <c r="Q60" s="23"/>
      <c r="R60" s="23"/>
      <c r="S60" s="35">
        <f t="shared" si="51"/>
        <v>1</v>
      </c>
      <c r="T60" s="50" t="str">
        <f t="shared" si="5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09:15:32-700',mode:absolute,to:'2016-12-24 12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0" s="52" t="str">
        <f t="shared" si="54"/>
        <v>N</v>
      </c>
      <c r="X60" s="177">
        <f t="shared" si="55"/>
        <v>1</v>
      </c>
      <c r="Y60" s="67">
        <f t="shared" si="56"/>
        <v>23.296099999999999</v>
      </c>
      <c r="Z60" s="67">
        <f t="shared" si="57"/>
        <v>1.41E-2</v>
      </c>
      <c r="AA60" s="67">
        <f t="shared" si="58"/>
        <v>23.282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59"/>
        <v>0148-24</v>
      </c>
      <c r="AE60" s="91" t="str">
        <f t="shared" si="60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60" s="88" t="str">
        <f t="shared" si="61"/>
        <v>"C:\Program Files (x86)\AstroGrep\AstroGrep.exe" /spath="%USERPROFILE%\AppData\Local\Temp\OnboardLogs" /stypes="app*4008*20161224*" /stext=" 18:.+((SYSTEM_STATE.+slice.+state.+changed )|(ment ac)|(multiple cpu faults)|(system.+state.+changed )|(\[timeout)|(PRM\|1\|D)|(kpr)|(kdp)|(\|lc)|(penalty))" /e /r /s</v>
      </c>
      <c r="AG60" s="1" t="str">
        <f t="shared" si="62"/>
        <v>EC</v>
      </c>
      <c r="AH60" s="92" t="str">
        <f t="shared" si="17"/>
        <v>"%USERPROFILE%\Documents\GitHub\eaglep3\Utilities\RefineRTDCRunTimes.py" --tripid 148-24 --locoid 4008 --swversion DE.1.0.8.0 --startMP 204:232961 --initTime 2016-12-24T10:15:32 --startdatetime 2016-12-24T10:26:37 --delay 1 --endMP 204:141 --enddatetime 2016-12-24T11:07:15 --enforcementcount 1 &gt;&gt;C:\Users\stu\Documents\GitHub\eaglep3-reporting\EC\2016-12-24-refined-times.txt</v>
      </c>
      <c r="AI6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ID","value":"148-24"},{"id":16,"name":"Locomotive ID","value":"4008"},{"id":130,"name":"Impact","value":""},{"id":150,"name":"Time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511</v>
      </c>
      <c r="B61" s="7">
        <v>4011</v>
      </c>
      <c r="C61" s="22" t="s">
        <v>205</v>
      </c>
      <c r="D61" s="22" t="s">
        <v>662</v>
      </c>
      <c r="E61" s="13">
        <v>42728.402233796296</v>
      </c>
      <c r="F61" s="13">
        <v>42728.403668981482</v>
      </c>
      <c r="G61" s="7">
        <v>1</v>
      </c>
      <c r="H61" s="22" t="s">
        <v>409</v>
      </c>
      <c r="I61" s="13">
        <v>42728.404363425929</v>
      </c>
      <c r="J61" s="7">
        <v>1</v>
      </c>
      <c r="K61" s="109" t="str">
        <f t="shared" si="48"/>
        <v>4011/4012</v>
      </c>
      <c r="L61" s="22" t="str">
        <f>VLOOKUP(A61,'Trips&amp;Operators'!$C$1:$G$99999,5,FALSE)</f>
        <v>DAVIS WENDY</v>
      </c>
      <c r="M61" s="6">
        <f t="shared" si="49"/>
        <v>6.944444467080757E-4</v>
      </c>
      <c r="N61" s="7"/>
      <c r="O61" s="7"/>
      <c r="P61" s="7">
        <f t="shared" si="50"/>
        <v>1.000000003259629</v>
      </c>
      <c r="Q61" s="23"/>
      <c r="R61" s="23" t="s">
        <v>777</v>
      </c>
      <c r="S61" s="35">
        <f t="shared" si="51"/>
        <v>0</v>
      </c>
      <c r="T61" s="50" t="str">
        <f t="shared" si="5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08:39:13-700',mode:absolute,to:'2016-12-24 10:42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1" s="52" t="str">
        <f t="shared" si="54"/>
        <v>Y</v>
      </c>
      <c r="X61" s="177">
        <f t="shared" si="55"/>
        <v>1</v>
      </c>
      <c r="Y61" s="67">
        <f t="shared" si="56"/>
        <v>4.8599999999999997E-2</v>
      </c>
      <c r="Z61" s="67">
        <v>0</v>
      </c>
      <c r="AA61" s="67">
        <f t="shared" si="58"/>
        <v>4.8599999999999997E-2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59"/>
        <v>0149-24</v>
      </c>
      <c r="AE61" s="91" t="str">
        <f t="shared" si="60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61" s="88" t="str">
        <f t="shared" si="61"/>
        <v>"C:\Program Files (x86)\AstroGrep\AstroGrep.exe" /spath="%USERPROFILE%\AppData\Local\Temp\OnboardLogs" /stypes="app*4011*20161224*" /stext=" 16:.+((SYSTEM_STATE.+slice.+state.+changed )|(ment ac)|(multiple cpu faults)|(system.+state.+changed )|(\[timeout)|(PRM\|1\|D)|(kpr)|(kdp)|(\|lc)|(penalty))" /e /r /s</v>
      </c>
      <c r="AG61" s="1" t="str">
        <f t="shared" si="62"/>
        <v>EC</v>
      </c>
      <c r="AH61" s="92" t="str">
        <f t="shared" si="17"/>
        <v>"%USERPROFILE%\Documents\GitHub\eaglep3\Utilities\RefineRTDCRunTimes.py" --tripid 149-24 --locoid 4011 --swversion DE.1.0.8.0 --startMP 204:486 --initTime 2016-12-24T09:39:13 --startdatetime 2016-12-24T09:41:17 --delay 1 --endMP 204:233305 --enddatetime 2016-12-24T09:42:17 --enforcementcount 1 &gt;&gt;C:\Users\stu\Documents\GitHub\eaglep3-reporting\EC\2016-12-24-refined-times.txt</v>
      </c>
      <c r="AI61" s="119" t="str">
        <f t="shared" si="18"/>
        <v>echo {"issue":{"subject":"Onboard in-route failure","project_id":79,"tracker_id":40,"status_id":1,"priority_id":2,"assigned_to_id":23,"start_date":"2016-12-24","description":"","custom_fields":[{"id":1,"name":"Subdivision","value":"EC"},{"id":4,"name":"Milepost","value":"0"},{"id":17,"name":"Train ID","value":"149-24"},{"id":16,"name":"Locomotive ID","value":"4011"},{"id":130,"name":"Impact","value":""},{"id":150,"name":"Time of Event (Mountain Time)","value":"09:42:17"},{"id":151,"name":"Denver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519</v>
      </c>
      <c r="B62" s="7">
        <v>4012</v>
      </c>
      <c r="C62" s="22" t="s">
        <v>205</v>
      </c>
      <c r="D62" s="22" t="s">
        <v>267</v>
      </c>
      <c r="E62" s="13">
        <v>42728.439675925925</v>
      </c>
      <c r="F62" s="13">
        <v>42728.445300925923</v>
      </c>
      <c r="G62" s="7">
        <v>0</v>
      </c>
      <c r="H62" s="22" t="s">
        <v>259</v>
      </c>
      <c r="I62" s="13">
        <v>42728.472939814812</v>
      </c>
      <c r="J62" s="7">
        <v>1</v>
      </c>
      <c r="K62" s="109" t="str">
        <f t="shared" si="48"/>
        <v>4011/4012</v>
      </c>
      <c r="L62" s="22" t="str">
        <f>VLOOKUP(A62,'Trips&amp;Operators'!$C$1:$G$99999,5,FALSE)</f>
        <v>DAVIS WENDY</v>
      </c>
      <c r="M62" s="6">
        <f t="shared" si="49"/>
        <v>2.7638888888759539E-2</v>
      </c>
      <c r="N62" s="7">
        <f t="shared" si="50"/>
        <v>39.799999999813735</v>
      </c>
      <c r="O62" s="7"/>
      <c r="P62" s="7"/>
      <c r="Q62" s="23"/>
      <c r="R62" s="23"/>
      <c r="S62" s="35">
        <f t="shared" si="51"/>
        <v>1</v>
      </c>
      <c r="T62" s="50" t="str">
        <f t="shared" si="5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09:33:08-700',mode:absolute,to:'2016-12-24 12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2" s="52" t="str">
        <f t="shared" si="54"/>
        <v>N</v>
      </c>
      <c r="X62" s="177">
        <f t="shared" si="55"/>
        <v>1</v>
      </c>
      <c r="Y62" s="67">
        <f t="shared" si="56"/>
        <v>23.299299999999999</v>
      </c>
      <c r="Z62" s="67">
        <f t="shared" si="57"/>
        <v>1.47E-2</v>
      </c>
      <c r="AA62" s="67">
        <f t="shared" si="58"/>
        <v>23.284599999999998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59"/>
        <v>0150-24</v>
      </c>
      <c r="AE62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62" s="88" t="str">
        <f t="shared" si="61"/>
        <v>"C:\Program Files (x86)\AstroGrep\AstroGrep.exe" /spath="%USERPROFILE%\AppData\Local\Temp\OnboardLogs" /stypes="app*4012*20161224*" /stext=" 18:.+((SYSTEM_STATE.+slice.+state.+changed )|(ment ac)|(multiple cpu faults)|(system.+state.+changed )|(\[timeout)|(PRM\|1\|D)|(kpr)|(kdp)|(\|lc)|(penalty))" /e /r /s</v>
      </c>
      <c r="AG62" s="1" t="str">
        <f t="shared" si="62"/>
        <v>EC</v>
      </c>
      <c r="AH62" s="92" t="str">
        <f t="shared" si="17"/>
        <v>"%USERPROFILE%\Documents\GitHub\eaglep3\Utilities\RefineRTDCRunTimes.py" --tripid 150-24 --locoid 4012 --swversion DE.1.0.8.0 --startMP 204:232993 --initTime 2016-12-24T10:33:08 --startdatetime 2016-12-24T10:41:14 --delay 0 --endMP 204:147 --enddatetime 2016-12-24T11:21:02 --enforcementcount 1 &gt;&gt;C:\Users\stu\Documents\GitHub\eaglep3-reporting\EC\2016-12-24-refined-times.txt</v>
      </c>
      <c r="AI6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{"issue":{"subject":"","project_id":79,"tracker_id":40,"status_id":1,"priority_id":2,"assigned_to_id":23,"start_date":"2016-12-24","description":"","custom_fields":[{"id":1,"name":"Subdivision","value":"EC"},{"id":4,"name":"Milepost","value":"0.0147"},{"id":17,"name":"Train ID","value":"150-24"},{"id":16,"name":"Locomotive ID","value":"4012"},{"id":130,"name":"Impact","value":""},{"id":150,"name":"Time of Event (Mountain Time)","value":"11:21:02"},{"id":151,"name":"Denver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513</v>
      </c>
      <c r="B63" s="7">
        <v>4031</v>
      </c>
      <c r="C63" s="22" t="s">
        <v>205</v>
      </c>
      <c r="D63" s="22" t="s">
        <v>254</v>
      </c>
      <c r="E63" s="13">
        <v>42728.413553240738</v>
      </c>
      <c r="F63" s="13">
        <v>42728.416990740741</v>
      </c>
      <c r="G63" s="7">
        <v>1</v>
      </c>
      <c r="H63" s="22" t="s">
        <v>663</v>
      </c>
      <c r="I63" s="13">
        <v>42728.442615740743</v>
      </c>
      <c r="J63" s="7">
        <v>1</v>
      </c>
      <c r="K63" s="109" t="str">
        <f t="shared" si="48"/>
        <v>4031/4032</v>
      </c>
      <c r="L63" s="22" t="str">
        <f>VLOOKUP(A63,'Trips&amp;Operators'!$C$1:$G$99999,5,FALSE)</f>
        <v>OUN ZACK</v>
      </c>
      <c r="M63" s="6">
        <f t="shared" si="49"/>
        <v>2.5625000002037268E-2</v>
      </c>
      <c r="N63" s="7">
        <f t="shared" si="50"/>
        <v>36.900000002933666</v>
      </c>
      <c r="O63" s="7"/>
      <c r="P63" s="7"/>
      <c r="Q63" s="23"/>
      <c r="R63" s="23"/>
      <c r="S63" s="35">
        <f t="shared" si="51"/>
        <v>1</v>
      </c>
      <c r="T63" s="50" t="str">
        <f t="shared" si="5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08:55:31-700',mode:absolute,to:'2016-12-24 11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3" s="52" t="str">
        <f t="shared" si="54"/>
        <v>N</v>
      </c>
      <c r="X63" s="177">
        <f t="shared" si="55"/>
        <v>1</v>
      </c>
      <c r="Y63" s="67">
        <f t="shared" si="56"/>
        <v>4.53E-2</v>
      </c>
      <c r="Z63" s="67">
        <f t="shared" si="57"/>
        <v>23.3322</v>
      </c>
      <c r="AA63" s="67">
        <f t="shared" si="58"/>
        <v>23.286899999999999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59"/>
        <v>0151-24</v>
      </c>
      <c r="AE63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63" s="88" t="str">
        <f t="shared" si="61"/>
        <v>"C:\Program Files (x86)\AstroGrep\AstroGrep.exe" /spath="%USERPROFILE%\AppData\Local\Temp\OnboardLogs" /stypes="app*4031*20161224*" /stext=" 17:.+((SYSTEM_STATE.+slice.+state.+changed )|(ment ac)|(multiple cpu faults)|(system.+state.+changed )|(\[timeout)|(PRM\|1\|D)|(kpr)|(kdp)|(\|lc)|(penalty))" /e /r /s</v>
      </c>
      <c r="AG63" s="1" t="str">
        <f t="shared" si="62"/>
        <v>EC</v>
      </c>
      <c r="AH63" s="92" t="str">
        <f t="shared" si="17"/>
        <v>"%USERPROFILE%\Documents\GitHub\eaglep3\Utilities\RefineRTDCRunTimes.py" --tripid 151-24 --locoid 4031 --swversion DE.1.0.8.0 --startMP 204:453 --initTime 2016-12-24T09:55:31 --startdatetime 2016-12-24T10:00:28 --delay 1 --endMP 204:233322 --enddatetime 2016-12-24T10:37:22 --enforcementcount 1 &gt;&gt;C:\Users\stu\Documents\GitHub\eaglep3-reporting\EC\2016-12-24-refined-times.txt</v>
      </c>
      <c r="AI6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{"issue":{"subject":"","project_id":79,"tracker_id":40,"status_id":1,"priority_id":2,"assigned_to_id":23,"start_date":"2016-12-24","description":"","custom_fields":[{"id":1,"name":"Subdivision","value":"EC"},{"id":4,"name":"Milepost","value":"23.3322"},{"id":17,"name":"Train ID","value":"151-24"},{"id":16,"name":"Locomotive ID","value":"4031"},{"id":130,"name":"Impact","value":""},{"id":150,"name":"Time of Event (Mountain Time)","value":"10:37:22"},{"id":151,"name":"Denver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522</v>
      </c>
      <c r="B64" s="7">
        <v>4032</v>
      </c>
      <c r="C64" s="22" t="s">
        <v>205</v>
      </c>
      <c r="D64" s="22" t="s">
        <v>327</v>
      </c>
      <c r="E64" s="13">
        <v>42728.450844907406</v>
      </c>
      <c r="F64" s="13">
        <v>42728.45579861111</v>
      </c>
      <c r="G64" s="7">
        <v>1</v>
      </c>
      <c r="H64" s="22" t="s">
        <v>243</v>
      </c>
      <c r="I64" s="13">
        <v>42728.484456018516</v>
      </c>
      <c r="J64" s="7">
        <v>1</v>
      </c>
      <c r="K64" s="109" t="str">
        <f t="shared" si="48"/>
        <v>4031/4032</v>
      </c>
      <c r="L64" s="22" t="str">
        <f>VLOOKUP(A64,'Trips&amp;Operators'!$C$1:$G$99999,5,FALSE)</f>
        <v>OUN ZACK</v>
      </c>
      <c r="M64" s="6">
        <f t="shared" si="49"/>
        <v>2.8657407405262347E-2</v>
      </c>
      <c r="N64" s="7">
        <f t="shared" si="50"/>
        <v>41.26666666357778</v>
      </c>
      <c r="O64" s="7"/>
      <c r="P64" s="7"/>
      <c r="Q64" s="23"/>
      <c r="R64" s="23"/>
      <c r="S64" s="35">
        <f t="shared" si="51"/>
        <v>1</v>
      </c>
      <c r="T64" s="50" t="str">
        <f t="shared" si="5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09:49:13-700',mode:absolute,to:'2016-12-24 12:37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4" s="52" t="str">
        <f t="shared" si="54"/>
        <v>N</v>
      </c>
      <c r="X64" s="177">
        <f t="shared" si="55"/>
        <v>1</v>
      </c>
      <c r="Y64" s="67">
        <f t="shared" si="56"/>
        <v>23.298200000000001</v>
      </c>
      <c r="Z64" s="67">
        <f t="shared" si="57"/>
        <v>1.6299999999999999E-2</v>
      </c>
      <c r="AA64" s="67">
        <f t="shared" si="58"/>
        <v>23.2819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59"/>
        <v>0152-24</v>
      </c>
      <c r="AE64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64" s="88" t="str">
        <f t="shared" si="61"/>
        <v>"C:\Program Files (x86)\AstroGrep\AstroGrep.exe" /spath="%USERPROFILE%\AppData\Local\Temp\OnboardLogs" /stypes="app*4032*20161224*" /stext=" 18:.+((SYSTEM_STATE.+slice.+state.+changed )|(ment ac)|(multiple cpu faults)|(system.+state.+changed )|(\[timeout)|(PRM\|1\|D)|(kpr)|(kdp)|(\|lc)|(penalty))" /e /r /s</v>
      </c>
      <c r="AG64" s="1" t="str">
        <f t="shared" si="62"/>
        <v>EC</v>
      </c>
      <c r="AH64" s="92" t="str">
        <f t="shared" si="17"/>
        <v>"%USERPROFILE%\Documents\GitHub\eaglep3\Utilities\RefineRTDCRunTimes.py" --tripid 152-24 --locoid 4032 --swversion DE.1.0.8.0 --startMP 204:232982 --initTime 2016-12-24T10:49:13 --startdatetime 2016-12-24T10:56:21 --delay 1 --endMP 204:163 --enddatetime 2016-12-24T11:37:37 --enforcementcount 1 &gt;&gt;C:\Users\stu\Documents\GitHub\eaglep3-reporting\EC\2016-12-24-refined-times.txt</v>
      </c>
      <c r="AI6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ID","value":"152-24"},{"id":16,"name":"Locomotive ID","value":"4032"},{"id":130,"name":"Impact","value":""},{"id":150,"name":"Time of Event (Mountain Time)","value":"11:37:37"},{"id":151,"name":"Denver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514</v>
      </c>
      <c r="B65" s="7">
        <v>4044</v>
      </c>
      <c r="C65" s="22" t="s">
        <v>205</v>
      </c>
      <c r="D65" s="22" t="s">
        <v>263</v>
      </c>
      <c r="E65" s="13">
        <v>42728.423796296294</v>
      </c>
      <c r="F65" s="13">
        <v>42728.427291666667</v>
      </c>
      <c r="G65" s="7">
        <v>1</v>
      </c>
      <c r="H65" s="22" t="s">
        <v>664</v>
      </c>
      <c r="I65" s="13">
        <v>42728.451481481483</v>
      </c>
      <c r="J65" s="7">
        <v>1</v>
      </c>
      <c r="K65" s="109" t="str">
        <f t="shared" si="48"/>
        <v>4043/4044</v>
      </c>
      <c r="L65" s="22" t="str">
        <f>VLOOKUP(A65,'Trips&amp;Operators'!$C$1:$G$99999,5,FALSE)</f>
        <v>LOZA FIDEL</v>
      </c>
      <c r="M65" s="6">
        <f t="shared" si="49"/>
        <v>2.4189814816054422E-2</v>
      </c>
      <c r="N65" s="7">
        <f t="shared" si="50"/>
        <v>34.833333335118368</v>
      </c>
      <c r="O65" s="7"/>
      <c r="P65" s="7"/>
      <c r="Q65" s="23"/>
      <c r="R65" s="23"/>
      <c r="S65" s="35">
        <f t="shared" si="51"/>
        <v>1</v>
      </c>
      <c r="T65" s="50" t="str">
        <f t="shared" si="5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09:10:16-700',mode:absolute,to:'2016-12-24 11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5" s="52" t="str">
        <f t="shared" si="54"/>
        <v>N</v>
      </c>
      <c r="X65" s="177">
        <f t="shared" si="55"/>
        <v>1</v>
      </c>
      <c r="Y65" s="67">
        <f t="shared" si="56"/>
        <v>4.6699999999999998E-2</v>
      </c>
      <c r="Z65" s="67">
        <f t="shared" si="57"/>
        <v>23.333600000000001</v>
      </c>
      <c r="AA65" s="67">
        <f t="shared" si="58"/>
        <v>23.286899999999999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59"/>
        <v>0153-24</v>
      </c>
      <c r="AE65" s="91" t="str">
        <f t="shared" si="60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65" s="88" t="str">
        <f t="shared" si="61"/>
        <v>"C:\Program Files (x86)\AstroGrep\AstroGrep.exe" /spath="%USERPROFILE%\AppData\Local\Temp\OnboardLogs" /stypes="app*4044*20161224*" /stext=" 17:.+((SYSTEM_STATE.+slice.+state.+changed )|(ment ac)|(multiple cpu faults)|(system.+state.+changed )|(\[timeout)|(PRM\|1\|D)|(kpr)|(kdp)|(\|lc)|(penalty))" /e /r /s</v>
      </c>
      <c r="AG65" s="1" t="str">
        <f t="shared" si="62"/>
        <v>EC</v>
      </c>
      <c r="AH65" s="92" t="str">
        <f t="shared" si="17"/>
        <v>"%USERPROFILE%\Documents\GitHub\eaglep3\Utilities\RefineRTDCRunTimes.py" --tripid 153-24 --locoid 4044 --swversion DE.1.0.8.0 --startMP 204:467 --initTime 2016-12-24T10:10:16 --startdatetime 2016-12-24T10:15:18 --delay 1 --endMP 204:233336 --enddatetime 2016-12-24T10:50:08 --enforcementcount 1 &gt;&gt;C:\Users\stu\Documents\GitHub\eaglep3-reporting\EC\2016-12-24-refined-times.txt</v>
      </c>
      <c r="AI6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{"issue":{"subject":"","project_id":79,"tracker_id":40,"status_id":1,"priority_id":2,"assigned_to_id":23,"start_date":"2016-12-24","description":"","custom_fields":[{"id":1,"name":"Subdivision","value":"EC"},{"id":4,"name":"Milepost","value":"23.3336"},{"id":17,"name":"Train ID","value":"153-24"},{"id":16,"name":"Locomotive ID","value":"4044"},{"id":130,"name":"Impact","value":""},{"id":150,"name":"Time of Event (Mountain Time)","value":"10:50:08"},{"id":151,"name":"Denver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525</v>
      </c>
      <c r="B66" s="7">
        <v>4043</v>
      </c>
      <c r="C66" s="22" t="s">
        <v>205</v>
      </c>
      <c r="D66" s="22" t="s">
        <v>665</v>
      </c>
      <c r="E66" s="13">
        <v>42728.459432870368</v>
      </c>
      <c r="F66" s="13">
        <v>42728.466423611113</v>
      </c>
      <c r="G66" s="7">
        <v>1</v>
      </c>
      <c r="H66" s="22" t="s">
        <v>260</v>
      </c>
      <c r="I66" s="13">
        <v>42728.493148148147</v>
      </c>
      <c r="J66" s="7">
        <v>1</v>
      </c>
      <c r="K66" s="109" t="str">
        <f t="shared" si="48"/>
        <v>4043/4044</v>
      </c>
      <c r="L66" s="22" t="str">
        <f>VLOOKUP(A66,'Trips&amp;Operators'!$C$1:$G$99999,5,FALSE)</f>
        <v>LOZA FIDEL</v>
      </c>
      <c r="M66" s="6">
        <f t="shared" si="49"/>
        <v>2.6724537034169771E-2</v>
      </c>
      <c r="N66" s="7">
        <f t="shared" si="50"/>
        <v>38.48333332920447</v>
      </c>
      <c r="O66" s="7"/>
      <c r="P66" s="7"/>
      <c r="Q66" s="23"/>
      <c r="R66" s="23"/>
      <c r="S66" s="35">
        <f t="shared" si="51"/>
        <v>1</v>
      </c>
      <c r="T66" s="50" t="str">
        <f t="shared" si="5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10:01:35-700',mode:absolute,to:'2016-12-24 12:50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6" s="52" t="str">
        <f t="shared" si="54"/>
        <v>N</v>
      </c>
      <c r="X66" s="177">
        <f t="shared" si="55"/>
        <v>1</v>
      </c>
      <c r="Y66" s="67">
        <f t="shared" si="56"/>
        <v>23.301500000000001</v>
      </c>
      <c r="Z66" s="67">
        <f t="shared" si="57"/>
        <v>1.3899999999999999E-2</v>
      </c>
      <c r="AA66" s="67">
        <f t="shared" si="58"/>
        <v>23.287600000000001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59"/>
        <v>0154-24</v>
      </c>
      <c r="AE66" s="91" t="str">
        <f t="shared" si="60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66" s="88" t="str">
        <f t="shared" si="61"/>
        <v>"C:\Program Files (x86)\AstroGrep\AstroGrep.exe" /spath="%USERPROFILE%\AppData\Local\Temp\OnboardLogs" /stypes="app*4043*20161224*" /stext=" 18:.+((SYSTEM_STATE.+slice.+state.+changed )|(ment ac)|(multiple cpu faults)|(system.+state.+changed )|(\[timeout)|(PRM\|1\|D)|(kpr)|(kdp)|(\|lc)|(penalty))" /e /r /s</v>
      </c>
      <c r="AG66" s="1" t="str">
        <f t="shared" si="62"/>
        <v>EC</v>
      </c>
      <c r="AH66" s="92" t="str">
        <f t="shared" si="17"/>
        <v>"%USERPROFILE%\Documents\GitHub\eaglep3\Utilities\RefineRTDCRunTimes.py" --tripid 154-24 --locoid 4043 --swversion DE.1.0.8.0 --startMP 204:233015 --initTime 2016-12-24T11:01:35 --startdatetime 2016-12-24T11:11:39 --delay 1 --endMP 204:139 --enddatetime 2016-12-24T11:50:08 --enforcementcount 1 &gt;&gt;C:\Users\stu\Documents\GitHub\eaglep3-reporting\EC\2016-12-24-refined-times.txt</v>
      </c>
      <c r="AI6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ID","value":"154-24"},{"id":16,"name":"Locomotive ID","value":"4043"},{"id":130,"name":"Impact","value":""},{"id":150,"name":"Time of Event (Mountain Time)","value":"11:50:08"},{"id":151,"name":"Denver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516</v>
      </c>
      <c r="B67" s="7">
        <v>4042</v>
      </c>
      <c r="C67" s="22" t="s">
        <v>205</v>
      </c>
      <c r="D67" s="22" t="s">
        <v>666</v>
      </c>
      <c r="E67" s="13">
        <v>42728.43173611111</v>
      </c>
      <c r="F67" s="13">
        <v>42728.437835648147</v>
      </c>
      <c r="G67" s="7">
        <v>1</v>
      </c>
      <c r="H67" s="22" t="s">
        <v>667</v>
      </c>
      <c r="I67" s="13">
        <v>42728.46197916667</v>
      </c>
      <c r="J67" s="7">
        <v>1</v>
      </c>
      <c r="K67" s="109" t="str">
        <f t="shared" si="48"/>
        <v>4041/4042</v>
      </c>
      <c r="L67" s="22" t="str">
        <f>VLOOKUP(A67,'Trips&amp;Operators'!$C$1:$G$99999,5,FALSE)</f>
        <v>ADANE ELSHADAY</v>
      </c>
      <c r="M67" s="6">
        <f t="shared" si="49"/>
        <v>2.4143518523487728E-2</v>
      </c>
      <c r="N67" s="7">
        <f t="shared" si="50"/>
        <v>34.766666673822328</v>
      </c>
      <c r="O67" s="7"/>
      <c r="P67" s="7"/>
      <c r="Q67" s="23"/>
      <c r="R67" s="23"/>
      <c r="S67" s="35">
        <f t="shared" si="51"/>
        <v>1</v>
      </c>
      <c r="T67" s="50" t="str">
        <f t="shared" si="5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09:21:42-700',mode:absolute,to:'2016-12-24 12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7" s="52" t="str">
        <f t="shared" si="54"/>
        <v>N</v>
      </c>
      <c r="X67" s="177">
        <f t="shared" si="55"/>
        <v>1</v>
      </c>
      <c r="Y67" s="67">
        <f t="shared" si="56"/>
        <v>4.2000000000000003E-2</v>
      </c>
      <c r="Z67" s="67">
        <f t="shared" si="57"/>
        <v>23.331600000000002</v>
      </c>
      <c r="AA67" s="67">
        <f t="shared" si="58"/>
        <v>23.2896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59"/>
        <v>0155-24</v>
      </c>
      <c r="AE67" s="91" t="str">
        <f t="shared" si="60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67" s="88" t="str">
        <f t="shared" si="61"/>
        <v>"C:\Program Files (x86)\AstroGrep\AstroGrep.exe" /spath="%USERPROFILE%\AppData\Local\Temp\OnboardLogs" /stypes="app*4042*20161224*" /stext=" 18:.+((SYSTEM_STATE.+slice.+state.+changed )|(ment ac)|(multiple cpu faults)|(system.+state.+changed )|(\[timeout)|(PRM\|1\|D)|(kpr)|(kdp)|(\|lc)|(penalty))" /e /r /s</v>
      </c>
      <c r="AG67" s="1" t="str">
        <f t="shared" si="62"/>
        <v>EC</v>
      </c>
      <c r="AH67" s="92" t="str">
        <f t="shared" si="17"/>
        <v>"%USERPROFILE%\Documents\GitHub\eaglep3\Utilities\RefineRTDCRunTimes.py" --tripid 155-24 --locoid 4042 --swversion DE.1.0.8.0 --startMP 204:420 --initTime 2016-12-24T10:21:42 --startdatetime 2016-12-24T10:30:29 --delay 1 --endMP 204:233316 --enddatetime 2016-12-24T11:05:15 --enforcementcount 1 &gt;&gt;C:\Users\stu\Documents\GitHub\eaglep3-reporting\EC\2016-12-24-refined-times.txt</v>
      </c>
      <c r="AI6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{"issue":{"subject":"","project_id":79,"tracker_id":40,"status_id":1,"priority_id":2,"assigned_to_id":23,"start_date":"2016-12-24","description":"","custom_fields":[{"id":1,"name":"Subdivision","value":"EC"},{"id":4,"name":"Milepost","value":"23.3316"},{"id":17,"name":"Train ID","value":"155-24"},{"id":16,"name":"Locomotive ID","value":"4042"},{"id":130,"name":"Impact","value":""},{"id":150,"name":"Time of Event (Mountain Time)","value":"11:05:15"},{"id":151,"name":"Denver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526</v>
      </c>
      <c r="B68" s="7">
        <v>4041</v>
      </c>
      <c r="C68" s="22" t="s">
        <v>205</v>
      </c>
      <c r="D68" s="22" t="s">
        <v>668</v>
      </c>
      <c r="E68" s="13">
        <v>42728.463379629633</v>
      </c>
      <c r="F68" s="13">
        <v>42728.476805555554</v>
      </c>
      <c r="G68" s="7">
        <v>1</v>
      </c>
      <c r="H68" s="22" t="s">
        <v>651</v>
      </c>
      <c r="I68" s="13">
        <v>42728.503206018519</v>
      </c>
      <c r="J68" s="7">
        <v>1</v>
      </c>
      <c r="K68" s="109" t="str">
        <f t="shared" si="48"/>
        <v>4041/4042</v>
      </c>
      <c r="L68" s="22" t="str">
        <f>VLOOKUP(A68,'Trips&amp;Operators'!$C$1:$G$99999,5,FALSE)</f>
        <v>ADANE ELSHADAY</v>
      </c>
      <c r="M68" s="6">
        <f t="shared" si="49"/>
        <v>2.6400462964375038E-2</v>
      </c>
      <c r="N68" s="7">
        <f t="shared" si="50"/>
        <v>38.016666668700054</v>
      </c>
      <c r="O68" s="7"/>
      <c r="P68" s="7"/>
      <c r="Q68" s="23"/>
      <c r="R68" s="23"/>
      <c r="S68" s="35">
        <f t="shared" si="51"/>
        <v>1</v>
      </c>
      <c r="T68" s="50" t="str">
        <f t="shared" si="5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10:07:16-700',mode:absolute,to:'2016-12-24 13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8" s="52" t="str">
        <f t="shared" si="54"/>
        <v>N</v>
      </c>
      <c r="X68" s="177">
        <f t="shared" si="55"/>
        <v>1</v>
      </c>
      <c r="Y68" s="67">
        <f t="shared" si="56"/>
        <v>23.3003</v>
      </c>
      <c r="Z68" s="67">
        <f t="shared" si="57"/>
        <v>1.7600000000000001E-2</v>
      </c>
      <c r="AA68" s="67">
        <f t="shared" si="58"/>
        <v>23.282699999999998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59"/>
        <v>0156-24</v>
      </c>
      <c r="AE68" s="91" t="str">
        <f t="shared" si="60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68" s="88" t="str">
        <f t="shared" si="61"/>
        <v>"C:\Program Files (x86)\AstroGrep\AstroGrep.exe" /spath="%USERPROFILE%\AppData\Local\Temp\OnboardLogs" /stypes="app*4041*20161224*" /stext=" 19:.+((SYSTEM_STATE.+slice.+state.+changed )|(ment ac)|(multiple cpu faults)|(system.+state.+changed )|(\[timeout)|(PRM\|1\|D)|(kpr)|(kdp)|(\|lc)|(penalty))" /e /r /s</v>
      </c>
      <c r="AG68" s="1" t="str">
        <f t="shared" si="62"/>
        <v>EC</v>
      </c>
      <c r="AH68" s="92" t="str">
        <f t="shared" si="17"/>
        <v>"%USERPROFILE%\Documents\GitHub\eaglep3\Utilities\RefineRTDCRunTimes.py" --tripid 156-24 --locoid 4041 --swversion DE.1.0.8.0 --startMP 204:233003 --initTime 2016-12-24T11:07:16 --startdatetime 2016-12-24T11:26:36 --delay 1 --endMP 204:176 --enddatetime 2016-12-24T12:04:37 --enforcementcount 1 &gt;&gt;C:\Users\stu\Documents\GitHub\eaglep3-reporting\EC\2016-12-24-refined-times.txt</v>
      </c>
      <c r="AI6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{"issue":{"subject":"","project_id":79,"tracker_id":40,"status_id":1,"priority_id":2,"assigned_to_id":23,"start_date":"2016-12-24","description":"","custom_fields":[{"id":1,"name":"Subdivision","value":"EC"},{"id":4,"name":"Milepost","value":"0.0176"},{"id":17,"name":"Train ID","value":"156-24"},{"id":16,"name":"Locomotive ID","value":"4041"},{"id":130,"name":"Impact","value":""},{"id":150,"name":"Time of Event (Mountain Time)","value":"12:04:37"},{"id":151,"name":"Denver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521</v>
      </c>
      <c r="B69" s="7">
        <v>4003</v>
      </c>
      <c r="C69" s="22" t="s">
        <v>205</v>
      </c>
      <c r="D69" s="22" t="s">
        <v>228</v>
      </c>
      <c r="E69" s="13">
        <v>42728.444074074076</v>
      </c>
      <c r="F69" s="13">
        <v>42728.448333333334</v>
      </c>
      <c r="G69" s="7">
        <v>5</v>
      </c>
      <c r="H69" s="22" t="s">
        <v>319</v>
      </c>
      <c r="I69" s="13">
        <v>42728.472754629627</v>
      </c>
      <c r="J69" s="7">
        <v>1</v>
      </c>
      <c r="K69" s="109" t="str">
        <f t="shared" si="48"/>
        <v>4003/4004</v>
      </c>
      <c r="L69" s="22" t="str">
        <f>VLOOKUP(A69,'Trips&amp;Operators'!$C$1:$G$99999,5,FALSE)</f>
        <v>GEBRETEKLE DAGNEW</v>
      </c>
      <c r="M69" s="6">
        <f t="shared" si="49"/>
        <v>2.4421296293439809E-2</v>
      </c>
      <c r="N69" s="7">
        <f t="shared" si="50"/>
        <v>35.166666662553325</v>
      </c>
      <c r="O69" s="7"/>
      <c r="P69" s="7"/>
      <c r="Q69" s="23"/>
      <c r="R69" s="23"/>
      <c r="S69" s="35">
        <f t="shared" si="51"/>
        <v>1</v>
      </c>
      <c r="T69" s="50" t="str">
        <f t="shared" si="5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09:39:28-700',mode:absolute,to:'2016-12-24 12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9" s="52" t="str">
        <f t="shared" si="54"/>
        <v>N</v>
      </c>
      <c r="X69" s="177">
        <f t="shared" si="55"/>
        <v>1</v>
      </c>
      <c r="Y69" s="67">
        <f t="shared" si="56"/>
        <v>4.5499999999999999E-2</v>
      </c>
      <c r="Z69" s="67">
        <f t="shared" si="57"/>
        <v>23.331199999999999</v>
      </c>
      <c r="AA69" s="67">
        <f t="shared" si="58"/>
        <v>23.285699999999999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59"/>
        <v>0157-24</v>
      </c>
      <c r="AE69" s="91" t="str">
        <f t="shared" si="60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69" s="88" t="str">
        <f t="shared" si="61"/>
        <v>"C:\Program Files (x86)\AstroGrep\AstroGrep.exe" /spath="%USERPROFILE%\AppData\Local\Temp\OnboardLogs" /stypes="app*4003*20161224*" /stext=" 18:.+((SYSTEM_STATE.+slice.+state.+changed )|(ment ac)|(multiple cpu faults)|(system.+state.+changed )|(\[timeout)|(PRM\|1\|D)|(kpr)|(kdp)|(\|lc)|(penalty))" /e /r /s</v>
      </c>
      <c r="AG69" s="1" t="str">
        <f t="shared" si="62"/>
        <v>EC</v>
      </c>
      <c r="AH69" s="92" t="str">
        <f t="shared" si="17"/>
        <v>"%USERPROFILE%\Documents\GitHub\eaglep3\Utilities\RefineRTDCRunTimes.py" --tripid 157-24 --locoid 4003 --swversion DE.1.0.8.0 --startMP 204:455 --initTime 2016-12-24T10:39:28 --startdatetime 2016-12-24T10:45:36 --delay 5 --endMP 204:233312 --enddatetime 2016-12-24T11:20:46 --enforcementcount 1 &gt;&gt;C:\Users\stu\Documents\GitHub\eaglep3-reporting\EC\2016-12-24-refined-times.txt</v>
      </c>
      <c r="AI6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ID","value":"157-24"},{"id":16,"name":"Locomotive ID","value":"4003"},{"id":130,"name":"Impact","value":""},{"id":150,"name":"Time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532</v>
      </c>
      <c r="B70" s="7">
        <v>4004</v>
      </c>
      <c r="C70" s="22" t="s">
        <v>205</v>
      </c>
      <c r="D70" s="22" t="s">
        <v>267</v>
      </c>
      <c r="E70" s="13">
        <v>42728.483263888891</v>
      </c>
      <c r="F70" s="13">
        <v>42728.487013888887</v>
      </c>
      <c r="G70" s="7">
        <v>1</v>
      </c>
      <c r="H70" s="22" t="s">
        <v>191</v>
      </c>
      <c r="I70" s="13">
        <v>42728.513680555552</v>
      </c>
      <c r="J70" s="7">
        <v>1</v>
      </c>
      <c r="K70" s="109" t="str">
        <f t="shared" si="48"/>
        <v>4003/4004</v>
      </c>
      <c r="L70" s="22" t="str">
        <f>VLOOKUP(A70,'Trips&amp;Operators'!$C$1:$G$99999,5,FALSE)</f>
        <v>GEBRETEKLE DAGNEW</v>
      </c>
      <c r="M70" s="6">
        <f t="shared" si="49"/>
        <v>2.6666666664823424E-2</v>
      </c>
      <c r="N70" s="7">
        <f t="shared" si="50"/>
        <v>38.399999997345731</v>
      </c>
      <c r="O70" s="7"/>
      <c r="P70" s="7"/>
      <c r="Q70" s="23"/>
      <c r="R70" s="23"/>
      <c r="S70" s="35">
        <f t="shared" si="51"/>
        <v>1</v>
      </c>
      <c r="T70" s="50" t="str">
        <f t="shared" si="5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10:35:54-700',mode:absolute,to:'2016-12-24 13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0" s="52" t="str">
        <f t="shared" si="54"/>
        <v>N</v>
      </c>
      <c r="X70" s="177">
        <f t="shared" si="55"/>
        <v>1</v>
      </c>
      <c r="Y70" s="67">
        <f t="shared" si="56"/>
        <v>23.299299999999999</v>
      </c>
      <c r="Z70" s="67">
        <f t="shared" si="57"/>
        <v>1.49E-2</v>
      </c>
      <c r="AA70" s="67">
        <f t="shared" si="58"/>
        <v>23.284399999999998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59"/>
        <v>0158-24</v>
      </c>
      <c r="AE70" s="91" t="str">
        <f t="shared" si="60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70" s="88" t="str">
        <f t="shared" si="61"/>
        <v>"C:\Program Files (x86)\AstroGrep\AstroGrep.exe" /spath="%USERPROFILE%\AppData\Local\Temp\OnboardLogs" /stypes="app*4004*20161224*" /stext=" 19:.+((SYSTEM_STATE.+slice.+state.+changed )|(ment ac)|(multiple cpu faults)|(system.+state.+changed )|(\[timeout)|(PRM\|1\|D)|(kpr)|(kdp)|(\|lc)|(penalty))" /e /r /s</v>
      </c>
      <c r="AG70" s="1" t="str">
        <f t="shared" si="62"/>
        <v>EC</v>
      </c>
      <c r="AH70" s="92" t="str">
        <f t="shared" si="17"/>
        <v>"%USERPROFILE%\Documents\GitHub\eaglep3\Utilities\RefineRTDCRunTimes.py" --tripid 158-24 --locoid 4004 --swversion DE.1.0.8.0 --startMP 204:232993 --initTime 2016-12-24T11:35:54 --startdatetime 2016-12-24T11:41:18 --delay 1 --endMP 204:149 --enddatetime 2016-12-24T12:19:42 --enforcementcount 1 &gt;&gt;C:\Users\stu\Documents\GitHub\eaglep3-reporting\EC\2016-12-24-refined-times.txt</v>
      </c>
      <c r="AI70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ID","value":"158-24"},{"id":16,"name":"Locomotive ID","value":"4004"},{"id":130,"name":"Impact","value":""},{"id":150,"name":"Time of Event (Mountain Time)","value":"12:19:42"},{"id":151,"name":"Denver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523</v>
      </c>
      <c r="B71" s="7">
        <v>4018</v>
      </c>
      <c r="C71" s="22" t="s">
        <v>205</v>
      </c>
      <c r="D71" s="22" t="s">
        <v>283</v>
      </c>
      <c r="E71" s="13">
        <v>42728.454618055555</v>
      </c>
      <c r="F71" s="13">
        <v>42728.458599537036</v>
      </c>
      <c r="G71" s="7">
        <v>2</v>
      </c>
      <c r="H71" s="22" t="s">
        <v>669</v>
      </c>
      <c r="I71" s="13">
        <v>42728.483148148145</v>
      </c>
      <c r="J71" s="7">
        <v>1</v>
      </c>
      <c r="K71" s="109" t="str">
        <f t="shared" si="48"/>
        <v>4017/4018</v>
      </c>
      <c r="L71" s="22" t="str">
        <f>VLOOKUP(A71,'Trips&amp;Operators'!$C$1:$G$99999,5,FALSE)</f>
        <v>STEWART MICHAEL</v>
      </c>
      <c r="M71" s="6">
        <f t="shared" si="49"/>
        <v>2.4548611108912155E-2</v>
      </c>
      <c r="N71" s="7">
        <f t="shared" si="50"/>
        <v>35.349999996833503</v>
      </c>
      <c r="O71" s="7"/>
      <c r="P71" s="7"/>
      <c r="Q71" s="23"/>
      <c r="R71" s="23"/>
      <c r="S71" s="35">
        <f t="shared" si="51"/>
        <v>1</v>
      </c>
      <c r="T71" s="50" t="str">
        <f t="shared" si="5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09:54:39-700',mode:absolute,to:'2016-12-24 12:35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1" s="52" t="str">
        <f t="shared" si="54"/>
        <v>N</v>
      </c>
      <c r="X71" s="177">
        <f t="shared" si="55"/>
        <v>1</v>
      </c>
      <c r="Y71" s="67">
        <f t="shared" si="56"/>
        <v>4.4200000000000003E-2</v>
      </c>
      <c r="Z71" s="67">
        <f t="shared" si="57"/>
        <v>23.3309</v>
      </c>
      <c r="AA71" s="67">
        <f t="shared" si="58"/>
        <v>23.2867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59"/>
        <v>0159-24</v>
      </c>
      <c r="AE71" s="91" t="str">
        <f t="shared" si="60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71" s="88" t="str">
        <f t="shared" si="61"/>
        <v>"C:\Program Files (x86)\AstroGrep\AstroGrep.exe" /spath="%USERPROFILE%\AppData\Local\Temp\OnboardLogs" /stypes="app*4018*20161224*" /stext=" 18:.+((SYSTEM_STATE.+slice.+state.+changed )|(ment ac)|(multiple cpu faults)|(system.+state.+changed )|(\[timeout)|(PRM\|1\|D)|(kpr)|(kdp)|(\|lc)|(penalty))" /e /r /s</v>
      </c>
      <c r="AG71" s="1" t="str">
        <f t="shared" si="62"/>
        <v>EC</v>
      </c>
      <c r="AH71" s="92" t="str">
        <f t="shared" si="17"/>
        <v>"%USERPROFILE%\Documents\GitHub\eaglep3\Utilities\RefineRTDCRunTimes.py" --tripid 159-24 --locoid 4018 --swversion DE.1.0.8.0 --startMP 204:442 --initTime 2016-12-24T10:54:39 --startdatetime 2016-12-24T11:00:23 --delay 2 --endMP 204:233309 --enddatetime 2016-12-24T11:35:44 --enforcementcount 1 &gt;&gt;C:\Users\stu\Documents\GitHub\eaglep3-reporting\EC\2016-12-24-refined-times.txt</v>
      </c>
      <c r="AI71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{"issue":{"subject":"","project_id":79,"tracker_id":40,"status_id":1,"priority_id":2,"assigned_to_id":23,"start_date":"2016-12-24","description":"","custom_fields":[{"id":1,"name":"Subdivision","value":"EC"},{"id":4,"name":"Milepost","value":"23.3309"},{"id":17,"name":"Train ID","value":"159-24"},{"id":16,"name":"Locomotive ID","value":"4018"},{"id":130,"name":"Impact","value":""},{"id":150,"name":"Time of Event (Mountain Time)","value":"11:35:44"},{"id":151,"name":"Denver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535</v>
      </c>
      <c r="B72" s="7">
        <v>4017</v>
      </c>
      <c r="C72" s="22" t="s">
        <v>205</v>
      </c>
      <c r="D72" s="22" t="s">
        <v>325</v>
      </c>
      <c r="E72" s="13">
        <v>42728.495196759257</v>
      </c>
      <c r="F72" s="13">
        <v>42728.497523148151</v>
      </c>
      <c r="G72" s="7">
        <v>1</v>
      </c>
      <c r="H72" s="22" t="s">
        <v>329</v>
      </c>
      <c r="I72" s="13">
        <v>42728.523912037039</v>
      </c>
      <c r="J72" s="7">
        <v>1</v>
      </c>
      <c r="K72" s="109" t="str">
        <f t="shared" si="48"/>
        <v>4017/4018</v>
      </c>
      <c r="L72" s="22" t="str">
        <f>VLOOKUP(A72,'Trips&amp;Operators'!$C$1:$G$99999,5,FALSE)</f>
        <v>STEWART MICHAEL</v>
      </c>
      <c r="M72" s="6">
        <f t="shared" si="49"/>
        <v>2.6388888887595385E-2</v>
      </c>
      <c r="N72" s="7">
        <f t="shared" si="50"/>
        <v>37.999999998137355</v>
      </c>
      <c r="O72" s="7"/>
      <c r="P72" s="7"/>
      <c r="Q72" s="23"/>
      <c r="R72" s="23"/>
      <c r="S72" s="35">
        <f t="shared" si="51"/>
        <v>1</v>
      </c>
      <c r="T72" s="50" t="str">
        <f t="shared" si="5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10:53:05-700',mode:absolute,to:'2016-12-24 13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2" s="52" t="str">
        <f t="shared" si="54"/>
        <v>N</v>
      </c>
      <c r="X72" s="177">
        <f t="shared" si="55"/>
        <v>1</v>
      </c>
      <c r="Y72" s="67">
        <f t="shared" si="56"/>
        <v>23.297999999999998</v>
      </c>
      <c r="Z72" s="67">
        <f t="shared" si="57"/>
        <v>1.6500000000000001E-2</v>
      </c>
      <c r="AA72" s="67">
        <f t="shared" si="58"/>
        <v>23.281499999999998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59"/>
        <v>0160-24</v>
      </c>
      <c r="AE72" s="91" t="str">
        <f t="shared" si="60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72" s="88" t="str">
        <f t="shared" si="61"/>
        <v>"C:\Program Files (x86)\AstroGrep\AstroGrep.exe" /spath="%USERPROFILE%\AppData\Local\Temp\OnboardLogs" /stypes="app*4017*20161224*" /stext=" 19:.+((SYSTEM_STATE.+slice.+state.+changed )|(ment ac)|(multiple cpu faults)|(system.+state.+changed )|(\[timeout)|(PRM\|1\|D)|(kpr)|(kdp)|(\|lc)|(penalty))" /e /r /s</v>
      </c>
      <c r="AG72" s="1" t="str">
        <f t="shared" si="62"/>
        <v>EC</v>
      </c>
      <c r="AH72" s="92" t="str">
        <f t="shared" si="17"/>
        <v>"%USERPROFILE%\Documents\GitHub\eaglep3\Utilities\RefineRTDCRunTimes.py" --tripid 160-24 --locoid 4017 --swversion DE.1.0.8.0 --startMP 204:232980 --initTime 2016-12-24T11:53:05 --startdatetime 2016-12-24T11:56:26 --delay 1 --endMP 204:165 --enddatetime 2016-12-24T12:34:26 --enforcementcount 1 &gt;&gt;C:\Users\stu\Documents\GitHub\eaglep3-reporting\EC\2016-12-24-refined-times.txt</v>
      </c>
      <c r="AI72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{"issue":{"subject":"","project_id":79,"tracker_id":40,"status_id":1,"priority_id":2,"assigned_to_id":23,"start_date":"2016-12-24","description":"","custom_fields":[{"id":1,"name":"Subdivision","value":"EC"},{"id":4,"name":"Milepost","value":"0.0165"},{"id":17,"name":"Train ID","value":"160-24"},{"id":16,"name":"Locomotive ID","value":"4017"},{"id":130,"name":"Impact","value":""},{"id":150,"name":"Time of Event (Mountain Time)","value":"12:34:26"},{"id":151,"name":"Denver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527</v>
      </c>
      <c r="B73" s="7">
        <v>4007</v>
      </c>
      <c r="C73" s="22" t="s">
        <v>205</v>
      </c>
      <c r="D73" s="22" t="s">
        <v>408</v>
      </c>
      <c r="E73" s="13">
        <v>42728.466493055559</v>
      </c>
      <c r="F73" s="13">
        <v>42728.468981481485</v>
      </c>
      <c r="G73" s="7">
        <v>2</v>
      </c>
      <c r="H73" s="22" t="s">
        <v>664</v>
      </c>
      <c r="I73" s="13">
        <v>42728.496238425927</v>
      </c>
      <c r="J73" s="7">
        <v>1</v>
      </c>
      <c r="K73" s="109" t="str">
        <f t="shared" si="48"/>
        <v>4007/4008</v>
      </c>
      <c r="L73" s="22" t="str">
        <f>VLOOKUP(A73,'Trips&amp;Operators'!$C$1:$G$99999,5,FALSE)</f>
        <v>ROMERO CHAD</v>
      </c>
      <c r="M73" s="6">
        <f t="shared" si="49"/>
        <v>2.7256944442342501E-2</v>
      </c>
      <c r="N73" s="7">
        <f t="shared" si="50"/>
        <v>39.249999996973202</v>
      </c>
      <c r="O73" s="7"/>
      <c r="P73" s="7"/>
      <c r="Q73" s="23"/>
      <c r="R73" s="23"/>
      <c r="S73" s="35">
        <f t="shared" si="51"/>
        <v>1</v>
      </c>
      <c r="T73" s="50" t="str">
        <f t="shared" si="5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10:11:45-700',mode:absolute,to:'2016-12-24 12:54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3" s="52" t="str">
        <f t="shared" si="54"/>
        <v>N</v>
      </c>
      <c r="X73" s="177">
        <f t="shared" si="55"/>
        <v>1</v>
      </c>
      <c r="Y73" s="67">
        <f t="shared" si="56"/>
        <v>4.7800000000000002E-2</v>
      </c>
      <c r="Z73" s="67">
        <f t="shared" si="57"/>
        <v>23.333600000000001</v>
      </c>
      <c r="AA73" s="67">
        <f t="shared" si="58"/>
        <v>23.285800000000002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59"/>
        <v>0161-24</v>
      </c>
      <c r="AE73" s="91" t="str">
        <f t="shared" si="60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73" s="88" t="str">
        <f t="shared" si="61"/>
        <v>"C:\Program Files (x86)\AstroGrep\AstroGrep.exe" /spath="%USERPROFILE%\AppData\Local\Temp\OnboardLogs" /stypes="app*4007*20161224*" /stext=" 18:.+((SYSTEM_STATE.+slice.+state.+changed )|(ment ac)|(multiple cpu faults)|(system.+state.+changed )|(\[timeout)|(PRM\|1\|D)|(kpr)|(kdp)|(\|lc)|(penalty))" /e /r /s</v>
      </c>
      <c r="AG73" s="1" t="str">
        <f t="shared" si="62"/>
        <v>EC</v>
      </c>
      <c r="AH73" s="92" t="str">
        <f t="shared" si="17"/>
        <v>"%USERPROFILE%\Documents\GitHub\eaglep3\Utilities\RefineRTDCRunTimes.py" --tripid 161-24 --locoid 4007 --swversion DE.1.0.8.0 --startMP 204:478 --initTime 2016-12-24T11:11:45 --startdatetime 2016-12-24T11:15:20 --delay 2 --endMP 204:233336 --enddatetime 2016-12-24T11:54:35 --enforcementcount 1 &gt;&gt;C:\Users\stu\Documents\GitHub\eaglep3-reporting\EC\2016-12-24-refined-times.txt</v>
      </c>
      <c r="AI73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{"issue":{"subject":"","project_id":79,"tracker_id":40,"status_id":1,"priority_id":2,"assigned_to_id":23,"start_date":"2016-12-24","description":"","custom_fields":[{"id":1,"name":"Subdivision","value":"EC"},{"id":4,"name":"Milepost","value":"23.3336"},{"id":17,"name":"Train ID","value":"161-24"},{"id":16,"name":"Locomotive ID","value":"4007"},{"id":130,"name":"Impact","value":""},{"id":150,"name":"Time of Event (Mountain Time)","value":"11:54:35"},{"id":151,"name":"Denver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444</v>
      </c>
      <c r="B74" s="7">
        <v>4008</v>
      </c>
      <c r="C74" s="22" t="s">
        <v>205</v>
      </c>
      <c r="D74" s="22" t="s">
        <v>649</v>
      </c>
      <c r="E74" s="13">
        <v>42728.499826388892</v>
      </c>
      <c r="F74" s="13">
        <v>42728.507986111108</v>
      </c>
      <c r="G74" s="7">
        <v>1</v>
      </c>
      <c r="H74" s="22" t="s">
        <v>192</v>
      </c>
      <c r="I74" s="13">
        <v>42728.534398148149</v>
      </c>
      <c r="J74" s="7">
        <v>1</v>
      </c>
      <c r="K74" s="109" t="str">
        <f t="shared" si="48"/>
        <v>4007/4008</v>
      </c>
      <c r="L74" s="22" t="str">
        <f>VLOOKUP(A74,'Trips&amp;Operators'!$C$1:$G$99999,5,FALSE)</f>
        <v>ROMERO CHAD</v>
      </c>
      <c r="M74" s="6">
        <f t="shared" si="49"/>
        <v>2.641203704115469E-2</v>
      </c>
      <c r="N74" s="7">
        <f t="shared" si="50"/>
        <v>38.033333339262754</v>
      </c>
      <c r="O74" s="7"/>
      <c r="P74" s="7"/>
      <c r="Q74" s="23"/>
      <c r="R74" s="23"/>
      <c r="S74" s="35">
        <f t="shared" si="51"/>
        <v>1</v>
      </c>
      <c r="T74" s="50" t="str">
        <f t="shared" si="5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10:59:45-700',mode:absolute,to:'2016-12-24 13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4" s="52" t="str">
        <f t="shared" si="54"/>
        <v>N</v>
      </c>
      <c r="X74" s="177">
        <f t="shared" si="55"/>
        <v>1</v>
      </c>
      <c r="Y74" s="67">
        <f t="shared" si="56"/>
        <v>23.299600000000002</v>
      </c>
      <c r="Z74" s="67">
        <f t="shared" si="57"/>
        <v>1.43E-2</v>
      </c>
      <c r="AA74" s="67">
        <f t="shared" si="58"/>
        <v>23.285300000000003</v>
      </c>
      <c r="AB74" s="64" t="str">
        <f>VLOOKUP(A74,Enforcements!$C$7:$K$19,8,0)</f>
        <v>Bulletin (2)</v>
      </c>
      <c r="AC74" s="60" t="str">
        <f>VLOOKUP(A74,Enforcements!$C$7:$E$19,3,0)</f>
        <v>TEMPORARY SPEED RESTRICTION</v>
      </c>
      <c r="AD74" s="61" t="str">
        <f t="shared" si="59"/>
        <v>0162-24</v>
      </c>
      <c r="AE74" s="91" t="str">
        <f t="shared" si="60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74" s="88" t="str">
        <f t="shared" si="61"/>
        <v>"C:\Program Files (x86)\AstroGrep\AstroGrep.exe" /spath="%USERPROFILE%\AppData\Local\Temp\OnboardLogs" /stypes="app*4008*20161224*" /stext=" 19:.+((SYSTEM_STATE.+slice.+state.+changed )|(ment ac)|(multiple cpu faults)|(system.+state.+changed )|(\[timeout)|(PRM\|1\|D)|(kpr)|(kdp)|(\|lc)|(penalty))" /e /r /s</v>
      </c>
      <c r="AG74" s="1" t="str">
        <f t="shared" si="62"/>
        <v>EC</v>
      </c>
      <c r="AH74" s="92" t="str">
        <f t="shared" si="17"/>
        <v>"%USERPROFILE%\Documents\GitHub\eaglep3\Utilities\RefineRTDCRunTimes.py" --tripid 162-24 --locoid 4008 --swversion DE.1.0.8.0 --startMP 204:232996 --initTime 2016-12-24T11:59:45 --startdatetime 2016-12-24T12:11:30 --delay 1 --endMP 204:143 --enddatetime 2016-12-24T12:49:32 --enforcementcount 1 &gt;&gt;C:\Users\stu\Documents\GitHub\eaglep3-reporting\EC\2016-12-24-refined-times.txt</v>
      </c>
      <c r="AI74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ID","value":"162-24"},{"id":16,"name":"Locomotive ID","value":"4008"},{"id":130,"name":"Impact","value":""},{"id":150,"name":"Time of Event (Mountain Time)","value":"12:49:32"},{"id":151,"name":"Denver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531</v>
      </c>
      <c r="B75" s="7">
        <v>4011</v>
      </c>
      <c r="C75" s="22" t="s">
        <v>205</v>
      </c>
      <c r="D75" s="22" t="s">
        <v>254</v>
      </c>
      <c r="E75" s="13">
        <v>42728.475740740738</v>
      </c>
      <c r="F75" s="13">
        <v>42728.479351851849</v>
      </c>
      <c r="G75" s="7">
        <v>3</v>
      </c>
      <c r="H75" s="22" t="s">
        <v>409</v>
      </c>
      <c r="I75" s="13">
        <v>42728.503611111111</v>
      </c>
      <c r="J75" s="7">
        <v>1</v>
      </c>
      <c r="K75" s="109" t="str">
        <f t="shared" si="48"/>
        <v>4011/4012</v>
      </c>
      <c r="L75" s="22" t="str">
        <f>VLOOKUP(A75,'Trips&amp;Operators'!$C$1:$G$99999,5,FALSE)</f>
        <v>BRUDER RICHARD</v>
      </c>
      <c r="M75" s="6">
        <f t="shared" si="49"/>
        <v>2.4259259262180422E-2</v>
      </c>
      <c r="N75" s="7">
        <f t="shared" si="50"/>
        <v>34.933333337539807</v>
      </c>
      <c r="O75" s="7"/>
      <c r="P75" s="7"/>
      <c r="Q75" s="23"/>
      <c r="R75" s="23"/>
      <c r="S75" s="35">
        <f t="shared" si="51"/>
        <v>1</v>
      </c>
      <c r="T75" s="50" t="str">
        <f t="shared" si="5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10:25:04-700',mode:absolute,to:'2016-12-24 13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5" s="52" t="str">
        <f t="shared" si="54"/>
        <v>N</v>
      </c>
      <c r="X75" s="177">
        <f t="shared" si="55"/>
        <v>1</v>
      </c>
      <c r="Y75" s="67">
        <f t="shared" si="56"/>
        <v>4.53E-2</v>
      </c>
      <c r="Z75" s="67">
        <f t="shared" si="57"/>
        <v>23.330500000000001</v>
      </c>
      <c r="AA75" s="67">
        <f t="shared" si="58"/>
        <v>23.2852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59"/>
        <v>0163-24</v>
      </c>
      <c r="AE75" s="91" t="str">
        <f t="shared" si="60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75" s="88" t="str">
        <f t="shared" si="61"/>
        <v>"C:\Program Files (x86)\AstroGrep\AstroGrep.exe" /spath="%USERPROFILE%\AppData\Local\Temp\OnboardLogs" /stypes="app*4011*20161224*" /stext=" 19:.+((SYSTEM_STATE.+slice.+state.+changed )|(ment ac)|(multiple cpu faults)|(system.+state.+changed )|(\[timeout)|(PRM\|1\|D)|(kpr)|(kdp)|(\|lc)|(penalty))" /e /r /s</v>
      </c>
      <c r="AG75" s="1" t="str">
        <f t="shared" si="62"/>
        <v>EC</v>
      </c>
      <c r="AH75" s="92" t="str">
        <f t="shared" si="17"/>
        <v>"%USERPROFILE%\Documents\GitHub\eaglep3\Utilities\RefineRTDCRunTimes.py" --tripid 163-24 --locoid 4011 --swversion DE.1.0.8.0 --startMP 204:453 --initTime 2016-12-24T11:25:04 --startdatetime 2016-12-24T11:30:16 --delay 3 --endMP 204:233305 --enddatetime 2016-12-24T12:05:12 --enforcementcount 1 &gt;&gt;C:\Users\stu\Documents\GitHub\eaglep3-reporting\EC\2016-12-24-refined-times.txt</v>
      </c>
      <c r="AI75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{"issue":{"subject":"","project_id":79,"tracker_id":40,"status_id":1,"priority_id":2,"assigned_to_id":23,"start_date":"2016-12-24","description":"","custom_fields":[{"id":1,"name":"Subdivision","value":"EC"},{"id":4,"name":"Milepost","value":"23.3305"},{"id":17,"name":"Train ID","value":"163-24"},{"id":16,"name":"Locomotive ID","value":"4011"},{"id":130,"name":"Impact","value":""},{"id":150,"name":"Time of Event (Mountain Time)","value":"12:05:12"},{"id":151,"name":"Denver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540</v>
      </c>
      <c r="B76" s="7">
        <v>4012</v>
      </c>
      <c r="C76" s="22" t="s">
        <v>205</v>
      </c>
      <c r="D76" s="22" t="s">
        <v>325</v>
      </c>
      <c r="E76" s="13">
        <v>42728.514270833337</v>
      </c>
      <c r="F76" s="13">
        <v>42728.518287037034</v>
      </c>
      <c r="G76" s="7">
        <v>1</v>
      </c>
      <c r="H76" s="22" t="s">
        <v>211</v>
      </c>
      <c r="I76" s="13">
        <v>42728.544791666667</v>
      </c>
      <c r="J76" s="7">
        <v>1</v>
      </c>
      <c r="K76" s="109" t="str">
        <f t="shared" si="48"/>
        <v>4011/4012</v>
      </c>
      <c r="L76" s="22" t="str">
        <f>VLOOKUP(A76,'Trips&amp;Operators'!$C$1:$G$99999,5,FALSE)</f>
        <v>BRUDER RICHARD</v>
      </c>
      <c r="M76" s="6">
        <f t="shared" si="49"/>
        <v>2.6504629633564036E-2</v>
      </c>
      <c r="N76" s="7">
        <f t="shared" si="50"/>
        <v>38.166666672332212</v>
      </c>
      <c r="O76" s="7"/>
      <c r="P76" s="7"/>
      <c r="Q76" s="23"/>
      <c r="R76" s="23"/>
      <c r="S76" s="35">
        <f t="shared" si="51"/>
        <v>1</v>
      </c>
      <c r="T76" s="50" t="str">
        <f t="shared" si="5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11:20:33-700',mode:absolute,to:'2016-12-24 14:04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6" s="52" t="str">
        <f t="shared" si="54"/>
        <v>N</v>
      </c>
      <c r="X76" s="177">
        <f t="shared" si="55"/>
        <v>1</v>
      </c>
      <c r="Y76" s="67">
        <f t="shared" si="56"/>
        <v>23.297999999999998</v>
      </c>
      <c r="Z76" s="67">
        <f t="shared" si="57"/>
        <v>1.4999999999999999E-2</v>
      </c>
      <c r="AA76" s="67">
        <f t="shared" si="58"/>
        <v>23.282999999999998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59"/>
        <v>0164-24</v>
      </c>
      <c r="AE76" s="91" t="str">
        <f t="shared" si="60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76" s="88" t="str">
        <f t="shared" si="61"/>
        <v>"C:\Program Files (x86)\AstroGrep\AstroGrep.exe" /spath="%USERPROFILE%\AppData\Local\Temp\OnboardLogs" /stypes="app*4012*20161224*" /stext=" 20:.+((SYSTEM_STATE.+slice.+state.+changed )|(ment ac)|(multiple cpu faults)|(system.+state.+changed )|(\[timeout)|(PRM\|1\|D)|(kpr)|(kdp)|(\|lc)|(penalty))" /e /r /s</v>
      </c>
      <c r="AG76" s="1" t="str">
        <f t="shared" si="62"/>
        <v>EC</v>
      </c>
      <c r="AH76" s="92" t="str">
        <f t="shared" si="17"/>
        <v>"%USERPROFILE%\Documents\GitHub\eaglep3\Utilities\RefineRTDCRunTimes.py" --tripid 164-24 --locoid 4012 --swversion DE.1.0.8.0 --startMP 204:232980 --initTime 2016-12-24T12:20:33 --startdatetime 2016-12-24T12:26:20 --delay 1 --endMP 204:150 --enddatetime 2016-12-24T13:04:30 --enforcementcount 1 &gt;&gt;C:\Users\stu\Documents\GitHub\eaglep3-reporting\EC\2016-12-24-refined-times.txt</v>
      </c>
      <c r="AI76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ID","value":"164-24"},{"id":16,"name":"Locomotive ID","value":"4012"},{"id":130,"name":"Impact","value":""},{"id":150,"name":"Time of Event (Mountain Time)","value":"13:04:30"},{"id":151,"name":"Denver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534</v>
      </c>
      <c r="B77" s="7">
        <v>4031</v>
      </c>
      <c r="C77" s="22" t="s">
        <v>205</v>
      </c>
      <c r="D77" s="22" t="s">
        <v>228</v>
      </c>
      <c r="E77" s="13">
        <v>42728.486157407409</v>
      </c>
      <c r="F77" s="13">
        <v>42728.49015046296</v>
      </c>
      <c r="G77" s="7">
        <v>1</v>
      </c>
      <c r="H77" s="22" t="s">
        <v>395</v>
      </c>
      <c r="I77" s="13">
        <v>42728.516076388885</v>
      </c>
      <c r="J77" s="7">
        <v>1</v>
      </c>
      <c r="K77" s="109" t="str">
        <f t="shared" si="48"/>
        <v>4031/4032</v>
      </c>
      <c r="L77" s="22" t="str">
        <f>VLOOKUP(A77,'Trips&amp;Operators'!$C$1:$G$99999,5,FALSE)</f>
        <v>KILLION DAVID</v>
      </c>
      <c r="M77" s="6">
        <f t="shared" si="49"/>
        <v>2.5925925925548654E-2</v>
      </c>
      <c r="N77" s="7">
        <f t="shared" si="50"/>
        <v>37.333333332790062</v>
      </c>
      <c r="O77" s="7"/>
      <c r="P77" s="7"/>
      <c r="Q77" s="23"/>
      <c r="R77" s="23"/>
      <c r="S77" s="35">
        <f t="shared" si="51"/>
        <v>1</v>
      </c>
      <c r="T77" s="50" t="str">
        <f t="shared" si="52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10:40:04-700',mode:absolute,to:'2016-12-24 13:23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7" s="52" t="str">
        <f t="shared" si="54"/>
        <v>N</v>
      </c>
      <c r="X77" s="177">
        <f t="shared" si="55"/>
        <v>1</v>
      </c>
      <c r="Y77" s="67">
        <f t="shared" si="56"/>
        <v>4.5499999999999999E-2</v>
      </c>
      <c r="Z77" s="67">
        <f t="shared" si="57"/>
        <v>23.331499999999998</v>
      </c>
      <c r="AA77" s="67">
        <f t="shared" si="58"/>
        <v>23.285999999999998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59"/>
        <v>0165-24</v>
      </c>
      <c r="AE77" s="91" t="str">
        <f t="shared" si="60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77" s="88" t="str">
        <f t="shared" si="61"/>
        <v>"C:\Program Files (x86)\AstroGrep\AstroGrep.exe" /spath="%USERPROFILE%\AppData\Local\Temp\OnboardLogs" /stypes="app*4031*20161224*" /stext=" 19:.+((SYSTEM_STATE.+slice.+state.+changed )|(ment ac)|(multiple cpu faults)|(system.+state.+changed )|(\[timeout)|(PRM\|1\|D)|(kpr)|(kdp)|(\|lc)|(penalty))" /e /r /s</v>
      </c>
      <c r="AG77" s="1" t="str">
        <f t="shared" si="62"/>
        <v>EC</v>
      </c>
      <c r="AH77" s="92" t="str">
        <f t="shared" si="17"/>
        <v>"%USERPROFILE%\Documents\GitHub\eaglep3\Utilities\RefineRTDCRunTimes.py" --tripid 165-24 --locoid 4031 --swversion DE.1.0.8.0 --startMP 204:455 --initTime 2016-12-24T11:40:04 --startdatetime 2016-12-24T11:45:49 --delay 1 --endMP 204:233315 --enddatetime 2016-12-24T12:23:09 --enforcementcount 1 &gt;&gt;C:\Users\stu\Documents\GitHub\eaglep3-reporting\EC\2016-12-24-refined-times.txt</v>
      </c>
      <c r="AI77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ID","value":"165-24"},{"id":16,"name":"Locomotive ID","value":"4031"},{"id":130,"name":"Impact","value":""},{"id":150,"name":"Time of Event (Mountain Time)","value":"12:23:09"},{"id":151,"name":"Denver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543</v>
      </c>
      <c r="B78" s="7">
        <v>4032</v>
      </c>
      <c r="C78" s="22" t="s">
        <v>205</v>
      </c>
      <c r="D78" s="22" t="s">
        <v>256</v>
      </c>
      <c r="E78" s="13">
        <v>42728.526099537034</v>
      </c>
      <c r="F78" s="13">
        <v>42728.528657407405</v>
      </c>
      <c r="G78" s="7">
        <v>1</v>
      </c>
      <c r="H78" s="22" t="s">
        <v>243</v>
      </c>
      <c r="I78" s="13">
        <v>42728.556122685186</v>
      </c>
      <c r="J78" s="7">
        <v>1</v>
      </c>
      <c r="K78" s="109" t="str">
        <f t="shared" si="48"/>
        <v>4031/4032</v>
      </c>
      <c r="L78" s="22" t="str">
        <f>VLOOKUP(A78,'Trips&amp;Operators'!$C$1:$G$99999,5,FALSE)</f>
        <v>KILLION DAVID</v>
      </c>
      <c r="M78" s="6">
        <f t="shared" si="49"/>
        <v>2.7465277780720498E-2</v>
      </c>
      <c r="N78" s="7">
        <f t="shared" si="50"/>
        <v>39.550000004237518</v>
      </c>
      <c r="O78" s="7"/>
      <c r="P78" s="7"/>
      <c r="Q78" s="23"/>
      <c r="R78" s="23"/>
      <c r="S78" s="35">
        <f t="shared" si="51"/>
        <v>1</v>
      </c>
      <c r="T78" s="50" t="str">
        <f t="shared" si="52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53"/>
        <v>https://search-rtdc-monitor-bjffxe2xuh6vdkpspy63sjmuny.us-east-1.es.amazonaws.com/_plugin/kibana/#/discover/Steve-Slow-Train-Analysis-(2080s-and-2083s)?_g=(refreshInterval:(display:Off,section:0,value:0),time:(from:'2016-12-24 11:37:35-700',mode:absolute,to:'2016-12-24 14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8" s="52" t="str">
        <f t="shared" si="54"/>
        <v>N</v>
      </c>
      <c r="X78" s="177">
        <f t="shared" si="55"/>
        <v>1</v>
      </c>
      <c r="Y78" s="67">
        <f t="shared" si="56"/>
        <v>23.299399999999999</v>
      </c>
      <c r="Z78" s="67">
        <f t="shared" si="57"/>
        <v>1.6299999999999999E-2</v>
      </c>
      <c r="AA78" s="67">
        <f t="shared" si="58"/>
        <v>23.283099999999997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59"/>
        <v>0166-24</v>
      </c>
      <c r="AE78" s="91" t="str">
        <f t="shared" si="60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78" s="88" t="str">
        <f t="shared" si="61"/>
        <v>"C:\Program Files (x86)\AstroGrep\AstroGrep.exe" /spath="%USERPROFILE%\AppData\Local\Temp\OnboardLogs" /stypes="app*4032*20161224*" /stext=" 20:.+((SYSTEM_STATE.+slice.+state.+changed )|(ment ac)|(multiple cpu faults)|(system.+state.+changed )|(\[timeout)|(PRM\|1\|D)|(kpr)|(kdp)|(\|lc)|(penalty))" /e /r /s</v>
      </c>
      <c r="AG78" s="1" t="str">
        <f t="shared" si="62"/>
        <v>EC</v>
      </c>
      <c r="AH78" s="92" t="str">
        <f t="shared" si="17"/>
        <v>"%USERPROFILE%\Documents\GitHub\eaglep3\Utilities\RefineRTDCRunTimes.py" --tripid 166-24 --locoid 4032 --swversion DE.1.0.8.0 --startMP 204:232994 --initTime 2016-12-24T12:37:35 --startdatetime 2016-12-24T12:41:16 --delay 1 --endMP 204:163 --enddatetime 2016-12-24T13:20:49 --enforcementcount 1 &gt;&gt;C:\Users\stu\Documents\GitHub\eaglep3-reporting\EC\2016-12-24-refined-times.txt</v>
      </c>
      <c r="AI78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ID","value":"166-24"},{"id":16,"name":"Locomotive ID","value":"4032"},{"id":130,"name":"Impact","value":""},{"id":150,"name":"Time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536</v>
      </c>
      <c r="B79" s="7">
        <v>4044</v>
      </c>
      <c r="C79" s="22" t="s">
        <v>205</v>
      </c>
      <c r="D79" s="22" t="s">
        <v>254</v>
      </c>
      <c r="E79" s="13">
        <v>42728.49527777778</v>
      </c>
      <c r="F79" s="13">
        <v>42728.500173611108</v>
      </c>
      <c r="G79" s="7">
        <v>1</v>
      </c>
      <c r="H79" s="22" t="s">
        <v>392</v>
      </c>
      <c r="I79" s="13">
        <v>42728.52447916667</v>
      </c>
      <c r="J79" s="7">
        <v>1</v>
      </c>
      <c r="K79" s="109" t="str">
        <f t="shared" ref="K79:K110" si="63">IF(ISEVEN(B79),(B79-1)&amp;"/"&amp;B79,B79&amp;"/"&amp;(B79+1))</f>
        <v>4043/4044</v>
      </c>
      <c r="L79" s="22" t="str">
        <f>VLOOKUP(A79,'Trips&amp;Operators'!$C$1:$G$99999,5,FALSE)</f>
        <v>LEVIN SCOTT</v>
      </c>
      <c r="M79" s="6">
        <f t="shared" ref="M79:M110" si="64">I79-F79</f>
        <v>2.4305555562023073E-2</v>
      </c>
      <c r="N79" s="7">
        <f t="shared" ref="N79:P110" si="65">24*60*SUM($M79:$M79)</f>
        <v>35.000000009313226</v>
      </c>
      <c r="O79" s="7"/>
      <c r="P79" s="7"/>
      <c r="Q79" s="23"/>
      <c r="R79" s="23"/>
      <c r="S79" s="35">
        <f t="shared" ref="S79:S110" si="66">SUM(U79:U79)/IF(AG79="EC",12,1)</f>
        <v>1</v>
      </c>
      <c r="T79" s="50" t="str">
        <f t="shared" ref="T79:T110" si="67"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ref="V79:V110" si="68"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https://search-rtdc-monitor-bjffxe2xuh6vdkpspy63sjmuny.us-east-1.es.amazonaws.com/_plugin/kibana/#/discover/Steve-Slow-Train-Analysis-(2080s-and-2083s)?_g=(refreshInterval:(display:Off,section:0,value:0),time:(from:'2016-12-24 10:53:12-700',mode:absolute,to:'2016-12-24 13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9" s="52" t="str">
        <f t="shared" ref="W79:W110" si="69">IF(AA79&lt;IF(AG79="EC",23,5.65),"Y","N")</f>
        <v>N</v>
      </c>
      <c r="X79" s="177">
        <f t="shared" ref="X79:X110" si="70">VALUE(LEFT(AD79,4))-VALUE(LEFT(AD78,4))</f>
        <v>1</v>
      </c>
      <c r="Y79" s="67">
        <f t="shared" ref="Y79:Y110" si="71">RIGHT(D79,LEN(D79)-4)/10000</f>
        <v>4.53E-2</v>
      </c>
      <c r="Z79" s="67">
        <f t="shared" ref="Z79:Z110" si="72">RIGHT(H79,LEN(H79)-4)/10000</f>
        <v>23.333400000000001</v>
      </c>
      <c r="AA79" s="67">
        <f t="shared" ref="AA79:AA110" si="73">ABS(Z79-Y79)</f>
        <v>23.2881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ref="AD79:AD110" si="74">IF(LEN(A79)=6,"0"&amp;A79,A79)</f>
        <v>0167-24</v>
      </c>
      <c r="AE79" s="91" t="str">
        <f t="shared" ref="AE79:AE110" si="75"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79" s="88" t="str">
        <f t="shared" ref="AF79:AF110" si="76"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/stypes="app*4044*20161224*" /stext=" 19:.+((SYSTEM_STATE.+slice.+state.+changed )|(ment ac)|(multiple cpu faults)|(system.+state.+changed )|(\[timeout)|(PRM\|1\|D)|(kpr)|(kdp)|(\|lc)|(penalty))" /e /r /s</v>
      </c>
      <c r="AG79" s="1" t="str">
        <f t="shared" ref="AG79:AG110" si="77">IFERROR(IF(VALUE(LEFT(AD79,2))&lt;=2,"EC",IF(OR(VALUE(LEFT(AD79,2))=8,VALUE(LEFT(AD79,2))=18),"NW","Other")),"Other")</f>
        <v>EC</v>
      </c>
      <c r="AH79" s="92" t="str">
        <f t="shared" si="17"/>
        <v>"%USERPROFILE%\Documents\GitHub\eaglep3\Utilities\RefineRTDCRunTimes.py" --tripid 167-24 --locoid 4044 --swversion DE.1.0.8.0 --startMP 204:453 --initTime 2016-12-24T11:53:12 --startdatetime 2016-12-24T12:00:15 --delay 1 --endMP 204:233334 --enddatetime 2016-12-24T12:35:15 --enforcementcount 1 &gt;&gt;C:\Users\stu\Documents\GitHub\eaglep3-reporting\EC\2016-12-24-refined-times.txt</v>
      </c>
      <c r="AI79" s="119" t="str">
        <f t="shared" si="18"/>
        <v>echo {"issue":{"subject":"","project_id":79,"tracker_id":40,"status_id":1,"priority_id":2,"assigned_to_id":23,"start_date":"2016-12-24","description":"","custom_fields":[{"id":1,"name":"Subdivision","value":"EC"},{"id":4,"name":"Milepost","value":"23.3334"},{"id":17,"name":"Train ID","value":"167-24"},{"id":16,"name":"Locomotive ID","value":"4044"},{"id":130,"name":"Impact","value":""},{"id":150,"name":"Time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544</v>
      </c>
      <c r="B80" s="7">
        <v>4043</v>
      </c>
      <c r="C80" s="22" t="s">
        <v>205</v>
      </c>
      <c r="D80" s="22" t="s">
        <v>670</v>
      </c>
      <c r="E80" s="13">
        <v>42728.535324074073</v>
      </c>
      <c r="F80" s="13">
        <v>42728.539143518516</v>
      </c>
      <c r="G80" s="7">
        <v>1</v>
      </c>
      <c r="H80" s="22" t="s">
        <v>351</v>
      </c>
      <c r="I80" s="13">
        <v>42728.565254629626</v>
      </c>
      <c r="J80" s="7">
        <v>1</v>
      </c>
      <c r="K80" s="109" t="str">
        <f t="shared" si="63"/>
        <v>4043/4044</v>
      </c>
      <c r="L80" s="22" t="str">
        <f>VLOOKUP(A80,'Trips&amp;Operators'!$C$1:$G$99999,5,FALSE)</f>
        <v>LEVIN SCOTT</v>
      </c>
      <c r="M80" s="6">
        <f t="shared" si="64"/>
        <v>2.6111111110367347E-2</v>
      </c>
      <c r="N80" s="7">
        <f t="shared" si="65"/>
        <v>37.599999998928979</v>
      </c>
      <c r="O80" s="7"/>
      <c r="P80" s="7"/>
      <c r="Q80" s="23"/>
      <c r="R80" s="23"/>
      <c r="S80" s="35">
        <f t="shared" si="66"/>
        <v>1</v>
      </c>
      <c r="T80" s="50" t="str">
        <f t="shared" si="67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11:50:52-700',mode:absolute,to:'2016-12-24 14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0" s="52" t="str">
        <f t="shared" si="69"/>
        <v>N</v>
      </c>
      <c r="X80" s="177">
        <f t="shared" si="70"/>
        <v>1</v>
      </c>
      <c r="Y80" s="67">
        <f t="shared" si="71"/>
        <v>23.302600000000002</v>
      </c>
      <c r="Z80" s="67">
        <f t="shared" si="72"/>
        <v>1.41E-2</v>
      </c>
      <c r="AA80" s="67">
        <f t="shared" si="73"/>
        <v>23.288500000000003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74"/>
        <v>0168-24</v>
      </c>
      <c r="AE80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80" s="88" t="str">
        <f t="shared" si="76"/>
        <v>"C:\Program Files (x86)\AstroGrep\AstroGrep.exe" /spath="%USERPROFILE%\AppData\Local\Temp\OnboardLogs" /stypes="app*4043*20161224*" /stext=" 20:.+((SYSTEM_STATE.+slice.+state.+changed )|(ment ac)|(multiple cpu faults)|(system.+state.+changed )|(\[timeout)|(PRM\|1\|D)|(kpr)|(kdp)|(\|lc)|(penalty))" /e /r /s</v>
      </c>
      <c r="AG80" s="1" t="str">
        <f t="shared" si="77"/>
        <v>EC</v>
      </c>
      <c r="AH80" s="92" t="str">
        <f t="shared" ref="AH80:AH143" si="78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168-24 --locoid 4043 --swversion DE.1.0.8.0 --startMP 204:233026 --initTime 2016-12-24T12:50:52 --startdatetime 2016-12-24T12:56:22 --delay 1 --endMP 204:141 --enddatetime 2016-12-24T13:33:58 --enforcementcount 1 &gt;&gt;C:\Users\stu\Documents\GitHub\eaglep3-reporting\EC\2016-12-24-refined-times.txt</v>
      </c>
      <c r="AI80" s="119" t="str">
        <f t="shared" ref="AI80:AI143" si="79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ID","value":"168-24"},{"id":16,"name":"Locomotive ID","value":"4043"},{"id":130,"name":"Impact","value":""},{"id":150,"name":"Time of Event (Mountain Time)","value":"13:33:58"},{"id":151,"name":"Denver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539</v>
      </c>
      <c r="B81" s="7">
        <v>4042</v>
      </c>
      <c r="C81" s="22" t="s">
        <v>205</v>
      </c>
      <c r="D81" s="22" t="s">
        <v>671</v>
      </c>
      <c r="E81" s="13">
        <v>42728.504513888889</v>
      </c>
      <c r="F81" s="13">
        <v>42728.510694444441</v>
      </c>
      <c r="G81" s="7">
        <v>1</v>
      </c>
      <c r="H81" s="22" t="s">
        <v>319</v>
      </c>
      <c r="I81" s="13">
        <v>42728.535578703704</v>
      </c>
      <c r="J81" s="7">
        <v>1</v>
      </c>
      <c r="K81" s="109" t="str">
        <f t="shared" si="63"/>
        <v>4041/4042</v>
      </c>
      <c r="L81" s="22" t="str">
        <f>VLOOKUP(A81,'Trips&amp;Operators'!$C$1:$G$99999,5,FALSE)</f>
        <v>ADANE ELSHADAY</v>
      </c>
      <c r="M81" s="6">
        <f t="shared" si="64"/>
        <v>2.4884259262762498E-2</v>
      </c>
      <c r="N81" s="7">
        <f t="shared" si="65"/>
        <v>35.833333338377997</v>
      </c>
      <c r="O81" s="7"/>
      <c r="P81" s="7"/>
      <c r="Q81" s="23"/>
      <c r="R81" s="23"/>
      <c r="S81" s="35">
        <f t="shared" si="66"/>
        <v>1</v>
      </c>
      <c r="T81" s="50" t="str">
        <f t="shared" si="67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11:06:30-700',mode:absolute,to:'2016-12-24 13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1" s="52" t="str">
        <f t="shared" si="69"/>
        <v>N</v>
      </c>
      <c r="X81" s="177">
        <f t="shared" si="70"/>
        <v>1</v>
      </c>
      <c r="Y81" s="67">
        <f t="shared" si="71"/>
        <v>4.4600000000000001E-2</v>
      </c>
      <c r="Z81" s="67">
        <f t="shared" si="72"/>
        <v>23.331199999999999</v>
      </c>
      <c r="AA81" s="67">
        <f t="shared" si="73"/>
        <v>23.2866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74"/>
        <v>0169-24</v>
      </c>
      <c r="AE81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81" s="88" t="str">
        <f t="shared" si="76"/>
        <v>"C:\Program Files (x86)\AstroGrep\AstroGrep.exe" /spath="%USERPROFILE%\AppData\Local\Temp\OnboardLogs" /stypes="app*4042*20161224*" /stext=" 19:.+((SYSTEM_STATE.+slice.+state.+changed )|(ment ac)|(multiple cpu faults)|(system.+state.+changed )|(\[timeout)|(PRM\|1\|D)|(kpr)|(kdp)|(\|lc)|(penalty))" /e /r /s</v>
      </c>
      <c r="AG81" s="1" t="str">
        <f t="shared" si="77"/>
        <v>EC</v>
      </c>
      <c r="AH81" s="92" t="str">
        <f t="shared" si="78"/>
        <v>"%USERPROFILE%\Documents\GitHub\eaglep3\Utilities\RefineRTDCRunTimes.py" --tripid 169-24 --locoid 4042 --swversion DE.1.0.8.0 --startMP 204:446 --initTime 2016-12-24T12:06:30 --startdatetime 2016-12-24T12:15:24 --delay 1 --endMP 204:233312 --enddatetime 2016-12-24T12:51:14 --enforcementcount 1 &gt;&gt;C:\Users\stu\Documents\GitHub\eaglep3-reporting\EC\2016-12-24-refined-times.txt</v>
      </c>
      <c r="AI8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ID","value":"169-24"},{"id":16,"name":"Locomotive ID","value":"4042"},{"id":130,"name":"Impact","value":""},{"id":150,"name":"Time of Event (Mountain Time)","value":"12:51:14"},{"id":151,"name":"Denver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447</v>
      </c>
      <c r="B82" s="7">
        <v>4041</v>
      </c>
      <c r="C82" s="22" t="s">
        <v>205</v>
      </c>
      <c r="D82" s="22" t="s">
        <v>649</v>
      </c>
      <c r="E82" s="13">
        <v>42728.537615740737</v>
      </c>
      <c r="F82" s="13">
        <v>42728.549722222226</v>
      </c>
      <c r="G82" s="7">
        <v>1</v>
      </c>
      <c r="H82" s="22" t="s">
        <v>191</v>
      </c>
      <c r="I82" s="13">
        <v>42728.576331018521</v>
      </c>
      <c r="J82" s="7">
        <v>1</v>
      </c>
      <c r="K82" s="109" t="str">
        <f t="shared" si="63"/>
        <v>4041/4042</v>
      </c>
      <c r="L82" s="22" t="str">
        <f>VLOOKUP(A82,'Trips&amp;Operators'!$C$1:$G$99999,5,FALSE)</f>
        <v>ADANE ELSHADAY</v>
      </c>
      <c r="M82" s="6">
        <f t="shared" si="64"/>
        <v>2.6608796295477077E-2</v>
      </c>
      <c r="N82" s="7">
        <f t="shared" si="65"/>
        <v>38.316666665486991</v>
      </c>
      <c r="O82" s="7"/>
      <c r="P82" s="7"/>
      <c r="Q82" s="23"/>
      <c r="R82" s="23"/>
      <c r="S82" s="35">
        <f t="shared" si="66"/>
        <v>1</v>
      </c>
      <c r="T82" s="50" t="str">
        <f t="shared" si="67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11:54:10-700',mode:absolute,to:'2016-12-24 14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2" s="52" t="str">
        <f t="shared" si="69"/>
        <v>N</v>
      </c>
      <c r="X82" s="177">
        <f t="shared" si="70"/>
        <v>1</v>
      </c>
      <c r="Y82" s="67">
        <f t="shared" si="71"/>
        <v>23.299600000000002</v>
      </c>
      <c r="Z82" s="67">
        <f t="shared" si="72"/>
        <v>1.49E-2</v>
      </c>
      <c r="AA82" s="67">
        <f t="shared" si="73"/>
        <v>23.284700000000001</v>
      </c>
      <c r="AB82" s="64" t="str">
        <f>VLOOKUP(A82,Enforcements!$C$7:$K$19,8,0)</f>
        <v>Signal based authority (5)</v>
      </c>
      <c r="AC82" s="60" t="str">
        <f>VLOOKUP(A82,Enforcements!$C$7:$E$19,3,0)</f>
        <v>SIGNAL</v>
      </c>
      <c r="AD82" s="61" t="str">
        <f t="shared" si="74"/>
        <v>0170-24</v>
      </c>
      <c r="AE82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82" s="88" t="str">
        <f t="shared" si="76"/>
        <v>"C:\Program Files (x86)\AstroGrep\AstroGrep.exe" /spath="%USERPROFILE%\AppData\Local\Temp\OnboardLogs" /stypes="app*4041*20161224*" /stext=" 20:.+((SYSTEM_STATE.+slice.+state.+changed )|(ment ac)|(multiple cpu faults)|(system.+state.+changed )|(\[timeout)|(PRM\|1\|D)|(kpr)|(kdp)|(\|lc)|(penalty))" /e /r /s</v>
      </c>
      <c r="AG82" s="1" t="str">
        <f t="shared" si="77"/>
        <v>EC</v>
      </c>
      <c r="AH82" s="92" t="str">
        <f t="shared" si="78"/>
        <v>"%USERPROFILE%\Documents\GitHub\eaglep3\Utilities\RefineRTDCRunTimes.py" --tripid 170-24 --locoid 4041 --swversion DE.1.0.8.0 --startMP 204:232996 --initTime 2016-12-24T12:54:10 --startdatetime 2016-12-24T13:11:36 --delay 1 --endMP 204:149 --enddatetime 2016-12-24T13:49:55 --enforcementcount 1 &gt;&gt;C:\Users\stu\Documents\GitHub\eaglep3-reporting\EC\2016-12-24-refined-times.txt</v>
      </c>
      <c r="AI8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{"issue":{"subject":"","project_id":79,"tracker_id":40,"status_id":1,"priority_id":2,"assigned_to_id":23,"start_date":"2016-12-24","description":"","custom_fields":[{"id":1,"name":"Subdivision","value":"EC"},{"id":4,"name":"Milepost","value":"0.0149"},{"id":17,"name":"Train ID","value":"170-24"},{"id":16,"name":"Locomotive ID","value":"4041"},{"id":130,"name":"Impact","value":""},{"id":150,"name":"Time of Event (Mountain Time)","value":"13:49:55"},{"id":151,"name":"Denver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541</v>
      </c>
      <c r="B83" s="7">
        <v>4003</v>
      </c>
      <c r="C83" s="22" t="s">
        <v>205</v>
      </c>
      <c r="D83" s="22" t="s">
        <v>656</v>
      </c>
      <c r="E83" s="13">
        <v>42728.517083333332</v>
      </c>
      <c r="F83" s="13">
        <v>42728.520995370367</v>
      </c>
      <c r="G83" s="7">
        <v>1</v>
      </c>
      <c r="H83" s="22" t="s">
        <v>276</v>
      </c>
      <c r="I83" s="13">
        <v>42728.54515046296</v>
      </c>
      <c r="J83" s="7">
        <v>1</v>
      </c>
      <c r="K83" s="109" t="str">
        <f t="shared" si="63"/>
        <v>4003/4004</v>
      </c>
      <c r="L83" s="22" t="str">
        <f>VLOOKUP(A83,'Trips&amp;Operators'!$C$1:$G$99999,5,FALSE)</f>
        <v>BRANNON JEFFREY</v>
      </c>
      <c r="M83" s="6">
        <f t="shared" si="64"/>
        <v>2.4155092592991423E-2</v>
      </c>
      <c r="N83" s="7">
        <f t="shared" si="65"/>
        <v>34.783333333907649</v>
      </c>
      <c r="O83" s="7"/>
      <c r="P83" s="7"/>
      <c r="Q83" s="23"/>
      <c r="R83" s="23"/>
      <c r="S83" s="35">
        <f t="shared" si="66"/>
        <v>1</v>
      </c>
      <c r="T83" s="50" t="str">
        <f t="shared" si="67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11:24:36-700',mode:absolute,to:'2016-12-24 14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83" s="52" t="str">
        <f t="shared" si="69"/>
        <v>N</v>
      </c>
      <c r="X83" s="177">
        <f t="shared" si="70"/>
        <v>1</v>
      </c>
      <c r="Y83" s="67">
        <f t="shared" si="71"/>
        <v>4.3799999999999999E-2</v>
      </c>
      <c r="Z83" s="67">
        <f t="shared" si="72"/>
        <v>23.329899999999999</v>
      </c>
      <c r="AA83" s="67">
        <f t="shared" si="73"/>
        <v>23.286099999999998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74"/>
        <v>0171-24</v>
      </c>
      <c r="AE83" s="91" t="str">
        <f t="shared" si="75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83" s="88" t="str">
        <f t="shared" si="76"/>
        <v>"C:\Program Files (x86)\AstroGrep\AstroGrep.exe" /spath="%USERPROFILE%\AppData\Local\Temp\OnboardLogs" /stypes="app*4003*20161224*" /stext=" 20:.+((SYSTEM_STATE.+slice.+state.+changed )|(ment ac)|(multiple cpu faults)|(system.+state.+changed )|(\[timeout)|(PRM\|1\|D)|(kpr)|(kdp)|(\|lc)|(penalty))" /e /r /s</v>
      </c>
      <c r="AG83" s="1" t="str">
        <f t="shared" si="77"/>
        <v>EC</v>
      </c>
      <c r="AH83" s="92" t="str">
        <f t="shared" si="78"/>
        <v>"%USERPROFILE%\Documents\GitHub\eaglep3\Utilities\RefineRTDCRunTimes.py" --tripid 171-24 --locoid 4003 --swversion DE.1.0.8.0 --startMP 204:438 --initTime 2016-12-24T12:24:36 --startdatetime 2016-12-24T12:30:14 --delay 1 --endMP 204:233299 --enddatetime 2016-12-24T13:05:01 --enforcementcount 1 &gt;&gt;C:\Users\stu\Documents\GitHub\eaglep3-reporting\EC\2016-12-24-refined-times.txt</v>
      </c>
      <c r="AI8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{"issue":{"subject":"","project_id":79,"tracker_id":40,"status_id":1,"priority_id":2,"assigned_to_id":23,"start_date":"2016-12-24","description":"","custom_fields":[{"id":1,"name":"Subdivision","value":"EC"},{"id":4,"name":"Milepost","value":"23.3299"},{"id":17,"name":"Train ID","value":"171-24"},{"id":16,"name":"Locomotive ID","value":"4003"},{"id":130,"name":"Impact","value":""},{"id":150,"name":"Time of Event (Mountain Time)","value":"13:05:01"},{"id":151,"name":"Denver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548</v>
      </c>
      <c r="B84" s="7">
        <v>4004</v>
      </c>
      <c r="C84" s="22" t="s">
        <v>205</v>
      </c>
      <c r="D84" s="22" t="s">
        <v>325</v>
      </c>
      <c r="E84" s="13">
        <v>42728.555752314816</v>
      </c>
      <c r="F84" s="13">
        <v>42728.559895833336</v>
      </c>
      <c r="G84" s="7">
        <v>3</v>
      </c>
      <c r="H84" s="22" t="s">
        <v>192</v>
      </c>
      <c r="I84" s="13">
        <v>42728.588148148148</v>
      </c>
      <c r="J84" s="7">
        <v>1</v>
      </c>
      <c r="K84" s="109" t="str">
        <f t="shared" si="63"/>
        <v>4003/4004</v>
      </c>
      <c r="L84" s="22" t="str">
        <f>VLOOKUP(A84,'Trips&amp;Operators'!$C$1:$G$99999,5,FALSE)</f>
        <v>BRANNON JEFFREY</v>
      </c>
      <c r="M84" s="6">
        <f t="shared" si="64"/>
        <v>2.8252314812561963E-2</v>
      </c>
      <c r="N84" s="7">
        <f t="shared" si="65"/>
        <v>40.683333330089226</v>
      </c>
      <c r="O84" s="7"/>
      <c r="P84" s="7"/>
      <c r="Q84" s="23"/>
      <c r="R84" s="23"/>
      <c r="S84" s="35">
        <f t="shared" si="66"/>
        <v>1</v>
      </c>
      <c r="T84" s="50" t="str">
        <f t="shared" si="67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12:20:17-700',mode:absolute,to:'2016-12-24 15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84" s="52" t="str">
        <f t="shared" si="69"/>
        <v>N</v>
      </c>
      <c r="X84" s="177">
        <f t="shared" si="70"/>
        <v>1</v>
      </c>
      <c r="Y84" s="67">
        <f t="shared" si="71"/>
        <v>23.297999999999998</v>
      </c>
      <c r="Z84" s="67">
        <f t="shared" si="72"/>
        <v>1.43E-2</v>
      </c>
      <c r="AA84" s="67">
        <f t="shared" si="73"/>
        <v>23.2837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74"/>
        <v>0172-24</v>
      </c>
      <c r="AE84" s="91" t="str">
        <f t="shared" si="75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84" s="88" t="str">
        <f t="shared" si="76"/>
        <v>"C:\Program Files (x86)\AstroGrep\AstroGrep.exe" /spath="%USERPROFILE%\AppData\Local\Temp\OnboardLogs" /stypes="app*4004*20161224*" /stext=" 21:.+((SYSTEM_STATE.+slice.+state.+changed )|(ment ac)|(multiple cpu faults)|(system.+state.+changed )|(\[timeout)|(PRM\|1\|D)|(kpr)|(kdp)|(\|lc)|(penalty))" /e /r /s</v>
      </c>
      <c r="AG84" s="1" t="str">
        <f t="shared" si="77"/>
        <v>EC</v>
      </c>
      <c r="AH84" s="92" t="str">
        <f t="shared" si="78"/>
        <v>"%USERPROFILE%\Documents\GitHub\eaglep3\Utilities\RefineRTDCRunTimes.py" --tripid 172-24 --locoid 4004 --swversion DE.1.0.8.0 --startMP 204:232980 --initTime 2016-12-24T13:20:17 --startdatetime 2016-12-24T13:26:15 --delay 3 --endMP 204:143 --enddatetime 2016-12-24T14:06:56 --enforcementcount 1 &gt;&gt;C:\Users\stu\Documents\GitHub\eaglep3-reporting\EC\2016-12-24-refined-times.txt</v>
      </c>
      <c r="AI8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{"issue":{"subject":"","project_id":79,"tracker_id":40,"status_id":1,"priority_id":2,"assigned_to_id":23,"start_date":"2016-12-24","description":"","custom_fields":[{"id":1,"name":"Subdivision","value":"EC"},{"id":4,"name":"Milepost","value":"0.0143"},{"id":17,"name":"Train ID","value":"172-24"},{"id":16,"name":"Locomotive ID","value":"4004"},{"id":130,"name":"Impact","value":""},{"id":150,"name":"Time of Event (Mountain Time)","value":"14:06:56"},{"id":151,"name":"Denver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446</v>
      </c>
      <c r="B85" s="7">
        <v>4018</v>
      </c>
      <c r="C85" s="22" t="s">
        <v>205</v>
      </c>
      <c r="D85" s="22" t="s">
        <v>328</v>
      </c>
      <c r="E85" s="13">
        <v>42728.527083333334</v>
      </c>
      <c r="F85" s="13">
        <v>42728.5315625</v>
      </c>
      <c r="G85" s="7">
        <v>1</v>
      </c>
      <c r="H85" s="22" t="s">
        <v>313</v>
      </c>
      <c r="I85" s="13">
        <v>42728.556331018517</v>
      </c>
      <c r="J85" s="7">
        <v>1</v>
      </c>
      <c r="K85" s="109" t="str">
        <f t="shared" si="63"/>
        <v>4017/4018</v>
      </c>
      <c r="L85" s="22" t="str">
        <f>VLOOKUP(A85,'Trips&amp;Operators'!$C$1:$G$99999,5,FALSE)</f>
        <v>STEWART MICHAEL</v>
      </c>
      <c r="M85" s="6">
        <f t="shared" si="64"/>
        <v>2.4768518516793847E-2</v>
      </c>
      <c r="N85" s="7">
        <f t="shared" si="65"/>
        <v>35.66666666418314</v>
      </c>
      <c r="O85" s="7"/>
      <c r="P85" s="7"/>
      <c r="Q85" s="23"/>
      <c r="R85" s="23"/>
      <c r="S85" s="35">
        <f t="shared" si="66"/>
        <v>1</v>
      </c>
      <c r="T85" s="50" t="str">
        <f t="shared" si="67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11:39:00-700',mode:absolute,to:'2016-12-24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5" s="52" t="str">
        <f t="shared" si="69"/>
        <v>N</v>
      </c>
      <c r="X85" s="177">
        <f t="shared" si="70"/>
        <v>1</v>
      </c>
      <c r="Y85" s="67">
        <f t="shared" si="71"/>
        <v>4.6600000000000003E-2</v>
      </c>
      <c r="Z85" s="67">
        <f t="shared" si="72"/>
        <v>23.329699999999999</v>
      </c>
      <c r="AA85" s="67">
        <f t="shared" si="73"/>
        <v>23.283099999999997</v>
      </c>
      <c r="AB85" s="64" t="str">
        <f>VLOOKUP(A85,Enforcements!$C$7:$K$19,8,0)</f>
        <v>Bulletin (2)</v>
      </c>
      <c r="AC85" s="60" t="str">
        <f>VLOOKUP(A85,Enforcements!$C$7:$E$19,3,0)</f>
        <v>GRADE CROSSING</v>
      </c>
      <c r="AD85" s="61" t="str">
        <f t="shared" si="74"/>
        <v>0173-24</v>
      </c>
      <c r="AE85" s="91" t="str">
        <f t="shared" si="75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85" s="88" t="str">
        <f t="shared" si="76"/>
        <v>"C:\Program Files (x86)\AstroGrep\AstroGrep.exe" /spath="%USERPROFILE%\AppData\Local\Temp\OnboardLogs" /stypes="app*4018*20161224*" /stext=" 20:.+((SYSTEM_STATE.+slice.+state.+changed )|(ment ac)|(multiple cpu faults)|(system.+state.+changed )|(\[timeout)|(PRM\|1\|D)|(kpr)|(kdp)|(\|lc)|(penalty))" /e /r /s</v>
      </c>
      <c r="AG85" s="1" t="str">
        <f t="shared" si="77"/>
        <v>EC</v>
      </c>
      <c r="AH85" s="92" t="str">
        <f t="shared" si="78"/>
        <v>"%USERPROFILE%\Documents\GitHub\eaglep3\Utilities\RefineRTDCRunTimes.py" --tripid 173-24 --locoid 4018 --swversion DE.1.0.8.0 --startMP 204:466 --initTime 2016-12-24T12:39:00 --startdatetime 2016-12-24T12:45:27 --delay 1 --endMP 204:233297 --enddatetime 2016-12-24T13:21:07 --enforcementcount 1 &gt;&gt;C:\Users\stu\Documents\GitHub\eaglep3-reporting\EC\2016-12-24-refined-times.txt</v>
      </c>
      <c r="AI8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ID","value":"173-24"},{"id":16,"name":"Locomotive ID","value":"4018"},{"id":130,"name":"Impact","value":""},{"id":150,"name":"Time of Event (Mountain Time)","value":"13:21:07"},{"id":151,"name":"Denver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550</v>
      </c>
      <c r="B86" s="7">
        <v>4017</v>
      </c>
      <c r="C86" s="22" t="s">
        <v>205</v>
      </c>
      <c r="D86" s="22" t="s">
        <v>672</v>
      </c>
      <c r="E86" s="13">
        <v>42728.567766203705</v>
      </c>
      <c r="F86" s="13">
        <v>42728.570381944446</v>
      </c>
      <c r="G86" s="7">
        <v>1</v>
      </c>
      <c r="H86" s="22" t="s">
        <v>413</v>
      </c>
      <c r="I86" s="13">
        <v>42728.596979166665</v>
      </c>
      <c r="J86" s="7">
        <v>1</v>
      </c>
      <c r="K86" s="109" t="str">
        <f t="shared" si="63"/>
        <v>4017/4018</v>
      </c>
      <c r="L86" s="22" t="str">
        <f>VLOOKUP(A86,'Trips&amp;Operators'!$C$1:$G$99999,5,FALSE)</f>
        <v>STEWART MICHAEL</v>
      </c>
      <c r="M86" s="6">
        <f t="shared" si="64"/>
        <v>2.6597222218697425E-2</v>
      </c>
      <c r="N86" s="7">
        <f t="shared" si="65"/>
        <v>38.299999994924292</v>
      </c>
      <c r="O86" s="7"/>
      <c r="P86" s="7"/>
      <c r="Q86" s="23"/>
      <c r="R86" s="23"/>
      <c r="S86" s="35">
        <f t="shared" si="66"/>
        <v>1</v>
      </c>
      <c r="T86" s="50" t="str">
        <f t="shared" si="67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12:37:35-700',mode:absolute,to:'2016-12-24 15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6" s="52" t="str">
        <f t="shared" si="69"/>
        <v>N</v>
      </c>
      <c r="X86" s="177">
        <f t="shared" si="70"/>
        <v>1</v>
      </c>
      <c r="Y86" s="67">
        <f t="shared" si="71"/>
        <v>23.298500000000001</v>
      </c>
      <c r="Z86" s="67">
        <f t="shared" si="72"/>
        <v>1.6899999999999998E-2</v>
      </c>
      <c r="AA86" s="67">
        <f t="shared" si="73"/>
        <v>23.281600000000001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74"/>
        <v>0174-24</v>
      </c>
      <c r="AE86" s="91" t="str">
        <f t="shared" si="75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86" s="88" t="str">
        <f t="shared" si="76"/>
        <v>"C:\Program Files (x86)\AstroGrep\AstroGrep.exe" /spath="%USERPROFILE%\AppData\Local\Temp\OnboardLogs" /stypes="app*4017*20161224*" /stext=" 21:.+((SYSTEM_STATE.+slice.+state.+changed )|(ment ac)|(multiple cpu faults)|(system.+state.+changed )|(\[timeout)|(PRM\|1\|D)|(kpr)|(kdp)|(\|lc)|(penalty))" /e /r /s</v>
      </c>
      <c r="AG86" s="1" t="str">
        <f t="shared" si="77"/>
        <v>EC</v>
      </c>
      <c r="AH86" s="92" t="str">
        <f t="shared" si="78"/>
        <v>"%USERPROFILE%\Documents\GitHub\eaglep3\Utilities\RefineRTDCRunTimes.py" --tripid 174-24 --locoid 4017 --swversion DE.1.0.8.0 --startMP 204:232985 --initTime 2016-12-24T13:37:35 --startdatetime 2016-12-24T13:41:21 --delay 1 --endMP 204:169 --enddatetime 2016-12-24T14:19:39 --enforcementcount 1 &gt;&gt;C:\Users\stu\Documents\GitHub\eaglep3-reporting\EC\2016-12-24-refined-times.txt</v>
      </c>
      <c r="AI8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ID","value":"174-24"},{"id":16,"name":"Locomotive ID","value":"4017"},{"id":130,"name":"Impact","value":""},{"id":150,"name":"Time of Event (Mountain Time)","value":"14:19:39"},{"id":151,"name":"Denver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545</v>
      </c>
      <c r="B87" s="7">
        <v>4007</v>
      </c>
      <c r="C87" s="22" t="s">
        <v>205</v>
      </c>
      <c r="D87" s="22" t="s">
        <v>194</v>
      </c>
      <c r="E87" s="13">
        <v>42728.538368055553</v>
      </c>
      <c r="F87" s="13">
        <v>42728.542164351849</v>
      </c>
      <c r="G87" s="7">
        <v>2</v>
      </c>
      <c r="H87" s="22" t="s">
        <v>350</v>
      </c>
      <c r="I87" s="13">
        <v>42728.568668981483</v>
      </c>
      <c r="J87" s="7">
        <v>1</v>
      </c>
      <c r="K87" s="109" t="str">
        <f t="shared" si="63"/>
        <v>4007/4008</v>
      </c>
      <c r="L87" s="22" t="str">
        <f>VLOOKUP(A87,'Trips&amp;Operators'!$C$1:$G$99999,5,FALSE)</f>
        <v>DAVIS MICHAEL</v>
      </c>
      <c r="M87" s="6">
        <f t="shared" si="64"/>
        <v>2.6504629633564036E-2</v>
      </c>
      <c r="N87" s="7">
        <f t="shared" si="65"/>
        <v>38.166666672332212</v>
      </c>
      <c r="O87" s="7"/>
      <c r="P87" s="7"/>
      <c r="Q87" s="23"/>
      <c r="R87" s="23"/>
      <c r="S87" s="35">
        <f t="shared" si="66"/>
        <v>1</v>
      </c>
      <c r="T87" s="50" t="str">
        <f t="shared" si="67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11:55:15-700',mode:absolute,to:'2016-12-24 14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7" s="52" t="str">
        <f t="shared" si="69"/>
        <v>N</v>
      </c>
      <c r="X87" s="177">
        <f t="shared" si="70"/>
        <v>1</v>
      </c>
      <c r="Y87" s="67">
        <f t="shared" si="71"/>
        <v>4.5100000000000001E-2</v>
      </c>
      <c r="Z87" s="67">
        <f t="shared" si="72"/>
        <v>23.330300000000001</v>
      </c>
      <c r="AA87" s="67">
        <f t="shared" si="73"/>
        <v>23.2852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74"/>
        <v>0175-24</v>
      </c>
      <c r="AE87" s="91" t="str">
        <f t="shared" si="75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87" s="88" t="str">
        <f t="shared" si="76"/>
        <v>"C:\Program Files (x86)\AstroGrep\AstroGrep.exe" /spath="%USERPROFILE%\AppData\Local\Temp\OnboardLogs" /stypes="app*4007*20161224*" /stext=" 20:.+((SYSTEM_STATE.+slice.+state.+changed )|(ment ac)|(multiple cpu faults)|(system.+state.+changed )|(\[timeout)|(PRM\|1\|D)|(kpr)|(kdp)|(\|lc)|(penalty))" /e /r /s</v>
      </c>
      <c r="AG87" s="1" t="str">
        <f t="shared" si="77"/>
        <v>EC</v>
      </c>
      <c r="AH87" s="92" t="str">
        <f t="shared" si="78"/>
        <v>"%USERPROFILE%\Documents\GitHub\eaglep3\Utilities\RefineRTDCRunTimes.py" --tripid 175-24 --locoid 4007 --swversion DE.1.0.8.0 --startMP 204:451 --initTime 2016-12-24T12:55:15 --startdatetime 2016-12-24T13:00:43 --delay 2 --endMP 204:233303 --enddatetime 2016-12-24T13:38:53 --enforcementcount 1 &gt;&gt;C:\Users\stu\Documents\GitHub\eaglep3-reporting\EC\2016-12-24-refined-times.txt</v>
      </c>
      <c r="AI8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{"issue":{"subject":"","project_id":79,"tracker_id":40,"status_id":1,"priority_id":2,"assigned_to_id":23,"start_date":"2016-12-24","description":"","custom_fields":[{"id":1,"name":"Subdivision","value":"EC"},{"id":4,"name":"Milepost","value":"23.3303"},{"id":17,"name":"Train ID","value":"175-24"},{"id":16,"name":"Locomotive ID","value":"4007"},{"id":130,"name":"Impact","value":""},{"id":150,"name":"Time of Event (Mountain Time)","value":"13:38:53"},{"id":151,"name":"Denver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553</v>
      </c>
      <c r="B88" s="7">
        <v>4008</v>
      </c>
      <c r="C88" s="22" t="s">
        <v>205</v>
      </c>
      <c r="D88" s="22" t="s">
        <v>390</v>
      </c>
      <c r="E88" s="13">
        <v>42728.576562499999</v>
      </c>
      <c r="F88" s="13">
        <v>42728.581157407411</v>
      </c>
      <c r="G88" s="7">
        <v>2</v>
      </c>
      <c r="H88" s="22" t="s">
        <v>351</v>
      </c>
      <c r="I88" s="13">
        <v>42728.608923611115</v>
      </c>
      <c r="J88" s="7">
        <v>1</v>
      </c>
      <c r="K88" s="109" t="str">
        <f t="shared" si="63"/>
        <v>4007/4008</v>
      </c>
      <c r="L88" s="22" t="str">
        <f>VLOOKUP(A88,'Trips&amp;Operators'!$C$1:$G$99999,5,FALSE)</f>
        <v>DAVIS MICHAEL</v>
      </c>
      <c r="M88" s="6">
        <f t="shared" si="64"/>
        <v>2.7766203704231884E-2</v>
      </c>
      <c r="N88" s="7">
        <f t="shared" si="65"/>
        <v>39.983333334093913</v>
      </c>
      <c r="O88" s="7"/>
      <c r="P88" s="7"/>
      <c r="Q88" s="23"/>
      <c r="R88" s="23"/>
      <c r="S88" s="35">
        <f t="shared" si="66"/>
        <v>1</v>
      </c>
      <c r="T88" s="50" t="str">
        <f t="shared" si="67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12:50:15-700',mode:absolute,to:'2016-12-24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8" s="52" t="str">
        <f t="shared" si="69"/>
        <v>N</v>
      </c>
      <c r="X88" s="177">
        <f t="shared" si="70"/>
        <v>1</v>
      </c>
      <c r="Y88" s="67">
        <f t="shared" si="71"/>
        <v>23.2971</v>
      </c>
      <c r="Z88" s="67">
        <f t="shared" si="72"/>
        <v>1.41E-2</v>
      </c>
      <c r="AA88" s="67">
        <f t="shared" si="73"/>
        <v>23.283000000000001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74"/>
        <v>0176-24</v>
      </c>
      <c r="AE88" s="91" t="str">
        <f t="shared" si="75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88" s="88" t="str">
        <f t="shared" si="76"/>
        <v>"C:\Program Files (x86)\AstroGrep\AstroGrep.exe" /spath="%USERPROFILE%\AppData\Local\Temp\OnboardLogs" /stypes="app*4008*20161224*" /stext=" 21:.+((SYSTEM_STATE.+slice.+state.+changed )|(ment ac)|(multiple cpu faults)|(system.+state.+changed )|(\[timeout)|(PRM\|1\|D)|(kpr)|(kdp)|(\|lc)|(penalty))" /e /r /s</v>
      </c>
      <c r="AG88" s="1" t="str">
        <f t="shared" si="77"/>
        <v>EC</v>
      </c>
      <c r="AH88" s="92" t="str">
        <f t="shared" si="78"/>
        <v>"%USERPROFILE%\Documents\GitHub\eaglep3\Utilities\RefineRTDCRunTimes.py" --tripid 176-24 --locoid 4008 --swversion DE.1.0.8.0 --startMP 204:232971 --initTime 2016-12-24T13:50:15 --startdatetime 2016-12-24T13:56:52 --delay 2 --endMP 204:141 --enddatetime 2016-12-24T14:36:51 --enforcementcount 1 &gt;&gt;C:\Users\stu\Documents\GitHub\eaglep3-reporting\EC\2016-12-24-refined-times.txt</v>
      </c>
      <c r="AI8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ID","value":"176-24"},{"id":16,"name":"Locomotive ID","value":"4008"},{"id":130,"name":"Impact","value":""},{"id":150,"name":"Time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547</v>
      </c>
      <c r="B89" s="7">
        <v>4011</v>
      </c>
      <c r="C89" s="22" t="s">
        <v>205</v>
      </c>
      <c r="D89" s="22" t="s">
        <v>410</v>
      </c>
      <c r="E89" s="13">
        <v>42728.546840277777</v>
      </c>
      <c r="F89" s="13">
        <v>42728.552534722221</v>
      </c>
      <c r="G89" s="7">
        <v>1</v>
      </c>
      <c r="H89" s="22" t="s">
        <v>354</v>
      </c>
      <c r="I89" s="13">
        <v>42728.576620370368</v>
      </c>
      <c r="J89" s="7">
        <v>1</v>
      </c>
      <c r="K89" s="109" t="str">
        <f t="shared" si="63"/>
        <v>4011/4012</v>
      </c>
      <c r="L89" s="22" t="str">
        <f>VLOOKUP(A89,'Trips&amp;Operators'!$C$1:$G$99999,5,FALSE)</f>
        <v>BRUDER RICHARD</v>
      </c>
      <c r="M89" s="6">
        <f t="shared" si="64"/>
        <v>2.4085648146865424E-2</v>
      </c>
      <c r="N89" s="7">
        <f t="shared" si="65"/>
        <v>34.68333333148621</v>
      </c>
      <c r="O89" s="7"/>
      <c r="P89" s="7"/>
      <c r="Q89" s="23"/>
      <c r="R89" s="23"/>
      <c r="S89" s="35">
        <f t="shared" si="66"/>
        <v>1</v>
      </c>
      <c r="T89" s="50" t="str">
        <f t="shared" si="67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12:07:27-700',mode:absolute,to:'2016-12-24 14:50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9" s="52" t="str">
        <f t="shared" si="69"/>
        <v>N</v>
      </c>
      <c r="X89" s="177">
        <f t="shared" si="70"/>
        <v>1</v>
      </c>
      <c r="Y89" s="67">
        <f t="shared" si="71"/>
        <v>4.8899999999999999E-2</v>
      </c>
      <c r="Z89" s="67">
        <f t="shared" si="72"/>
        <v>23.3338</v>
      </c>
      <c r="AA89" s="67">
        <f t="shared" si="73"/>
        <v>23.2849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74"/>
        <v>0177-24</v>
      </c>
      <c r="AE89" s="91" t="str">
        <f t="shared" si="75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89" s="88" t="str">
        <f t="shared" si="76"/>
        <v>"C:\Program Files (x86)\AstroGrep\AstroGrep.exe" /spath="%USERPROFILE%\AppData\Local\Temp\OnboardLogs" /stypes="app*4011*20161224*" /stext=" 20:.+((SYSTEM_STATE.+slice.+state.+changed )|(ment ac)|(multiple cpu faults)|(system.+state.+changed )|(\[timeout)|(PRM\|1\|D)|(kpr)|(kdp)|(\|lc)|(penalty))" /e /r /s</v>
      </c>
      <c r="AG89" s="1" t="str">
        <f t="shared" si="77"/>
        <v>EC</v>
      </c>
      <c r="AH89" s="92" t="str">
        <f t="shared" si="78"/>
        <v>"%USERPROFILE%\Documents\GitHub\eaglep3\Utilities\RefineRTDCRunTimes.py" --tripid 177-24 --locoid 4011 --swversion DE.1.0.8.0 --startMP 204:489 --initTime 2016-12-24T13:07:27 --startdatetime 2016-12-24T13:15:39 --delay 1 --endMP 204:233338 --enddatetime 2016-12-24T13:50:20 --enforcementcount 1 &gt;&gt;C:\Users\stu\Documents\GitHub\eaglep3-reporting\EC\2016-12-24-refined-times.txt</v>
      </c>
      <c r="AI8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{"issue":{"subject":"","project_id":79,"tracker_id":40,"status_id":1,"priority_id":2,"assigned_to_id":23,"start_date":"2016-12-24","description":"","custom_fields":[{"id":1,"name":"Subdivision","value":"EC"},{"id":4,"name":"Milepost","value":"23.3338"},{"id":17,"name":"Train ID","value":"177-24"},{"id":16,"name":"Locomotive ID","value":"4011"},{"id":130,"name":"Impact","value":""},{"id":150,"name":"Time of Event (Mountain Time)","value":"13:50:20"},{"id":151,"name":"Denver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555</v>
      </c>
      <c r="B90" s="7">
        <v>4012</v>
      </c>
      <c r="C90" s="22" t="s">
        <v>205</v>
      </c>
      <c r="D90" s="22" t="s">
        <v>267</v>
      </c>
      <c r="E90" s="13">
        <v>42728.585474537038</v>
      </c>
      <c r="F90" s="13">
        <v>42728.591331018521</v>
      </c>
      <c r="G90" s="7">
        <v>2</v>
      </c>
      <c r="H90" s="22" t="s">
        <v>322</v>
      </c>
      <c r="I90" s="13">
        <v>42728.617858796293</v>
      </c>
      <c r="J90" s="7">
        <v>1</v>
      </c>
      <c r="K90" s="109" t="str">
        <f t="shared" si="63"/>
        <v>4011/4012</v>
      </c>
      <c r="L90" s="22" t="str">
        <f>VLOOKUP(A90,'Trips&amp;Operators'!$C$1:$G$99999,5,FALSE)</f>
        <v>BRUDER RICHARD</v>
      </c>
      <c r="M90" s="6">
        <f t="shared" si="64"/>
        <v>2.6527777772571426E-2</v>
      </c>
      <c r="N90" s="7">
        <f t="shared" si="65"/>
        <v>38.199999992502853</v>
      </c>
      <c r="O90" s="7"/>
      <c r="P90" s="7"/>
      <c r="Q90" s="23"/>
      <c r="R90" s="23"/>
      <c r="S90" s="35">
        <f t="shared" si="66"/>
        <v>1</v>
      </c>
      <c r="T90" s="50" t="str">
        <f t="shared" si="67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13:03:05-700',mode:absolute,to:'2016-12-24 15:49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0" s="52" t="str">
        <f t="shared" si="69"/>
        <v>N</v>
      </c>
      <c r="X90" s="177">
        <f t="shared" si="70"/>
        <v>1</v>
      </c>
      <c r="Y90" s="67">
        <f t="shared" si="71"/>
        <v>23.299299999999999</v>
      </c>
      <c r="Z90" s="67">
        <f t="shared" si="72"/>
        <v>1.52E-2</v>
      </c>
      <c r="AA90" s="67">
        <f t="shared" si="73"/>
        <v>23.284099999999999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74"/>
        <v>0178-24</v>
      </c>
      <c r="AE90" s="91" t="str">
        <f t="shared" si="75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90" s="88" t="str">
        <f t="shared" si="76"/>
        <v>"C:\Program Files (x86)\AstroGrep\AstroGrep.exe" /spath="%USERPROFILE%\AppData\Local\Temp\OnboardLogs" /stypes="app*4012*20161224*" /stext=" 21:.+((SYSTEM_STATE.+slice.+state.+changed )|(ment ac)|(multiple cpu faults)|(system.+state.+changed )|(\[timeout)|(PRM\|1\|D)|(kpr)|(kdp)|(\|lc)|(penalty))" /e /r /s</v>
      </c>
      <c r="AG90" s="1" t="str">
        <f t="shared" si="77"/>
        <v>EC</v>
      </c>
      <c r="AH90" s="92" t="str">
        <f t="shared" si="78"/>
        <v>"%USERPROFILE%\Documents\GitHub\eaglep3\Utilities\RefineRTDCRunTimes.py" --tripid 178-24 --locoid 4012 --swversion DE.1.0.8.0 --startMP 204:232993 --initTime 2016-12-24T14:03:05 --startdatetime 2016-12-24T14:11:31 --delay 2 --endMP 204:152 --enddatetime 2016-12-24T14:49:43 --enforcementcount 1 &gt;&gt;C:\Users\stu\Documents\GitHub\eaglep3-reporting\EC\2016-12-24-refined-times.txt</v>
      </c>
      <c r="AI9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{"issue":{"subject":"","project_id":79,"tracker_id":40,"status_id":1,"priority_id":2,"assigned_to_id":23,"start_date":"2016-12-24","description":"","custom_fields":[{"id":1,"name":"Subdivision","value":"EC"},{"id":4,"name":"Milepost","value":"0.0152"},{"id":17,"name":"Train ID","value":"178-24"},{"id":16,"name":"Locomotive ID","value":"4012"},{"id":130,"name":"Impact","value":""},{"id":150,"name":"Time of Event (Mountain Time)","value":"14:49:43"},{"id":151,"name":"Denver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549</v>
      </c>
      <c r="B91" s="7">
        <v>4031</v>
      </c>
      <c r="C91" s="22" t="s">
        <v>205</v>
      </c>
      <c r="D91" s="22" t="s">
        <v>311</v>
      </c>
      <c r="E91" s="13">
        <v>42728.557256944441</v>
      </c>
      <c r="F91" s="13">
        <v>42728.562731481485</v>
      </c>
      <c r="G91" s="7">
        <v>1</v>
      </c>
      <c r="H91" s="22" t="s">
        <v>412</v>
      </c>
      <c r="I91" s="13">
        <v>42728.587141203701</v>
      </c>
      <c r="J91" s="7">
        <v>1</v>
      </c>
      <c r="K91" s="109" t="str">
        <f t="shared" si="63"/>
        <v>4031/4032</v>
      </c>
      <c r="L91" s="22" t="str">
        <f>VLOOKUP(A91,'Trips&amp;Operators'!$C$1:$G$99999,5,FALSE)</f>
        <v>KILLION DAVID</v>
      </c>
      <c r="M91" s="6">
        <f t="shared" si="64"/>
        <v>2.4409722216660157E-2</v>
      </c>
      <c r="N91" s="7">
        <f t="shared" si="65"/>
        <v>35.149999991990626</v>
      </c>
      <c r="O91" s="7"/>
      <c r="P91" s="7"/>
      <c r="Q91" s="23"/>
      <c r="R91" s="23"/>
      <c r="S91" s="35">
        <f t="shared" si="66"/>
        <v>1</v>
      </c>
      <c r="T91" s="50" t="str">
        <f t="shared" si="67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12:22:27-700',mode:absolute,to:'2016-12-24 15:05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1" s="52" t="str">
        <f t="shared" si="69"/>
        <v>N</v>
      </c>
      <c r="X91" s="177">
        <f t="shared" si="70"/>
        <v>1</v>
      </c>
      <c r="Y91" s="67">
        <f t="shared" si="71"/>
        <v>4.7300000000000002E-2</v>
      </c>
      <c r="Z91" s="67">
        <f t="shared" si="72"/>
        <v>23.331099999999999</v>
      </c>
      <c r="AA91" s="67">
        <f t="shared" si="73"/>
        <v>23.283799999999999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74"/>
        <v>0179-24</v>
      </c>
      <c r="AE91" s="91" t="str">
        <f t="shared" si="75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91" s="88" t="str">
        <f t="shared" si="76"/>
        <v>"C:\Program Files (x86)\AstroGrep\AstroGrep.exe" /spath="%USERPROFILE%\AppData\Local\Temp\OnboardLogs" /stypes="app*4031*20161224*" /stext=" 21:.+((SYSTEM_STATE.+slice.+state.+changed )|(ment ac)|(multiple cpu faults)|(system.+state.+changed )|(\[timeout)|(PRM\|1\|D)|(kpr)|(kdp)|(\|lc)|(penalty))" /e /r /s</v>
      </c>
      <c r="AG91" s="1" t="str">
        <f t="shared" si="77"/>
        <v>EC</v>
      </c>
      <c r="AH91" s="92" t="str">
        <f t="shared" si="78"/>
        <v>"%USERPROFILE%\Documents\GitHub\eaglep3\Utilities\RefineRTDCRunTimes.py" --tripid 179-24 --locoid 4031 --swversion DE.1.0.8.0 --startMP 204:473 --initTime 2016-12-24T13:22:27 --startdatetime 2016-12-24T13:30:20 --delay 1 --endMP 204:233311 --enddatetime 2016-12-24T14:05:29 --enforcementcount 1 &gt;&gt;C:\Users\stu\Documents\GitHub\eaglep3-reporting\EC\2016-12-24-refined-times.txt</v>
      </c>
      <c r="AI9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{"issue":{"subject":"","project_id":79,"tracker_id":40,"status_id":1,"priority_id":2,"assigned_to_id":23,"start_date":"2016-12-24","description":"","custom_fields":[{"id":1,"name":"Subdivision","value":"EC"},{"id":4,"name":"Milepost","value":"23.3311"},{"id":17,"name":"Train ID","value":"179-24"},{"id":16,"name":"Locomotive ID","value":"4031"},{"id":130,"name":"Impact","value":""},{"id":150,"name":"Time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448</v>
      </c>
      <c r="B92" s="7">
        <v>4032</v>
      </c>
      <c r="C92" s="22" t="s">
        <v>205</v>
      </c>
      <c r="D92" s="22" t="s">
        <v>264</v>
      </c>
      <c r="E92" s="13">
        <v>42728.592557870368</v>
      </c>
      <c r="F92" s="13">
        <v>42728.601666666669</v>
      </c>
      <c r="G92" s="7">
        <v>1</v>
      </c>
      <c r="H92" s="22" t="s">
        <v>673</v>
      </c>
      <c r="I92" s="13">
        <v>42728.625335648147</v>
      </c>
      <c r="J92" s="7">
        <v>1</v>
      </c>
      <c r="K92" s="109" t="str">
        <f t="shared" si="63"/>
        <v>4031/4032</v>
      </c>
      <c r="L92" s="22" t="str">
        <f>VLOOKUP(A92,'Trips&amp;Operators'!$C$1:$G$99999,5,FALSE)</f>
        <v>KILLION DAVID</v>
      </c>
      <c r="M92" s="6">
        <f t="shared" si="64"/>
        <v>2.3668981477385387E-2</v>
      </c>
      <c r="N92" s="7"/>
      <c r="O92" s="7"/>
      <c r="P92" s="7">
        <f t="shared" si="65"/>
        <v>34.083333327434957</v>
      </c>
      <c r="Q92" s="23"/>
      <c r="R92" s="23" t="s">
        <v>779</v>
      </c>
      <c r="S92" s="35">
        <f t="shared" si="66"/>
        <v>1</v>
      </c>
      <c r="T92" s="50" t="str">
        <f t="shared" si="67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13:13:17-700',mode:absolute,to:'2016-12-24 16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2" s="52" t="str">
        <f t="shared" si="69"/>
        <v>Y</v>
      </c>
      <c r="X92" s="177">
        <f t="shared" si="70"/>
        <v>1</v>
      </c>
      <c r="Y92" s="67">
        <f t="shared" si="71"/>
        <v>23.297699999999999</v>
      </c>
      <c r="Z92" s="67">
        <f t="shared" si="72"/>
        <v>1.7408999999999999</v>
      </c>
      <c r="AA92" s="67">
        <f t="shared" si="73"/>
        <v>21.556799999999999</v>
      </c>
      <c r="AB92" s="64" t="str">
        <f>VLOOKUP(A92,Enforcements!$C$7:$K$19,8,0)</f>
        <v>Track device (7)</v>
      </c>
      <c r="AC92" s="60" t="str">
        <f>VLOOKUP(A92,Enforcements!$C$7:$E$19,3,0)</f>
        <v>SWITCH UNKNOWN</v>
      </c>
      <c r="AD92" s="61" t="str">
        <f t="shared" si="74"/>
        <v>0180-24</v>
      </c>
      <c r="AE92" s="91" t="str">
        <f t="shared" si="75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92" s="88" t="str">
        <f t="shared" si="76"/>
        <v>"C:\Program Files (x86)\AstroGrep\AstroGrep.exe" /spath="%USERPROFILE%\AppData\Local\Temp\OnboardLogs" /stypes="app*4032*20161224*" /stext=" 22:.+((SYSTEM_STATE.+slice.+state.+changed )|(ment ac)|(multiple cpu faults)|(system.+state.+changed )|(\[timeout)|(PRM\|1\|D)|(kpr)|(kdp)|(\|lc)|(penalty))" /e /r /s</v>
      </c>
      <c r="AG92" s="1" t="str">
        <f t="shared" si="77"/>
        <v>EC</v>
      </c>
      <c r="AH92" s="92" t="str">
        <f t="shared" si="78"/>
        <v>"%USERPROFILE%\Documents\GitHub\eaglep3\Utilities\RefineRTDCRunTimes.py" --tripid 180-24 --locoid 4032 --swversion DE.1.0.8.0 --startMP 204:232977 --initTime 2016-12-24T14:13:17 --startdatetime 2016-12-24T14:26:24 --delay 1 --endMP 204:17409 --enddatetime 2016-12-24T15:00:29 --enforcementcount 1 &gt;&gt;C:\Users\stu\Documents\GitHub\eaglep3-reporting\EC\2016-12-24-refined-times.txt</v>
      </c>
      <c r="AI92" s="119" t="str">
        <f t="shared" si="79"/>
        <v>echo {"issue":{"subject":"Wi-MAX data drop","project_id":79,"tracker_id":40,"status_id":1,"priority_id":2,"assigned_to_id":23,"start_date":"2016-12-24","description":"","custom_fields":[{"id":1,"name":"Subdivision","value":"EC"},{"id":4,"name":"Milepost","value":"1.7409"},{"id":17,"name":"Train ID","value":"180-24"},{"id":16,"name":"Locomotive ID","value":"4032"},{"id":130,"name":"Impact","value":""},{"id":150,"name":"Time of Event (Mountain Time)","value":"15:00:29"},{"id":151,"name":"Denver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552</v>
      </c>
      <c r="B93" s="7">
        <v>4044</v>
      </c>
      <c r="C93" s="22" t="s">
        <v>205</v>
      </c>
      <c r="D93" s="22" t="s">
        <v>407</v>
      </c>
      <c r="E93" s="13">
        <v>42728.569502314815</v>
      </c>
      <c r="F93" s="13">
        <v>42728.573113425926</v>
      </c>
      <c r="G93" s="7">
        <v>1</v>
      </c>
      <c r="H93" s="22" t="s">
        <v>688</v>
      </c>
      <c r="I93" s="13">
        <v>42728.597604166665</v>
      </c>
      <c r="J93" s="7">
        <v>1</v>
      </c>
      <c r="K93" s="109" t="str">
        <f t="shared" si="63"/>
        <v>4043/4044</v>
      </c>
      <c r="L93" s="22" t="str">
        <f>VLOOKUP(A93,'Trips&amp;Operators'!$C$1:$G$99999,5,FALSE)</f>
        <v>LEVIN SCOTT</v>
      </c>
      <c r="M93" s="6">
        <f t="shared" si="64"/>
        <v>2.4490740739565808E-2</v>
      </c>
      <c r="N93" s="7">
        <f t="shared" si="65"/>
        <v>35.266666664974764</v>
      </c>
      <c r="O93" s="7"/>
      <c r="P93" s="7"/>
      <c r="Q93" s="23"/>
      <c r="R93" s="23"/>
      <c r="S93" s="35">
        <f t="shared" si="66"/>
        <v>1</v>
      </c>
      <c r="T93" s="50" t="str">
        <f t="shared" si="67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12:40:05-700',mode:absolute,to:'2016-12-24 15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3" s="52" t="str">
        <f t="shared" si="69"/>
        <v>N</v>
      </c>
      <c r="X93" s="177">
        <f t="shared" si="70"/>
        <v>1</v>
      </c>
      <c r="Y93" s="67">
        <f t="shared" si="71"/>
        <v>4.3499999999999997E-2</v>
      </c>
      <c r="Z93" s="67">
        <f t="shared" si="72"/>
        <v>23.334399999999999</v>
      </c>
      <c r="AA93" s="67">
        <f t="shared" si="73"/>
        <v>23.290899999999997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74"/>
        <v>0181-24</v>
      </c>
      <c r="AE93" s="91" t="str">
        <f t="shared" si="75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93" s="88" t="str">
        <f t="shared" si="76"/>
        <v>"C:\Program Files (x86)\AstroGrep\AstroGrep.exe" /spath="%USERPROFILE%\AppData\Local\Temp\OnboardLogs" /stypes="app*4044*20161224*" /stext=" 21:.+((SYSTEM_STATE.+slice.+state.+changed )|(ment ac)|(multiple cpu faults)|(system.+state.+changed )|(\[timeout)|(PRM\|1\|D)|(kpr)|(kdp)|(\|lc)|(penalty))" /e /r /s</v>
      </c>
      <c r="AG93" s="1" t="str">
        <f t="shared" si="77"/>
        <v>EC</v>
      </c>
      <c r="AH93" s="92" t="str">
        <f t="shared" si="78"/>
        <v>"%USERPROFILE%\Documents\GitHub\eaglep3\Utilities\RefineRTDCRunTimes.py" --tripid 181-24 --locoid 4044 --swversion DE.1.0.8.0 --startMP 204:435 --initTime 2016-12-24T13:40:05 --startdatetime 2016-12-24T13:45:17 --delay 1 --endMP 204:233344 --enddatetime 2016-12-24T14:20:33 --enforcementcount 1 &gt;&gt;C:\Users\stu\Documents\GitHub\eaglep3-reporting\EC\2016-12-24-refined-times.txt</v>
      </c>
      <c r="AI9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{"issue":{"subject":"","project_id":79,"tracker_id":40,"status_id":1,"priority_id":2,"assigned_to_id":23,"start_date":"2016-12-24","description":"","custom_fields":[{"id":1,"name":"Subdivision","value":"EC"},{"id":4,"name":"Milepost","value":"23.3344"},{"id":17,"name":"Train ID","value":"181-24"},{"id":16,"name":"Locomotive ID","value":"4044"},{"id":130,"name":"Impact","value":""},{"id":150,"name":"Time of Event (Mountain Time)","value":"14:20:33"},{"id":151,"name":"Denver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559</v>
      </c>
      <c r="B94" s="7">
        <v>4043</v>
      </c>
      <c r="C94" s="22" t="s">
        <v>205</v>
      </c>
      <c r="D94" s="22" t="s">
        <v>701</v>
      </c>
      <c r="E94" s="13">
        <v>42728.604444444441</v>
      </c>
      <c r="F94" s="13">
        <v>42728.611979166664</v>
      </c>
      <c r="G94" s="7">
        <v>1</v>
      </c>
      <c r="H94" s="22" t="s">
        <v>233</v>
      </c>
      <c r="I94" s="13">
        <v>42728.638807870368</v>
      </c>
      <c r="J94" s="7">
        <v>1</v>
      </c>
      <c r="K94" s="109" t="str">
        <f t="shared" si="63"/>
        <v>4043/4044</v>
      </c>
      <c r="L94" s="22" t="str">
        <f>VLOOKUP(A94,'Trips&amp;Operators'!$C$1:$G$99999,5,FALSE)</f>
        <v>LEVIN SCOTT</v>
      </c>
      <c r="M94" s="6">
        <f t="shared" si="64"/>
        <v>2.6828703703358769E-2</v>
      </c>
      <c r="N94" s="7">
        <f t="shared" si="65"/>
        <v>38.633333332836628</v>
      </c>
      <c r="O94" s="7"/>
      <c r="P94" s="7"/>
      <c r="Q94" s="23"/>
      <c r="R94" s="23"/>
      <c r="S94" s="35">
        <f t="shared" si="66"/>
        <v>1</v>
      </c>
      <c r="T94" s="50" t="str">
        <f t="shared" si="67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13:30:24-700',mode:absolute,to:'2016-12-24 16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4" s="52" t="str">
        <f t="shared" si="69"/>
        <v>N</v>
      </c>
      <c r="X94" s="177">
        <f t="shared" si="70"/>
        <v>1</v>
      </c>
      <c r="Y94" s="67">
        <f t="shared" si="71"/>
        <v>23.3032</v>
      </c>
      <c r="Z94" s="67">
        <f t="shared" si="72"/>
        <v>1.4500000000000001E-2</v>
      </c>
      <c r="AA94" s="67">
        <f t="shared" si="73"/>
        <v>23.288699999999999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74"/>
        <v>0182-24</v>
      </c>
      <c r="AE94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94" s="88" t="str">
        <f t="shared" si="76"/>
        <v>"C:\Program Files (x86)\AstroGrep\AstroGrep.exe" /spath="%USERPROFILE%\AppData\Local\Temp\OnboardLogs" /stypes="app*4043*20161224*" /stext=" 22:.+((SYSTEM_STATE.+slice.+state.+changed )|(ment ac)|(multiple cpu faults)|(system.+state.+changed )|(\[timeout)|(PRM\|1\|D)|(kpr)|(kdp)|(\|lc)|(penalty))" /e /r /s</v>
      </c>
      <c r="AG94" s="1" t="str">
        <f t="shared" si="77"/>
        <v>EC</v>
      </c>
      <c r="AH94" s="92" t="str">
        <f t="shared" si="78"/>
        <v>"%USERPROFILE%\Documents\GitHub\eaglep3\Utilities\RefineRTDCRunTimes.py" --tripid 182-24 --locoid 4043 --swversion DE.1.0.8.0 --startMP 204:233032 --initTime 2016-12-24T14:30:24 --startdatetime 2016-12-24T14:41:15 --delay 1 --endMP 204:145 --enddatetime 2016-12-24T15:19:53 --enforcementcount 1 &gt;&gt;C:\Users\stu\Documents\GitHub\eaglep3-reporting\EC\2016-12-24-refined-times.txt</v>
      </c>
      <c r="AI9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ID","value":"182-24"},{"id":16,"name":"Locomotive ID","value":"4043"},{"id":130,"name":"Impact","value":""},{"id":150,"name":"Time of Event (Mountain Time)","value":"15:19:53"},{"id":151,"name":"Denver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554</v>
      </c>
      <c r="B95" s="7">
        <v>4042</v>
      </c>
      <c r="C95" s="22" t="s">
        <v>205</v>
      </c>
      <c r="D95" s="22" t="s">
        <v>671</v>
      </c>
      <c r="E95" s="13">
        <v>42728.578090277777</v>
      </c>
      <c r="F95" s="13">
        <v>42728.583738425928</v>
      </c>
      <c r="G95" s="7">
        <v>1</v>
      </c>
      <c r="H95" s="22" t="s">
        <v>352</v>
      </c>
      <c r="I95" s="13">
        <v>42728.607916666668</v>
      </c>
      <c r="J95" s="7">
        <v>1</v>
      </c>
      <c r="K95" s="109" t="str">
        <f t="shared" si="63"/>
        <v>4041/4042</v>
      </c>
      <c r="L95" s="22" t="str">
        <f>VLOOKUP(A95,'Trips&amp;Operators'!$C$1:$G$99999,5,FALSE)</f>
        <v>ADANE ELSHADAY</v>
      </c>
      <c r="M95" s="6">
        <f t="shared" si="64"/>
        <v>2.417824073927477E-2</v>
      </c>
      <c r="N95" s="7">
        <f t="shared" si="65"/>
        <v>34.816666664555669</v>
      </c>
      <c r="O95" s="7"/>
      <c r="P95" s="7"/>
      <c r="Q95" s="23"/>
      <c r="R95" s="23"/>
      <c r="S95" s="35">
        <f t="shared" si="66"/>
        <v>1</v>
      </c>
      <c r="T95" s="50" t="str">
        <f t="shared" si="67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12:52:27-700',mode:absolute,to:'2016-12-24 15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5" s="52" t="str">
        <f t="shared" si="69"/>
        <v>N</v>
      </c>
      <c r="X95" s="177">
        <f t="shared" si="70"/>
        <v>1</v>
      </c>
      <c r="Y95" s="67">
        <f t="shared" si="71"/>
        <v>4.4600000000000001E-2</v>
      </c>
      <c r="Z95" s="67">
        <f t="shared" si="72"/>
        <v>23.3307</v>
      </c>
      <c r="AA95" s="67">
        <f t="shared" si="73"/>
        <v>23.286100000000001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74"/>
        <v>0183-24</v>
      </c>
      <c r="AE95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95" s="88" t="str">
        <f t="shared" si="76"/>
        <v>"C:\Program Files (x86)\AstroGrep\AstroGrep.exe" /spath="%USERPROFILE%\AppData\Local\Temp\OnboardLogs" /stypes="app*4042*20161224*" /stext=" 21:.+((SYSTEM_STATE.+slice.+state.+changed )|(ment ac)|(multiple cpu faults)|(system.+state.+changed )|(\[timeout)|(PRM\|1\|D)|(kpr)|(kdp)|(\|lc)|(penalty))" /e /r /s</v>
      </c>
      <c r="AG95" s="1" t="str">
        <f t="shared" si="77"/>
        <v>EC</v>
      </c>
      <c r="AH95" s="92" t="str">
        <f t="shared" si="78"/>
        <v>"%USERPROFILE%\Documents\GitHub\eaglep3\Utilities\RefineRTDCRunTimes.py" --tripid 183-24 --locoid 4042 --swversion DE.1.0.8.0 --startMP 204:446 --initTime 2016-12-24T13:52:27 --startdatetime 2016-12-24T14:00:35 --delay 1 --endMP 204:233307 --enddatetime 2016-12-24T14:35:24 --enforcementcount 1 &gt;&gt;C:\Users\stu\Documents\GitHub\eaglep3-reporting\EC\2016-12-24-refined-times.txt</v>
      </c>
      <c r="AI9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{"issue":{"subject":"","project_id":79,"tracker_id":40,"status_id":1,"priority_id":2,"assigned_to_id":23,"start_date":"2016-12-24","description":"","custom_fields":[{"id":1,"name":"Subdivision","value":"EC"},{"id":4,"name":"Milepost","value":"23.3307"},{"id":17,"name":"Train ID","value":"183-24"},{"id":16,"name":"Locomotive ID","value":"4042"},{"id":130,"name":"Impact","value":""},{"id":150,"name":"Time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561</v>
      </c>
      <c r="B96" s="7">
        <v>4041</v>
      </c>
      <c r="C96" s="22" t="s">
        <v>205</v>
      </c>
      <c r="D96" s="22" t="s">
        <v>310</v>
      </c>
      <c r="E96" s="13">
        <v>42728.609629629631</v>
      </c>
      <c r="F96" s="13">
        <v>42728.622569444444</v>
      </c>
      <c r="G96" s="7">
        <v>1</v>
      </c>
      <c r="H96" s="22" t="s">
        <v>351</v>
      </c>
      <c r="I96" s="13">
        <v>42728.648692129631</v>
      </c>
      <c r="J96" s="7">
        <v>1</v>
      </c>
      <c r="K96" s="109" t="str">
        <f t="shared" si="63"/>
        <v>4041/4042</v>
      </c>
      <c r="L96" s="22" t="str">
        <f>VLOOKUP(A96,'Trips&amp;Operators'!$C$1:$G$99999,5,FALSE)</f>
        <v>ADANE ELSHADAY</v>
      </c>
      <c r="M96" s="6">
        <f t="shared" si="64"/>
        <v>2.6122685187146999E-2</v>
      </c>
      <c r="N96" s="7">
        <f t="shared" si="65"/>
        <v>37.616666669491678</v>
      </c>
      <c r="O96" s="7"/>
      <c r="P96" s="7"/>
      <c r="Q96" s="23"/>
      <c r="R96" s="23"/>
      <c r="S96" s="35">
        <f t="shared" si="66"/>
        <v>1</v>
      </c>
      <c r="T96" s="50" t="str">
        <f t="shared" si="67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13:37:52-700',mode:absolute,to:'2016-12-24 16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6" s="52" t="str">
        <f t="shared" si="69"/>
        <v>N</v>
      </c>
      <c r="X96" s="177">
        <f t="shared" si="70"/>
        <v>1</v>
      </c>
      <c r="Y96" s="67">
        <f t="shared" si="71"/>
        <v>23.298400000000001</v>
      </c>
      <c r="Z96" s="67">
        <f t="shared" si="72"/>
        <v>1.41E-2</v>
      </c>
      <c r="AA96" s="67">
        <f t="shared" si="73"/>
        <v>23.284300000000002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74"/>
        <v>0184-24</v>
      </c>
      <c r="AE96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96" s="88" t="str">
        <f t="shared" si="76"/>
        <v>"C:\Program Files (x86)\AstroGrep\AstroGrep.exe" /spath="%USERPROFILE%\AppData\Local\Temp\OnboardLogs" /stypes="app*4041*20161224*" /stext=" 22:.+((SYSTEM_STATE.+slice.+state.+changed )|(ment ac)|(multiple cpu faults)|(system.+state.+changed )|(\[timeout)|(PRM\|1\|D)|(kpr)|(kdp)|(\|lc)|(penalty))" /e /r /s</v>
      </c>
      <c r="AG96" s="1" t="str">
        <f t="shared" si="77"/>
        <v>EC</v>
      </c>
      <c r="AH96" s="92" t="str">
        <f t="shared" si="78"/>
        <v>"%USERPROFILE%\Documents\GitHub\eaglep3\Utilities\RefineRTDCRunTimes.py" --tripid 184-24 --locoid 4041 --swversion DE.1.0.8.0 --startMP 204:232984 --initTime 2016-12-24T14:37:52 --startdatetime 2016-12-24T14:56:30 --delay 1 --endMP 204:141 --enddatetime 2016-12-24T15:34:07 --enforcementcount 1 &gt;&gt;C:\Users\stu\Documents\GitHub\eaglep3-reporting\EC\2016-12-24-refined-times.txt</v>
      </c>
      <c r="AI9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ID","value":"184-24"},{"id":16,"name":"Locomotive ID","value":"4041"},{"id":130,"name":"Impact","value":""},{"id":150,"name":"Time of Event (Mountain Time)","value":"15:34:07"},{"id":151,"name":"Denver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556</v>
      </c>
      <c r="B97" s="7">
        <v>4003</v>
      </c>
      <c r="C97" s="22" t="s">
        <v>205</v>
      </c>
      <c r="D97" s="22" t="s">
        <v>193</v>
      </c>
      <c r="E97" s="13">
        <v>42728.590300925927</v>
      </c>
      <c r="F97" s="13">
        <v>42728.593923611108</v>
      </c>
      <c r="G97" s="7">
        <v>1</v>
      </c>
      <c r="H97" s="22" t="s">
        <v>714</v>
      </c>
      <c r="I97" s="13">
        <v>42728.618425925924</v>
      </c>
      <c r="J97" s="7">
        <v>1</v>
      </c>
      <c r="K97" s="109" t="str">
        <f t="shared" si="63"/>
        <v>4003/4004</v>
      </c>
      <c r="L97" s="22" t="str">
        <f>VLOOKUP(A97,'Trips&amp;Operators'!$C$1:$G$99999,5,FALSE)</f>
        <v>BRANNON JEFFREY</v>
      </c>
      <c r="M97" s="6">
        <f t="shared" si="64"/>
        <v>2.4502314816345461E-2</v>
      </c>
      <c r="N97" s="7">
        <f t="shared" si="65"/>
        <v>35.283333335537463</v>
      </c>
      <c r="O97" s="7"/>
      <c r="P97" s="7"/>
      <c r="Q97" s="23"/>
      <c r="R97" s="23"/>
      <c r="S97" s="35">
        <f t="shared" si="66"/>
        <v>1</v>
      </c>
      <c r="T97" s="50" t="str">
        <f t="shared" si="67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13:10:02-700',mode:absolute,to:'2016-12-24 15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7" s="52" t="str">
        <f t="shared" si="69"/>
        <v>N</v>
      </c>
      <c r="X97" s="177">
        <f t="shared" si="70"/>
        <v>1</v>
      </c>
      <c r="Y97" s="67">
        <f t="shared" si="71"/>
        <v>4.4699999999999997E-2</v>
      </c>
      <c r="Z97" s="67">
        <f t="shared" si="72"/>
        <v>23.3306</v>
      </c>
      <c r="AA97" s="67">
        <f t="shared" si="73"/>
        <v>23.285900000000002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74"/>
        <v>0185-24</v>
      </c>
      <c r="AE97" s="91" t="str">
        <f t="shared" si="75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97" s="88" t="str">
        <f t="shared" si="76"/>
        <v>"C:\Program Files (x86)\AstroGrep\AstroGrep.exe" /spath="%USERPROFILE%\AppData\Local\Temp\OnboardLogs" /stypes="app*4003*20161224*" /stext=" 21:.+((SYSTEM_STATE.+slice.+state.+changed )|(ment ac)|(multiple cpu faults)|(system.+state.+changed )|(\[timeout)|(PRM\|1\|D)|(kpr)|(kdp)|(\|lc)|(penalty))" /e /r /s</v>
      </c>
      <c r="AG97" s="1" t="str">
        <f t="shared" si="77"/>
        <v>EC</v>
      </c>
      <c r="AH97" s="92" t="str">
        <f t="shared" si="78"/>
        <v>"%USERPROFILE%\Documents\GitHub\eaglep3\Utilities\RefineRTDCRunTimes.py" --tripid 185-24 --locoid 4003 --swversion DE.1.0.8.0 --startMP 204:447 --initTime 2016-12-24T14:10:02 --startdatetime 2016-12-24T14:15:15 --delay 1 --endMP 204:233306 --enddatetime 2016-12-24T14:50:32 --enforcementcount 1 &gt;&gt;C:\Users\stu\Documents\GitHub\eaglep3-reporting\EC\2016-12-24-refined-times.txt</v>
      </c>
      <c r="AI9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{"issue":{"subject":"","project_id":79,"tracker_id":40,"status_id":1,"priority_id":2,"assigned_to_id":23,"start_date":"2016-12-24","description":"","custom_fields":[{"id":1,"name":"Subdivision","value":"EC"},{"id":4,"name":"Milepost","value":"23.3306"},{"id":17,"name":"Train ID","value":"185-24"},{"id":16,"name":"Locomotive ID","value":"4003"},{"id":130,"name":"Impact","value":""},{"id":150,"name":"Time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564</v>
      </c>
      <c r="B98" s="7">
        <v>4004</v>
      </c>
      <c r="C98" s="22" t="s">
        <v>205</v>
      </c>
      <c r="D98" s="22" t="s">
        <v>321</v>
      </c>
      <c r="E98" s="13">
        <v>42728.625219907408</v>
      </c>
      <c r="F98" s="13">
        <v>42728.6328125</v>
      </c>
      <c r="G98" s="7">
        <v>1</v>
      </c>
      <c r="H98" s="22" t="s">
        <v>265</v>
      </c>
      <c r="I98" s="13">
        <v>42728.659432870372</v>
      </c>
      <c r="J98" s="7">
        <v>1</v>
      </c>
      <c r="K98" s="109" t="str">
        <f t="shared" si="63"/>
        <v>4003/4004</v>
      </c>
      <c r="L98" s="22" t="str">
        <f>VLOOKUP(A98,'Trips&amp;Operators'!$C$1:$G$99999,5,FALSE)</f>
        <v>BRANNON JEFFREY</v>
      </c>
      <c r="M98" s="6">
        <f t="shared" si="64"/>
        <v>2.662037037225673E-2</v>
      </c>
      <c r="N98" s="7">
        <f t="shared" si="65"/>
        <v>38.333333336049691</v>
      </c>
      <c r="O98" s="7"/>
      <c r="P98" s="7"/>
      <c r="Q98" s="23"/>
      <c r="R98" s="23"/>
      <c r="S98" s="35">
        <f t="shared" si="66"/>
        <v>1</v>
      </c>
      <c r="T98" s="50" t="str">
        <f t="shared" si="67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14:00:19-700',mode:absolute,to:'2016-12-24 16:49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8" s="52" t="str">
        <f t="shared" si="69"/>
        <v>N</v>
      </c>
      <c r="X98" s="177">
        <f t="shared" si="70"/>
        <v>1</v>
      </c>
      <c r="Y98" s="67">
        <f t="shared" si="71"/>
        <v>23.299099999999999</v>
      </c>
      <c r="Z98" s="67">
        <f t="shared" si="72"/>
        <v>1.6E-2</v>
      </c>
      <c r="AA98" s="67">
        <f t="shared" si="73"/>
        <v>23.283100000000001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74"/>
        <v>0186-24</v>
      </c>
      <c r="AE98" s="91" t="str">
        <f t="shared" si="75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98" s="88" t="str">
        <f t="shared" si="76"/>
        <v>"C:\Program Files (x86)\AstroGrep\AstroGrep.exe" /spath="%USERPROFILE%\AppData\Local\Temp\OnboardLogs" /stypes="app*4004*20161224*" /stext=" 22:.+((SYSTEM_STATE.+slice.+state.+changed )|(ment ac)|(multiple cpu faults)|(system.+state.+changed )|(\[timeout)|(PRM\|1\|D)|(kpr)|(kdp)|(\|lc)|(penalty))" /e /r /s</v>
      </c>
      <c r="AG98" s="1" t="str">
        <f t="shared" si="77"/>
        <v>EC</v>
      </c>
      <c r="AH98" s="92" t="str">
        <f t="shared" si="78"/>
        <v>"%USERPROFILE%\Documents\GitHub\eaglep3\Utilities\RefineRTDCRunTimes.py" --tripid 186-24 --locoid 4004 --swversion DE.1.0.8.0 --startMP 204:232991 --initTime 2016-12-24T15:00:19 --startdatetime 2016-12-24T15:11:15 --delay 1 --endMP 204:160 --enddatetime 2016-12-24T15:49:35 --enforcementcount 1 &gt;&gt;C:\Users\stu\Documents\GitHub\eaglep3-reporting\EC\2016-12-24-refined-times.txt</v>
      </c>
      <c r="AI9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{"issue":{"subject":"","project_id":79,"tracker_id":40,"status_id":1,"priority_id":2,"assigned_to_id":23,"start_date":"2016-12-24","description":"","custom_fields":[{"id":1,"name":"Subdivision","value":"EC"},{"id":4,"name":"Milepost","value":"0.016"},{"id":17,"name":"Train ID","value":"186-24"},{"id":16,"name":"Locomotive ID","value":"4004"},{"id":130,"name":"Impact","value":""},{"id":150,"name":"Time of Event (Mountain Time)","value":"15:49:35"},{"id":151,"name":"Denver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558</v>
      </c>
      <c r="B99" s="7">
        <v>4018</v>
      </c>
      <c r="C99" s="22" t="s">
        <v>205</v>
      </c>
      <c r="D99" s="22" t="s">
        <v>228</v>
      </c>
      <c r="E99" s="13">
        <v>42728.600844907407</v>
      </c>
      <c r="F99" s="13">
        <v>42728.604513888888</v>
      </c>
      <c r="G99" s="7">
        <v>1</v>
      </c>
      <c r="H99" s="22" t="s">
        <v>320</v>
      </c>
      <c r="I99" s="13">
        <v>42728.628900462965</v>
      </c>
      <c r="J99" s="7">
        <v>1</v>
      </c>
      <c r="K99" s="109" t="str">
        <f t="shared" si="63"/>
        <v>4017/4018</v>
      </c>
      <c r="L99" s="22" t="str">
        <f>VLOOKUP(A99,'Trips&amp;Operators'!$C$1:$G$99999,5,FALSE)</f>
        <v>STEWART MICHAEL</v>
      </c>
      <c r="M99" s="6">
        <f t="shared" si="64"/>
        <v>2.4386574077652767E-2</v>
      </c>
      <c r="N99" s="7">
        <f t="shared" si="65"/>
        <v>35.116666671819985</v>
      </c>
      <c r="O99" s="7"/>
      <c r="P99" s="7"/>
      <c r="Q99" s="23"/>
      <c r="R99" s="23"/>
      <c r="S99" s="35">
        <f t="shared" si="66"/>
        <v>1</v>
      </c>
      <c r="T99" s="50" t="str">
        <f t="shared" si="67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13:25:13-700',mode:absolute,to:'2016-12-24 16:05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69"/>
        <v>N</v>
      </c>
      <c r="X99" s="177">
        <f t="shared" si="70"/>
        <v>1</v>
      </c>
      <c r="Y99" s="67">
        <f t="shared" si="71"/>
        <v>4.5499999999999999E-2</v>
      </c>
      <c r="Z99" s="67">
        <f t="shared" si="72"/>
        <v>23.3293</v>
      </c>
      <c r="AA99" s="67">
        <f t="shared" si="73"/>
        <v>23.283799999999999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74"/>
        <v>0187-24</v>
      </c>
      <c r="AE99" s="91" t="str">
        <f t="shared" si="75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99" s="88" t="str">
        <f t="shared" si="76"/>
        <v>"C:\Program Files (x86)\AstroGrep\AstroGrep.exe" /spath="%USERPROFILE%\AppData\Local\Temp\OnboardLogs" /stypes="app*4018*20161224*" /stext=" 22:.+((SYSTEM_STATE.+slice.+state.+changed )|(ment ac)|(multiple cpu faults)|(system.+state.+changed )|(\[timeout)|(PRM\|1\|D)|(kpr)|(kdp)|(\|lc)|(penalty))" /e /r /s</v>
      </c>
      <c r="AG99" s="1" t="str">
        <f t="shared" si="77"/>
        <v>EC</v>
      </c>
      <c r="AH99" s="92" t="str">
        <f t="shared" si="78"/>
        <v>"%USERPROFILE%\Documents\GitHub\eaglep3\Utilities\RefineRTDCRunTimes.py" --tripid 187-24 --locoid 4018 --swversion DE.1.0.8.0 --startMP 204:455 --initTime 2016-12-24T14:25:13 --startdatetime 2016-12-24T14:30:30 --delay 1 --endMP 204:233293 --enddatetime 2016-12-24T15:05:37 --enforcementcount 1 &gt;&gt;C:\Users\stu\Documents\GitHub\eaglep3-reporting\EC\2016-12-24-refined-times.txt</v>
      </c>
      <c r="AI9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ID","value":"187-24"},{"id":16,"name":"Locomotive ID","value":"4018"},{"id":130,"name":"Impact","value":""},{"id":150,"name":"Time of Event (Mountain Time)","value":"15:05:37"},{"id":151,"name":"Denver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7" t="s">
        <v>567</v>
      </c>
      <c r="B100" s="7">
        <v>4017</v>
      </c>
      <c r="C100" s="22" t="s">
        <v>205</v>
      </c>
      <c r="D100" s="22" t="s">
        <v>287</v>
      </c>
      <c r="E100" s="13">
        <v>42728.640960648147</v>
      </c>
      <c r="F100" s="13">
        <v>42728.643333333333</v>
      </c>
      <c r="G100" s="7">
        <v>2</v>
      </c>
      <c r="H100" s="22" t="s">
        <v>401</v>
      </c>
      <c r="I100" s="13">
        <v>42728.670081018521</v>
      </c>
      <c r="J100" s="7">
        <v>1</v>
      </c>
      <c r="K100" s="109" t="str">
        <f t="shared" si="63"/>
        <v>4017/4018</v>
      </c>
      <c r="L100" s="22" t="str">
        <f>VLOOKUP(A100,'Trips&amp;Operators'!$C$1:$G$99999,5,FALSE)</f>
        <v>STEWART MICHAEL</v>
      </c>
      <c r="M100" s="6">
        <f t="shared" si="64"/>
        <v>2.6747685187729076E-2</v>
      </c>
      <c r="N100" s="7">
        <f t="shared" si="65"/>
        <v>38.516666670329869</v>
      </c>
      <c r="O100" s="7"/>
      <c r="P100" s="7"/>
      <c r="Q100" s="23"/>
      <c r="R100" s="23"/>
      <c r="S100" s="35">
        <f t="shared" si="66"/>
        <v>1</v>
      </c>
      <c r="T100" s="50" t="str">
        <f t="shared" si="67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14:22:59-700',mode:absolute,to:'2016-12-24 17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69"/>
        <v>N</v>
      </c>
      <c r="X100" s="177">
        <f t="shared" si="70"/>
        <v>1</v>
      </c>
      <c r="Y100" s="67">
        <f t="shared" si="71"/>
        <v>23.297799999999999</v>
      </c>
      <c r="Z100" s="67">
        <f t="shared" si="72"/>
        <v>1.5599999999999999E-2</v>
      </c>
      <c r="AA100" s="67">
        <f t="shared" si="73"/>
        <v>23.2822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74"/>
        <v>0188-24</v>
      </c>
      <c r="AE100" s="91" t="str">
        <f t="shared" si="75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00" s="88" t="str">
        <f t="shared" si="76"/>
        <v>"C:\Program Files (x86)\AstroGrep\AstroGrep.exe" /spath="%USERPROFILE%\AppData\Local\Temp\OnboardLogs" /stypes="app*4017*20161224*" /stext=" 23:.+((SYSTEM_STATE.+slice.+state.+changed )|(ment ac)|(multiple cpu faults)|(system.+state.+changed )|(\[timeout)|(PRM\|1\|D)|(kpr)|(kdp)|(\|lc)|(penalty))" /e /r /s</v>
      </c>
      <c r="AG100" s="1" t="str">
        <f t="shared" si="77"/>
        <v>EC</v>
      </c>
      <c r="AH100" s="92" t="str">
        <f t="shared" si="78"/>
        <v>"%USERPROFILE%\Documents\GitHub\eaglep3\Utilities\RefineRTDCRunTimes.py" --tripid 188-24 --locoid 4017 --swversion DE.1.0.8.0 --startMP 204:232978 --initTime 2016-12-24T15:22:59 --startdatetime 2016-12-24T15:26:24 --delay 2 --endMP 204:156 --enddatetime 2016-12-24T16:04:55 --enforcementcount 1 &gt;&gt;C:\Users\stu\Documents\GitHub\eaglep3-reporting\EC\2016-12-24-refined-times.txt</v>
      </c>
      <c r="AI10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{"issue":{"subject":"","project_id":79,"tracker_id":40,"status_id":1,"priority_id":2,"assigned_to_id":23,"start_date":"2016-12-24","description":"","custom_fields":[{"id":1,"name":"Subdivision","value":"EC"},{"id":4,"name":"Milepost","value":"0.0156"},{"id":17,"name":"Train ID","value":"188-24"},{"id":16,"name":"Locomotive ID","value":"4017"},{"id":130,"name":"Impact","value":""},{"id":150,"name":"Time of Event (Mountain Time)","value":"16:04:55"},{"id":151,"name":"Denver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562</v>
      </c>
      <c r="B101" s="7">
        <v>4007</v>
      </c>
      <c r="C101" s="22" t="s">
        <v>205</v>
      </c>
      <c r="D101" s="22" t="s">
        <v>266</v>
      </c>
      <c r="E101" s="13">
        <v>42728.611180555556</v>
      </c>
      <c r="F101" s="13">
        <v>42728.614930555559</v>
      </c>
      <c r="G101" s="7">
        <v>1</v>
      </c>
      <c r="H101" s="22" t="s">
        <v>395</v>
      </c>
      <c r="I101" s="13">
        <v>42728.640555555554</v>
      </c>
      <c r="J101" s="7">
        <v>1</v>
      </c>
      <c r="K101" s="109" t="str">
        <f t="shared" si="63"/>
        <v>4007/4008</v>
      </c>
      <c r="L101" s="22" t="str">
        <f>VLOOKUP(A101,'Trips&amp;Operators'!$C$1:$G$99999,5,FALSE)</f>
        <v>DAVIS MICHAEL</v>
      </c>
      <c r="M101" s="6">
        <f t="shared" si="64"/>
        <v>2.5624999994761311E-2</v>
      </c>
      <c r="N101" s="7">
        <f t="shared" si="65"/>
        <v>36.899999992456287</v>
      </c>
      <c r="O101" s="7"/>
      <c r="P101" s="7"/>
      <c r="Q101" s="23"/>
      <c r="R101" s="23"/>
      <c r="S101" s="35">
        <f t="shared" si="66"/>
        <v>1</v>
      </c>
      <c r="T101" s="50" t="str">
        <f t="shared" si="67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13:40:06-700',mode:absolute,to:'2016-12-24 16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1" s="52" t="str">
        <f t="shared" si="69"/>
        <v>N</v>
      </c>
      <c r="X101" s="177">
        <f t="shared" si="70"/>
        <v>1</v>
      </c>
      <c r="Y101" s="67">
        <f t="shared" si="71"/>
        <v>4.6199999999999998E-2</v>
      </c>
      <c r="Z101" s="67">
        <f t="shared" si="72"/>
        <v>23.331499999999998</v>
      </c>
      <c r="AA101" s="67">
        <f t="shared" si="73"/>
        <v>23.285299999999999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74"/>
        <v>0189-24</v>
      </c>
      <c r="AE101" s="91" t="str">
        <f t="shared" si="75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01" s="88" t="str">
        <f t="shared" si="76"/>
        <v>"C:\Program Files (x86)\AstroGrep\AstroGrep.exe" /spath="%USERPROFILE%\AppData\Local\Temp\OnboardLogs" /stypes="app*4007*20161224*" /stext=" 22:.+((SYSTEM_STATE.+slice.+state.+changed )|(ment ac)|(multiple cpu faults)|(system.+state.+changed )|(\[timeout)|(PRM\|1\|D)|(kpr)|(kdp)|(\|lc)|(penalty))" /e /r /s</v>
      </c>
      <c r="AG101" s="1" t="str">
        <f t="shared" si="77"/>
        <v>EC</v>
      </c>
      <c r="AH101" s="92" t="str">
        <f t="shared" si="78"/>
        <v>"%USERPROFILE%\Documents\GitHub\eaglep3\Utilities\RefineRTDCRunTimes.py" --tripid 189-24 --locoid 4007 --swversion DE.1.0.8.0 --startMP 204:462 --initTime 2016-12-24T14:40:06 --startdatetime 2016-12-24T14:45:30 --delay 1 --endMP 204:233315 --enddatetime 2016-12-24T15:22:24 --enforcementcount 1 &gt;&gt;C:\Users\stu\Documents\GitHub\eaglep3-reporting\EC\2016-12-24-refined-times.txt</v>
      </c>
      <c r="AI10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ID","value":"189-24"},{"id":16,"name":"Locomotive ID","value":"4007"},{"id":130,"name":"Impact","value":""},{"id":150,"name":"Time of Event (Mountain Time)","value":"15:22:24"},{"id":151,"name":"Denver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x14ac:dyDescent="0.25">
      <c r="A102" s="37" t="s">
        <v>570</v>
      </c>
      <c r="B102" s="7">
        <v>4008</v>
      </c>
      <c r="C102" s="22" t="s">
        <v>205</v>
      </c>
      <c r="D102" s="22" t="s">
        <v>256</v>
      </c>
      <c r="E102" s="13">
        <v>42728.649675925924</v>
      </c>
      <c r="F102" s="13">
        <v>42728.653981481482</v>
      </c>
      <c r="G102" s="7">
        <v>1</v>
      </c>
      <c r="H102" s="22" t="s">
        <v>233</v>
      </c>
      <c r="I102" s="13">
        <v>42728.681666666664</v>
      </c>
      <c r="J102" s="7">
        <v>1</v>
      </c>
      <c r="K102" s="109" t="str">
        <f t="shared" si="63"/>
        <v>4007/4008</v>
      </c>
      <c r="L102" s="22" t="str">
        <f>VLOOKUP(A102,'Trips&amp;Operators'!$C$1:$G$99999,5,FALSE)</f>
        <v>DAVIS MICHAEL</v>
      </c>
      <c r="M102" s="6">
        <f t="shared" si="64"/>
        <v>2.7685185181326233E-2</v>
      </c>
      <c r="N102" s="7">
        <f t="shared" si="65"/>
        <v>39.866666661109775</v>
      </c>
      <c r="O102" s="7"/>
      <c r="P102" s="7"/>
      <c r="Q102" s="23"/>
      <c r="R102" s="23"/>
      <c r="S102" s="35">
        <f t="shared" si="66"/>
        <v>1</v>
      </c>
      <c r="T102" s="50" t="str">
        <f t="shared" si="67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14:35:32-700',mode:absolute,to:'2016-12-24 17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2" s="52" t="str">
        <f t="shared" si="69"/>
        <v>N</v>
      </c>
      <c r="X102" s="177">
        <f t="shared" si="70"/>
        <v>1</v>
      </c>
      <c r="Y102" s="67">
        <f t="shared" si="71"/>
        <v>23.299399999999999</v>
      </c>
      <c r="Z102" s="67">
        <f t="shared" si="72"/>
        <v>1.4500000000000001E-2</v>
      </c>
      <c r="AA102" s="67">
        <f t="shared" si="73"/>
        <v>23.284899999999997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74"/>
        <v>0190-24</v>
      </c>
      <c r="AE102" s="91" t="str">
        <f t="shared" si="75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02" s="88" t="str">
        <f t="shared" si="76"/>
        <v>"C:\Program Files (x86)\AstroGrep\AstroGrep.exe" /spath="%USERPROFILE%\AppData\Local\Temp\OnboardLogs" /stypes="app*4008*20161224*" /stext=" 23:.+((SYSTEM_STATE.+slice.+state.+changed )|(ment ac)|(multiple cpu faults)|(system.+state.+changed )|(\[timeout)|(PRM\|1\|D)|(kpr)|(kdp)|(\|lc)|(penalty))" /e /r /s</v>
      </c>
      <c r="AG102" s="1" t="str">
        <f t="shared" si="77"/>
        <v>EC</v>
      </c>
      <c r="AH102" s="92" t="str">
        <f t="shared" si="78"/>
        <v>"%USERPROFILE%\Documents\GitHub\eaglep3\Utilities\RefineRTDCRunTimes.py" --tripid 190-24 --locoid 4008 --swversion DE.1.0.8.0 --startMP 204:232994 --initTime 2016-12-24T15:35:32 --startdatetime 2016-12-24T15:41:44 --delay 1 --endMP 204:145 --enddatetime 2016-12-24T16:21:36 --enforcementcount 1 &gt;&gt;C:\Users\stu\Documents\GitHub\eaglep3-reporting\EC\2016-12-24-refined-times.txt</v>
      </c>
      <c r="AI10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ID","value":"190-24"},{"id":16,"name":"Locomotive ID","value":"4008"},{"id":130,"name":"Impact","value":""},{"id":150,"name":"Time of Event (Mountain Time)","value":"16:21:36"},{"id":151,"name":"Denver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563</v>
      </c>
      <c r="B103" s="7">
        <v>4011</v>
      </c>
      <c r="C103" s="22" t="s">
        <v>205</v>
      </c>
      <c r="D103" s="22" t="s">
        <v>397</v>
      </c>
      <c r="E103" s="13">
        <v>42728.61991898148</v>
      </c>
      <c r="F103" s="13">
        <v>42728.625300925924</v>
      </c>
      <c r="G103" s="7">
        <v>1</v>
      </c>
      <c r="H103" s="22" t="s">
        <v>352</v>
      </c>
      <c r="I103" s="13">
        <v>42728.649363425924</v>
      </c>
      <c r="J103" s="7">
        <v>1</v>
      </c>
      <c r="K103" s="109" t="str">
        <f t="shared" si="63"/>
        <v>4011/4012</v>
      </c>
      <c r="L103" s="22" t="str">
        <f>VLOOKUP(A103,'Trips&amp;Operators'!$C$1:$G$99999,5,FALSE)</f>
        <v>BRUDER RICHARD</v>
      </c>
      <c r="M103" s="6">
        <f t="shared" si="64"/>
        <v>2.4062500000582077E-2</v>
      </c>
      <c r="N103" s="7">
        <f t="shared" si="65"/>
        <v>34.65000000083819</v>
      </c>
      <c r="O103" s="7"/>
      <c r="P103" s="7"/>
      <c r="Q103" s="23"/>
      <c r="R103" s="23"/>
      <c r="S103" s="35">
        <f t="shared" si="66"/>
        <v>1</v>
      </c>
      <c r="T103" s="50" t="str">
        <f t="shared" si="67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13:52:41-700',mode:absolute,to:'2016-12-24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3" s="52" t="str">
        <f t="shared" si="69"/>
        <v>N</v>
      </c>
      <c r="X103" s="177">
        <f t="shared" si="70"/>
        <v>1</v>
      </c>
      <c r="Y103" s="67">
        <f t="shared" si="71"/>
        <v>4.5699999999999998E-2</v>
      </c>
      <c r="Z103" s="67">
        <f t="shared" si="72"/>
        <v>23.3307</v>
      </c>
      <c r="AA103" s="67">
        <f t="shared" si="73"/>
        <v>23.285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74"/>
        <v>0191-24</v>
      </c>
      <c r="AE103" s="91" t="str">
        <f t="shared" si="75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03" s="88" t="str">
        <f t="shared" si="76"/>
        <v>"C:\Program Files (x86)\AstroGrep\AstroGrep.exe" /spath="%USERPROFILE%\AppData\Local\Temp\OnboardLogs" /stypes="app*4011*20161224*" /stext=" 22:.+((SYSTEM_STATE.+slice.+state.+changed )|(ment ac)|(multiple cpu faults)|(system.+state.+changed )|(\[timeout)|(PRM\|1\|D)|(kpr)|(kdp)|(\|lc)|(penalty))" /e /r /s</v>
      </c>
      <c r="AG103" s="1" t="str">
        <f t="shared" si="77"/>
        <v>EC</v>
      </c>
      <c r="AH103" s="92" t="str">
        <f t="shared" si="78"/>
        <v>"%USERPROFILE%\Documents\GitHub\eaglep3\Utilities\RefineRTDCRunTimes.py" --tripid 191-24 --locoid 4011 --swversion DE.1.0.8.0 --startMP 204:457 --initTime 2016-12-24T14:52:41 --startdatetime 2016-12-24T15:00:26 --delay 1 --endMP 204:233307 --enddatetime 2016-12-24T15:35:05 --enforcementcount 1 &gt;&gt;C:\Users\stu\Documents\GitHub\eaglep3-reporting\EC\2016-12-24-refined-times.txt</v>
      </c>
      <c r="AI10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{"issue":{"subject":"","project_id":79,"tracker_id":40,"status_id":1,"priority_id":2,"assigned_to_id":23,"start_date":"2016-12-24","description":"","custom_fields":[{"id":1,"name":"Subdivision","value":"EC"},{"id":4,"name":"Milepost","value":"23.3307"},{"id":17,"name":"Train ID","value":"191-24"},{"id":16,"name":"Locomotive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572</v>
      </c>
      <c r="B104" s="7">
        <v>4012</v>
      </c>
      <c r="C104" s="22" t="s">
        <v>205</v>
      </c>
      <c r="D104" s="22" t="s">
        <v>325</v>
      </c>
      <c r="E104" s="13">
        <v>42728.658402777779</v>
      </c>
      <c r="F104" s="13">
        <v>42728.664050925923</v>
      </c>
      <c r="G104" s="7">
        <v>1</v>
      </c>
      <c r="H104" s="22" t="s">
        <v>233</v>
      </c>
      <c r="I104" s="13">
        <v>42728.690763888888</v>
      </c>
      <c r="J104" s="7">
        <v>1</v>
      </c>
      <c r="K104" s="109" t="str">
        <f t="shared" si="63"/>
        <v>4011/4012</v>
      </c>
      <c r="L104" s="22" t="str">
        <f>VLOOKUP(A104,'Trips&amp;Operators'!$C$1:$G$99999,5,FALSE)</f>
        <v>BRUDER RICHARD</v>
      </c>
      <c r="M104" s="6">
        <f t="shared" si="64"/>
        <v>2.6712962964666076E-2</v>
      </c>
      <c r="N104" s="7">
        <f t="shared" si="65"/>
        <v>38.466666669119149</v>
      </c>
      <c r="O104" s="7"/>
      <c r="P104" s="7"/>
      <c r="Q104" s="23"/>
      <c r="R104" s="23"/>
      <c r="S104" s="35">
        <f t="shared" si="66"/>
        <v>1</v>
      </c>
      <c r="T104" s="50" t="str">
        <f t="shared" si="67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14:48:06-700',mode:absolute,to:'2016-12-24 17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4" s="52" t="str">
        <f t="shared" si="69"/>
        <v>N</v>
      </c>
      <c r="X104" s="177">
        <f t="shared" si="70"/>
        <v>1</v>
      </c>
      <c r="Y104" s="67">
        <f t="shared" si="71"/>
        <v>23.297999999999998</v>
      </c>
      <c r="Z104" s="67">
        <f t="shared" si="72"/>
        <v>1.4500000000000001E-2</v>
      </c>
      <c r="AA104" s="67">
        <f t="shared" si="73"/>
        <v>23.283499999999997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74"/>
        <v>0192-24</v>
      </c>
      <c r="AE104" s="91" t="str">
        <f t="shared" si="75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04" s="88" t="str">
        <f t="shared" si="76"/>
        <v>"C:\Program Files (x86)\AstroGrep\AstroGrep.exe" /spath="%USERPROFILE%\AppData\Local\Temp\OnboardLogs" /stypes="app*4012*20161224*" /stext=" 23:.+((SYSTEM_STATE.+slice.+state.+changed )|(ment ac)|(multiple cpu faults)|(system.+state.+changed )|(\[timeout)|(PRM\|1\|D)|(kpr)|(kdp)|(\|lc)|(penalty))" /e /r /s</v>
      </c>
      <c r="AG104" s="1" t="str">
        <f t="shared" si="77"/>
        <v>EC</v>
      </c>
      <c r="AH104" s="92" t="str">
        <f t="shared" si="78"/>
        <v>"%USERPROFILE%\Documents\GitHub\eaglep3\Utilities\RefineRTDCRunTimes.py" --tripid 192-24 --locoid 4012 --swversion DE.1.0.8.0 --startMP 204:232980 --initTime 2016-12-24T15:48:06 --startdatetime 2016-12-24T15:56:14 --delay 1 --endMP 204:145 --enddatetime 2016-12-24T16:34:42 --enforcementcount 1 &gt;&gt;C:\Users\stu\Documents\GitHub\eaglep3-reporting\EC\2016-12-24-refined-times.txt</v>
      </c>
      <c r="AI10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ID","value":"192-24"},{"id":16,"name":"Locomotive ID","value":"4012"},{"id":130,"name":"Impact","value":""},{"id":150,"name":"Time of Event (Mountain Time)","value":"16:34:42"},{"id":151,"name":"Denver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565</v>
      </c>
      <c r="B105" s="7">
        <v>4031</v>
      </c>
      <c r="C105" s="22" t="s">
        <v>205</v>
      </c>
      <c r="D105" s="22" t="s">
        <v>255</v>
      </c>
      <c r="E105" s="13">
        <v>42728.63212962963</v>
      </c>
      <c r="F105" s="13">
        <v>42728.635671296295</v>
      </c>
      <c r="G105" s="7">
        <v>1</v>
      </c>
      <c r="H105" s="22" t="s">
        <v>313</v>
      </c>
      <c r="I105" s="13">
        <v>42728.661678240744</v>
      </c>
      <c r="J105" s="7">
        <v>1</v>
      </c>
      <c r="K105" s="109" t="str">
        <f t="shared" si="63"/>
        <v>4031/4032</v>
      </c>
      <c r="L105" s="22" t="str">
        <f>VLOOKUP(A105,'Trips&amp;Operators'!$C$1:$G$99999,5,FALSE)</f>
        <v>KILLION DAVID</v>
      </c>
      <c r="M105" s="6">
        <f t="shared" si="64"/>
        <v>2.6006944448454306E-2</v>
      </c>
      <c r="N105" s="7">
        <f t="shared" si="65"/>
        <v>37.4500000057742</v>
      </c>
      <c r="O105" s="7"/>
      <c r="P105" s="7"/>
      <c r="Q105" s="23"/>
      <c r="R105" s="23"/>
      <c r="S105" s="35">
        <f t="shared" si="66"/>
        <v>1</v>
      </c>
      <c r="T105" s="50" t="str">
        <f t="shared" si="67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14:10:16-700',mode:absolute,to:'2016-12-24 16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5" s="52" t="str">
        <f t="shared" si="69"/>
        <v>N</v>
      </c>
      <c r="X105" s="177">
        <f t="shared" si="70"/>
        <v>1</v>
      </c>
      <c r="Y105" s="67">
        <f t="shared" si="71"/>
        <v>4.6399999999999997E-2</v>
      </c>
      <c r="Z105" s="67">
        <f t="shared" si="72"/>
        <v>23.329699999999999</v>
      </c>
      <c r="AA105" s="67">
        <f t="shared" si="73"/>
        <v>23.283300000000001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74"/>
        <v>0193-24</v>
      </c>
      <c r="AE105" s="91" t="str">
        <f t="shared" si="75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105" s="88" t="str">
        <f t="shared" si="76"/>
        <v>"C:\Program Files (x86)\AstroGrep\AstroGrep.exe" /spath="%USERPROFILE%\AppData\Local\Temp\OnboardLogs" /stypes="app*4031*20161224*" /stext=" 22:.+((SYSTEM_STATE.+slice.+state.+changed )|(ment ac)|(multiple cpu faults)|(system.+state.+changed )|(\[timeout)|(PRM\|1\|D)|(kpr)|(kdp)|(\|lc)|(penalty))" /e /r /s</v>
      </c>
      <c r="AG105" s="1" t="str">
        <f t="shared" si="77"/>
        <v>EC</v>
      </c>
      <c r="AH105" s="92" t="str">
        <f t="shared" si="78"/>
        <v>"%USERPROFILE%\Documents\GitHub\eaglep3\Utilities\RefineRTDCRunTimes.py" --tripid 193-24 --locoid 4031 --swversion DE.1.0.8.0 --startMP 204:464 --initTime 2016-12-24T15:10:16 --startdatetime 2016-12-24T15:15:22 --delay 1 --endMP 204:233297 --enddatetime 2016-12-24T15:52:49 --enforcementcount 1 &gt;&gt;C:\Users\stu\Documents\GitHub\eaglep3-reporting\EC\2016-12-24-refined-times.txt</v>
      </c>
      <c r="AI10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{"issue":{"subject":"","project_id":79,"tracker_id":40,"status_id":1,"priority_id":2,"assigned_to_id":23,"start_date":"2016-12-24","description":"","custom_fields":[{"id":1,"name":"Subdivision","value":"EC"},{"id":4,"name":"Milepost","value":"23.3297"},{"id":17,"name":"Train ID","value":"193-24"},{"id":16,"name":"Locomotive ID","value":"4031"},{"id":130,"name":"Impact","value":""},{"id":150,"name":"Time of Event (Mountain Time)","value":"15:52:49"},{"id":151,"name":"Denver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574</v>
      </c>
      <c r="B106" s="7">
        <v>4032</v>
      </c>
      <c r="C106" s="22" t="s">
        <v>205</v>
      </c>
      <c r="D106" s="22" t="s">
        <v>655</v>
      </c>
      <c r="E106" s="13">
        <v>42728.66883101852</v>
      </c>
      <c r="F106" s="13">
        <v>42728.674490740741</v>
      </c>
      <c r="G106" s="7">
        <v>0</v>
      </c>
      <c r="H106" s="22" t="s">
        <v>211</v>
      </c>
      <c r="I106" s="13">
        <v>42728.701956018522</v>
      </c>
      <c r="J106" s="7">
        <v>1</v>
      </c>
      <c r="K106" s="109" t="str">
        <f t="shared" si="63"/>
        <v>4031/4032</v>
      </c>
      <c r="L106" s="22" t="str">
        <f>VLOOKUP(A106,'Trips&amp;Operators'!$C$1:$G$99999,5,FALSE)</f>
        <v>KILLION DAVID</v>
      </c>
      <c r="M106" s="6">
        <f t="shared" si="64"/>
        <v>2.7465277780720498E-2</v>
      </c>
      <c r="N106" s="7">
        <f t="shared" si="65"/>
        <v>39.550000004237518</v>
      </c>
      <c r="O106" s="7"/>
      <c r="P106" s="7"/>
      <c r="Q106" s="23"/>
      <c r="R106" s="23"/>
      <c r="S106" s="35">
        <f t="shared" si="66"/>
        <v>1</v>
      </c>
      <c r="T106" s="50" t="str">
        <f t="shared" si="67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15:03:07-700',mode:absolute,to:'2016-12-24 17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6" s="52" t="str">
        <f t="shared" si="69"/>
        <v>N</v>
      </c>
      <c r="X106" s="177">
        <f t="shared" si="70"/>
        <v>1</v>
      </c>
      <c r="Y106" s="67">
        <f t="shared" si="71"/>
        <v>23.2989</v>
      </c>
      <c r="Z106" s="67">
        <f t="shared" si="72"/>
        <v>1.4999999999999999E-2</v>
      </c>
      <c r="AA106" s="67">
        <f t="shared" si="73"/>
        <v>23.283899999999999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74"/>
        <v>0194-24</v>
      </c>
      <c r="AE106" s="91" t="str">
        <f t="shared" si="75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06" s="88" t="str">
        <f t="shared" si="76"/>
        <v>"C:\Program Files (x86)\AstroGrep\AstroGrep.exe" /spath="%USERPROFILE%\AppData\Local\Temp\OnboardLogs" /stypes="app*4032*20161224*" /stext=" 23:.+((SYSTEM_STATE.+slice.+state.+changed )|(ment ac)|(multiple cpu faults)|(system.+state.+changed )|(\[timeout)|(PRM\|1\|D)|(kpr)|(kdp)|(\|lc)|(penalty))" /e /r /s</v>
      </c>
      <c r="AG106" s="1" t="str">
        <f t="shared" si="77"/>
        <v>EC</v>
      </c>
      <c r="AH106" s="92" t="str">
        <f t="shared" si="78"/>
        <v>"%USERPROFILE%\Documents\GitHub\eaglep3\Utilities\RefineRTDCRunTimes.py" --tripid 194-24 --locoid 4032 --swversion DE.1.0.8.0 --startMP 204:232989 --initTime 2016-12-24T16:03:07 --startdatetime 2016-12-24T16:11:16 --delay 0 --endMP 204:150 --enddatetime 2016-12-24T16:50:49 --enforcementcount 1 &gt;&gt;C:\Users\stu\Documents\GitHub\eaglep3-reporting\EC\2016-12-24-refined-times.txt</v>
      </c>
      <c r="AI10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ID","value":"194-24"},{"id":16,"name":"Locomotive ID","value":"4032"},{"id":130,"name":"Impact","value":""},{"id":150,"name":"Time of Event (Mountain Time)","value":"16:50:49"},{"id":151,"name":"Denver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568</v>
      </c>
      <c r="B107" s="7">
        <v>4044</v>
      </c>
      <c r="C107" s="22" t="s">
        <v>205</v>
      </c>
      <c r="D107" s="22" t="s">
        <v>308</v>
      </c>
      <c r="E107" s="13">
        <v>42728.642905092594</v>
      </c>
      <c r="F107" s="13">
        <v>42728.646006944444</v>
      </c>
      <c r="G107" s="7">
        <v>1</v>
      </c>
      <c r="H107" s="22" t="s">
        <v>718</v>
      </c>
      <c r="I107" s="13">
        <v>42728.670497685183</v>
      </c>
      <c r="J107" s="7">
        <v>1</v>
      </c>
      <c r="K107" s="109" t="str">
        <f t="shared" si="63"/>
        <v>4043/4044</v>
      </c>
      <c r="L107" s="22" t="str">
        <f>VLOOKUP(A107,'Trips&amp;Operators'!$C$1:$G$99999,5,FALSE)</f>
        <v>LEVIN SCOTT</v>
      </c>
      <c r="M107" s="6">
        <f t="shared" si="64"/>
        <v>2.4490740739565808E-2</v>
      </c>
      <c r="N107" s="7">
        <f t="shared" si="65"/>
        <v>35.266666664974764</v>
      </c>
      <c r="O107" s="7"/>
      <c r="P107" s="7"/>
      <c r="Q107" s="23"/>
      <c r="R107" s="23"/>
      <c r="S107" s="35">
        <f t="shared" si="66"/>
        <v>1</v>
      </c>
      <c r="T107" s="50" t="str">
        <f t="shared" si="67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14:25:47-700',mode:absolute,to:'2016-12-24 17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7" s="52" t="str">
        <f t="shared" si="69"/>
        <v>N</v>
      </c>
      <c r="X107" s="177">
        <f t="shared" si="70"/>
        <v>1</v>
      </c>
      <c r="Y107" s="67">
        <f t="shared" si="71"/>
        <v>4.3299999999999998E-2</v>
      </c>
      <c r="Z107" s="67">
        <f t="shared" si="72"/>
        <v>23.334299999999999</v>
      </c>
      <c r="AA107" s="67">
        <f t="shared" si="73"/>
        <v>23.291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74"/>
        <v>0195-24</v>
      </c>
      <c r="AE107" s="91" t="str">
        <f t="shared" si="75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07" s="88" t="str">
        <f t="shared" si="76"/>
        <v>"C:\Program Files (x86)\AstroGrep\AstroGrep.exe" /spath="%USERPROFILE%\AppData\Local\Temp\OnboardLogs" /stypes="app*4044*20161224*" /stext=" 23:.+((SYSTEM_STATE.+slice.+state.+changed )|(ment ac)|(multiple cpu faults)|(system.+state.+changed )|(\[timeout)|(PRM\|1\|D)|(kpr)|(kdp)|(\|lc)|(penalty))" /e /r /s</v>
      </c>
      <c r="AG107" s="1" t="str">
        <f t="shared" si="77"/>
        <v>EC</v>
      </c>
      <c r="AH107" s="92" t="str">
        <f t="shared" si="78"/>
        <v>"%USERPROFILE%\Documents\GitHub\eaglep3\Utilities\RefineRTDCRunTimes.py" --tripid 195-24 --locoid 4044 --swversion DE.1.0.8.0 --startMP 204:433 --initTime 2016-12-24T15:25:47 --startdatetime 2016-12-24T15:30:15 --delay 1 --endMP 204:233343 --enddatetime 2016-12-24T16:05:31 --enforcementcount 1 &gt;&gt;C:\Users\stu\Documents\GitHub\eaglep3-reporting\EC\2016-12-24-refined-times.txt</v>
      </c>
      <c r="AI10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{"issue":{"subject":"","project_id":79,"tracker_id":40,"status_id":1,"priority_id":2,"assigned_to_id":23,"start_date":"2016-12-24","description":"","custom_fields":[{"id":1,"name":"Subdivision","value":"EC"},{"id":4,"name":"Milepost","value":"23.3343"},{"id":17,"name":"Train ID","value":"195-24"},{"id":16,"name":"Locomotive ID","value":"4044"},{"id":130,"name":"Impact","value":""},{"id":150,"name":"Time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576</v>
      </c>
      <c r="B108" s="7">
        <v>4043</v>
      </c>
      <c r="C108" s="22" t="s">
        <v>205</v>
      </c>
      <c r="D108" s="22" t="s">
        <v>719</v>
      </c>
      <c r="E108" s="13">
        <v>42728.677997685183</v>
      </c>
      <c r="F108" s="13">
        <v>42728.684918981482</v>
      </c>
      <c r="G108" s="7">
        <v>1</v>
      </c>
      <c r="H108" s="22" t="s">
        <v>720</v>
      </c>
      <c r="I108" s="13">
        <v>42728.711273148147</v>
      </c>
      <c r="J108" s="7">
        <v>1</v>
      </c>
      <c r="K108" s="109" t="str">
        <f t="shared" si="63"/>
        <v>4043/4044</v>
      </c>
      <c r="L108" s="22" t="str">
        <f>VLOOKUP(A108,'Trips&amp;Operators'!$C$1:$G$99999,5,FALSE)</f>
        <v>LEVIN SCOTT</v>
      </c>
      <c r="M108" s="6">
        <f t="shared" si="64"/>
        <v>2.6354166664532386E-2</v>
      </c>
      <c r="N108" s="7">
        <f t="shared" si="65"/>
        <v>37.949999996926636</v>
      </c>
      <c r="O108" s="7"/>
      <c r="P108" s="7"/>
      <c r="Q108" s="23"/>
      <c r="R108" s="23"/>
      <c r="S108" s="35">
        <f t="shared" si="66"/>
        <v>1</v>
      </c>
      <c r="T108" s="50" t="str">
        <f t="shared" si="67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15:16:19-700',mode:absolute,to:'2016-12-24 18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8" s="52" t="str">
        <f t="shared" si="69"/>
        <v>N</v>
      </c>
      <c r="X108" s="177">
        <f t="shared" si="70"/>
        <v>1</v>
      </c>
      <c r="Y108" s="67">
        <f t="shared" si="71"/>
        <v>23.3019</v>
      </c>
      <c r="Z108" s="67">
        <f t="shared" si="72"/>
        <v>1.1599999999999999E-2</v>
      </c>
      <c r="AA108" s="67">
        <f t="shared" si="73"/>
        <v>23.290299999999998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74"/>
        <v>0196-24</v>
      </c>
      <c r="AE108" s="91" t="str">
        <f t="shared" si="75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08" s="88" t="str">
        <f t="shared" si="76"/>
        <v>"C:\Program Files (x86)\AstroGrep\AstroGrep.exe" /spath="%USERPROFILE%\AppData\Local\Temp\OnboardLogs" /stypes="app*4043*20161225*" /stext=" 00:.+((SYSTEM_STATE.+slice.+state.+changed )|(ment ac)|(multiple cpu faults)|(system.+state.+changed )|(\[timeout)|(PRM\|1\|D)|(kpr)|(kdp)|(\|lc)|(penalty))" /e /r /s</v>
      </c>
      <c r="AG108" s="1" t="str">
        <f t="shared" si="77"/>
        <v>EC</v>
      </c>
      <c r="AH108" s="92" t="str">
        <f t="shared" si="78"/>
        <v>"%USERPROFILE%\Documents\GitHub\eaglep3\Utilities\RefineRTDCRunTimes.py" --tripid 196-24 --locoid 4043 --swversion DE.1.0.8.0 --startMP 204:233019 --initTime 2016-12-24T16:16:19 --startdatetime 2016-12-24T16:26:17 --delay 1 --endMP 204:116 --enddatetime 2016-12-24T17:04:14 --enforcementcount 1 &gt;&gt;C:\Users\stu\Documents\GitHub\eaglep3-reporting\EC\2016-12-24-refined-times.txt</v>
      </c>
      <c r="AI10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{"issue":{"subject":"","project_id":79,"tracker_id":40,"status_id":1,"priority_id":2,"assigned_to_id":23,"start_date":"2016-12-24","description":"","custom_fields":[{"id":1,"name":"Subdivision","value":"EC"},{"id":4,"name":"Milepost","value":"0.0116"},{"id":17,"name":"Train ID","value":"196-24"},{"id":16,"name":"Locomotive ID","value":"4043"},{"id":130,"name":"Impact","value":""},{"id":150,"name":"Time of Event (Mountain Time)","value":"17:04:14"},{"id":151,"name":"Denver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571</v>
      </c>
      <c r="B109" s="7">
        <v>4042</v>
      </c>
      <c r="C109" s="22" t="s">
        <v>205</v>
      </c>
      <c r="D109" s="22" t="s">
        <v>283</v>
      </c>
      <c r="E109" s="13">
        <v>42728.653391203705</v>
      </c>
      <c r="F109" s="13">
        <v>42728.656574074077</v>
      </c>
      <c r="G109" s="7">
        <v>1</v>
      </c>
      <c r="H109" s="22" t="s">
        <v>277</v>
      </c>
      <c r="I109" s="13">
        <v>42728.681111111109</v>
      </c>
      <c r="J109" s="7">
        <v>1</v>
      </c>
      <c r="K109" s="109" t="str">
        <f t="shared" si="63"/>
        <v>4041/4042</v>
      </c>
      <c r="L109" s="22" t="str">
        <f>VLOOKUP(A109,'Trips&amp;Operators'!$C$1:$G$99999,5,FALSE)</f>
        <v>ADANE ELSHADAY</v>
      </c>
      <c r="M109" s="6">
        <f t="shared" si="64"/>
        <v>2.4537037032132503E-2</v>
      </c>
      <c r="N109" s="7">
        <f t="shared" si="65"/>
        <v>35.333333326270804</v>
      </c>
      <c r="O109" s="7"/>
      <c r="P109" s="7"/>
      <c r="Q109" s="23"/>
      <c r="R109" s="23"/>
      <c r="S109" s="35">
        <f t="shared" si="66"/>
        <v>1</v>
      </c>
      <c r="T109" s="50" t="str">
        <f t="shared" si="67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14:40:53-700',mode:absolute,to:'2016-12-24 17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9" s="52" t="str">
        <f t="shared" si="69"/>
        <v>N</v>
      </c>
      <c r="X109" s="177">
        <f t="shared" si="70"/>
        <v>1</v>
      </c>
      <c r="Y109" s="67">
        <f t="shared" si="71"/>
        <v>4.4200000000000003E-2</v>
      </c>
      <c r="Z109" s="67">
        <f t="shared" si="72"/>
        <v>23.329799999999999</v>
      </c>
      <c r="AA109" s="67">
        <f t="shared" si="73"/>
        <v>23.285599999999999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74"/>
        <v>0197-24</v>
      </c>
      <c r="AE109" s="91" t="str">
        <f t="shared" si="75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109" s="88" t="str">
        <f t="shared" si="76"/>
        <v>"C:\Program Files (x86)\AstroGrep\AstroGrep.exe" /spath="%USERPROFILE%\AppData\Local\Temp\OnboardLogs" /stypes="app*4042*20161224*" /stext=" 23:.+((SYSTEM_STATE.+slice.+state.+changed )|(ment ac)|(multiple cpu faults)|(system.+state.+changed )|(\[timeout)|(PRM\|1\|D)|(kpr)|(kdp)|(\|lc)|(penalty))" /e /r /s</v>
      </c>
      <c r="AG109" s="1" t="str">
        <f t="shared" si="77"/>
        <v>EC</v>
      </c>
      <c r="AH109" s="92" t="str">
        <f t="shared" si="78"/>
        <v>"%USERPROFILE%\Documents\GitHub\eaglep3\Utilities\RefineRTDCRunTimes.py" --tripid 197-24 --locoid 4042 --swversion DE.1.0.8.0 --startMP 204:442 --initTime 2016-12-24T15:40:53 --startdatetime 2016-12-24T15:45:28 --delay 1 --endMP 204:233298 --enddatetime 2016-12-24T16:20:48 --enforcementcount 1 &gt;&gt;C:\Users\stu\Documents\GitHub\eaglep3-reporting\EC\2016-12-24-refined-times.txt</v>
      </c>
      <c r="AI10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{"issue":{"subject":"","project_id":79,"tracker_id":40,"status_id":1,"priority_id":2,"assigned_to_id":23,"start_date":"2016-12-24","description":"","custom_fields":[{"id":1,"name":"Subdivision","value":"EC"},{"id":4,"name":"Milepost","value":"23.3298"},{"id":17,"name":"Train ID","value":"197-24"},{"id":16,"name":"Locomotive ID","value":"4042"},{"id":130,"name":"Impact","value":""},{"id":150,"name":"Time of Event (Mountain Time)","value":"16:20:48"},{"id":151,"name":"Denver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578</v>
      </c>
      <c r="B110" s="7">
        <v>4041</v>
      </c>
      <c r="C110" s="22" t="s">
        <v>205</v>
      </c>
      <c r="D110" s="22" t="s">
        <v>721</v>
      </c>
      <c r="E110" s="13">
        <v>42728.682824074072</v>
      </c>
      <c r="F110" s="13">
        <v>42728.695405092592</v>
      </c>
      <c r="G110" s="7">
        <v>1</v>
      </c>
      <c r="H110" s="22" t="s">
        <v>351</v>
      </c>
      <c r="I110" s="13">
        <v>42728.721944444442</v>
      </c>
      <c r="J110" s="7">
        <v>1</v>
      </c>
      <c r="K110" s="109" t="str">
        <f t="shared" si="63"/>
        <v>4041/4042</v>
      </c>
      <c r="L110" s="22" t="str">
        <f>VLOOKUP(A110,'Trips&amp;Operators'!$C$1:$G$99999,5,FALSE)</f>
        <v>ADANE ELSHADAY</v>
      </c>
      <c r="M110" s="6">
        <f t="shared" si="64"/>
        <v>2.6539351849351078E-2</v>
      </c>
      <c r="N110" s="7">
        <f t="shared" si="65"/>
        <v>38.216666663065553</v>
      </c>
      <c r="O110" s="7"/>
      <c r="P110" s="7"/>
      <c r="Q110" s="23"/>
      <c r="R110" s="23"/>
      <c r="S110" s="35">
        <f t="shared" si="66"/>
        <v>1</v>
      </c>
      <c r="T110" s="50" t="str">
        <f t="shared" si="67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68"/>
        <v>https://search-rtdc-monitor-bjffxe2xuh6vdkpspy63sjmuny.us-east-1.es.amazonaws.com/_plugin/kibana/#/discover/Steve-Slow-Train-Analysis-(2080s-and-2083s)?_g=(refreshInterval:(display:Off,section:0,value:0),time:(from:'2016-12-24 15:23:16-700',mode:absolute,to:'2016-12-24 18:19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0" s="52" t="str">
        <f t="shared" si="69"/>
        <v>N</v>
      </c>
      <c r="X110" s="177">
        <f t="shared" si="70"/>
        <v>1</v>
      </c>
      <c r="Y110" s="67">
        <f t="shared" si="71"/>
        <v>23.2974</v>
      </c>
      <c r="Z110" s="67">
        <f t="shared" si="72"/>
        <v>1.41E-2</v>
      </c>
      <c r="AA110" s="67">
        <f t="shared" si="73"/>
        <v>23.283300000000001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74"/>
        <v>0198-24</v>
      </c>
      <c r="AE110" s="91" t="str">
        <f t="shared" si="75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110" s="88" t="str">
        <f t="shared" si="76"/>
        <v>"C:\Program Files (x86)\AstroGrep\AstroGrep.exe" /spath="%USERPROFILE%\AppData\Local\Temp\OnboardLogs" /stypes="app*4041*20161225*" /stext=" 00:.+((SYSTEM_STATE.+slice.+state.+changed )|(ment ac)|(multiple cpu faults)|(system.+state.+changed )|(\[timeout)|(PRM\|1\|D)|(kpr)|(kdp)|(\|lc)|(penalty))" /e /r /s</v>
      </c>
      <c r="AG110" s="1" t="str">
        <f t="shared" si="77"/>
        <v>EC</v>
      </c>
      <c r="AH110" s="92" t="str">
        <f t="shared" si="78"/>
        <v>"%USERPROFILE%\Documents\GitHub\eaglep3\Utilities\RefineRTDCRunTimes.py" --tripid 198-24 --locoid 4041 --swversion DE.1.0.8.0 --startMP 204:232974 --initTime 2016-12-24T16:23:16 --startdatetime 2016-12-24T16:41:23 --delay 1 --endMP 204:141 --enddatetime 2016-12-24T17:19:36 --enforcementcount 1 &gt;&gt;C:\Users\stu\Documents\GitHub\eaglep3-reporting\EC\2016-12-24-refined-times.txt</v>
      </c>
      <c r="AI11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ID","value":"198-24"},{"id":16,"name":"Locomotive ID","value":"4041"},{"id":130,"name":"Impact","value":""},{"id":150,"name":"Time of Event (Mountain Time)","value":"17:19:36"},{"id":151,"name":"Denver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573</v>
      </c>
      <c r="B111" s="7">
        <v>4003</v>
      </c>
      <c r="C111" s="22" t="s">
        <v>205</v>
      </c>
      <c r="D111" s="22" t="s">
        <v>656</v>
      </c>
      <c r="E111" s="13">
        <v>42728.660960648151</v>
      </c>
      <c r="F111" s="13">
        <v>42728.705729166664</v>
      </c>
      <c r="G111" s="7">
        <v>1</v>
      </c>
      <c r="H111" s="22" t="s">
        <v>403</v>
      </c>
      <c r="I111" s="13">
        <v>42728.733831018515</v>
      </c>
      <c r="J111" s="7">
        <v>1</v>
      </c>
      <c r="K111" s="109" t="str">
        <f t="shared" ref="K111:K142" si="80">IF(ISEVEN(B111),(B111-1)&amp;"/"&amp;B111,B111&amp;"/"&amp;(B111+1))</f>
        <v>4003/4004</v>
      </c>
      <c r="L111" s="22" t="str">
        <f>VLOOKUP(A111,'Trips&amp;Operators'!$C$1:$G$99999,5,FALSE)</f>
        <v>BRANNON JEFFREY</v>
      </c>
      <c r="M111" s="6">
        <f t="shared" ref="M111:M142" si="81">I111-F111</f>
        <v>2.810185185080627E-2</v>
      </c>
      <c r="N111" s="7">
        <f t="shared" ref="N111:N142" si="82">24*60*SUM($M111:$M111)</f>
        <v>40.466666665161029</v>
      </c>
      <c r="O111" s="7"/>
      <c r="P111" s="7"/>
      <c r="Q111" s="23"/>
      <c r="R111" s="23"/>
      <c r="S111" s="35">
        <f t="shared" ref="S111:S142" si="83">SUM(U111:U111)/IF(AG111="EC",12,1)</f>
        <v>1</v>
      </c>
      <c r="T111" s="50" t="str">
        <f t="shared" ref="T111:T142" si="84"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ref="V111:V142" si="85"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https://search-rtdc-monitor-bjffxe2xuh6vdkpspy63sjmuny.us-east-1.es.amazonaws.com/_plugin/kibana/#/discover/Steve-Slow-Train-Analysis-(2080s-and-2083s)?_g=(refreshInterval:(display:Off,section:0,value:0),time:(from:'2016-12-24 14:51:47-700',mode:absolute,to:'2016-12-24 18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11" s="52" t="str">
        <f t="shared" ref="W111:W142" si="86">IF(AA111&lt;IF(AG111="EC",23,5.65),"Y","N")</f>
        <v>N</v>
      </c>
      <c r="X111" s="177">
        <f t="shared" ref="X111:X142" si="87">VALUE(LEFT(AD111,4))-VALUE(LEFT(AD110,4))</f>
        <v>1</v>
      </c>
      <c r="Y111" s="67">
        <f t="shared" ref="Y111:Y142" si="88">RIGHT(D111,LEN(D111)-4)/10000</f>
        <v>4.3799999999999999E-2</v>
      </c>
      <c r="Z111" s="67">
        <f t="shared" ref="Z111:Z142" si="89">RIGHT(H111,LEN(H111)-4)/10000</f>
        <v>23.328399999999998</v>
      </c>
      <c r="AA111" s="67">
        <f t="shared" ref="AA111:AA142" si="90">ABS(Z111-Y111)</f>
        <v>23.284599999999998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ref="AD111:AD142" si="91">IF(LEN(A111)=6,"0"&amp;A111,A111)</f>
        <v>0199-24</v>
      </c>
      <c r="AE111" s="91" t="str">
        <f t="shared" ref="AE111:AE142" si="92"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11" s="88" t="str">
        <f t="shared" ref="AF111:AF142" si="93"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/stypes="app*4003*20161225*" /stext=" 00:.+((SYSTEM_STATE.+slice.+state.+changed )|(ment ac)|(multiple cpu faults)|(system.+state.+changed )|(\[timeout)|(PRM\|1\|D)|(kpr)|(kdp)|(\|lc)|(penalty))" /e /r /s</v>
      </c>
      <c r="AG111" s="1" t="str">
        <f t="shared" ref="AG111:AG142" si="94">IFERROR(IF(VALUE(LEFT(AD111,2))&lt;=2,"EC",IF(OR(VALUE(LEFT(AD111,2))=8,VALUE(LEFT(AD111,2))=18),"NW","Other")),"Other")</f>
        <v>EC</v>
      </c>
      <c r="AH111" s="92" t="str">
        <f t="shared" si="78"/>
        <v>"%USERPROFILE%\Documents\GitHub\eaglep3\Utilities\RefineRTDCRunTimes.py" --tripid 199-24 --locoid 4003 --swversion DE.1.0.8.0 --startMP 204:438 --initTime 2016-12-24T15:51:47 --startdatetime 2016-12-24T16:56:15 --delay 1 --endMP 204:233284 --enddatetime 2016-12-24T17:36:43 --enforcementcount 1 &gt;&gt;C:\Users\stu\Documents\GitHub\eaglep3-reporting\EC\2016-12-24-refined-times.txt</v>
      </c>
      <c r="AI11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{"issue":{"subject":"","project_id":79,"tracker_id":40,"status_id":1,"priority_id":2,"assigned_to_id":23,"start_date":"2016-12-24","description":"","custom_fields":[{"id":1,"name":"Subdivision","value":"EC"},{"id":4,"name":"Milepost","value":"23.3284"},{"id":17,"name":"Train ID","value":"199-24"},{"id":16,"name":"Locomotive ID","value":"4003"},{"id":130,"name":"Impact","value":""},{"id":150,"name":"Time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582</v>
      </c>
      <c r="B112" s="7">
        <v>4004</v>
      </c>
      <c r="C112" s="22" t="s">
        <v>205</v>
      </c>
      <c r="D112" s="22" t="s">
        <v>286</v>
      </c>
      <c r="E112" s="13">
        <v>42728.697129629632</v>
      </c>
      <c r="F112" s="13">
        <v>42728.705729166664</v>
      </c>
      <c r="G112" s="7">
        <v>0</v>
      </c>
      <c r="H112" s="22" t="s">
        <v>413</v>
      </c>
      <c r="I112" s="13">
        <v>42728.733831018515</v>
      </c>
      <c r="J112" s="7">
        <v>1</v>
      </c>
      <c r="K112" s="109" t="str">
        <f t="shared" si="80"/>
        <v>4003/4004</v>
      </c>
      <c r="L112" s="22" t="str">
        <f>VLOOKUP(A112,'Trips&amp;Operators'!$C$1:$G$99999,5,FALSE)</f>
        <v>BRANNON JEFFREY</v>
      </c>
      <c r="M112" s="6">
        <f t="shared" si="81"/>
        <v>2.810185185080627E-2</v>
      </c>
      <c r="N112" s="7">
        <f t="shared" si="82"/>
        <v>40.466666665161029</v>
      </c>
      <c r="O112" s="7"/>
      <c r="P112" s="7"/>
      <c r="Q112" s="23"/>
      <c r="R112" s="23"/>
      <c r="S112" s="35">
        <f t="shared" si="83"/>
        <v>1</v>
      </c>
      <c r="T112" s="50" t="str">
        <f t="shared" si="84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15:43:52-700',mode:absolute,to:'2016-12-24 18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12" s="52" t="str">
        <f t="shared" si="86"/>
        <v>N</v>
      </c>
      <c r="X112" s="177">
        <f t="shared" si="87"/>
        <v>1</v>
      </c>
      <c r="Y112" s="67">
        <f t="shared" si="88"/>
        <v>23.2973</v>
      </c>
      <c r="Z112" s="67">
        <f t="shared" si="89"/>
        <v>1.6899999999999998E-2</v>
      </c>
      <c r="AA112" s="67">
        <f t="shared" si="90"/>
        <v>23.2804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91"/>
        <v>0200-24</v>
      </c>
      <c r="AE112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12" s="88" t="str">
        <f t="shared" si="93"/>
        <v>"C:\Program Files (x86)\AstroGrep\AstroGrep.exe" /spath="%USERPROFILE%\AppData\Local\Temp\OnboardLogs" /stypes="app*4004*20161225*" /stext=" 00:.+((SYSTEM_STATE.+slice.+state.+changed )|(ment ac)|(multiple cpu faults)|(system.+state.+changed )|(\[timeout)|(PRM\|1\|D)|(kpr)|(kdp)|(\|lc)|(penalty))" /e /r /s</v>
      </c>
      <c r="AG112" s="1" t="str">
        <f t="shared" si="94"/>
        <v>EC</v>
      </c>
      <c r="AH112" s="92" t="str">
        <f t="shared" si="78"/>
        <v>"%USERPROFILE%\Documents\GitHub\eaglep3\Utilities\RefineRTDCRunTimes.py" --tripid 200-24 --locoid 4004 --swversion DE.1.0.8.0 --startMP 204:232973 --initTime 2016-12-24T16:43:52 --startdatetime 2016-12-24T16:56:15 --delay 0 --endMP 204:169 --enddatetime 2016-12-24T17:36:43 --enforcementcount 1 &gt;&gt;C:\Users\stu\Documents\GitHub\eaglep3-reporting\EC\2016-12-24-refined-times.txt</v>
      </c>
      <c r="AI11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{"issue":{"subject":"","project_id":79,"tracker_id":40,"status_id":1,"priority_id":2,"assigned_to_id":23,"start_date":"2016-12-24","description":"","custom_fields":[{"id":1,"name":"Subdivision","value":"EC"},{"id":4,"name":"Milepost","value":"0.0169"},{"id":17,"name":"Train ID","value":"200-24"},{"id":16,"name":"Locomotive ID","value":"4004"},{"id":130,"name":"Impact","value":""},{"id":150,"name":"Time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575</v>
      </c>
      <c r="B113" s="7">
        <v>4018</v>
      </c>
      <c r="C113" s="22" t="s">
        <v>205</v>
      </c>
      <c r="D113" s="22" t="s">
        <v>266</v>
      </c>
      <c r="E113" s="13">
        <v>42728.672476851854</v>
      </c>
      <c r="F113" s="13">
        <v>42728.677546296298</v>
      </c>
      <c r="G113" s="7">
        <v>1</v>
      </c>
      <c r="H113" s="22" t="s">
        <v>395</v>
      </c>
      <c r="I113" s="13">
        <v>42728.702060185184</v>
      </c>
      <c r="J113" s="7">
        <v>1</v>
      </c>
      <c r="K113" s="109" t="str">
        <f t="shared" si="80"/>
        <v>4017/4018</v>
      </c>
      <c r="L113" s="22" t="str">
        <f>VLOOKUP(A113,'Trips&amp;Operators'!$C$1:$G$99999,5,FALSE)</f>
        <v>STEWART MICHAEL</v>
      </c>
      <c r="M113" s="6">
        <f t="shared" si="81"/>
        <v>2.4513888885849155E-2</v>
      </c>
      <c r="N113" s="7">
        <f t="shared" si="82"/>
        <v>35.299999995622784</v>
      </c>
      <c r="O113" s="7"/>
      <c r="P113" s="7"/>
      <c r="Q113" s="23"/>
      <c r="R113" s="23"/>
      <c r="S113" s="35">
        <f t="shared" si="83"/>
        <v>1</v>
      </c>
      <c r="T113" s="50" t="str">
        <f t="shared" si="84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15:08:22-700',mode:absolute,to:'2016-12-24 17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3" s="52" t="str">
        <f t="shared" si="86"/>
        <v>N</v>
      </c>
      <c r="X113" s="177">
        <f t="shared" si="87"/>
        <v>1</v>
      </c>
      <c r="Y113" s="67">
        <f t="shared" si="88"/>
        <v>4.6199999999999998E-2</v>
      </c>
      <c r="Z113" s="67">
        <f t="shared" si="89"/>
        <v>23.331499999999998</v>
      </c>
      <c r="AA113" s="67">
        <f t="shared" si="90"/>
        <v>23.285299999999999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91"/>
        <v>0201-24</v>
      </c>
      <c r="AE113" s="91" t="str">
        <f t="shared" si="92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113" s="88" t="str">
        <f t="shared" si="93"/>
        <v>"C:\Program Files (x86)\AstroGrep\AstroGrep.exe" /spath="%USERPROFILE%\AppData\Local\Temp\OnboardLogs" /stypes="app*4018*20161224*" /stext=" 23:.+((SYSTEM_STATE.+slice.+state.+changed )|(ment ac)|(multiple cpu faults)|(system.+state.+changed )|(\[timeout)|(PRM\|1\|D)|(kpr)|(kdp)|(\|lc)|(penalty))" /e /r /s</v>
      </c>
      <c r="AG113" s="1" t="str">
        <f t="shared" si="94"/>
        <v>EC</v>
      </c>
      <c r="AH113" s="92" t="str">
        <f t="shared" si="78"/>
        <v>"%USERPROFILE%\Documents\GitHub\eaglep3\Utilities\RefineRTDCRunTimes.py" --tripid 201-24 --locoid 4018 --swversion DE.1.0.8.0 --startMP 204:462 --initTime 2016-12-24T16:08:22 --startdatetime 2016-12-24T16:15:40 --delay 1 --endMP 204:233315 --enddatetime 2016-12-24T16:50:58 --enforcementcount 1 &gt;&gt;C:\Users\stu\Documents\GitHub\eaglep3-reporting\EC\2016-12-24-refined-times.txt</v>
      </c>
      <c r="AI11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ID","value":"201-24"},{"id":16,"name":"Locomotive ID","value":"4018"},{"id":130,"name":"Impact","value":""},{"id":150,"name":"Time of Event (Mountain Time)","value":"16:50:58"},{"id":151,"name":"Denver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584</v>
      </c>
      <c r="B114" s="7">
        <v>4017</v>
      </c>
      <c r="C114" s="22" t="s">
        <v>205</v>
      </c>
      <c r="D114" s="22" t="s">
        <v>321</v>
      </c>
      <c r="E114" s="13">
        <v>42728.709675925929</v>
      </c>
      <c r="F114" s="13">
        <v>42728.716273148151</v>
      </c>
      <c r="G114" s="7">
        <v>1</v>
      </c>
      <c r="H114" s="22" t="s">
        <v>243</v>
      </c>
      <c r="I114" s="13">
        <v>42728.743263888886</v>
      </c>
      <c r="J114" s="7">
        <v>1</v>
      </c>
      <c r="K114" s="109" t="str">
        <f t="shared" si="80"/>
        <v>4017/4018</v>
      </c>
      <c r="L114" s="22" t="str">
        <f>VLOOKUP(A114,'Trips&amp;Operators'!$C$1:$G$99999,5,FALSE)</f>
        <v>STEWART MICHAEL</v>
      </c>
      <c r="M114" s="6">
        <f t="shared" si="81"/>
        <v>2.6990740734618157E-2</v>
      </c>
      <c r="N114" s="7">
        <f t="shared" si="82"/>
        <v>38.866666657850146</v>
      </c>
      <c r="O114" s="7"/>
      <c r="P114" s="7"/>
      <c r="Q114" s="23"/>
      <c r="R114" s="23"/>
      <c r="S114" s="35">
        <f t="shared" si="83"/>
        <v>1</v>
      </c>
      <c r="T114" s="50" t="str">
        <f t="shared" si="84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16:01:56-700',mode:absolute,to:'2016-12-24 18:50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4" s="52" t="str">
        <f t="shared" si="86"/>
        <v>N</v>
      </c>
      <c r="X114" s="177">
        <f t="shared" si="87"/>
        <v>1</v>
      </c>
      <c r="Y114" s="67">
        <f t="shared" si="88"/>
        <v>23.299099999999999</v>
      </c>
      <c r="Z114" s="67">
        <f t="shared" si="89"/>
        <v>1.6299999999999999E-2</v>
      </c>
      <c r="AA114" s="67">
        <f t="shared" si="90"/>
        <v>23.282799999999998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91"/>
        <v>0202-24</v>
      </c>
      <c r="AE114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14" s="88" t="str">
        <f t="shared" si="93"/>
        <v>"C:\Program Files (x86)\AstroGrep\AstroGrep.exe" /spath="%USERPROFILE%\AppData\Local\Temp\OnboardLogs" /stypes="app*4017*20161225*" /stext=" 00:.+((SYSTEM_STATE.+slice.+state.+changed )|(ment ac)|(multiple cpu faults)|(system.+state.+changed )|(\[timeout)|(PRM\|1\|D)|(kpr)|(kdp)|(\|lc)|(penalty))" /e /r /s</v>
      </c>
      <c r="AG114" s="1" t="str">
        <f t="shared" si="94"/>
        <v>EC</v>
      </c>
      <c r="AH114" s="92" t="str">
        <f t="shared" si="78"/>
        <v>"%USERPROFILE%\Documents\GitHub\eaglep3\Utilities\RefineRTDCRunTimes.py" --tripid 202-24 --locoid 4017 --swversion DE.1.0.8.0 --startMP 204:232991 --initTime 2016-12-24T17:01:56 --startdatetime 2016-12-24T17:11:26 --delay 1 --endMP 204:163 --enddatetime 2016-12-24T17:50:18 --enforcementcount 1 &gt;&gt;C:\Users\stu\Documents\GitHub\eaglep3-reporting\EC\2016-12-24-refined-times.txt</v>
      </c>
      <c r="AI11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{"issue":{"subject":"","project_id":79,"tracker_id":40,"status_id":1,"priority_id":2,"assigned_to_id":23,"start_date":"2016-12-24","description":"","custom_fields":[{"id":1,"name":"Subdivision","value":"EC"},{"id":4,"name":"Milepost","value":"0.0163"},{"id":17,"name":"Train ID","value":"202-24"},{"id":16,"name":"Locomotive ID","value":"4017"},{"id":130,"name":"Impact","value":""},{"id":150,"name":"Time of Event (Mountain Time)","value":"17:50:18"},{"id":151,"name":"Denver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579</v>
      </c>
      <c r="B115" s="7">
        <v>4007</v>
      </c>
      <c r="C115" s="22" t="s">
        <v>205</v>
      </c>
      <c r="D115" s="22" t="s">
        <v>275</v>
      </c>
      <c r="E115" s="13">
        <v>42728.683506944442</v>
      </c>
      <c r="F115" s="13">
        <v>42728.687824074077</v>
      </c>
      <c r="G115" s="7">
        <v>1</v>
      </c>
      <c r="H115" s="22" t="s">
        <v>406</v>
      </c>
      <c r="I115" s="13">
        <v>42728.713402777779</v>
      </c>
      <c r="J115" s="7">
        <v>1</v>
      </c>
      <c r="K115" s="109" t="str">
        <f t="shared" si="80"/>
        <v>4007/4008</v>
      </c>
      <c r="L115" s="22" t="str">
        <f>VLOOKUP(A115,'Trips&amp;Operators'!$C$1:$G$99999,5,FALSE)</f>
        <v>DAVIS MICHAEL</v>
      </c>
      <c r="M115" s="6">
        <f t="shared" si="81"/>
        <v>2.5578703702194616E-2</v>
      </c>
      <c r="N115" s="7">
        <f t="shared" si="82"/>
        <v>36.833333331160247</v>
      </c>
      <c r="O115" s="7"/>
      <c r="P115" s="7"/>
      <c r="Q115" s="23"/>
      <c r="R115" s="23"/>
      <c r="S115" s="35">
        <f t="shared" si="83"/>
        <v>1</v>
      </c>
      <c r="T115" s="50" t="str">
        <f t="shared" si="84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15:24:15-700',mode:absolute,to:'2016-12-24 18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5" s="52" t="str">
        <f t="shared" si="86"/>
        <v>N</v>
      </c>
      <c r="X115" s="177">
        <f t="shared" si="87"/>
        <v>1</v>
      </c>
      <c r="Y115" s="67">
        <f t="shared" si="88"/>
        <v>4.3999999999999997E-2</v>
      </c>
      <c r="Z115" s="67">
        <f t="shared" si="89"/>
        <v>23.327999999999999</v>
      </c>
      <c r="AA115" s="67">
        <f t="shared" si="90"/>
        <v>23.283999999999999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91"/>
        <v>0203-24</v>
      </c>
      <c r="AE115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15" s="88" t="str">
        <f t="shared" si="93"/>
        <v>"C:\Program Files (x86)\AstroGrep\AstroGrep.exe" /spath="%USERPROFILE%\AppData\Local\Temp\OnboardLogs" /stypes="app*4007*20161225*" /stext=" 00:.+((SYSTEM_STATE.+slice.+state.+changed )|(ment ac)|(multiple cpu faults)|(system.+state.+changed )|(\[timeout)|(PRM\|1\|D)|(kpr)|(kdp)|(\|lc)|(penalty))" /e /r /s</v>
      </c>
      <c r="AG115" s="1" t="str">
        <f t="shared" si="94"/>
        <v>EC</v>
      </c>
      <c r="AH115" s="92" t="str">
        <f t="shared" si="78"/>
        <v>"%USERPROFILE%\Documents\GitHub\eaglep3\Utilities\RefineRTDCRunTimes.py" --tripid 203-24 --locoid 4007 --swversion DE.1.0.8.0 --startMP 204:440 --initTime 2016-12-24T16:24:15 --startdatetime 2016-12-24T16:30:28 --delay 1 --endMP 204:233280 --enddatetime 2016-12-24T17:07:18 --enforcementcount 1 &gt;&gt;C:\Users\stu\Documents\GitHub\eaglep3-reporting\EC\2016-12-24-refined-times.txt</v>
      </c>
      <c r="AI11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{"issue":{"subject":"","project_id":79,"tracker_id":40,"status_id":1,"priority_id":2,"assigned_to_id":23,"start_date":"2016-12-24","description":"","custom_fields":[{"id":1,"name":"Subdivision","value":"EC"},{"id":4,"name":"Milepost","value":"23.328"},{"id":17,"name":"Train ID","value":"203-24"},{"id":16,"name":"Locomotive ID","value":"4007"},{"id":130,"name":"Impact","value":""},{"id":150,"name":"Time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588</v>
      </c>
      <c r="B116" s="7">
        <v>4008</v>
      </c>
      <c r="C116" s="22" t="s">
        <v>205</v>
      </c>
      <c r="D116" s="22" t="s">
        <v>287</v>
      </c>
      <c r="E116" s="13">
        <v>42728.723009259258</v>
      </c>
      <c r="F116" s="13">
        <v>42728.726898148147</v>
      </c>
      <c r="G116" s="7">
        <v>1</v>
      </c>
      <c r="H116" s="22" t="s">
        <v>260</v>
      </c>
      <c r="I116" s="13">
        <v>42728.755972222221</v>
      </c>
      <c r="J116" s="7">
        <v>1</v>
      </c>
      <c r="K116" s="109" t="str">
        <f t="shared" si="80"/>
        <v>4007/4008</v>
      </c>
      <c r="L116" s="22" t="str">
        <f>VLOOKUP(A116,'Trips&amp;Operators'!$C$1:$G$99999,5,FALSE)</f>
        <v>DAVIS MICHAEL</v>
      </c>
      <c r="M116" s="6">
        <f t="shared" si="81"/>
        <v>2.9074074074742384E-2</v>
      </c>
      <c r="N116" s="7">
        <f t="shared" si="82"/>
        <v>41.866666667629033</v>
      </c>
      <c r="O116" s="7"/>
      <c r="P116" s="7"/>
      <c r="Q116" s="23"/>
      <c r="R116" s="23"/>
      <c r="S116" s="35">
        <f t="shared" si="83"/>
        <v>1</v>
      </c>
      <c r="T116" s="50" t="str">
        <f t="shared" si="84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16:21:08-700',mode:absolute,to:'2016-12-24 19:08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6" s="52" t="str">
        <f t="shared" si="86"/>
        <v>N</v>
      </c>
      <c r="X116" s="177">
        <f t="shared" si="87"/>
        <v>1</v>
      </c>
      <c r="Y116" s="67">
        <f t="shared" si="88"/>
        <v>23.297799999999999</v>
      </c>
      <c r="Z116" s="67">
        <f t="shared" si="89"/>
        <v>1.3899999999999999E-2</v>
      </c>
      <c r="AA116" s="67">
        <f t="shared" si="90"/>
        <v>23.283899999999999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91"/>
        <v>0204-24</v>
      </c>
      <c r="AE116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16" s="88" t="str">
        <f t="shared" si="93"/>
        <v>"C:\Program Files (x86)\AstroGrep\AstroGrep.exe" /spath="%USERPROFILE%\AppData\Local\Temp\OnboardLogs" /stypes="app*4008*20161225*" /stext=" 01:.+((SYSTEM_STATE.+slice.+state.+changed )|(ment ac)|(multiple cpu faults)|(system.+state.+changed )|(\[timeout)|(PRM\|1\|D)|(kpr)|(kdp)|(\|lc)|(penalty))" /e /r /s</v>
      </c>
      <c r="AG116" s="1" t="str">
        <f t="shared" si="94"/>
        <v>EC</v>
      </c>
      <c r="AH116" s="92" t="str">
        <f t="shared" si="78"/>
        <v>"%USERPROFILE%\Documents\GitHub\eaglep3\Utilities\RefineRTDCRunTimes.py" --tripid 204-24 --locoid 4008 --swversion DE.1.0.8.0 --startMP 204:232978 --initTime 2016-12-24T17:21:08 --startdatetime 2016-12-24T17:26:44 --delay 1 --endMP 204:139 --enddatetime 2016-12-24T18:08:36 --enforcementcount 1 &gt;&gt;C:\Users\stu\Documents\GitHub\eaglep3-reporting\EC\2016-12-24-refined-times.txt</v>
      </c>
      <c r="AI11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ID","value":"204-24"},{"id":16,"name":"Locomotive ID","value":"4008"},{"id":130,"name":"Impact","value":""},{"id":150,"name":"Time of Event (Mountain Time)","value":"18:08:36"},{"id":151,"name":"Denver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580</v>
      </c>
      <c r="B117" s="7">
        <v>4011</v>
      </c>
      <c r="C117" s="22" t="s">
        <v>205</v>
      </c>
      <c r="D117" s="22" t="s">
        <v>255</v>
      </c>
      <c r="E117" s="13">
        <v>42728.69258101852</v>
      </c>
      <c r="F117" s="13">
        <v>42728.698136574072</v>
      </c>
      <c r="G117" s="7">
        <v>1</v>
      </c>
      <c r="H117" s="22" t="s">
        <v>345</v>
      </c>
      <c r="I117" s="13">
        <v>42728.722534722219</v>
      </c>
      <c r="J117" s="7">
        <v>1</v>
      </c>
      <c r="K117" s="109" t="str">
        <f t="shared" si="80"/>
        <v>4011/4012</v>
      </c>
      <c r="L117" s="22" t="str">
        <f>VLOOKUP(A117,'Trips&amp;Operators'!$C$1:$G$99999,5,FALSE)</f>
        <v>BRUDER RICHARD</v>
      </c>
      <c r="M117" s="6">
        <f t="shared" si="81"/>
        <v>2.4398148147156462E-2</v>
      </c>
      <c r="N117" s="7">
        <f t="shared" si="82"/>
        <v>35.133333331905305</v>
      </c>
      <c r="O117" s="7"/>
      <c r="P117" s="7"/>
      <c r="Q117" s="23"/>
      <c r="R117" s="23"/>
      <c r="S117" s="35">
        <f t="shared" si="83"/>
        <v>1</v>
      </c>
      <c r="T117" s="50" t="str">
        <f t="shared" si="84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15:37:19-700',mode:absolute,to:'2016-12-24 18:20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7" s="52" t="str">
        <f t="shared" si="86"/>
        <v>N</v>
      </c>
      <c r="X117" s="177">
        <f t="shared" si="87"/>
        <v>1</v>
      </c>
      <c r="Y117" s="67">
        <f t="shared" si="88"/>
        <v>4.6399999999999997E-2</v>
      </c>
      <c r="Z117" s="67">
        <f t="shared" si="89"/>
        <v>23.331900000000001</v>
      </c>
      <c r="AA117" s="67">
        <f t="shared" si="90"/>
        <v>23.285500000000003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91"/>
        <v>0205-24</v>
      </c>
      <c r="AE117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17" s="88" t="str">
        <f t="shared" si="93"/>
        <v>"C:\Program Files (x86)\AstroGrep\AstroGrep.exe" /spath="%USERPROFILE%\AppData\Local\Temp\OnboardLogs" /stypes="app*4011*20161225*" /stext=" 00:.+((SYSTEM_STATE.+slice.+state.+changed )|(ment ac)|(multiple cpu faults)|(system.+state.+changed )|(\[timeout)|(PRM\|1\|D)|(kpr)|(kdp)|(\|lc)|(penalty))" /e /r /s</v>
      </c>
      <c r="AG117" s="1" t="str">
        <f t="shared" si="94"/>
        <v>EC</v>
      </c>
      <c r="AH117" s="92" t="str">
        <f t="shared" si="78"/>
        <v>"%USERPROFILE%\Documents\GitHub\eaglep3\Utilities\RefineRTDCRunTimes.py" --tripid 205-24 --locoid 4011 --swversion DE.1.0.8.0 --startMP 204:464 --initTime 2016-12-24T16:37:19 --startdatetime 2016-12-24T16:45:19 --delay 1 --endMP 204:233319 --enddatetime 2016-12-24T17:20:27 --enforcementcount 1 &gt;&gt;C:\Users\stu\Documents\GitHub\eaglep3-reporting\EC\2016-12-24-refined-times.txt</v>
      </c>
      <c r="AI11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{"issue":{"subject":"","project_id":79,"tracker_id":40,"status_id":1,"priority_id":2,"assigned_to_id":23,"start_date":"2016-12-24","description":"","custom_fields":[{"id":1,"name":"Subdivision","value":"EC"},{"id":4,"name":"Milepost","value":"23.3319"},{"id":17,"name":"Train ID","value":"205-24"},{"id":16,"name":"Locomotive ID","value":"4011"},{"id":130,"name":"Impact","value":""},{"id":150,"name":"Time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590</v>
      </c>
      <c r="B118" s="7">
        <v>4012</v>
      </c>
      <c r="C118" s="22" t="s">
        <v>205</v>
      </c>
      <c r="D118" s="22" t="s">
        <v>321</v>
      </c>
      <c r="E118" s="13">
        <v>42728.730555555558</v>
      </c>
      <c r="F118" s="13">
        <v>42728.73704861111</v>
      </c>
      <c r="G118" s="7">
        <v>1</v>
      </c>
      <c r="H118" s="22" t="s">
        <v>211</v>
      </c>
      <c r="I118" s="13">
        <v>42728.763668981483</v>
      </c>
      <c r="J118" s="7">
        <v>1</v>
      </c>
      <c r="K118" s="109" t="str">
        <f t="shared" si="80"/>
        <v>4011/4012</v>
      </c>
      <c r="L118" s="22" t="str">
        <f>VLOOKUP(A118,'Trips&amp;Operators'!$C$1:$G$99999,5,FALSE)</f>
        <v>BRUDER RICHARD</v>
      </c>
      <c r="M118" s="6">
        <f t="shared" si="81"/>
        <v>2.662037037225673E-2</v>
      </c>
      <c r="N118" s="7">
        <f t="shared" si="82"/>
        <v>38.333333336049691</v>
      </c>
      <c r="O118" s="7"/>
      <c r="P118" s="7"/>
      <c r="Q118" s="23"/>
      <c r="R118" s="23"/>
      <c r="S118" s="35">
        <f t="shared" si="83"/>
        <v>1</v>
      </c>
      <c r="T118" s="50" t="str">
        <f t="shared" si="84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16:32:00-700',mode:absolute,to:'2016-12-24 19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8" s="52" t="str">
        <f t="shared" si="86"/>
        <v>N</v>
      </c>
      <c r="X118" s="177">
        <f t="shared" si="87"/>
        <v>1</v>
      </c>
      <c r="Y118" s="67">
        <f t="shared" si="88"/>
        <v>23.299099999999999</v>
      </c>
      <c r="Z118" s="67">
        <f t="shared" si="89"/>
        <v>1.4999999999999999E-2</v>
      </c>
      <c r="AA118" s="67">
        <f t="shared" si="90"/>
        <v>23.284099999999999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91"/>
        <v>0206-24</v>
      </c>
      <c r="AE118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18" s="88" t="str">
        <f t="shared" si="93"/>
        <v>"C:\Program Files (x86)\AstroGrep\AstroGrep.exe" /spath="%USERPROFILE%\AppData\Local\Temp\OnboardLogs" /stypes="app*4012*20161225*" /stext=" 01:.+((SYSTEM_STATE.+slice.+state.+changed )|(ment ac)|(multiple cpu faults)|(system.+state.+changed )|(\[timeout)|(PRM\|1\|D)|(kpr)|(kdp)|(\|lc)|(penalty))" /e /r /s</v>
      </c>
      <c r="AG118" s="1" t="str">
        <f t="shared" si="94"/>
        <v>EC</v>
      </c>
      <c r="AH118" s="92" t="str">
        <f t="shared" si="78"/>
        <v>"%USERPROFILE%\Documents\GitHub\eaglep3\Utilities\RefineRTDCRunTimes.py" --tripid 206-24 --locoid 4012 --swversion DE.1.0.8.0 --startMP 204:232991 --initTime 2016-12-24T17:32:00 --startdatetime 2016-12-24T17:41:21 --delay 1 --endMP 204:150 --enddatetime 2016-12-24T18:19:41 --enforcementcount 1 &gt;&gt;C:\Users\stu\Documents\GitHub\eaglep3-reporting\EC\2016-12-24-refined-times.txt</v>
      </c>
      <c r="AI11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ID","value":"206-24"},{"id":16,"name":"Locomotive ID","value":"4012"},{"id":130,"name":"Impact","value":""},{"id":150,"name":"Time of Event (Mountain Time)","value":"18:19:41"},{"id":151,"name":"Denver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583</v>
      </c>
      <c r="B119" s="7">
        <v>4031</v>
      </c>
      <c r="C119" s="22" t="s">
        <v>205</v>
      </c>
      <c r="D119" s="22" t="s">
        <v>347</v>
      </c>
      <c r="E119" s="13">
        <v>42728.703425925924</v>
      </c>
      <c r="F119" s="13">
        <v>42728.708680555559</v>
      </c>
      <c r="G119" s="7">
        <v>1</v>
      </c>
      <c r="H119" s="22" t="s">
        <v>398</v>
      </c>
      <c r="I119" s="13">
        <v>42728.733518518522</v>
      </c>
      <c r="J119" s="7">
        <v>1</v>
      </c>
      <c r="K119" s="109" t="str">
        <f t="shared" si="80"/>
        <v>4031/4032</v>
      </c>
      <c r="L119" s="22" t="str">
        <f>VLOOKUP(A119,'Trips&amp;Operators'!$C$1:$G$99999,5,FALSE)</f>
        <v>KILLION DAVID</v>
      </c>
      <c r="M119" s="6">
        <f t="shared" si="81"/>
        <v>2.4837962962919846E-2</v>
      </c>
      <c r="N119" s="7">
        <f t="shared" si="82"/>
        <v>35.766666666604578</v>
      </c>
      <c r="O119" s="7"/>
      <c r="P119" s="7"/>
      <c r="Q119" s="23"/>
      <c r="R119" s="23"/>
      <c r="S119" s="35">
        <f t="shared" si="83"/>
        <v>1</v>
      </c>
      <c r="T119" s="50" t="str">
        <f t="shared" si="84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15:52:56-700',mode:absolute,to:'2016-12-24 18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9" s="52" t="str">
        <f t="shared" si="86"/>
        <v>N</v>
      </c>
      <c r="X119" s="177">
        <f t="shared" si="87"/>
        <v>1</v>
      </c>
      <c r="Y119" s="67">
        <f t="shared" si="88"/>
        <v>4.7500000000000001E-2</v>
      </c>
      <c r="Z119" s="67">
        <f t="shared" si="89"/>
        <v>23.3291</v>
      </c>
      <c r="AA119" s="67">
        <f t="shared" si="90"/>
        <v>23.281600000000001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91"/>
        <v>0207-24</v>
      </c>
      <c r="AE119" s="91" t="str">
        <f t="shared" si="92"/>
        <v>aws s3 cp s3://rtdc.mdm.uploadarchive.raw/RTDC4031/ "%USERPROFILE%\AppData\Local\Temp\OnboardLogs"\RTDC4031\2016-12-24 --exclude "*" --recursive --include "*20161224*" &amp; "%USERPROFILE%\Documents\GitHub\mrs-test-scripts\Headless Mode &amp; Sideloading\WalkAndUnGZ.bat" "%USERPROFILE%\AppData\Local\Temp\OnboardLogs"\RTDC4031\2016-12-24 &amp; 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</v>
      </c>
      <c r="AF119" s="88" t="str">
        <f t="shared" si="93"/>
        <v>"C:\Program Files (x86)\AstroGrep\AstroGrep.exe" /spath="%USERPROFILE%\AppData\Local\Temp\OnboardLogs" /stypes="app*4031*20161225*" /stext=" 00:.+((SYSTEM_STATE.+slice.+state.+changed )|(ment ac)|(multiple cpu faults)|(system.+state.+changed )|(\[timeout)|(PRM\|1\|D)|(kpr)|(kdp)|(\|lc)|(penalty))" /e /r /s</v>
      </c>
      <c r="AG119" s="1" t="str">
        <f t="shared" si="94"/>
        <v>EC</v>
      </c>
      <c r="AH119" s="92" t="str">
        <f t="shared" si="78"/>
        <v>"%USERPROFILE%\Documents\GitHub\eaglep3\Utilities\RefineRTDCRunTimes.py" --tripid 207-24 --locoid 4031 --swversion DE.1.0.8.0 --startMP 204:475 --initTime 2016-12-24T16:52:56 --startdatetime 2016-12-24T17:00:30 --delay 1 --endMP 204:233291 --enddatetime 2016-12-24T17:36:16 --enforcementcount 1 &gt;&gt;C:\Users\stu\Documents\GitHub\eaglep3-reporting\EC\2016-12-24-refined-times.txt</v>
      </c>
      <c r="AI11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ID","value":"207-24"},{"id":16,"name":"Locomotive ID","value":"4031"},{"id":130,"name":"Impact","value":""},{"id":150,"name":"Time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594</v>
      </c>
      <c r="B120" s="7">
        <v>4032</v>
      </c>
      <c r="C120" s="22" t="s">
        <v>205</v>
      </c>
      <c r="D120" s="22" t="s">
        <v>323</v>
      </c>
      <c r="E120" s="13">
        <v>42728.740636574075</v>
      </c>
      <c r="F120" s="13">
        <v>42728.747465277775</v>
      </c>
      <c r="G120" s="7">
        <v>1</v>
      </c>
      <c r="H120" s="22" t="s">
        <v>351</v>
      </c>
      <c r="I120" s="13">
        <v>42728.775324074071</v>
      </c>
      <c r="J120" s="7">
        <v>1</v>
      </c>
      <c r="K120" s="109" t="str">
        <f t="shared" si="80"/>
        <v>4031/4032</v>
      </c>
      <c r="L120" s="22" t="str">
        <f>VLOOKUP(A120,'Trips&amp;Operators'!$C$1:$G$99999,5,FALSE)</f>
        <v>KILLION DAVID</v>
      </c>
      <c r="M120" s="6">
        <f t="shared" si="81"/>
        <v>2.7858796296641231E-2</v>
      </c>
      <c r="N120" s="7">
        <f t="shared" si="82"/>
        <v>40.116666667163372</v>
      </c>
      <c r="O120" s="7"/>
      <c r="P120" s="7"/>
      <c r="Q120" s="23"/>
      <c r="R120" s="23"/>
      <c r="S120" s="35">
        <f t="shared" si="83"/>
        <v>1</v>
      </c>
      <c r="T120" s="50" t="str">
        <f t="shared" si="84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16:46:31-700',mode:absolute,to:'2016-12-24 19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0" s="52" t="str">
        <f t="shared" si="86"/>
        <v>N</v>
      </c>
      <c r="X120" s="177">
        <f t="shared" si="87"/>
        <v>1</v>
      </c>
      <c r="Y120" s="67">
        <f t="shared" si="88"/>
        <v>23.297499999999999</v>
      </c>
      <c r="Z120" s="67">
        <f t="shared" si="89"/>
        <v>1.41E-2</v>
      </c>
      <c r="AA120" s="67">
        <f t="shared" si="90"/>
        <v>23.2834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91"/>
        <v>0208-24</v>
      </c>
      <c r="AE120" s="91" t="str">
        <f t="shared" si="92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120" s="88" t="str">
        <f t="shared" si="93"/>
        <v>"C:\Program Files (x86)\AstroGrep\AstroGrep.exe" /spath="%USERPROFILE%\AppData\Local\Temp\OnboardLogs" /stypes="app*4032*20161225*" /stext=" 01:.+((SYSTEM_STATE.+slice.+state.+changed )|(ment ac)|(multiple cpu faults)|(system.+state.+changed )|(\[timeout)|(PRM\|1\|D)|(kpr)|(kdp)|(\|lc)|(penalty))" /e /r /s</v>
      </c>
      <c r="AG120" s="1" t="str">
        <f t="shared" si="94"/>
        <v>EC</v>
      </c>
      <c r="AH120" s="92" t="str">
        <f t="shared" si="78"/>
        <v>"%USERPROFILE%\Documents\GitHub\eaglep3\Utilities\RefineRTDCRunTimes.py" --tripid 208-24 --locoid 4032 --swversion DE.1.0.8.0 --startMP 204:232975 --initTime 2016-12-24T17:46:31 --startdatetime 2016-12-24T17:56:21 --delay 1 --endMP 204:141 --enddatetime 2016-12-24T18:36:28 --enforcementcount 1 &gt;&gt;C:\Users\stu\Documents\GitHub\eaglep3-reporting\EC\2016-12-24-refined-times.txt</v>
      </c>
      <c r="AI12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{"issue":{"subject":"","project_id":79,"tracker_id":40,"status_id":1,"priority_id":2,"assigned_to_id":23,"start_date":"2016-12-24","description":"","custom_fields":[{"id":1,"name":"Subdivision","value":"EC"},{"id":4,"name":"Milepost","value":"0.0141"},{"id":17,"name":"Train ID","value":"208-24"},{"id":16,"name":"Locomotive ID","value":"4032"},{"id":130,"name":"Impact","value":""},{"id":150,"name":"Time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586</v>
      </c>
      <c r="B121" s="7">
        <v>4044</v>
      </c>
      <c r="C121" s="22" t="s">
        <v>205</v>
      </c>
      <c r="D121" s="22" t="s">
        <v>722</v>
      </c>
      <c r="E121" s="13">
        <v>42728.715879629628</v>
      </c>
      <c r="F121" s="13">
        <v>42728.718912037039</v>
      </c>
      <c r="G121" s="7">
        <v>1</v>
      </c>
      <c r="H121" s="22" t="s">
        <v>653</v>
      </c>
      <c r="I121" s="13">
        <v>42728.743530092594</v>
      </c>
      <c r="J121" s="7">
        <v>1</v>
      </c>
      <c r="K121" s="109" t="str">
        <f t="shared" si="80"/>
        <v>4043/4044</v>
      </c>
      <c r="L121" s="22" t="str">
        <f>VLOOKUP(A121,'Trips&amp;Operators'!$C$1:$G$99999,5,FALSE)</f>
        <v>LEVIN SCOTT</v>
      </c>
      <c r="M121" s="6">
        <f t="shared" si="81"/>
        <v>2.4618055555038154E-2</v>
      </c>
      <c r="N121" s="7">
        <f t="shared" si="82"/>
        <v>35.449999999254942</v>
      </c>
      <c r="O121" s="7"/>
      <c r="P121" s="7"/>
      <c r="Q121" s="23"/>
      <c r="R121" s="23"/>
      <c r="S121" s="35">
        <f t="shared" si="83"/>
        <v>1</v>
      </c>
      <c r="T121" s="50" t="str">
        <f t="shared" si="84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16:10:52-700',mode:absolute,to:'2016-12-24 18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1" s="52" t="str">
        <f t="shared" si="86"/>
        <v>N</v>
      </c>
      <c r="X121" s="177">
        <f t="shared" si="87"/>
        <v>1</v>
      </c>
      <c r="Y121" s="67">
        <f t="shared" si="88"/>
        <v>4.2200000000000001E-2</v>
      </c>
      <c r="Z121" s="67">
        <f t="shared" si="89"/>
        <v>23.333200000000001</v>
      </c>
      <c r="AA121" s="67">
        <f t="shared" si="90"/>
        <v>23.291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91"/>
        <v>0209-24</v>
      </c>
      <c r="AE121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21" s="88" t="str">
        <f t="shared" si="93"/>
        <v>"C:\Program Files (x86)\AstroGrep\AstroGrep.exe" /spath="%USERPROFILE%\AppData\Local\Temp\OnboardLogs" /stypes="app*4044*20161225*" /stext=" 00:.+((SYSTEM_STATE.+slice.+state.+changed )|(ment ac)|(multiple cpu faults)|(system.+state.+changed )|(\[timeout)|(PRM\|1\|D)|(kpr)|(kdp)|(\|lc)|(penalty))" /e /r /s</v>
      </c>
      <c r="AG121" s="1" t="str">
        <f t="shared" si="94"/>
        <v>EC</v>
      </c>
      <c r="AH121" s="92" t="str">
        <f t="shared" si="78"/>
        <v>"%USERPROFILE%\Documents\GitHub\eaglep3\Utilities\RefineRTDCRunTimes.py" --tripid 209-24 --locoid 4044 --swversion DE.1.0.8.0 --startMP 204:422 --initTime 2016-12-24T17:10:52 --startdatetime 2016-12-24T17:15:14 --delay 1 --endMP 204:233332 --enddatetime 2016-12-24T17:50:41 --enforcementcount 1 &gt;&gt;C:\Users\stu\Documents\GitHub\eaglep3-reporting\EC\2016-12-24-refined-times.txt</v>
      </c>
      <c r="AI12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{"issue":{"subject":"","project_id":79,"tracker_id":40,"status_id":1,"priority_id":2,"assigned_to_id":23,"start_date":"2016-12-24","description":"","custom_fields":[{"id":1,"name":"Subdivision","value":"EC"},{"id":4,"name":"Milepost","value":"23.3332"},{"id":17,"name":"Train ID","value":"209-24"},{"id":16,"name":"Locomotive ID","value":"4044"},{"id":130,"name":"Impact","value":""},{"id":150,"name":"Time of Event (Mountain Time)","value":"17:50:41"},{"id":151,"name":"Denver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597</v>
      </c>
      <c r="B122" s="7">
        <v>4043</v>
      </c>
      <c r="C122" s="22" t="s">
        <v>205</v>
      </c>
      <c r="D122" s="22" t="s">
        <v>393</v>
      </c>
      <c r="E122" s="13">
        <v>42728.754513888889</v>
      </c>
      <c r="F122" s="13">
        <v>42728.757905092592</v>
      </c>
      <c r="G122" s="7">
        <v>1</v>
      </c>
      <c r="H122" s="22" t="s">
        <v>723</v>
      </c>
      <c r="I122" s="13">
        <v>42728.783958333333</v>
      </c>
      <c r="J122" s="7">
        <v>1</v>
      </c>
      <c r="K122" s="109" t="str">
        <f t="shared" si="80"/>
        <v>4043/4044</v>
      </c>
      <c r="L122" s="22" t="str">
        <f>VLOOKUP(A122,'Trips&amp;Operators'!$C$1:$G$99999,5,FALSE)</f>
        <v>LEVIN SCOTT</v>
      </c>
      <c r="M122" s="6">
        <f t="shared" si="81"/>
        <v>2.6053240741021E-2</v>
      </c>
      <c r="N122" s="7">
        <f t="shared" si="82"/>
        <v>37.51666666707024</v>
      </c>
      <c r="O122" s="7"/>
      <c r="P122" s="7"/>
      <c r="Q122" s="23"/>
      <c r="R122" s="23"/>
      <c r="S122" s="35">
        <f t="shared" si="83"/>
        <v>1</v>
      </c>
      <c r="T122" s="50" t="str">
        <f t="shared" si="84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17:06:30-700',mode:absolute,to:'2016-12-24 19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2" s="52" t="str">
        <f t="shared" si="86"/>
        <v>N</v>
      </c>
      <c r="X122" s="177">
        <f t="shared" si="87"/>
        <v>1</v>
      </c>
      <c r="Y122" s="67">
        <f t="shared" si="88"/>
        <v>23.300799999999999</v>
      </c>
      <c r="Z122" s="67">
        <f t="shared" si="89"/>
        <v>1.29E-2</v>
      </c>
      <c r="AA122" s="67">
        <f t="shared" si="90"/>
        <v>23.2879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91"/>
        <v>0210-24</v>
      </c>
      <c r="AE122" s="91" t="str">
        <f t="shared" si="9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22" s="88" t="str">
        <f t="shared" si="93"/>
        <v>"C:\Program Files (x86)\AstroGrep\AstroGrep.exe" /spath="%USERPROFILE%\AppData\Local\Temp\OnboardLogs" /stypes="app*4043*20161225*" /stext=" 01:.+((SYSTEM_STATE.+slice.+state.+changed )|(ment ac)|(multiple cpu faults)|(system.+state.+changed )|(\[timeout)|(PRM\|1\|D)|(kpr)|(kdp)|(\|lc)|(penalty))" /e /r /s</v>
      </c>
      <c r="AG122" s="1" t="str">
        <f t="shared" si="94"/>
        <v>EC</v>
      </c>
      <c r="AH122" s="92" t="str">
        <f t="shared" si="78"/>
        <v>"%USERPROFILE%\Documents\GitHub\eaglep3\Utilities\RefineRTDCRunTimes.py" --tripid 210-24 --locoid 4043 --swversion DE.1.0.8.0 --startMP 204:233008 --initTime 2016-12-24T18:06:30 --startdatetime 2016-12-24T18:11:23 --delay 1 --endMP 204:129 --enddatetime 2016-12-24T18:48:54 --enforcementcount 1 &gt;&gt;C:\Users\stu\Documents\GitHub\eaglep3-reporting\EC\2016-12-24-refined-times.txt</v>
      </c>
      <c r="AI12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{"issue":{"subject":"","project_id":79,"tracker_id":40,"status_id":1,"priority_id":2,"assigned_to_id":23,"start_date":"2016-12-24","description":"","custom_fields":[{"id":1,"name":"Subdivision","value":"EC"},{"id":4,"name":"Milepost","value":"0.0129"},{"id":17,"name":"Train ID","value":"210-24"},{"id":16,"name":"Locomotive ID","value":"4043"},{"id":130,"name":"Impact","value":""},{"id":150,"name":"Time of Event (Mountain Time)","value":"18:48:54"},{"id":151,"name":"Denver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589</v>
      </c>
      <c r="B123" s="7">
        <v>4042</v>
      </c>
      <c r="C123" s="22" t="s">
        <v>205</v>
      </c>
      <c r="D123" s="22" t="s">
        <v>397</v>
      </c>
      <c r="E123" s="13">
        <v>42728.724965277775</v>
      </c>
      <c r="F123" s="13">
        <v>42728.729502314818</v>
      </c>
      <c r="G123" s="7">
        <v>1</v>
      </c>
      <c r="H123" s="22" t="s">
        <v>669</v>
      </c>
      <c r="I123" s="13">
        <v>42728.754814814813</v>
      </c>
      <c r="J123" s="7">
        <v>1</v>
      </c>
      <c r="K123" s="109" t="str">
        <f t="shared" si="80"/>
        <v>4041/4042</v>
      </c>
      <c r="L123" s="22" t="str">
        <f>VLOOKUP(A123,'Trips&amp;Operators'!$C$1:$G$99999,5,FALSE)</f>
        <v>ADANE ELSHADAY</v>
      </c>
      <c r="M123" s="6">
        <f t="shared" si="81"/>
        <v>2.5312499994470272E-2</v>
      </c>
      <c r="N123" s="7">
        <f t="shared" si="82"/>
        <v>36.449999992037192</v>
      </c>
      <c r="O123" s="7"/>
      <c r="P123" s="7"/>
      <c r="Q123" s="23"/>
      <c r="R123" s="23"/>
      <c r="S123" s="35">
        <f t="shared" si="83"/>
        <v>1</v>
      </c>
      <c r="T123" s="50" t="str">
        <f t="shared" si="84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16:23:57-700',mode:absolute,to:'2016-12-24 19:06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3" s="52" t="str">
        <f t="shared" si="86"/>
        <v>N</v>
      </c>
      <c r="X123" s="177">
        <f t="shared" si="87"/>
        <v>1</v>
      </c>
      <c r="Y123" s="67">
        <f t="shared" si="88"/>
        <v>4.5699999999999998E-2</v>
      </c>
      <c r="Z123" s="67">
        <f t="shared" si="89"/>
        <v>23.3309</v>
      </c>
      <c r="AA123" s="67">
        <f t="shared" si="90"/>
        <v>23.2852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91"/>
        <v>0211-24</v>
      </c>
      <c r="AE123" s="91" t="str">
        <f t="shared" si="92"/>
        <v>aws s3 cp s3://rtdc.mdm.uploadarchive.raw/RTDC4042/ "%USERPROFILE%\AppData\Local\Temp\OnboardLogs"\RTDC4042\2016-12-24 --exclude "*" --recursive --include "*20161224*" &amp; "%USERPROFILE%\Documents\GitHub\mrs-test-scripts\Headless Mode &amp; Sideloading\WalkAndUnGZ.bat" "%USERPROFILE%\AppData\Local\Temp\OnboardLogs"\RTDC4042\2016-12-24 &amp; 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</v>
      </c>
      <c r="AF123" s="88" t="str">
        <f t="shared" si="93"/>
        <v>"C:\Program Files (x86)\AstroGrep\AstroGrep.exe" /spath="%USERPROFILE%\AppData\Local\Temp\OnboardLogs" /stypes="app*4042*20161225*" /stext=" 01:.+((SYSTEM_STATE.+slice.+state.+changed )|(ment ac)|(multiple cpu faults)|(system.+state.+changed )|(\[timeout)|(PRM\|1\|D)|(kpr)|(kdp)|(\|lc)|(penalty))" /e /r /s</v>
      </c>
      <c r="AG123" s="1" t="str">
        <f t="shared" si="94"/>
        <v>EC</v>
      </c>
      <c r="AH123" s="92" t="str">
        <f t="shared" si="78"/>
        <v>"%USERPROFILE%\Documents\GitHub\eaglep3\Utilities\RefineRTDCRunTimes.py" --tripid 211-24 --locoid 4042 --swversion DE.1.0.8.0 --startMP 204:457 --initTime 2016-12-24T17:23:57 --startdatetime 2016-12-24T17:30:29 --delay 1 --endMP 204:233309 --enddatetime 2016-12-24T18:06:56 --enforcementcount 1 &gt;&gt;C:\Users\stu\Documents\GitHub\eaglep3-reporting\EC\2016-12-24-refined-times.txt</v>
      </c>
      <c r="AI12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{"issue":{"subject":"","project_id":79,"tracker_id":40,"status_id":1,"priority_id":2,"assigned_to_id":23,"start_date":"2016-12-24","description":"","custom_fields":[{"id":1,"name":"Subdivision","value":"EC"},{"id":4,"name":"Milepost","value":"23.3309"},{"id":17,"name":"Train ID","value":"211-24"},{"id":16,"name":"Locomotive ID","value":"4042"},{"id":130,"name":"Impact","value":""},{"id":150,"name":"Time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598</v>
      </c>
      <c r="B124" s="7">
        <v>4041</v>
      </c>
      <c r="C124" s="22" t="s">
        <v>205</v>
      </c>
      <c r="D124" s="22" t="s">
        <v>256</v>
      </c>
      <c r="E124" s="13">
        <v>42728.756284722222</v>
      </c>
      <c r="F124" s="13">
        <v>42728.768414351849</v>
      </c>
      <c r="G124" s="7">
        <v>1</v>
      </c>
      <c r="H124" s="22" t="s">
        <v>233</v>
      </c>
      <c r="I124" s="13">
        <v>42728.794953703706</v>
      </c>
      <c r="J124" s="7">
        <v>1</v>
      </c>
      <c r="K124" s="109" t="str">
        <f t="shared" si="80"/>
        <v>4041/4042</v>
      </c>
      <c r="L124" s="22" t="str">
        <f>VLOOKUP(A124,'Trips&amp;Operators'!$C$1:$G$99999,5,FALSE)</f>
        <v>ADANE ELSHADAY</v>
      </c>
      <c r="M124" s="6">
        <f t="shared" si="81"/>
        <v>2.6539351856627036E-2</v>
      </c>
      <c r="N124" s="7">
        <f t="shared" si="82"/>
        <v>38.216666673542932</v>
      </c>
      <c r="O124" s="7"/>
      <c r="P124" s="7"/>
      <c r="Q124" s="23"/>
      <c r="R124" s="23"/>
      <c r="S124" s="35">
        <f t="shared" si="83"/>
        <v>1</v>
      </c>
      <c r="T124" s="50" t="str">
        <f t="shared" si="84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17:09:03-700',mode:absolute,to:'2016-12-24 20:04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4" s="52" t="str">
        <f t="shared" si="86"/>
        <v>N</v>
      </c>
      <c r="X124" s="177">
        <f t="shared" si="87"/>
        <v>1</v>
      </c>
      <c r="Y124" s="67">
        <f t="shared" si="88"/>
        <v>23.299399999999999</v>
      </c>
      <c r="Z124" s="67">
        <f t="shared" si="89"/>
        <v>1.4500000000000001E-2</v>
      </c>
      <c r="AA124" s="67">
        <f t="shared" si="90"/>
        <v>23.284899999999997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91"/>
        <v>0212-24</v>
      </c>
      <c r="AE124" s="91" t="str">
        <f t="shared" si="92"/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AF124" s="88" t="str">
        <f t="shared" si="93"/>
        <v>"C:\Program Files (x86)\AstroGrep\AstroGrep.exe" /spath="%USERPROFILE%\AppData\Local\Temp\OnboardLogs" /stypes="app*4041*20161225*" /stext=" 02:.+((SYSTEM_STATE.+slice.+state.+changed )|(ment ac)|(multiple cpu faults)|(system.+state.+changed )|(\[timeout)|(PRM\|1\|D)|(kpr)|(kdp)|(\|lc)|(penalty))" /e /r /s</v>
      </c>
      <c r="AG124" s="1" t="str">
        <f t="shared" si="94"/>
        <v>EC</v>
      </c>
      <c r="AH124" s="92" t="str">
        <f t="shared" si="78"/>
        <v>"%USERPROFILE%\Documents\GitHub\eaglep3\Utilities\RefineRTDCRunTimes.py" --tripid 212-24 --locoid 4041 --swversion DE.1.0.8.0 --startMP 204:232994 --initTime 2016-12-24T18:09:03 --startdatetime 2016-12-24T18:26:31 --delay 1 --endMP 204:145 --enddatetime 2016-12-24T19:04:44 --enforcementcount 1 &gt;&gt;C:\Users\stu\Documents\GitHub\eaglep3-reporting\EC\2016-12-24-refined-times.txt</v>
      </c>
      <c r="AI12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ID","value":"212-24"},{"id":16,"name":"Locomotive ID","value":"4041"},{"id":130,"name":"Impact","value":""},{"id":150,"name":"Time of Event (Mountain Time)","value":"19:04:44"},{"id":151,"name":"Denver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592</v>
      </c>
      <c r="B125" s="7">
        <v>4003</v>
      </c>
      <c r="C125" s="22" t="s">
        <v>205</v>
      </c>
      <c r="D125" s="22" t="s">
        <v>724</v>
      </c>
      <c r="E125" s="13">
        <v>42728.73741898148</v>
      </c>
      <c r="F125" s="13">
        <v>42728.739861111113</v>
      </c>
      <c r="G125" s="7">
        <v>1</v>
      </c>
      <c r="H125" s="22" t="s">
        <v>320</v>
      </c>
      <c r="I125" s="13">
        <v>42728.765138888892</v>
      </c>
      <c r="J125" s="7">
        <v>1</v>
      </c>
      <c r="K125" s="109" t="str">
        <f t="shared" si="80"/>
        <v>4003/4004</v>
      </c>
      <c r="L125" s="22" t="str">
        <f>VLOOKUP(A125,'Trips&amp;Operators'!$C$1:$G$99999,5,FALSE)</f>
        <v>SMITH MICHAEL</v>
      </c>
      <c r="M125" s="6">
        <f t="shared" si="81"/>
        <v>2.527777777868323E-2</v>
      </c>
      <c r="N125" s="7">
        <f t="shared" si="82"/>
        <v>36.400000001303852</v>
      </c>
      <c r="O125" s="7"/>
      <c r="P125" s="7"/>
      <c r="Q125" s="23"/>
      <c r="R125" s="23"/>
      <c r="S125" s="35">
        <f t="shared" si="83"/>
        <v>1</v>
      </c>
      <c r="T125" s="50" t="str">
        <f t="shared" si="84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16:41:53-700',mode:absolute,to:'2016-12-24 19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5" s="52" t="str">
        <f t="shared" si="86"/>
        <v>N</v>
      </c>
      <c r="X125" s="177">
        <f t="shared" si="87"/>
        <v>1</v>
      </c>
      <c r="Y125" s="67">
        <f t="shared" si="88"/>
        <v>4.7100000000000003E-2</v>
      </c>
      <c r="Z125" s="67">
        <f t="shared" si="89"/>
        <v>23.3293</v>
      </c>
      <c r="AA125" s="67">
        <f t="shared" si="90"/>
        <v>23.2822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91"/>
        <v>0213-24</v>
      </c>
      <c r="AE125" s="91" t="str">
        <f t="shared" si="9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25" s="88" t="str">
        <f t="shared" si="93"/>
        <v>"C:\Program Files (x86)\AstroGrep\AstroGrep.exe" /spath="%USERPROFILE%\AppData\Local\Temp\OnboardLogs" /stypes="app*4003*20161225*" /stext=" 01:.+((SYSTEM_STATE.+slice.+state.+changed )|(ment ac)|(multiple cpu faults)|(system.+state.+changed )|(\[timeout)|(PRM\|1\|D)|(kpr)|(kdp)|(\|lc)|(penalty))" /e /r /s</v>
      </c>
      <c r="AG125" s="1" t="str">
        <f t="shared" si="94"/>
        <v>EC</v>
      </c>
      <c r="AH125" s="92" t="str">
        <f t="shared" si="78"/>
        <v>"%USERPROFILE%\Documents\GitHub\eaglep3\Utilities\RefineRTDCRunTimes.py" --tripid 213-24 --locoid 4003 --swversion DE.1.0.8.0 --startMP 204:471 --initTime 2016-12-24T17:41:53 --startdatetime 2016-12-24T17:45:24 --delay 1 --endMP 204:233293 --enddatetime 2016-12-24T18:21:48 --enforcementcount 1 &gt;&gt;C:\Users\stu\Documents\GitHub\eaglep3-reporting\EC\2016-12-24-refined-times.txt</v>
      </c>
      <c r="AI12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ID","value":"213-24"},{"id":16,"name":"Locomotive ID","value":"4003"},{"id":130,"name":"Impact","value":""},{"id":150,"name":"Time of Event (Mountain Time)","value":"18:21:48"},{"id":151,"name":"Denver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602</v>
      </c>
      <c r="B126" s="7">
        <v>4004</v>
      </c>
      <c r="C126" s="22" t="s">
        <v>205</v>
      </c>
      <c r="D126" s="22" t="s">
        <v>725</v>
      </c>
      <c r="E126" s="13">
        <v>42728.771597222221</v>
      </c>
      <c r="F126" s="13">
        <v>42728.778738425928</v>
      </c>
      <c r="G126" s="7">
        <v>1</v>
      </c>
      <c r="H126" s="22" t="s">
        <v>233</v>
      </c>
      <c r="I126" s="13">
        <v>42728.806608796294</v>
      </c>
      <c r="J126" s="7">
        <v>1</v>
      </c>
      <c r="K126" s="109" t="str">
        <f t="shared" si="80"/>
        <v>4003/4004</v>
      </c>
      <c r="L126" s="22" t="str">
        <f>VLOOKUP(A126,'Trips&amp;Operators'!$C$1:$G$99999,5,FALSE)</f>
        <v>SMITH MICHAEL</v>
      </c>
      <c r="M126" s="6">
        <f t="shared" si="81"/>
        <v>2.7870370366144925E-2</v>
      </c>
      <c r="N126" s="7">
        <f t="shared" si="82"/>
        <v>40.133333327248693</v>
      </c>
      <c r="O126" s="7"/>
      <c r="P126" s="7"/>
      <c r="Q126" s="23"/>
      <c r="R126" s="23"/>
      <c r="S126" s="35">
        <f t="shared" si="83"/>
        <v>1</v>
      </c>
      <c r="T126" s="50" t="str">
        <f t="shared" si="84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17:31:06-700',mode:absolute,to:'2016-12-24 20:21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6" s="52" t="str">
        <f t="shared" si="86"/>
        <v>N</v>
      </c>
      <c r="X126" s="177">
        <f t="shared" si="87"/>
        <v>1</v>
      </c>
      <c r="Y126" s="67">
        <f t="shared" si="88"/>
        <v>23.2972</v>
      </c>
      <c r="Z126" s="67">
        <f t="shared" si="89"/>
        <v>1.4500000000000001E-2</v>
      </c>
      <c r="AA126" s="67">
        <f t="shared" si="90"/>
        <v>23.282699999999998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91"/>
        <v>0214-24</v>
      </c>
      <c r="AE126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26" s="88" t="str">
        <f t="shared" si="93"/>
        <v>"C:\Program Files (x86)\AstroGrep\AstroGrep.exe" /spath="%USERPROFILE%\AppData\Local\Temp\OnboardLogs" /stypes="app*4004*20161225*" /stext=" 02:.+((SYSTEM_STATE.+slice.+state.+changed )|(ment ac)|(multiple cpu faults)|(system.+state.+changed )|(\[timeout)|(PRM\|1\|D)|(kpr)|(kdp)|(\|lc)|(penalty))" /e /r /s</v>
      </c>
      <c r="AG126" s="1" t="str">
        <f t="shared" si="94"/>
        <v>EC</v>
      </c>
      <c r="AH126" s="92" t="str">
        <f t="shared" si="78"/>
        <v>"%USERPROFILE%\Documents\GitHub\eaglep3\Utilities\RefineRTDCRunTimes.py" --tripid 214-24 --locoid 4004 --swversion DE.1.0.8.0 --startMP 204:232972 --initTime 2016-12-24T18:31:06 --startdatetime 2016-12-24T18:41:23 --delay 1 --endMP 204:145 --enddatetime 2016-12-24T19:21:31 --enforcementcount 1 &gt;&gt;C:\Users\stu\Documents\GitHub\eaglep3-reporting\EC\2016-12-24-refined-times.txt</v>
      </c>
      <c r="AI12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ID","value":"214-24"},{"id":16,"name":"Locomotive ID","value":"4004"},{"id":130,"name":"Impact","value":""},{"id":150,"name":"Time of Event (Mountain Time)","value":"19:21:31"},{"id":151,"name":"Denver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595</v>
      </c>
      <c r="B127" s="7">
        <v>4018</v>
      </c>
      <c r="C127" s="22" t="s">
        <v>205</v>
      </c>
      <c r="D127" s="22" t="s">
        <v>266</v>
      </c>
      <c r="E127" s="13">
        <v>42728.746134259258</v>
      </c>
      <c r="F127" s="13">
        <v>42728.750150462962</v>
      </c>
      <c r="G127" s="7">
        <v>1</v>
      </c>
      <c r="H127" s="22" t="s">
        <v>398</v>
      </c>
      <c r="I127" s="13">
        <v>42728.774317129632</v>
      </c>
      <c r="J127" s="7">
        <v>1</v>
      </c>
      <c r="K127" s="109" t="str">
        <f t="shared" si="80"/>
        <v>4017/4018</v>
      </c>
      <c r="L127" s="22" t="str">
        <f>VLOOKUP(A127,'Trips&amp;Operators'!$C$1:$G$99999,5,FALSE)</f>
        <v>BRANNON JEFFREY</v>
      </c>
      <c r="M127" s="6">
        <f t="shared" si="81"/>
        <v>2.4166666669771075E-2</v>
      </c>
      <c r="N127" s="7">
        <f t="shared" si="82"/>
        <v>34.800000004470348</v>
      </c>
      <c r="O127" s="7"/>
      <c r="P127" s="7"/>
      <c r="Q127" s="23"/>
      <c r="R127" s="23"/>
      <c r="S127" s="35">
        <f t="shared" si="83"/>
        <v>1</v>
      </c>
      <c r="T127" s="50" t="str">
        <f t="shared" si="84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16:54:26-700',mode:absolute,to:'2016-12-24 19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86"/>
        <v>N</v>
      </c>
      <c r="X127" s="177">
        <f t="shared" si="87"/>
        <v>1</v>
      </c>
      <c r="Y127" s="67">
        <f t="shared" si="88"/>
        <v>4.6199999999999998E-2</v>
      </c>
      <c r="Z127" s="67">
        <f t="shared" si="89"/>
        <v>23.3291</v>
      </c>
      <c r="AA127" s="67">
        <f t="shared" si="90"/>
        <v>23.282900000000001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91"/>
        <v>0215-24</v>
      </c>
      <c r="AE127" s="91" t="str">
        <f t="shared" si="92"/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AF127" s="88" t="str">
        <f t="shared" si="93"/>
        <v>"C:\Program Files (x86)\AstroGrep\AstroGrep.exe" /spath="%USERPROFILE%\AppData\Local\Temp\OnboardLogs" /stypes="app*4018*20161225*" /stext=" 01:.+((SYSTEM_STATE.+slice.+state.+changed )|(ment ac)|(multiple cpu faults)|(system.+state.+changed )|(\[timeout)|(PRM\|1\|D)|(kpr)|(kdp)|(\|lc)|(penalty))" /e /r /s</v>
      </c>
      <c r="AG127" s="1" t="str">
        <f t="shared" si="94"/>
        <v>EC</v>
      </c>
      <c r="AH127" s="92" t="str">
        <f t="shared" si="78"/>
        <v>"%USERPROFILE%\Documents\GitHub\eaglep3\Utilities\RefineRTDCRunTimes.py" --tripid 215-24 --locoid 4018 --swversion DE.1.0.8.0 --startMP 204:462 --initTime 2016-12-24T17:54:26 --startdatetime 2016-12-24T18:00:13 --delay 1 --endMP 204:233291 --enddatetime 2016-12-24T18:35:01 --enforcementcount 1 &gt;&gt;C:\Users\stu\Documents\GitHub\eaglep3-reporting\EC\2016-12-24-refined-times.txt</v>
      </c>
      <c r="AI12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{"issue":{"subject":"","project_id":79,"tracker_id":40,"status_id":1,"priority_id":2,"assigned_to_id":23,"start_date":"2016-12-24","description":"","custom_fields":[{"id":1,"name":"Subdivision","value":"EC"},{"id":4,"name":"Milepost","value":"23.3291"},{"id":17,"name":"Train ID","value":"215-24"},{"id":16,"name":"Locomotive ID","value":"4018"},{"id":130,"name":"Impact","value":""},{"id":150,"name":"Time of Event (Mountain Time)","value":"18:35:01"},{"id":151,"name":"Denver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450</v>
      </c>
      <c r="B128" s="7">
        <v>4017</v>
      </c>
      <c r="C128" s="22" t="s">
        <v>205</v>
      </c>
      <c r="D128" s="22" t="s">
        <v>324</v>
      </c>
      <c r="E128" s="13">
        <v>42728.782442129632</v>
      </c>
      <c r="F128" s="13">
        <v>42728.783530092594</v>
      </c>
      <c r="G128" s="7">
        <v>1</v>
      </c>
      <c r="H128" s="22" t="s">
        <v>726</v>
      </c>
      <c r="I128" s="13">
        <v>42728.808240740742</v>
      </c>
      <c r="J128" s="7">
        <v>1</v>
      </c>
      <c r="K128" s="109" t="str">
        <f t="shared" si="80"/>
        <v>4017/4018</v>
      </c>
      <c r="L128" s="22" t="str">
        <f>VLOOKUP(A128,'Trips&amp;Operators'!$C$1:$G$99999,5,FALSE)</f>
        <v>BRANNON JEFFREY</v>
      </c>
      <c r="M128" s="6">
        <f t="shared" si="81"/>
        <v>2.47106481474475E-2</v>
      </c>
      <c r="N128" s="7"/>
      <c r="O128" s="7"/>
      <c r="P128" s="7">
        <f>24*60*SUM($M128:$M129)</f>
        <v>47.466666667023674</v>
      </c>
      <c r="Q128" s="23"/>
      <c r="R128" s="23" t="s">
        <v>779</v>
      </c>
      <c r="S128" s="35">
        <f>SUM(U128:U129)/IF(AG128="EC",12,1)</f>
        <v>1</v>
      </c>
      <c r="T128" s="50" t="str">
        <f t="shared" si="84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9</v>
      </c>
      <c r="V12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17:46:43-700',mode:absolute,to:'2016-12-24 20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86"/>
        <v>Y</v>
      </c>
      <c r="X128" s="177">
        <f t="shared" si="87"/>
        <v>1</v>
      </c>
      <c r="Y128" s="67">
        <f t="shared" si="88"/>
        <v>23.296900000000001</v>
      </c>
      <c r="Z128" s="67">
        <f t="shared" si="89"/>
        <v>4.2184999999999997</v>
      </c>
      <c r="AA128" s="67">
        <f t="shared" si="90"/>
        <v>19.078400000000002</v>
      </c>
      <c r="AB128" s="64" t="str">
        <f>VLOOKUP(A128,Enforcements!$C$7:$K$19,8,0)</f>
        <v>Signal based authority (5)</v>
      </c>
      <c r="AC128" s="60" t="str">
        <f>VLOOKUP(A128,Enforcements!$C$7:$E$19,3,0)</f>
        <v>SIGNAL</v>
      </c>
      <c r="AD128" s="61" t="str">
        <f t="shared" si="91"/>
        <v>0216-24</v>
      </c>
      <c r="AE128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28" s="88" t="str">
        <f t="shared" si="93"/>
        <v>"C:\Program Files (x86)\AstroGrep\AstroGrep.exe" /spath="%USERPROFILE%\AppData\Local\Temp\OnboardLogs" /stypes="app*4017*20161225*" /stext=" 02:.+((SYSTEM_STATE.+slice.+state.+changed )|(ment ac)|(multiple cpu faults)|(system.+state.+changed )|(\[timeout)|(PRM\|1\|D)|(kpr)|(kdp)|(\|lc)|(penalty))" /e /r /s</v>
      </c>
      <c r="AG128" s="1" t="str">
        <f t="shared" si="94"/>
        <v>EC</v>
      </c>
      <c r="AH128" s="92" t="str">
        <f t="shared" si="78"/>
        <v>"%USERPROFILE%\Documents\GitHub\eaglep3\Utilities\RefineRTDCRunTimes.py" --tripid 216-24 --locoid 4017 --swversion DE.1.0.8.0 --startMP 204:232969 --initTime 2016-12-24T18:46:43 --startdatetime 2016-12-24T18:48:17 --delay 1 --endMP 204:42185 --enddatetime 2016-12-24T19:23:52 --enforcementcount 1 &gt;&gt;C:\Users\stu\Documents\GitHub\eaglep3-reporting\EC\2016-12-24-refined-times.txt</v>
      </c>
      <c r="AI128" s="119" t="str">
        <f t="shared" si="79"/>
        <v>echo {"issue":{"subject":"Wi-MAX data drop","project_id":79,"tracker_id":40,"status_id":1,"priority_id":2,"assigned_to_id":23,"start_date":"2016-12-24","description":"","custom_fields":[{"id":1,"name":"Subdivision","value":"EC"},{"id":4,"name":"Milepost","value":"4.2185"},{"id":17,"name":"Train ID","value":"216-24"},{"id":16,"name":"Locomotive ID","value":"4017"},{"id":130,"name":"Impact","value":""},{"id":150,"name":"Time of Event (Mountain Time)","value":"19:23:52"},{"id":151,"name":"Denver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450</v>
      </c>
      <c r="B129" s="7">
        <v>4017</v>
      </c>
      <c r="C129" s="22" t="s">
        <v>205</v>
      </c>
      <c r="D129" s="22" t="s">
        <v>727</v>
      </c>
      <c r="E129" s="13">
        <v>42728.808622685188</v>
      </c>
      <c r="F129" s="13">
        <v>42728.809513888889</v>
      </c>
      <c r="G129" s="7">
        <v>1</v>
      </c>
      <c r="H129" s="22" t="s">
        <v>211</v>
      </c>
      <c r="I129" s="13">
        <v>42728.817766203705</v>
      </c>
      <c r="J129" s="7">
        <v>0</v>
      </c>
      <c r="K129" s="109" t="str">
        <f t="shared" si="80"/>
        <v>4017/4018</v>
      </c>
      <c r="L129" s="22" t="str">
        <f>VLOOKUP(A129,'Trips&amp;Operators'!$C$1:$G$99999,5,FALSE)</f>
        <v>BRANNON JEFFREY</v>
      </c>
      <c r="M129" s="6">
        <f t="shared" si="81"/>
        <v>8.2523148157633841E-3</v>
      </c>
      <c r="N129" s="7"/>
      <c r="O129" s="7"/>
      <c r="P129" s="7"/>
      <c r="Q129" s="23"/>
      <c r="R129" s="23"/>
      <c r="S129" s="35"/>
      <c r="T129" s="50" t="str">
        <f t="shared" si="84"/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3</v>
      </c>
      <c r="V12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18:24:25-700',mode:absolute,to:'2016-12-24 20:37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9" s="52" t="str">
        <f t="shared" si="86"/>
        <v>Y</v>
      </c>
      <c r="X129" s="177">
        <f t="shared" si="87"/>
        <v>0</v>
      </c>
      <c r="Y129" s="67">
        <f t="shared" si="88"/>
        <v>4.1955</v>
      </c>
      <c r="Z129" s="67">
        <f t="shared" si="89"/>
        <v>1.4999999999999999E-2</v>
      </c>
      <c r="AA129" s="67">
        <f t="shared" si="90"/>
        <v>4.1805000000000003</v>
      </c>
      <c r="AB129" s="64" t="str">
        <f>VLOOKUP(A129,Enforcements!$C$7:$K$19,8,0)</f>
        <v>Signal based authority (5)</v>
      </c>
      <c r="AC129" s="60" t="str">
        <f>VLOOKUP(A129,Enforcements!$C$7:$E$19,3,0)</f>
        <v>SIGNAL</v>
      </c>
      <c r="AD129" s="61" t="str">
        <f t="shared" si="91"/>
        <v>0216-24</v>
      </c>
      <c r="AE129" s="91" t="str">
        <f t="shared" si="92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29" s="88" t="str">
        <f t="shared" si="93"/>
        <v>"C:\Program Files (x86)\AstroGrep\AstroGrep.exe" /spath="%USERPROFILE%\AppData\Local\Temp\OnboardLogs" /stypes="app*4017*20161225*" /stext=" 02:.+((SYSTEM_STATE.+slice.+state.+changed )|(ment ac)|(multiple cpu faults)|(system.+state.+changed )|(\[timeout)|(PRM\|1\|D)|(kpr)|(kdp)|(\|lc)|(penalty))" /e /r /s</v>
      </c>
      <c r="AG129" s="1" t="str">
        <f t="shared" si="94"/>
        <v>EC</v>
      </c>
      <c r="AH129" s="92" t="str">
        <f t="shared" si="78"/>
        <v>"%USERPROFILE%\Documents\GitHub\eaglep3\Utilities\RefineRTDCRunTimes.py" --tripid 216-24 --locoid 4017 --swversion DE.1.0.8.0 --startMP 204:41955 --initTime 2016-12-24T19:24:25 --startdatetime 2016-12-24T19:25:42 --delay 1 --endMP 204:150 --enddatetime 2016-12-24T19:37:35 --enforcementcount 0 &gt;&gt;C:\Users\stu\Documents\GitHub\eaglep3-reporting\EC\2016-12-24-refined-times.txt</v>
      </c>
      <c r="AI12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ID","value":"216-24"},{"id":16,"name":"Locomotive ID","value":"4017"},{"id":130,"name":"Impact","value":""},{"id":150,"name":"Time of Event (Mountain Time)","value":"19:37:35"},{"id":151,"name":"Denver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599</v>
      </c>
      <c r="B130" s="7">
        <v>4007</v>
      </c>
      <c r="C130" s="22" t="s">
        <v>205</v>
      </c>
      <c r="D130" s="22" t="s">
        <v>347</v>
      </c>
      <c r="E130" s="13">
        <v>42728.757581018515</v>
      </c>
      <c r="F130" s="13">
        <v>42728.760995370372</v>
      </c>
      <c r="G130" s="7">
        <v>1</v>
      </c>
      <c r="H130" s="22" t="s">
        <v>395</v>
      </c>
      <c r="I130" s="13">
        <v>42728.78502314815</v>
      </c>
      <c r="J130" s="7">
        <v>1</v>
      </c>
      <c r="K130" s="109" t="str">
        <f t="shared" si="80"/>
        <v>4007/4008</v>
      </c>
      <c r="L130" s="22" t="str">
        <f>VLOOKUP(A130,'Trips&amp;Operators'!$C$1:$G$99999,5,FALSE)</f>
        <v>STAMBAUGH JAMES</v>
      </c>
      <c r="M130" s="6">
        <f t="shared" si="81"/>
        <v>2.4027777777519077E-2</v>
      </c>
      <c r="N130" s="7">
        <f t="shared" si="82"/>
        <v>34.599999999627471</v>
      </c>
      <c r="O130" s="7"/>
      <c r="P130" s="7"/>
      <c r="Q130" s="23"/>
      <c r="R130" s="23"/>
      <c r="S130" s="35">
        <f t="shared" si="83"/>
        <v>1</v>
      </c>
      <c r="T130" s="50" t="str">
        <f t="shared" si="84"/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17:10:55-700',mode:absolute,to:'2016-12-24 19:50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0" s="52" t="str">
        <f t="shared" si="86"/>
        <v>N</v>
      </c>
      <c r="X130" s="177">
        <f t="shared" si="87"/>
        <v>1</v>
      </c>
      <c r="Y130" s="67">
        <f t="shared" si="88"/>
        <v>4.7500000000000001E-2</v>
      </c>
      <c r="Z130" s="67">
        <f t="shared" si="89"/>
        <v>23.331499999999998</v>
      </c>
      <c r="AA130" s="67">
        <f t="shared" si="90"/>
        <v>23.283999999999999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91"/>
        <v>0217-24</v>
      </c>
      <c r="AE130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30" s="88" t="str">
        <f t="shared" si="93"/>
        <v>"C:\Program Files (x86)\AstroGrep\AstroGrep.exe" /spath="%USERPROFILE%\AppData\Local\Temp\OnboardLogs" /stypes="app*4007*20161225*" /stext=" 01:.+((SYSTEM_STATE.+slice.+state.+changed )|(ment ac)|(multiple cpu faults)|(system.+state.+changed )|(\[timeout)|(PRM\|1\|D)|(kpr)|(kdp)|(\|lc)|(penalty))" /e /r /s</v>
      </c>
      <c r="AG130" s="1" t="str">
        <f t="shared" si="94"/>
        <v>EC</v>
      </c>
      <c r="AH130" s="92" t="str">
        <f t="shared" si="78"/>
        <v>"%USERPROFILE%\Documents\GitHub\eaglep3\Utilities\RefineRTDCRunTimes.py" --tripid 217-24 --locoid 4007 --swversion DE.1.0.8.0 --startMP 204:475 --initTime 2016-12-24T18:10:55 --startdatetime 2016-12-24T18:15:50 --delay 1 --endMP 204:233315 --enddatetime 2016-12-24T18:50:26 --enforcementcount 1 &gt;&gt;C:\Users\stu\Documents\GitHub\eaglep3-reporting\EC\2016-12-24-refined-times.txt</v>
      </c>
      <c r="AI13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{"issue":{"subject":"","project_id":79,"tracker_id":40,"status_id":1,"priority_id":2,"assigned_to_id":23,"start_date":"2016-12-24","description":"","custom_fields":[{"id":1,"name":"Subdivision","value":"EC"},{"id":4,"name":"Milepost","value":"23.3315"},{"id":17,"name":"Train ID","value":"217-24"},{"id":16,"name":"Locomotive ID","value":"4007"},{"id":130,"name":"Impact","value":""},{"id":150,"name":"Time of Event (Mountain Time)","value":"18:50:26"},{"id":151,"name":"Denver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451</v>
      </c>
      <c r="B131" s="7">
        <v>4008</v>
      </c>
      <c r="C131" s="22" t="s">
        <v>205</v>
      </c>
      <c r="D131" s="22" t="s">
        <v>655</v>
      </c>
      <c r="E131" s="13">
        <v>42728.797199074077</v>
      </c>
      <c r="F131" s="13">
        <v>42728.799837962964</v>
      </c>
      <c r="G131" s="7">
        <v>1</v>
      </c>
      <c r="H131" s="22" t="s">
        <v>211</v>
      </c>
      <c r="I131" s="13">
        <v>42728.825972222221</v>
      </c>
      <c r="J131" s="7">
        <v>1</v>
      </c>
      <c r="K131" s="109" t="str">
        <f t="shared" si="80"/>
        <v>4007/4008</v>
      </c>
      <c r="L131" s="22" t="str">
        <f>VLOOKUP(A131,'Trips&amp;Operators'!$C$1:$G$99999,5,FALSE)</f>
        <v>STAMBAUGH JAMES</v>
      </c>
      <c r="M131" s="6">
        <f t="shared" si="81"/>
        <v>2.6134259256650694E-2</v>
      </c>
      <c r="N131" s="7">
        <f t="shared" si="82"/>
        <v>37.633333329576999</v>
      </c>
      <c r="O131" s="7"/>
      <c r="P131" s="7"/>
      <c r="Q131" s="23"/>
      <c r="R131" s="23"/>
      <c r="S131" s="35">
        <f t="shared" si="83"/>
        <v>1</v>
      </c>
      <c r="T131" s="50" t="str">
        <f t="shared" si="84"/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18:07:58-700',mode:absolute,to:'2016-12-24 20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1" s="52" t="str">
        <f t="shared" si="86"/>
        <v>N</v>
      </c>
      <c r="X131" s="177">
        <f t="shared" si="87"/>
        <v>1</v>
      </c>
      <c r="Y131" s="67">
        <f t="shared" si="88"/>
        <v>23.2989</v>
      </c>
      <c r="Z131" s="67">
        <f t="shared" si="89"/>
        <v>1.4999999999999999E-2</v>
      </c>
      <c r="AA131" s="67">
        <f t="shared" si="90"/>
        <v>23.283899999999999</v>
      </c>
      <c r="AB131" s="64" t="str">
        <f>VLOOKUP(A131,Enforcements!$C$7:$K$19,8,0)</f>
        <v>Bulletin (2)</v>
      </c>
      <c r="AC131" s="60" t="str">
        <f>VLOOKUP(A131,Enforcements!$C$7:$E$19,3,0)</f>
        <v>GRADE CROSSING</v>
      </c>
      <c r="AD131" s="61" t="str">
        <f t="shared" si="91"/>
        <v>0218-24</v>
      </c>
      <c r="AE131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31" s="88" t="str">
        <f t="shared" si="93"/>
        <v>"C:\Program Files (x86)\AstroGrep\AstroGrep.exe" /spath="%USERPROFILE%\AppData\Local\Temp\OnboardLogs" /stypes="app*4008*20161225*" /stext=" 02:.+((SYSTEM_STATE.+slice.+state.+changed )|(ment ac)|(multiple cpu faults)|(system.+state.+changed )|(\[timeout)|(PRM\|1\|D)|(kpr)|(kdp)|(\|lc)|(penalty))" /e /r /s</v>
      </c>
      <c r="AG131" s="1" t="str">
        <f t="shared" si="94"/>
        <v>EC</v>
      </c>
      <c r="AH131" s="92" t="str">
        <f t="shared" si="78"/>
        <v>"%USERPROFILE%\Documents\GitHub\eaglep3\Utilities\RefineRTDCRunTimes.py" --tripid 218-24 --locoid 4008 --swversion DE.1.0.8.0 --startMP 204:232989 --initTime 2016-12-24T19:07:58 --startdatetime 2016-12-24T19:11:46 --delay 1 --endMP 204:150 --enddatetime 2016-12-24T19:49:24 --enforcementcount 1 &gt;&gt;C:\Users\stu\Documents\GitHub\eaglep3-reporting\EC\2016-12-24-refined-times.txt</v>
      </c>
      <c r="AI13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ID","value":"218-24"},{"id":16,"name":"Locomotive ID","value":"4008"},{"id":130,"name":"Impact","value":""},{"id":150,"name":"Time of Event (Mountain Time)","value":"19:49:24"},{"id":151,"name":"Denver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449</v>
      </c>
      <c r="B132" s="7">
        <v>4011</v>
      </c>
      <c r="C132" s="22" t="s">
        <v>205</v>
      </c>
      <c r="D132" s="22" t="s">
        <v>254</v>
      </c>
      <c r="E132" s="13">
        <v>42728.766458333332</v>
      </c>
      <c r="F132" s="13">
        <v>42728.771192129629</v>
      </c>
      <c r="G132" s="7">
        <v>6</v>
      </c>
      <c r="H132" s="22" t="s">
        <v>648</v>
      </c>
      <c r="I132" s="13">
        <v>42728.795138888891</v>
      </c>
      <c r="J132" s="7">
        <v>1</v>
      </c>
      <c r="K132" s="109" t="str">
        <f t="shared" si="80"/>
        <v>4011/4012</v>
      </c>
      <c r="L132" s="22" t="str">
        <f>VLOOKUP(A132,'Trips&amp;Operators'!$C$1:$G$99999,5,FALSE)</f>
        <v>HILLS DUSTIN</v>
      </c>
      <c r="M132" s="6">
        <f t="shared" si="81"/>
        <v>2.3946759261889383E-2</v>
      </c>
      <c r="N132" s="7">
        <f t="shared" si="82"/>
        <v>34.483333337120712</v>
      </c>
      <c r="O132" s="7"/>
      <c r="P132" s="7"/>
      <c r="Q132" s="23"/>
      <c r="R132" s="23"/>
      <c r="S132" s="35">
        <f t="shared" si="83"/>
        <v>1</v>
      </c>
      <c r="T132" s="50" t="str">
        <f t="shared" si="84"/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2" s="52" t="str">
        <f t="shared" si="86"/>
        <v>N</v>
      </c>
      <c r="X132" s="177">
        <f t="shared" si="87"/>
        <v>1</v>
      </c>
      <c r="Y132" s="67">
        <f t="shared" si="88"/>
        <v>4.53E-2</v>
      </c>
      <c r="Z132" s="67">
        <f t="shared" si="89"/>
        <v>23.328600000000002</v>
      </c>
      <c r="AA132" s="67">
        <f t="shared" si="90"/>
        <v>23.283300000000001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91"/>
        <v>0219-24</v>
      </c>
      <c r="AE132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32" s="88" t="str">
        <f t="shared" si="93"/>
        <v>"C:\Program Files (x86)\AstroGrep\AstroGrep.exe" /spath="%USERPROFILE%\AppData\Local\Temp\OnboardLogs" /stypes="app*4011*20161225*" /stext=" 02:.+((SYSTEM_STATE.+slice.+state.+changed )|(ment ac)|(multiple cpu faults)|(system.+state.+changed )|(\[timeout)|(PRM\|1\|D)|(kpr)|(kdp)|(\|lc)|(penalty))" /e /r /s</v>
      </c>
      <c r="AG132" s="1" t="str">
        <f t="shared" si="94"/>
        <v>EC</v>
      </c>
      <c r="AH132" s="92" t="str">
        <f t="shared" si="78"/>
        <v>"%USERPROFILE%\Documents\GitHub\eaglep3\Utilities\RefineRTDCRunTimes.py" --tripid 219-24 --locoid 4011 --swversion DE.1.0.8.0 --startMP 204:453 --initTime 2016-12-24T18:23:42 --startdatetime 2016-12-24T18:30:31 --delay 6 --endMP 204:233286 --enddatetime 2016-12-24T19:05:00 --enforcementcount 1 &gt;&gt;C:\Users\stu\Documents\GitHub\eaglep3-reporting\EC\2016-12-24-refined-times.txt</v>
      </c>
      <c r="AI13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{"issue":{"subject":"","project_id":79,"tracker_id":40,"status_id":1,"priority_id":2,"assigned_to_id":23,"start_date":"2016-12-24","description":"","custom_fields":[{"id":1,"name":"Subdivision","value":"EC"},{"id":4,"name":"Milepost","value":"23.3286"},{"id":17,"name":"Train ID","value":"219-24"},{"id":16,"name":"Locomotive ID","value":"4011"},{"id":130,"name":"Impact","value":""},{"id":150,"name":"Time of Event (Mountain Time)","value":"19:05:00"},{"id":151,"name":"Denver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452</v>
      </c>
      <c r="B133" s="7">
        <v>4012</v>
      </c>
      <c r="C133" s="22" t="s">
        <v>205</v>
      </c>
      <c r="D133" s="22" t="s">
        <v>404</v>
      </c>
      <c r="E133" s="13">
        <v>42728.798460648148</v>
      </c>
      <c r="F133" s="13">
        <v>42728.810046296298</v>
      </c>
      <c r="G133" s="7">
        <v>1</v>
      </c>
      <c r="H133" s="22" t="s">
        <v>728</v>
      </c>
      <c r="I133" s="13">
        <v>42728.835798611108</v>
      </c>
      <c r="J133" s="7">
        <v>1</v>
      </c>
      <c r="K133" s="109" t="str">
        <f t="shared" si="80"/>
        <v>4011/4012</v>
      </c>
      <c r="L133" s="22" t="str">
        <f>VLOOKUP(A133,'Trips&amp;Operators'!$C$1:$G$99999,5,FALSE)</f>
        <v>HILLS DUSTIN</v>
      </c>
      <c r="M133" s="6">
        <f t="shared" si="81"/>
        <v>2.5752314810233656E-2</v>
      </c>
      <c r="N133" s="7">
        <f t="shared" si="82"/>
        <v>37.083333326736465</v>
      </c>
      <c r="O133" s="7"/>
      <c r="P133" s="7"/>
      <c r="Q133" s="23"/>
      <c r="R133" s="23"/>
      <c r="S133" s="35">
        <f t="shared" si="83"/>
        <v>1</v>
      </c>
      <c r="T133" s="50" t="str">
        <f t="shared" si="84"/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18:09:47-700',mode:absolute,to:'2016-12-24 21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3" s="52" t="str">
        <f t="shared" si="86"/>
        <v>N</v>
      </c>
      <c r="X133" s="177">
        <f t="shared" si="87"/>
        <v>1</v>
      </c>
      <c r="Y133" s="67">
        <f t="shared" si="88"/>
        <v>23.2957</v>
      </c>
      <c r="Z133" s="67">
        <f t="shared" si="89"/>
        <v>1.8499999999999999E-2</v>
      </c>
      <c r="AA133" s="67">
        <f t="shared" si="90"/>
        <v>23.277200000000001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91"/>
        <v>0220-24</v>
      </c>
      <c r="AE133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33" s="88" t="str">
        <f t="shared" si="93"/>
        <v>"C:\Program Files (x86)\AstroGrep\AstroGrep.exe" /spath="%USERPROFILE%\AppData\Local\Temp\OnboardLogs" /stypes="app*4012*20161225*" /stext=" 03:.+((SYSTEM_STATE.+slice.+state.+changed )|(ment ac)|(multiple cpu faults)|(system.+state.+changed )|(\[timeout)|(PRM\|1\|D)|(kpr)|(kdp)|(\|lc)|(penalty))" /e /r /s</v>
      </c>
      <c r="AG133" s="1" t="str">
        <f t="shared" si="94"/>
        <v>EC</v>
      </c>
      <c r="AH133" s="92" t="str">
        <f t="shared" si="78"/>
        <v>"%USERPROFILE%\Documents\GitHub\eaglep3\Utilities\RefineRTDCRunTimes.py" --tripid 220-24 --locoid 4012 --swversion DE.1.0.8.0 --startMP 204:232957 --initTime 2016-12-24T19:09:47 --startdatetime 2016-12-24T19:26:28 --delay 1 --endMP 204:185 --enddatetime 2016-12-24T20:03:33 --enforcementcount 1 &gt;&gt;C:\Users\stu\Documents\GitHub\eaglep3-reporting\EC\2016-12-24-refined-times.txt</v>
      </c>
      <c r="AI13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{"issue":{"subject":"","project_id":79,"tracker_id":40,"status_id":1,"priority_id":2,"assigned_to_id":23,"start_date":"2016-12-24","description":"","custom_fields":[{"id":1,"name":"Subdivision","value":"EC"},{"id":4,"name":"Milepost","value":"0.0185"},{"id":17,"name":"Train ID","value":"220-24"},{"id":16,"name":"Locomotive ID","value":"4012"},{"id":130,"name":"Impact","value":""},{"id":150,"name":"Time of Event (Mountain Time)","value":"20:03:33"},{"id":151,"name":"Denver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605</v>
      </c>
      <c r="B134" s="7">
        <v>4044</v>
      </c>
      <c r="C134" s="22" t="s">
        <v>205</v>
      </c>
      <c r="D134" s="22" t="s">
        <v>416</v>
      </c>
      <c r="E134" s="13">
        <v>42728.786678240744</v>
      </c>
      <c r="F134" s="13">
        <v>42728.791817129626</v>
      </c>
      <c r="G134" s="7">
        <v>2</v>
      </c>
      <c r="H134" s="22" t="s">
        <v>396</v>
      </c>
      <c r="I134" s="13">
        <v>42728.816354166665</v>
      </c>
      <c r="J134" s="7">
        <v>1</v>
      </c>
      <c r="K134" s="109" t="str">
        <f t="shared" si="80"/>
        <v>4043/4044</v>
      </c>
      <c r="L134" s="22" t="str">
        <f>VLOOKUP(A134,'Trips&amp;Operators'!$C$1:$G$99999,5,FALSE)</f>
        <v>BROWN JACOB</v>
      </c>
      <c r="M134" s="6">
        <f t="shared" si="81"/>
        <v>2.453703703940846E-2</v>
      </c>
      <c r="N134" s="7">
        <f t="shared" si="82"/>
        <v>35.333333336748183</v>
      </c>
      <c r="O134" s="7"/>
      <c r="P134" s="7"/>
      <c r="Q134" s="23"/>
      <c r="R134" s="23"/>
      <c r="S134" s="35">
        <f t="shared" si="83"/>
        <v>1</v>
      </c>
      <c r="T134" s="50" t="str">
        <f t="shared" si="84"/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17:52:49-700',mode:absolute,to:'2016-12-24 20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4" s="52" t="str">
        <f t="shared" si="86"/>
        <v>N</v>
      </c>
      <c r="X134" s="177">
        <f t="shared" si="87"/>
        <v>1</v>
      </c>
      <c r="Y134" s="67">
        <f t="shared" si="88"/>
        <v>4.2900000000000001E-2</v>
      </c>
      <c r="Z134" s="67">
        <f t="shared" si="89"/>
        <v>23.334199999999999</v>
      </c>
      <c r="AA134" s="67">
        <f t="shared" si="90"/>
        <v>23.2913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91"/>
        <v>0221-24</v>
      </c>
      <c r="AE134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34" s="88" t="str">
        <f t="shared" si="93"/>
        <v>"C:\Program Files (x86)\AstroGrep\AstroGrep.exe" /spath="%USERPROFILE%\AppData\Local\Temp\OnboardLogs" /stypes="app*4044*20161225*" /stext=" 02:.+((SYSTEM_STATE.+slice.+state.+changed )|(ment ac)|(multiple cpu faults)|(system.+state.+changed )|(\[timeout)|(PRM\|1\|D)|(kpr)|(kdp)|(\|lc)|(penalty))" /e /r /s</v>
      </c>
      <c r="AG134" s="1" t="str">
        <f t="shared" si="94"/>
        <v>EC</v>
      </c>
      <c r="AH134" s="92" t="str">
        <f t="shared" si="78"/>
        <v>"%USERPROFILE%\Documents\GitHub\eaglep3\Utilities\RefineRTDCRunTimes.py" --tripid 221-24 --locoid 4044 --swversion DE.1.0.8.0 --startMP 204:429 --initTime 2016-12-24T18:52:49 --startdatetime 2016-12-24T19:00:13 --delay 2 --endMP 204:233342 --enddatetime 2016-12-24T19:35:33 --enforcementcount 1 &gt;&gt;C:\Users\stu\Documents\GitHub\eaglep3-reporting\EC\2016-12-24-refined-times.txt</v>
      </c>
      <c r="AI134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{"issue":{"subject":"","project_id":79,"tracker_id":40,"status_id":1,"priority_id":2,"assigned_to_id":23,"start_date":"2016-12-24","description":"","custom_fields":[{"id":1,"name":"Subdivision","value":"EC"},{"id":4,"name":"Milepost","value":"23.3342"},{"id":17,"name":"Train ID","value":"221-24"},{"id":16,"name":"Locomotive ID","value":"4044"},{"id":130,"name":"Impact","value":""},{"id":150,"name":"Time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453</v>
      </c>
      <c r="B135" s="7">
        <v>4043</v>
      </c>
      <c r="C135" s="22" t="s">
        <v>205</v>
      </c>
      <c r="D135" s="22" t="s">
        <v>399</v>
      </c>
      <c r="E135" s="13">
        <v>42728.826539351852</v>
      </c>
      <c r="F135" s="13">
        <v>42728.830763888887</v>
      </c>
      <c r="G135" s="7">
        <v>1</v>
      </c>
      <c r="H135" s="22" t="s">
        <v>211</v>
      </c>
      <c r="I135" s="13">
        <v>42728.857928240737</v>
      </c>
      <c r="J135" s="7">
        <v>1</v>
      </c>
      <c r="K135" s="109" t="str">
        <f t="shared" si="80"/>
        <v>4043/4044</v>
      </c>
      <c r="L135" s="22" t="str">
        <f>VLOOKUP(A135,'Trips&amp;Operators'!$C$1:$G$99999,5,FALSE)</f>
        <v>BROWN JACOB</v>
      </c>
      <c r="M135" s="6">
        <f t="shared" si="81"/>
        <v>2.7164351849933155E-2</v>
      </c>
      <c r="N135" s="7">
        <f t="shared" si="82"/>
        <v>39.116666663903743</v>
      </c>
      <c r="O135" s="7"/>
      <c r="P135" s="7"/>
      <c r="Q135" s="23"/>
      <c r="R135" s="23"/>
      <c r="S135" s="35">
        <f t="shared" si="83"/>
        <v>1</v>
      </c>
      <c r="T135" s="50" t="str">
        <f t="shared" si="84"/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18:50:13-700',mode:absolute,to:'2016-12-24 21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5" s="52" t="str">
        <f t="shared" si="86"/>
        <v>N</v>
      </c>
      <c r="X135" s="177">
        <f t="shared" si="87"/>
        <v>1</v>
      </c>
      <c r="Y135" s="67">
        <f t="shared" si="88"/>
        <v>23.302099999999999</v>
      </c>
      <c r="Z135" s="67">
        <f t="shared" si="89"/>
        <v>1.4999999999999999E-2</v>
      </c>
      <c r="AA135" s="67">
        <f t="shared" si="90"/>
        <v>23.287099999999999</v>
      </c>
      <c r="AB135" s="64" t="str">
        <f>VLOOKUP(A135,Enforcements!$C$7:$K$19,8,0)</f>
        <v>Bulletin (2)</v>
      </c>
      <c r="AC135" s="60" t="str">
        <f>VLOOKUP(A135,Enforcements!$C$7:$E$19,3,0)</f>
        <v>GRADE CROSSING</v>
      </c>
      <c r="AD135" s="61" t="str">
        <f t="shared" si="91"/>
        <v>0222-24</v>
      </c>
      <c r="AE135" s="91" t="str">
        <f t="shared" si="92"/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35" s="88" t="str">
        <f t="shared" si="93"/>
        <v>"C:\Program Files (x86)\AstroGrep\AstroGrep.exe" /spath="%USERPROFILE%\AppData\Local\Temp\OnboardLogs" /stypes="app*4043*20161225*" /stext=" 03:.+((SYSTEM_STATE.+slice.+state.+changed )|(ment ac)|(multiple cpu faults)|(system.+state.+changed )|(\[timeout)|(PRM\|1\|D)|(kpr)|(kdp)|(\|lc)|(penalty))" /e /r /s</v>
      </c>
      <c r="AG135" s="1" t="str">
        <f t="shared" si="94"/>
        <v>EC</v>
      </c>
      <c r="AH135" s="92" t="str">
        <f t="shared" si="78"/>
        <v>"%USERPROFILE%\Documents\GitHub\eaglep3\Utilities\RefineRTDCRunTimes.py" --tripid 222-24 --locoid 4043 --swversion DE.1.0.8.0 --startMP 204:233021 --initTime 2016-12-24T19:50:13 --startdatetime 2016-12-24T19:56:18 --delay 1 --endMP 204:150 --enddatetime 2016-12-24T20:35:25 --enforcementcount 1 &gt;&gt;C:\Users\stu\Documents\GitHub\eaglep3-reporting\EC\2016-12-24-refined-times.txt</v>
      </c>
      <c r="AI135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{"issue":{"subject":"","project_id":79,"tracker_id":40,"status_id":1,"priority_id":2,"assigned_to_id":23,"start_date":"2016-12-24","description":"","custom_fields":[{"id":1,"name":"Subdivision","value":"EC"},{"id":4,"name":"Milepost","value":"0.015"},{"id":17,"name":"Train ID","value":"222-24"},{"id":16,"name":"Locomotive ID","value":"4043"},{"id":130,"name":"Impact","value":""},{"id":150,"name":"Time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608</v>
      </c>
      <c r="B136" s="7">
        <v>4003</v>
      </c>
      <c r="C136" s="22" t="s">
        <v>205</v>
      </c>
      <c r="D136" s="22" t="s">
        <v>263</v>
      </c>
      <c r="E136" s="13">
        <v>42728.808668981481</v>
      </c>
      <c r="F136" s="13">
        <v>42728.8127662037</v>
      </c>
      <c r="G136" s="7">
        <v>1</v>
      </c>
      <c r="H136" s="22" t="s">
        <v>320</v>
      </c>
      <c r="I136" s="13">
        <v>42728.838090277779</v>
      </c>
      <c r="J136" s="7">
        <v>1</v>
      </c>
      <c r="K136" s="109" t="str">
        <f t="shared" si="80"/>
        <v>4003/4004</v>
      </c>
      <c r="L136" s="22" t="str">
        <f>VLOOKUP(A136,'Trips&amp;Operators'!$C$1:$G$99999,5,FALSE)</f>
        <v>SMITH MICHAEL</v>
      </c>
      <c r="M136" s="6">
        <f t="shared" si="81"/>
        <v>2.5324074078525882E-2</v>
      </c>
      <c r="N136" s="7">
        <f t="shared" si="82"/>
        <v>36.46666667307727</v>
      </c>
      <c r="O136" s="7"/>
      <c r="P136" s="7"/>
      <c r="Q136" s="23"/>
      <c r="R136" s="23"/>
      <c r="S136" s="35">
        <f t="shared" si="83"/>
        <v>1</v>
      </c>
      <c r="T136" s="50" t="str">
        <f t="shared" si="84"/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18:24:29-700',mode:absolute,to:'2016-12-24 21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36" s="52" t="str">
        <f t="shared" si="86"/>
        <v>N</v>
      </c>
      <c r="X136" s="177">
        <f t="shared" si="87"/>
        <v>1</v>
      </c>
      <c r="Y136" s="67">
        <f t="shared" si="88"/>
        <v>4.6699999999999998E-2</v>
      </c>
      <c r="Z136" s="67">
        <f t="shared" si="89"/>
        <v>23.3293</v>
      </c>
      <c r="AA136" s="67">
        <f t="shared" si="90"/>
        <v>23.282599999999999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91"/>
        <v>0223-24</v>
      </c>
      <c r="AE136" s="91" t="str">
        <f t="shared" si="92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36" s="88" t="str">
        <f t="shared" si="93"/>
        <v>"C:\Program Files (x86)\AstroGrep\AstroGrep.exe" /spath="%USERPROFILE%\AppData\Local\Temp\OnboardLogs" /stypes="app*4003*20161225*" /stext=" 03:.+((SYSTEM_STATE.+slice.+state.+changed )|(ment ac)|(multiple cpu faults)|(system.+state.+changed )|(\[timeout)|(PRM\|1\|D)|(kpr)|(kdp)|(\|lc)|(penalty))" /e /r /s</v>
      </c>
      <c r="AG136" s="1" t="str">
        <f t="shared" si="94"/>
        <v>EC</v>
      </c>
      <c r="AH136" s="92" t="str">
        <f t="shared" si="78"/>
        <v>"%USERPROFILE%\Documents\GitHub\eaglep3\Utilities\RefineRTDCRunTimes.py" --tripid 223-24 --locoid 4003 --swversion DE.1.0.8.0 --startMP 204:467 --initTime 2016-12-24T19:24:29 --startdatetime 2016-12-24T19:30:23 --delay 1 --endMP 204:233293 --enddatetime 2016-12-24T20:06:51 --enforcementcount 1 &gt;&gt;C:\Users\stu\Documents\GitHub\eaglep3-reporting\EC\2016-12-24-refined-times.txt</v>
      </c>
      <c r="AI136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{"issue":{"subject":"","project_id":79,"tracker_id":40,"status_id":1,"priority_id":2,"assigned_to_id":23,"start_date":"2016-12-24","description":"","custom_fields":[{"id":1,"name":"Subdivision","value":"EC"},{"id":4,"name":"Milepost","value":"23.3293"},{"id":17,"name":"Train ID","value":"223-24"},{"id":16,"name":"Locomotive ID","value":"4003"},{"id":130,"name":"Impact","value":""},{"id":150,"name":"Time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613</v>
      </c>
      <c r="B137" s="7">
        <v>4004</v>
      </c>
      <c r="C137" s="22" t="s">
        <v>205</v>
      </c>
      <c r="D137" s="22" t="s">
        <v>390</v>
      </c>
      <c r="E137" s="13">
        <v>42728.841122685182</v>
      </c>
      <c r="F137" s="13">
        <v>42728.851631944446</v>
      </c>
      <c r="G137" s="7">
        <v>1</v>
      </c>
      <c r="H137" s="22" t="s">
        <v>233</v>
      </c>
      <c r="I137" s="13">
        <v>42728.879525462966</v>
      </c>
      <c r="J137" s="7">
        <v>1</v>
      </c>
      <c r="K137" s="109" t="str">
        <f t="shared" si="80"/>
        <v>4003/4004</v>
      </c>
      <c r="L137" s="22" t="str">
        <f>VLOOKUP(A137,'Trips&amp;Operators'!$C$1:$G$99999,5,FALSE)</f>
        <v>SMITH MICHAEL</v>
      </c>
      <c r="M137" s="6">
        <f t="shared" si="81"/>
        <v>2.789351851970423E-2</v>
      </c>
      <c r="N137" s="7">
        <f t="shared" si="82"/>
        <v>40.166666668374091</v>
      </c>
      <c r="O137" s="7"/>
      <c r="P137" s="7"/>
      <c r="Q137" s="23"/>
      <c r="R137" s="23"/>
      <c r="S137" s="35">
        <f t="shared" si="83"/>
        <v>1</v>
      </c>
      <c r="T137" s="50" t="str">
        <f t="shared" si="84"/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19:11:13-700',mode:absolute,to:'2016-12-24 22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37" s="52" t="str">
        <f t="shared" si="86"/>
        <v>N</v>
      </c>
      <c r="X137" s="177">
        <f t="shared" si="87"/>
        <v>1</v>
      </c>
      <c r="Y137" s="67">
        <f t="shared" si="88"/>
        <v>23.2971</v>
      </c>
      <c r="Z137" s="67">
        <f t="shared" si="89"/>
        <v>1.4500000000000001E-2</v>
      </c>
      <c r="AA137" s="67">
        <f t="shared" si="90"/>
        <v>23.282599999999999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91"/>
        <v>0224-24</v>
      </c>
      <c r="AE137" s="91" t="str">
        <f t="shared" si="92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37" s="88" t="str">
        <f t="shared" si="93"/>
        <v>"C:\Program Files (x86)\AstroGrep\AstroGrep.exe" /spath="%USERPROFILE%\AppData\Local\Temp\OnboardLogs" /stypes="app*4004*20161225*" /stext=" 04:.+((SYSTEM_STATE.+slice.+state.+changed )|(ment ac)|(multiple cpu faults)|(system.+state.+changed )|(\[timeout)|(PRM\|1\|D)|(kpr)|(kdp)|(\|lc)|(penalty))" /e /r /s</v>
      </c>
      <c r="AG137" s="1" t="str">
        <f t="shared" si="94"/>
        <v>EC</v>
      </c>
      <c r="AH137" s="92" t="str">
        <f t="shared" si="78"/>
        <v>"%USERPROFILE%\Documents\GitHub\eaglep3\Utilities\RefineRTDCRunTimes.py" --tripid 224-24 --locoid 4004 --swversion DE.1.0.8.0 --startMP 204:232971 --initTime 2016-12-24T20:11:13 --startdatetime 2016-12-24T20:26:21 --delay 1 --endMP 204:145 --enddatetime 2016-12-24T21:06:31 --enforcementcount 1 &gt;&gt;C:\Users\stu\Documents\GitHub\eaglep3-reporting\EC\2016-12-24-refined-times.txt</v>
      </c>
      <c r="AI137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{"issue":{"subject":"","project_id":79,"tracker_id":40,"status_id":1,"priority_id":2,"assigned_to_id":23,"start_date":"2016-12-24","description":"","custom_fields":[{"id":1,"name":"Subdivision","value":"EC"},{"id":4,"name":"Milepost","value":"0.0145"},{"id":17,"name":"Train ID","value":"224-24"},{"id":16,"name":"Locomotive ID","value":"4004"},{"id":130,"name":"Impact","value":""},{"id":150,"name":"Time of Event (Mountain Time)","value":"21:06:31"},{"id":151,"name":"Denver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611</v>
      </c>
      <c r="B138" s="7">
        <v>4007</v>
      </c>
      <c r="C138" s="22" t="s">
        <v>205</v>
      </c>
      <c r="D138" s="22" t="s">
        <v>671</v>
      </c>
      <c r="E138" s="13">
        <v>42728.831284722219</v>
      </c>
      <c r="F138" s="13">
        <v>42728.833622685182</v>
      </c>
      <c r="G138" s="7">
        <v>2</v>
      </c>
      <c r="H138" s="22" t="s">
        <v>729</v>
      </c>
      <c r="I138" s="13">
        <v>42728.857708333337</v>
      </c>
      <c r="J138" s="7">
        <v>1</v>
      </c>
      <c r="K138" s="109" t="str">
        <f t="shared" si="80"/>
        <v>4007/4008</v>
      </c>
      <c r="L138" s="22" t="str">
        <f>VLOOKUP(A138,'Trips&amp;Operators'!$C$1:$G$99999,5,FALSE)</f>
        <v>STAMBAUGH JAMES</v>
      </c>
      <c r="M138" s="6">
        <f t="shared" si="81"/>
        <v>2.4085648154141381E-2</v>
      </c>
      <c r="N138" s="7">
        <f t="shared" si="82"/>
        <v>34.683333341963589</v>
      </c>
      <c r="O138" s="7"/>
      <c r="P138" s="7"/>
      <c r="Q138" s="23"/>
      <c r="R138" s="23"/>
      <c r="S138" s="35">
        <f t="shared" si="83"/>
        <v>1</v>
      </c>
      <c r="T138" s="50" t="str">
        <f t="shared" si="84"/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18:57:03-700',mode:absolute,to:'2016-12-24 21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8" s="52" t="str">
        <f t="shared" si="86"/>
        <v>N</v>
      </c>
      <c r="X138" s="177">
        <f t="shared" si="87"/>
        <v>1</v>
      </c>
      <c r="Y138" s="67">
        <f t="shared" si="88"/>
        <v>4.4600000000000001E-2</v>
      </c>
      <c r="Z138" s="67">
        <f t="shared" si="89"/>
        <v>23.332699999999999</v>
      </c>
      <c r="AA138" s="67">
        <f t="shared" si="90"/>
        <v>23.2881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91"/>
        <v>0225-24</v>
      </c>
      <c r="AE138" s="91" t="str">
        <f t="shared" si="92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38" s="88" t="str">
        <f t="shared" si="93"/>
        <v>"C:\Program Files (x86)\AstroGrep\AstroGrep.exe" /spath="%USERPROFILE%\AppData\Local\Temp\OnboardLogs" /stypes="app*4007*20161225*" /stext=" 03:.+((SYSTEM_STATE.+slice.+state.+changed )|(ment ac)|(multiple cpu faults)|(system.+state.+changed )|(\[timeout)|(PRM\|1\|D)|(kpr)|(kdp)|(\|lc)|(penalty))" /e /r /s</v>
      </c>
      <c r="AG138" s="1" t="str">
        <f t="shared" si="94"/>
        <v>EC</v>
      </c>
      <c r="AH138" s="92" t="str">
        <f t="shared" si="78"/>
        <v>"%USERPROFILE%\Documents\GitHub\eaglep3\Utilities\RefineRTDCRunTimes.py" --tripid 225-24 --locoid 4007 --swversion DE.1.0.8.0 --startMP 204:446 --initTime 2016-12-24T19:57:03 --startdatetime 2016-12-24T20:00:25 --delay 2 --endMP 204:233327 --enddatetime 2016-12-24T20:35:06 --enforcementcount 1 &gt;&gt;C:\Users\stu\Documents\GitHub\eaglep3-reporting\EC\2016-12-24-refined-times.txt</v>
      </c>
      <c r="AI138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{"issue":{"subject":"","project_id":79,"tracker_id":40,"status_id":1,"priority_id":2,"assigned_to_id":23,"start_date":"2016-12-24","description":"","custom_fields":[{"id":1,"name":"Subdivision","value":"EC"},{"id":4,"name":"Milepost","value":"23.3327"},{"id":17,"name":"Train ID","value":"225-24"},{"id":16,"name":"Locomotive ID","value":"4007"},{"id":130,"name":"Impact","value":""},{"id":150,"name":"Time of Event (Mountain Time)","value":"20:35:06"},{"id":151,"name":"Denver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616</v>
      </c>
      <c r="B139" s="7">
        <v>4008</v>
      </c>
      <c r="C139" s="22" t="s">
        <v>205</v>
      </c>
      <c r="D139" s="22" t="s">
        <v>672</v>
      </c>
      <c r="E139" s="13">
        <v>42728.870011574072</v>
      </c>
      <c r="F139" s="13">
        <v>42728.872719907406</v>
      </c>
      <c r="G139" s="7">
        <v>1</v>
      </c>
      <c r="H139" s="22" t="s">
        <v>730</v>
      </c>
      <c r="I139" s="13">
        <v>42728.899027777778</v>
      </c>
      <c r="J139" s="7">
        <v>1</v>
      </c>
      <c r="K139" s="109" t="str">
        <f t="shared" si="80"/>
        <v>4007/4008</v>
      </c>
      <c r="L139" s="22" t="str">
        <f>VLOOKUP(A139,'Trips&amp;Operators'!$C$1:$G$99999,5,FALSE)</f>
        <v>STAMBAUGH JAMES</v>
      </c>
      <c r="M139" s="6">
        <f t="shared" si="81"/>
        <v>2.6307870371965691E-2</v>
      </c>
      <c r="N139" s="7">
        <f t="shared" si="82"/>
        <v>37.883333335630596</v>
      </c>
      <c r="O139" s="7"/>
      <c r="P139" s="7"/>
      <c r="Q139" s="23"/>
      <c r="R139" s="23"/>
      <c r="S139" s="35">
        <f t="shared" si="83"/>
        <v>1</v>
      </c>
      <c r="T139" s="50" t="str">
        <f t="shared" si="84"/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19:52:49-700',mode:absolute,to:'2016-12-24 22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9" s="52" t="str">
        <f t="shared" si="86"/>
        <v>N</v>
      </c>
      <c r="X139" s="177">
        <f t="shared" si="87"/>
        <v>1</v>
      </c>
      <c r="Y139" s="67">
        <f t="shared" si="88"/>
        <v>23.298500000000001</v>
      </c>
      <c r="Z139" s="67">
        <f t="shared" si="89"/>
        <v>2.0899999999999998E-2</v>
      </c>
      <c r="AA139" s="67">
        <f t="shared" si="90"/>
        <v>23.2776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91"/>
        <v>0226-24</v>
      </c>
      <c r="AE139" s="91" t="str">
        <f t="shared" si="92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39" s="88" t="str">
        <f t="shared" si="93"/>
        <v>"C:\Program Files (x86)\AstroGrep\AstroGrep.exe" /spath="%USERPROFILE%\AppData\Local\Temp\OnboardLogs" /stypes="app*4008*20161225*" /stext=" 04:.+((SYSTEM_STATE.+slice.+state.+changed )|(ment ac)|(multiple cpu faults)|(system.+state.+changed )|(\[timeout)|(PRM\|1\|D)|(kpr)|(kdp)|(\|lc)|(penalty))" /e /r /s</v>
      </c>
      <c r="AG139" s="1" t="str">
        <f t="shared" si="94"/>
        <v>EC</v>
      </c>
      <c r="AH139" s="92" t="str">
        <f t="shared" si="78"/>
        <v>"%USERPROFILE%\Documents\GitHub\eaglep3\Utilities\RefineRTDCRunTimes.py" --tripid 226-24 --locoid 4008 --swversion DE.1.0.8.0 --startMP 204:232985 --initTime 2016-12-24T20:52:49 --startdatetime 2016-12-24T20:56:43 --delay 1 --endMP 204:209 --enddatetime 2016-12-24T21:34:36 --enforcementcount 1 &gt;&gt;C:\Users\stu\Documents\GitHub\eaglep3-reporting\EC\2016-12-24-refined-times.txt</v>
      </c>
      <c r="AI139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{"issue":{"subject":"","project_id":79,"tracker_id":40,"status_id":1,"priority_id":2,"assigned_to_id":23,"start_date":"2016-12-24","description":"","custom_fields":[{"id":1,"name":"Subdivision","value":"EC"},{"id":4,"name":"Milepost","value":"0.0209"},{"id":17,"name":"Train ID","value":"226-24"},{"id":16,"name":"Locomotive ID","value":"4008"},{"id":130,"name":"Impact","value":""},{"id":150,"name":"Time of Event (Mountain Time)","value":"21:34:36"},{"id":151,"name":"Denver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612</v>
      </c>
      <c r="B140" s="7">
        <v>4011</v>
      </c>
      <c r="C140" s="22" t="s">
        <v>205</v>
      </c>
      <c r="D140" s="22" t="s">
        <v>263</v>
      </c>
      <c r="E140" s="13">
        <v>42728.840798611112</v>
      </c>
      <c r="F140" s="13">
        <v>42728.854409722226</v>
      </c>
      <c r="G140" s="7">
        <v>1</v>
      </c>
      <c r="H140" s="22" t="s">
        <v>319</v>
      </c>
      <c r="I140" s="13">
        <v>42728.878877314812</v>
      </c>
      <c r="J140" s="7">
        <v>1</v>
      </c>
      <c r="K140" s="109" t="str">
        <f t="shared" si="80"/>
        <v>4011/4012</v>
      </c>
      <c r="L140" s="22" t="str">
        <f>VLOOKUP(A140,'Trips&amp;Operators'!$C$1:$G$99999,5,FALSE)</f>
        <v>HILLS DUSTIN</v>
      </c>
      <c r="M140" s="6">
        <f t="shared" si="81"/>
        <v>2.4467592586006504E-2</v>
      </c>
      <c r="N140" s="7">
        <f t="shared" si="82"/>
        <v>35.233333323849365</v>
      </c>
      <c r="O140" s="7"/>
      <c r="P140" s="7"/>
      <c r="Q140" s="23"/>
      <c r="R140" s="23"/>
      <c r="S140" s="35">
        <f t="shared" si="83"/>
        <v>1</v>
      </c>
      <c r="T140" s="50" t="str">
        <f t="shared" si="84"/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19:10:45-700',mode:absolute,to:'2016-12-24 22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 t="shared" si="86"/>
        <v>N</v>
      </c>
      <c r="X140" s="177">
        <f t="shared" si="87"/>
        <v>1</v>
      </c>
      <c r="Y140" s="67">
        <f t="shared" si="88"/>
        <v>4.6699999999999998E-2</v>
      </c>
      <c r="Z140" s="67">
        <f t="shared" si="89"/>
        <v>23.331199999999999</v>
      </c>
      <c r="AA140" s="67">
        <f t="shared" si="90"/>
        <v>23.284499999999998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91"/>
        <v>0227-24</v>
      </c>
      <c r="AE140" s="91" t="str">
        <f t="shared" si="92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40" s="88" t="str">
        <f t="shared" si="93"/>
        <v>"C:\Program Files (x86)\AstroGrep\AstroGrep.exe" /spath="%USERPROFILE%\AppData\Local\Temp\OnboardLogs" /stypes="app*4011*20161225*" /stext=" 04:.+((SYSTEM_STATE.+slice.+state.+changed )|(ment ac)|(multiple cpu faults)|(system.+state.+changed )|(\[timeout)|(PRM\|1\|D)|(kpr)|(kdp)|(\|lc)|(penalty))" /e /r /s</v>
      </c>
      <c r="AG140" s="1" t="str">
        <f t="shared" si="94"/>
        <v>EC</v>
      </c>
      <c r="AH140" s="92" t="str">
        <f t="shared" si="78"/>
        <v>"%USERPROFILE%\Documents\GitHub\eaglep3\Utilities\RefineRTDCRunTimes.py" --tripid 227-24 --locoid 4011 --swversion DE.1.0.8.0 --startMP 204:467 --initTime 2016-12-24T20:10:45 --startdatetime 2016-12-24T20:30:21 --delay 1 --endMP 204:233312 --enddatetime 2016-12-24T21:05:35 --enforcementcount 1 &gt;&gt;C:\Users\stu\Documents\GitHub\eaglep3-reporting\EC\2016-12-24-refined-times.txt</v>
      </c>
      <c r="AI140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{"issue":{"subject":"","project_id":79,"tracker_id":40,"status_id":1,"priority_id":2,"assigned_to_id":23,"start_date":"2016-12-24","description":"","custom_fields":[{"id":1,"name":"Subdivision","value":"EC"},{"id":4,"name":"Milepost","value":"23.3312"},{"id":17,"name":"Train ID","value":"227-24"},{"id":16,"name":"Locomotive ID","value":"4011"},{"id":130,"name":"Impact","value":""},{"id":150,"name":"Time of Event (Mountain Time)","value":"21:05:35"},{"id":151,"name":"Denver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618</v>
      </c>
      <c r="B141" s="7">
        <v>4012</v>
      </c>
      <c r="C141" s="22" t="s">
        <v>205</v>
      </c>
      <c r="D141" s="22" t="s">
        <v>394</v>
      </c>
      <c r="E141" s="13">
        <v>42728.880266203705</v>
      </c>
      <c r="F141" s="13">
        <v>42728.893379629626</v>
      </c>
      <c r="G141" s="7">
        <v>1</v>
      </c>
      <c r="H141" s="22" t="s">
        <v>260</v>
      </c>
      <c r="I141" s="13">
        <v>42728.920069444444</v>
      </c>
      <c r="J141" s="7">
        <v>1</v>
      </c>
      <c r="K141" s="109" t="str">
        <f t="shared" si="80"/>
        <v>4011/4012</v>
      </c>
      <c r="L141" s="22" t="str">
        <f>VLOOKUP(A141,'Trips&amp;Operators'!$C$1:$G$99999,5,FALSE)</f>
        <v>HILLS DUSTIN</v>
      </c>
      <c r="M141" s="6">
        <f t="shared" si="81"/>
        <v>2.6689814818382729E-2</v>
      </c>
      <c r="N141" s="7">
        <f t="shared" si="82"/>
        <v>38.43333333847113</v>
      </c>
      <c r="O141" s="7"/>
      <c r="P141" s="7"/>
      <c r="Q141" s="23"/>
      <c r="R141" s="23"/>
      <c r="S141" s="35">
        <f t="shared" si="83"/>
        <v>1</v>
      </c>
      <c r="T141" s="50" t="str">
        <f t="shared" si="84"/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20:07:35-700',mode:absolute,to:'2016-12-24 23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 t="shared" si="86"/>
        <v>N</v>
      </c>
      <c r="X141" s="177">
        <f t="shared" si="87"/>
        <v>1</v>
      </c>
      <c r="Y141" s="67">
        <f t="shared" si="88"/>
        <v>23.3005</v>
      </c>
      <c r="Z141" s="67">
        <f t="shared" si="89"/>
        <v>1.3899999999999999E-2</v>
      </c>
      <c r="AA141" s="67">
        <f t="shared" si="90"/>
        <v>23.2866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si="91"/>
        <v>0228-24</v>
      </c>
      <c r="AE141" s="91" t="str">
        <f t="shared" si="92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41" s="88" t="str">
        <f t="shared" si="93"/>
        <v>"C:\Program Files (x86)\AstroGrep\AstroGrep.exe" /spath="%USERPROFILE%\AppData\Local\Temp\OnboardLogs" /stypes="app*4012*20161225*" /stext=" 05:.+((SYSTEM_STATE.+slice.+state.+changed )|(ment ac)|(multiple cpu faults)|(system.+state.+changed )|(\[timeout)|(PRM\|1\|D)|(kpr)|(kdp)|(\|lc)|(penalty))" /e /r /s</v>
      </c>
      <c r="AG141" s="1" t="str">
        <f t="shared" si="94"/>
        <v>EC</v>
      </c>
      <c r="AH141" s="92" t="str">
        <f t="shared" si="78"/>
        <v>"%USERPROFILE%\Documents\GitHub\eaglep3\Utilities\RefineRTDCRunTimes.py" --tripid 228-24 --locoid 4012 --swversion DE.1.0.8.0 --startMP 204:233005 --initTime 2016-12-24T21:07:35 --startdatetime 2016-12-24T21:26:28 --delay 1 --endMP 204:139 --enddatetime 2016-12-24T22:04:54 --enforcementcount 1 &gt;&gt;C:\Users\stu\Documents\GitHub\eaglep3-reporting\EC\2016-12-24-refined-times.txt</v>
      </c>
      <c r="AI141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{"issue":{"subject":"","project_id":79,"tracker_id":40,"status_id":1,"priority_id":2,"assigned_to_id":23,"start_date":"2016-12-24","description":"","custom_fields":[{"id":1,"name":"Subdivision","value":"EC"},{"id":4,"name":"Milepost","value":"0.0139"},{"id":17,"name":"Train ID","value":"228-24"},{"id":16,"name":"Locomotive ID","value":"4012"},{"id":130,"name":"Impact","value":""},{"id":150,"name":"Time of Event (Mountain Time)","value":"22:04:54"},{"id":151,"name":"Denver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617</v>
      </c>
      <c r="B142" s="7">
        <v>4044</v>
      </c>
      <c r="C142" s="22" t="s">
        <v>205</v>
      </c>
      <c r="D142" s="22" t="s">
        <v>671</v>
      </c>
      <c r="E142" s="13">
        <v>42728.871192129627</v>
      </c>
      <c r="F142" s="13">
        <v>42728.8752662037</v>
      </c>
      <c r="G142" s="7">
        <v>1</v>
      </c>
      <c r="H142" s="22" t="s">
        <v>354</v>
      </c>
      <c r="I142" s="13">
        <v>42728.901030092595</v>
      </c>
      <c r="J142" s="7">
        <v>1</v>
      </c>
      <c r="K142" s="109" t="str">
        <f t="shared" si="80"/>
        <v>4043/4044</v>
      </c>
      <c r="L142" s="22" t="str">
        <f>VLOOKUP(A142,'Trips&amp;Operators'!$C$1:$G$99999,5,FALSE)</f>
        <v>BROWN JACOB</v>
      </c>
      <c r="M142" s="6">
        <f t="shared" si="81"/>
        <v>2.5763888894289266E-2</v>
      </c>
      <c r="N142" s="7">
        <f t="shared" si="82"/>
        <v>37.100000007776543</v>
      </c>
      <c r="O142" s="7"/>
      <c r="P142" s="7"/>
      <c r="Q142" s="23"/>
      <c r="R142" s="23"/>
      <c r="S142" s="35">
        <f t="shared" si="83"/>
        <v>1</v>
      </c>
      <c r="T142" s="50" t="str">
        <f t="shared" si="84"/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85"/>
        <v>https://search-rtdc-monitor-bjffxe2xuh6vdkpspy63sjmuny.us-east-1.es.amazonaws.com/_plugin/kibana/#/discover/Steve-Slow-Train-Analysis-(2080s-and-2083s)?_g=(refreshInterval:(display:Off,section:0,value:0),time:(from:'2016-12-24 19:54:31-700',mode:absolute,to:'2016-12-24 22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2" s="52" t="str">
        <f t="shared" si="86"/>
        <v>N</v>
      </c>
      <c r="X142" s="177">
        <f t="shared" si="87"/>
        <v>1</v>
      </c>
      <c r="Y142" s="67">
        <f t="shared" si="88"/>
        <v>4.4600000000000001E-2</v>
      </c>
      <c r="Z142" s="67">
        <f t="shared" si="89"/>
        <v>23.3338</v>
      </c>
      <c r="AA142" s="67">
        <f t="shared" si="90"/>
        <v>23.289200000000001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91"/>
        <v>0229-24</v>
      </c>
      <c r="AE142" s="91" t="str">
        <f t="shared" si="92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42" s="88" t="str">
        <f t="shared" si="93"/>
        <v>"C:\Program Files (x86)\AstroGrep\AstroGrep.exe" /spath="%USERPROFILE%\AppData\Local\Temp\OnboardLogs" /stypes="app*4044*20161225*" /stext=" 04:.+((SYSTEM_STATE.+slice.+state.+changed )|(ment ac)|(multiple cpu faults)|(system.+state.+changed )|(\[timeout)|(PRM\|1\|D)|(kpr)|(kdp)|(\|lc)|(penalty))" /e /r /s</v>
      </c>
      <c r="AG142" s="1" t="str">
        <f t="shared" si="94"/>
        <v>EC</v>
      </c>
      <c r="AH142" s="92" t="str">
        <f t="shared" si="78"/>
        <v>"%USERPROFILE%\Documents\GitHub\eaglep3\Utilities\RefineRTDCRunTimes.py" --tripid 229-24 --locoid 4044 --swversion DE.1.0.8.0 --startMP 204:446 --initTime 2016-12-24T20:54:31 --startdatetime 2016-12-24T21:00:23 --delay 1 --endMP 204:233338 --enddatetime 2016-12-24T21:37:29 --enforcementcount 1 &gt;&gt;C:\Users\stu\Documents\GitHub\eaglep3-reporting\EC\2016-12-24-refined-times.txt</v>
      </c>
      <c r="AI142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{"issue":{"subject":"","project_id":79,"tracker_id":40,"status_id":1,"priority_id":2,"assigned_to_id":23,"start_date":"2016-12-24","description":"","custom_fields":[{"id":1,"name":"Subdivision","value":"EC"},{"id":4,"name":"Milepost","value":"23.3338"},{"id":17,"name":"Train ID","value":"229-24"},{"id":16,"name":"Locomotive ID","value":"4044"},{"id":130,"name":"Impact","value":""},{"id":150,"name":"Time of Event (Mountain Time)","value":"21:37:29"},{"id":151,"name":"Denver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623</v>
      </c>
      <c r="B143" s="7">
        <v>4043</v>
      </c>
      <c r="C143" s="22" t="s">
        <v>205</v>
      </c>
      <c r="D143" s="22" t="s">
        <v>399</v>
      </c>
      <c r="E143" s="13">
        <v>42728.90892361111</v>
      </c>
      <c r="F143" s="13">
        <v>42728.914085648146</v>
      </c>
      <c r="G143" s="7">
        <v>1</v>
      </c>
      <c r="H143" s="22" t="s">
        <v>346</v>
      </c>
      <c r="I143" s="13">
        <v>42728.944548611114</v>
      </c>
      <c r="J143" s="7">
        <v>1</v>
      </c>
      <c r="K143" s="109" t="str">
        <f t="shared" ref="K143:K175" si="95">IF(ISEVEN(B143),(B143-1)&amp;"/"&amp;B143,B143&amp;"/"&amp;(B143+1))</f>
        <v>4043/4044</v>
      </c>
      <c r="L143" s="22" t="str">
        <f>VLOOKUP(A143,'Trips&amp;Operators'!$C$1:$G$99999,5,FALSE)</f>
        <v>BROWN JACOB</v>
      </c>
      <c r="M143" s="6">
        <f t="shared" ref="M143:M175" si="96">I143-F143</f>
        <v>3.0462962968158536E-2</v>
      </c>
      <c r="N143" s="7">
        <f t="shared" ref="N143:N175" si="97">24*60*SUM($M143:$M143)</f>
        <v>43.866666674148291</v>
      </c>
      <c r="O143" s="7"/>
      <c r="P143" s="7"/>
      <c r="Q143" s="23"/>
      <c r="R143" s="23"/>
      <c r="S143" s="35">
        <f t="shared" ref="S143:S175" si="98">SUM(U143:U143)/IF(AG143="EC",12,1)</f>
        <v>1</v>
      </c>
      <c r="T143" s="50" t="str">
        <f t="shared" ref="T143:T175" si="99">IF(ISEVEN(LEFT(AD143,4)),"Southbound","NorthBound")</f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ref="V143:V175" si="100"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https://search-rtdc-monitor-bjffxe2xuh6vdkpspy63sjmuny.us-east-1.es.amazonaws.com/_plugin/kibana/#/discover/Steve-Slow-Train-Analysis-(2080s-and-2083s)?_g=(refreshInterval:(display:Off,section:0,value:0),time:(from:'2016-12-24 20:48:51-700',mode:absolute,to:'2016-12-24 23:40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3" s="52" t="str">
        <f t="shared" ref="W143:W175" si="101">IF(AA143&lt;IF(AG143="EC",23,5.65),"Y","N")</f>
        <v>N</v>
      </c>
      <c r="X143" s="177">
        <f t="shared" ref="X143:X175" si="102">VALUE(LEFT(AD143,4))-VALUE(LEFT(AD142,4))</f>
        <v>1</v>
      </c>
      <c r="Y143" s="67">
        <f t="shared" ref="Y143:Y175" si="103">RIGHT(D143,LEN(D143)-4)/10000</f>
        <v>23.302099999999999</v>
      </c>
      <c r="Z143" s="67">
        <f t="shared" ref="Z143:Z175" si="104">RIGHT(H143,LEN(H143)-4)/10000</f>
        <v>1.5800000000000002E-2</v>
      </c>
      <c r="AA143" s="67">
        <f t="shared" ref="AA143:AA175" si="105">ABS(Z143-Y143)</f>
        <v>23.286300000000001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ref="AD143:AD175" si="106">IF(LEN(A143)=6,"0"&amp;A143,A143)</f>
        <v>0230-24</v>
      </c>
      <c r="AE143" s="91" t="str">
        <f t="shared" ref="AE143:AE175" si="107"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AF143" s="88" t="str">
        <f t="shared" ref="AF143:AF175" si="108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/stypes="app*4043*20161225*" /stext=" 05:.+((SYSTEM_STATE.+slice.+state.+changed )|(ment ac)|(multiple cpu faults)|(system.+state.+changed )|(\[timeout)|(PRM\|1\|D)|(kpr)|(kdp)|(\|lc)|(penalty))" /e /r /s</v>
      </c>
      <c r="AG143" s="1" t="str">
        <f t="shared" ref="AG143:AG175" si="109">IFERROR(IF(VALUE(LEFT(AD143,2))&lt;=2,"EC",IF(OR(VALUE(LEFT(AD143,2))=8,VALUE(LEFT(AD143,2))=18),"NW","Other")),"Other")</f>
        <v>EC</v>
      </c>
      <c r="AH143" s="92" t="str">
        <f t="shared" si="78"/>
        <v>"%USERPROFILE%\Documents\GitHub\eaglep3\Utilities\RefineRTDCRunTimes.py" --tripid 230-24 --locoid 4043 --swversion DE.1.0.8.0 --startMP 204:233021 --initTime 2016-12-24T21:48:51 --startdatetime 2016-12-24T21:56:17 --delay 1 --endMP 204:158 --enddatetime 2016-12-24T22:40:09 --enforcementcount 1 &gt;&gt;C:\Users\stu\Documents\GitHub\eaglep3-reporting\EC\2016-12-24-refined-times.txt</v>
      </c>
      <c r="AI143" s="119" t="str">
        <f t="shared" si="79"/>
        <v>echo {"issue":{"subject":"","project_id":79,"tracker_id":40,"status_id":1,"priority_id":2,"assigned_to_id":23,"start_date":"2016-12-24","description":"","custom_fields":[{"id":1,"name":"Subdivision","value":"EC"},{"id":4,"name":"Milepost","value":"0.0158"},{"id":17,"name":"Train ID","value":"230-24"},{"id":16,"name":"Locomotive ID","value":"4043"},{"id":130,"name":"Impact","value":""},{"id":150,"name":"Time of Event (Mountain Time)","value":"22:40:09"},{"id":151,"name":"Denver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619</v>
      </c>
      <c r="B144" s="7">
        <v>4003</v>
      </c>
      <c r="C144" s="22" t="s">
        <v>205</v>
      </c>
      <c r="D144" s="22" t="s">
        <v>254</v>
      </c>
      <c r="E144" s="13">
        <v>42728.884988425925</v>
      </c>
      <c r="F144" s="13">
        <v>42728.896041666667</v>
      </c>
      <c r="G144" s="7">
        <v>1</v>
      </c>
      <c r="H144" s="22" t="s">
        <v>731</v>
      </c>
      <c r="I144" s="13">
        <v>42728.926006944443</v>
      </c>
      <c r="J144" s="7">
        <v>1</v>
      </c>
      <c r="K144" s="109" t="str">
        <f t="shared" si="95"/>
        <v>4003/4004</v>
      </c>
      <c r="L144" s="22" t="str">
        <f>VLOOKUP(A144,'Trips&amp;Operators'!$C$1:$G$99999,5,FALSE)</f>
        <v>SMITH MICHAEL</v>
      </c>
      <c r="M144" s="6">
        <f t="shared" si="96"/>
        <v>2.9965277775772847E-2</v>
      </c>
      <c r="N144" s="7">
        <f t="shared" si="97"/>
        <v>43.1499999971129</v>
      </c>
      <c r="O144" s="7"/>
      <c r="P144" s="7"/>
      <c r="Q144" s="23"/>
      <c r="R144" s="23"/>
      <c r="S144" s="35">
        <f t="shared" si="98"/>
        <v>1</v>
      </c>
      <c r="T144" s="50" t="str">
        <f t="shared" si="99"/>
        <v>NorthBound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20:14:23-700',mode:absolute,to:'2016-12-24 23:13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44" s="52" t="str">
        <f t="shared" si="101"/>
        <v>N</v>
      </c>
      <c r="X144" s="177">
        <f t="shared" si="102"/>
        <v>1</v>
      </c>
      <c r="Y144" s="67">
        <f t="shared" si="103"/>
        <v>4.53E-2</v>
      </c>
      <c r="Z144" s="67">
        <f t="shared" si="104"/>
        <v>23.242899999999999</v>
      </c>
      <c r="AA144" s="67">
        <f t="shared" si="105"/>
        <v>23.197599999999998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106"/>
        <v>0231-24</v>
      </c>
      <c r="AE144" s="91" t="str">
        <f t="shared" si="107"/>
        <v>aws s3 cp s3://rtdc.mdm.uploadarchive.raw/RTDC4003/ "%USERPROFILE%\AppData\Local\Temp\OnboardLogs"\RTDC4003\2016-12-24 --exclude "*" --recursive --include "*20161224*" &amp; "%USERPROFILE%\Documents\GitHub\mrs-test-scripts\Headless Mode &amp; Sideloading\WalkAndUnGZ.bat" "%USERPROFILE%\AppData\Local\Temp\OnboardLogs"\RTDC4003\2016-12-24 &amp; aws s3 cp s3://rtdc.mdm.uploadarchive.raw/RTDC4003/ "%USERPROFILE%\AppData\Local\Temp\OnboardLogs"\RTDC4003\2016-12-25 --exclude "*" --recursive --include "*20161225*" &amp; "%USERPROFILE%\Documents\GitHub\mrs-test-scripts\Headless Mode &amp; Sideloading\WalkAndUnGZ.bat" "%USERPROFILE%\AppData\Local\Temp\OnboardLogs"\RTDC4003\2016-12-25</v>
      </c>
      <c r="AF144" s="88" t="str">
        <f t="shared" si="108"/>
        <v>"C:\Program Files (x86)\AstroGrep\AstroGrep.exe" /spath="%USERPROFILE%\AppData\Local\Temp\OnboardLogs" /stypes="app*4003*20161225*" /stext=" 05:.+((SYSTEM_STATE.+slice.+state.+changed )|(ment ac)|(multiple cpu faults)|(system.+state.+changed )|(\[timeout)|(PRM\|1\|D)|(kpr)|(kdp)|(\|lc)|(penalty))" /e /r /s</v>
      </c>
      <c r="AG144" s="1" t="str">
        <f t="shared" si="109"/>
        <v>EC</v>
      </c>
      <c r="AH144" s="92" t="str">
        <f t="shared" ref="AH144:AH208" si="110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231-24 --locoid 4003 --swversion DE.1.0.8.0 --startMP 204:453 --initTime 2016-12-24T21:14:23 --startdatetime 2016-12-24T21:30:18 --delay 1 --endMP 204:232429 --enddatetime 2016-12-24T22:13:27 --enforcementcount 1 &gt;&gt;C:\Users\stu\Documents\GitHub\eaglep3-reporting\EC\2016-12-24-refined-times.txt</v>
      </c>
      <c r="AI144" s="119" t="str">
        <f t="shared" ref="AI144:AI208" si="111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{"issue":{"subject":"","project_id":79,"tracker_id":40,"status_id":1,"priority_id":2,"assigned_to_id":23,"start_date":"2016-12-24","description":"","custom_fields":[{"id":1,"name":"Subdivision","value":"EC"},{"id":4,"name":"Milepost","value":"23.2429"},{"id":17,"name":"Train ID","value":"231-24"},{"id":16,"name":"Locomotive ID","value":"4003"},{"id":130,"name":"Impact","value":""},{"id":150,"name":"Time of Event (Mountain Time)","value":"22:13:27"},{"id":151,"name":"Denver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790</v>
      </c>
      <c r="B145" s="7"/>
      <c r="C145" s="22" t="s">
        <v>205</v>
      </c>
      <c r="D145" s="22" t="s">
        <v>254</v>
      </c>
      <c r="E145" s="13">
        <v>42728.884988425925</v>
      </c>
      <c r="F145" s="13"/>
      <c r="G145" s="7">
        <v>1</v>
      </c>
      <c r="H145" s="22" t="s">
        <v>731</v>
      </c>
      <c r="I145" s="13"/>
      <c r="J145" s="7">
        <v>1</v>
      </c>
      <c r="K145" s="109" t="str">
        <f t="shared" ref="K145" si="112">IF(ISEVEN(B145),(B145-1)&amp;"/"&amp;B145,B145&amp;"/"&amp;(B145+1))</f>
        <v>-1/</v>
      </c>
      <c r="L145" s="22" t="e">
        <f>VLOOKUP(A145,'Trips&amp;Operators'!$C$1:$G$99999,5,FALSE)</f>
        <v>#N/A</v>
      </c>
      <c r="M145" s="6">
        <f t="shared" ref="M145" si="113">I145-F145</f>
        <v>0</v>
      </c>
      <c r="N145" s="7"/>
      <c r="O145" s="7"/>
      <c r="P145" s="7">
        <v>1</v>
      </c>
      <c r="Q145" s="23"/>
      <c r="R145" s="23" t="s">
        <v>791</v>
      </c>
      <c r="S145" s="35">
        <f t="shared" ref="S145" si="114">SUM(U145:U145)/IF(AG145="EC",12,1)</f>
        <v>0</v>
      </c>
      <c r="T145" s="50" t="str">
        <f t="shared" ref="T145" si="115">IF(ISEVEN(LEFT(AD145,4)),"Southbound","NorthBound")</f>
        <v>Southbound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0</v>
      </c>
      <c r="V145" s="98" t="str">
        <f t="shared" ref="V145" si="116"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https://search-rtdc-monitor-bjffxe2xuh6vdkpspy63sjmuny.us-east-1.es.amazonaws.com/_plugin/kibana/#/discover/Steve-Slow-Train-Analysis-(2080s-and-2083s)?_g=(refreshInterval:(display:Off,section:0,value:0),time:(from:'2016-12-24 20:14:23-700',mode:absolute,to:'1900-01-00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45" s="52" t="str">
        <f t="shared" ref="W145" si="117">IF(AA145&lt;IF(AG145="EC",23,5.65),"Y","N")</f>
        <v>N</v>
      </c>
      <c r="X145" s="177">
        <f t="shared" si="102"/>
        <v>1</v>
      </c>
      <c r="Y145" s="67">
        <f t="shared" ref="Y145" si="118">RIGHT(D145,LEN(D145)-4)/10000</f>
        <v>4.53E-2</v>
      </c>
      <c r="Z145" s="67">
        <f t="shared" ref="Z145" si="119">RIGHT(H145,LEN(H145)-4)/10000</f>
        <v>23.242899999999999</v>
      </c>
      <c r="AA145" s="67">
        <f t="shared" ref="AA145" si="120">ABS(Z145-Y145)</f>
        <v>23.197599999999998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ref="AD145" si="121">IF(LEN(A145)=6,"0"&amp;A145,A145)</f>
        <v>0232-24</v>
      </c>
      <c r="AE145" s="91" t="str">
        <f t="shared" ref="AE145" si="122"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45" s="88" t="str">
        <f t="shared" ref="AF145" si="123"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45" s="1" t="str">
        <f t="shared" ref="AG145" si="124">IFERROR(IF(VALUE(LEFT(AD145,2))&lt;=2,"EC",IF(OR(VALUE(LEFT(AD145,2))=8,VALUE(LEFT(AD145,2))=18),"NW","Other")),"Other")</f>
        <v>EC</v>
      </c>
      <c r="AH145" s="92" t="str">
        <f t="shared" ref="AH145" si="125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232-24 --locoid  --swversion DE.1.0.8.0 --startMP 204:453 --initTime 2016-12-24T21:14:23 --startdatetime 1900-01-00T00:00:00 --delay 1 --endMP 204:232429 --enddatetime 1900-01-00T00:00:00 --enforcementcount 1 &gt;&gt;C:\Users\stu\Documents\GitHub\eaglep3-reporting\EC\2016-12-24-refined-times.txt</v>
      </c>
      <c r="AI145" s="119" t="str">
        <f t="shared" ref="AI145" si="126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{"issue":{"subject":"Did not init (public threat?)","project_id":79,"tracker_id":40,"status_id":1,"priority_id":2,"assigned_to_id":23,"start_date":"1900-01-00","description":"","custom_fields":[{"id":1,"name":"Subdivision","value":"EC"},{"id":4,"name":"Milepost","value":"23.2429"},{"id":17,"name":"Train ID","value":"232-24"},{"id":16,"name":"Locomotive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622</v>
      </c>
      <c r="B146" s="7">
        <v>4007</v>
      </c>
      <c r="C146" s="22" t="s">
        <v>205</v>
      </c>
      <c r="D146" s="22" t="s">
        <v>732</v>
      </c>
      <c r="E146" s="13">
        <v>42728.901469907411</v>
      </c>
      <c r="F146" s="13">
        <v>42728.917060185187</v>
      </c>
      <c r="G146" s="7">
        <v>1</v>
      </c>
      <c r="H146" s="22" t="s">
        <v>733</v>
      </c>
      <c r="I146" s="13">
        <v>42728.959687499999</v>
      </c>
      <c r="J146" s="7">
        <v>1</v>
      </c>
      <c r="K146" s="109" t="str">
        <f t="shared" si="95"/>
        <v>4007/4008</v>
      </c>
      <c r="L146" s="22" t="str">
        <f>VLOOKUP(A146,'Trips&amp;Operators'!$C$1:$G$99999,5,FALSE)</f>
        <v>STAMBAUGH JAMES</v>
      </c>
      <c r="M146" s="6">
        <f t="shared" si="96"/>
        <v>4.262731481139781E-2</v>
      </c>
      <c r="N146" s="7">
        <f t="shared" si="97"/>
        <v>61.383333328412846</v>
      </c>
      <c r="O146" s="7"/>
      <c r="P146" s="7"/>
      <c r="Q146" s="23"/>
      <c r="R146" s="23" t="s">
        <v>781</v>
      </c>
      <c r="S146" s="35">
        <f t="shared" si="98"/>
        <v>1</v>
      </c>
      <c r="T146" s="50" t="str">
        <f t="shared" si="99"/>
        <v>NorthBound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20:38:07-700',mode:absolute,to:'2016-12-25 00:01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46" s="52" t="str">
        <f t="shared" si="101"/>
        <v>Y</v>
      </c>
      <c r="X146" s="177">
        <f t="shared" si="102"/>
        <v>1</v>
      </c>
      <c r="Y146" s="67">
        <f t="shared" si="103"/>
        <v>5.2400000000000002E-2</v>
      </c>
      <c r="Z146" s="67">
        <f t="shared" si="104"/>
        <v>15.789300000000001</v>
      </c>
      <c r="AA146" s="67">
        <f t="shared" si="105"/>
        <v>15.7369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106"/>
        <v>0233-24</v>
      </c>
      <c r="AE146" s="91" t="str">
        <f t="shared" si="107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46" s="88" t="str">
        <f t="shared" si="108"/>
        <v>"C:\Program Files (x86)\AstroGrep\AstroGrep.exe" /spath="%USERPROFILE%\AppData\Local\Temp\OnboardLogs" /stypes="app*4007*20161225*" /stext=" 06:.+((SYSTEM_STATE.+slice.+state.+changed )|(ment ac)|(multiple cpu faults)|(system.+state.+changed )|(\[timeout)|(PRM\|1\|D)|(kpr)|(kdp)|(\|lc)|(penalty))" /e /r /s</v>
      </c>
      <c r="AG146" s="1" t="str">
        <f t="shared" si="109"/>
        <v>EC</v>
      </c>
      <c r="AH146" s="92" t="str">
        <f t="shared" si="110"/>
        <v>"%USERPROFILE%\Documents\GitHub\eaglep3\Utilities\RefineRTDCRunTimes.py" --tripid 233-24 --locoid 4007 --swversion DE.1.0.8.0 --startMP 204:524 --initTime 2016-12-24T21:38:07 --startdatetime 2016-12-24T22:00:34 --delay 1 --endMP 204:157893 --enddatetime 2016-12-24T23:01:57 --enforcementcount 1 &gt;&gt;C:\Users\stu\Documents\GitHub\eaglep3-reporting\EC\2016-12-24-refined-times.txt</v>
      </c>
      <c r="AI146" s="119" t="str">
        <f t="shared" si="111"/>
        <v>echo {"issue":{"subject":"Turned around at 61st/Pena (Public threat)?","project_id":79,"tracker_id":40,"status_id":1,"priority_id":2,"assigned_to_id":23,"start_date":"2016-12-24","description":"","custom_fields":[{"id":1,"name":"Subdivision","value":"EC"},{"id":4,"name":"Milepost","value":"15.7893"},{"id":17,"name":"Train ID","value":"233-24"},{"id":16,"name":"Locomotive ID","value":"4007"},{"id":130,"name":"Impact","value":""},{"id":150,"name":"Time of Event (Mountain Time)","value":"23:01:57"},{"id":151,"name":"Denver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626</v>
      </c>
      <c r="B147" s="7">
        <v>4008</v>
      </c>
      <c r="C147" s="22" t="s">
        <v>205</v>
      </c>
      <c r="D147" s="22" t="s">
        <v>734</v>
      </c>
      <c r="E147" s="13">
        <v>42728.960659722223</v>
      </c>
      <c r="F147" s="13">
        <v>42728.961863425924</v>
      </c>
      <c r="G147" s="7">
        <v>1</v>
      </c>
      <c r="H147" s="22" t="s">
        <v>415</v>
      </c>
      <c r="I147" s="13">
        <v>42728.981608796297</v>
      </c>
      <c r="J147" s="7">
        <v>1</v>
      </c>
      <c r="K147" s="109" t="str">
        <f t="shared" si="95"/>
        <v>4007/4008</v>
      </c>
      <c r="L147" s="22" t="str">
        <f>VLOOKUP(A147,'Trips&amp;Operators'!$C$1:$G$99999,5,FALSE)</f>
        <v>STAMBAUGH JAMES</v>
      </c>
      <c r="M147" s="6">
        <f t="shared" si="96"/>
        <v>1.9745370373129845E-2</v>
      </c>
      <c r="N147" s="7">
        <f t="shared" si="97"/>
        <v>28.433333337306976</v>
      </c>
      <c r="O147" s="7"/>
      <c r="P147" s="7"/>
      <c r="Q147" s="23"/>
      <c r="R147" s="23" t="s">
        <v>781</v>
      </c>
      <c r="S147" s="35">
        <f t="shared" si="98"/>
        <v>1</v>
      </c>
      <c r="T147" s="50" t="str">
        <f t="shared" si="99"/>
        <v>Southbound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22:03:21-700',mode:absolute,to:'2016-12-25 00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47" s="52" t="str">
        <f t="shared" si="101"/>
        <v>Y</v>
      </c>
      <c r="X147" s="177">
        <f t="shared" si="102"/>
        <v>1</v>
      </c>
      <c r="Y147" s="67">
        <f t="shared" si="103"/>
        <v>15.766500000000001</v>
      </c>
      <c r="Z147" s="67">
        <f t="shared" si="104"/>
        <v>1.34E-2</v>
      </c>
      <c r="AA147" s="67">
        <f t="shared" si="105"/>
        <v>15.7531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106"/>
        <v>0234-24</v>
      </c>
      <c r="AE147" s="91" t="str">
        <f t="shared" si="107"/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AF147" s="88" t="str">
        <f t="shared" si="108"/>
        <v>"C:\Program Files (x86)\AstroGrep\AstroGrep.exe" /spath="%USERPROFILE%\AppData\Local\Temp\OnboardLogs" /stypes="app*4008*20161225*" /stext=" 06:.+((SYSTEM_STATE.+slice.+state.+changed )|(ment ac)|(multiple cpu faults)|(system.+state.+changed )|(\[timeout)|(PRM\|1\|D)|(kpr)|(kdp)|(\|lc)|(penalty))" /e /r /s</v>
      </c>
      <c r="AG147" s="1" t="str">
        <f t="shared" si="109"/>
        <v>EC</v>
      </c>
      <c r="AH147" s="92" t="str">
        <f t="shared" si="110"/>
        <v>"%USERPROFILE%\Documents\GitHub\eaglep3\Utilities\RefineRTDCRunTimes.py" --tripid 234-24 --locoid 4008 --swversion DE.1.0.8.0 --startMP 204:157665 --initTime 2016-12-24T23:03:21 --startdatetime 2016-12-24T23:05:05 --delay 1 --endMP 204:134 --enddatetime 2016-12-24T23:33:31 --enforcementcount 1 &gt;&gt;C:\Users\stu\Documents\GitHub\eaglep3-reporting\EC\2016-12-24-refined-times.txt</v>
      </c>
      <c r="AI147" s="119" t="str">
        <f t="shared" si="111"/>
        <v>echo {"issue":{"subject":"Turned around at 61st/Pena (Public threat)?","project_id":79,"tracker_id":40,"status_id":1,"priority_id":2,"assigned_to_id":23,"start_date":"2016-12-24","description":"","custom_fields":[{"id":1,"name":"Subdivision","value":"EC"},{"id":4,"name":"Milepost","value":"0.0134"},{"id":17,"name":"Train ID","value":"234-24"},{"id":16,"name":"Locomotive ID","value":"4008"},{"id":130,"name":"Impact","value":""},{"id":150,"name":"Time of Event (Mountain Time)","value":"23:33:31"},{"id":151,"name":"Denver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454</v>
      </c>
      <c r="B148" s="7">
        <v>4011</v>
      </c>
      <c r="C148" s="22" t="s">
        <v>205</v>
      </c>
      <c r="D148" s="22" t="s">
        <v>647</v>
      </c>
      <c r="E148" s="13">
        <v>42728.921412037038</v>
      </c>
      <c r="F148" s="13">
        <v>42728.937696759262</v>
      </c>
      <c r="G148" s="7">
        <v>1</v>
      </c>
      <c r="H148" s="22" t="s">
        <v>735</v>
      </c>
      <c r="I148" s="13">
        <v>42728.970300925925</v>
      </c>
      <c r="J148" s="7">
        <v>1</v>
      </c>
      <c r="K148" s="109" t="str">
        <f t="shared" si="95"/>
        <v>4011/4012</v>
      </c>
      <c r="L148" s="22" t="str">
        <f>VLOOKUP(A148,'Trips&amp;Operators'!$C$1:$G$99999,5,FALSE)</f>
        <v>HILLS DUSTIN</v>
      </c>
      <c r="M148" s="6">
        <f t="shared" si="96"/>
        <v>3.2604166663077194E-2</v>
      </c>
      <c r="N148" s="7">
        <f t="shared" si="97"/>
        <v>46.94999999483116</v>
      </c>
      <c r="O148" s="7"/>
      <c r="P148" s="7"/>
      <c r="Q148" s="23"/>
      <c r="R148" s="23"/>
      <c r="S148" s="35">
        <f t="shared" si="98"/>
        <v>1</v>
      </c>
      <c r="T148" s="50" t="str">
        <f t="shared" si="99"/>
        <v>NorthBound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21:06:50-700',mode:absolute,to:'2016-12-25 00:17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8" s="52" t="str">
        <f t="shared" si="101"/>
        <v>N</v>
      </c>
      <c r="X148" s="177">
        <f t="shared" si="102"/>
        <v>1</v>
      </c>
      <c r="Y148" s="67">
        <f t="shared" si="103"/>
        <v>4.4400000000000002E-2</v>
      </c>
      <c r="Z148" s="67">
        <f t="shared" si="104"/>
        <v>23.336600000000001</v>
      </c>
      <c r="AA148" s="67">
        <f t="shared" si="105"/>
        <v>23.292200000000001</v>
      </c>
      <c r="AB148" s="64" t="str">
        <f>VLOOKUP(A148,Enforcements!$C$7:$K$19,8,0)</f>
        <v>Speed (6)</v>
      </c>
      <c r="AC148" s="60" t="str">
        <f>VLOOKUP(A148,Enforcements!$C$7:$E$19,3,0)</f>
        <v>PERMANENT SPEED RESTRICTION</v>
      </c>
      <c r="AD148" s="61" t="str">
        <f t="shared" si="106"/>
        <v>0235-24</v>
      </c>
      <c r="AE148" s="91" t="str">
        <f t="shared" si="107"/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AF148" s="88" t="str">
        <f t="shared" si="108"/>
        <v>"C:\Program Files (x86)\AstroGrep\AstroGrep.exe" /spath="%USERPROFILE%\AppData\Local\Temp\OnboardLogs" /stypes="app*4011*20161225*" /stext=" 06:.+((SYSTEM_STATE.+slice.+state.+changed )|(ment ac)|(multiple cpu faults)|(system.+state.+changed )|(\[timeout)|(PRM\|1\|D)|(kpr)|(kdp)|(\|lc)|(penalty))" /e /r /s</v>
      </c>
      <c r="AG148" s="1" t="str">
        <f t="shared" si="109"/>
        <v>EC</v>
      </c>
      <c r="AH148" s="92" t="str">
        <f t="shared" si="110"/>
        <v>"%USERPROFILE%\Documents\GitHub\eaglep3\Utilities\RefineRTDCRunTimes.py" --tripid 235-24 --locoid 4011 --swversion DE.1.0.8.0 --startMP 204:444 --initTime 2016-12-24T22:06:50 --startdatetime 2016-12-24T22:30:17 --delay 1 --endMP 204:233366 --enddatetime 2016-12-24T23:17:14 --enforcementcount 1 &gt;&gt;C:\Users\stu\Documents\GitHub\eaglep3-reporting\EC\2016-12-24-refined-times.txt</v>
      </c>
      <c r="AI148" s="119" t="str">
        <f t="shared" si="111"/>
        <v>echo {"issue":{"subject":"","project_id":79,"tracker_id":40,"status_id":1,"priority_id":2,"assigned_to_id":23,"start_date":"2016-12-24","description":"","custom_fields":[{"id":1,"name":"Subdivision","value":"EC"},{"id":4,"name":"Milepost","value":"23.3366"},{"id":17,"name":"Train ID","value":"235-24"},{"id":16,"name":"Locomotive ID","value":"4011"},{"id":130,"name":"Impact","value":""},{"id":150,"name":"Time of Event (Mountain Time)","value":"23:17:14"},{"id":151,"name":"Denver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627</v>
      </c>
      <c r="B149" s="7">
        <v>4004</v>
      </c>
      <c r="C149" s="22" t="s">
        <v>205</v>
      </c>
      <c r="D149" s="22" t="s">
        <v>736</v>
      </c>
      <c r="E149" s="13">
        <v>42728.965694444443</v>
      </c>
      <c r="F149" s="13">
        <v>42728.9766087963</v>
      </c>
      <c r="G149" s="7">
        <v>1</v>
      </c>
      <c r="H149" s="22" t="s">
        <v>329</v>
      </c>
      <c r="I149" s="13">
        <v>42729.004594907405</v>
      </c>
      <c r="J149" s="7">
        <v>1</v>
      </c>
      <c r="K149" s="109" t="str">
        <f t="shared" si="95"/>
        <v>4003/4004</v>
      </c>
      <c r="L149" s="22" t="str">
        <f>VLOOKUP(A149,'Trips&amp;Operators'!$C$1:$G$99999,5,FALSE)</f>
        <v>SMITH MICHAEL</v>
      </c>
      <c r="M149" s="6">
        <f t="shared" si="96"/>
        <v>2.7986111104837619E-2</v>
      </c>
      <c r="N149" s="7">
        <f t="shared" si="97"/>
        <v>40.299999990966171</v>
      </c>
      <c r="O149" s="7"/>
      <c r="P149" s="7"/>
      <c r="Q149" s="23"/>
      <c r="R149" s="23"/>
      <c r="S149" s="35">
        <f t="shared" si="98"/>
        <v>1</v>
      </c>
      <c r="T149" s="50" t="str">
        <f t="shared" si="99"/>
        <v>Southbound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22:10:36-700',mode:absolute,to:'2016-12-25 01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49" s="52" t="str">
        <f t="shared" si="101"/>
        <v>N</v>
      </c>
      <c r="X149" s="177">
        <f t="shared" si="102"/>
        <v>1</v>
      </c>
      <c r="Y149" s="67">
        <f t="shared" si="103"/>
        <v>23.296299999999999</v>
      </c>
      <c r="Z149" s="67">
        <f t="shared" si="104"/>
        <v>1.6500000000000001E-2</v>
      </c>
      <c r="AA149" s="67">
        <f t="shared" si="105"/>
        <v>23.279799999999998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106"/>
        <v>0236-24</v>
      </c>
      <c r="AE149" s="91" t="str">
        <f t="shared" si="107"/>
        <v>aws s3 cp s3://rtdc.mdm.uploadarchive.raw/RTDC4004/ "%USERPROFILE%\AppData\Local\Temp\OnboardLogs"\RTDC4004\2016-12-24 --exclude "*" --recursive --include "*20161224*" &amp; "%USERPROFILE%\Documents\GitHub\mrs-test-scripts\Headless Mode &amp; Sideloading\WalkAndUnGZ.bat" "%USERPROFILE%\AppData\Local\Temp\OnboardLogs"\RTDC4004\2016-12-24 &amp; 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</v>
      </c>
      <c r="AF149" s="88" t="str">
        <f t="shared" si="108"/>
        <v>"C:\Program Files (x86)\AstroGrep\AstroGrep.exe" /spath="%USERPROFILE%\AppData\Local\Temp\OnboardLogs" /stypes="app*4004*20161225*" /stext=" 07:.+((SYSTEM_STATE.+slice.+state.+changed )|(ment ac)|(multiple cpu faults)|(system.+state.+changed )|(\[timeout)|(PRM\|1\|D)|(kpr)|(kdp)|(\|lc)|(penalty))" /e /r /s</v>
      </c>
      <c r="AG149" s="1" t="str">
        <f t="shared" si="109"/>
        <v>EC</v>
      </c>
      <c r="AH149" s="92" t="str">
        <f t="shared" si="110"/>
        <v>"%USERPROFILE%\Documents\GitHub\eaglep3\Utilities\RefineRTDCRunTimes.py" --tripid 236-24 --locoid 4004 --swversion DE.1.0.8.0 --startMP 204:232963 --initTime 2016-12-24T23:10:36 --startdatetime 2016-12-24T23:26:19 --delay 1 --endMP 204:165 --enddatetime 2016-12-25T00:06:37 --enforcementcount 1 &gt;&gt;C:\Users\stu\Documents\GitHub\eaglep3-reporting\EC\2016-12-24-refined-times.txt</v>
      </c>
      <c r="AI149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{"issue":{"subject":"","project_id":79,"tracker_id":40,"status_id":1,"priority_id":2,"assigned_to_id":23,"start_date":"2016-12-25","description":"","custom_fields":[{"id":1,"name":"Subdivision","value":"EC"},{"id":4,"name":"Milepost","value":"0.0165"},{"id":17,"name":"Train ID","value":"236-24"},{"id":16,"name":"Locomotive ID","value":"4004"},{"id":130,"name":"Impact","value":""},{"id":150,"name":"Time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455</v>
      </c>
      <c r="B150" s="7">
        <v>4044</v>
      </c>
      <c r="C150" s="22" t="s">
        <v>205</v>
      </c>
      <c r="D150" s="22" t="s">
        <v>228</v>
      </c>
      <c r="E150" s="13">
        <v>42728.954282407409</v>
      </c>
      <c r="F150" s="13">
        <v>42728.958495370367</v>
      </c>
      <c r="G150" s="7">
        <v>1</v>
      </c>
      <c r="H150" s="22" t="s">
        <v>663</v>
      </c>
      <c r="I150" s="13">
        <v>42728.983888888892</v>
      </c>
      <c r="J150" s="7">
        <v>1</v>
      </c>
      <c r="K150" s="109" t="str">
        <f t="shared" si="95"/>
        <v>4043/4044</v>
      </c>
      <c r="L150" s="22" t="str">
        <f>VLOOKUP(A150,'Trips&amp;Operators'!$C$1:$G$99999,5,FALSE)</f>
        <v>BROWN JACOB</v>
      </c>
      <c r="M150" s="6">
        <f t="shared" si="96"/>
        <v>2.5393518524651881E-2</v>
      </c>
      <c r="N150" s="7">
        <f t="shared" si="97"/>
        <v>36.566666675498709</v>
      </c>
      <c r="O150" s="7"/>
      <c r="P150" s="7"/>
      <c r="Q150" s="23"/>
      <c r="R150" s="23"/>
      <c r="S150" s="35">
        <f t="shared" si="98"/>
        <v>1</v>
      </c>
      <c r="T150" s="50" t="str">
        <f t="shared" si="99"/>
        <v>NorthBound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21:54:10-700',mode:absolute,to:'2016-12-25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0" s="52" t="str">
        <f t="shared" si="101"/>
        <v>N</v>
      </c>
      <c r="X150" s="177">
        <f t="shared" si="102"/>
        <v>1</v>
      </c>
      <c r="Y150" s="67">
        <f t="shared" si="103"/>
        <v>4.5499999999999999E-2</v>
      </c>
      <c r="Z150" s="67">
        <f t="shared" si="104"/>
        <v>23.3322</v>
      </c>
      <c r="AA150" s="67">
        <f t="shared" si="105"/>
        <v>23.2867</v>
      </c>
      <c r="AB150" s="64" t="str">
        <f>VLOOKUP(A150,Enforcements!$C$7:$K$19,8,0)</f>
        <v>Speed (6)</v>
      </c>
      <c r="AC150" s="60" t="str">
        <f>VLOOKUP(A150,Enforcements!$C$7:$E$19,3,0)</f>
        <v>PERMANENT SPEED RESTRICTION</v>
      </c>
      <c r="AD150" s="61" t="str">
        <f t="shared" si="106"/>
        <v>0237-24</v>
      </c>
      <c r="AE150" s="91" t="str">
        <f t="shared" si="107"/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AF150" s="88" t="str">
        <f t="shared" si="108"/>
        <v>"C:\Program Files (x86)\AstroGrep\AstroGrep.exe" /spath="%USERPROFILE%\AppData\Local\Temp\OnboardLogs" /stypes="app*4044*20161225*" /stext=" 06:.+((SYSTEM_STATE.+slice.+state.+changed )|(ment ac)|(multiple cpu faults)|(system.+state.+changed )|(\[timeout)|(PRM\|1\|D)|(kpr)|(kdp)|(\|lc)|(penalty))" /e /r /s</v>
      </c>
      <c r="AG150" s="1" t="str">
        <f t="shared" si="109"/>
        <v>EC</v>
      </c>
      <c r="AH150" s="92" t="str">
        <f t="shared" si="110"/>
        <v>"%USERPROFILE%\Documents\GitHub\eaglep3\Utilities\RefineRTDCRunTimes.py" --tripid 237-24 --locoid 4044 --swversion DE.1.0.8.0 --startMP 204:455 --initTime 2016-12-24T22:54:10 --startdatetime 2016-12-24T23:00:14 --delay 1 --endMP 204:233322 --enddatetime 2016-12-24T23:36:48 --enforcementcount 1 &gt;&gt;C:\Users\stu\Documents\GitHub\eaglep3-reporting\EC\2016-12-24-refined-times.txt</v>
      </c>
      <c r="AI150" s="119" t="str">
        <f t="shared" si="111"/>
        <v>echo {"issue":{"subject":"","project_id":79,"tracker_id":40,"status_id":1,"priority_id":2,"assigned_to_id":23,"start_date":"2016-12-24","description":"","custom_fields":[{"id":1,"name":"Subdivision","value":"EC"},{"id":4,"name":"Milepost","value":"23.3322"},{"id":17,"name":"Train ID","value":"237-24"},{"id":16,"name":"Locomotive ID","value":"4044"},{"id":130,"name":"Impact","value":""},{"id":150,"name":"Time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628</v>
      </c>
      <c r="B151" s="7">
        <v>4012</v>
      </c>
      <c r="C151" s="22" t="s">
        <v>205</v>
      </c>
      <c r="D151" s="22" t="s">
        <v>411</v>
      </c>
      <c r="E151" s="13">
        <v>42728.977083333331</v>
      </c>
      <c r="F151" s="13">
        <v>42728.997615740744</v>
      </c>
      <c r="G151" s="7">
        <v>5</v>
      </c>
      <c r="H151" s="22" t="s">
        <v>737</v>
      </c>
      <c r="I151" s="13">
        <v>42729.025243055556</v>
      </c>
      <c r="J151" s="7">
        <v>1</v>
      </c>
      <c r="K151" s="109" t="str">
        <f t="shared" si="95"/>
        <v>4011/4012</v>
      </c>
      <c r="L151" s="22" t="str">
        <f>VLOOKUP(A151,'Trips&amp;Operators'!$C$1:$G$99999,5,FALSE)</f>
        <v>HILLS DUSTIN</v>
      </c>
      <c r="M151" s="6">
        <f t="shared" si="96"/>
        <v>2.7627314811979886E-2</v>
      </c>
      <c r="N151" s="7">
        <f t="shared" si="97"/>
        <v>39.783333329251036</v>
      </c>
      <c r="O151" s="7"/>
      <c r="P151" s="7"/>
      <c r="Q151" s="23"/>
      <c r="R151" s="23"/>
      <c r="S151" s="35">
        <f t="shared" si="98"/>
        <v>1</v>
      </c>
      <c r="T151" s="50" t="str">
        <f t="shared" si="99"/>
        <v>Southbound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22:27:00-700',mode:absolute,to:'2016-12-25 01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52" t="str">
        <f t="shared" si="101"/>
        <v>N</v>
      </c>
      <c r="X151" s="177">
        <f t="shared" si="102"/>
        <v>1</v>
      </c>
      <c r="Y151" s="67">
        <f t="shared" si="103"/>
        <v>23.305299999999999</v>
      </c>
      <c r="Z151" s="67">
        <f t="shared" si="104"/>
        <v>1.14E-2</v>
      </c>
      <c r="AA151" s="67">
        <f t="shared" si="105"/>
        <v>23.293900000000001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106"/>
        <v>0238-24</v>
      </c>
      <c r="AE151" s="91" t="str">
        <f t="shared" si="107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151" s="88" t="str">
        <f t="shared" si="108"/>
        <v>"C:\Program Files (x86)\AstroGrep\AstroGrep.exe" /spath="%USERPROFILE%\AppData\Local\Temp\OnboardLogs" /stypes="app*4012*20161225*" /stext=" 07:.+((SYSTEM_STATE.+slice.+state.+changed )|(ment ac)|(multiple cpu faults)|(system.+state.+changed )|(\[timeout)|(PRM\|1\|D)|(kpr)|(kdp)|(\|lc)|(penalty))" /e /r /s</v>
      </c>
      <c r="AG151" s="1" t="str">
        <f t="shared" si="109"/>
        <v>EC</v>
      </c>
      <c r="AH151" s="92" t="str">
        <f t="shared" si="110"/>
        <v>"%USERPROFILE%\Documents\GitHub\eaglep3\Utilities\RefineRTDCRunTimes.py" --tripid 238-24 --locoid 4012 --swversion DE.1.0.8.0 --startMP 204:233053 --initTime 2016-12-24T23:27:00 --startdatetime 2016-12-24T23:56:34 --delay 5 --endMP 204:114 --enddatetime 2016-12-25T00:36:21 --enforcementcount 1 &gt;&gt;C:\Users\stu\Documents\GitHub\eaglep3-reporting\EC\2016-12-24-refined-times.txt</v>
      </c>
      <c r="AI151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{"issue":{"subject":"","project_id":79,"tracker_id":40,"status_id":1,"priority_id":2,"assigned_to_id":23,"start_date":"2016-12-25","description":"","custom_fields":[{"id":1,"name":"Subdivision","value":"EC"},{"id":4,"name":"Milepost","value":"0.0114"},{"id":17,"name":"Train ID","value":"238-24"},{"id":16,"name":"Locomotive ID","value":"4012"},{"id":130,"name":"Impact","value":""},{"id":150,"name":"Time of Event (Mountain Time)","value":"00:36:21"},{"id":151,"name":"Denver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629</v>
      </c>
      <c r="B152" s="7">
        <v>4007</v>
      </c>
      <c r="C152" s="22" t="s">
        <v>205</v>
      </c>
      <c r="D152" s="22" t="s">
        <v>283</v>
      </c>
      <c r="E152" s="13">
        <v>42728.982534722221</v>
      </c>
      <c r="F152" s="13">
        <v>42728.983923611115</v>
      </c>
      <c r="G152" s="7">
        <v>1</v>
      </c>
      <c r="H152" s="22" t="s">
        <v>714</v>
      </c>
      <c r="I152" s="13">
        <v>42729.010601851849</v>
      </c>
      <c r="J152" s="7">
        <v>1</v>
      </c>
      <c r="K152" s="109" t="str">
        <f t="shared" si="95"/>
        <v>4007/4008</v>
      </c>
      <c r="L152" s="22" t="str">
        <f>VLOOKUP(A152,'Trips&amp;Operators'!$C$1:$G$99999,5,FALSE)</f>
        <v>STAMBAUGH JAMES</v>
      </c>
      <c r="M152" s="6">
        <f t="shared" si="96"/>
        <v>2.6678240734327119E-2</v>
      </c>
      <c r="N152" s="7">
        <f t="shared" si="97"/>
        <v>38.416666657431051</v>
      </c>
      <c r="O152" s="7"/>
      <c r="P152" s="7"/>
      <c r="Q152" s="23"/>
      <c r="R152" s="23"/>
      <c r="S152" s="35">
        <f t="shared" si="98"/>
        <v>1</v>
      </c>
      <c r="T152" s="50" t="str">
        <f t="shared" si="99"/>
        <v>NorthBound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22:34:51-700',mode:absolute,to:'2016-12-25 01:15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2" s="52" t="str">
        <f t="shared" si="101"/>
        <v>N</v>
      </c>
      <c r="X152" s="177">
        <f t="shared" si="102"/>
        <v>1</v>
      </c>
      <c r="Y152" s="67">
        <f t="shared" si="103"/>
        <v>4.4200000000000003E-2</v>
      </c>
      <c r="Z152" s="67">
        <f t="shared" si="104"/>
        <v>23.3306</v>
      </c>
      <c r="AA152" s="67">
        <f t="shared" si="105"/>
        <v>23.2864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106"/>
        <v>0239-24</v>
      </c>
      <c r="AE152" s="91" t="str">
        <f t="shared" si="107"/>
        <v>aws s3 cp s3://rtdc.mdm.uploadarchive.raw/RTDC4007/ "%USERPROFILE%\AppData\Local\Temp\OnboardLogs"\RTDC4007\2016-12-24 --exclude "*" --recursive --include "*20161224*" &amp; "%USERPROFILE%\Documents\GitHub\mrs-test-scripts\Headless Mode &amp; Sideloading\WalkAndUnGZ.bat" "%USERPROFILE%\AppData\Local\Temp\OnboardLogs"\RTDC4007\2016-12-24 &amp; aws s3 cp s3://rtdc.mdm.uploadarchive.raw/RTDC4007/ "%USERPROFILE%\AppData\Local\Temp\OnboardLogs"\RTDC4007\2016-12-25 --exclude "*" --recursive --include "*20161225*" &amp; "%USERPROFILE%\Documents\GitHub\mrs-test-scripts\Headless Mode &amp; Sideloading\WalkAndUnGZ.bat" "%USERPROFILE%\AppData\Local\Temp\OnboardLogs"\RTDC4007\2016-12-25</v>
      </c>
      <c r="AF152" s="88" t="str">
        <f t="shared" si="108"/>
        <v>"C:\Program Files (x86)\AstroGrep\AstroGrep.exe" /spath="%USERPROFILE%\AppData\Local\Temp\OnboardLogs" /stypes="app*4007*20161225*" /stext=" 07:.+((SYSTEM_STATE.+slice.+state.+changed )|(ment ac)|(multiple cpu faults)|(system.+state.+changed )|(\[timeout)|(PRM\|1\|D)|(kpr)|(kdp)|(\|lc)|(penalty))" /e /r /s</v>
      </c>
      <c r="AG152" s="1" t="str">
        <f t="shared" si="109"/>
        <v>EC</v>
      </c>
      <c r="AH152" s="92" t="str">
        <f t="shared" si="110"/>
        <v>"%USERPROFILE%\Documents\GitHub\eaglep3\Utilities\RefineRTDCRunTimes.py" --tripid 239-24 --locoid 4007 --swversion DE.1.0.8.0 --startMP 204:442 --initTime 2016-12-24T23:34:51 --startdatetime 2016-12-24T23:36:51 --delay 1 --endMP 204:233306 --enddatetime 2016-12-25T00:15:16 --enforcementcount 1 &gt;&gt;C:\Users\stu\Documents\GitHub\eaglep3-reporting\EC\2016-12-24-refined-times.txt</v>
      </c>
      <c r="AI152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{"issue":{"subject":"","project_id":79,"tracker_id":40,"status_id":1,"priority_id":2,"assigned_to_id":23,"start_date":"2016-12-25","description":"","custom_fields":[{"id":1,"name":"Subdivision","value":"EC"},{"id":4,"name":"Milepost","value":"23.3306"},{"id":17,"name":"Train ID","value":"239-24"},{"id":16,"name":"Locomotive ID","value":"4007"},{"id":130,"name":"Impact","value":""},{"id":150,"name":"Time of Event (Mountain Time)","value":"00:15:16"},{"id":151,"name":"Denver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630</v>
      </c>
      <c r="B153" s="7">
        <v>4043</v>
      </c>
      <c r="C153" s="22" t="s">
        <v>205</v>
      </c>
      <c r="D153" s="22" t="s">
        <v>256</v>
      </c>
      <c r="E153" s="13">
        <v>42729.014768518522</v>
      </c>
      <c r="F153" s="13">
        <v>42729.018275462964</v>
      </c>
      <c r="G153" s="7">
        <v>1</v>
      </c>
      <c r="H153" s="22" t="s">
        <v>738</v>
      </c>
      <c r="I153" s="13">
        <v>42729.045659722222</v>
      </c>
      <c r="J153" s="7">
        <v>1</v>
      </c>
      <c r="K153" s="109" t="str">
        <f t="shared" si="95"/>
        <v>4043/4044</v>
      </c>
      <c r="L153" s="22" t="str">
        <f>VLOOKUP(A153,'Trips&amp;Operators'!$C$1:$G$99999,5,FALSE)</f>
        <v>BROWN JACOB</v>
      </c>
      <c r="M153" s="6">
        <f t="shared" si="96"/>
        <v>2.7384259257814847E-2</v>
      </c>
      <c r="N153" s="7">
        <f t="shared" si="97"/>
        <v>39.43333333125338</v>
      </c>
      <c r="O153" s="7"/>
      <c r="P153" s="7"/>
      <c r="Q153" s="23"/>
      <c r="R153" s="23"/>
      <c r="S153" s="35">
        <f t="shared" si="98"/>
        <v>1</v>
      </c>
      <c r="T153" s="50" t="str">
        <f t="shared" si="99"/>
        <v>Southbound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23:21:16-700',mode:absolute,to:'2016-12-25 02:05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3" s="52" t="str">
        <f t="shared" si="101"/>
        <v>N</v>
      </c>
      <c r="X153" s="177">
        <f t="shared" si="102"/>
        <v>1</v>
      </c>
      <c r="Y153" s="67">
        <f t="shared" si="103"/>
        <v>23.299399999999999</v>
      </c>
      <c r="Z153" s="67">
        <f t="shared" si="104"/>
        <v>1.5299999999999999E-2</v>
      </c>
      <c r="AA153" s="67">
        <f t="shared" si="105"/>
        <v>23.284099999999999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106"/>
        <v>0240-24</v>
      </c>
      <c r="AE153" s="91" t="str">
        <f t="shared" si="107"/>
        <v>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 &amp; aws s3 cp s3://rtdc.mdm.uploadarchive.raw/RTDC4043/ "%USERPROFILE%\AppData\Local\Temp\OnboardLogs"\RTDC4043\2016-12-26 --exclude "*" --recursive --include "*20161226*" &amp; "%USERPROFILE%\Documents\GitHub\mrs-test-scripts\Headless Mode &amp; Sideloading\WalkAndUnGZ.bat" "%USERPROFILE%\AppData\Local\Temp\OnboardLogs"\RTDC4043\2016-12-26</v>
      </c>
      <c r="AF153" s="88" t="str">
        <f t="shared" si="108"/>
        <v>"C:\Program Files (x86)\AstroGrep\AstroGrep.exe" /spath="%USERPROFILE%\AppData\Local\Temp\OnboardLogs" /stypes="app*4043*20161225*" /stext=" 08:.+((SYSTEM_STATE.+slice.+state.+changed )|(ment ac)|(multiple cpu faults)|(system.+state.+changed )|(\[timeout)|(PRM\|1\|D)|(kpr)|(kdp)|(\|lc)|(penalty))" /e /r /s</v>
      </c>
      <c r="AG153" s="1" t="str">
        <f t="shared" si="109"/>
        <v>EC</v>
      </c>
      <c r="AH153" s="92" t="str">
        <f t="shared" si="110"/>
        <v>"%USERPROFILE%\Documents\GitHub\eaglep3\Utilities\RefineRTDCRunTimes.py" --tripid 240-24 --locoid 4043 --swversion DE.1.0.8.0 --startMP 204:232994 --initTime 2016-12-25T00:21:16 --startdatetime 2016-12-25T00:26:19 --delay 1 --endMP 204:153 --enddatetime 2016-12-25T01:05:45 --enforcementcount 1 &gt;&gt;C:\Users\stu\Documents\GitHub\eaglep3-reporting\EC\2016-12-24-refined-times.txt</v>
      </c>
      <c r="AI153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{"issue":{"subject":"","project_id":79,"tracker_id":40,"status_id":1,"priority_id":2,"assigned_to_id":23,"start_date":"2016-12-25","description":"","custom_fields":[{"id":1,"name":"Subdivision","value":"EC"},{"id":4,"name":"Milepost","value":"0.0153"},{"id":17,"name":"Train ID","value":"240-24"},{"id":16,"name":"Locomotive ID","value":"4043"},{"id":130,"name":"Impact","value":""},{"id":150,"name":"Time of Event (Mountain Time)","value":"01:05:45"},{"id":151,"name":"Denver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792</v>
      </c>
      <c r="B154" s="7"/>
      <c r="C154" s="22" t="s">
        <v>205</v>
      </c>
      <c r="D154" s="22" t="s">
        <v>256</v>
      </c>
      <c r="E154" s="13">
        <v>42729.014768518522</v>
      </c>
      <c r="F154" s="13"/>
      <c r="G154" s="7">
        <v>1</v>
      </c>
      <c r="H154" s="22" t="s">
        <v>738</v>
      </c>
      <c r="I154" s="13"/>
      <c r="J154" s="7">
        <v>1</v>
      </c>
      <c r="K154" s="109" t="str">
        <f t="shared" ref="K154" si="127">IF(ISEVEN(B154),(B154-1)&amp;"/"&amp;B154,B154&amp;"/"&amp;(B154+1))</f>
        <v>-1/</v>
      </c>
      <c r="L154" s="22" t="e">
        <f>VLOOKUP(A154,'Trips&amp;Operators'!$C$1:$G$99999,5,FALSE)</f>
        <v>#N/A</v>
      </c>
      <c r="M154" s="6">
        <f t="shared" ref="M154" si="128">I154-F154</f>
        <v>0</v>
      </c>
      <c r="N154" s="7"/>
      <c r="O154" s="7"/>
      <c r="P154" s="7">
        <v>1</v>
      </c>
      <c r="Q154" s="23"/>
      <c r="R154" s="23" t="s">
        <v>789</v>
      </c>
      <c r="S154" s="35">
        <f t="shared" ref="S154" si="129">SUM(U154:U154)/IF(AG154="EC",12,1)</f>
        <v>0</v>
      </c>
      <c r="T154" s="50" t="str">
        <f t="shared" ref="T154" si="130">IF(ISEVEN(LEFT(AD154,4)),"Southbound","NorthBound")</f>
        <v>NorthBound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98" t="str">
        <f t="shared" ref="V154" si="131"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https://search-rtdc-monitor-bjffxe2xuh6vdkpspy63sjmuny.us-east-1.es.amazonaws.com/_plugin/kibana/#/discover/Steve-Slow-Train-Analysis-(2080s-and-2083s)?_g=(refreshInterval:(display:Off,section:0,value:0),time:(from:'2016-12-24 23:21:16-700',mode:absolute,to:'1900-01-00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54" s="52" t="str">
        <f t="shared" ref="W154" si="132">IF(AA154&lt;IF(AG154="EC",23,5.65),"Y","N")</f>
        <v>N</v>
      </c>
      <c r="X154" s="177">
        <f t="shared" si="102"/>
        <v>1</v>
      </c>
      <c r="Y154" s="67">
        <f t="shared" ref="Y154" si="133">RIGHT(D154,LEN(D154)-4)/10000</f>
        <v>23.299399999999999</v>
      </c>
      <c r="Z154" s="67">
        <f t="shared" ref="Z154" si="134">RIGHT(H154,LEN(H154)-4)/10000</f>
        <v>1.5299999999999999E-2</v>
      </c>
      <c r="AA154" s="67">
        <f t="shared" ref="AA154" si="135">ABS(Z154-Y154)</f>
        <v>23.284099999999999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ref="AD154" si="136">IF(LEN(A154)=6,"0"&amp;A154,A154)</f>
        <v>0241-24</v>
      </c>
      <c r="AE154" s="91" t="str">
        <f t="shared" ref="AE154" si="137"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4" s="88" t="str">
        <f t="shared" ref="AF154" si="138"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54" s="1" t="str">
        <f t="shared" ref="AG154" si="139">IFERROR(IF(VALUE(LEFT(AD154,2))&lt;=2,"EC",IF(OR(VALUE(LEFT(AD154,2))=8,VALUE(LEFT(AD154,2))=18),"NW","Other")),"Other")</f>
        <v>EC</v>
      </c>
      <c r="AH154" s="92" t="str">
        <f t="shared" ref="AH154" si="14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241-24 --locoid  --swversion DE.1.0.8.0 --startMP 204:232994 --initTime 2016-12-25T00:21:16 --startdatetime 1900-01-00T00:00:00 --delay 1 --endMP 204:153 --enddatetime 1900-01-00T00:00:00 --enforcementcount 1 &gt;&gt;C:\Users\stu\Documents\GitHub\eaglep3-reporting\EC\2016-12-24-refined-times.txt</v>
      </c>
      <c r="AI154" s="119" t="str">
        <f t="shared" ref="AI154" si="141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init","project_id":79,"tracker_id":40,"status_id":1,"priority_id":2,"assigned_to_id":23,"start_date":"1900-01-00","description":"","custom_fields":[{"id":1,"name":"Subdivision","value":"EC"},{"id":4,"name":"Milepost","value":"0.0153"},{"id":17,"name":"Train ID","value":"241-24"},{"id":16,"name":"Locomotive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633</v>
      </c>
      <c r="B155" s="7">
        <v>4008</v>
      </c>
      <c r="C155" s="22" t="s">
        <v>205</v>
      </c>
      <c r="D155" s="22" t="s">
        <v>725</v>
      </c>
      <c r="E155" s="13">
        <v>42729.035902777781</v>
      </c>
      <c r="F155" s="13">
        <v>42729.039502314816</v>
      </c>
      <c r="G155" s="7">
        <v>0</v>
      </c>
      <c r="H155" s="22" t="s">
        <v>739</v>
      </c>
      <c r="I155" s="13">
        <v>42729.064849537041</v>
      </c>
      <c r="J155" s="7">
        <v>1</v>
      </c>
      <c r="K155" s="109" t="str">
        <f t="shared" si="95"/>
        <v>4007/4008</v>
      </c>
      <c r="L155" s="22" t="str">
        <f>VLOOKUP(A155,'Trips&amp;Operators'!$C$1:$G$99999,5,FALSE)</f>
        <v>STAMBAUGH JAMES</v>
      </c>
      <c r="M155" s="6">
        <f t="shared" si="96"/>
        <v>2.5347222224809229E-2</v>
      </c>
      <c r="N155" s="7">
        <f t="shared" si="97"/>
        <v>36.50000000372529</v>
      </c>
      <c r="O155" s="7"/>
      <c r="P155" s="7"/>
      <c r="Q155" s="23"/>
      <c r="R155" s="23"/>
      <c r="S155" s="35">
        <f t="shared" si="98"/>
        <v>1</v>
      </c>
      <c r="T155" s="50" t="str">
        <f t="shared" si="99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23:51:42-700',mode:absolute,to:'2016-12-25 02:33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5" s="52" t="str">
        <f t="shared" si="101"/>
        <v>N</v>
      </c>
      <c r="X155" s="177">
        <f t="shared" si="102"/>
        <v>1</v>
      </c>
      <c r="Y155" s="67">
        <f t="shared" si="103"/>
        <v>23.2972</v>
      </c>
      <c r="Z155" s="67">
        <f t="shared" si="104"/>
        <v>1.7399999999999999E-2</v>
      </c>
      <c r="AA155" s="67">
        <f t="shared" si="105"/>
        <v>23.279800000000002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106"/>
        <v>0242-24</v>
      </c>
      <c r="AE155" s="91" t="str">
        <f t="shared" si="107"/>
        <v>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 &amp; aws s3 cp s3://rtdc.mdm.uploadarchive.raw/RTDC4008/ "%USERPROFILE%\AppData\Local\Temp\OnboardLogs"\RTDC4008\2016-12-26 --exclude "*" --recursive --include "*20161226*" &amp; "%USERPROFILE%\Documents\GitHub\mrs-test-scripts\Headless Mode &amp; Sideloading\WalkAndUnGZ.bat" "%USERPROFILE%\AppData\Local\Temp\OnboardLogs"\RTDC4008\2016-12-26</v>
      </c>
      <c r="AF155" s="88" t="str">
        <f t="shared" si="108"/>
        <v>"C:\Program Files (x86)\AstroGrep\AstroGrep.exe" /spath="%USERPROFILE%\AppData\Local\Temp\OnboardLogs" /stypes="app*4008*20161225*" /stext=" 08:.+((SYSTEM_STATE.+slice.+state.+changed )|(ment ac)|(multiple cpu faults)|(system.+state.+changed )|(\[timeout)|(PRM\|1\|D)|(kpr)|(kdp)|(\|lc)|(penalty))" /e /r /s</v>
      </c>
      <c r="AG155" s="1" t="str">
        <f t="shared" si="109"/>
        <v>EC</v>
      </c>
      <c r="AH155" s="92" t="str">
        <f t="shared" si="110"/>
        <v>"%USERPROFILE%\Documents\GitHub\eaglep3\Utilities\RefineRTDCRunTimes.py" --tripid 242-24 --locoid 4008 --swversion DE.1.0.8.0 --startMP 204:232972 --initTime 2016-12-25T00:51:42 --startdatetime 2016-12-25T00:56:53 --delay 0 --endMP 204:174 --enddatetime 2016-12-25T01:33:23 --enforcementcount 1 &gt;&gt;C:\Users\stu\Documents\GitHub\eaglep3-reporting\EC\2016-12-24-refined-times.txt</v>
      </c>
      <c r="AI155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{"issue":{"subject":"","project_id":79,"tracker_id":40,"status_id":1,"priority_id":2,"assigned_to_id":23,"start_date":"2016-12-25","description":"","custom_fields":[{"id":1,"name":"Subdivision","value":"EC"},{"id":4,"name":"Milepost","value":"0.0174"},{"id":17,"name":"Train ID","value":"242-24"},{"id":16,"name":"Locomotive ID","value":"4008"},{"id":130,"name":"Impact","value":""},{"id":150,"name":"Time of Event (Mountain Time)","value":"01:33:23"},{"id":151,"name":"Denver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631</v>
      </c>
      <c r="B156" s="7">
        <v>4016</v>
      </c>
      <c r="C156" s="22" t="s">
        <v>205</v>
      </c>
      <c r="D156" s="22" t="s">
        <v>266</v>
      </c>
      <c r="E156" s="13">
        <v>42729.016574074078</v>
      </c>
      <c r="F156" s="13">
        <v>42729.021296296298</v>
      </c>
      <c r="G156" s="7">
        <v>2</v>
      </c>
      <c r="H156" s="22" t="s">
        <v>406</v>
      </c>
      <c r="I156" s="13">
        <v>42729.045729166668</v>
      </c>
      <c r="J156" s="7">
        <v>1</v>
      </c>
      <c r="K156" s="109" t="str">
        <f t="shared" si="95"/>
        <v>4015/4016</v>
      </c>
      <c r="L156" s="22" t="str">
        <f>VLOOKUP(A156,'Trips&amp;Operators'!$C$1:$G$99999,5,FALSE)</f>
        <v>SAFIEF AEIMEN</v>
      </c>
      <c r="M156" s="6">
        <f t="shared" si="96"/>
        <v>2.4432870370219462E-2</v>
      </c>
      <c r="N156" s="7">
        <f t="shared" si="97"/>
        <v>35.183333333116025</v>
      </c>
      <c r="O156" s="7"/>
      <c r="P156" s="7"/>
      <c r="Q156" s="23"/>
      <c r="R156" s="23"/>
      <c r="S156" s="35">
        <f t="shared" si="98"/>
        <v>1</v>
      </c>
      <c r="T156" s="50" t="str">
        <f t="shared" si="99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23:23:52-700',mode:absolute,to:'2016-12-25 02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6" s="52" t="str">
        <f t="shared" si="101"/>
        <v>N</v>
      </c>
      <c r="X156" s="177">
        <f t="shared" si="102"/>
        <v>1</v>
      </c>
      <c r="Y156" s="67">
        <f t="shared" si="103"/>
        <v>4.6199999999999998E-2</v>
      </c>
      <c r="Z156" s="67">
        <f t="shared" si="104"/>
        <v>23.327999999999999</v>
      </c>
      <c r="AA156" s="67">
        <f t="shared" si="105"/>
        <v>23.2818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106"/>
        <v>0243-24</v>
      </c>
      <c r="AE156" s="91" t="str">
        <f t="shared" si="107"/>
        <v>aws s3 cp s3://rtdc.mdm.uploadarchive.raw/RTDC4016/ "%USERPROFILE%\AppData\Local\Temp\OnboardLogs"\RTDC4016\2016-12-25 --exclude "*" --recursive --include "*20161225*" &amp; "%USERPROFILE%\Documents\GitHub\mrs-test-scripts\Headless Mode &amp; Sideloading\WalkAndUnGZ.bat" "%USERPROFILE%\AppData\Local\Temp\OnboardLogs"\RTDC4016\2016-12-25 &amp; aws s3 cp s3://rtdc.mdm.uploadarchive.raw/RTDC4016/ "%USERPROFILE%\AppData\Local\Temp\OnboardLogs"\RTDC4016\2016-12-26 --exclude "*" --recursive --include "*20161226*" &amp; "%USERPROFILE%\Documents\GitHub\mrs-test-scripts\Headless Mode &amp; Sideloading\WalkAndUnGZ.bat" "%USERPROFILE%\AppData\Local\Temp\OnboardLogs"\RTDC4016\2016-12-26</v>
      </c>
      <c r="AF156" s="88" t="str">
        <f t="shared" si="108"/>
        <v>"C:\Program Files (x86)\AstroGrep\AstroGrep.exe" /spath="%USERPROFILE%\AppData\Local\Temp\OnboardLogs" /stypes="app*4016*20161225*" /stext=" 08:.+((SYSTEM_STATE.+slice.+state.+changed )|(ment ac)|(multiple cpu faults)|(system.+state.+changed )|(\[timeout)|(PRM\|1\|D)|(kpr)|(kdp)|(\|lc)|(penalty))" /e /r /s</v>
      </c>
      <c r="AG156" s="1" t="str">
        <f t="shared" si="109"/>
        <v>EC</v>
      </c>
      <c r="AH156" s="92" t="str">
        <f t="shared" si="110"/>
        <v>"%USERPROFILE%\Documents\GitHub\eaglep3\Utilities\RefineRTDCRunTimes.py" --tripid 243-24 --locoid 4016 --swversion DE.1.0.8.0 --startMP 204:462 --initTime 2016-12-25T00:23:52 --startdatetime 2016-12-25T00:30:40 --delay 2 --endMP 204:233280 --enddatetime 2016-12-25T01:05:51 --enforcementcount 1 &gt;&gt;C:\Users\stu\Documents\GitHub\eaglep3-reporting\EC\2016-12-24-refined-times.txt</v>
      </c>
      <c r="AI156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ID","value":"243-24"},{"id":16,"name":"Locomotive ID","value":"4016"},{"id":130,"name":"Impact","value":""},{"id":150,"name":"Time of Event (Mountain Time)","value":"01:05:51"},{"id":151,"name":"Denver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634</v>
      </c>
      <c r="B157" s="7">
        <v>4004</v>
      </c>
      <c r="C157" s="22" t="s">
        <v>205</v>
      </c>
      <c r="D157" s="22" t="s">
        <v>405</v>
      </c>
      <c r="E157" s="13">
        <v>42729.04347222222</v>
      </c>
      <c r="F157" s="13">
        <v>42729.059976851851</v>
      </c>
      <c r="G157" s="7">
        <v>1</v>
      </c>
      <c r="H157" s="22" t="s">
        <v>224</v>
      </c>
      <c r="I157" s="13">
        <v>42729.088356481479</v>
      </c>
      <c r="J157" s="7">
        <v>1</v>
      </c>
      <c r="K157" s="109" t="str">
        <f t="shared" si="95"/>
        <v>4003/4004</v>
      </c>
      <c r="L157" s="22" t="str">
        <f>VLOOKUP(A157,'Trips&amp;Operators'!$C$1:$G$99999,5,FALSE)</f>
        <v>SMITH MICHAEL</v>
      </c>
      <c r="M157" s="6">
        <f t="shared" si="96"/>
        <v>2.8379629628034309E-2</v>
      </c>
      <c r="N157" s="7">
        <f t="shared" si="97"/>
        <v>40.866666664369404</v>
      </c>
      <c r="O157" s="7"/>
      <c r="P157" s="7"/>
      <c r="Q157" s="23"/>
      <c r="R157" s="23"/>
      <c r="S157" s="35">
        <f t="shared" si="98"/>
        <v>1</v>
      </c>
      <c r="T157" s="50" t="str">
        <f t="shared" si="99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https://search-rtdc-monitor-bjffxe2xuh6vdkpspy63sjmuny.us-east-1.es.amazonaws.com/_plugin/kibana/#/discover/Steve-Slow-Train-Analysis-(2080s-and-2083s)?_g=(refreshInterval:(display:Off,section:0,value:0),time:(from:'2016-12-25 00:02:36-700',mode:absolute,to:'2016-12-25 03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57" s="52" t="str">
        <f t="shared" si="101"/>
        <v>N</v>
      </c>
      <c r="X157" s="177">
        <f t="shared" si="102"/>
        <v>1</v>
      </c>
      <c r="Y157" s="67">
        <f t="shared" si="103"/>
        <v>23.296500000000002</v>
      </c>
      <c r="Z157" s="67">
        <f t="shared" si="104"/>
        <v>1.54E-2</v>
      </c>
      <c r="AA157" s="67">
        <f t="shared" si="105"/>
        <v>23.281100000000002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106"/>
        <v>0244-24</v>
      </c>
      <c r="AE157" s="91" t="str">
        <f t="shared" si="107"/>
        <v>aws s3 cp s3://rtdc.mdm.uploadarchive.raw/RTDC4004/ "%USERPROFILE%\AppData\Local\Temp\OnboardLogs"\RTDC4004\2016-12-25 --exclude "*" --recursive --include "*20161225*" &amp; "%USERPROFILE%\Documents\GitHub\mrs-test-scripts\Headless Mode &amp; Sideloading\WalkAndUnGZ.bat" "%USERPROFILE%\AppData\Local\Temp\OnboardLogs"\RTDC4004\2016-12-25 &amp; aws s3 cp s3://rtdc.mdm.uploadarchive.raw/RTDC4004/ "%USERPROFILE%\AppData\Local\Temp\OnboardLogs"\RTDC4004\2016-12-26 --exclude "*" --recursive --include "*20161226*" &amp; "%USERPROFILE%\Documents\GitHub\mrs-test-scripts\Headless Mode &amp; Sideloading\WalkAndUnGZ.bat" "%USERPROFILE%\AppData\Local\Temp\OnboardLogs"\RTDC4004\2016-12-26</v>
      </c>
      <c r="AF157" s="88" t="str">
        <f t="shared" si="108"/>
        <v>"C:\Program Files (x86)\AstroGrep\AstroGrep.exe" /spath="%USERPROFILE%\AppData\Local\Temp\OnboardLogs" /stypes="app*4004*20161225*" /stext=" 09:.+((SYSTEM_STATE.+slice.+state.+changed )|(ment ac)|(multiple cpu faults)|(system.+state.+changed )|(\[timeout)|(PRM\|1\|D)|(kpr)|(kdp)|(\|lc)|(penalty))" /e /r /s</v>
      </c>
      <c r="AG157" s="1" t="str">
        <f t="shared" si="109"/>
        <v>EC</v>
      </c>
      <c r="AH157" s="92" t="str">
        <f t="shared" si="110"/>
        <v>"%USERPROFILE%\Documents\GitHub\eaglep3\Utilities\RefineRTDCRunTimes.py" --tripid 244-24 --locoid 4004 --swversion DE.1.0.8.0 --startMP 204:232965 --initTime 2016-12-25T01:02:36 --startdatetime 2016-12-25T01:26:22 --delay 1 --endMP 204:154 --enddatetime 2016-12-25T02:07:14 --enforcementcount 1 &gt;&gt;C:\Users\stu\Documents\GitHub\eaglep3-reporting\EC\2016-12-24-refined-times.txt</v>
      </c>
      <c r="AI157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ID","value":"244-24"},{"id":16,"name":"Locomotive ID","value":"4004"},{"id":130,"name":"Impact","value":""},{"id":150,"name":"Time of Event (Mountain Time)","value":"02:07:14"},{"id":151,"name":"Denver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632</v>
      </c>
      <c r="B158" s="7">
        <v>4011</v>
      </c>
      <c r="C158" s="22" t="s">
        <v>205</v>
      </c>
      <c r="D158" s="22" t="s">
        <v>740</v>
      </c>
      <c r="E158" s="13">
        <v>42729.033194444448</v>
      </c>
      <c r="F158" s="13">
        <v>42729.041828703703</v>
      </c>
      <c r="G158" s="7">
        <v>1</v>
      </c>
      <c r="H158" s="22" t="s">
        <v>735</v>
      </c>
      <c r="I158" s="13">
        <v>42729.068136574075</v>
      </c>
      <c r="J158" s="7">
        <v>0</v>
      </c>
      <c r="K158" s="109" t="str">
        <f t="shared" si="95"/>
        <v>4011/4012</v>
      </c>
      <c r="L158" s="22" t="str">
        <f>VLOOKUP(A158,'Trips&amp;Operators'!$C$1:$G$99999,5,FALSE)</f>
        <v>HILLS DUSTIN</v>
      </c>
      <c r="M158" s="6">
        <f t="shared" si="96"/>
        <v>2.6307870371965691E-2</v>
      </c>
      <c r="N158" s="7">
        <f t="shared" si="97"/>
        <v>37.883333335630596</v>
      </c>
      <c r="O158" s="7"/>
      <c r="P158" s="7"/>
      <c r="Q158" s="23"/>
      <c r="R158" s="23"/>
      <c r="S158" s="35">
        <f t="shared" si="98"/>
        <v>1</v>
      </c>
      <c r="T158" s="50" t="str">
        <f t="shared" si="99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23:47:48-700',mode:absolute,to:'2016-12-25 02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8" s="52" t="str">
        <f t="shared" si="101"/>
        <v>N</v>
      </c>
      <c r="X158" s="177">
        <f t="shared" si="102"/>
        <v>1</v>
      </c>
      <c r="Y158" s="67">
        <f t="shared" si="103"/>
        <v>3.95E-2</v>
      </c>
      <c r="Z158" s="67">
        <f t="shared" si="104"/>
        <v>23.336600000000001</v>
      </c>
      <c r="AA158" s="67">
        <f t="shared" si="105"/>
        <v>23.2971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106"/>
        <v>0245-24</v>
      </c>
      <c r="AE158" s="91" t="str">
        <f t="shared" si="107"/>
        <v>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 &amp; aws s3 cp s3://rtdc.mdm.uploadarchive.raw/RTDC4011/ "%USERPROFILE%\AppData\Local\Temp\OnboardLogs"\RTDC4011\2016-12-26 --exclude "*" --recursive --include "*20161226*" &amp; "%USERPROFILE%\Documents\GitHub\mrs-test-scripts\Headless Mode &amp; Sideloading\WalkAndUnGZ.bat" "%USERPROFILE%\AppData\Local\Temp\OnboardLogs"\RTDC4011\2016-12-26</v>
      </c>
      <c r="AF158" s="88" t="str">
        <f t="shared" si="108"/>
        <v>"C:\Program Files (x86)\AstroGrep\AstroGrep.exe" /spath="%USERPROFILE%\AppData\Local\Temp\OnboardLogs" /stypes="app*4011*20161225*" /stext=" 08:.+((SYSTEM_STATE.+slice.+state.+changed )|(ment ac)|(multiple cpu faults)|(system.+state.+changed )|(\[timeout)|(PRM\|1\|D)|(kpr)|(kdp)|(\|lc)|(penalty))" /e /r /s</v>
      </c>
      <c r="AG158" s="1" t="str">
        <f t="shared" si="109"/>
        <v>EC</v>
      </c>
      <c r="AH158" s="92" t="str">
        <f t="shared" si="110"/>
        <v>"%USERPROFILE%\Documents\GitHub\eaglep3\Utilities\RefineRTDCRunTimes.py" --tripid 245-24 --locoid 4011 --swversion DE.1.0.8.0 --startMP 204:395 --initTime 2016-12-25T00:47:48 --startdatetime 2016-12-25T01:00:14 --delay 1 --endMP 204:233366 --enddatetime 2016-12-25T01:38:07 --enforcementcount 0 &gt;&gt;C:\Users\stu\Documents\GitHub\eaglep3-reporting\EC\2016-12-24-refined-times.txt</v>
      </c>
      <c r="AI158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{"issue":{"subject":"","project_id":79,"tracker_id":40,"status_id":1,"priority_id":2,"assigned_to_id":23,"start_date":"2016-12-25","description":"","custom_fields":[{"id":1,"name":"Subdivision","value":"EC"},{"id":4,"name":"Milepost","value":"23.3366"},{"id":17,"name":"Train ID","value":"245-24"},{"id":16,"name":"Locomotive ID","value":"4011"},{"id":130,"name":"Impact","value":""},{"id":150,"name":"Time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638</v>
      </c>
      <c r="B159" s="7">
        <v>4015</v>
      </c>
      <c r="C159" s="22" t="s">
        <v>205</v>
      </c>
      <c r="D159" s="22" t="s">
        <v>672</v>
      </c>
      <c r="E159" s="13">
        <v>42729.073993055557</v>
      </c>
      <c r="F159" s="13">
        <v>42729.08090277778</v>
      </c>
      <c r="G159" s="7">
        <v>2</v>
      </c>
      <c r="H159" s="22" t="s">
        <v>741</v>
      </c>
      <c r="I159" s="13">
        <v>42729.110254629632</v>
      </c>
      <c r="J159" s="7">
        <v>1</v>
      </c>
      <c r="K159" s="109" t="str">
        <f t="shared" si="95"/>
        <v>4015/4016</v>
      </c>
      <c r="L159" s="22" t="str">
        <f>VLOOKUP(A159,'Trips&amp;Operators'!$C$1:$G$99999,5,FALSE)</f>
        <v>SAFIEF AEIMEN</v>
      </c>
      <c r="M159" s="6">
        <f t="shared" si="96"/>
        <v>2.9351851851970423E-2</v>
      </c>
      <c r="N159" s="7">
        <f t="shared" si="97"/>
        <v>42.266666666837409</v>
      </c>
      <c r="O159" s="7"/>
      <c r="P159" s="7"/>
      <c r="Q159" s="23"/>
      <c r="R159" s="23"/>
      <c r="S159" s="35">
        <f t="shared" si="98"/>
        <v>1</v>
      </c>
      <c r="T159" s="50" t="str">
        <f t="shared" si="99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https://search-rtdc-monitor-bjffxe2xuh6vdkpspy63sjmuny.us-east-1.es.amazonaws.com/_plugin/kibana/#/discover/Steve-Slow-Train-Analysis-(2080s-and-2083s)?_g=(refreshInterval:(display:Off,section:0,value:0),time:(from:'2016-12-25 00:46:33-700',mode:absolute,to:'2016-12-25 03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9" s="52" t="str">
        <f t="shared" si="101"/>
        <v>N</v>
      </c>
      <c r="X159" s="177">
        <f t="shared" si="102"/>
        <v>1</v>
      </c>
      <c r="Y159" s="67">
        <f t="shared" si="103"/>
        <v>23.298500000000001</v>
      </c>
      <c r="Z159" s="67">
        <f t="shared" si="104"/>
        <v>9.2399999999999996E-2</v>
      </c>
      <c r="AA159" s="67">
        <f t="shared" si="105"/>
        <v>23.206099999999999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106"/>
        <v>0246-24</v>
      </c>
      <c r="AE159" s="91" t="str">
        <f t="shared" si="107"/>
        <v>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 &amp; aws s3 cp s3://rtdc.mdm.uploadarchive.raw/RTDC4015/ "%USERPROFILE%\AppData\Local\Temp\OnboardLogs"\RTDC4015\2016-12-26 --exclude "*" --recursive --include "*20161226*" &amp; "%USERPROFILE%\Documents\GitHub\mrs-test-scripts\Headless Mode &amp; Sideloading\WalkAndUnGZ.bat" "%USERPROFILE%\AppData\Local\Temp\OnboardLogs"\RTDC4015\2016-12-26</v>
      </c>
      <c r="AF159" s="88" t="str">
        <f t="shared" si="108"/>
        <v>"C:\Program Files (x86)\AstroGrep\AstroGrep.exe" /spath="%USERPROFILE%\AppData\Local\Temp\OnboardLogs" /stypes="app*4015*20161225*" /stext=" 09:.+((SYSTEM_STATE.+slice.+state.+changed )|(ment ac)|(multiple cpu faults)|(system.+state.+changed )|(\[timeout)|(PRM\|1\|D)|(kpr)|(kdp)|(\|lc)|(penalty))" /e /r /s</v>
      </c>
      <c r="AG159" s="1" t="str">
        <f t="shared" si="109"/>
        <v>EC</v>
      </c>
      <c r="AH159" s="92" t="str">
        <f t="shared" si="110"/>
        <v>"%USERPROFILE%\Documents\GitHub\eaglep3\Utilities\RefineRTDCRunTimes.py" --tripid 246-24 --locoid 4015 --swversion DE.1.0.8.0 --startMP 204:232985 --initTime 2016-12-25T01:46:33 --startdatetime 2016-12-25T01:56:30 --delay 2 --endMP 204:924 --enddatetime 2016-12-25T02:38:46 --enforcementcount 1 &gt;&gt;C:\Users\stu\Documents\GitHub\eaglep3-reporting\EC\2016-12-24-refined-times.txt</v>
      </c>
      <c r="AI159" s="119" t="str">
        <f t="shared" si="111"/>
        <v>echo {"issue":{"subject":"","project_id":79,"tracker_id":40,"status_id":1,"priority_id":2,"assigned_to_id":23,"start_date":"2016-12-25","description":"","custom_fields":[{"id":1,"name":"Subdivision","value":"EC"},{"id":4,"name":"Milepost","value":"0.0924"},{"id":17,"name":"Train ID","value":"246-24"},{"id":16,"name":"Locomotive ID","value":"4015"},{"id":130,"name":"Impact","value":""},{"id":150,"name":"Time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473</v>
      </c>
      <c r="B160" s="7">
        <v>4028</v>
      </c>
      <c r="C160" s="22" t="s">
        <v>205</v>
      </c>
      <c r="D160" s="22" t="s">
        <v>425</v>
      </c>
      <c r="E160" s="13">
        <v>42728.230775462966</v>
      </c>
      <c r="F160" s="13">
        <v>42728.236597222225</v>
      </c>
      <c r="G160" s="7">
        <v>1</v>
      </c>
      <c r="H160" s="22" t="s">
        <v>424</v>
      </c>
      <c r="I160" s="13">
        <v>42728.248761574076</v>
      </c>
      <c r="J160" s="7">
        <v>1</v>
      </c>
      <c r="K160" s="109" t="str">
        <f t="shared" si="95"/>
        <v>4027/4028</v>
      </c>
      <c r="L160" s="22" t="str">
        <f>VLOOKUP(A160,'Trips&amp;Operators'!$C$1:$G$99999,5,FALSE)</f>
        <v>SHOOK JOHN</v>
      </c>
      <c r="M160" s="6">
        <f t="shared" si="96"/>
        <v>1.2164351850515231E-2</v>
      </c>
      <c r="N160" s="7">
        <f t="shared" si="97"/>
        <v>17.516666664741933</v>
      </c>
      <c r="O160" s="7"/>
      <c r="P160" s="7"/>
      <c r="Q160" s="23"/>
      <c r="R160" s="23"/>
      <c r="S160" s="35">
        <f t="shared" si="98"/>
        <v>1</v>
      </c>
      <c r="T160" s="50" t="str">
        <f t="shared" si="99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04:32:19-700',mode:absolute,to:'2016-12-24 06:58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0" s="52" t="str">
        <f t="shared" si="101"/>
        <v>N</v>
      </c>
      <c r="X160" s="177">
        <f t="shared" si="102"/>
        <v>1554</v>
      </c>
      <c r="Y160" s="67">
        <f t="shared" si="103"/>
        <v>5.8672000000000004</v>
      </c>
      <c r="Z160" s="67">
        <f t="shared" si="104"/>
        <v>7.3400000000000007E-2</v>
      </c>
      <c r="AA160" s="67">
        <f t="shared" si="105"/>
        <v>5.7938000000000001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106"/>
        <v>1800-24</v>
      </c>
      <c r="AE160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0" s="88" t="str">
        <f t="shared" si="108"/>
        <v>"C:\Program Files (x86)\AstroGrep\AstroGrep.exe" /spath="%USERPROFILE%\AppData\Local\Temp\OnboardLogs" /stypes="app*4028*20161224*" /stext=" 12:.+((SYSTEM_STATE.+slice.+state.+changed )|(ment ac)|(multiple cpu faults)|(system.+state.+changed )|(\[timeout)|(PRM\|1\|D)|(kpr)|(kdp)|(\|lc)|(penalty))" /e /r /s</v>
      </c>
      <c r="AG160" s="1" t="str">
        <f t="shared" si="109"/>
        <v>NW</v>
      </c>
      <c r="AH160" s="92" t="str">
        <f t="shared" si="110"/>
        <v>"%USERPROFILE%\Documents\GitHub\eaglep3\Utilities\RefineRTDCRunTimes.py" --tripid 1800-24 --locoid 4028 --swversion DE.1.0.8.0 --startMP 300:58672 --initTime 2016-12-24T05:32:19 --startdatetime 2016-12-24T05:40:42 --delay 1 --endMP 204:734 --enddatetime 2016-12-24T05:58:13 --enforcementcount 1 &gt;&gt;C:\Users\stu\Documents\GitHub\eaglep3-reporting\EC\2016-12-24-refined-times.txt</v>
      </c>
      <c r="AI16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{"issue":{"subject":"","project_id":79,"tracker_id":40,"status_id":1,"priority_id":2,"assigned_to_id":23,"start_date":"2016-12-24","description":"","custom_fields":[{"id":1,"name":"Subdivision","value":"NW"},{"id":4,"name":"Milepost","value":"0.0734"},{"id":17,"name":"Train ID","value":"1800-24"},{"id":16,"name":"Locomotive ID","value":"4028"},{"id":130,"name":"Impact","value":""},{"id":150,"name":"Time of Event (Mountain Time)","value":"05:58:13"},{"id":151,"name":"Denver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479</v>
      </c>
      <c r="B161" s="7">
        <v>4027</v>
      </c>
      <c r="C161" s="22" t="s">
        <v>205</v>
      </c>
      <c r="D161" s="22" t="s">
        <v>674</v>
      </c>
      <c r="E161" s="13">
        <v>42728.25439814815</v>
      </c>
      <c r="F161" s="13">
        <v>42728.264814814815</v>
      </c>
      <c r="G161" s="7">
        <v>1</v>
      </c>
      <c r="H161" s="22" t="s">
        <v>675</v>
      </c>
      <c r="I161" s="13">
        <v>42728.27547453704</v>
      </c>
      <c r="J161" s="7">
        <v>1</v>
      </c>
      <c r="K161" s="109" t="str">
        <f t="shared" si="95"/>
        <v>4027/4028</v>
      </c>
      <c r="L161" s="22" t="str">
        <f>VLOOKUP(A161,'Trips&amp;Operators'!$C$1:$G$99999,5,FALSE)</f>
        <v>SHOOK JOHN</v>
      </c>
      <c r="M161" s="6">
        <f t="shared" si="96"/>
        <v>1.0659722225682344E-2</v>
      </c>
      <c r="N161" s="7">
        <f t="shared" si="97"/>
        <v>15.350000004982576</v>
      </c>
      <c r="O161" s="7"/>
      <c r="P161" s="7"/>
      <c r="Q161" s="23"/>
      <c r="R161" s="23"/>
      <c r="S161" s="35">
        <f t="shared" si="98"/>
        <v>1</v>
      </c>
      <c r="T161" s="50" t="str">
        <f t="shared" si="99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05:06:20-700',mode:absolute,to:'2016-12-24 07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1" s="52" t="str">
        <f t="shared" si="101"/>
        <v>N</v>
      </c>
      <c r="X161" s="177">
        <f t="shared" si="102"/>
        <v>1</v>
      </c>
      <c r="Y161" s="67">
        <f t="shared" si="103"/>
        <v>0.1037</v>
      </c>
      <c r="Z161" s="67">
        <f t="shared" si="104"/>
        <v>5.8975999999999997</v>
      </c>
      <c r="AA161" s="67">
        <f t="shared" si="105"/>
        <v>5.7938999999999998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106"/>
        <v>1801-24</v>
      </c>
      <c r="AE161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1" s="88" t="str">
        <f t="shared" si="108"/>
        <v>"C:\Program Files (x86)\AstroGrep\AstroGrep.exe" /spath="%USERPROFILE%\AppData\Local\Temp\OnboardLogs" /stypes="app*4027*20161224*" /stext=" 13:.+((SYSTEM_STATE.+slice.+state.+changed )|(ment ac)|(multiple cpu faults)|(system.+state.+changed )|(\[timeout)|(PRM\|1\|D)|(kpr)|(kdp)|(\|lc)|(penalty))" /e /r /s</v>
      </c>
      <c r="AG161" s="1" t="str">
        <f t="shared" si="109"/>
        <v>NW</v>
      </c>
      <c r="AH161" s="92" t="str">
        <f t="shared" si="110"/>
        <v>"%USERPROFILE%\Documents\GitHub\eaglep3\Utilities\RefineRTDCRunTimes.py" --tripid 1801-24 --locoid 4027 --swversion DE.1.0.8.0 --startMP 204:1037 --initTime 2016-12-24T06:06:20 --startdatetime 2016-12-24T06:21:20 --delay 1 --endMP 300:58976 --enddatetime 2016-12-24T06:36:41 --enforcementcount 1 &gt;&gt;C:\Users\stu\Documents\GitHub\eaglep3-reporting\EC\2016-12-24-refined-times.txt</v>
      </c>
      <c r="AI16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{"issue":{"subject":"","project_id":79,"tracker_id":40,"status_id":1,"priority_id":2,"assigned_to_id":23,"start_date":"2016-12-24","description":"","custom_fields":[{"id":1,"name":"Subdivision","value":"NW"},{"id":4,"name":"Milepost","value":"5.8976"},{"id":17,"name":"Train ID","value":"1801-24"},{"id":16,"name":"Locomotive ID","value":"4027"},{"id":130,"name":"Impact","value":""},{"id":150,"name":"Time of Event (Mountain Time)","value":"06:36:41"},{"id":151,"name":"Denver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485</v>
      </c>
      <c r="B162" s="7">
        <v>4028</v>
      </c>
      <c r="C162" s="22" t="s">
        <v>205</v>
      </c>
      <c r="D162" s="22" t="s">
        <v>676</v>
      </c>
      <c r="E162" s="13">
        <v>42728.276944444442</v>
      </c>
      <c r="F162" s="13">
        <v>42728.27851851852</v>
      </c>
      <c r="G162" s="7">
        <v>1</v>
      </c>
      <c r="H162" s="22" t="s">
        <v>309</v>
      </c>
      <c r="I162" s="13">
        <v>42728.2890625</v>
      </c>
      <c r="J162" s="7">
        <v>1</v>
      </c>
      <c r="K162" s="109" t="str">
        <f t="shared" si="95"/>
        <v>4027/4028</v>
      </c>
      <c r="L162" s="22" t="str">
        <f>VLOOKUP(A162,'Trips&amp;Operators'!$C$1:$G$99999,5,FALSE)</f>
        <v>SHOOK JOHN</v>
      </c>
      <c r="M162" s="6">
        <f t="shared" si="96"/>
        <v>1.0543981479713693E-2</v>
      </c>
      <c r="N162" s="7">
        <f t="shared" si="97"/>
        <v>15.183333330787718</v>
      </c>
      <c r="O162" s="7"/>
      <c r="P162" s="7"/>
      <c r="Q162" s="23"/>
      <c r="R162" s="23"/>
      <c r="S162" s="35">
        <f t="shared" si="98"/>
        <v>1</v>
      </c>
      <c r="T162" s="50" t="str">
        <f t="shared" si="99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05:38:48-700',mode:absolute,to:'2016-12-24 07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2" s="52" t="str">
        <f t="shared" si="101"/>
        <v>N</v>
      </c>
      <c r="X162" s="177">
        <f t="shared" si="102"/>
        <v>1</v>
      </c>
      <c r="Y162" s="67">
        <f t="shared" si="103"/>
        <v>5.8666</v>
      </c>
      <c r="Z162" s="67">
        <f t="shared" si="104"/>
        <v>7.4499999999999997E-2</v>
      </c>
      <c r="AA162" s="67">
        <f t="shared" si="105"/>
        <v>5.7921000000000005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106"/>
        <v>1802-24</v>
      </c>
      <c r="AE162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2" s="88" t="str">
        <f t="shared" si="108"/>
        <v>"C:\Program Files (x86)\AstroGrep\AstroGrep.exe" /spath="%USERPROFILE%\AppData\Local\Temp\OnboardLogs" /stypes="app*4028*20161224*" /stext=" 13:.+((SYSTEM_STATE.+slice.+state.+changed )|(ment ac)|(multiple cpu faults)|(system.+state.+changed )|(\[timeout)|(PRM\|1\|D)|(kpr)|(kdp)|(\|lc)|(penalty))" /e /r /s</v>
      </c>
      <c r="AG162" s="1" t="str">
        <f t="shared" si="109"/>
        <v>NW</v>
      </c>
      <c r="AH162" s="92" t="str">
        <f t="shared" si="110"/>
        <v>"%USERPROFILE%\Documents\GitHub\eaglep3\Utilities\RefineRTDCRunTimes.py" --tripid 1802-24 --locoid 4028 --swversion DE.1.0.8.0 --startMP 300:58666 --initTime 2016-12-24T06:38:48 --startdatetime 2016-12-24T06:41:04 --delay 1 --endMP 204:745 --enddatetime 2016-12-24T06:56:15 --enforcementcount 1 &gt;&gt;C:\Users\stu\Documents\GitHub\eaglep3-reporting\EC\2016-12-24-refined-times.txt</v>
      </c>
      <c r="AI16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{"issue":{"subject":"","project_id":79,"tracker_id":40,"status_id":1,"priority_id":2,"assigned_to_id":23,"start_date":"2016-12-24","description":"","custom_fields":[{"id":1,"name":"Subdivision","value":"NW"},{"id":4,"name":"Milepost","value":"0.0745"},{"id":17,"name":"Train ID","value":"1802-24"},{"id":16,"name":"Locomotive ID","value":"4028"},{"id":130,"name":"Impact","value":""},{"id":150,"name":"Time of Event (Mountain Time)","value":"06:56:15"},{"id":151,"name":"Denver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488</v>
      </c>
      <c r="B163" s="7">
        <v>4027</v>
      </c>
      <c r="C163" s="22" t="s">
        <v>205</v>
      </c>
      <c r="D163" s="22" t="s">
        <v>426</v>
      </c>
      <c r="E163" s="13">
        <v>42728.291145833333</v>
      </c>
      <c r="F163" s="13">
        <v>42728.306493055556</v>
      </c>
      <c r="G163" s="7">
        <v>1</v>
      </c>
      <c r="H163" s="22" t="s">
        <v>677</v>
      </c>
      <c r="I163" s="13">
        <v>42728.316122685188</v>
      </c>
      <c r="J163" s="7">
        <v>1</v>
      </c>
      <c r="K163" s="109" t="str">
        <f t="shared" si="95"/>
        <v>4027/4028</v>
      </c>
      <c r="L163" s="22" t="str">
        <f>VLOOKUP(A163,'Trips&amp;Operators'!$C$1:$G$99999,5,FALSE)</f>
        <v>SHOOK JOHN</v>
      </c>
      <c r="M163" s="6">
        <f t="shared" si="96"/>
        <v>9.6296296323998831E-3</v>
      </c>
      <c r="N163" s="7">
        <f t="shared" si="97"/>
        <v>13.866666670655832</v>
      </c>
      <c r="O163" s="7"/>
      <c r="P163" s="7"/>
      <c r="Q163" s="23"/>
      <c r="R163" s="23"/>
      <c r="S163" s="35">
        <f t="shared" si="98"/>
        <v>1</v>
      </c>
      <c r="T163" s="50" t="str">
        <f t="shared" si="99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05:59:15-700',mode:absolute,to:'2016-12-24 08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3" s="52" t="str">
        <f t="shared" si="101"/>
        <v>N</v>
      </c>
      <c r="X163" s="177">
        <f t="shared" si="102"/>
        <v>1</v>
      </c>
      <c r="Y163" s="67">
        <f t="shared" si="103"/>
        <v>0.1027</v>
      </c>
      <c r="Z163" s="67">
        <f t="shared" si="104"/>
        <v>5.8979999999999997</v>
      </c>
      <c r="AA163" s="67">
        <f t="shared" si="105"/>
        <v>5.7953000000000001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106"/>
        <v>1803-24</v>
      </c>
      <c r="AE163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3" s="88" t="str">
        <f t="shared" si="108"/>
        <v>"C:\Program Files (x86)\AstroGrep\AstroGrep.exe" /spath="%USERPROFILE%\AppData\Local\Temp\OnboardLogs" /stypes="app*4027*20161224*" /stext=" 14:.+((SYSTEM_STATE.+slice.+state.+changed )|(ment ac)|(multiple cpu faults)|(system.+state.+changed )|(\[timeout)|(PRM\|1\|D)|(kpr)|(kdp)|(\|lc)|(penalty))" /e /r /s</v>
      </c>
      <c r="AG163" s="1" t="str">
        <f t="shared" si="109"/>
        <v>NW</v>
      </c>
      <c r="AH163" s="92" t="str">
        <f t="shared" si="110"/>
        <v>"%USERPROFILE%\Documents\GitHub\eaglep3\Utilities\RefineRTDCRunTimes.py" --tripid 1803-24 --locoid 4027 --swversion DE.1.0.8.0 --startMP 204:1027 --initTime 2016-12-24T06:59:15 --startdatetime 2016-12-24T07:21:21 --delay 1 --endMP 300:58980 --enddatetime 2016-12-24T07:35:13 --enforcementcount 1 &gt;&gt;C:\Users\stu\Documents\GitHub\eaglep3-reporting\EC\2016-12-24-refined-times.txt</v>
      </c>
      <c r="AI16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{"issue":{"subject":"","project_id":79,"tracker_id":40,"status_id":1,"priority_id":2,"assigned_to_id":23,"start_date":"2016-12-24","description":"","custom_fields":[{"id":1,"name":"Subdivision","value":"NW"},{"id":4,"name":"Milepost","value":"5.898"},{"id":17,"name":"Train ID","value":"1803-24"},{"id":16,"name":"Locomotive ID","value":"4027"},{"id":130,"name":"Impact","value":""},{"id":150,"name":"Time of Event (Mountain Time)","value":"07:35:13"},{"id":151,"name":"Denver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494</v>
      </c>
      <c r="B164" s="7">
        <v>4028</v>
      </c>
      <c r="C164" s="22" t="s">
        <v>205</v>
      </c>
      <c r="D164" s="22" t="s">
        <v>678</v>
      </c>
      <c r="E164" s="13">
        <v>42728.318043981482</v>
      </c>
      <c r="F164" s="13">
        <v>42728.31962962963</v>
      </c>
      <c r="G164" s="7">
        <v>1</v>
      </c>
      <c r="H164" s="22" t="s">
        <v>679</v>
      </c>
      <c r="I164" s="13">
        <v>42728.33053240741</v>
      </c>
      <c r="J164" s="7">
        <v>1</v>
      </c>
      <c r="K164" s="109" t="str">
        <f t="shared" si="95"/>
        <v>4027/4028</v>
      </c>
      <c r="L164" s="22" t="str">
        <f>VLOOKUP(A164,'Trips&amp;Operators'!$C$1:$G$99999,5,FALSE)</f>
        <v>SHOOK JOHN</v>
      </c>
      <c r="M164" s="6">
        <f t="shared" si="96"/>
        <v>1.0902777779847383E-2</v>
      </c>
      <c r="N164" s="7">
        <f t="shared" si="97"/>
        <v>15.700000002980232</v>
      </c>
      <c r="O164" s="7"/>
      <c r="P164" s="7"/>
      <c r="Q164" s="23"/>
      <c r="R164" s="23"/>
      <c r="S164" s="35">
        <f t="shared" si="98"/>
        <v>1</v>
      </c>
      <c r="T164" s="50" t="str">
        <f t="shared" si="99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06:37:59-700',mode:absolute,to:'2016-12-24 08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4" s="52" t="str">
        <f t="shared" si="101"/>
        <v>N</v>
      </c>
      <c r="X164" s="177">
        <f t="shared" si="102"/>
        <v>1</v>
      </c>
      <c r="Y164" s="67">
        <f t="shared" si="103"/>
        <v>5.8673000000000002</v>
      </c>
      <c r="Z164" s="67">
        <f t="shared" si="104"/>
        <v>7.3300000000000004E-2</v>
      </c>
      <c r="AA164" s="67">
        <f t="shared" si="105"/>
        <v>5.7940000000000005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106"/>
        <v>1804-24</v>
      </c>
      <c r="AE164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4" s="88" t="str">
        <f t="shared" si="108"/>
        <v>"C:\Program Files (x86)\AstroGrep\AstroGrep.exe" /spath="%USERPROFILE%\AppData\Local\Temp\OnboardLogs" /stypes="app*4028*20161224*" /stext=" 14:.+((SYSTEM_STATE.+slice.+state.+changed )|(ment ac)|(multiple cpu faults)|(system.+state.+changed )|(\[timeout)|(PRM\|1\|D)|(kpr)|(kdp)|(\|lc)|(penalty))" /e /r /s</v>
      </c>
      <c r="AG164" s="1" t="str">
        <f t="shared" si="109"/>
        <v>NW</v>
      </c>
      <c r="AH164" s="92" t="str">
        <f t="shared" si="110"/>
        <v>"%USERPROFILE%\Documents\GitHub\eaglep3\Utilities\RefineRTDCRunTimes.py" --tripid 1804-24 --locoid 4028 --swversion DE.1.0.8.0 --startMP 300:58673 --initTime 2016-12-24T07:37:59 --startdatetime 2016-12-24T07:40:16 --delay 1 --endMP 204:733 --enddatetime 2016-12-24T07:55:58 --enforcementcount 1 &gt;&gt;C:\Users\stu\Documents\GitHub\eaglep3-reporting\EC\2016-12-24-refined-times.txt</v>
      </c>
      <c r="AI16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{"issue":{"subject":"","project_id":79,"tracker_id":40,"status_id":1,"priority_id":2,"assigned_to_id":23,"start_date":"2016-12-24","description":"","custom_fields":[{"id":1,"name":"Subdivision","value":"NW"},{"id":4,"name":"Milepost","value":"0.0733"},{"id":17,"name":"Train ID","value":"1804-24"},{"id":16,"name":"Locomotive ID","value":"4028"},{"id":130,"name":"Impact","value":""},{"id":150,"name":"Time of Event (Mountain Time)","value":"07:55:58"},{"id":151,"name":"Denver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496</v>
      </c>
      <c r="B165" s="7">
        <v>4027</v>
      </c>
      <c r="C165" s="22" t="s">
        <v>205</v>
      </c>
      <c r="D165" s="22" t="s">
        <v>680</v>
      </c>
      <c r="E165" s="13">
        <v>42728.332337962966</v>
      </c>
      <c r="F165" s="13">
        <v>42728.348113425927</v>
      </c>
      <c r="G165" s="7">
        <v>1</v>
      </c>
      <c r="H165" s="22" t="s">
        <v>421</v>
      </c>
      <c r="I165" s="13">
        <v>42728.357951388891</v>
      </c>
      <c r="J165" s="7">
        <v>1</v>
      </c>
      <c r="K165" s="109" t="str">
        <f t="shared" si="95"/>
        <v>4027/4028</v>
      </c>
      <c r="L165" s="22" t="str">
        <f>VLOOKUP(A165,'Trips&amp;Operators'!$C$1:$G$99999,5,FALSE)</f>
        <v>SHOOK JOHN</v>
      </c>
      <c r="M165" s="6">
        <f t="shared" si="96"/>
        <v>9.8379629635019228E-3</v>
      </c>
      <c r="N165" s="7">
        <f t="shared" si="97"/>
        <v>14.166666667442769</v>
      </c>
      <c r="O165" s="7"/>
      <c r="P165" s="7"/>
      <c r="Q165" s="23"/>
      <c r="R165" s="23"/>
      <c r="S165" s="35">
        <f t="shared" si="98"/>
        <v>1</v>
      </c>
      <c r="T165" s="50" t="str">
        <f t="shared" si="99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06:58:34-700',mode:absolute,to:'2016-12-24 09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5" s="52" t="str">
        <f t="shared" si="101"/>
        <v>N</v>
      </c>
      <c r="X165" s="177">
        <f t="shared" si="102"/>
        <v>1</v>
      </c>
      <c r="Y165" s="67">
        <f t="shared" si="103"/>
        <v>0.10059999999999999</v>
      </c>
      <c r="Z165" s="67">
        <f t="shared" si="104"/>
        <v>5.8998999999999997</v>
      </c>
      <c r="AA165" s="67">
        <f t="shared" si="105"/>
        <v>5.7992999999999997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106"/>
        <v>1805-24</v>
      </c>
      <c r="AE165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5" s="88" t="str">
        <f t="shared" si="108"/>
        <v>"C:\Program Files (x86)\AstroGrep\AstroGrep.exe" /spath="%USERPROFILE%\AppData\Local\Temp\OnboardLogs" /stypes="app*4027*20161224*" /stext=" 15:.+((SYSTEM_STATE.+slice.+state.+changed )|(ment ac)|(multiple cpu faults)|(system.+state.+changed )|(\[timeout)|(PRM\|1\|D)|(kpr)|(kdp)|(\|lc)|(penalty))" /e /r /s</v>
      </c>
      <c r="AG165" s="1" t="str">
        <f t="shared" si="109"/>
        <v>NW</v>
      </c>
      <c r="AH165" s="92" t="str">
        <f t="shared" si="110"/>
        <v>"%USERPROFILE%\Documents\GitHub\eaglep3\Utilities\RefineRTDCRunTimes.py" --tripid 1805-24 --locoid 4027 --swversion DE.1.0.8.0 --startMP 204:1006 --initTime 2016-12-24T07:58:34 --startdatetime 2016-12-24T08:21:17 --delay 1 --endMP 300:58999 --enddatetime 2016-12-24T08:35:27 --enforcementcount 1 &gt;&gt;C:\Users\stu\Documents\GitHub\eaglep3-reporting\EC\2016-12-24-refined-times.txt</v>
      </c>
      <c r="AI16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{"issue":{"subject":"","project_id":79,"tracker_id":40,"status_id":1,"priority_id":2,"assigned_to_id":23,"start_date":"2016-12-24","description":"","custom_fields":[{"id":1,"name":"Subdivision","value":"NW"},{"id":4,"name":"Milepost","value":"5.8999"},{"id":17,"name":"Train ID","value":"1805-24"},{"id":16,"name":"Locomotive ID","value":"4027"},{"id":130,"name":"Impact","value":""},{"id":150,"name":"Time of Event (Mountain Time)","value":"08:35:27"},{"id":151,"name":"Denver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502</v>
      </c>
      <c r="B166" s="7">
        <v>4028</v>
      </c>
      <c r="C166" s="22" t="s">
        <v>205</v>
      </c>
      <c r="D166" s="22" t="s">
        <v>681</v>
      </c>
      <c r="E166" s="13">
        <v>42728.359409722223</v>
      </c>
      <c r="F166" s="13">
        <v>42728.36341435185</v>
      </c>
      <c r="G166" s="7">
        <v>4</v>
      </c>
      <c r="H166" s="22" t="s">
        <v>682</v>
      </c>
      <c r="I166" s="13">
        <v>42728.373263888891</v>
      </c>
      <c r="J166" s="7">
        <v>1</v>
      </c>
      <c r="K166" s="109" t="str">
        <f t="shared" si="95"/>
        <v>4027/4028</v>
      </c>
      <c r="L166" s="22" t="str">
        <f>VLOOKUP(A166,'Trips&amp;Operators'!$C$1:$G$99999,5,FALSE)</f>
        <v>SHOOK JOHN</v>
      </c>
      <c r="M166" s="6">
        <f t="shared" si="96"/>
        <v>9.8495370402815752E-3</v>
      </c>
      <c r="N166" s="7">
        <f t="shared" si="97"/>
        <v>14.183333338005468</v>
      </c>
      <c r="O166" s="7"/>
      <c r="P166" s="7"/>
      <c r="Q166" s="23"/>
      <c r="R166" s="23"/>
      <c r="S166" s="35">
        <f t="shared" si="98"/>
        <v>1</v>
      </c>
      <c r="T166" s="50" t="str">
        <f t="shared" si="99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07:37:33-700',mode:absolute,to:'2016-12-24 09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6" s="52" t="str">
        <f t="shared" si="101"/>
        <v>N</v>
      </c>
      <c r="X166" s="177">
        <f t="shared" si="102"/>
        <v>1</v>
      </c>
      <c r="Y166" s="67">
        <f t="shared" si="103"/>
        <v>5.7354000000000003</v>
      </c>
      <c r="Z166" s="67">
        <f t="shared" si="104"/>
        <v>7.4099999999999999E-2</v>
      </c>
      <c r="AA166" s="67">
        <f t="shared" si="105"/>
        <v>5.6613000000000007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106"/>
        <v>1806-24</v>
      </c>
      <c r="AE166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6" s="88" t="str">
        <f t="shared" si="108"/>
        <v>"C:\Program Files (x86)\AstroGrep\AstroGrep.exe" /spath="%USERPROFILE%\AppData\Local\Temp\OnboardLogs" /stypes="app*4028*20161224*" /stext=" 15:.+((SYSTEM_STATE.+slice.+state.+changed )|(ment ac)|(multiple cpu faults)|(system.+state.+changed )|(\[timeout)|(PRM\|1\|D)|(kpr)|(kdp)|(\|lc)|(penalty))" /e /r /s</v>
      </c>
      <c r="AG166" s="1" t="str">
        <f t="shared" si="109"/>
        <v>NW</v>
      </c>
      <c r="AH166" s="92" t="str">
        <f t="shared" si="110"/>
        <v>"%USERPROFILE%\Documents\GitHub\eaglep3\Utilities\RefineRTDCRunTimes.py" --tripid 1806-24 --locoid 4028 --swversion DE.1.0.8.0 --startMP 300:57354 --initTime 2016-12-24T08:37:33 --startdatetime 2016-12-24T08:43:19 --delay 4 --endMP 204:741 --enddatetime 2016-12-24T08:57:30 --enforcementcount 1 &gt;&gt;C:\Users\stu\Documents\GitHub\eaglep3-reporting\EC\2016-12-24-refined-times.txt</v>
      </c>
      <c r="AI16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{"issue":{"subject":"","project_id":79,"tracker_id":40,"status_id":1,"priority_id":2,"assigned_to_id":23,"start_date":"2016-12-24","description":"","custom_fields":[{"id":1,"name":"Subdivision","value":"NW"},{"id":4,"name":"Milepost","value":"0.0741"},{"id":17,"name":"Train ID","value":"1806-24"},{"id":16,"name":"Locomotive ID","value":"4028"},{"id":130,"name":"Impact","value":""},{"id":150,"name":"Time of Event (Mountain Time)","value":"08:57:30"},{"id":151,"name":"Denver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505</v>
      </c>
      <c r="B167" s="7">
        <v>4027</v>
      </c>
      <c r="C167" s="22" t="s">
        <v>205</v>
      </c>
      <c r="D167" s="22" t="s">
        <v>683</v>
      </c>
      <c r="E167" s="13">
        <v>42728.375</v>
      </c>
      <c r="F167" s="13">
        <v>42728.389780092592</v>
      </c>
      <c r="G167" s="7">
        <v>0</v>
      </c>
      <c r="H167" s="22" t="s">
        <v>684</v>
      </c>
      <c r="I167" s="13">
        <v>42728.399861111109</v>
      </c>
      <c r="J167" s="7">
        <v>1</v>
      </c>
      <c r="K167" s="109" t="str">
        <f t="shared" si="95"/>
        <v>4027/4028</v>
      </c>
      <c r="L167" s="22" t="str">
        <f>VLOOKUP(A167,'Trips&amp;Operators'!$C$1:$G$99999,5,FALSE)</f>
        <v>SHOOK JOHN</v>
      </c>
      <c r="M167" s="6">
        <f t="shared" si="96"/>
        <v>1.0081018517666962E-2</v>
      </c>
      <c r="N167" s="7">
        <f t="shared" si="97"/>
        <v>14.516666665440425</v>
      </c>
      <c r="O167" s="7"/>
      <c r="P167" s="7"/>
      <c r="Q167" s="23"/>
      <c r="R167" s="23"/>
      <c r="S167" s="35">
        <f t="shared" si="98"/>
        <v>1</v>
      </c>
      <c r="T167" s="50" t="str">
        <f t="shared" si="99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08:00:00-700',mode:absolute,to:'2016-12-24 10:35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7" s="52" t="str">
        <f t="shared" si="101"/>
        <v>N</v>
      </c>
      <c r="X167" s="177">
        <f t="shared" si="102"/>
        <v>1</v>
      </c>
      <c r="Y167" s="67">
        <f t="shared" si="103"/>
        <v>0.1028</v>
      </c>
      <c r="Z167" s="67">
        <f t="shared" si="104"/>
        <v>5.9002999999999997</v>
      </c>
      <c r="AA167" s="67">
        <f t="shared" si="105"/>
        <v>5.7974999999999994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106"/>
        <v>1807-24</v>
      </c>
      <c r="AE167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7" s="88" t="str">
        <f t="shared" si="108"/>
        <v>"C:\Program Files (x86)\AstroGrep\AstroGrep.exe" /spath="%USERPROFILE%\AppData\Local\Temp\OnboardLogs" /stypes="app*4027*20161224*" /stext=" 16:.+((SYSTEM_STATE.+slice.+state.+changed )|(ment ac)|(multiple cpu faults)|(system.+state.+changed )|(\[timeout)|(PRM\|1\|D)|(kpr)|(kdp)|(\|lc)|(penalty))" /e /r /s</v>
      </c>
      <c r="AG167" s="1" t="str">
        <f t="shared" si="109"/>
        <v>NW</v>
      </c>
      <c r="AH167" s="92" t="str">
        <f t="shared" si="110"/>
        <v>"%USERPROFILE%\Documents\GitHub\eaglep3\Utilities\RefineRTDCRunTimes.py" --tripid 1807-24 --locoid 4027 --swversion DE.1.0.8.0 --startMP 204:1028 --initTime 2016-12-24T09:00:00 --startdatetime 2016-12-24T09:21:17 --delay 0 --endMP 300:59003 --enddatetime 2016-12-24T09:35:48 --enforcementcount 1 &gt;&gt;C:\Users\stu\Documents\GitHub\eaglep3-reporting\EC\2016-12-24-refined-times.txt</v>
      </c>
      <c r="AI16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{"issue":{"subject":"","project_id":79,"tracker_id":40,"status_id":1,"priority_id":2,"assigned_to_id":23,"start_date":"2016-12-24","description":"","custom_fields":[{"id":1,"name":"Subdivision","value":"NW"},{"id":4,"name":"Milepost","value":"5.9003"},{"id":17,"name":"Train ID","value":"1807-24"},{"id":16,"name":"Locomotive ID","value":"4027"},{"id":130,"name":"Impact","value":""},{"id":150,"name":"Time of Event (Mountain Time)","value":"09:35:48"},{"id":151,"name":"Denver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510</v>
      </c>
      <c r="B168" s="7">
        <v>4028</v>
      </c>
      <c r="C168" s="22" t="s">
        <v>205</v>
      </c>
      <c r="D168" s="22" t="s">
        <v>685</v>
      </c>
      <c r="E168" s="13">
        <v>42728.401331018518</v>
      </c>
      <c r="F168" s="13">
        <v>42728.402928240743</v>
      </c>
      <c r="G168" s="7">
        <v>1</v>
      </c>
      <c r="H168" s="22" t="s">
        <v>686</v>
      </c>
      <c r="I168" s="13">
        <v>42728.413726851853</v>
      </c>
      <c r="J168" s="7">
        <v>1</v>
      </c>
      <c r="K168" s="109" t="str">
        <f t="shared" si="95"/>
        <v>4027/4028</v>
      </c>
      <c r="L168" s="22" t="str">
        <f>VLOOKUP(A168,'Trips&amp;Operators'!$C$1:$G$99999,5,FALSE)</f>
        <v>SHOOK JOHN</v>
      </c>
      <c r="M168" s="6">
        <f t="shared" si="96"/>
        <v>1.0798611110658385E-2</v>
      </c>
      <c r="N168" s="7">
        <f t="shared" si="97"/>
        <v>15.549999999348074</v>
      </c>
      <c r="O168" s="7"/>
      <c r="P168" s="7"/>
      <c r="Q168" s="23"/>
      <c r="R168" s="23"/>
      <c r="S168" s="35">
        <f t="shared" si="98"/>
        <v>1</v>
      </c>
      <c r="T168" s="50" t="str">
        <f t="shared" si="99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08:37:55-700',mode:absolute,to:'2016-12-24 10:55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68" s="52" t="str">
        <f t="shared" si="101"/>
        <v>N</v>
      </c>
      <c r="X168" s="177">
        <f t="shared" si="102"/>
        <v>1</v>
      </c>
      <c r="Y168" s="67">
        <f t="shared" si="103"/>
        <v>5.8696000000000002</v>
      </c>
      <c r="Z168" s="67">
        <f t="shared" si="104"/>
        <v>7.2900000000000006E-2</v>
      </c>
      <c r="AA168" s="67">
        <f t="shared" si="105"/>
        <v>5.7967000000000004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106"/>
        <v>1808-24</v>
      </c>
      <c r="AE168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68" s="88" t="str">
        <f t="shared" si="108"/>
        <v>"C:\Program Files (x86)\AstroGrep\AstroGrep.exe" /spath="%USERPROFILE%\AppData\Local\Temp\OnboardLogs" /stypes="app*4028*20161224*" /stext=" 16:.+((SYSTEM_STATE.+slice.+state.+changed )|(ment ac)|(multiple cpu faults)|(system.+state.+changed )|(\[timeout)|(PRM\|1\|D)|(kpr)|(kdp)|(\|lc)|(penalty))" /e /r /s</v>
      </c>
      <c r="AG168" s="1" t="str">
        <f t="shared" si="109"/>
        <v>NW</v>
      </c>
      <c r="AH168" s="92" t="str">
        <f t="shared" si="110"/>
        <v>"%USERPROFILE%\Documents\GitHub\eaglep3\Utilities\RefineRTDCRunTimes.py" --tripid 1808-24 --locoid 4028 --swversion DE.1.0.8.0 --startMP 300:58696 --initTime 2016-12-24T09:37:55 --startdatetime 2016-12-24T09:40:13 --delay 1 --endMP 204:729 --enddatetime 2016-12-24T09:55:46 --enforcementcount 1 &gt;&gt;C:\Users\stu\Documents\GitHub\eaglep3-reporting\EC\2016-12-24-refined-times.txt</v>
      </c>
      <c r="AI16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{"issue":{"subject":"","project_id":79,"tracker_id":40,"status_id":1,"priority_id":2,"assigned_to_id":23,"start_date":"2016-12-24","description":"","custom_fields":[{"id":1,"name":"Subdivision","value":"NW"},{"id":4,"name":"Milepost","value":"0.0729"},{"id":17,"name":"Train ID","value":"1808-24"},{"id":16,"name":"Locomotive ID","value":"4028"},{"id":130,"name":"Impact","value":""},{"id":150,"name":"Time of Event (Mountain Time)","value":"09:55:46"},{"id":151,"name":"Denver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440</v>
      </c>
      <c r="B169" s="7">
        <v>4027</v>
      </c>
      <c r="C169" s="22" t="s">
        <v>205</v>
      </c>
      <c r="D169" s="22" t="s">
        <v>680</v>
      </c>
      <c r="E169" s="13">
        <v>42728.416215277779</v>
      </c>
      <c r="F169" s="13">
        <v>42728.431469907409</v>
      </c>
      <c r="G169" s="7">
        <v>1</v>
      </c>
      <c r="H169" s="22" t="s">
        <v>687</v>
      </c>
      <c r="I169" s="13">
        <v>42728.441469907404</v>
      </c>
      <c r="J169" s="7">
        <v>1</v>
      </c>
      <c r="K169" s="109" t="str">
        <f t="shared" si="95"/>
        <v>4027/4028</v>
      </c>
      <c r="L169" s="22" t="str">
        <f>VLOOKUP(A169,'Trips&amp;Operators'!$C$1:$G$99999,5,FALSE)</f>
        <v>SHOOK JOHN</v>
      </c>
      <c r="M169" s="6">
        <f t="shared" si="96"/>
        <v>9.9999999947613105E-3</v>
      </c>
      <c r="N169" s="7">
        <f t="shared" si="97"/>
        <v>14.399999992456287</v>
      </c>
      <c r="O169" s="7"/>
      <c r="P169" s="7"/>
      <c r="Q169" s="23"/>
      <c r="R169" s="23"/>
      <c r="S169" s="35">
        <f t="shared" si="98"/>
        <v>1</v>
      </c>
      <c r="T169" s="50" t="str">
        <f t="shared" si="99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08:59:21-700',mode:absolute,to:'2016-12-24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69" s="52" t="str">
        <f t="shared" si="101"/>
        <v>N</v>
      </c>
      <c r="X169" s="177">
        <f t="shared" si="102"/>
        <v>1</v>
      </c>
      <c r="Y169" s="67">
        <f t="shared" si="103"/>
        <v>0.10059999999999999</v>
      </c>
      <c r="Z169" s="67">
        <f t="shared" si="104"/>
        <v>5.9009999999999998</v>
      </c>
      <c r="AA169" s="67">
        <f t="shared" si="105"/>
        <v>5.8003999999999998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106"/>
        <v>1809-24</v>
      </c>
      <c r="AE169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69" s="88" t="str">
        <f t="shared" si="108"/>
        <v>"C:\Program Files (x86)\AstroGrep\AstroGrep.exe" /spath="%USERPROFILE%\AppData\Local\Temp\OnboardLogs" /stypes="app*4027*20161224*" /stext=" 17:.+((SYSTEM_STATE.+slice.+state.+changed )|(ment ac)|(multiple cpu faults)|(system.+state.+changed )|(\[timeout)|(PRM\|1\|D)|(kpr)|(kdp)|(\|lc)|(penalty))" /e /r /s</v>
      </c>
      <c r="AG169" s="1" t="str">
        <f t="shared" si="109"/>
        <v>NW</v>
      </c>
      <c r="AH169" s="92" t="str">
        <f t="shared" si="110"/>
        <v>"%USERPROFILE%\Documents\GitHub\eaglep3\Utilities\RefineRTDCRunTimes.py" --tripid 1809-24 --locoid 4027 --swversion DE.1.0.8.0 --startMP 204:1006 --initTime 2016-12-24T09:59:21 --startdatetime 2016-12-24T10:21:19 --delay 1 --endMP 300:59010 --enddatetime 2016-12-24T10:35:43 --enforcementcount 1 &gt;&gt;C:\Users\stu\Documents\GitHub\eaglep3-reporting\EC\2016-12-24-refined-times.txt</v>
      </c>
      <c r="AI16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{"issue":{"subject":"","project_id":79,"tracker_id":40,"status_id":1,"priority_id":2,"assigned_to_id":23,"start_date":"2016-12-24","description":"","custom_fields":[{"id":1,"name":"Subdivision","value":"NW"},{"id":4,"name":"Milepost","value":"5.901"},{"id":17,"name":"Train ID","value":"1809-24"},{"id":16,"name":"Locomotive ID","value":"4027"},{"id":130,"name":"Impact","value":""},{"id":150,"name":"Time of Event (Mountain Time)","value":"10:35:43"},{"id":151,"name":"Denver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520</v>
      </c>
      <c r="B170" s="7">
        <v>4028</v>
      </c>
      <c r="C170" s="22" t="s">
        <v>205</v>
      </c>
      <c r="D170" s="22" t="s">
        <v>689</v>
      </c>
      <c r="E170" s="13">
        <v>42728.44332175926</v>
      </c>
      <c r="F170" s="13">
        <v>42728.444861111115</v>
      </c>
      <c r="G170" s="7">
        <v>0</v>
      </c>
      <c r="H170" s="22" t="s">
        <v>355</v>
      </c>
      <c r="I170" s="13">
        <v>42728.455416666664</v>
      </c>
      <c r="J170" s="7">
        <v>1</v>
      </c>
      <c r="K170" s="109" t="str">
        <f t="shared" si="95"/>
        <v>4027/4028</v>
      </c>
      <c r="L170" s="22" t="str">
        <f>VLOOKUP(A170,'Trips&amp;Operators'!$C$1:$G$99999,5,FALSE)</f>
        <v>SHOOK JOHN</v>
      </c>
      <c r="M170" s="6">
        <f t="shared" si="96"/>
        <v>1.0555555549217388E-2</v>
      </c>
      <c r="N170" s="7">
        <f t="shared" si="97"/>
        <v>15.199999990873039</v>
      </c>
      <c r="O170" s="7"/>
      <c r="P170" s="7"/>
      <c r="Q170" s="23"/>
      <c r="R170" s="23"/>
      <c r="S170" s="35">
        <f t="shared" si="98"/>
        <v>1</v>
      </c>
      <c r="T170" s="50" t="str">
        <f t="shared" si="99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09:38:23-700',mode:absolute,to:'2016-12-24 11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0" s="52" t="str">
        <f t="shared" si="101"/>
        <v>N</v>
      </c>
      <c r="X170" s="177">
        <f t="shared" si="102"/>
        <v>1</v>
      </c>
      <c r="Y170" s="67">
        <f t="shared" si="103"/>
        <v>5.8701999999999996</v>
      </c>
      <c r="Z170" s="67">
        <f t="shared" si="104"/>
        <v>7.1499999999999994E-2</v>
      </c>
      <c r="AA170" s="67">
        <f t="shared" si="105"/>
        <v>5.7986999999999993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106"/>
        <v>1810-24</v>
      </c>
      <c r="AE170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0" s="88" t="str">
        <f t="shared" si="108"/>
        <v>"C:\Program Files (x86)\AstroGrep\AstroGrep.exe" /spath="%USERPROFILE%\AppData\Local\Temp\OnboardLogs" /stypes="app*4028*20161224*" /stext=" 17:.+((SYSTEM_STATE.+slice.+state.+changed )|(ment ac)|(multiple cpu faults)|(system.+state.+changed )|(\[timeout)|(PRM\|1\|D)|(kpr)|(kdp)|(\|lc)|(penalty))" /e /r /s</v>
      </c>
      <c r="AG170" s="1" t="str">
        <f t="shared" si="109"/>
        <v>NW</v>
      </c>
      <c r="AH170" s="92" t="str">
        <f t="shared" si="110"/>
        <v>"%USERPROFILE%\Documents\GitHub\eaglep3\Utilities\RefineRTDCRunTimes.py" --tripid 1810-24 --locoid 4028 --swversion DE.1.0.8.0 --startMP 300:58702 --initTime 2016-12-24T10:38:23 --startdatetime 2016-12-24T10:40:36 --delay 0 --endMP 204:715 --enddatetime 2016-12-24T10:55:48 --enforcementcount 1 &gt;&gt;C:\Users\stu\Documents\GitHub\eaglep3-reporting\EC\2016-12-24-refined-times.txt</v>
      </c>
      <c r="AI17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{"issue":{"subject":"","project_id":79,"tracker_id":40,"status_id":1,"priority_id":2,"assigned_to_id":23,"start_date":"2016-12-24","description":"","custom_fields":[{"id":1,"name":"Subdivision","value":"NW"},{"id":4,"name":"Milepost","value":"0.0715"},{"id":17,"name":"Train ID","value":"1810-24"},{"id":16,"name":"Locomotive ID","value":"4028"},{"id":130,"name":"Impact","value":""},{"id":150,"name":"Time of Event (Mountain Time)","value":"10:55:48"},{"id":151,"name":"Denver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7" t="s">
        <v>524</v>
      </c>
      <c r="B171" s="7">
        <v>4027</v>
      </c>
      <c r="C171" s="22" t="s">
        <v>205</v>
      </c>
      <c r="D171" s="22" t="s">
        <v>427</v>
      </c>
      <c r="E171" s="13">
        <v>42728.45716435185</v>
      </c>
      <c r="F171" s="13">
        <v>42728.473124999997</v>
      </c>
      <c r="G171" s="7">
        <v>1</v>
      </c>
      <c r="H171" s="22" t="s">
        <v>690</v>
      </c>
      <c r="I171" s="13">
        <v>42728.483252314814</v>
      </c>
      <c r="J171" s="7">
        <v>1</v>
      </c>
      <c r="K171" s="109" t="str">
        <f t="shared" si="95"/>
        <v>4027/4028</v>
      </c>
      <c r="L171" s="22" t="str">
        <f>VLOOKUP(A171,'Trips&amp;Operators'!$C$1:$G$99999,5,FALSE)</f>
        <v>SHOOK JOHN</v>
      </c>
      <c r="M171" s="6">
        <f t="shared" si="96"/>
        <v>1.0127314817509614E-2</v>
      </c>
      <c r="N171" s="7">
        <f t="shared" si="97"/>
        <v>14.583333337213844</v>
      </c>
      <c r="O171" s="7"/>
      <c r="P171" s="7"/>
      <c r="Q171" s="23"/>
      <c r="R171" s="23"/>
      <c r="S171" s="35">
        <f t="shared" si="98"/>
        <v>1</v>
      </c>
      <c r="T171" s="50" t="str">
        <f t="shared" si="99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09:58:19-700',mode:absolute,to:'2016-12-24 12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1" s="52" t="str">
        <f t="shared" si="101"/>
        <v>N</v>
      </c>
      <c r="X171" s="177">
        <f t="shared" si="102"/>
        <v>1</v>
      </c>
      <c r="Y171" s="67">
        <f t="shared" si="103"/>
        <v>0.1014</v>
      </c>
      <c r="Z171" s="67">
        <f t="shared" si="104"/>
        <v>5.9001000000000001</v>
      </c>
      <c r="AA171" s="67">
        <f t="shared" si="105"/>
        <v>5.7987000000000002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106"/>
        <v>1811-24</v>
      </c>
      <c r="AE171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1" s="88" t="str">
        <f t="shared" si="108"/>
        <v>"C:\Program Files (x86)\AstroGrep\AstroGrep.exe" /spath="%USERPROFILE%\AppData\Local\Temp\OnboardLogs" /stypes="app*4027*20161224*" /stext=" 18:.+((SYSTEM_STATE.+slice.+state.+changed )|(ment ac)|(multiple cpu faults)|(system.+state.+changed )|(\[timeout)|(PRM\|1\|D)|(kpr)|(kdp)|(\|lc)|(penalty))" /e /r /s</v>
      </c>
      <c r="AG171" s="1" t="str">
        <f t="shared" si="109"/>
        <v>NW</v>
      </c>
      <c r="AH171" s="92" t="str">
        <f t="shared" si="110"/>
        <v>"%USERPROFILE%\Documents\GitHub\eaglep3\Utilities\RefineRTDCRunTimes.py" --tripid 1811-24 --locoid 4027 --swversion DE.1.0.8.0 --startMP 204:1014 --initTime 2016-12-24T10:58:19 --startdatetime 2016-12-24T11:21:18 --delay 1 --endMP 300:59001 --enddatetime 2016-12-24T11:35:53 --enforcementcount 1 &gt;&gt;C:\Users\stu\Documents\GitHub\eaglep3-reporting\EC\2016-12-24-refined-times.txt</v>
      </c>
      <c r="AI17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{"issue":{"subject":"","project_id":79,"tracker_id":40,"status_id":1,"priority_id":2,"assigned_to_id":23,"start_date":"2016-12-24","description":"","custom_fields":[{"id":1,"name":"Subdivision","value":"NW"},{"id":4,"name":"Milepost","value":"5.9001"},{"id":17,"name":"Train ID","value":"1811-24"},{"id":16,"name":"Locomotive ID","value":"4027"},{"id":130,"name":"Impact","value":""},{"id":150,"name":"Time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s="21" customFormat="1" x14ac:dyDescent="0.25">
      <c r="A172" s="37" t="s">
        <v>533</v>
      </c>
      <c r="B172" s="7">
        <v>4028</v>
      </c>
      <c r="C172" s="22" t="s">
        <v>205</v>
      </c>
      <c r="D172" s="22" t="s">
        <v>429</v>
      </c>
      <c r="E172" s="13">
        <v>42728.48474537037</v>
      </c>
      <c r="F172" s="13">
        <v>42728.486226851855</v>
      </c>
      <c r="G172" s="7">
        <v>0</v>
      </c>
      <c r="H172" s="22" t="s">
        <v>691</v>
      </c>
      <c r="I172" s="13">
        <v>42728.497372685182</v>
      </c>
      <c r="J172" s="7">
        <v>1</v>
      </c>
      <c r="K172" s="109" t="str">
        <f t="shared" si="95"/>
        <v>4027/4028</v>
      </c>
      <c r="L172" s="22" t="str">
        <f>VLOOKUP(A172,'Trips&amp;Operators'!$C$1:$G$99999,5,FALSE)</f>
        <v>SHOOK JOHN</v>
      </c>
      <c r="M172" s="6">
        <f t="shared" si="96"/>
        <v>1.1145833326736465E-2</v>
      </c>
      <c r="N172" s="7">
        <f t="shared" si="97"/>
        <v>16.04999999050051</v>
      </c>
      <c r="O172" s="7"/>
      <c r="P172" s="7"/>
      <c r="Q172" s="23"/>
      <c r="R172" s="23"/>
      <c r="S172" s="35">
        <f t="shared" si="98"/>
        <v>1</v>
      </c>
      <c r="T172" s="50" t="str">
        <f t="shared" si="99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10:38:02-700',mode:absolute,to:'2016-12-24 12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2" s="52" t="str">
        <f t="shared" si="101"/>
        <v>N</v>
      </c>
      <c r="X172" s="177">
        <f t="shared" si="102"/>
        <v>1</v>
      </c>
      <c r="Y172" s="67">
        <f t="shared" si="103"/>
        <v>5.8677000000000001</v>
      </c>
      <c r="Z172" s="67">
        <f t="shared" si="104"/>
        <v>7.3800000000000004E-2</v>
      </c>
      <c r="AA172" s="67">
        <f t="shared" si="105"/>
        <v>5.7938999999999998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106"/>
        <v>1812-24</v>
      </c>
      <c r="AE172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2" s="88" t="str">
        <f t="shared" si="108"/>
        <v>"C:\Program Files (x86)\AstroGrep\AstroGrep.exe" /spath="%USERPROFILE%\AppData\Local\Temp\OnboardLogs" /stypes="app*4028*20161224*" /stext=" 18:.+((SYSTEM_STATE.+slice.+state.+changed )|(ment ac)|(multiple cpu faults)|(system.+state.+changed )|(\[timeout)|(PRM\|1\|D)|(kpr)|(kdp)|(\|lc)|(penalty))" /e /r /s</v>
      </c>
      <c r="AG172" s="1" t="str">
        <f t="shared" si="109"/>
        <v>NW</v>
      </c>
      <c r="AH172" s="92" t="str">
        <f t="shared" si="110"/>
        <v>"%USERPROFILE%\Documents\GitHub\eaglep3\Utilities\RefineRTDCRunTimes.py" --tripid 1812-24 --locoid 4028 --swversion DE.1.0.8.0 --startMP 300:58677 --initTime 2016-12-24T11:38:02 --startdatetime 2016-12-24T11:40:10 --delay 0 --endMP 204:738 --enddatetime 2016-12-24T11:56:13 --enforcementcount 1 &gt;&gt;C:\Users\stu\Documents\GitHub\eaglep3-reporting\EC\2016-12-24-refined-times.txt</v>
      </c>
      <c r="AI17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{"issue":{"subject":"","project_id":79,"tracker_id":40,"status_id":1,"priority_id":2,"assigned_to_id":23,"start_date":"2016-12-24","description":"","custom_fields":[{"id":1,"name":"Subdivision","value":"NW"},{"id":4,"name":"Milepost","value":"0.0738"},{"id":17,"name":"Train ID","value":"1812-24"},{"id":16,"name":"Locomotive ID","value":"4028"},{"id":130,"name":"Impact","value":""},{"id":150,"name":"Time of Event (Mountain Time)","value":"11:56:13"},{"id":151,"name":"Denver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537</v>
      </c>
      <c r="B173" s="7">
        <v>4027</v>
      </c>
      <c r="C173" s="22" t="s">
        <v>205</v>
      </c>
      <c r="D173" s="22" t="s">
        <v>692</v>
      </c>
      <c r="E173" s="13">
        <v>42728.49927083333</v>
      </c>
      <c r="F173" s="13">
        <v>42728.514803240738</v>
      </c>
      <c r="G173" s="7">
        <v>1</v>
      </c>
      <c r="H173" s="22" t="s">
        <v>693</v>
      </c>
      <c r="I173" s="13">
        <v>42728.524606481478</v>
      </c>
      <c r="J173" s="7">
        <v>1</v>
      </c>
      <c r="K173" s="109" t="str">
        <f t="shared" si="95"/>
        <v>4027/4028</v>
      </c>
      <c r="L173" s="22" t="str">
        <f>VLOOKUP(A173,'Trips&amp;Operators'!$C$1:$G$99999,5,FALSE)</f>
        <v>SHOOK JOHN</v>
      </c>
      <c r="M173" s="6">
        <f t="shared" si="96"/>
        <v>9.8032407404389232E-3</v>
      </c>
      <c r="N173" s="7">
        <f t="shared" si="97"/>
        <v>14.116666666232049</v>
      </c>
      <c r="O173" s="7"/>
      <c r="P173" s="7"/>
      <c r="Q173" s="23"/>
      <c r="R173" s="23"/>
      <c r="S173" s="35">
        <f t="shared" si="98"/>
        <v>1</v>
      </c>
      <c r="T173" s="50" t="str">
        <f t="shared" si="99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10:58:57-700',mode:absolute,to:'2016-12-24 13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3" s="52" t="str">
        <f t="shared" si="101"/>
        <v>N</v>
      </c>
      <c r="X173" s="177">
        <f t="shared" si="102"/>
        <v>1</v>
      </c>
      <c r="Y173" s="67">
        <f t="shared" si="103"/>
        <v>0.1007</v>
      </c>
      <c r="Z173" s="67">
        <f t="shared" si="104"/>
        <v>5.9008000000000003</v>
      </c>
      <c r="AA173" s="67">
        <f t="shared" si="105"/>
        <v>5.8001000000000005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106"/>
        <v>1813-24</v>
      </c>
      <c r="AE173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3" s="88" t="str">
        <f t="shared" si="108"/>
        <v>"C:\Program Files (x86)\AstroGrep\AstroGrep.exe" /spath="%USERPROFILE%\AppData\Local\Temp\OnboardLogs" /stypes="app*4027*20161224*" /stext=" 19:.+((SYSTEM_STATE.+slice.+state.+changed )|(ment ac)|(multiple cpu faults)|(system.+state.+changed )|(\[timeout)|(PRM\|1\|D)|(kpr)|(kdp)|(\|lc)|(penalty))" /e /r /s</v>
      </c>
      <c r="AG173" s="1" t="str">
        <f t="shared" si="109"/>
        <v>NW</v>
      </c>
      <c r="AH173" s="92" t="str">
        <f t="shared" si="110"/>
        <v>"%USERPROFILE%\Documents\GitHub\eaglep3\Utilities\RefineRTDCRunTimes.py" --tripid 1813-24 --locoid 4027 --swversion DE.1.0.8.0 --startMP 204:1007 --initTime 2016-12-24T11:58:57 --startdatetime 2016-12-24T12:21:19 --delay 1 --endMP 300:59008 --enddatetime 2016-12-24T12:35:26 --enforcementcount 1 &gt;&gt;C:\Users\stu\Documents\GitHub\eaglep3-reporting\EC\2016-12-24-refined-times.txt</v>
      </c>
      <c r="AI17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{"issue":{"subject":"","project_id":79,"tracker_id":40,"status_id":1,"priority_id":2,"assigned_to_id":23,"start_date":"2016-12-24","description":"","custom_fields":[{"id":1,"name":"Subdivision","value":"NW"},{"id":4,"name":"Milepost","value":"5.9008"},{"id":17,"name":"Train ID","value":"1813-24"},{"id":16,"name":"Locomotive ID","value":"4027"},{"id":130,"name":"Impact","value":""},{"id":150,"name":"Time of Event (Mountain Time)","value":"12:35:26"},{"id":151,"name":"Denver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542</v>
      </c>
      <c r="B174" s="7">
        <v>4028</v>
      </c>
      <c r="C174" s="22" t="s">
        <v>205</v>
      </c>
      <c r="D174" s="22" t="s">
        <v>685</v>
      </c>
      <c r="E174" s="13">
        <v>42728.526828703703</v>
      </c>
      <c r="F174" s="13">
        <v>42728.528344907405</v>
      </c>
      <c r="G174" s="7">
        <v>1</v>
      </c>
      <c r="H174" s="22" t="s">
        <v>694</v>
      </c>
      <c r="I174" s="13">
        <v>42728.538912037038</v>
      </c>
      <c r="J174" s="7">
        <v>1</v>
      </c>
      <c r="K174" s="109" t="str">
        <f t="shared" si="95"/>
        <v>4027/4028</v>
      </c>
      <c r="L174" s="22" t="str">
        <f>VLOOKUP(A174,'Trips&amp;Operators'!$C$1:$G$99999,5,FALSE)</f>
        <v>SHOOK JOHN</v>
      </c>
      <c r="M174" s="6">
        <f t="shared" si="96"/>
        <v>1.0567129633272998E-2</v>
      </c>
      <c r="N174" s="7">
        <f t="shared" si="97"/>
        <v>15.216666671913117</v>
      </c>
      <c r="O174" s="7"/>
      <c r="P174" s="7"/>
      <c r="Q174" s="23"/>
      <c r="R174" s="23"/>
      <c r="S174" s="35">
        <f t="shared" si="98"/>
        <v>1</v>
      </c>
      <c r="T174" s="50" t="str">
        <f t="shared" si="99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11:38:38-700',mode:absolute,to:'2016-12-24 13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4" s="52" t="str">
        <f t="shared" si="101"/>
        <v>N</v>
      </c>
      <c r="X174" s="177">
        <f t="shared" si="102"/>
        <v>1</v>
      </c>
      <c r="Y174" s="67">
        <f t="shared" si="103"/>
        <v>5.8696000000000002</v>
      </c>
      <c r="Z174" s="67">
        <f t="shared" si="104"/>
        <v>7.2700000000000001E-2</v>
      </c>
      <c r="AA174" s="67">
        <f t="shared" si="105"/>
        <v>5.7968999999999999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106"/>
        <v>1814-24</v>
      </c>
      <c r="AE174" s="91" t="str">
        <f t="shared" si="107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4" s="88" t="str">
        <f t="shared" si="108"/>
        <v>"C:\Program Files (x86)\AstroGrep\AstroGrep.exe" /spath="%USERPROFILE%\AppData\Local\Temp\OnboardLogs" /stypes="app*4028*20161224*" /stext=" 19:.+((SYSTEM_STATE.+slice.+state.+changed )|(ment ac)|(multiple cpu faults)|(system.+state.+changed )|(\[timeout)|(PRM\|1\|D)|(kpr)|(kdp)|(\|lc)|(penalty))" /e /r /s</v>
      </c>
      <c r="AG174" s="1" t="str">
        <f t="shared" si="109"/>
        <v>NW</v>
      </c>
      <c r="AH174" s="92" t="str">
        <f t="shared" si="110"/>
        <v>"%USERPROFILE%\Documents\GitHub\eaglep3\Utilities\RefineRTDCRunTimes.py" --tripid 1814-24 --locoid 4028 --swversion DE.1.0.8.0 --startMP 300:58696 --initTime 2016-12-24T12:38:38 --startdatetime 2016-12-24T12:40:49 --delay 1 --endMP 204:727 --enddatetime 2016-12-24T12:56:02 --enforcementcount 1 &gt;&gt;C:\Users\stu\Documents\GitHub\eaglep3-reporting\EC\2016-12-24-refined-times.txt</v>
      </c>
      <c r="AI17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{"issue":{"subject":"","project_id":79,"tracker_id":40,"status_id":1,"priority_id":2,"assigned_to_id":23,"start_date":"2016-12-24","description":"","custom_fields":[{"id":1,"name":"Subdivision","value":"NW"},{"id":4,"name":"Milepost","value":"0.0727"},{"id":17,"name":"Train ID","value":"1814-24"},{"id":16,"name":"Locomotive ID","value":"4028"},{"id":130,"name":"Impact","value":""},{"id":150,"name":"Time of Event (Mountain Time)","value":"12:56:02"},{"id":151,"name":"Denver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546</v>
      </c>
      <c r="B175" s="7">
        <v>4027</v>
      </c>
      <c r="C175" s="22" t="s">
        <v>205</v>
      </c>
      <c r="D175" s="22" t="s">
        <v>692</v>
      </c>
      <c r="E175" s="13">
        <v>42728.540613425925</v>
      </c>
      <c r="F175" s="13">
        <v>42728.556469907409</v>
      </c>
      <c r="G175" s="7">
        <v>1</v>
      </c>
      <c r="H175" s="22" t="s">
        <v>695</v>
      </c>
      <c r="I175" s="13">
        <v>42728.567083333335</v>
      </c>
      <c r="J175" s="7">
        <v>1</v>
      </c>
      <c r="K175" s="109" t="str">
        <f t="shared" si="95"/>
        <v>4027/4028</v>
      </c>
      <c r="L175" s="22" t="str">
        <f>VLOOKUP(A175,'Trips&amp;Operators'!$C$1:$G$99999,5,FALSE)</f>
        <v>SHOOK JOHN</v>
      </c>
      <c r="M175" s="6">
        <f t="shared" si="96"/>
        <v>1.0613425925839692E-2</v>
      </c>
      <c r="N175" s="7">
        <f t="shared" si="97"/>
        <v>15.283333333209157</v>
      </c>
      <c r="O175" s="7"/>
      <c r="P175" s="7"/>
      <c r="Q175" s="23"/>
      <c r="R175" s="23"/>
      <c r="S175" s="35">
        <f t="shared" si="98"/>
        <v>1</v>
      </c>
      <c r="T175" s="50" t="str">
        <f t="shared" si="99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100"/>
        <v>https://search-rtdc-monitor-bjffxe2xuh6vdkpspy63sjmuny.us-east-1.es.amazonaws.com/_plugin/kibana/#/discover/Steve-Slow-Train-Analysis-(2080s-and-2083s)?_g=(refreshInterval:(display:Off,section:0,value:0),time:(from:'2016-12-24 11:58:29-700',mode:absolute,to:'2016-12-24 14:36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5" s="52" t="str">
        <f t="shared" si="101"/>
        <v>N</v>
      </c>
      <c r="X175" s="177">
        <f t="shared" si="102"/>
        <v>1</v>
      </c>
      <c r="Y175" s="67">
        <f t="shared" si="103"/>
        <v>0.1007</v>
      </c>
      <c r="Z175" s="67">
        <f t="shared" si="104"/>
        <v>5.8987999999999996</v>
      </c>
      <c r="AA175" s="67">
        <f t="shared" si="105"/>
        <v>5.7980999999999998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106"/>
        <v>1815-24</v>
      </c>
      <c r="AE175" s="91" t="str">
        <f t="shared" si="107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5" s="88" t="str">
        <f t="shared" si="108"/>
        <v>"C:\Program Files (x86)\AstroGrep\AstroGrep.exe" /spath="%USERPROFILE%\AppData\Local\Temp\OnboardLogs" /stypes="app*4027*20161224*" /stext=" 20:.+((SYSTEM_STATE.+slice.+state.+changed )|(ment ac)|(multiple cpu faults)|(system.+state.+changed )|(\[timeout)|(PRM\|1\|D)|(kpr)|(kdp)|(\|lc)|(penalty))" /e /r /s</v>
      </c>
      <c r="AG175" s="1" t="str">
        <f t="shared" si="109"/>
        <v>NW</v>
      </c>
      <c r="AH175" s="92" t="str">
        <f t="shared" si="110"/>
        <v>"%USERPROFILE%\Documents\GitHub\eaglep3\Utilities\RefineRTDCRunTimes.py" --tripid 1815-24 --locoid 4027 --swversion DE.1.0.8.0 --startMP 204:1007 --initTime 2016-12-24T12:58:29 --startdatetime 2016-12-24T13:21:19 --delay 1 --endMP 300:58988 --enddatetime 2016-12-24T13:36:36 --enforcementcount 1 &gt;&gt;C:\Users\stu\Documents\GitHub\eaglep3-reporting\EC\2016-12-24-refined-times.txt</v>
      </c>
      <c r="AI17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{"issue":{"subject":"","project_id":79,"tracker_id":40,"status_id":1,"priority_id":2,"assigned_to_id":23,"start_date":"2016-12-24","description":"","custom_fields":[{"id":1,"name":"Subdivision","value":"NW"},{"id":4,"name":"Milepost","value":"5.8988"},{"id":17,"name":"Train ID","value":"1815-24"},{"id":16,"name":"Locomotive ID","value":"4027"},{"id":130,"name":"Impact","value":""},{"id":150,"name":"Time of Event (Mountain Time)","value":"13:36:36"},{"id":151,"name":"Denver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551</v>
      </c>
      <c r="B176" s="7">
        <v>4028</v>
      </c>
      <c r="C176" s="22" t="s">
        <v>205</v>
      </c>
      <c r="D176" s="22" t="s">
        <v>429</v>
      </c>
      <c r="E176" s="13">
        <v>42728.568692129629</v>
      </c>
      <c r="F176" s="13">
        <v>42728.570104166669</v>
      </c>
      <c r="G176" s="7">
        <v>0</v>
      </c>
      <c r="H176" s="22" t="s">
        <v>644</v>
      </c>
      <c r="I176" s="13">
        <v>42728.580578703702</v>
      </c>
      <c r="J176" s="7">
        <v>1</v>
      </c>
      <c r="K176" s="109" t="str">
        <f t="shared" ref="K176:K207" si="142">IF(ISEVEN(B176),(B176-1)&amp;"/"&amp;B176,B176&amp;"/"&amp;(B176+1))</f>
        <v>4027/4028</v>
      </c>
      <c r="L176" s="22" t="str">
        <f>VLOOKUP(A176,'Trips&amp;Operators'!$C$1:$G$99999,5,FALSE)</f>
        <v>SHOOK JOHN</v>
      </c>
      <c r="M176" s="6">
        <f t="shared" ref="M176:M207" si="143">I176-F176</f>
        <v>1.0474537033587694E-2</v>
      </c>
      <c r="N176" s="7">
        <f t="shared" ref="N176:N207" si="144">24*60*SUM($M176:$M176)</f>
        <v>15.08333332836628</v>
      </c>
      <c r="O176" s="7"/>
      <c r="P176" s="7"/>
      <c r="Q176" s="23"/>
      <c r="R176" s="23"/>
      <c r="S176" s="35">
        <f t="shared" ref="S176:S207" si="145">SUM(U176:U176)/IF(AG176="EC",12,1)</f>
        <v>1</v>
      </c>
      <c r="T176" s="50" t="str">
        <f t="shared" ref="T176:T207" si="146">IF(ISEVEN(LEFT(AD176,4)),"Southbound","NorthBound")</f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ref="V176:V207" si="147"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https://search-rtdc-monitor-bjffxe2xuh6vdkpspy63sjmuny.us-east-1.es.amazonaws.com/_plugin/kibana/#/discover/Steve-Slow-Train-Analysis-(2080s-and-2083s)?_g=(refreshInterval:(display:Off,section:0,value:0),time:(from:'2016-12-24 12:38:55-700',mode:absolute,to:'2016-12-24 14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6" s="52" t="str">
        <f t="shared" ref="W176:W207" si="148">IF(AA176&lt;IF(AG176="EC",23,5.65),"Y","N")</f>
        <v>N</v>
      </c>
      <c r="X176" s="177">
        <f t="shared" ref="X176:X207" si="149">VALUE(LEFT(AD176,4))-VALUE(LEFT(AD175,4))</f>
        <v>1</v>
      </c>
      <c r="Y176" s="67">
        <f t="shared" ref="Y176:Y207" si="150">RIGHT(D176,LEN(D176)-4)/10000</f>
        <v>5.8677000000000001</v>
      </c>
      <c r="Z176" s="67">
        <f t="shared" ref="Z176:Z207" si="151">RIGHT(H176,LEN(H176)-4)/10000</f>
        <v>7.5499999999999998E-2</v>
      </c>
      <c r="AA176" s="67">
        <f t="shared" ref="AA176:AA207" si="152">ABS(Z176-Y176)</f>
        <v>5.7922000000000002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ref="AD176:AD207" si="153">IF(LEN(A176)=6,"0"&amp;A176,A176)</f>
        <v>1816-24</v>
      </c>
      <c r="AE176" s="91" t="str">
        <f t="shared" ref="AE176:AE207" si="154"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6" s="88" t="str">
        <f t="shared" ref="AF176:AF207" si="155"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/stypes="app*4028*20161224*" /stext=" 20:.+((SYSTEM_STATE.+slice.+state.+changed )|(ment ac)|(multiple cpu faults)|(system.+state.+changed )|(\[timeout)|(PRM\|1\|D)|(kpr)|(kdp)|(\|lc)|(penalty))" /e /r /s</v>
      </c>
      <c r="AG176" s="1" t="str">
        <f t="shared" ref="AG176:AG207" si="156">IFERROR(IF(VALUE(LEFT(AD176,2))&lt;=2,"EC",IF(OR(VALUE(LEFT(AD176,2))=8,VALUE(LEFT(AD176,2))=18),"NW","Other")),"Other")</f>
        <v>NW</v>
      </c>
      <c r="AH176" s="92" t="str">
        <f t="shared" si="110"/>
        <v>"%USERPROFILE%\Documents\GitHub\eaglep3\Utilities\RefineRTDCRunTimes.py" --tripid 1816-24 --locoid 4028 --swversion DE.1.0.8.0 --startMP 300:58677 --initTime 2016-12-24T13:38:55 --startdatetime 2016-12-24T13:40:57 --delay 0 --endMP 204:755 --enddatetime 2016-12-24T13:56:02 --enforcementcount 1 &gt;&gt;C:\Users\stu\Documents\GitHub\eaglep3-reporting\EC\2016-12-24-refined-times.txt</v>
      </c>
      <c r="AI17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{"issue":{"subject":"","project_id":79,"tracker_id":40,"status_id":1,"priority_id":2,"assigned_to_id":23,"start_date":"2016-12-24","description":"","custom_fields":[{"id":1,"name":"Subdivision","value":"NW"},{"id":4,"name":"Milepost","value":"0.0755"},{"id":17,"name":"Train ID","value":"1816-24"},{"id":16,"name":"Locomotive ID","value":"4028"},{"id":130,"name":"Impact","value":""},{"id":150,"name":"Time of Event (Mountain Time)","value":"13:56:02"},{"id":151,"name":"Denver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557</v>
      </c>
      <c r="B177" s="7">
        <v>4027</v>
      </c>
      <c r="C177" s="22" t="s">
        <v>205</v>
      </c>
      <c r="D177" s="22" t="s">
        <v>430</v>
      </c>
      <c r="E177" s="13">
        <v>42728.593993055554</v>
      </c>
      <c r="F177" s="13">
        <v>42728.598171296297</v>
      </c>
      <c r="G177" s="7">
        <v>1</v>
      </c>
      <c r="H177" s="22" t="s">
        <v>696</v>
      </c>
      <c r="I177" s="13">
        <v>42728.607002314813</v>
      </c>
      <c r="J177" s="7">
        <v>1</v>
      </c>
      <c r="K177" s="109" t="str">
        <f t="shared" si="142"/>
        <v>4027/4028</v>
      </c>
      <c r="L177" s="22" t="str">
        <f>VLOOKUP(A177,'Trips&amp;Operators'!$C$1:$G$99999,5,FALSE)</f>
        <v>HELVIE ADAM</v>
      </c>
      <c r="M177" s="6">
        <f t="shared" si="143"/>
        <v>8.8310185165028088E-3</v>
      </c>
      <c r="N177" s="7">
        <f t="shared" si="144"/>
        <v>12.716666663764045</v>
      </c>
      <c r="O177" s="7"/>
      <c r="P177" s="7"/>
      <c r="Q177" s="23"/>
      <c r="R177" s="23"/>
      <c r="S177" s="35">
        <f t="shared" si="145"/>
        <v>1</v>
      </c>
      <c r="T177" s="50" t="str">
        <f t="shared" si="146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13:15:21-700',mode:absolute,to:'2016-12-24 15:34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7" s="52" t="str">
        <f t="shared" si="148"/>
        <v>N</v>
      </c>
      <c r="X177" s="177">
        <f t="shared" si="149"/>
        <v>1</v>
      </c>
      <c r="Y177" s="67">
        <f t="shared" si="150"/>
        <v>0.1041</v>
      </c>
      <c r="Z177" s="67">
        <f t="shared" si="151"/>
        <v>5.8939000000000004</v>
      </c>
      <c r="AA177" s="67">
        <f t="shared" si="152"/>
        <v>5.7898000000000005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153"/>
        <v>1817-24</v>
      </c>
      <c r="AE17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7" s="88" t="str">
        <f t="shared" si="155"/>
        <v>"C:\Program Files (x86)\AstroGrep\AstroGrep.exe" /spath="%USERPROFILE%\AppData\Local\Temp\OnboardLogs" /stypes="app*4027*20161224*" /stext=" 21:.+((SYSTEM_STATE.+slice.+state.+changed )|(ment ac)|(multiple cpu faults)|(system.+state.+changed )|(\[timeout)|(PRM\|1\|D)|(kpr)|(kdp)|(\|lc)|(penalty))" /e /r /s</v>
      </c>
      <c r="AG177" s="1" t="str">
        <f t="shared" si="156"/>
        <v>NW</v>
      </c>
      <c r="AH177" s="92" t="str">
        <f t="shared" si="110"/>
        <v>"%USERPROFILE%\Documents\GitHub\eaglep3\Utilities\RefineRTDCRunTimes.py" --tripid 1817-24 --locoid 4027 --swversion DE.1.0.8.0 --startMP 204:1041 --initTime 2016-12-24T14:15:21 --startdatetime 2016-12-24T14:21:22 --delay 1 --endMP 300:58939 --enddatetime 2016-12-24T14:34:05 --enforcementcount 1 &gt;&gt;C:\Users\stu\Documents\GitHub\eaglep3-reporting\EC\2016-12-24-refined-times.txt</v>
      </c>
      <c r="AI17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{"issue":{"subject":"","project_id":79,"tracker_id":40,"status_id":1,"priority_id":2,"assigned_to_id":23,"start_date":"2016-12-24","description":"","custom_fields":[{"id":1,"name":"Subdivision","value":"NW"},{"id":4,"name":"Milepost","value":"5.8939"},{"id":17,"name":"Train ID","value":"1817-24"},{"id":16,"name":"Locomotive ID","value":"4027"},{"id":130,"name":"Impact","value":""},{"id":150,"name":"Time of Event (Mountain Time)","value":"14:34:05"},{"id":151,"name":"Denver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560</v>
      </c>
      <c r="B178" s="7">
        <v>4028</v>
      </c>
      <c r="C178" s="22" t="s">
        <v>205</v>
      </c>
      <c r="D178" s="22" t="s">
        <v>697</v>
      </c>
      <c r="E178" s="13">
        <v>42728.608240740738</v>
      </c>
      <c r="F178" s="13">
        <v>42728.609583333331</v>
      </c>
      <c r="G178" s="7">
        <v>1</v>
      </c>
      <c r="H178" s="22" t="s">
        <v>698</v>
      </c>
      <c r="I178" s="13">
        <v>42728.62091435185</v>
      </c>
      <c r="J178" s="7">
        <v>1</v>
      </c>
      <c r="K178" s="109" t="str">
        <f t="shared" si="142"/>
        <v>4027/4028</v>
      </c>
      <c r="L178" s="22" t="str">
        <f>VLOOKUP(A178,'Trips&amp;Operators'!$C$1:$G$99999,5,FALSE)</f>
        <v>HELVIE ADAM</v>
      </c>
      <c r="M178" s="6">
        <f t="shared" si="143"/>
        <v>1.1331018518831115E-2</v>
      </c>
      <c r="N178" s="7">
        <f t="shared" si="144"/>
        <v>16.316666667116806</v>
      </c>
      <c r="O178" s="7"/>
      <c r="P178" s="7"/>
      <c r="Q178" s="23"/>
      <c r="R178" s="23"/>
      <c r="S178" s="35">
        <f t="shared" si="145"/>
        <v>1</v>
      </c>
      <c r="T178" s="50" t="str">
        <f t="shared" si="146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13:35:52-700',mode:absolute,to:'2016-12-24 15:54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78" s="52" t="str">
        <f t="shared" si="148"/>
        <v>N</v>
      </c>
      <c r="X178" s="177">
        <f t="shared" si="149"/>
        <v>1</v>
      </c>
      <c r="Y178" s="67">
        <f t="shared" si="150"/>
        <v>5.8620999999999999</v>
      </c>
      <c r="Z178" s="67">
        <f t="shared" si="151"/>
        <v>6.8900000000000003E-2</v>
      </c>
      <c r="AA178" s="67">
        <f t="shared" si="152"/>
        <v>5.7931999999999997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153"/>
        <v>1818-24</v>
      </c>
      <c r="AE178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78" s="88" t="str">
        <f t="shared" si="155"/>
        <v>"C:\Program Files (x86)\AstroGrep\AstroGrep.exe" /spath="%USERPROFILE%\AppData\Local\Temp\OnboardLogs" /stypes="app*4028*20161224*" /stext=" 21:.+((SYSTEM_STATE.+slice.+state.+changed )|(ment ac)|(multiple cpu faults)|(system.+state.+changed )|(\[timeout)|(PRM\|1\|D)|(kpr)|(kdp)|(\|lc)|(penalty))" /e /r /s</v>
      </c>
      <c r="AG178" s="1" t="str">
        <f t="shared" si="156"/>
        <v>NW</v>
      </c>
      <c r="AH178" s="92" t="str">
        <f t="shared" si="110"/>
        <v>"%USERPROFILE%\Documents\GitHub\eaglep3\Utilities\RefineRTDCRunTimes.py" --tripid 1818-24 --locoid 4028 --swversion DE.1.0.8.0 --startMP 300:58621 --initTime 2016-12-24T14:35:52 --startdatetime 2016-12-24T14:37:48 --delay 1 --endMP 204:689 --enddatetime 2016-12-24T14:54:07 --enforcementcount 1 &gt;&gt;C:\Users\stu\Documents\GitHub\eaglep3-reporting\EC\2016-12-24-refined-times.txt</v>
      </c>
      <c r="AI17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{"issue":{"subject":"","project_id":79,"tracker_id":40,"status_id":1,"priority_id":2,"assigned_to_id":23,"start_date":"2016-12-24","description":"","custom_fields":[{"id":1,"name":"Subdivision","value":"NW"},{"id":4,"name":"Milepost","value":"0.0689"},{"id":17,"name":"Train ID","value":"1818-24"},{"id":16,"name":"Locomotive ID","value":"4028"},{"id":130,"name":"Impact","value":""},{"id":150,"name":"Time of Event (Mountain Time)","value":"14:54:07"},{"id":151,"name":"Denver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566</v>
      </c>
      <c r="B179" s="7">
        <v>4027</v>
      </c>
      <c r="C179" s="22" t="s">
        <v>205</v>
      </c>
      <c r="D179" s="22" t="s">
        <v>699</v>
      </c>
      <c r="E179" s="13">
        <v>42728.63726851852</v>
      </c>
      <c r="F179" s="13">
        <v>42728.639780092592</v>
      </c>
      <c r="G179" s="7">
        <v>1</v>
      </c>
      <c r="H179" s="22" t="s">
        <v>700</v>
      </c>
      <c r="I179" s="13">
        <v>42728.648611111108</v>
      </c>
      <c r="J179" s="7">
        <v>1</v>
      </c>
      <c r="K179" s="109" t="str">
        <f t="shared" si="142"/>
        <v>4027/4028</v>
      </c>
      <c r="L179" s="22" t="str">
        <f>VLOOKUP(A179,'Trips&amp;Operators'!$C$1:$G$99999,5,FALSE)</f>
        <v>HELVIE ADAM</v>
      </c>
      <c r="M179" s="6">
        <f t="shared" si="143"/>
        <v>8.8310185165028088E-3</v>
      </c>
      <c r="N179" s="7">
        <f t="shared" si="144"/>
        <v>12.716666663764045</v>
      </c>
      <c r="O179" s="7"/>
      <c r="P179" s="7"/>
      <c r="Q179" s="23"/>
      <c r="R179" s="23"/>
      <c r="S179" s="35">
        <f t="shared" si="145"/>
        <v>1</v>
      </c>
      <c r="T179" s="50" t="str">
        <f t="shared" si="146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14:17:40-700',mode:absolute,to:'2016-12-24 16:34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79" s="52" t="str">
        <f t="shared" si="148"/>
        <v>N</v>
      </c>
      <c r="X179" s="177">
        <f t="shared" si="149"/>
        <v>1</v>
      </c>
      <c r="Y179" s="67">
        <f t="shared" si="150"/>
        <v>9.8500000000000004E-2</v>
      </c>
      <c r="Z179" s="67">
        <f t="shared" si="151"/>
        <v>5.8943000000000003</v>
      </c>
      <c r="AA179" s="67">
        <f t="shared" si="152"/>
        <v>5.7958000000000007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153"/>
        <v>1819-24</v>
      </c>
      <c r="AE179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79" s="88" t="str">
        <f t="shared" si="155"/>
        <v>"C:\Program Files (x86)\AstroGrep\AstroGrep.exe" /spath="%USERPROFILE%\AppData\Local\Temp\OnboardLogs" /stypes="app*4027*20161224*" /stext=" 22:.+((SYSTEM_STATE.+slice.+state.+changed )|(ment ac)|(multiple cpu faults)|(system.+state.+changed )|(\[timeout)|(PRM\|1\|D)|(kpr)|(kdp)|(\|lc)|(penalty))" /e /r /s</v>
      </c>
      <c r="AG179" s="1" t="str">
        <f t="shared" si="156"/>
        <v>NW</v>
      </c>
      <c r="AH179" s="92" t="str">
        <f t="shared" si="110"/>
        <v>"%USERPROFILE%\Documents\GitHub\eaglep3\Utilities\RefineRTDCRunTimes.py" --tripid 1819-24 --locoid 4027 --swversion DE.1.0.8.0 --startMP 204:985 --initTime 2016-12-24T15:17:40 --startdatetime 2016-12-24T15:21:17 --delay 1 --endMP 300:58943 --enddatetime 2016-12-24T15:34:00 --enforcementcount 1 &gt;&gt;C:\Users\stu\Documents\GitHub\eaglep3-reporting\EC\2016-12-24-refined-times.txt</v>
      </c>
      <c r="AI17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{"issue":{"subject":"","project_id":79,"tracker_id":40,"status_id":1,"priority_id":2,"assigned_to_id":23,"start_date":"2016-12-24","description":"","custom_fields":[{"id":1,"name":"Subdivision","value":"NW"},{"id":4,"name":"Milepost","value":"5.8943"},{"id":17,"name":"Train ID","value":"1819-24"},{"id":16,"name":"Locomotive ID","value":"4027"},{"id":130,"name":"Impact","value":""},{"id":150,"name":"Time of Event (Mountain Time)","value":"15:34:00"},{"id":151,"name":"Denver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569</v>
      </c>
      <c r="B180" s="7">
        <v>4028</v>
      </c>
      <c r="C180" s="22" t="s">
        <v>205</v>
      </c>
      <c r="D180" s="22" t="s">
        <v>433</v>
      </c>
      <c r="E180" s="13">
        <v>42728.649629629632</v>
      </c>
      <c r="F180" s="13">
        <v>42728.650937500002</v>
      </c>
      <c r="G180" s="7">
        <v>1</v>
      </c>
      <c r="H180" s="22" t="s">
        <v>424</v>
      </c>
      <c r="I180" s="13">
        <v>42728.662708333337</v>
      </c>
      <c r="J180" s="7">
        <v>1</v>
      </c>
      <c r="K180" s="109" t="str">
        <f t="shared" si="142"/>
        <v>4027/4028</v>
      </c>
      <c r="L180" s="22" t="str">
        <f>VLOOKUP(A180,'Trips&amp;Operators'!$C$1:$G$99999,5,FALSE)</f>
        <v>HELVIE ADAM</v>
      </c>
      <c r="M180" s="6">
        <f t="shared" si="143"/>
        <v>1.1770833334594499E-2</v>
      </c>
      <c r="N180" s="7">
        <f t="shared" si="144"/>
        <v>16.950000001816079</v>
      </c>
      <c r="O180" s="7"/>
      <c r="P180" s="7"/>
      <c r="Q180" s="23"/>
      <c r="R180" s="23"/>
      <c r="S180" s="35">
        <f t="shared" si="145"/>
        <v>1</v>
      </c>
      <c r="T180" s="50" t="str">
        <f t="shared" si="146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14:35:28-700',mode:absolute,to:'2016-12-24 16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0" s="52" t="str">
        <f t="shared" si="148"/>
        <v>N</v>
      </c>
      <c r="X180" s="177">
        <f t="shared" si="149"/>
        <v>1</v>
      </c>
      <c r="Y180" s="67">
        <f t="shared" si="150"/>
        <v>5.8625999999999996</v>
      </c>
      <c r="Z180" s="67">
        <f t="shared" si="151"/>
        <v>7.3400000000000007E-2</v>
      </c>
      <c r="AA180" s="67">
        <f t="shared" si="152"/>
        <v>5.7891999999999992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153"/>
        <v>1820-24</v>
      </c>
      <c r="AE180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0" s="88" t="str">
        <f t="shared" si="155"/>
        <v>"C:\Program Files (x86)\AstroGrep\AstroGrep.exe" /spath="%USERPROFILE%\AppData\Local\Temp\OnboardLogs" /stypes="app*4028*20161224*" /stext=" 22:.+((SYSTEM_STATE.+slice.+state.+changed )|(ment ac)|(multiple cpu faults)|(system.+state.+changed )|(\[timeout)|(PRM\|1\|D)|(kpr)|(kdp)|(\|lc)|(penalty))" /e /r /s</v>
      </c>
      <c r="AG180" s="1" t="str">
        <f t="shared" si="156"/>
        <v>NW</v>
      </c>
      <c r="AH180" s="92" t="str">
        <f t="shared" si="110"/>
        <v>"%USERPROFILE%\Documents\GitHub\eaglep3\Utilities\RefineRTDCRunTimes.py" --tripid 1820-24 --locoid 4028 --swversion DE.1.0.8.0 --startMP 300:58626 --initTime 2016-12-24T15:35:28 --startdatetime 2016-12-24T15:37:21 --delay 1 --endMP 204:734 --enddatetime 2016-12-24T15:54:18 --enforcementcount 1 &gt;&gt;C:\Users\stu\Documents\GitHub\eaglep3-reporting\EC\2016-12-24-refined-times.txt</v>
      </c>
      <c r="AI18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{"issue":{"subject":"","project_id":79,"tracker_id":40,"status_id":1,"priority_id":2,"assigned_to_id":23,"start_date":"2016-12-24","description":"","custom_fields":[{"id":1,"name":"Subdivision","value":"NW"},{"id":4,"name":"Milepost","value":"0.0734"},{"id":17,"name":"Train ID","value":"1820-24"},{"id":16,"name":"Locomotive ID","value":"4028"},{"id":130,"name":"Impact","value":""},{"id":150,"name":"Time of Event (Mountain Time)","value":"15:54:18"},{"id":151,"name":"Denver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577</v>
      </c>
      <c r="B181" s="7">
        <v>4027</v>
      </c>
      <c r="C181" s="22" t="s">
        <v>205</v>
      </c>
      <c r="D181" s="22" t="s">
        <v>428</v>
      </c>
      <c r="E181" s="13">
        <v>42728.679432870369</v>
      </c>
      <c r="F181" s="13">
        <v>42728.681516203702</v>
      </c>
      <c r="G181" s="7">
        <v>1</v>
      </c>
      <c r="H181" s="22" t="s">
        <v>432</v>
      </c>
      <c r="I181" s="13">
        <v>42728.690347222226</v>
      </c>
      <c r="J181" s="7">
        <v>1</v>
      </c>
      <c r="K181" s="109" t="str">
        <f t="shared" si="142"/>
        <v>4027/4028</v>
      </c>
      <c r="L181" s="22" t="str">
        <f>VLOOKUP(A181,'Trips&amp;Operators'!$C$1:$G$99999,5,FALSE)</f>
        <v>HELVIE ADAM</v>
      </c>
      <c r="M181" s="6">
        <f t="shared" si="143"/>
        <v>8.8310185237787664E-3</v>
      </c>
      <c r="N181" s="7">
        <f t="shared" si="144"/>
        <v>12.716666674241424</v>
      </c>
      <c r="O181" s="7"/>
      <c r="P181" s="7"/>
      <c r="Q181" s="23"/>
      <c r="R181" s="23"/>
      <c r="S181" s="35">
        <f t="shared" si="145"/>
        <v>1</v>
      </c>
      <c r="T181" s="50" t="str">
        <f t="shared" si="146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15:18:23-700',mode:absolute,to:'2016-12-24 17:34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1" s="52" t="str">
        <f t="shared" si="148"/>
        <v>N</v>
      </c>
      <c r="X181" s="177">
        <f t="shared" si="149"/>
        <v>1</v>
      </c>
      <c r="Y181" s="67">
        <f t="shared" si="150"/>
        <v>0.1021</v>
      </c>
      <c r="Z181" s="67">
        <f t="shared" si="151"/>
        <v>5.8940999999999999</v>
      </c>
      <c r="AA181" s="67">
        <f t="shared" si="152"/>
        <v>5.7919999999999998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153"/>
        <v>1821-24</v>
      </c>
      <c r="AE181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1" s="88" t="str">
        <f t="shared" si="155"/>
        <v>"C:\Program Files (x86)\AstroGrep\AstroGrep.exe" /spath="%USERPROFILE%\AppData\Local\Temp\OnboardLogs" /stypes="app*4027*20161224*" /stext=" 23:.+((SYSTEM_STATE.+slice.+state.+changed )|(ment ac)|(multiple cpu faults)|(system.+state.+changed )|(\[timeout)|(PRM\|1\|D)|(kpr)|(kdp)|(\|lc)|(penalty))" /e /r /s</v>
      </c>
      <c r="AG181" s="1" t="str">
        <f t="shared" si="156"/>
        <v>NW</v>
      </c>
      <c r="AH181" s="92" t="str">
        <f t="shared" si="110"/>
        <v>"%USERPROFILE%\Documents\GitHub\eaglep3\Utilities\RefineRTDCRunTimes.py" --tripid 1821-24 --locoid 4027 --swversion DE.1.0.8.0 --startMP 204:1021 --initTime 2016-12-24T16:18:23 --startdatetime 2016-12-24T16:21:23 --delay 1 --endMP 300:58941 --enddatetime 2016-12-24T16:34:06 --enforcementcount 1 &gt;&gt;C:\Users\stu\Documents\GitHub\eaglep3-reporting\EC\2016-12-24-refined-times.txt</v>
      </c>
      <c r="AI18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{"issue":{"subject":"","project_id":79,"tracker_id":40,"status_id":1,"priority_id":2,"assigned_to_id":23,"start_date":"2016-12-24","description":"","custom_fields":[{"id":1,"name":"Subdivision","value":"NW"},{"id":4,"name":"Milepost","value":"5.8941"},{"id":17,"name":"Train ID","value":"1821-24"},{"id":16,"name":"Locomotive ID","value":"4027"},{"id":130,"name":"Impact","value":""},{"id":150,"name":"Time of Event (Mountain Time)","value":"16:34:06"},{"id":151,"name":"Denver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s="21" customFormat="1" x14ac:dyDescent="0.25">
      <c r="A182" s="37" t="s">
        <v>581</v>
      </c>
      <c r="B182" s="7">
        <v>4028</v>
      </c>
      <c r="C182" s="22" t="s">
        <v>205</v>
      </c>
      <c r="D182" s="22" t="s">
        <v>702</v>
      </c>
      <c r="E182" s="13">
        <v>42728.693645833337</v>
      </c>
      <c r="F182" s="13">
        <v>42728.694826388892</v>
      </c>
      <c r="G182" s="7">
        <v>1</v>
      </c>
      <c r="H182" s="22" t="s">
        <v>703</v>
      </c>
      <c r="I182" s="13">
        <v>42728.704421296294</v>
      </c>
      <c r="J182" s="7">
        <v>1</v>
      </c>
      <c r="K182" s="109" t="str">
        <f t="shared" si="142"/>
        <v>4027/4028</v>
      </c>
      <c r="L182" s="22" t="str">
        <f>VLOOKUP(A182,'Trips&amp;Operators'!$C$1:$G$99999,5,FALSE)</f>
        <v>HELVIE ADAM</v>
      </c>
      <c r="M182" s="6">
        <f t="shared" si="143"/>
        <v>9.594907402060926E-3</v>
      </c>
      <c r="N182" s="7">
        <f t="shared" si="144"/>
        <v>13.816666658967733</v>
      </c>
      <c r="O182" s="7"/>
      <c r="P182" s="7"/>
      <c r="Q182" s="23"/>
      <c r="R182" s="23"/>
      <c r="S182" s="35">
        <f t="shared" si="145"/>
        <v>1</v>
      </c>
      <c r="T182" s="50" t="str">
        <f t="shared" si="146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15:38:51-700',mode:absolute,to:'2016-12-24 17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2" s="52" t="str">
        <f t="shared" si="148"/>
        <v>N</v>
      </c>
      <c r="X182" s="177">
        <f t="shared" si="149"/>
        <v>1</v>
      </c>
      <c r="Y182" s="67">
        <f t="shared" si="150"/>
        <v>5.8624000000000001</v>
      </c>
      <c r="Z182" s="67">
        <f t="shared" si="151"/>
        <v>7.3599999999999999E-2</v>
      </c>
      <c r="AA182" s="67">
        <f t="shared" si="152"/>
        <v>5.7888000000000002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153"/>
        <v>1822-24</v>
      </c>
      <c r="AE182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2" s="88" t="str">
        <f t="shared" si="155"/>
        <v>"C:\Program Files (x86)\AstroGrep\AstroGrep.exe" /spath="%USERPROFILE%\AppData\Local\Temp\OnboardLogs" /stypes="app*4028*20161224*" /stext=" 23:.+((SYSTEM_STATE.+slice.+state.+changed )|(ment ac)|(multiple cpu faults)|(system.+state.+changed )|(\[timeout)|(PRM\|1\|D)|(kpr)|(kdp)|(\|lc)|(penalty))" /e /r /s</v>
      </c>
      <c r="AG182" s="1" t="str">
        <f t="shared" si="156"/>
        <v>NW</v>
      </c>
      <c r="AH182" s="92" t="str">
        <f t="shared" si="110"/>
        <v>"%USERPROFILE%\Documents\GitHub\eaglep3\Utilities\RefineRTDCRunTimes.py" --tripid 1822-24 --locoid 4028 --swversion DE.1.0.8.0 --startMP 300:58624 --initTime 2016-12-24T16:38:51 --startdatetime 2016-12-24T16:40:33 --delay 1 --endMP 204:736 --enddatetime 2016-12-24T16:54:22 --enforcementcount 1 &gt;&gt;C:\Users\stu\Documents\GitHub\eaglep3-reporting\EC\2016-12-24-refined-times.txt</v>
      </c>
      <c r="AI18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{"issue":{"subject":"","project_id":79,"tracker_id":40,"status_id":1,"priority_id":2,"assigned_to_id":23,"start_date":"2016-12-24","description":"","custom_fields":[{"id":1,"name":"Subdivision","value":"NW"},{"id":4,"name":"Milepost","value":"0.0736"},{"id":17,"name":"Train ID","value":"1822-24"},{"id":16,"name":"Locomotive ID","value":"4028"},{"id":130,"name":"Impact","value":""},{"id":150,"name":"Time of Event (Mountain Time)","value":"16:54:22"},{"id":151,"name":"Denver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587</v>
      </c>
      <c r="B183" s="7">
        <v>4027</v>
      </c>
      <c r="C183" s="22" t="s">
        <v>205</v>
      </c>
      <c r="D183" s="22" t="s">
        <v>704</v>
      </c>
      <c r="E183" s="13">
        <v>42728.720416666663</v>
      </c>
      <c r="F183" s="13">
        <v>42728.72315972222</v>
      </c>
      <c r="G183" s="7">
        <v>1</v>
      </c>
      <c r="H183" s="22" t="s">
        <v>705</v>
      </c>
      <c r="I183" s="13">
        <v>42728.732222222221</v>
      </c>
      <c r="J183" s="7">
        <v>1</v>
      </c>
      <c r="K183" s="109" t="str">
        <f t="shared" si="142"/>
        <v>4027/4028</v>
      </c>
      <c r="L183" s="22" t="str">
        <f>VLOOKUP(A183,'Trips&amp;Operators'!$C$1:$G$99999,5,FALSE)</f>
        <v>HELVIE ADAM</v>
      </c>
      <c r="M183" s="6">
        <f t="shared" si="143"/>
        <v>9.0625000011641532E-3</v>
      </c>
      <c r="N183" s="7">
        <f t="shared" si="144"/>
        <v>13.050000001676381</v>
      </c>
      <c r="O183" s="7"/>
      <c r="P183" s="7"/>
      <c r="Q183" s="23"/>
      <c r="R183" s="23"/>
      <c r="S183" s="35">
        <f t="shared" si="145"/>
        <v>1</v>
      </c>
      <c r="T183" s="50" t="str">
        <f t="shared" si="146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16:17:24-700',mode:absolute,to:'2016-12-24 18:34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3" s="52" t="str">
        <f t="shared" si="148"/>
        <v>N</v>
      </c>
      <c r="X183" s="177">
        <f t="shared" si="149"/>
        <v>1</v>
      </c>
      <c r="Y183" s="67">
        <f t="shared" si="150"/>
        <v>0.10390000000000001</v>
      </c>
      <c r="Z183" s="67">
        <f t="shared" si="151"/>
        <v>5.8945999999999996</v>
      </c>
      <c r="AA183" s="67">
        <f t="shared" si="152"/>
        <v>5.7906999999999993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153"/>
        <v>1823-24</v>
      </c>
      <c r="AE183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3" s="88" t="str">
        <f t="shared" si="155"/>
        <v>"C:\Program Files (x86)\AstroGrep\AstroGrep.exe" /spath="%USERPROFILE%\AppData\Local\Temp\OnboardLogs" /stypes="app*4027*20161225*" /stext=" 00:.+((SYSTEM_STATE.+slice.+state.+changed )|(ment ac)|(multiple cpu faults)|(system.+state.+changed )|(\[timeout)|(PRM\|1\|D)|(kpr)|(kdp)|(\|lc)|(penalty))" /e /r /s</v>
      </c>
      <c r="AG183" s="1" t="str">
        <f t="shared" si="156"/>
        <v>NW</v>
      </c>
      <c r="AH183" s="92" t="str">
        <f t="shared" si="110"/>
        <v>"%USERPROFILE%\Documents\GitHub\eaglep3\Utilities\RefineRTDCRunTimes.py" --tripid 1823-24 --locoid 4027 --swversion DE.1.0.8.0 --startMP 204:1039 --initTime 2016-12-24T17:17:24 --startdatetime 2016-12-24T17:21:21 --delay 1 --endMP 300:58946 --enddatetime 2016-12-24T17:34:24 --enforcementcount 1 &gt;&gt;C:\Users\stu\Documents\GitHub\eaglep3-reporting\EC\2016-12-24-refined-times.txt</v>
      </c>
      <c r="AI18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{"issue":{"subject":"","project_id":79,"tracker_id":40,"status_id":1,"priority_id":2,"assigned_to_id":23,"start_date":"2016-12-24","description":"","custom_fields":[{"id":1,"name":"Subdivision","value":"NW"},{"id":4,"name":"Milepost","value":"5.8946"},{"id":17,"name":"Train ID","value":"1823-24"},{"id":16,"name":"Locomotive ID","value":"4027"},{"id":130,"name":"Impact","value":""},{"id":150,"name":"Time of Event (Mountain Time)","value":"17:34:24"},{"id":151,"name":"Denver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591</v>
      </c>
      <c r="B184" s="7">
        <v>4028</v>
      </c>
      <c r="C184" s="22" t="s">
        <v>205</v>
      </c>
      <c r="D184" s="22" t="s">
        <v>706</v>
      </c>
      <c r="E184" s="13">
        <v>42728.733865740738</v>
      </c>
      <c r="F184" s="13">
        <v>42728.73574074074</v>
      </c>
      <c r="G184" s="7">
        <v>1</v>
      </c>
      <c r="H184" s="22" t="s">
        <v>309</v>
      </c>
      <c r="I184" s="13">
        <v>42728.746631944443</v>
      </c>
      <c r="J184" s="7">
        <v>1</v>
      </c>
      <c r="K184" s="109" t="str">
        <f t="shared" si="142"/>
        <v>4027/4028</v>
      </c>
      <c r="L184" s="22" t="str">
        <f>VLOOKUP(A184,'Trips&amp;Operators'!$C$1:$G$99999,5,FALSE)</f>
        <v>HELVIE ADAM</v>
      </c>
      <c r="M184" s="6">
        <f t="shared" si="143"/>
        <v>1.0891203703067731E-2</v>
      </c>
      <c r="N184" s="7">
        <f t="shared" si="144"/>
        <v>15.683333332417533</v>
      </c>
      <c r="O184" s="7"/>
      <c r="P184" s="7"/>
      <c r="Q184" s="23"/>
      <c r="R184" s="23"/>
      <c r="S184" s="35">
        <f t="shared" si="145"/>
        <v>1</v>
      </c>
      <c r="T184" s="50" t="str">
        <f t="shared" si="146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16:36:46-700',mode:absolute,to:'2016-12-24 18:55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4" s="52" t="str">
        <f t="shared" si="148"/>
        <v>N</v>
      </c>
      <c r="X184" s="177">
        <f t="shared" si="149"/>
        <v>1</v>
      </c>
      <c r="Y184" s="67">
        <f t="shared" si="150"/>
        <v>5.8630000000000004</v>
      </c>
      <c r="Z184" s="67">
        <f t="shared" si="151"/>
        <v>7.4499999999999997E-2</v>
      </c>
      <c r="AA184" s="67">
        <f t="shared" si="152"/>
        <v>5.7885000000000009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153"/>
        <v>1824-24</v>
      </c>
      <c r="AE184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4" s="88" t="str">
        <f t="shared" si="155"/>
        <v>"C:\Program Files (x86)\AstroGrep\AstroGrep.exe" /spath="%USERPROFILE%\AppData\Local\Temp\OnboardLogs" /stypes="app*4028*20161225*" /stext=" 00:.+((SYSTEM_STATE.+slice.+state.+changed )|(ment ac)|(multiple cpu faults)|(system.+state.+changed )|(\[timeout)|(PRM\|1\|D)|(kpr)|(kdp)|(\|lc)|(penalty))" /e /r /s</v>
      </c>
      <c r="AG184" s="1" t="str">
        <f t="shared" si="156"/>
        <v>NW</v>
      </c>
      <c r="AH184" s="92" t="str">
        <f t="shared" si="110"/>
        <v>"%USERPROFILE%\Documents\GitHub\eaglep3\Utilities\RefineRTDCRunTimes.py" --tripid 1824-24 --locoid 4028 --swversion DE.1.0.8.0 --startMP 300:58630 --initTime 2016-12-24T17:36:46 --startdatetime 2016-12-24T17:39:28 --delay 1 --endMP 204:745 --enddatetime 2016-12-24T17:55:09 --enforcementcount 1 &gt;&gt;C:\Users\stu\Documents\GitHub\eaglep3-reporting\EC\2016-12-24-refined-times.txt</v>
      </c>
      <c r="AI184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{"issue":{"subject":"","project_id":79,"tracker_id":40,"status_id":1,"priority_id":2,"assigned_to_id":23,"start_date":"2016-12-24","description":"","custom_fields":[{"id":1,"name":"Subdivision","value":"NW"},{"id":4,"name":"Milepost","value":"0.0745"},{"id":17,"name":"Train ID","value":"1824-24"},{"id":16,"name":"Locomotive ID","value":"4028"},{"id":130,"name":"Impact","value":""},{"id":150,"name":"Time of Event (Mountain Time)","value":"17:55:09"},{"id":151,"name":"Denver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600</v>
      </c>
      <c r="B185" s="7">
        <v>4027</v>
      </c>
      <c r="C185" s="22" t="s">
        <v>205</v>
      </c>
      <c r="D185" s="22" t="s">
        <v>422</v>
      </c>
      <c r="E185" s="13">
        <v>42728.761932870373</v>
      </c>
      <c r="F185" s="13">
        <v>42728.764837962961</v>
      </c>
      <c r="G185" s="7">
        <v>1</v>
      </c>
      <c r="H185" s="22" t="s">
        <v>707</v>
      </c>
      <c r="I185" s="13">
        <v>42728.773761574077</v>
      </c>
      <c r="J185" s="7">
        <v>1</v>
      </c>
      <c r="K185" s="109" t="str">
        <f t="shared" si="142"/>
        <v>4027/4028</v>
      </c>
      <c r="L185" s="22" t="str">
        <f>VLOOKUP(A185,'Trips&amp;Operators'!$C$1:$G$99999,5,FALSE)</f>
        <v>HELVIE ADAM</v>
      </c>
      <c r="M185" s="6">
        <f t="shared" si="143"/>
        <v>8.9236111161881126E-3</v>
      </c>
      <c r="N185" s="7">
        <f t="shared" si="144"/>
        <v>12.850000007310882</v>
      </c>
      <c r="O185" s="7"/>
      <c r="P185" s="7"/>
      <c r="Q185" s="23"/>
      <c r="R185" s="23"/>
      <c r="S185" s="35">
        <f t="shared" si="145"/>
        <v>1</v>
      </c>
      <c r="T185" s="50" t="str">
        <f t="shared" si="146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17:17:11-700',mode:absolute,to:'2016-12-24 19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5" s="52" t="str">
        <f t="shared" si="148"/>
        <v>N</v>
      </c>
      <c r="X185" s="177">
        <f t="shared" si="149"/>
        <v>1</v>
      </c>
      <c r="Y185" s="67">
        <f t="shared" si="150"/>
        <v>0.10299999999999999</v>
      </c>
      <c r="Z185" s="67">
        <f t="shared" si="151"/>
        <v>5.8944000000000001</v>
      </c>
      <c r="AA185" s="67">
        <f t="shared" si="152"/>
        <v>5.7914000000000003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153"/>
        <v>1825-24</v>
      </c>
      <c r="AE185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5" s="88" t="str">
        <f t="shared" si="155"/>
        <v>"C:\Program Files (x86)\AstroGrep\AstroGrep.exe" /spath="%USERPROFILE%\AppData\Local\Temp\OnboardLogs" /stypes="app*4027*20161225*" /stext=" 01:.+((SYSTEM_STATE.+slice.+state.+changed )|(ment ac)|(multiple cpu faults)|(system.+state.+changed )|(\[timeout)|(PRM\|1\|D)|(kpr)|(kdp)|(\|lc)|(penalty))" /e /r /s</v>
      </c>
      <c r="AG185" s="1" t="str">
        <f t="shared" si="156"/>
        <v>NW</v>
      </c>
      <c r="AH185" s="92" t="str">
        <f t="shared" si="110"/>
        <v>"%USERPROFILE%\Documents\GitHub\eaglep3\Utilities\RefineRTDCRunTimes.py" --tripid 1825-24 --locoid 4027 --swversion DE.1.0.8.0 --startMP 204:1030 --initTime 2016-12-24T18:17:11 --startdatetime 2016-12-24T18:21:22 --delay 1 --endMP 300:58944 --enddatetime 2016-12-24T18:34:13 --enforcementcount 1 &gt;&gt;C:\Users\stu\Documents\GitHub\eaglep3-reporting\EC\2016-12-24-refined-times.txt</v>
      </c>
      <c r="AI185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ID","value":"1825-24"},{"id":16,"name":"Locomotive ID","value":"4027"},{"id":130,"name":"Impact","value":""},{"id":150,"name":"Time of Event (Mountain Time)","value":"18:34:13"},{"id":151,"name":"Denver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603</v>
      </c>
      <c r="B186" s="7">
        <v>4028</v>
      </c>
      <c r="C186" s="22" t="s">
        <v>205</v>
      </c>
      <c r="D186" s="22" t="s">
        <v>702</v>
      </c>
      <c r="E186" s="13">
        <v>42728.774953703702</v>
      </c>
      <c r="F186" s="13">
        <v>42728.776226851849</v>
      </c>
      <c r="G186" s="7">
        <v>1</v>
      </c>
      <c r="H186" s="22" t="s">
        <v>708</v>
      </c>
      <c r="I186" s="13">
        <v>42728.789201388892</v>
      </c>
      <c r="J186" s="7">
        <v>1</v>
      </c>
      <c r="K186" s="109" t="str">
        <f t="shared" si="142"/>
        <v>4027/4028</v>
      </c>
      <c r="L186" s="22" t="str">
        <f>VLOOKUP(A186,'Trips&amp;Operators'!$C$1:$G$99999,5,FALSE)</f>
        <v>HELVIE ADAM</v>
      </c>
      <c r="M186" s="6">
        <f t="shared" si="143"/>
        <v>1.2974537043191958E-2</v>
      </c>
      <c r="N186" s="7">
        <f t="shared" si="144"/>
        <v>18.68333334219642</v>
      </c>
      <c r="O186" s="7"/>
      <c r="P186" s="7"/>
      <c r="Q186" s="23"/>
      <c r="R186" s="23"/>
      <c r="S186" s="35">
        <f t="shared" si="145"/>
        <v>1</v>
      </c>
      <c r="T186" s="50" t="str">
        <f t="shared" si="146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17:35:56-700',mode:absolute,to:'2016-12-24 19:56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6" s="52" t="str">
        <f t="shared" si="148"/>
        <v>N</v>
      </c>
      <c r="X186" s="177">
        <f t="shared" si="149"/>
        <v>1</v>
      </c>
      <c r="Y186" s="67">
        <f t="shared" si="150"/>
        <v>5.8624000000000001</v>
      </c>
      <c r="Z186" s="67">
        <f t="shared" si="151"/>
        <v>7.4300000000000005E-2</v>
      </c>
      <c r="AA186" s="67">
        <f t="shared" si="152"/>
        <v>5.7881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153"/>
        <v>1826-24</v>
      </c>
      <c r="AE186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6" s="88" t="str">
        <f t="shared" si="155"/>
        <v>"C:\Program Files (x86)\AstroGrep\AstroGrep.exe" /spath="%USERPROFILE%\AppData\Local\Temp\OnboardLogs" /stypes="app*4028*20161225*" /stext=" 01:.+((SYSTEM_STATE.+slice.+state.+changed )|(ment ac)|(multiple cpu faults)|(system.+state.+changed )|(\[timeout)|(PRM\|1\|D)|(kpr)|(kdp)|(\|lc)|(penalty))" /e /r /s</v>
      </c>
      <c r="AG186" s="1" t="str">
        <f t="shared" si="156"/>
        <v>NW</v>
      </c>
      <c r="AH186" s="92" t="str">
        <f t="shared" si="110"/>
        <v>"%USERPROFILE%\Documents\GitHub\eaglep3\Utilities\RefineRTDCRunTimes.py" --tripid 1826-24 --locoid 4028 --swversion DE.1.0.8.0 --startMP 300:58624 --initTime 2016-12-24T18:35:56 --startdatetime 2016-12-24T18:37:46 --delay 1 --endMP 204:743 --enddatetime 2016-12-24T18:56:27 --enforcementcount 1 &gt;&gt;C:\Users\stu\Documents\GitHub\eaglep3-reporting\EC\2016-12-24-refined-times.txt</v>
      </c>
      <c r="AI186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{"issue":{"subject":"","project_id":79,"tracker_id":40,"status_id":1,"priority_id":2,"assigned_to_id":23,"start_date":"2016-12-24","description":"","custom_fields":[{"id":1,"name":"Subdivision","value":"NW"},{"id":4,"name":"Milepost","value":"0.0743"},{"id":17,"name":"Train ID","value":"1826-24"},{"id":16,"name":"Locomotive ID","value":"4028"},{"id":130,"name":"Impact","value":""},{"id":150,"name":"Time of Event (Mountain Time)","value":"18:56:27"},{"id":151,"name":"Denver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607</v>
      </c>
      <c r="B187" s="7">
        <v>4027</v>
      </c>
      <c r="C187" s="22" t="s">
        <v>205</v>
      </c>
      <c r="D187" s="22" t="s">
        <v>709</v>
      </c>
      <c r="E187" s="13">
        <v>42728.803796296299</v>
      </c>
      <c r="F187" s="13">
        <v>42728.806423611109</v>
      </c>
      <c r="G187" s="7">
        <v>1</v>
      </c>
      <c r="H187" s="22" t="s">
        <v>707</v>
      </c>
      <c r="I187" s="13">
        <v>42728.815636574072</v>
      </c>
      <c r="J187" s="7">
        <v>1</v>
      </c>
      <c r="K187" s="109" t="str">
        <f t="shared" si="142"/>
        <v>4027/4028</v>
      </c>
      <c r="L187" s="22" t="str">
        <f>VLOOKUP(A187,'Trips&amp;Operators'!$C$1:$G$99999,5,FALSE)</f>
        <v>HELVIE ADAM</v>
      </c>
      <c r="M187" s="6">
        <f t="shared" si="143"/>
        <v>9.2129629629198462E-3</v>
      </c>
      <c r="N187" s="7">
        <f t="shared" si="144"/>
        <v>13.266666666604578</v>
      </c>
      <c r="O187" s="7"/>
      <c r="P187" s="7"/>
      <c r="Q187" s="23"/>
      <c r="R187" s="23"/>
      <c r="S187" s="35">
        <f t="shared" si="145"/>
        <v>1</v>
      </c>
      <c r="T187" s="50" t="str">
        <f t="shared" si="146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18:17:28-700',mode:absolute,to:'2016-12-24 20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7" s="52" t="str">
        <f t="shared" si="148"/>
        <v>N</v>
      </c>
      <c r="X187" s="177">
        <f t="shared" si="149"/>
        <v>1</v>
      </c>
      <c r="Y187" s="67">
        <f t="shared" si="150"/>
        <v>0.1048</v>
      </c>
      <c r="Z187" s="67">
        <f t="shared" si="151"/>
        <v>5.8944000000000001</v>
      </c>
      <c r="AA187" s="67">
        <f t="shared" si="152"/>
        <v>5.7896000000000001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153"/>
        <v>1827-24</v>
      </c>
      <c r="AE18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7" s="88" t="str">
        <f t="shared" si="155"/>
        <v>"C:\Program Files (x86)\AstroGrep\AstroGrep.exe" /spath="%USERPROFILE%\AppData\Local\Temp\OnboardLogs" /stypes="app*4027*20161225*" /stext=" 02:.+((SYSTEM_STATE.+slice.+state.+changed )|(ment ac)|(multiple cpu faults)|(system.+state.+changed )|(\[timeout)|(PRM\|1\|D)|(kpr)|(kdp)|(\|lc)|(penalty))" /e /r /s</v>
      </c>
      <c r="AG187" s="1" t="str">
        <f t="shared" si="156"/>
        <v>NW</v>
      </c>
      <c r="AH187" s="92" t="str">
        <f t="shared" si="110"/>
        <v>"%USERPROFILE%\Documents\GitHub\eaglep3\Utilities\RefineRTDCRunTimes.py" --tripid 1827-24 --locoid 4027 --swversion DE.1.0.8.0 --startMP 204:1048 --initTime 2016-12-24T19:17:28 --startdatetime 2016-12-24T19:21:15 --delay 1 --endMP 300:58944 --enddatetime 2016-12-24T19:34:31 --enforcementcount 1 &gt;&gt;C:\Users\stu\Documents\GitHub\eaglep3-reporting\EC\2016-12-24-refined-times.txt</v>
      </c>
      <c r="AI187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ID","value":"1827-24"},{"id":16,"name":"Locomotive ID","value":"4027"},{"id":130,"name":"Impact","value":""},{"id":150,"name":"Time of Event (Mountain Time)","value":"19:34:31"},{"id":151,"name":"Denver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609</v>
      </c>
      <c r="B188" s="7">
        <v>4028</v>
      </c>
      <c r="C188" s="22" t="s">
        <v>205</v>
      </c>
      <c r="D188" s="22" t="s">
        <v>702</v>
      </c>
      <c r="E188" s="13">
        <v>42728.81690972222</v>
      </c>
      <c r="F188" s="13">
        <v>42728.818460648145</v>
      </c>
      <c r="G188" s="7">
        <v>1</v>
      </c>
      <c r="H188" s="22" t="s">
        <v>420</v>
      </c>
      <c r="I188" s="13">
        <v>42728.829953703702</v>
      </c>
      <c r="J188" s="7">
        <v>1</v>
      </c>
      <c r="K188" s="109" t="str">
        <f t="shared" si="142"/>
        <v>4027/4028</v>
      </c>
      <c r="L188" s="22" t="str">
        <f>VLOOKUP(A188,'Trips&amp;Operators'!$C$1:$G$99999,5,FALSE)</f>
        <v>HELVIE ADAM</v>
      </c>
      <c r="M188" s="6">
        <f t="shared" si="143"/>
        <v>1.1493055557366461E-2</v>
      </c>
      <c r="N188" s="7">
        <f t="shared" si="144"/>
        <v>16.550000002607703</v>
      </c>
      <c r="O188" s="7"/>
      <c r="P188" s="7"/>
      <c r="Q188" s="23"/>
      <c r="R188" s="23"/>
      <c r="S188" s="35">
        <f t="shared" si="145"/>
        <v>1</v>
      </c>
      <c r="T188" s="50" t="str">
        <f t="shared" si="146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18:36:21-700',mode:absolute,to:'2016-12-24 20:55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88" s="52" t="str">
        <f t="shared" si="148"/>
        <v>N</v>
      </c>
      <c r="X188" s="177">
        <f t="shared" si="149"/>
        <v>1</v>
      </c>
      <c r="Y188" s="67">
        <f t="shared" si="150"/>
        <v>5.8624000000000001</v>
      </c>
      <c r="Z188" s="67">
        <f t="shared" si="151"/>
        <v>7.3999999999999996E-2</v>
      </c>
      <c r="AA188" s="67">
        <f t="shared" si="152"/>
        <v>5.7884000000000002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153"/>
        <v>1828-24</v>
      </c>
      <c r="AE188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88" s="88" t="str">
        <f t="shared" si="155"/>
        <v>"C:\Program Files (x86)\AstroGrep\AstroGrep.exe" /spath="%USERPROFILE%\AppData\Local\Temp\OnboardLogs" /stypes="app*4028*20161225*" /stext=" 02:.+((SYSTEM_STATE.+slice.+state.+changed )|(ment ac)|(multiple cpu faults)|(system.+state.+changed )|(\[timeout)|(PRM\|1\|D)|(kpr)|(kdp)|(\|lc)|(penalty))" /e /r /s</v>
      </c>
      <c r="AG188" s="1" t="str">
        <f t="shared" si="156"/>
        <v>NW</v>
      </c>
      <c r="AH188" s="92" t="str">
        <f t="shared" si="110"/>
        <v>"%USERPROFILE%\Documents\GitHub\eaglep3\Utilities\RefineRTDCRunTimes.py" --tripid 1828-24 --locoid 4028 --swversion DE.1.0.8.0 --startMP 300:58624 --initTime 2016-12-24T19:36:21 --startdatetime 2016-12-24T19:38:35 --delay 1 --endMP 204:740 --enddatetime 2016-12-24T19:55:08 --enforcementcount 1 &gt;&gt;C:\Users\stu\Documents\GitHub\eaglep3-reporting\EC\2016-12-24-refined-times.txt</v>
      </c>
      <c r="AI188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{"issue":{"subject":"","project_id":79,"tracker_id":40,"status_id":1,"priority_id":2,"assigned_to_id":23,"start_date":"2016-12-24","description":"","custom_fields":[{"id":1,"name":"Subdivision","value":"NW"},{"id":4,"name":"Milepost","value":"0.074"},{"id":17,"name":"Train ID","value":"1828-24"},{"id":16,"name":"Locomotive ID","value":"4028"},{"id":130,"name":"Impact","value":""},{"id":150,"name":"Time of Event (Mountain Time)","value":"19:55:08"},{"id":151,"name":"Denver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614</v>
      </c>
      <c r="B189" s="7">
        <v>4027</v>
      </c>
      <c r="C189" s="22" t="s">
        <v>205</v>
      </c>
      <c r="D189" s="22" t="s">
        <v>710</v>
      </c>
      <c r="E189" s="13">
        <v>42728.845868055556</v>
      </c>
      <c r="F189" s="13">
        <v>42728.861759259256</v>
      </c>
      <c r="G189" s="7">
        <v>1</v>
      </c>
      <c r="H189" s="22" t="s">
        <v>278</v>
      </c>
      <c r="I189" s="13">
        <v>42728.871608796297</v>
      </c>
      <c r="J189" s="7">
        <v>1</v>
      </c>
      <c r="K189" s="109" t="str">
        <f t="shared" si="142"/>
        <v>4027/4028</v>
      </c>
      <c r="L189" s="22" t="str">
        <f>VLOOKUP(A189,'Trips&amp;Operators'!$C$1:$G$99999,5,FALSE)</f>
        <v>HELVIE ADAM</v>
      </c>
      <c r="M189" s="6">
        <f t="shared" si="143"/>
        <v>9.8495370402815752E-3</v>
      </c>
      <c r="N189" s="7">
        <f t="shared" si="144"/>
        <v>14.183333338005468</v>
      </c>
      <c r="O189" s="7"/>
      <c r="P189" s="7"/>
      <c r="Q189" s="23"/>
      <c r="R189" s="23"/>
      <c r="S189" s="35">
        <f t="shared" si="145"/>
        <v>1</v>
      </c>
      <c r="T189" s="50" t="str">
        <f t="shared" si="146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19:18:03-700',mode:absolute,to:'2016-12-24 21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89" s="52" t="str">
        <f t="shared" si="148"/>
        <v>N</v>
      </c>
      <c r="X189" s="177">
        <f t="shared" si="149"/>
        <v>1</v>
      </c>
      <c r="Y189" s="67">
        <f t="shared" si="150"/>
        <v>0.1018</v>
      </c>
      <c r="Z189" s="67">
        <f t="shared" si="151"/>
        <v>5.8933</v>
      </c>
      <c r="AA189" s="67">
        <f t="shared" si="152"/>
        <v>5.7915000000000001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153"/>
        <v>1829-24</v>
      </c>
      <c r="AE189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89" s="88" t="str">
        <f t="shared" si="155"/>
        <v>"C:\Program Files (x86)\AstroGrep\AstroGrep.exe" /spath="%USERPROFILE%\AppData\Local\Temp\OnboardLogs" /stypes="app*4027*20161225*" /stext=" 03:.+((SYSTEM_STATE.+slice.+state.+changed )|(ment ac)|(multiple cpu faults)|(system.+state.+changed )|(\[timeout)|(PRM\|1\|D)|(kpr)|(kdp)|(\|lc)|(penalty))" /e /r /s</v>
      </c>
      <c r="AG189" s="1" t="str">
        <f t="shared" si="156"/>
        <v>NW</v>
      </c>
      <c r="AH189" s="92" t="str">
        <f t="shared" si="110"/>
        <v>"%USERPROFILE%\Documents\GitHub\eaglep3\Utilities\RefineRTDCRunTimes.py" --tripid 1829-24 --locoid 4027 --swversion DE.1.0.8.0 --startMP 204:1018 --initTime 2016-12-24T20:18:03 --startdatetime 2016-12-24T20:40:56 --delay 1 --endMP 300:58933 --enddatetime 2016-12-24T20:55:07 --enforcementcount 1 &gt;&gt;C:\Users\stu\Documents\GitHub\eaglep3-reporting\EC\2016-12-24-refined-times.txt</v>
      </c>
      <c r="AI189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{"issue":{"subject":"","project_id":79,"tracker_id":40,"status_id":1,"priority_id":2,"assigned_to_id":23,"start_date":"2016-12-24","description":"","custom_fields":[{"id":1,"name":"Subdivision","value":"NW"},{"id":4,"name":"Milepost","value":"5.8933"},{"id":17,"name":"Train ID","value":"1829-24"},{"id":16,"name":"Locomotive ID","value":"4027"},{"id":130,"name":"Impact","value":""},{"id":150,"name":"Time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615</v>
      </c>
      <c r="B190" s="7">
        <v>4028</v>
      </c>
      <c r="C190" s="22" t="s">
        <v>205</v>
      </c>
      <c r="D190" s="22" t="s">
        <v>711</v>
      </c>
      <c r="E190" s="13">
        <v>42728.860636574071</v>
      </c>
      <c r="F190" s="13">
        <v>42728.861759259256</v>
      </c>
      <c r="G190" s="7">
        <v>1</v>
      </c>
      <c r="H190" s="22" t="s">
        <v>318</v>
      </c>
      <c r="I190" s="13">
        <v>42728.871608796297</v>
      </c>
      <c r="J190" s="7">
        <v>1</v>
      </c>
      <c r="K190" s="109" t="str">
        <f t="shared" si="142"/>
        <v>4027/4028</v>
      </c>
      <c r="L190" s="22" t="str">
        <f>VLOOKUP(A190,'Trips&amp;Operators'!$C$1:$G$99999,5,FALSE)</f>
        <v>HELVIE ADAM</v>
      </c>
      <c r="M190" s="6">
        <f t="shared" si="143"/>
        <v>9.8495370402815752E-3</v>
      </c>
      <c r="N190" s="7">
        <f t="shared" si="144"/>
        <v>14.183333338005468</v>
      </c>
      <c r="O190" s="7"/>
      <c r="P190" s="7"/>
      <c r="Q190" s="23"/>
      <c r="R190" s="23"/>
      <c r="S190" s="35">
        <f t="shared" si="145"/>
        <v>1</v>
      </c>
      <c r="T190" s="50" t="str">
        <f t="shared" si="146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19:39:19-700',mode:absolute,to:'2016-12-24 21:55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0" s="52" t="str">
        <f t="shared" si="148"/>
        <v>N</v>
      </c>
      <c r="X190" s="177">
        <f t="shared" si="149"/>
        <v>1</v>
      </c>
      <c r="Y190" s="67">
        <f t="shared" si="150"/>
        <v>5.8613</v>
      </c>
      <c r="Z190" s="67">
        <f t="shared" si="151"/>
        <v>7.4800000000000005E-2</v>
      </c>
      <c r="AA190" s="67">
        <f t="shared" si="152"/>
        <v>5.7865000000000002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153"/>
        <v>1830-24</v>
      </c>
      <c r="AE190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90" s="88" t="str">
        <f t="shared" si="155"/>
        <v>"C:\Program Files (x86)\AstroGrep\AstroGrep.exe" /spath="%USERPROFILE%\AppData\Local\Temp\OnboardLogs" /stypes="app*4028*20161225*" /stext=" 03:.+((SYSTEM_STATE.+slice.+state.+changed )|(ment ac)|(multiple cpu faults)|(system.+state.+changed )|(\[timeout)|(PRM\|1\|D)|(kpr)|(kdp)|(\|lc)|(penalty))" /e /r /s</v>
      </c>
      <c r="AG190" s="1" t="str">
        <f t="shared" si="156"/>
        <v>NW</v>
      </c>
      <c r="AH190" s="92" t="str">
        <f t="shared" si="110"/>
        <v>"%USERPROFILE%\Documents\GitHub\eaglep3\Utilities\RefineRTDCRunTimes.py" --tripid 1830-24 --locoid 4028 --swversion DE.1.0.8.0 --startMP 300:58613 --initTime 2016-12-24T20:39:19 --startdatetime 2016-12-24T20:40:56 --delay 1 --endMP 204:748 --enddatetime 2016-12-24T20:55:07 --enforcementcount 1 &gt;&gt;C:\Users\stu\Documents\GitHub\eaglep3-reporting\EC\2016-12-24-refined-times.txt</v>
      </c>
      <c r="AI190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{"issue":{"subject":"","project_id":79,"tracker_id":40,"status_id":1,"priority_id":2,"assigned_to_id":23,"start_date":"2016-12-24","description":"","custom_fields":[{"id":1,"name":"Subdivision","value":"NW"},{"id":4,"name":"Milepost","value":"0.0748"},{"id":17,"name":"Train ID","value":"1830-24"},{"id":16,"name":"Locomotive ID","value":"4028"},{"id":130,"name":"Impact","value":""},{"id":150,"name":"Time of Event (Mountain Time)","value":"20:55:07"},{"id":151,"name":"Denver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7" t="s">
        <v>620</v>
      </c>
      <c r="B191" s="7">
        <v>4027</v>
      </c>
      <c r="C191" s="22" t="s">
        <v>205</v>
      </c>
      <c r="D191" s="22" t="s">
        <v>431</v>
      </c>
      <c r="E191" s="13">
        <v>42728.885312500002</v>
      </c>
      <c r="F191" s="13">
        <v>42728.889756944445</v>
      </c>
      <c r="G191" s="7">
        <v>1</v>
      </c>
      <c r="H191" s="22" t="s">
        <v>712</v>
      </c>
      <c r="I191" s="13">
        <v>42728.898854166669</v>
      </c>
      <c r="J191" s="7">
        <v>1</v>
      </c>
      <c r="K191" s="109" t="str">
        <f t="shared" si="142"/>
        <v>4027/4028</v>
      </c>
      <c r="L191" s="22" t="str">
        <f>VLOOKUP(A191,'Trips&amp;Operators'!$C$1:$G$99999,5,FALSE)</f>
        <v>HELVIE ADAM</v>
      </c>
      <c r="M191" s="6">
        <f t="shared" si="143"/>
        <v>9.0972222242271528E-3</v>
      </c>
      <c r="N191" s="7">
        <f t="shared" si="144"/>
        <v>13.1000000028871</v>
      </c>
      <c r="O191" s="7"/>
      <c r="P191" s="7"/>
      <c r="Q191" s="23"/>
      <c r="R191" s="23"/>
      <c r="S191" s="35">
        <f t="shared" si="145"/>
        <v>1</v>
      </c>
      <c r="T191" s="50" t="str">
        <f t="shared" si="146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20:14:51-700',mode:absolute,to:'2016-12-24 22:34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1" s="52" t="str">
        <f t="shared" si="148"/>
        <v>N</v>
      </c>
      <c r="X191" s="177">
        <f t="shared" si="149"/>
        <v>1</v>
      </c>
      <c r="Y191" s="67">
        <f t="shared" si="150"/>
        <v>0.1032</v>
      </c>
      <c r="Z191" s="67">
        <f t="shared" si="151"/>
        <v>5.8936999999999999</v>
      </c>
      <c r="AA191" s="67">
        <f t="shared" si="152"/>
        <v>5.7904999999999998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153"/>
        <v>1831-24</v>
      </c>
      <c r="AE191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91" s="88" t="str">
        <f t="shared" si="155"/>
        <v>"C:\Program Files (x86)\AstroGrep\AstroGrep.exe" /spath="%USERPROFILE%\AppData\Local\Temp\OnboardLogs" /stypes="app*4027*20161225*" /stext=" 04:.+((SYSTEM_STATE.+slice.+state.+changed )|(ment ac)|(multiple cpu faults)|(system.+state.+changed )|(\[timeout)|(PRM\|1\|D)|(kpr)|(kdp)|(\|lc)|(penalty))" /e /r /s</v>
      </c>
      <c r="AG191" s="1" t="str">
        <f t="shared" si="156"/>
        <v>NW</v>
      </c>
      <c r="AH191" s="92" t="str">
        <f t="shared" si="110"/>
        <v>"%USERPROFILE%\Documents\GitHub\eaglep3\Utilities\RefineRTDCRunTimes.py" --tripid 1831-24 --locoid 4027 --swversion DE.1.0.8.0 --startMP 204:1032 --initTime 2016-12-24T21:14:51 --startdatetime 2016-12-24T21:21:15 --delay 1 --endMP 300:58937 --enddatetime 2016-12-24T21:34:21 --enforcementcount 1 &gt;&gt;C:\Users\stu\Documents\GitHub\eaglep3-reporting\EC\2016-12-24-refined-times.txt</v>
      </c>
      <c r="AI191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{"issue":{"subject":"","project_id":79,"tracker_id":40,"status_id":1,"priority_id":2,"assigned_to_id":23,"start_date":"2016-12-24","description":"","custom_fields":[{"id":1,"name":"Subdivision","value":"NW"},{"id":4,"name":"Milepost","value":"5.8937"},{"id":17,"name":"Train ID","value":"1831-24"},{"id":16,"name":"Locomotive ID","value":"4027"},{"id":130,"name":"Impact","value":""},{"id":150,"name":"Time of Event (Mountain Time)","value":"21:34:21"},{"id":151,"name":"Denver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621</v>
      </c>
      <c r="B192" s="7">
        <v>4028</v>
      </c>
      <c r="C192" s="22" t="s">
        <v>205</v>
      </c>
      <c r="D192" s="22" t="s">
        <v>713</v>
      </c>
      <c r="E192" s="13">
        <v>42728.899780092594</v>
      </c>
      <c r="F192" s="13">
        <v>42728.901030092595</v>
      </c>
      <c r="G192" s="7">
        <v>1</v>
      </c>
      <c r="H192" s="22" t="s">
        <v>388</v>
      </c>
      <c r="I192" s="13">
        <v>42728.912928240738</v>
      </c>
      <c r="J192" s="7">
        <v>1</v>
      </c>
      <c r="K192" s="109" t="str">
        <f t="shared" si="142"/>
        <v>4027/4028</v>
      </c>
      <c r="L192" s="22" t="str">
        <f>VLOOKUP(A192,'Trips&amp;Operators'!$C$1:$G$99999,5,FALSE)</f>
        <v>HELVIE ADAM</v>
      </c>
      <c r="M192" s="6">
        <f t="shared" si="143"/>
        <v>1.1898148142790888E-2</v>
      </c>
      <c r="N192" s="7">
        <f t="shared" si="144"/>
        <v>17.133333325618878</v>
      </c>
      <c r="O192" s="7"/>
      <c r="P192" s="7"/>
      <c r="Q192" s="23"/>
      <c r="R192" s="23"/>
      <c r="S192" s="35">
        <f t="shared" si="145"/>
        <v>1</v>
      </c>
      <c r="T192" s="50" t="str">
        <f t="shared" si="146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20:35:41-700',mode:absolute,to:'2016-12-24 22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92" s="52" t="str">
        <f t="shared" si="148"/>
        <v>N</v>
      </c>
      <c r="X192" s="177">
        <f t="shared" si="149"/>
        <v>1</v>
      </c>
      <c r="Y192" s="67">
        <f t="shared" si="150"/>
        <v>5.8615000000000004</v>
      </c>
      <c r="Z192" s="67">
        <f t="shared" si="151"/>
        <v>7.5700000000000003E-2</v>
      </c>
      <c r="AA192" s="67">
        <f t="shared" si="152"/>
        <v>5.7858000000000001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153"/>
        <v>1832-24</v>
      </c>
      <c r="AE192" s="91" t="str">
        <f t="shared" si="154"/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192" s="88" t="str">
        <f t="shared" si="155"/>
        <v>"C:\Program Files (x86)\AstroGrep\AstroGrep.exe" /spath="%USERPROFILE%\AppData\Local\Temp\OnboardLogs" /stypes="app*4028*20161225*" /stext=" 04:.+((SYSTEM_STATE.+slice.+state.+changed )|(ment ac)|(multiple cpu faults)|(system.+state.+changed )|(\[timeout)|(PRM\|1\|D)|(kpr)|(kdp)|(\|lc)|(penalty))" /e /r /s</v>
      </c>
      <c r="AG192" s="1" t="str">
        <f t="shared" si="156"/>
        <v>NW</v>
      </c>
      <c r="AH192" s="92" t="str">
        <f t="shared" si="110"/>
        <v>"%USERPROFILE%\Documents\GitHub\eaglep3\Utilities\RefineRTDCRunTimes.py" --tripid 1832-24 --locoid 4028 --swversion DE.1.0.8.0 --startMP 300:58615 --initTime 2016-12-24T21:35:41 --startdatetime 2016-12-24T21:37:29 --delay 1 --endMP 204:757 --enddatetime 2016-12-24T21:54:37 --enforcementcount 1 &gt;&gt;C:\Users\stu\Documents\GitHub\eaglep3-reporting\EC\2016-12-24-refined-times.txt</v>
      </c>
      <c r="AI192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{"issue":{"subject":"","project_id":79,"tracker_id":40,"status_id":1,"priority_id":2,"assigned_to_id":23,"start_date":"2016-12-24","description":"","custom_fields":[{"id":1,"name":"Subdivision","value":"NW"},{"id":4,"name":"Milepost","value":"0.0757"},{"id":17,"name":"Train ID","value":"1832-24"},{"id":16,"name":"Locomotive ID","value":"4028"},{"id":130,"name":"Impact","value":""},{"id":150,"name":"Time of Event (Mountain Time)","value":"21:54:37"},{"id":151,"name":"Denver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624</v>
      </c>
      <c r="B193" s="7">
        <v>4027</v>
      </c>
      <c r="C193" s="22" t="s">
        <v>205</v>
      </c>
      <c r="D193" s="22" t="s">
        <v>709</v>
      </c>
      <c r="E193" s="13">
        <v>42728.928067129629</v>
      </c>
      <c r="F193" s="13">
        <v>42728.931504629632</v>
      </c>
      <c r="G193" s="7">
        <v>1</v>
      </c>
      <c r="H193" s="22" t="s">
        <v>707</v>
      </c>
      <c r="I193" s="13">
        <v>42728.941076388888</v>
      </c>
      <c r="J193" s="7">
        <v>1</v>
      </c>
      <c r="K193" s="109" t="str">
        <f t="shared" si="142"/>
        <v>4027/4028</v>
      </c>
      <c r="L193" s="22" t="str">
        <f>VLOOKUP(A193,'Trips&amp;Operators'!$C$1:$G$99999,5,FALSE)</f>
        <v>HELVIE ADAM</v>
      </c>
      <c r="M193" s="6">
        <f t="shared" si="143"/>
        <v>9.5717592557775788E-3</v>
      </c>
      <c r="N193" s="7">
        <f t="shared" si="144"/>
        <v>13.783333328319713</v>
      </c>
      <c r="O193" s="7"/>
      <c r="P193" s="7"/>
      <c r="Q193" s="23"/>
      <c r="R193" s="23"/>
      <c r="S193" s="35">
        <f t="shared" si="145"/>
        <v>1</v>
      </c>
      <c r="T193" s="50" t="str">
        <f t="shared" si="146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21:16:25-700',mode:absolute,to:'2016-12-24 23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3" s="52" t="str">
        <f t="shared" si="148"/>
        <v>N</v>
      </c>
      <c r="X193" s="177">
        <f t="shared" si="149"/>
        <v>1</v>
      </c>
      <c r="Y193" s="67">
        <f t="shared" si="150"/>
        <v>0.1048</v>
      </c>
      <c r="Z193" s="67">
        <f t="shared" si="151"/>
        <v>5.8944000000000001</v>
      </c>
      <c r="AA193" s="67">
        <f t="shared" si="152"/>
        <v>5.7896000000000001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153"/>
        <v>1833-24</v>
      </c>
      <c r="AE193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193" s="88" t="str">
        <f t="shared" si="155"/>
        <v>"C:\Program Files (x86)\AstroGrep\AstroGrep.exe" /spath="%USERPROFILE%\AppData\Local\Temp\OnboardLogs" /stypes="app*4027*20161225*" /stext=" 05:.+((SYSTEM_STATE.+slice.+state.+changed )|(ment ac)|(multiple cpu faults)|(system.+state.+changed )|(\[timeout)|(PRM\|1\|D)|(kpr)|(kdp)|(\|lc)|(penalty))" /e /r /s</v>
      </c>
      <c r="AG193" s="1" t="str">
        <f t="shared" si="156"/>
        <v>NW</v>
      </c>
      <c r="AH193" s="92" t="str">
        <f t="shared" si="110"/>
        <v>"%USERPROFILE%\Documents\GitHub\eaglep3\Utilities\RefineRTDCRunTimes.py" --tripid 1833-24 --locoid 4027 --swversion DE.1.0.8.0 --startMP 204:1048 --initTime 2016-12-24T22:16:25 --startdatetime 2016-12-24T22:21:22 --delay 1 --endMP 300:58944 --enddatetime 2016-12-24T22:35:09 --enforcementcount 1 &gt;&gt;C:\Users\stu\Documents\GitHub\eaglep3-reporting\EC\2016-12-24-refined-times.txt</v>
      </c>
      <c r="AI193" s="119" t="str">
        <f t="shared" si="111"/>
        <v>echo {"issue":{"subject":"","project_id":79,"tracker_id":40,"status_id":1,"priority_id":2,"assigned_to_id":23,"start_date":"2016-12-24","description":"","custom_fields":[{"id":1,"name":"Subdivision","value":"NW"},{"id":4,"name":"Milepost","value":"5.8944"},{"id":17,"name":"Train ID","value":"1833-24"},{"id":16,"name":"Locomotive ID","value":"4027"},{"id":130,"name":"Impact","value":""},{"id":150,"name":"Time of Event (Mountain Time)","value":"22:35:09"},{"id":151,"name":"Denver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456</v>
      </c>
      <c r="B194" s="7">
        <v>4030</v>
      </c>
      <c r="C194" s="22" t="s">
        <v>205</v>
      </c>
      <c r="D194" s="22" t="s">
        <v>742</v>
      </c>
      <c r="E194" s="13">
        <v>42728.120833333334</v>
      </c>
      <c r="F194" s="13">
        <v>42728.12190972222</v>
      </c>
      <c r="G194" s="7">
        <v>0</v>
      </c>
      <c r="H194" s="22" t="s">
        <v>743</v>
      </c>
      <c r="I194" s="13">
        <v>42728.128981481481</v>
      </c>
      <c r="J194" s="7">
        <v>1</v>
      </c>
      <c r="K194" s="109" t="str">
        <f t="shared" si="142"/>
        <v>4029/4030</v>
      </c>
      <c r="L194" s="22" t="str">
        <f>VLOOKUP(A194,'Trips&amp;Operators'!$C$1:$G$99999,5,FALSE)</f>
        <v>ISHMAEL JOSEPH</v>
      </c>
      <c r="M194" s="6">
        <f t="shared" si="143"/>
        <v>7.07175926072523E-3</v>
      </c>
      <c r="N194" s="7">
        <f t="shared" si="144"/>
        <v>10.183333335444331</v>
      </c>
      <c r="O194" s="7"/>
      <c r="P194" s="7"/>
      <c r="Q194" s="23"/>
      <c r="R194" s="23"/>
      <c r="S194" s="35">
        <f t="shared" si="145"/>
        <v>1</v>
      </c>
      <c r="T194" s="50" t="str">
        <f t="shared" si="146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01:54:00-700',mode:absolute,to:'2016-12-24 04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148"/>
        <v>Y</v>
      </c>
      <c r="X194" s="177">
        <f t="shared" si="149"/>
        <v>-1531</v>
      </c>
      <c r="Y194" s="67">
        <f t="shared" si="150"/>
        <v>2.3123999999999998</v>
      </c>
      <c r="Z194" s="67">
        <f t="shared" si="151"/>
        <v>1.67E-2</v>
      </c>
      <c r="AA194" s="67">
        <f t="shared" si="152"/>
        <v>2.2956999999999996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153"/>
        <v>0302-24</v>
      </c>
      <c r="AE194" s="91" t="str">
        <f t="shared" si="154"/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AF194" s="88" t="str">
        <f t="shared" si="155"/>
        <v>"C:\Program Files (x86)\AstroGrep\AstroGrep.exe" /spath="%USERPROFILE%\AppData\Local\Temp\OnboardLogs" /stypes="app*4030*20161224*" /stext=" 10:.+((SYSTEM_STATE.+slice.+state.+changed )|(ment ac)|(multiple cpu faults)|(system.+state.+changed )|(\[timeout)|(PRM\|1\|D)|(kpr)|(kdp)|(\|lc)|(penalty))" /e /r /s</v>
      </c>
      <c r="AG194" s="1" t="str">
        <f t="shared" si="156"/>
        <v>Other</v>
      </c>
      <c r="AH194" s="92" t="str">
        <f t="shared" si="110"/>
        <v>"%USERPROFILE%\Documents\GitHub\eaglep3\Utilities\RefineRTDCRunTimes.py" --tripid 302-24 --locoid 4030 --swversion DE.1.0.8.0 --startMP 300:23124 --initTime 2016-12-24T02:54:00 --startdatetime 2016-12-24T02:55:33 --delay 0 --endMP 204:167 --enddatetime 2016-12-24T03:05:44 --enforcementcount 1 &gt;&gt;C:\Users\stu\Documents\GitHub\eaglep3-reporting\EC\2016-12-24-refined-times.txt</v>
      </c>
      <c r="AI194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{"issue":{"subject":"","project_id":79,"tracker_id":40,"status_id":1,"priority_id":2,"assigned_to_id":23,"start_date":"2016-12-24","description":"","custom_fields":[{"id":1,"name":"Subdivision","value":"Other"},{"id":4,"name":"Milepost","value":"0.0167"},{"id":17,"name":"Train ID","value":"302-24"},{"id":16,"name":"Locomotive ID","value":"4030"},{"id":130,"name":"Impact","value":""},{"id":150,"name":"Time of Event (Mountain Time)","value":"03:05:44"},{"id":151,"name":"Denver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604</v>
      </c>
      <c r="B195" s="7">
        <v>4031</v>
      </c>
      <c r="C195" s="22" t="s">
        <v>205</v>
      </c>
      <c r="D195" s="22" t="s">
        <v>194</v>
      </c>
      <c r="E195" s="13">
        <v>42728.777766203704</v>
      </c>
      <c r="F195" s="13">
        <v>25568.708333333332</v>
      </c>
      <c r="G195" s="7">
        <v>1</v>
      </c>
      <c r="H195" s="22" t="s">
        <v>744</v>
      </c>
      <c r="I195" s="13">
        <v>25568.708333333332</v>
      </c>
      <c r="J195" s="7">
        <v>1</v>
      </c>
      <c r="K195" s="109" t="str">
        <f t="shared" si="142"/>
        <v>4031/4032</v>
      </c>
      <c r="L195" s="22" t="str">
        <f>VLOOKUP(A195,'Trips&amp;Operators'!$C$1:$G$99999,5,FALSE)</f>
        <v>KILLION DAVID</v>
      </c>
      <c r="M195" s="6">
        <f t="shared" si="143"/>
        <v>0</v>
      </c>
      <c r="N195" s="7">
        <f t="shared" si="144"/>
        <v>0</v>
      </c>
      <c r="O195" s="7"/>
      <c r="P195" s="7"/>
      <c r="Q195" s="23"/>
      <c r="R195" s="23"/>
      <c r="S195" s="35">
        <f t="shared" si="145"/>
        <v>1</v>
      </c>
      <c r="T195" s="50" t="str">
        <f t="shared" si="146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17:39:59-700',mode:absolute,to:'1969-12-31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5" s="52" t="str">
        <f t="shared" si="148"/>
        <v>Y</v>
      </c>
      <c r="X195" s="177">
        <f t="shared" si="149"/>
        <v>1</v>
      </c>
      <c r="Y195" s="67">
        <f t="shared" si="150"/>
        <v>4.5100000000000001E-2</v>
      </c>
      <c r="Z195" s="67">
        <f t="shared" si="151"/>
        <v>2.3346</v>
      </c>
      <c r="AA195" s="67">
        <f t="shared" si="152"/>
        <v>2.2894999999999999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153"/>
        <v>0303-24</v>
      </c>
      <c r="AE195" s="91" t="str">
        <f t="shared" si="15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5" s="88" t="str">
        <f t="shared" si="15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5" s="1" t="str">
        <f t="shared" si="156"/>
        <v>Other</v>
      </c>
      <c r="AH195" s="92" t="str">
        <f t="shared" si="110"/>
        <v>"%USERPROFILE%\Documents\GitHub\eaglep3\Utilities\RefineRTDCRunTimes.py" --tripid 303-24 --locoid 4031 --swversion DE.1.0.8.0 --startMP 204:451 --initTime 2016-12-24T18:39:59 --startdatetime 1969-12-31T17:00:00 --delay 1 --endMP 300:23346 --enddatetime 1969-12-31T17:00:00 --enforcementcount 1 &gt;&gt;C:\Users\stu\Documents\GitHub\eaglep3-reporting\EC\2016-12-24-refined-times.txt</v>
      </c>
      <c r="AI195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x14ac:dyDescent="0.25">
      <c r="A196" s="37" t="s">
        <v>604</v>
      </c>
      <c r="B196" s="7">
        <v>4031</v>
      </c>
      <c r="C196" s="22" t="s">
        <v>205</v>
      </c>
      <c r="D196" s="22" t="s">
        <v>744</v>
      </c>
      <c r="E196" s="13">
        <v>42728.777766203704</v>
      </c>
      <c r="F196" s="13">
        <v>25568.708333333332</v>
      </c>
      <c r="G196" s="7">
        <v>15</v>
      </c>
      <c r="H196" s="22" t="s">
        <v>744</v>
      </c>
      <c r="I196" s="13">
        <v>25568.708333333332</v>
      </c>
      <c r="J196" s="7">
        <v>1</v>
      </c>
      <c r="K196" s="109" t="str">
        <f t="shared" si="142"/>
        <v>4031/4032</v>
      </c>
      <c r="L196" s="22" t="str">
        <f>VLOOKUP(A196,'Trips&amp;Operators'!$C$1:$G$99999,5,FALSE)</f>
        <v>KILLION DAVID</v>
      </c>
      <c r="M196" s="6">
        <f t="shared" si="143"/>
        <v>0</v>
      </c>
      <c r="N196" s="7">
        <f t="shared" si="144"/>
        <v>0</v>
      </c>
      <c r="O196" s="7"/>
      <c r="P196" s="7"/>
      <c r="Q196" s="23"/>
      <c r="R196" s="23"/>
      <c r="S196" s="35">
        <f t="shared" si="145"/>
        <v>0</v>
      </c>
      <c r="T196" s="50" t="str">
        <f t="shared" si="14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17:39:59-700',mode:absolute,to:'1969-12-31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6" s="52" t="str">
        <f t="shared" si="148"/>
        <v>Y</v>
      </c>
      <c r="X196" s="177">
        <f t="shared" si="149"/>
        <v>0</v>
      </c>
      <c r="Y196" s="67">
        <f t="shared" si="150"/>
        <v>2.3346</v>
      </c>
      <c r="Z196" s="67">
        <f t="shared" si="151"/>
        <v>2.3346</v>
      </c>
      <c r="AA196" s="67">
        <f t="shared" si="152"/>
        <v>0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153"/>
        <v>0303-24</v>
      </c>
      <c r="AE196" s="91" t="str">
        <f t="shared" si="154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6" s="88" t="str">
        <f t="shared" si="155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6" s="1" t="str">
        <f t="shared" si="156"/>
        <v>Other</v>
      </c>
      <c r="AH196" s="92" t="str">
        <f t="shared" si="110"/>
        <v>"%USERPROFILE%\Documents\GitHub\eaglep3\Utilities\RefineRTDCRunTimes.py" --tripid 303-24 --locoid 4031 --swversion DE.1.0.8.0 --startMP 300:23346 --initTime 2016-12-24T18:39:59 --startdatetime 1969-12-31T17:00:00 --delay 15 --endMP 300:23346 --enddatetime 1969-12-31T17:00:00 --enforcementcount 1 &gt;&gt;C:\Users\stu\Documents\GitHub\eaglep3-reporting\EC\2016-12-24-refined-times.txt</v>
      </c>
      <c r="AI196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ID","value":"303-24"},{"id":16,"name":"Locomotive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606</v>
      </c>
      <c r="B197" s="7">
        <v>4042</v>
      </c>
      <c r="C197" s="22" t="s">
        <v>205</v>
      </c>
      <c r="D197" s="22" t="s">
        <v>275</v>
      </c>
      <c r="E197" s="13">
        <v>42728.796469907407</v>
      </c>
      <c r="F197" s="13">
        <v>25568.708333333332</v>
      </c>
      <c r="G197" s="7">
        <v>1</v>
      </c>
      <c r="H197" s="22" t="s">
        <v>745</v>
      </c>
      <c r="I197" s="13">
        <v>25568.708333333332</v>
      </c>
      <c r="J197" s="7">
        <v>1</v>
      </c>
      <c r="K197" s="109" t="str">
        <f t="shared" si="142"/>
        <v>4041/4042</v>
      </c>
      <c r="L197" s="22" t="str">
        <f>VLOOKUP(A197,'Trips&amp;Operators'!$C$1:$G$99999,5,FALSE)</f>
        <v>ADANE ELSHADAY</v>
      </c>
      <c r="M197" s="6">
        <f t="shared" si="143"/>
        <v>0</v>
      </c>
      <c r="N197" s="7">
        <f t="shared" si="144"/>
        <v>0</v>
      </c>
      <c r="O197" s="7"/>
      <c r="P197" s="7"/>
      <c r="Q197" s="23"/>
      <c r="R197" s="23"/>
      <c r="S197" s="35">
        <f t="shared" si="145"/>
        <v>1</v>
      </c>
      <c r="T197" s="50" t="str">
        <f t="shared" si="146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18:06:55-700',mode:absolute,to:'1969-12-31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7" s="52" t="str">
        <f t="shared" si="148"/>
        <v>Y</v>
      </c>
      <c r="X197" s="177">
        <f t="shared" si="149"/>
        <v>2</v>
      </c>
      <c r="Y197" s="67">
        <f t="shared" si="150"/>
        <v>4.3999999999999997E-2</v>
      </c>
      <c r="Z197" s="67">
        <f t="shared" si="151"/>
        <v>2.3290999999999999</v>
      </c>
      <c r="AA197" s="67">
        <f t="shared" si="152"/>
        <v>2.2850999999999999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153"/>
        <v>0305-24</v>
      </c>
      <c r="AE197" s="91" t="str">
        <f t="shared" si="154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7" s="88" t="str">
        <f t="shared" si="155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7" s="1" t="str">
        <f t="shared" si="156"/>
        <v>Other</v>
      </c>
      <c r="AH197" s="92" t="str">
        <f t="shared" si="110"/>
        <v>"%USERPROFILE%\Documents\GitHub\eaglep3\Utilities\RefineRTDCRunTimes.py" --tripid 305-24 --locoid 4042 --swversion DE.1.0.8.0 --startMP 204:440 --initTime 2016-12-24T19:06:55 --startdatetime 1969-12-31T17:00:00 --delay 1 --endMP 300:23291 --enddatetime 1969-12-31T17:00:00 --enforcementcount 1 &gt;&gt;C:\Users\stu\Documents\GitHub\eaglep3-reporting\EC\2016-12-24-refined-times.txt</v>
      </c>
      <c r="AI197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{"issue":{"subject":"","project_id":79,"tracker_id":40,"status_id":1,"priority_id":2,"assigned_to_id":23,"start_date":"1969-12-31","description":"","custom_fields":[{"id":1,"name":"Subdivision","value":"Other"},{"id":4,"name":"Milepost","value":"2.3291"},{"id":17,"name":"Train ID","value":"305-24"},{"id":16,"name":"Locomotive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457</v>
      </c>
      <c r="B198" s="7">
        <v>4017</v>
      </c>
      <c r="C198" s="22" t="s">
        <v>205</v>
      </c>
      <c r="D198" s="22" t="s">
        <v>746</v>
      </c>
      <c r="E198" s="13">
        <v>42728.160891203705</v>
      </c>
      <c r="F198" s="13">
        <v>42728.162418981483</v>
      </c>
      <c r="G198" s="7">
        <v>1</v>
      </c>
      <c r="H198" s="22" t="s">
        <v>747</v>
      </c>
      <c r="I198" s="13">
        <v>42728.16915509259</v>
      </c>
      <c r="J198" s="7">
        <v>1</v>
      </c>
      <c r="K198" s="109" t="str">
        <f t="shared" si="142"/>
        <v>4017/4018</v>
      </c>
      <c r="L198" s="22" t="str">
        <f>VLOOKUP(A198,'Trips&amp;Operators'!$C$1:$G$99999,5,FALSE)</f>
        <v>MAHAN DUANE</v>
      </c>
      <c r="M198" s="6">
        <f t="shared" si="143"/>
        <v>6.7361111068748869E-3</v>
      </c>
      <c r="N198" s="7">
        <f t="shared" si="144"/>
        <v>9.6999999938998371</v>
      </c>
      <c r="O198" s="7"/>
      <c r="P198" s="7"/>
      <c r="Q198" s="23"/>
      <c r="R198" s="23"/>
      <c r="S198" s="35">
        <f t="shared" si="145"/>
        <v>1</v>
      </c>
      <c r="T198" s="50" t="str">
        <f t="shared" si="146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02:51:41-700',mode:absolute,to:'2016-12-24 05:03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8" s="52" t="str">
        <f t="shared" si="148"/>
        <v>Y</v>
      </c>
      <c r="X198" s="177">
        <f t="shared" si="149"/>
        <v>1</v>
      </c>
      <c r="Y198" s="67">
        <f t="shared" si="150"/>
        <v>2.2873999999999999</v>
      </c>
      <c r="Z198" s="67">
        <f t="shared" si="151"/>
        <v>1.32E-2</v>
      </c>
      <c r="AA198" s="67">
        <f t="shared" si="152"/>
        <v>2.2742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153"/>
        <v>0306-24</v>
      </c>
      <c r="AE198" s="91" t="str">
        <f t="shared" si="154"/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AF198" s="88" t="str">
        <f t="shared" si="155"/>
        <v>"C:\Program Files (x86)\AstroGrep\AstroGrep.exe" /spath="%USERPROFILE%\AppData\Local\Temp\OnboardLogs" /stypes="app*4017*20161224*" /stext=" 11:.+((SYSTEM_STATE.+slice.+state.+changed )|(ment ac)|(multiple cpu faults)|(system.+state.+changed )|(\[timeout)|(PRM\|1\|D)|(kpr)|(kdp)|(\|lc)|(penalty))" /e /r /s</v>
      </c>
      <c r="AG198" s="1" t="str">
        <f t="shared" si="156"/>
        <v>Other</v>
      </c>
      <c r="AH198" s="92" t="str">
        <f t="shared" si="110"/>
        <v>"%USERPROFILE%\Documents\GitHub\eaglep3\Utilities\RefineRTDCRunTimes.py" --tripid 306-24 --locoid 4017 --swversion DE.1.0.8.0 --startMP 300:22874 --initTime 2016-12-24T03:51:41 --startdatetime 2016-12-24T03:53:53 --delay 1 --endMP 204:132 --enddatetime 2016-12-24T04:03:35 --enforcementcount 1 &gt;&gt;C:\Users\stu\Documents\GitHub\eaglep3-reporting\EC\2016-12-24-refined-times.txt</v>
      </c>
      <c r="AI198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{"issue":{"subject":"","project_id":79,"tracker_id":40,"status_id":1,"priority_id":2,"assigned_to_id":23,"start_date":"2016-12-24","description":"","custom_fields":[{"id":1,"name":"Subdivision","value":"Other"},{"id":4,"name":"Milepost","value":"0.0132"},{"id":17,"name":"Train ID","value":"306-24"},{"id":16,"name":"Locomotive ID","value":"4017"},{"id":130,"name":"Impact","value":""},{"id":150,"name":"Time of Event (Mountain Time)","value":"04:03:35"},{"id":151,"name":"Denver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610</v>
      </c>
      <c r="B199" s="7">
        <v>4018</v>
      </c>
      <c r="C199" s="22" t="s">
        <v>205</v>
      </c>
      <c r="D199" s="22" t="s">
        <v>241</v>
      </c>
      <c r="E199" s="13">
        <v>42728.819039351853</v>
      </c>
      <c r="F199" s="13">
        <v>25568.708333333332</v>
      </c>
      <c r="G199" s="7">
        <v>1</v>
      </c>
      <c r="H199" s="22" t="s">
        <v>748</v>
      </c>
      <c r="I199" s="13">
        <v>25568.708333333332</v>
      </c>
      <c r="J199" s="7">
        <v>1</v>
      </c>
      <c r="K199" s="109" t="str">
        <f t="shared" si="142"/>
        <v>4017/4018</v>
      </c>
      <c r="L199" s="22" t="str">
        <f>VLOOKUP(A199,'Trips&amp;Operators'!$C$1:$G$99999,5,FALSE)</f>
        <v>BRANNON JEFFREY</v>
      </c>
      <c r="M199" s="6">
        <f t="shared" si="143"/>
        <v>0</v>
      </c>
      <c r="N199" s="7">
        <f t="shared" si="144"/>
        <v>0</v>
      </c>
      <c r="O199" s="7"/>
      <c r="P199" s="7"/>
      <c r="Q199" s="23"/>
      <c r="R199" s="23"/>
      <c r="S199" s="35">
        <f t="shared" si="145"/>
        <v>1</v>
      </c>
      <c r="T199" s="50" t="str">
        <f t="shared" si="146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18:39:25-700',mode:absolute,to:'1969-12-31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52" t="str">
        <f t="shared" si="148"/>
        <v>Y</v>
      </c>
      <c r="X199" s="177">
        <f t="shared" si="149"/>
        <v>1</v>
      </c>
      <c r="Y199" s="67">
        <f t="shared" si="150"/>
        <v>4.58E-2</v>
      </c>
      <c r="Z199" s="67">
        <f t="shared" si="151"/>
        <v>2.3319999999999999</v>
      </c>
      <c r="AA199" s="67">
        <f t="shared" si="152"/>
        <v>2.2862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153"/>
        <v>0307-24</v>
      </c>
      <c r="AE199" s="91" t="str">
        <f t="shared" si="15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199" s="88" t="str">
        <f t="shared" si="155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199" s="1" t="str">
        <f t="shared" si="156"/>
        <v>Other</v>
      </c>
      <c r="AH199" s="92" t="str">
        <f t="shared" si="110"/>
        <v>"%USERPROFILE%\Documents\GitHub\eaglep3\Utilities\RefineRTDCRunTimes.py" --tripid 307-24 --locoid 4018 --swversion DE.1.0.8.0 --startMP 204:458 --initTime 2016-12-24T19:39:25 --startdatetime 1969-12-31T17:00:00 --delay 1 --endMP 300:23320 --enddatetime 1969-12-31T17:00:00 --enforcementcount 1 &gt;&gt;C:\Users\stu\Documents\GitHub\eaglep3-reporting\EC\2016-12-24-refined-times.txt</v>
      </c>
      <c r="AI199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ID","value":"307-24"},{"id":16,"name":"Locomotive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s="21" customFormat="1" x14ac:dyDescent="0.25">
      <c r="A200" s="37" t="s">
        <v>462</v>
      </c>
      <c r="B200" s="7">
        <v>4012</v>
      </c>
      <c r="C200" s="22" t="s">
        <v>205</v>
      </c>
      <c r="D200" s="22" t="s">
        <v>749</v>
      </c>
      <c r="E200" s="13">
        <v>42728.174444444441</v>
      </c>
      <c r="F200" s="13">
        <v>42728.175659722219</v>
      </c>
      <c r="G200" s="7">
        <v>1</v>
      </c>
      <c r="H200" s="22" t="s">
        <v>400</v>
      </c>
      <c r="I200" s="13">
        <v>42728.181979166664</v>
      </c>
      <c r="J200" s="7">
        <v>1</v>
      </c>
      <c r="K200" s="109" t="str">
        <f t="shared" si="142"/>
        <v>4011/4012</v>
      </c>
      <c r="L200" s="22" t="str">
        <f>VLOOKUP(A200,'Trips&amp;Operators'!$C$1:$G$99999,5,FALSE)</f>
        <v>DAVIS WENDY</v>
      </c>
      <c r="M200" s="6">
        <f t="shared" si="143"/>
        <v>6.3194444446708076E-3</v>
      </c>
      <c r="N200" s="7">
        <f t="shared" si="144"/>
        <v>9.1000000003259629</v>
      </c>
      <c r="O200" s="7"/>
      <c r="P200" s="7"/>
      <c r="Q200" s="23"/>
      <c r="R200" s="23"/>
      <c r="S200" s="35">
        <f t="shared" si="145"/>
        <v>1</v>
      </c>
      <c r="T200" s="50" t="str">
        <f t="shared" si="146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03:11:12-700',mode:absolute,to:'2016-12-24 05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0" s="52" t="str">
        <f t="shared" si="148"/>
        <v>Y</v>
      </c>
      <c r="X200" s="177">
        <f t="shared" si="149"/>
        <v>1</v>
      </c>
      <c r="Y200" s="67">
        <f t="shared" si="150"/>
        <v>2.3247</v>
      </c>
      <c r="Z200" s="67">
        <f t="shared" si="151"/>
        <v>1.3599999999999999E-2</v>
      </c>
      <c r="AA200" s="67">
        <f t="shared" si="152"/>
        <v>2.3111000000000002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153"/>
        <v>0308-24</v>
      </c>
      <c r="AE200" s="91" t="str">
        <f t="shared" si="154"/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AF200" s="88" t="str">
        <f t="shared" si="155"/>
        <v>"C:\Program Files (x86)\AstroGrep\AstroGrep.exe" /spath="%USERPROFILE%\AppData\Local\Temp\OnboardLogs" /stypes="app*4012*20161224*" /stext=" 11:.+((SYSTEM_STATE.+slice.+state.+changed )|(ment ac)|(multiple cpu faults)|(system.+state.+changed )|(\[timeout)|(PRM\|1\|D)|(kpr)|(kdp)|(\|lc)|(penalty))" /e /r /s</v>
      </c>
      <c r="AG200" s="1" t="str">
        <f t="shared" si="156"/>
        <v>Other</v>
      </c>
      <c r="AH200" s="92" t="str">
        <f t="shared" si="110"/>
        <v>"%USERPROFILE%\Documents\GitHub\eaglep3\Utilities\RefineRTDCRunTimes.py" --tripid 308-24 --locoid 4012 --swversion DE.1.0.8.0 --startMP 300:23247 --initTime 2016-12-24T04:11:12 --startdatetime 2016-12-24T04:12:57 --delay 1 --endMP 204:136 --enddatetime 2016-12-24T04:22:03 --enforcementcount 1 &gt;&gt;C:\Users\stu\Documents\GitHub\eaglep3-reporting\EC\2016-12-24-refined-times.txt</v>
      </c>
      <c r="AI200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{"issue":{"subject":"","project_id":79,"tracker_id":40,"status_id":1,"priority_id":2,"assigned_to_id":23,"start_date":"2016-12-24","description":"","custom_fields":[{"id":1,"name":"Subdivision","value":"Other"},{"id":4,"name":"Milepost","value":"0.0136"},{"id":17,"name":"Train ID","value":"308-24"},{"id":16,"name":"Locomotive ID","value":"4012"},{"id":130,"name":"Impact","value":""},{"id":150,"name":"Time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635</v>
      </c>
      <c r="B201" s="7">
        <v>4044</v>
      </c>
      <c r="C201" s="22" t="s">
        <v>205</v>
      </c>
      <c r="D201" s="22" t="s">
        <v>750</v>
      </c>
      <c r="E201" s="13">
        <v>42729.050810185188</v>
      </c>
      <c r="F201" s="13">
        <v>25568.708333333332</v>
      </c>
      <c r="G201" s="7">
        <v>5</v>
      </c>
      <c r="H201" s="22" t="s">
        <v>751</v>
      </c>
      <c r="I201" s="13">
        <v>25568.708333333332</v>
      </c>
      <c r="J201" s="7">
        <v>1</v>
      </c>
      <c r="K201" s="109" t="str">
        <f t="shared" si="142"/>
        <v>4043/4044</v>
      </c>
      <c r="L201" s="22" t="str">
        <f>VLOOKUP(A201,'Trips&amp;Operators'!$C$1:$G$99999,5,FALSE)</f>
        <v>BROWN JACOB</v>
      </c>
      <c r="M201" s="6">
        <f t="shared" si="143"/>
        <v>0</v>
      </c>
      <c r="N201" s="7">
        <f t="shared" si="144"/>
        <v>0</v>
      </c>
      <c r="O201" s="7"/>
      <c r="P201" s="7"/>
      <c r="Q201" s="23"/>
      <c r="R201" s="23"/>
      <c r="S201" s="35">
        <f t="shared" si="145"/>
        <v>1</v>
      </c>
      <c r="T201" s="50" t="str">
        <f t="shared" si="146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00:13:10-700',mode:absolute,to:'1969-12-31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52" t="str">
        <f t="shared" si="148"/>
        <v>Y</v>
      </c>
      <c r="X201" s="177">
        <f t="shared" si="149"/>
        <v>1</v>
      </c>
      <c r="Y201" s="67">
        <f t="shared" si="150"/>
        <v>4.41E-2</v>
      </c>
      <c r="Z201" s="67">
        <f t="shared" si="151"/>
        <v>2.3096000000000001</v>
      </c>
      <c r="AA201" s="67">
        <f t="shared" si="152"/>
        <v>2.2655000000000003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153"/>
        <v>0309-24</v>
      </c>
      <c r="AE201" s="91" t="str">
        <f t="shared" si="154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1" s="88" t="str">
        <f t="shared" si="155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1" s="1" t="str">
        <f t="shared" si="156"/>
        <v>Other</v>
      </c>
      <c r="AH201" s="92" t="str">
        <f t="shared" si="110"/>
        <v>"%USERPROFILE%\Documents\GitHub\eaglep3\Utilities\RefineRTDCRunTimes.py" --tripid 309-24 --locoid 4044 --swversion DE.1.0.8.0 --startMP 204:441 --initTime 2016-12-25T01:13:10 --startdatetime 1969-12-31T17:00:00 --delay 5 --endMP 300:23096 --enddatetime 1969-12-31T17:00:00 --enforcementcount 1 &gt;&gt;C:\Users\stu\Documents\GitHub\eaglep3-reporting\EC\2016-12-24-refined-times.txt</v>
      </c>
      <c r="AI201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{"issue":{"subject":"","project_id":79,"tracker_id":40,"status_id":1,"priority_id":2,"assigned_to_id":23,"start_date":"1969-12-31","description":"","custom_fields":[{"id":1,"name":"Subdivision","value":"Other"},{"id":4,"name":"Milepost","value":"2.3096"},{"id":17,"name":"Train ID","value":"309-24"},{"id":16,"name":"Locomotive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463</v>
      </c>
      <c r="B202" s="7">
        <v>4032</v>
      </c>
      <c r="C202" s="22" t="s">
        <v>205</v>
      </c>
      <c r="D202" s="22" t="s">
        <v>752</v>
      </c>
      <c r="E202" s="13">
        <v>42728.177685185183</v>
      </c>
      <c r="F202" s="13">
        <v>42728.180925925924</v>
      </c>
      <c r="G202" s="7">
        <v>4</v>
      </c>
      <c r="H202" s="22" t="s">
        <v>260</v>
      </c>
      <c r="I202" s="13">
        <v>42728.191851851851</v>
      </c>
      <c r="J202" s="7">
        <v>1</v>
      </c>
      <c r="K202" s="109" t="str">
        <f t="shared" si="142"/>
        <v>4031/4032</v>
      </c>
      <c r="L202" s="22" t="str">
        <f>VLOOKUP(A202,'Trips&amp;Operators'!$C$1:$G$99999,5,FALSE)</f>
        <v>OUN ZACK</v>
      </c>
      <c r="M202" s="6">
        <f t="shared" si="143"/>
        <v>1.0925925926130731E-2</v>
      </c>
      <c r="N202" s="7">
        <f t="shared" si="144"/>
        <v>15.733333333628252</v>
      </c>
      <c r="O202" s="7"/>
      <c r="P202" s="7"/>
      <c r="Q202" s="23"/>
      <c r="R202" s="23"/>
      <c r="S202" s="35">
        <f t="shared" si="145"/>
        <v>1</v>
      </c>
      <c r="T202" s="50" t="str">
        <f t="shared" si="146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03:15:52-700',mode:absolute,to:'2016-12-24 05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2" s="52" t="str">
        <f t="shared" si="148"/>
        <v>Y</v>
      </c>
      <c r="X202" s="177">
        <f t="shared" si="149"/>
        <v>1</v>
      </c>
      <c r="Y202" s="67">
        <f t="shared" si="150"/>
        <v>2.3235000000000001</v>
      </c>
      <c r="Z202" s="67">
        <f t="shared" si="151"/>
        <v>1.3899999999999999E-2</v>
      </c>
      <c r="AA202" s="67">
        <f t="shared" si="152"/>
        <v>2.3096000000000001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153"/>
        <v>0310-24</v>
      </c>
      <c r="AE202" s="91" t="str">
        <f t="shared" si="154"/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AF202" s="88" t="str">
        <f t="shared" si="155"/>
        <v>"C:\Program Files (x86)\AstroGrep\AstroGrep.exe" /spath="%USERPROFILE%\AppData\Local\Temp\OnboardLogs" /stypes="app*4032*20161224*" /stext=" 11:.+((SYSTEM_STATE.+slice.+state.+changed )|(ment ac)|(multiple cpu faults)|(system.+state.+changed )|(\[timeout)|(PRM\|1\|D)|(kpr)|(kdp)|(\|lc)|(penalty))" /e /r /s</v>
      </c>
      <c r="AG202" s="1" t="str">
        <f t="shared" si="156"/>
        <v>Other</v>
      </c>
      <c r="AH202" s="92" t="str">
        <f t="shared" si="110"/>
        <v>"%USERPROFILE%\Documents\GitHub\eaglep3\Utilities\RefineRTDCRunTimes.py" --tripid 310-24 --locoid 4032 --swversion DE.1.0.8.0 --startMP 300:23235 --initTime 2016-12-24T04:15:52 --startdatetime 2016-12-24T04:20:32 --delay 4 --endMP 204:139 --enddatetime 2016-12-24T04:36:16 --enforcementcount 1 &gt;&gt;C:\Users\stu\Documents\GitHub\eaglep3-reporting\EC\2016-12-24-refined-times.txt</v>
      </c>
      <c r="AI202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{"issue":{"subject":"","project_id":79,"tracker_id":40,"status_id":1,"priority_id":2,"assigned_to_id":23,"start_date":"2016-12-24","description":"","custom_fields":[{"id":1,"name":"Subdivision","value":"Other"},{"id":4,"name":"Milepost","value":"0.0139"},{"id":17,"name":"Train ID","value":"310-24"},{"id":16,"name":"Locomotive ID","value":"4032"},{"id":130,"name":"Impact","value":""},{"id":150,"name":"Time of Event (Mountain Time)","value":"04:36:16"},{"id":151,"name":"Denver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381</v>
      </c>
      <c r="B203" s="7">
        <v>4051</v>
      </c>
      <c r="C203" s="22" t="s">
        <v>205</v>
      </c>
      <c r="D203" s="22" t="s">
        <v>416</v>
      </c>
      <c r="E203" s="13">
        <v>42728.09002314815</v>
      </c>
      <c r="F203" s="13">
        <v>25568.708333333332</v>
      </c>
      <c r="G203" s="7">
        <v>1</v>
      </c>
      <c r="H203" s="22" t="s">
        <v>417</v>
      </c>
      <c r="I203" s="13">
        <v>25568.708333333332</v>
      </c>
      <c r="J203" s="7">
        <v>1</v>
      </c>
      <c r="K203" s="109" t="str">
        <f t="shared" si="142"/>
        <v>4051/4052</v>
      </c>
      <c r="L203" s="22" t="str">
        <f>VLOOKUP(A203,'Trips&amp;Operators'!$C$1:$G$99999,5,FALSE)</f>
        <v>HILLS DUSTIN</v>
      </c>
      <c r="M203" s="6">
        <f t="shared" si="143"/>
        <v>0</v>
      </c>
      <c r="N203" s="7">
        <f t="shared" si="144"/>
        <v>0</v>
      </c>
      <c r="O203" s="7"/>
      <c r="P203" s="7"/>
      <c r="Q203" s="23"/>
      <c r="R203" s="23"/>
      <c r="S203" s="35">
        <f t="shared" si="145"/>
        <v>1</v>
      </c>
      <c r="T203" s="50" t="str">
        <f t="shared" si="146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01:09:38-700',mode:absolute,to:'1969-12-31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3" s="52" t="str">
        <f t="shared" si="148"/>
        <v>Y</v>
      </c>
      <c r="X203" s="177">
        <f t="shared" si="149"/>
        <v>3</v>
      </c>
      <c r="Y203" s="67">
        <f t="shared" si="150"/>
        <v>4.2900000000000001E-2</v>
      </c>
      <c r="Z203" s="67">
        <f t="shared" si="151"/>
        <v>2.3308</v>
      </c>
      <c r="AA203" s="67">
        <f t="shared" si="152"/>
        <v>2.2879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153"/>
        <v>0313-23</v>
      </c>
      <c r="AE203" s="91" t="str">
        <f t="shared" si="154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03" s="88" t="str">
        <f t="shared" si="155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03" s="1" t="str">
        <f t="shared" si="156"/>
        <v>Other</v>
      </c>
      <c r="AH203" s="92" t="str">
        <f t="shared" si="110"/>
        <v>"%USERPROFILE%\Documents\GitHub\eaglep3\Utilities\RefineRTDCRunTimes.py" --tripid 313-23 --locoid 4051 --swversion DE.1.0.8.0 --startMP 204:429 --initTime 2016-12-24T02:09:38 --startdatetime 1969-12-31T17:00:00 --delay 1 --endMP 300:23308 --enddatetime 1969-12-31T17:00:00 --enforcementcount 1 &gt;&gt;C:\Users\stu\Documents\GitHub\eaglep3-reporting\EC\2016-12-24-refined-times.txt</v>
      </c>
      <c r="AI203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ID","value":"313-23"},{"id":16,"name":"Locomotive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639</v>
      </c>
      <c r="B204" s="7">
        <v>4003</v>
      </c>
      <c r="C204" s="22" t="s">
        <v>205</v>
      </c>
      <c r="D204" s="22" t="s">
        <v>255</v>
      </c>
      <c r="E204" s="13">
        <v>42729.090185185189</v>
      </c>
      <c r="F204" s="13">
        <v>25568.708333333332</v>
      </c>
      <c r="G204" s="7">
        <v>1</v>
      </c>
      <c r="H204" s="22" t="s">
        <v>419</v>
      </c>
      <c r="I204" s="13">
        <v>25568.708333333332</v>
      </c>
      <c r="J204" s="7">
        <v>1</v>
      </c>
      <c r="K204" s="109" t="str">
        <f t="shared" si="142"/>
        <v>4003/4004</v>
      </c>
      <c r="L204" s="22" t="str">
        <f>VLOOKUP(A204,'Trips&amp;Operators'!$C$1:$G$99999,5,FALSE)</f>
        <v>SMITH MICHAEL</v>
      </c>
      <c r="M204" s="6">
        <f t="shared" si="143"/>
        <v>0</v>
      </c>
      <c r="N204" s="7">
        <f t="shared" si="144"/>
        <v>0</v>
      </c>
      <c r="O204" s="7"/>
      <c r="P204" s="7"/>
      <c r="Q204" s="23"/>
      <c r="R204" s="23"/>
      <c r="S204" s="35">
        <f t="shared" si="145"/>
        <v>1</v>
      </c>
      <c r="T204" s="50" t="str">
        <f t="shared" si="14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si="148"/>
        <v>Y</v>
      </c>
      <c r="X204" s="177">
        <f t="shared" si="149"/>
        <v>0</v>
      </c>
      <c r="Y204" s="67">
        <f t="shared" si="150"/>
        <v>4.6399999999999997E-2</v>
      </c>
      <c r="Z204" s="67">
        <f t="shared" si="151"/>
        <v>2.3304</v>
      </c>
      <c r="AA204" s="67">
        <f t="shared" si="152"/>
        <v>2.2839999999999998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153"/>
        <v>0313-24</v>
      </c>
      <c r="AE204" s="91" t="str">
        <f t="shared" si="15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4" s="88" t="str">
        <f t="shared" si="15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4" s="1" t="str">
        <f t="shared" si="156"/>
        <v>Other</v>
      </c>
      <c r="AH204" s="92" t="str">
        <f t="shared" si="110"/>
        <v>"%USERPROFILE%\Documents\GitHub\eaglep3\Utilities\RefineRTDCRunTimes.py" --tripid 313-24 --locoid 4003 --swversion DE.1.0.8.0 --startMP 204:464 --initTime 2016-12-25T02:09:52 --startdatetime 1969-12-31T17:00:00 --delay 1 --endMP 300:23304 --enddatetime 1969-12-31T17:00:00 --enforcementcount 1 &gt;&gt;C:\Users\stu\Documents\GitHub\eaglep3-reporting\EC\2016-12-24-refined-times.txt</v>
      </c>
      <c r="AI204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639</v>
      </c>
      <c r="B205" s="7">
        <v>4003</v>
      </c>
      <c r="C205" s="22" t="s">
        <v>205</v>
      </c>
      <c r="D205" s="22" t="s">
        <v>753</v>
      </c>
      <c r="E205" s="13">
        <v>42729.090185185189</v>
      </c>
      <c r="F205" s="13">
        <v>25568.708333333332</v>
      </c>
      <c r="G205" s="7">
        <v>11</v>
      </c>
      <c r="H205" s="22" t="s">
        <v>419</v>
      </c>
      <c r="I205" s="13">
        <v>25568.708333333332</v>
      </c>
      <c r="J205" s="7">
        <v>1</v>
      </c>
      <c r="K205" s="109" t="str">
        <f t="shared" si="142"/>
        <v>4003/4004</v>
      </c>
      <c r="L205" s="22" t="str">
        <f>VLOOKUP(A205,'Trips&amp;Operators'!$C$1:$G$99999,5,FALSE)</f>
        <v>SMITH MICHAEL</v>
      </c>
      <c r="M205" s="6">
        <f t="shared" si="143"/>
        <v>0</v>
      </c>
      <c r="N205" s="7">
        <f t="shared" si="144"/>
        <v>0</v>
      </c>
      <c r="O205" s="7"/>
      <c r="P205" s="7"/>
      <c r="Q205" s="23"/>
      <c r="R205" s="23"/>
      <c r="S205" s="35">
        <f t="shared" si="145"/>
        <v>0</v>
      </c>
      <c r="T205" s="50" t="str">
        <f t="shared" si="146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5" s="52" t="str">
        <f t="shared" si="148"/>
        <v>Y</v>
      </c>
      <c r="X205" s="177">
        <f t="shared" si="149"/>
        <v>0</v>
      </c>
      <c r="Y205" s="67">
        <f t="shared" si="150"/>
        <v>2.3273999999999999</v>
      </c>
      <c r="Z205" s="67">
        <f t="shared" si="151"/>
        <v>2.3304</v>
      </c>
      <c r="AA205" s="67">
        <f t="shared" si="152"/>
        <v>3.0000000000001137E-3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153"/>
        <v>0313-24</v>
      </c>
      <c r="AE205" s="91" t="str">
        <f t="shared" si="154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5" s="88" t="str">
        <f t="shared" si="155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5" s="1" t="str">
        <f t="shared" si="156"/>
        <v>Other</v>
      </c>
      <c r="AH205" s="92" t="str">
        <f t="shared" si="110"/>
        <v>"%USERPROFILE%\Documents\GitHub\eaglep3\Utilities\RefineRTDCRunTimes.py" --tripid 313-24 --locoid 4003 --swversion DE.1.0.8.0 --startMP 300:23274 --initTime 2016-12-25T02:09:52 --startdatetime 1969-12-31T17:00:00 --delay 11 --endMP 300:23304 --enddatetime 1969-12-31T17:00:00 --enforcementcount 1 &gt;&gt;C:\Users\stu\Documents\GitHub\eaglep3-reporting\EC\2016-12-24-refined-times.txt</v>
      </c>
      <c r="AI205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382</v>
      </c>
      <c r="B206" s="7">
        <v>4025</v>
      </c>
      <c r="C206" s="22" t="s">
        <v>205</v>
      </c>
      <c r="D206" s="22" t="s">
        <v>408</v>
      </c>
      <c r="E206" s="13">
        <v>42728.111458333333</v>
      </c>
      <c r="F206" s="13">
        <v>25568.708333333332</v>
      </c>
      <c r="G206" s="7">
        <v>1</v>
      </c>
      <c r="H206" s="22" t="s">
        <v>418</v>
      </c>
      <c r="I206" s="13">
        <v>25568.708333333332</v>
      </c>
      <c r="J206" s="7">
        <v>1</v>
      </c>
      <c r="K206" s="109" t="str">
        <f t="shared" si="142"/>
        <v>4025/4026</v>
      </c>
      <c r="L206" s="22" t="str">
        <f>VLOOKUP(A206,'Trips&amp;Operators'!$C$1:$G$99999,5,FALSE)</f>
        <v>BROWN JACOB</v>
      </c>
      <c r="M206" s="6">
        <f t="shared" si="143"/>
        <v>0</v>
      </c>
      <c r="N206" s="7">
        <f t="shared" si="144"/>
        <v>0</v>
      </c>
      <c r="O206" s="7"/>
      <c r="P206" s="7"/>
      <c r="Q206" s="23"/>
      <c r="R206" s="23"/>
      <c r="S206" s="35">
        <f t="shared" si="145"/>
        <v>1</v>
      </c>
      <c r="T206" s="50" t="str">
        <f t="shared" si="146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01:40:30-700',mode:absolute,to:'1969-12-31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06" s="52" t="str">
        <f t="shared" si="148"/>
        <v>Y</v>
      </c>
      <c r="X206" s="177">
        <f t="shared" si="149"/>
        <v>2</v>
      </c>
      <c r="Y206" s="67">
        <f t="shared" si="150"/>
        <v>4.7800000000000002E-2</v>
      </c>
      <c r="Z206" s="67">
        <f t="shared" si="151"/>
        <v>2.3306</v>
      </c>
      <c r="AA206" s="67">
        <f t="shared" si="152"/>
        <v>2.2827999999999999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153"/>
        <v>0315-23</v>
      </c>
      <c r="AE206" s="91" t="str">
        <f t="shared" si="15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88" t="str">
        <f t="shared" si="155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06" s="1" t="str">
        <f t="shared" si="156"/>
        <v>Other</v>
      </c>
      <c r="AH206" s="92" t="str">
        <f t="shared" si="110"/>
        <v>"%USERPROFILE%\Documents\GitHub\eaglep3\Utilities\RefineRTDCRunTimes.py" --tripid 315-23 --locoid 4025 --swversion DE.1.0.8.0 --startMP 204:478 --initTime 2016-12-24T02:40:30 --startdatetime 1969-12-31T17:00:00 --delay 1 --endMP 300:23306 --enddatetime 1969-12-31T17:00:00 --enforcementcount 1 &gt;&gt;C:\Users\stu\Documents\GitHub\eaglep3-reporting\EC\2016-12-24-refined-times.txt</v>
      </c>
      <c r="AI206" s="119" t="str">
        <f t="shared" si="111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ID","value":"315-23"},{"id":16,"name":"Locomotive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471</v>
      </c>
      <c r="B207" s="7">
        <v>4027</v>
      </c>
      <c r="C207" s="22" t="s">
        <v>205</v>
      </c>
      <c r="D207" s="22" t="s">
        <v>715</v>
      </c>
      <c r="E207" s="13">
        <v>42728.218854166669</v>
      </c>
      <c r="F207" s="13">
        <v>42728.220254629632</v>
      </c>
      <c r="G207" s="7">
        <v>1</v>
      </c>
      <c r="H207" s="22" t="s">
        <v>423</v>
      </c>
      <c r="I207" s="13">
        <v>42728.228379629632</v>
      </c>
      <c r="J207" s="7">
        <v>1</v>
      </c>
      <c r="K207" s="109" t="str">
        <f t="shared" si="142"/>
        <v>4027/4028</v>
      </c>
      <c r="L207" s="22" t="str">
        <f>VLOOKUP(A207,'Trips&amp;Operators'!$C$1:$G$99999,5,FALSE)</f>
        <v>SHOOK JOHN</v>
      </c>
      <c r="M207" s="6">
        <f t="shared" si="143"/>
        <v>8.1250000002910383E-3</v>
      </c>
      <c r="N207" s="7">
        <f t="shared" si="144"/>
        <v>11.700000000419095</v>
      </c>
      <c r="O207" s="7"/>
      <c r="P207" s="7"/>
      <c r="Q207" s="23"/>
      <c r="R207" s="23"/>
      <c r="S207" s="35">
        <f t="shared" si="145"/>
        <v>0</v>
      </c>
      <c r="T207" s="50" t="str">
        <f t="shared" si="146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147"/>
        <v>https://search-rtdc-monitor-bjffxe2xuh6vdkpspy63sjmuny.us-east-1.es.amazonaws.com/_plugin/kibana/#/discover/Steve-Slow-Train-Analysis-(2080s-and-2083s)?_g=(refreshInterval:(display:Off,section:0,value:0),time:(from:'2016-12-24 04:15:09-700',mode:absolute,to:'2016-12-24 06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7" s="52" t="str">
        <f t="shared" si="148"/>
        <v>Y</v>
      </c>
      <c r="X207" s="177">
        <f t="shared" si="149"/>
        <v>1586</v>
      </c>
      <c r="Y207" s="67">
        <f t="shared" si="150"/>
        <v>2.9878</v>
      </c>
      <c r="Z207" s="67">
        <f t="shared" si="151"/>
        <v>5.8975</v>
      </c>
      <c r="AA207" s="67">
        <f t="shared" si="152"/>
        <v>2.9097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153"/>
        <v>1901-24</v>
      </c>
      <c r="AE207" s="91" t="str">
        <f t="shared" si="154"/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AF207" s="88" t="str">
        <f t="shared" si="155"/>
        <v>"C:\Program Files (x86)\AstroGrep\AstroGrep.exe" /spath="%USERPROFILE%\AppData\Local\Temp\OnboardLogs" /stypes="app*4027*20161224*" /stext=" 12:.+((SYSTEM_STATE.+slice.+state.+changed )|(ment ac)|(multiple cpu faults)|(system.+state.+changed )|(\[timeout)|(PRM\|1\|D)|(kpr)|(kdp)|(\|lc)|(penalty))" /e /r /s</v>
      </c>
      <c r="AG207" s="1" t="str">
        <f t="shared" si="156"/>
        <v>Other</v>
      </c>
      <c r="AH207" s="92" t="str">
        <f t="shared" si="110"/>
        <v>"%USERPROFILE%\Documents\GitHub\eaglep3\Utilities\RefineRTDCRunTimes.py" --tripid 1901-24 --locoid 4027 --swversion DE.1.0.8.0 --startMP 300:29878 --initTime 2016-12-24T05:15:09 --startdatetime 2016-12-24T05:17:10 --delay 1 --endMP 300:58975 --enddatetime 2016-12-24T05:28:52 --enforcementcount 1 &gt;&gt;C:\Users\stu\Documents\GitHub\eaglep3-reporting\EC\2016-12-24-refined-times.txt</v>
      </c>
      <c r="AI207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{"issue":{"subject":"","project_id":79,"tracker_id":40,"status_id":1,"priority_id":2,"assigned_to_id":23,"start_date":"2016-12-24","description":"","custom_fields":[{"id":1,"name":"Subdivision","value":"Other"},{"id":4,"name":"Milepost","value":"5.8975"},{"id":17,"name":"Train ID","value":"1901-24"},{"id":16,"name":"Locomotive ID","value":"4027"},{"id":130,"name":"Impact","value":""},{"id":150,"name":"Time of Event (Mountain Time)","value":"05:28:52"},{"id":151,"name":"Denver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625</v>
      </c>
      <c r="B208" s="7">
        <v>4028</v>
      </c>
      <c r="C208" s="22" t="s">
        <v>205</v>
      </c>
      <c r="D208" s="22" t="s">
        <v>716</v>
      </c>
      <c r="E208" s="13">
        <v>42728.942013888889</v>
      </c>
      <c r="F208" s="13">
        <v>42728.944097222222</v>
      </c>
      <c r="G208" s="7">
        <v>2</v>
      </c>
      <c r="H208" s="22" t="s">
        <v>717</v>
      </c>
      <c r="I208" s="13">
        <v>42728.949120370373</v>
      </c>
      <c r="J208" s="7">
        <v>1</v>
      </c>
      <c r="K208" s="109" t="str">
        <f t="shared" ref="K208:K215" si="157">IF(ISEVEN(B208),(B208-1)&amp;"/"&amp;B208,B208&amp;"/"&amp;(B208+1))</f>
        <v>4027/4028</v>
      </c>
      <c r="L208" s="22" t="str">
        <f>VLOOKUP(A208,'Trips&amp;Operators'!$C$1:$G$99999,5,FALSE)</f>
        <v>HELVIE ADAM</v>
      </c>
      <c r="M208" s="6">
        <f t="shared" ref="M208:M215" si="158">I208-F208</f>
        <v>5.02314815093996E-3</v>
      </c>
      <c r="N208" s="7">
        <f t="shared" ref="N208:N215" si="159">24*60*SUM($M208:$M208)</f>
        <v>7.2333333373535424</v>
      </c>
      <c r="O208" s="7"/>
      <c r="P208" s="7"/>
      <c r="Q208" s="23"/>
      <c r="R208" s="23"/>
      <c r="S208" s="35">
        <f t="shared" ref="S208:S215" si="160">SUM(U208:U208)/IF(AG208="EC",12,1)</f>
        <v>0</v>
      </c>
      <c r="T208" s="50" t="str">
        <f t="shared" ref="T208:T215" si="161">IF(ISEVEN(LEFT(AD208,4)),"Southbound","NorthBound")</f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ref="V208:V215" si="162"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https://search-rtdc-monitor-bjffxe2xuh6vdkpspy63sjmuny.us-east-1.es.amazonaws.com/_plugin/kibana/#/discover/Steve-Slow-Train-Analysis-(2080s-and-2083s)?_g=(refreshInterval:(display:Off,section:0,value:0),time:(from:'2016-12-24 21:36:30-700',mode:absolute,to:'2016-12-24 23:46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8" s="52" t="str">
        <f t="shared" ref="W208:W215" si="163">IF(AA208&lt;IF(AG208="EC",23,5.65),"Y","N")</f>
        <v>Y</v>
      </c>
      <c r="X208" s="177">
        <f t="shared" ref="X208:X215" si="164">VALUE(LEFT(AD208,4))-VALUE(LEFT(AD207,4))</f>
        <v>1</v>
      </c>
      <c r="Y208" s="67">
        <f t="shared" ref="Y208:Y215" si="165">RIGHT(D208,LEN(D208)-4)/10000</f>
        <v>5.8635999999999999</v>
      </c>
      <c r="Z208" s="67">
        <f t="shared" ref="Z208:Z215" si="166">RIGHT(H208,LEN(H208)-4)/10000</f>
        <v>2.1501999999999999</v>
      </c>
      <c r="AA208" s="67">
        <f t="shared" ref="AA208:AA215" si="167">ABS(Z208-Y208)</f>
        <v>3.7134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ref="AD208:AD215" si="168">IF(LEN(A208)=6,"0"&amp;A208,A208)</f>
        <v>1902-24</v>
      </c>
      <c r="AE208" s="91" t="str">
        <f t="shared" ref="AE208:AE215" si="169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 &amp; 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</v>
      </c>
      <c r="AF208" s="88" t="str">
        <f t="shared" ref="AF208:AF215" si="170"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/stypes="app*4028*20161225*" /stext=" 05:.+((SYSTEM_STATE.+slice.+state.+changed )|(ment ac)|(multiple cpu faults)|(system.+state.+changed )|(\[timeout)|(PRM\|1\|D)|(kpr)|(kdp)|(\|lc)|(penalty))" /e /r /s</v>
      </c>
      <c r="AG208" s="1" t="str">
        <f t="shared" ref="AG208:AG215" si="171">IFERROR(IF(VALUE(LEFT(AD208,2))&lt;=2,"EC",IF(OR(VALUE(LEFT(AD208,2))=8,VALUE(LEFT(AD208,2))=18),"NW","Other")),"Other")</f>
        <v>Other</v>
      </c>
      <c r="AH208" s="92" t="str">
        <f t="shared" si="110"/>
        <v>"%USERPROFILE%\Documents\GitHub\eaglep3\Utilities\RefineRTDCRunTimes.py" --tripid 1902-24 --locoid 4028 --swversion DE.1.0.8.0 --startMP 300:58636 --initTime 2016-12-24T22:36:30 --startdatetime 2016-12-24T22:39:30 --delay 2 --endMP 300:21502 --enddatetime 2016-12-24T22:46:44 --enforcementcount 1 &gt;&gt;C:\Users\stu\Documents\GitHub\eaglep3-reporting\EC\2016-12-24-refined-times.txt</v>
      </c>
      <c r="AI208" s="119" t="str">
        <f t="shared" si="111"/>
        <v>echo {"issue":{"subject":"","project_id":79,"tracker_id":40,"status_id":1,"priority_id":2,"assigned_to_id":23,"start_date":"2016-12-24","description":"","custom_fields":[{"id":1,"name":"Subdivision","value":"Other"},{"id":4,"name":"Milepost","value":"2.1502"},{"id":17,"name":"Train ID","value":"1902-24"},{"id":16,"name":"Locomotive ID","value":"4028"},{"id":130,"name":"Impact","value":""},{"id":150,"name":"Time of Event (Mountain Time)","value":"22:46:44"},{"id":151,"name":"Denver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443</v>
      </c>
      <c r="B209" s="7">
        <v>4054</v>
      </c>
      <c r="C209" s="22" t="s">
        <v>205</v>
      </c>
      <c r="D209" s="22" t="s">
        <v>754</v>
      </c>
      <c r="E209" s="13">
        <v>42728.473645833335</v>
      </c>
      <c r="F209" s="13">
        <v>42728.474722222221</v>
      </c>
      <c r="G209" s="7">
        <v>1</v>
      </c>
      <c r="H209" s="22" t="s">
        <v>755</v>
      </c>
      <c r="I209" s="13">
        <v>42728.480138888888</v>
      </c>
      <c r="J209" s="7">
        <v>1</v>
      </c>
      <c r="K209" s="109" t="str">
        <f t="shared" si="157"/>
        <v>4053/4054</v>
      </c>
      <c r="L209" s="22" t="str">
        <f>VLOOKUP(A209,'Trips&amp;Operators'!$C$1:$G$99999,5,FALSE)</f>
        <v>LEVIN SCOTT</v>
      </c>
      <c r="M209" s="6">
        <f t="shared" si="158"/>
        <v>5.4166666668606922E-3</v>
      </c>
      <c r="N209" s="7">
        <f t="shared" si="159"/>
        <v>7.8000000002793968</v>
      </c>
      <c r="O209" s="7"/>
      <c r="P209" s="7"/>
      <c r="Q209" s="23"/>
      <c r="R209" s="23"/>
      <c r="S209" s="35">
        <f t="shared" si="160"/>
        <v>0</v>
      </c>
      <c r="T209" s="50" t="e">
        <f t="shared" si="161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10:22:03-700',mode:absolute,to:'2016-12-24 12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9" s="52" t="str">
        <f t="shared" si="163"/>
        <v>Y</v>
      </c>
      <c r="X209" s="177" t="e">
        <f t="shared" si="164"/>
        <v>#VALUE!</v>
      </c>
      <c r="Y209" s="67">
        <f t="shared" si="165"/>
        <v>2.2082999999999999</v>
      </c>
      <c r="Z209" s="67">
        <f t="shared" si="166"/>
        <v>0.20799999999999999</v>
      </c>
      <c r="AA209" s="67">
        <f t="shared" si="167"/>
        <v>2.0002999999999997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168"/>
        <v>50-24</v>
      </c>
      <c r="AE209" s="91" t="str">
        <f t="shared" si="169"/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AF209" s="88" t="str">
        <f t="shared" si="170"/>
        <v>"C:\Program Files (x86)\AstroGrep\AstroGrep.exe" /spath="%USERPROFILE%\AppData\Local\Temp\OnboardLogs" /stypes="app*4054*20161224*" /stext=" 18:.+((SYSTEM_STATE.+slice.+state.+changed )|(ment ac)|(multiple cpu faults)|(system.+state.+changed )|(\[timeout)|(PRM\|1\|D)|(kpr)|(kdp)|(\|lc)|(penalty))" /e /r /s</v>
      </c>
      <c r="AG209" s="1" t="str">
        <f t="shared" si="171"/>
        <v>Other</v>
      </c>
      <c r="AH209" s="92" t="str">
        <f t="shared" ref="AH209:AH215" si="172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50-24 --locoid 4054 --swversion DE.1.0.8.0 --startMP 300:22083 --initTime 2016-12-24T11:22:03 --startdatetime 2016-12-24T11:23:36 --delay 1 --endMP 204:2080 --enddatetime 2016-12-24T11:31:24 --enforcementcount 1 &gt;&gt;C:\Users\stu\Documents\GitHub\eaglep3-reporting\EC\2016-12-24-refined-times.txt</v>
      </c>
      <c r="AI209" s="119" t="str">
        <f t="shared" ref="AI209:AI215" si="173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{"issue":{"subject":"","project_id":79,"tracker_id":40,"status_id":1,"priority_id":2,"assigned_to_id":23,"start_date":"2016-12-24","description":"","custom_fields":[{"id":1,"name":"Subdivision","value":"Other"},{"id":4,"name":"Milepost","value":"0.208"},{"id":17,"name":"Train ID","value":"50-24"},{"id":16,"name":"Locomotive ID","value":"4054"},{"id":130,"name":"Impact","value":""},{"id":150,"name":"Time of Event (Mountain Time)","value":"11:31:24"},{"id":151,"name":"Denver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s="21" customFormat="1" x14ac:dyDescent="0.25">
      <c r="A210" s="37" t="s">
        <v>637</v>
      </c>
      <c r="B210" s="7">
        <v>4012</v>
      </c>
      <c r="C210" s="22" t="s">
        <v>205</v>
      </c>
      <c r="D210" s="22" t="s">
        <v>756</v>
      </c>
      <c r="E210" s="13">
        <v>42729.072592592594</v>
      </c>
      <c r="F210" s="13">
        <v>42729.074131944442</v>
      </c>
      <c r="G210" s="7">
        <v>1</v>
      </c>
      <c r="H210" s="22" t="s">
        <v>757</v>
      </c>
      <c r="I210" s="13">
        <v>42729.099363425928</v>
      </c>
      <c r="J210" s="7">
        <v>1</v>
      </c>
      <c r="K210" s="109" t="str">
        <f t="shared" si="157"/>
        <v>4011/4012</v>
      </c>
      <c r="L210" s="22" t="str">
        <f>VLOOKUP(A210,'Trips&amp;Operators'!$C$1:$G$99999,5,FALSE)</f>
        <v>HILLS DUSTIN</v>
      </c>
      <c r="M210" s="6">
        <f t="shared" si="158"/>
        <v>2.5231481486116536E-2</v>
      </c>
      <c r="N210" s="7">
        <f t="shared" si="159"/>
        <v>36.333333340007812</v>
      </c>
      <c r="O210" s="7"/>
      <c r="P210" s="7"/>
      <c r="Q210" s="23"/>
      <c r="R210" s="23"/>
      <c r="S210" s="35">
        <f t="shared" si="160"/>
        <v>0</v>
      </c>
      <c r="T210" s="50" t="e">
        <f t="shared" si="161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https://search-rtdc-monitor-bjffxe2xuh6vdkpspy63sjmuny.us-east-1.es.amazonaws.com/_plugin/kibana/#/discover/Steve-Slow-Train-Analysis-(2080s-and-2083s)?_g=(refreshInterval:(display:Off,section:0,value:0),time:(from:'2016-12-25 00:44:32-700',mode:absolute,to:'2016-12-25 03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163"/>
        <v>N</v>
      </c>
      <c r="X210" s="177" t="e">
        <f t="shared" si="164"/>
        <v>#VALUE!</v>
      </c>
      <c r="Y210" s="67">
        <f t="shared" si="165"/>
        <v>23.305700000000002</v>
      </c>
      <c r="Z210" s="67">
        <f t="shared" si="166"/>
        <v>1.0500000000000001E-2</v>
      </c>
      <c r="AA210" s="67">
        <f t="shared" si="167"/>
        <v>23.295200000000001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168"/>
        <v>50-25</v>
      </c>
      <c r="AE210" s="91" t="str">
        <f t="shared" si="169"/>
        <v>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 &amp; 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</v>
      </c>
      <c r="AF210" s="88" t="str">
        <f t="shared" si="170"/>
        <v>"C:\Program Files (x86)\AstroGrep\AstroGrep.exe" /spath="%USERPROFILE%\AppData\Local\Temp\OnboardLogs" /stypes="app*4012*20161225*" /stext=" 09:.+((SYSTEM_STATE.+slice.+state.+changed )|(ment ac)|(multiple cpu faults)|(system.+state.+changed )|(\[timeout)|(PRM\|1\|D)|(kpr)|(kdp)|(\|lc)|(penalty))" /e /r /s</v>
      </c>
      <c r="AG210" s="1" t="str">
        <f t="shared" si="171"/>
        <v>Other</v>
      </c>
      <c r="AH210" s="92" t="str">
        <f t="shared" si="172"/>
        <v>"%USERPROFILE%\Documents\GitHub\eaglep3\Utilities\RefineRTDCRunTimes.py" --tripid 50-25 --locoid 4012 --swversion DE.1.0.8.0 --startMP 204:233057 --initTime 2016-12-25T01:44:32 --startdatetime 2016-12-25T01:46:45 --delay 1 --endMP 204:105 --enddatetime 2016-12-25T02:23:05 --enforcementcount 1 &gt;&gt;C:\Users\stu\Documents\GitHub\eaglep3-reporting\EC\2016-12-24-refined-times.txt</v>
      </c>
      <c r="AI210" s="119" t="str">
        <f t="shared" si="173"/>
        <v>echo {"issue":{"subject":"","project_id":79,"tracker_id":40,"status_id":1,"priority_id":2,"assigned_to_id":23,"start_date":"2016-12-25","description":"","custom_fields":[{"id":1,"name":"Subdivision","value":"Other"},{"id":4,"name":"Milepost","value":"0.0105"},{"id":17,"name":"Train ID","value":"50-25"},{"id":16,"name":"Locomotive ID","value":"4012"},{"id":130,"name":"Impact","value":""},{"id":150,"name":"Time of Event (Mountain Time)","value":"02:23:05"},{"id":151,"name":"Denver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7" t="s">
        <v>538</v>
      </c>
      <c r="B211" s="7">
        <v>4053</v>
      </c>
      <c r="C211" s="22" t="s">
        <v>205</v>
      </c>
      <c r="D211" s="22" t="s">
        <v>391</v>
      </c>
      <c r="E211" s="13">
        <v>42728.503217592595</v>
      </c>
      <c r="F211" s="13">
        <v>42728.504490740743</v>
      </c>
      <c r="G211" s="7">
        <v>1</v>
      </c>
      <c r="H211" s="22" t="s">
        <v>758</v>
      </c>
      <c r="I211" s="13">
        <v>42728.510104166664</v>
      </c>
      <c r="J211" s="7">
        <v>1</v>
      </c>
      <c r="K211" s="109" t="str">
        <f t="shared" si="157"/>
        <v>4053/4054</v>
      </c>
      <c r="L211" s="22" t="str">
        <f>VLOOKUP(A211,'Trips&amp;Operators'!$C$1:$G$99999,5,FALSE)</f>
        <v>LOZA FIDEL</v>
      </c>
      <c r="M211" s="6">
        <f t="shared" si="158"/>
        <v>5.6134259211830795E-3</v>
      </c>
      <c r="N211" s="7">
        <f t="shared" si="159"/>
        <v>8.0833333265036345</v>
      </c>
      <c r="O211" s="7"/>
      <c r="P211" s="7"/>
      <c r="Q211" s="23"/>
      <c r="R211" s="23"/>
      <c r="S211" s="35">
        <f t="shared" si="160"/>
        <v>0</v>
      </c>
      <c r="T211" s="50" t="e">
        <f t="shared" si="161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11:04:38-700',mode:absolute,to:'2016-12-24 13:14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1" s="52" t="str">
        <f t="shared" si="163"/>
        <v>Y</v>
      </c>
      <c r="X211" s="177" t="e">
        <f t="shared" si="164"/>
        <v>#VALUE!</v>
      </c>
      <c r="Y211" s="67">
        <f t="shared" si="165"/>
        <v>0.11749999999999999</v>
      </c>
      <c r="Z211" s="67">
        <f t="shared" si="166"/>
        <v>2.4214000000000002</v>
      </c>
      <c r="AA211" s="67">
        <f t="shared" si="167"/>
        <v>2.3039000000000001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168"/>
        <v>51-24</v>
      </c>
      <c r="AE211" s="91" t="str">
        <f t="shared" si="169"/>
        <v>aws s3 cp s3://rtdc.mdm.uploadarchive.raw/RTDC4053/ "%USERPROFILE%\AppData\Local\Temp\OnboardLogs"\RTDC4053\2016-12-24 --exclude "*" --recursive --include "*20161224*" &amp; "%USERPROFILE%\Documents\GitHub\mrs-test-scripts\Headless Mode &amp; Sideloading\WalkAndUnGZ.bat" "%USERPROFILE%\AppData\Local\Temp\OnboardLogs"\RTDC4053\2016-12-24 &amp; aws s3 cp s3://rtdc.mdm.uploadarchive.raw/RTDC4053/ "%USERPROFILE%\AppData\Local\Temp\OnboardLogs"\RTDC4053\2016-12-25 --exclude "*" --recursive --include "*20161225*" &amp; "%USERPROFILE%\Documents\GitHub\mrs-test-scripts\Headless Mode &amp; Sideloading\WalkAndUnGZ.bat" "%USERPROFILE%\AppData\Local\Temp\OnboardLogs"\RTDC4053\2016-12-25</v>
      </c>
      <c r="AF211" s="88" t="str">
        <f t="shared" si="170"/>
        <v>"C:\Program Files (x86)\AstroGrep\AstroGrep.exe" /spath="%USERPROFILE%\AppData\Local\Temp\OnboardLogs" /stypes="app*4053*20161224*" /stext=" 19:.+((SYSTEM_STATE.+slice.+state.+changed )|(ment ac)|(multiple cpu faults)|(system.+state.+changed )|(\[timeout)|(PRM\|1\|D)|(kpr)|(kdp)|(\|lc)|(penalty))" /e /r /s</v>
      </c>
      <c r="AG211" s="1" t="str">
        <f t="shared" si="171"/>
        <v>Other</v>
      </c>
      <c r="AH211" s="92" t="str">
        <f t="shared" si="172"/>
        <v>"%USERPROFILE%\Documents\GitHub\eaglep3\Utilities\RefineRTDCRunTimes.py" --tripid 51-24 --locoid 4053 --swversion DE.1.0.8.0 --startMP 204:1175 --initTime 2016-12-24T12:04:38 --startdatetime 2016-12-24T12:06:28 --delay 1 --endMP 300:24214 --enddatetime 2016-12-24T12:14:33 --enforcementcount 1 &gt;&gt;C:\Users\stu\Documents\GitHub\eaglep3-reporting\EC\2016-12-24-refined-times.txt</v>
      </c>
      <c r="AI211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{"issue":{"subject":"","project_id":79,"tracker_id":40,"status_id":1,"priority_id":2,"assigned_to_id":23,"start_date":"2016-12-24","description":"","custom_fields":[{"id":1,"name":"Subdivision","value":"Other"},{"id":4,"name":"Milepost","value":"2.4214"},{"id":17,"name":"Train ID","value":"51-24"},{"id":16,"name":"Locomotive ID","value":"4053"},{"id":130,"name":"Impact","value":""},{"id":150,"name":"Time of Event (Mountain Time)","value":"12:14:33"},{"id":151,"name":"Denver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91" x14ac:dyDescent="0.25">
      <c r="A212" s="37" t="s">
        <v>593</v>
      </c>
      <c r="B212" s="7">
        <v>4015</v>
      </c>
      <c r="C212" s="22" t="s">
        <v>205</v>
      </c>
      <c r="D212" s="22" t="s">
        <v>759</v>
      </c>
      <c r="E212" s="13">
        <v>42728.737685185188</v>
      </c>
      <c r="F212" s="13">
        <v>42728.739039351851</v>
      </c>
      <c r="G212" s="7">
        <v>1</v>
      </c>
      <c r="H212" s="22" t="s">
        <v>760</v>
      </c>
      <c r="I212" s="13">
        <v>42728.744583333333</v>
      </c>
      <c r="J212" s="7">
        <v>1</v>
      </c>
      <c r="K212" s="109" t="str">
        <f t="shared" si="157"/>
        <v>4015/4016</v>
      </c>
      <c r="L212" s="22" t="str">
        <f>VLOOKUP(A212,'Trips&amp;Operators'!$C$1:$G$99999,5,FALSE)</f>
        <v>SAFIEF AEIMEN</v>
      </c>
      <c r="M212" s="6">
        <f t="shared" si="158"/>
        <v>5.543981482333038E-3</v>
      </c>
      <c r="N212" s="7">
        <f t="shared" si="159"/>
        <v>7.9833333345595747</v>
      </c>
      <c r="O212" s="7"/>
      <c r="P212" s="7"/>
      <c r="Q212" s="23"/>
      <c r="R212" s="23"/>
      <c r="S212" s="35">
        <f t="shared" si="160"/>
        <v>0</v>
      </c>
      <c r="T212" s="50" t="e">
        <f t="shared" si="161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16:42:16-700',mode:absolute,to:'2016-12-24 18:52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2" s="52" t="str">
        <f t="shared" si="163"/>
        <v>Y</v>
      </c>
      <c r="X212" s="177" t="e">
        <f t="shared" si="164"/>
        <v>#VALUE!</v>
      </c>
      <c r="Y212" s="67">
        <f t="shared" si="165"/>
        <v>2.1956000000000002</v>
      </c>
      <c r="Z212" s="67">
        <f t="shared" si="166"/>
        <v>9.2600000000000002E-2</v>
      </c>
      <c r="AA212" s="67">
        <f t="shared" si="167"/>
        <v>2.1030000000000002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168"/>
        <v>70-24</v>
      </c>
      <c r="AE212" s="91" t="str">
        <f t="shared" si="169"/>
        <v>aws s3 cp s3://rtdc.mdm.uploadarchive.raw/RTDC4015/ "%USERPROFILE%\AppData\Local\Temp\OnboardLogs"\RTDC4015\2016-12-24 --exclude "*" --recursive --include "*20161224*" &amp; "%USERPROFILE%\Documents\GitHub\mrs-test-scripts\Headless Mode &amp; Sideloading\WalkAndUnGZ.bat" "%USERPROFILE%\AppData\Local\Temp\OnboardLogs"\RTDC4015\2016-12-24 &amp; aws s3 cp s3://rtdc.mdm.uploadarchive.raw/RTDC4015/ "%USERPROFILE%\AppData\Local\Temp\OnboardLogs"\RTDC4015\2016-12-25 --exclude "*" --recursive --include "*20161225*" &amp; "%USERPROFILE%\Documents\GitHub\mrs-test-scripts\Headless Mode &amp; Sideloading\WalkAndUnGZ.bat" "%USERPROFILE%\AppData\Local\Temp\OnboardLogs"\RTDC4015\2016-12-25</v>
      </c>
      <c r="AF212" s="88" t="str">
        <f t="shared" si="170"/>
        <v>"C:\Program Files (x86)\AstroGrep\AstroGrep.exe" /spath="%USERPROFILE%\AppData\Local\Temp\OnboardLogs" /stypes="app*4015*20161225*" /stext=" 00:.+((SYSTEM_STATE.+slice.+state.+changed )|(ment ac)|(multiple cpu faults)|(system.+state.+changed )|(\[timeout)|(PRM\|1\|D)|(kpr)|(kdp)|(\|lc)|(penalty))" /e /r /s</v>
      </c>
      <c r="AG212" s="1" t="str">
        <f t="shared" si="171"/>
        <v>Other</v>
      </c>
      <c r="AH212" s="92" t="str">
        <f t="shared" si="172"/>
        <v>"%USERPROFILE%\Documents\GitHub\eaglep3\Utilities\RefineRTDCRunTimes.py" --tripid 70-24 --locoid 4015 --swversion DE.1.0.8.0 --startMP 300:21956 --initTime 2016-12-24T17:42:16 --startdatetime 2016-12-24T17:44:13 --delay 1 --endMP 204:926 --enddatetime 2016-12-24T17:52:12 --enforcementcount 1 &gt;&gt;C:\Users\stu\Documents\GitHub\eaglep3-reporting\EC\2016-12-24-refined-times.txt</v>
      </c>
      <c r="AI212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{"issue":{"subject":"","project_id":79,"tracker_id":40,"status_id":1,"priority_id":2,"assigned_to_id":23,"start_date":"2016-12-24","description":"","custom_fields":[{"id":1,"name":"Subdivision","value":"Other"},{"id":4,"name":"Milepost","value":"0.0926"},{"id":17,"name":"Train ID","value":"70-24"},{"id":16,"name":"Locomotive ID","value":"4015"},{"id":130,"name":"Impact","value":""},{"id":150,"name":"Time of Event (Mountain Time)","value":"17:52:12"},{"id":151,"name":"Denver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x14ac:dyDescent="0.25">
      <c r="A213" s="37" t="s">
        <v>585</v>
      </c>
      <c r="B213" s="7">
        <v>4029</v>
      </c>
      <c r="C213" s="22" t="s">
        <v>205</v>
      </c>
      <c r="D213" s="22" t="s">
        <v>761</v>
      </c>
      <c r="E213" s="13">
        <v>42728.713819444441</v>
      </c>
      <c r="F213" s="13">
        <v>25568.708333333332</v>
      </c>
      <c r="G213" s="7">
        <v>1</v>
      </c>
      <c r="H213" s="22" t="s">
        <v>314</v>
      </c>
      <c r="I213" s="13">
        <v>25568.708333333332</v>
      </c>
      <c r="J213" s="7">
        <v>1</v>
      </c>
      <c r="K213" s="109" t="str">
        <f t="shared" si="157"/>
        <v>4029/4030</v>
      </c>
      <c r="L213" s="22" t="str">
        <f>VLOOKUP(A213,'Trips&amp;Operators'!$C$1:$G$99999,5,FALSE)</f>
        <v>ROMERO CHAD</v>
      </c>
      <c r="M213" s="6">
        <f t="shared" si="158"/>
        <v>0</v>
      </c>
      <c r="N213" s="7">
        <f t="shared" si="159"/>
        <v>0</v>
      </c>
      <c r="O213" s="7"/>
      <c r="P213" s="7"/>
      <c r="Q213" s="23"/>
      <c r="R213" s="23"/>
      <c r="S213" s="35">
        <f t="shared" si="160"/>
        <v>0</v>
      </c>
      <c r="T213" s="50" t="e">
        <f t="shared" si="161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16:07:54-700',mode:absolute,to:'1969-12-31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3" s="52" t="str">
        <f t="shared" si="163"/>
        <v>Y</v>
      </c>
      <c r="X213" s="177" t="e">
        <f t="shared" si="164"/>
        <v>#VALUE!</v>
      </c>
      <c r="Y213" s="67">
        <f t="shared" si="165"/>
        <v>0.1484</v>
      </c>
      <c r="Z213" s="67">
        <f t="shared" si="166"/>
        <v>2.3302</v>
      </c>
      <c r="AA213" s="67">
        <f t="shared" si="167"/>
        <v>2.1818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168"/>
        <v>71-24</v>
      </c>
      <c r="AE213" s="91" t="str">
        <f t="shared" si="1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3" s="88" t="str">
        <f t="shared" si="170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3" s="1" t="str">
        <f t="shared" si="171"/>
        <v>Other</v>
      </c>
      <c r="AH213" s="92" t="str">
        <f t="shared" si="172"/>
        <v>"%USERPROFILE%\Documents\GitHub\eaglep3\Utilities\RefineRTDCRunTimes.py" --tripid 71-24 --locoid 4029 --swversion DE.1.0.8.0 --startMP 204:1484 --initTime 2016-12-24T17:07:54 --startdatetime 1969-12-31T17:00:00 --delay 1 --endMP 300:23302 --enddatetime 1969-12-31T17:00:00 --enforcementcount 1 &gt;&gt;C:\Users\stu\Documents\GitHub\eaglep3-reporting\EC\2016-12-24-refined-times.txt</v>
      </c>
      <c r="AI213" s="11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ID","value":"71-24"},{"id":16,"name":"Locomotive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91" x14ac:dyDescent="0.25">
      <c r="A214" s="37" t="s">
        <v>596</v>
      </c>
      <c r="B214" s="7">
        <v>4054</v>
      </c>
      <c r="C214" s="22" t="s">
        <v>205</v>
      </c>
      <c r="D214" s="22" t="s">
        <v>762</v>
      </c>
      <c r="E214" s="13">
        <v>42728.747789351852</v>
      </c>
      <c r="F214" s="13">
        <v>42728.748877314814</v>
      </c>
      <c r="G214" s="7">
        <v>1</v>
      </c>
      <c r="H214" s="22">
        <v>8.5284722222222218</v>
      </c>
      <c r="I214" s="13">
        <v>42728.754386574074</v>
      </c>
      <c r="J214" s="7">
        <v>1</v>
      </c>
      <c r="K214" s="109" t="str">
        <f t="shared" si="157"/>
        <v>4053/4054</v>
      </c>
      <c r="L214" s="22" t="str">
        <f>VLOOKUP(A214,'Trips&amp;Operators'!$C$1:$G$99999,5,FALSE)</f>
        <v>HILLS DUSTIN</v>
      </c>
      <c r="M214" s="6">
        <f t="shared" si="158"/>
        <v>5.5092592592700385E-3</v>
      </c>
      <c r="N214" s="7">
        <f t="shared" si="159"/>
        <v>7.9333333333488554</v>
      </c>
      <c r="O214" s="7"/>
      <c r="P214" s="7"/>
      <c r="Q214" s="23"/>
      <c r="R214" s="23"/>
      <c r="S214" s="35">
        <f t="shared" si="160"/>
        <v>0</v>
      </c>
      <c r="T214" s="50" t="e">
        <f t="shared" si="161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16:56:49-700',mode:absolute,to:'2016-12-24 19:06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4" s="52" t="str">
        <f t="shared" si="163"/>
        <v>N</v>
      </c>
      <c r="X214" s="177" t="e">
        <f t="shared" si="164"/>
        <v>#VALUE!</v>
      </c>
      <c r="Y214" s="67">
        <f t="shared" si="165"/>
        <v>2.3069000000000002</v>
      </c>
      <c r="Z214" s="67">
        <f t="shared" si="166"/>
        <v>84722222.222200006</v>
      </c>
      <c r="AA214" s="67">
        <f t="shared" si="167"/>
        <v>84722219.915300012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168"/>
        <v>74-24</v>
      </c>
      <c r="AE214" s="91" t="str">
        <f t="shared" si="169"/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AF214" s="88" t="str">
        <f t="shared" si="170"/>
        <v>"C:\Program Files (x86)\AstroGrep\AstroGrep.exe" /spath="%USERPROFILE%\AppData\Local\Temp\OnboardLogs" /stypes="app*4054*20161225*" /stext=" 01:.+((SYSTEM_STATE.+slice.+state.+changed )|(ment ac)|(multiple cpu faults)|(system.+state.+changed )|(\[timeout)|(PRM\|1\|D)|(kpr)|(kdp)|(\|lc)|(penalty))" /e /r /s</v>
      </c>
      <c r="AG214" s="1" t="str">
        <f t="shared" si="171"/>
        <v>Other</v>
      </c>
      <c r="AH214" s="92" t="str">
        <f t="shared" si="172"/>
        <v>"%USERPROFILE%\Documents\GitHub\eaglep3\Utilities\RefineRTDCRunTimes.py" --tripid 74-24 --locoid 4054 --swversion DE.1.0.8.0 --startMP 300:23069 --initTime 2016-12-24T17:56:49 --startdatetime 2016-12-24T17:58:23 --delay 1 --endMP 8.52847222222222 --enddatetime 2016-12-24T18:06:19 --enforcementcount 1 &gt;&gt;C:\Users\stu\Documents\GitHub\eaglep3-reporting\EC\2016-12-24-refined-times.txt</v>
      </c>
      <c r="AI214" s="119" t="str">
        <f t="shared" si="173"/>
        <v>echo {"issue":{"subject":"","project_id":79,"tracker_id":40,"status_id":1,"priority_id":2,"assigned_to_id":23,"start_date":"2016-12-24","description":"","custom_fields":[{"id":1,"name":"Subdivision","value":"Other"},{"id":4,"name":"Milepost","value":"84722222.2222"},{"id":17,"name":"Train ID","value":"74-24"},{"id":16,"name":"Locomotive ID","value":"4054"},{"id":130,"name":"Impact","value":""},{"id":150,"name":"Time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91" x14ac:dyDescent="0.25">
      <c r="A215" s="37" t="s">
        <v>601</v>
      </c>
      <c r="B215" s="7">
        <v>4053</v>
      </c>
      <c r="C215" s="22" t="s">
        <v>205</v>
      </c>
      <c r="D215" s="22" t="s">
        <v>763</v>
      </c>
      <c r="E215" s="13">
        <v>42728.768912037034</v>
      </c>
      <c r="F215" s="13">
        <v>25568.708333333332</v>
      </c>
      <c r="G215" s="7">
        <v>1</v>
      </c>
      <c r="H215" s="22" t="s">
        <v>417</v>
      </c>
      <c r="I215" s="13">
        <v>25568.708333333332</v>
      </c>
      <c r="J215" s="7">
        <v>1</v>
      </c>
      <c r="K215" s="109" t="str">
        <f t="shared" si="157"/>
        <v>4053/4054</v>
      </c>
      <c r="L215" s="22" t="str">
        <f>VLOOKUP(A215,'Trips&amp;Operators'!$C$1:$G$99999,5,FALSE)</f>
        <v>BRUDER RICHARD</v>
      </c>
      <c r="M215" s="6">
        <f t="shared" si="158"/>
        <v>0</v>
      </c>
      <c r="N215" s="7">
        <f t="shared" si="159"/>
        <v>0</v>
      </c>
      <c r="O215" s="7"/>
      <c r="P215" s="7"/>
      <c r="Q215" s="23"/>
      <c r="R215" s="23"/>
      <c r="S215" s="35">
        <f t="shared" si="160"/>
        <v>0</v>
      </c>
      <c r="T215" s="50" t="e">
        <f t="shared" si="161"/>
        <v>#VALUE!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162"/>
        <v>https://search-rtdc-monitor-bjffxe2xuh6vdkpspy63sjmuny.us-east-1.es.amazonaws.com/_plugin/kibana/#/discover/Steve-Slow-Train-Analysis-(2080s-and-2083s)?_g=(refreshInterval:(display:Off,section:0,value:0),time:(from:'2016-12-24 17:27:14-700',mode:absolute,to:'1969-12-31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5" s="52" t="str">
        <f t="shared" si="163"/>
        <v>Y</v>
      </c>
      <c r="X215" s="177" t="e">
        <f t="shared" si="164"/>
        <v>#VALUE!</v>
      </c>
      <c r="Y215" s="67">
        <f t="shared" si="165"/>
        <v>3.7499999999999999E-2</v>
      </c>
      <c r="Z215" s="67">
        <f t="shared" si="166"/>
        <v>2.3308</v>
      </c>
      <c r="AA215" s="67">
        <f t="shared" si="167"/>
        <v>2.2932999999999999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168"/>
        <v>75-24</v>
      </c>
      <c r="AE215" s="91" t="str">
        <f t="shared" si="169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15" s="88" t="str">
        <f t="shared" si="170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15" s="1" t="str">
        <f t="shared" si="171"/>
        <v>Other</v>
      </c>
      <c r="AH215" s="92" t="str">
        <f t="shared" si="172"/>
        <v>"%USERPROFILE%\Documents\GitHub\eaglep3\Utilities\RefineRTDCRunTimes.py" --tripid 75-24 --locoid 4053 --swversion DE.1.0.8.0 --startMP 204:375 --initTime 2016-12-24T18:27:14 --startdatetime 1969-12-31T17:00:00 --delay 1 --endMP 300:23308 --enddatetime 1969-12-31T17:00:00 --enforcementcount 1 &gt;&gt;C:\Users\stu\Documents\GitHub\eaglep3-reporting\EC\2016-12-24-refined-times.txt</v>
      </c>
      <c r="AI215" s="11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ID","value":"75-24"},{"id":16,"name":"Locomotive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9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9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</sheetData>
  <autoFilter ref="A12:AG233"/>
  <sortState ref="A13:AH200">
    <sortCondition ref="AG13:AG200"/>
    <sortCondition ref="AD13:AD200"/>
  </sortState>
  <mergeCells count="1">
    <mergeCell ref="A11:P11"/>
  </mergeCells>
  <conditionalFormatting sqref="W11:W12 W247:X1048576 W13:X215">
    <cfRule type="cellIs" dxfId="10" priority="352" operator="equal">
      <formula>"Y"</formula>
    </cfRule>
  </conditionalFormatting>
  <conditionalFormatting sqref="X247:X1048576 X13:X215">
    <cfRule type="cellIs" dxfId="9" priority="335" operator="greaterThan">
      <formula>1</formula>
    </cfRule>
  </conditionalFormatting>
  <conditionalFormatting sqref="X247:X1048576 X12:X215">
    <cfRule type="cellIs" dxfId="8" priority="332" operator="equal">
      <formula>0</formula>
    </cfRule>
  </conditionalFormatting>
  <conditionalFormatting sqref="A13:S215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AK13:AK215</xm:sqref>
        </x14:dataValidation>
        <x14:dataValidation type="list" allowBlank="1" showInputMessage="1" showErrorMessage="1">
          <x14:formula1>
            <xm:f>'Redmine List Values'!$C$2:$C$15</xm:f>
          </x14:formula1>
          <xm:sqref>AL13:AL215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3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17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42728.536053240743</v>
      </c>
      <c r="B7" s="31" t="s">
        <v>445</v>
      </c>
      <c r="C7" s="31" t="s">
        <v>446</v>
      </c>
      <c r="D7" s="31" t="s">
        <v>49</v>
      </c>
      <c r="E7" s="31" t="s">
        <v>246</v>
      </c>
      <c r="F7" s="47">
        <v>0</v>
      </c>
      <c r="G7" s="47">
        <v>210</v>
      </c>
      <c r="H7" s="47">
        <v>27010</v>
      </c>
      <c r="I7" s="47">
        <v>27295</v>
      </c>
      <c r="J7" s="31" t="s">
        <v>247</v>
      </c>
      <c r="K7" s="47">
        <v>27053</v>
      </c>
      <c r="L7" s="154" t="s">
        <v>50</v>
      </c>
      <c r="M7" s="155">
        <f t="shared" ref="M7:M26" si="0">CONVERT((I7-K7)/10000,"mi","ft")*IF(L7="Increasing Mileposts (1)",-1,1)</f>
        <v>-127.776</v>
      </c>
      <c r="N7" s="156" t="str">
        <f>VLOOKUP(C7,'Trips&amp;Operators'!$C$1:$G$99999,5,FALSE)</f>
        <v>STEWART MICHAEL</v>
      </c>
      <c r="O7" s="183" t="s">
        <v>195</v>
      </c>
      <c r="P7" s="157" t="s">
        <v>782</v>
      </c>
      <c r="Q7" s="31"/>
      <c r="R7" s="100" t="str">
        <f>VLOOKUP(C7,'Train Runs'!$A$13:$AE$9977,31,0)</f>
        <v>aws s3 cp s3://rtdc.mdm.uploadarchive.raw/RTDC4018/ "%USERPROFILE%\AppData\Local\Temp\OnboardLogs"\RTDC4018\2016-12-24 --exclude "*" --recursive --include "*20161224*" &amp; "%USERPROFILE%\Documents\GitHub\mrs-test-scripts\Headless Mode &amp; Sideloading\WalkAndUnGZ.bat" "%USERPROFILE%\AppData\Local\Temp\OnboardLogs"\RTDC4018\2016-12-24 &amp; 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</v>
      </c>
      <c r="S7" s="103" t="str">
        <f>VLOOKUP(C7,'Train Runs'!$A$13:$AE$9977,22,0)</f>
        <v>https://search-rtdc-monitor-bjffxe2xuh6vdkpspy63sjmuny.us-east-1.es.amazonaws.com/_plugin/kibana/#/discover/Steve-Slow-Train-Analysis-(2080s-and-2083s)?_g=(refreshInterval:(display:Off,section:0,value:0),time:(from:'2016-12-24 11:39:00-700',mode:absolute,to:'2016-12-24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5" t="str">
        <f t="shared" ref="T7:T2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/stypes="*4018*201612241*" /stext=" 19:.+((SYSTEM_STATE.+slice.+state.+changed )|(ment ac)|(multiple cpu faults)|(system.+state.+changed )|(\[timeout)|(PRM\|1\|D)|(kpr)|(kdp)|(\|lc)|(penalty))" /e /r /s</v>
      </c>
      <c r="U7" s="9" t="str">
        <f t="shared" ref="U7:U26" si="2">MID(B7,13,4)</f>
        <v>4018</v>
      </c>
      <c r="V7" s="36">
        <f t="shared" ref="V7:V26" si="3">A7-utc_offset/24</f>
        <v>42728.827719907407</v>
      </c>
      <c r="W7" s="50" t="str">
        <f t="shared" ref="W7:W26" si="4">IF(VALUE(LEFT(IF(LEN(C7)=6,"0"&amp;C7,C7),2))&lt;=2,"EC",IF(OR(VALUE(LEFT(IF(LEN(C7)=6,"0"&amp;C7,C7),2))=8,VALUE(LEFT(IF(LEN(C7)=6,"0"&amp;C7,C7),2))=18),"NW","Other"))</f>
        <v>EC</v>
      </c>
      <c r="X7" s="50" t="str">
        <f t="shared" ref="X7:X26" si="5">IF(AND(E7="TRACK WARRANT AUTHORITY",G7&lt;10),"OMIT","KEEP")</f>
        <v>KEEP</v>
      </c>
      <c r="Y7" s="119" t="str">
        <f t="shared" ref="Y7:Y2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arrival","project_id":79,"tracker_id":40,"status_id":1,"priority_id":2,"assigned_to_id":23,"start_date":"2016-12-24","description":"","custom_fields":[{"id":1,"name":"Subdivision","value":"EC"},{"id":4,"name":"Milepost","value":"2.7053"},{"id":17,"name":"Train ID","value":"173-24"},{"id":16,"name":"Locomotive ID","value":"4018"},{"id":130,"name":"Impact","value":""},{"id":150,"name":"Time of Event (Mountain Time)","value":"12:51:55"},{"id":151,"name":"Denver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"%USERPROFILE%\AppData\Local\Temp\OnboardLogs"\RTDC4018\*4018*201612241*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"%USERPROFILE%\AppData\Local\Temp\OnboardLogs"\RTDC4018\*4018*201612241* &gt;&gt; 42728-slicedisagreementcheck.txt</v>
      </c>
    </row>
    <row r="8" spans="1:30" s="1" customFormat="1" x14ac:dyDescent="0.25">
      <c r="A8" s="36">
        <v>42728.852743055555</v>
      </c>
      <c r="B8" s="31" t="s">
        <v>292</v>
      </c>
      <c r="C8" s="31" t="s">
        <v>453</v>
      </c>
      <c r="D8" s="31" t="s">
        <v>49</v>
      </c>
      <c r="E8" s="31" t="s">
        <v>246</v>
      </c>
      <c r="F8" s="47">
        <v>0</v>
      </c>
      <c r="G8" s="47">
        <v>163</v>
      </c>
      <c r="H8" s="47">
        <v>27358</v>
      </c>
      <c r="I8" s="47">
        <v>27164</v>
      </c>
      <c r="J8" s="31" t="s">
        <v>247</v>
      </c>
      <c r="K8" s="47">
        <v>27350</v>
      </c>
      <c r="L8" s="154" t="s">
        <v>51</v>
      </c>
      <c r="M8" s="155">
        <f t="shared" si="0"/>
        <v>-98.207999999999998</v>
      </c>
      <c r="N8" s="156" t="str">
        <f>VLOOKUP(C8,'Trips&amp;Operators'!$C$1:$G$99999,5,FALSE)</f>
        <v>BROWN JACOB</v>
      </c>
      <c r="O8" s="183" t="s">
        <v>195</v>
      </c>
      <c r="P8" s="157" t="s">
        <v>782</v>
      </c>
      <c r="Q8" s="31"/>
      <c r="R8" s="100" t="str">
        <f>VLOOKUP(C8,'Train Runs'!$A$13:$AE$9977,31,0)</f>
        <v>aws s3 cp s3://rtdc.mdm.uploadarchive.raw/RTDC4043/ "%USERPROFILE%\AppData\Local\Temp\OnboardLogs"\RTDC4043\2016-12-24 --exclude "*" --recursive --include "*20161224*" &amp; "%USERPROFILE%\Documents\GitHub\mrs-test-scripts\Headless Mode &amp; Sideloading\WalkAndUnGZ.bat" "%USERPROFILE%\AppData\Local\Temp\OnboardLogs"\RTDC4043\2016-12-24 &amp; aws s3 cp s3://rtdc.mdm.uploadarchive.raw/RTDC4043/ "%USERPROFILE%\AppData\Local\Temp\OnboardLogs"\RTDC4043\2016-12-25 --exclude "*" --recursive --include "*20161225*" &amp; "%USERPROFILE%\Documents\GitHub\mrs-test-scripts\Headless Mode &amp; Sideloading\WalkAndUnGZ.bat" "%USERPROFILE%\AppData\Local\Temp\OnboardLogs"\RTDC4043\2016-12-25</v>
      </c>
      <c r="S8" s="103" t="str">
        <f>VLOOKUP(C8,'Train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18:50:13-700',mode:absolute,to:'2016-12-24 21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8" s="105" t="str">
        <f t="shared" si="1"/>
        <v>"C:\Program Files (x86)\AstroGrep\AstroGrep.exe" /spath="%USERPROFILE%\AppData\Local\Temp\OnboardLogs" /stypes="*4043*201612250*" /stext=" 03:.+((SYSTEM_STATE.+slice.+state.+changed )|(ment ac)|(multiple cpu faults)|(system.+state.+changed )|(\[timeout)|(PRM\|1\|D)|(kpr)|(kdp)|(\|lc)|(penalty))" /e /r /s</v>
      </c>
      <c r="U8" s="9" t="str">
        <f t="shared" si="2"/>
        <v>4043</v>
      </c>
      <c r="V8" s="36">
        <f t="shared" si="3"/>
        <v>42729.144409722219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arrival","project_id":79,"tracker_id":40,"status_id":1,"priority_id":2,"assigned_to_id":23,"start_date":"2016-12-24","description":"","custom_fields":[{"id":1,"name":"Subdivision","value":"EC"},{"id":4,"name":"Milepost","value":"2.735"},{"id":17,"name":"Train ID","value":"222-24"},{"id":16,"name":"Locomotive ID","value":"4043"},{"id":130,"name":"Impact","value":""},{"id":150,"name":"Time of Event (Mountain Time)","value":"20:27:57"},{"id":151,"name":"Denver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"%USERPROFILE%\AppData\Local\Temp\OnboardLogs"\RTDC4043\*4043*201612250*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"%USERPROFILE%\AppData\Local\Temp\OnboardLogs"\RTDC4043\*4043*201612250* &gt;&gt; 42728-slicedisagreementcheck.txt</v>
      </c>
    </row>
    <row r="9" spans="1:30" s="1" customFormat="1" x14ac:dyDescent="0.25">
      <c r="A9" s="36">
        <v>42728.819745370369</v>
      </c>
      <c r="B9" s="31" t="s">
        <v>356</v>
      </c>
      <c r="C9" s="31" t="s">
        <v>451</v>
      </c>
      <c r="D9" s="31" t="s">
        <v>49</v>
      </c>
      <c r="E9" s="31" t="s">
        <v>246</v>
      </c>
      <c r="F9" s="47">
        <v>300</v>
      </c>
      <c r="G9" s="47">
        <v>406</v>
      </c>
      <c r="H9" s="47">
        <v>35483</v>
      </c>
      <c r="I9" s="47">
        <v>34328</v>
      </c>
      <c r="J9" s="31" t="s">
        <v>247</v>
      </c>
      <c r="K9" s="47">
        <v>33257</v>
      </c>
      <c r="L9" s="154" t="s">
        <v>51</v>
      </c>
      <c r="M9" s="155">
        <f t="shared" si="0"/>
        <v>565.48800000000006</v>
      </c>
      <c r="N9" s="156" t="str">
        <f>VLOOKUP(C9,'Trips&amp;Operators'!$C$1:$G$99999,5,FALSE)</f>
        <v>STAMBAUGH JAMES</v>
      </c>
      <c r="O9" s="183" t="s">
        <v>195</v>
      </c>
      <c r="P9" s="157" t="s">
        <v>782</v>
      </c>
      <c r="Q9" s="31"/>
      <c r="R9" s="100" t="str">
        <f>VLOOKUP(C9,'Train Runs'!$A$13:$AE$9977,31,0)</f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S9" s="103" t="str">
        <f>VLOOKUP(C9,'Train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18:07:58-700',mode:absolute,to:'2016-12-24 20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9" s="105" t="str">
        <f t="shared" si="1"/>
        <v>"C:\Program Files (x86)\AstroGrep\AstroGrep.exe" /spath="%USERPROFILE%\AppData\Local\Temp\OnboardLogs" /stypes="*4008*201612250*" /stext=" 02:.+((SYSTEM_STATE.+slice.+state.+changed )|(ment ac)|(multiple cpu faults)|(system.+state.+changed )|(\[timeout)|(PRM\|1\|D)|(kpr)|(kdp)|(\|lc)|(penalty))" /e /r /s</v>
      </c>
      <c r="U9" s="9" t="str">
        <f t="shared" si="2"/>
        <v>4008</v>
      </c>
      <c r="V9" s="36">
        <f t="shared" si="3"/>
        <v>42729.111412037033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arrival","project_id":79,"tracker_id":40,"status_id":1,"priority_id":2,"assigned_to_id":23,"start_date":"2016-12-24","description":"","custom_fields":[{"id":1,"name":"Subdivision","value":"EC"},{"id":4,"name":"Milepost","value":"3.3257"},{"id":17,"name":"Train ID","value":"218-24"},{"id":16,"name":"Locomotive ID","value":"4008"},{"id":130,"name":"Impact","value":""},{"id":150,"name":"Time of Event (Mountain Time)","value":"19:40:26"},{"id":151,"name":"Denver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"%USERPROFILE%\AppData\Local\Temp\OnboardLogs"\RTDC4008\*4008*201612250*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"%USERPROFILE%\AppData\Local\Temp\OnboardLogs"\RTDC4008\*4008*201612250* &gt;&gt; 42728-slicedisagreementcheck.txt</v>
      </c>
    </row>
    <row r="10" spans="1:30" s="1" customFormat="1" x14ac:dyDescent="0.25">
      <c r="A10" s="36">
        <v>42728.335856481484</v>
      </c>
      <c r="B10" s="31" t="s">
        <v>435</v>
      </c>
      <c r="C10" s="31" t="s">
        <v>436</v>
      </c>
      <c r="D10" s="31" t="s">
        <v>98</v>
      </c>
      <c r="E10" s="31" t="s">
        <v>196</v>
      </c>
      <c r="F10" s="47">
        <v>700</v>
      </c>
      <c r="G10" s="47">
        <v>750</v>
      </c>
      <c r="H10" s="47">
        <v>180308</v>
      </c>
      <c r="I10" s="47">
        <v>176988</v>
      </c>
      <c r="J10" s="31" t="s">
        <v>197</v>
      </c>
      <c r="K10" s="47">
        <v>183829</v>
      </c>
      <c r="L10" s="154" t="s">
        <v>51</v>
      </c>
      <c r="M10" s="155">
        <f t="shared" si="0"/>
        <v>-3612.0479999999998</v>
      </c>
      <c r="N10" s="156" t="str">
        <f>VLOOKUP(C10,'Trips&amp;Operators'!$C$1:$G$99999,5,FALSE)</f>
        <v>ISHMAEL JOSEPH</v>
      </c>
      <c r="O10" s="183" t="s">
        <v>195</v>
      </c>
      <c r="P10" s="157"/>
      <c r="Q10" s="31"/>
      <c r="R10" s="100" t="str">
        <f>VLOOKUP(C10,'Train Runs'!$A$13:$AE$9977,31,0)</f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S10" s="103" t="str">
        <f>VLOOKUP(C10,'Train Runs'!$A$13:$AE$9977,22,0)</f>
        <v>https://search-rtdc-monitor-bjffxe2xuh6vdkpspy63sjmuny.us-east-1.es.amazonaws.com/_plugin/kibana/#/discover/Steve-Slow-Train-Analysis-(2080s-and-2083s)?_g=(refreshInterval:(display:Off,section:0,value:0),time:(from:'2016-12-24 06:45:15-700',mode:absolute,to:'2016-12-24 09:38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0" s="105" t="str">
        <f t="shared" si="1"/>
        <v>"C:\Program Files (x86)\AstroGrep\AstroGrep.exe" /spath="%USERPROFILE%\AppData\Local\Temp\OnboardLogs" /stypes="*4030*201612241*" /stext=" 15:.+((SYSTEM_STATE.+slice.+state.+changed )|(ment ac)|(multiple cpu faults)|(system.+state.+changed )|(\[timeout)|(PRM\|1\|D)|(kpr)|(kdp)|(\|lc)|(penalty))" /e /r /s</v>
      </c>
      <c r="U10" s="9" t="str">
        <f t="shared" si="2"/>
        <v>4030</v>
      </c>
      <c r="V10" s="36">
        <f t="shared" si="3"/>
        <v>42728.627523148149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{"issue":{"subject":"","project_id":79,"tracker_id":40,"status_id":1,"priority_id":2,"assigned_to_id":23,"start_date":"2016-12-24","description":"","custom_fields":[{"id":1,"name":"Subdivision","value":"EC"},{"id":4,"name":"Milepost","value":"18.3829"},{"id":17,"name":"Train ID","value":"128-24"},{"id":16,"name":"Locomotive ID","value":"4030"},{"id":130,"name":"Impact","value":""},{"id":150,"name":"Time of Event (Mountain Time)","value":"08:03:38"},{"id":151,"name":"Denver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"%USERPROFILE%\AppData\Local\Temp\OnboardLogs"\RTDC4030\*4030*201612241*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"%USERPROFILE%\AppData\Local\Temp\OnboardLogs"\RTDC4030\*4030*201612241* &gt;&gt; 42728-slicedisagreementcheck.txt</v>
      </c>
    </row>
    <row r="11" spans="1:30" s="1" customFormat="1" x14ac:dyDescent="0.25">
      <c r="A11" s="36">
        <v>42728.965312499997</v>
      </c>
      <c r="B11" s="31" t="s">
        <v>204</v>
      </c>
      <c r="C11" s="31" t="s">
        <v>454</v>
      </c>
      <c r="D11" s="31" t="s">
        <v>49</v>
      </c>
      <c r="E11" s="31" t="s">
        <v>196</v>
      </c>
      <c r="F11" s="47">
        <v>600</v>
      </c>
      <c r="G11" s="47">
        <v>741</v>
      </c>
      <c r="H11" s="47">
        <v>181177</v>
      </c>
      <c r="I11" s="47">
        <v>184409</v>
      </c>
      <c r="J11" s="31" t="s">
        <v>197</v>
      </c>
      <c r="K11" s="47">
        <v>183829</v>
      </c>
      <c r="L11" s="154" t="s">
        <v>50</v>
      </c>
      <c r="M11" s="155">
        <f t="shared" si="0"/>
        <v>-306.24</v>
      </c>
      <c r="N11" s="156" t="str">
        <f>VLOOKUP(C11,'Trips&amp;Operators'!$C$1:$G$99999,5,FALSE)</f>
        <v>HILLS DUSTIN</v>
      </c>
      <c r="O11" s="183" t="s">
        <v>195</v>
      </c>
      <c r="P11" s="157"/>
      <c r="Q11" s="31"/>
      <c r="R11" s="100" t="str">
        <f>VLOOKUP(C11,'Train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11" s="103" t="str">
        <f>VLOOKUP(C11,'Train Runs'!$A$13:$AE$9977,22,0)</f>
        <v>https://search-rtdc-monitor-bjffxe2xuh6vdkpspy63sjmuny.us-east-1.es.amazonaws.com/_plugin/kibana/#/discover/Steve-Slow-Train-Analysis-(2080s-and-2083s)?_g=(refreshInterval:(display:Off,section:0,value:0),time:(from:'2016-12-24 21:06:50-700',mode:absolute,to:'2016-12-25 00:17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1" s="105" t="str">
        <f t="shared" si="1"/>
        <v>"C:\Program Files (x86)\AstroGrep\AstroGrep.exe" /spath="%USERPROFILE%\AppData\Local\Temp\OnboardLogs" /stypes="*4011*201612250*" /stext=" 06:.+((SYSTEM_STATE.+slice.+state.+changed )|(ment ac)|(multiple cpu faults)|(system.+state.+changed )|(\[timeout)|(PRM\|1\|D)|(kpr)|(kdp)|(\|lc)|(penalty))" /e /r /s</v>
      </c>
      <c r="U11" s="9" t="str">
        <f t="shared" si="2"/>
        <v>4011</v>
      </c>
      <c r="V11" s="36">
        <f t="shared" si="3"/>
        <v>42729.256979166661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{"issue":{"subject":"","project_id":79,"tracker_id":40,"status_id":1,"priority_id":2,"assigned_to_id":23,"start_date":"2016-12-24","description":"","custom_fields":[{"id":1,"name":"Subdivision","value":"EC"},{"id":4,"name":"Milepost","value":"18.3829"},{"id":17,"name":"Train ID","value":"235-24"},{"id":16,"name":"Locomotive ID","value":"4011"},{"id":130,"name":"Impact","value":""},{"id":150,"name":"Time of Event (Mountain Time)","value":"23:10:03"},{"id":151,"name":"Denver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"%USERPROFILE%\AppData\Local\Temp\OnboardLogs"\RTDC4011\*4011*201612250*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12" spans="1:30" s="1" customFormat="1" x14ac:dyDescent="0.25">
      <c r="A12" s="36">
        <v>42728.405578703707</v>
      </c>
      <c r="B12" s="31" t="s">
        <v>435</v>
      </c>
      <c r="C12" s="31" t="s">
        <v>439</v>
      </c>
      <c r="D12" s="31" t="s">
        <v>98</v>
      </c>
      <c r="E12" s="31" t="s">
        <v>196</v>
      </c>
      <c r="F12" s="47">
        <v>550</v>
      </c>
      <c r="G12" s="47">
        <v>602</v>
      </c>
      <c r="H12" s="47">
        <v>222272</v>
      </c>
      <c r="I12" s="47">
        <v>219938</v>
      </c>
      <c r="J12" s="31" t="s">
        <v>197</v>
      </c>
      <c r="K12" s="47">
        <v>224581</v>
      </c>
      <c r="L12" s="154" t="s">
        <v>51</v>
      </c>
      <c r="M12" s="155">
        <f t="shared" si="0"/>
        <v>-2451.5039999999999</v>
      </c>
      <c r="N12" s="156" t="str">
        <f>VLOOKUP(C12,'Trips&amp;Operators'!$C$1:$G$99999,5,FALSE)</f>
        <v>ISHMAEL JOSEPH</v>
      </c>
      <c r="O12" s="183" t="s">
        <v>195</v>
      </c>
      <c r="P12" s="157"/>
      <c r="Q12" s="31"/>
      <c r="R12" s="100" t="str">
        <f>VLOOKUP(C12,'Train Runs'!$A$13:$AE$9977,31,0)</f>
        <v>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 &amp; 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</v>
      </c>
      <c r="S12" s="103" t="str">
        <f>VLOOKUP(C12,'Train Runs'!$A$13:$AE$9977,22,0)</f>
        <v>https://search-rtdc-monitor-bjffxe2xuh6vdkpspy63sjmuny.us-east-1.es.amazonaws.com/_plugin/kibana/#/discover/Steve-Slow-Train-Analysis-(2080s-and-2083s)?_g=(refreshInterval:(display:Off,section:0,value:0),time:(from:'2016-12-24 08:28:36-700',mode:absolute,to:'2016-12-24 11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2" s="105" t="str">
        <f t="shared" si="1"/>
        <v>"C:\Program Files (x86)\AstroGrep\AstroGrep.exe" /spath="%USERPROFILE%\AppData\Local\Temp\OnboardLogs" /stypes="*4030*201612241*" /stext=" 16:.+((SYSTEM_STATE.+slice.+state.+changed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6">
        <f t="shared" si="3"/>
        <v>42728.697245370371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{"issue":{"subject":"","project_id":79,"tracker_id":40,"status_id":1,"priority_id":2,"assigned_to_id":23,"start_date":"2016-12-24","description":"","custom_fields":[{"id":1,"name":"Subdivision","value":"EC"},{"id":4,"name":"Milepost","value":"22.4581"},{"id":17,"name":"Train ID","value":"142-24"},{"id":16,"name":"Locomotive ID","value":"4030"},{"id":130,"name":"Impact","value":""},{"id":150,"name":"Time of Event (Mountain Time)","value":"09:44:02"},{"id":151,"name":"Denver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"%USERPROFILE%\AppData\Local\Temp\OnboardLogs"\RTDC4030\*4030*201612241*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"%USERPROFILE%\AppData\Local\Temp\OnboardLogs"\RTDC4030\*4030*201612241* &gt;&gt; 42728-slicedisagreementcheck.txt</v>
      </c>
    </row>
    <row r="13" spans="1:30" s="1" customFormat="1" x14ac:dyDescent="0.25">
      <c r="A13" s="36">
        <v>42728.981226851851</v>
      </c>
      <c r="B13" s="31" t="s">
        <v>290</v>
      </c>
      <c r="C13" s="31" t="s">
        <v>455</v>
      </c>
      <c r="D13" s="31" t="s">
        <v>49</v>
      </c>
      <c r="E13" s="31" t="s">
        <v>196</v>
      </c>
      <c r="F13" s="47">
        <v>350</v>
      </c>
      <c r="G13" s="47">
        <v>510</v>
      </c>
      <c r="H13" s="47">
        <v>223140</v>
      </c>
      <c r="I13" s="47">
        <v>224579</v>
      </c>
      <c r="J13" s="31" t="s">
        <v>197</v>
      </c>
      <c r="K13" s="47">
        <v>224581</v>
      </c>
      <c r="L13" s="154" t="s">
        <v>50</v>
      </c>
      <c r="M13" s="155">
        <f t="shared" si="0"/>
        <v>1.056</v>
      </c>
      <c r="N13" s="156" t="str">
        <f>VLOOKUP(C13,'Trips&amp;Operators'!$C$1:$G$99999,5,FALSE)</f>
        <v>BROWN JACOB</v>
      </c>
      <c r="O13" s="183" t="s">
        <v>195</v>
      </c>
      <c r="P13" s="157"/>
      <c r="Q13" s="31"/>
      <c r="R13" s="100" t="str">
        <f>VLOOKUP(C13,'Train Runs'!$A$13:$AE$9977,31,0)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S13" s="103" t="str">
        <f>VLOOKUP(C13,'Train Runs'!$A$13:$AE$9977,22,0)</f>
        <v>https://search-rtdc-monitor-bjffxe2xuh6vdkpspy63sjmuny.us-east-1.es.amazonaws.com/_plugin/kibana/#/discover/Steve-Slow-Train-Analysis-(2080s-and-2083s)?_g=(refreshInterval:(display:Off,section:0,value:0),time:(from:'2016-12-24 21:54:10-700',mode:absolute,to:'2016-12-25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3" s="105" t="str">
        <f t="shared" si="1"/>
        <v>"C:\Program Files (x86)\AstroGrep\AstroGrep.exe" /spath="%USERPROFILE%\AppData\Local\Temp\OnboardLogs" /stypes="*4044*201612250*" /stext=" 06:.+((SYSTEM_STATE.+slice.+state.+changed )|(ment ac)|(multiple cpu faults)|(system.+state.+changed )|(\[timeout)|(PRM\|1\|D)|(kpr)|(kdp)|(\|lc)|(penalty))" /e /r /s</v>
      </c>
      <c r="U13" s="9" t="str">
        <f t="shared" si="2"/>
        <v>4044</v>
      </c>
      <c r="V13" s="36">
        <f t="shared" si="3"/>
        <v>42729.272893518515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{"issue":{"subject":"","project_id":79,"tracker_id":40,"status_id":1,"priority_id":2,"assigned_to_id":23,"start_date":"2016-12-24","description":"","custom_fields":[{"id":1,"name":"Subdivision","value":"EC"},{"id":4,"name":"Milepost","value":"22.4581"},{"id":17,"name":"Train ID","value":"237-24"},{"id":16,"name":"Locomotive ID","value":"4044"},{"id":130,"name":"Impact","value":""},{"id":150,"name":"Time of Event (Mountain Time)","value":"23:32:58"},{"id":151,"name":"Denver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"%USERPROFILE%\AppData\Local\Temp\OnboardLogs"\RTDC4044\*4044*201612250*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"%USERPROFILE%\AppData\Local\Temp\OnboardLogs"\RTDC4044\*4044*201612250* &gt;&gt; 42728-slicedisagreementcheck.txt</v>
      </c>
    </row>
    <row r="14" spans="1:30" s="1" customFormat="1" x14ac:dyDescent="0.25">
      <c r="A14" s="36">
        <v>42728.808136574073</v>
      </c>
      <c r="B14" s="31" t="s">
        <v>441</v>
      </c>
      <c r="C14" s="31" t="s">
        <v>450</v>
      </c>
      <c r="D14" s="31" t="s">
        <v>49</v>
      </c>
      <c r="E14" s="31" t="s">
        <v>198</v>
      </c>
      <c r="F14" s="47">
        <v>0</v>
      </c>
      <c r="G14" s="47">
        <v>626</v>
      </c>
      <c r="H14" s="47">
        <v>44786</v>
      </c>
      <c r="I14" s="47">
        <v>42154</v>
      </c>
      <c r="J14" s="31" t="s">
        <v>199</v>
      </c>
      <c r="K14" s="47">
        <v>43664</v>
      </c>
      <c r="L14" s="154" t="s">
        <v>51</v>
      </c>
      <c r="M14" s="155">
        <f t="shared" si="0"/>
        <v>-797.28</v>
      </c>
      <c r="N14" s="156" t="str">
        <f>VLOOKUP(C14,'Trips&amp;Operators'!$C$1:$G$99999,5,FALSE)</f>
        <v>BRANNON JEFFREY</v>
      </c>
      <c r="O14" s="183" t="s">
        <v>227</v>
      </c>
      <c r="P14" s="157" t="s">
        <v>779</v>
      </c>
      <c r="Q14" s="31"/>
      <c r="R14" s="100" t="str">
        <f>VLOOKUP(C14,'Train Runs'!$A$13:$AE$9977,31,0)</f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S14" s="103" t="str">
        <f>VLOOKUP(C14,'Train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17:46:43-700',mode:absolute,to:'2016-12-24 20:23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4" s="105" t="str">
        <f t="shared" si="1"/>
        <v>"C:\Program Files (x86)\AstroGrep\AstroGrep.exe" /spath="%USERPROFILE%\AppData\Local\Temp\OnboardLogs" /stypes="*4017*201612250*" /stext=" 02:.+((SYSTEM_STATE.+slice.+state.+changed )|(ment ac)|(multiple cpu faults)|(system.+state.+changed )|(\[timeout)|(PRM\|1\|D)|(kpr)|(kdp)|(\|lc)|(penalty))" /e /r /s</v>
      </c>
      <c r="U14" s="9" t="str">
        <f t="shared" si="2"/>
        <v>4017</v>
      </c>
      <c r="V14" s="36">
        <f t="shared" si="3"/>
        <v>42729.099803240737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{"issue":{"subject":"Wi-MAX data drop","project_id":79,"tracker_id":40,"status_id":1,"priority_id":2,"assigned_to_id":23,"start_date":"2016-12-24","description":"http://stevetu21.github.io/eaglep3/load_kml.html?kml=http://rtdc.gmaps-snips.s3.amazonaws.com/d93217bf-69ea-4966-a8c3-d2fc6ac2af08.kml","custom_fields":[{"id":1,"name":"Subdivision","value":"EC"},{"id":4,"name":"Milepost","value":"4.3664"},{"id":17,"name":"Train ID","value":"216-24"},{"id":16,"name":"Locomotive ID","value":"4017"},{"id":130,"name":"Impact","value":"Enforcement"},{"id":150,"name":"Time of Event (Mountain Time)","value":"19:23:43"},{"id":151,"name":"Denver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4" s="184" t="s">
        <v>780</v>
      </c>
      <c r="AA14" s="53" t="s">
        <v>125</v>
      </c>
      <c r="AB14" s="53" t="s">
        <v>138</v>
      </c>
      <c r="AC14" s="138" t="str">
        <f t="shared" si="7"/>
        <v>grep -hSE -A100 "Enforcement Action" "%USERPROFILE%\AppData\Local\Temp\OnboardLogs"\RTDC4017\*4017*201612250*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"%USERPROFILE%\AppData\Local\Temp\OnboardLogs"\RTDC4017\*4017*201612250* &gt;&gt; 42728-slicedisagreementcheck.txt</v>
      </c>
    </row>
    <row r="15" spans="1:30" s="1" customFormat="1" x14ac:dyDescent="0.25">
      <c r="A15" s="36">
        <v>42728.558344907404</v>
      </c>
      <c r="B15" s="31" t="s">
        <v>231</v>
      </c>
      <c r="C15" s="31" t="s">
        <v>447</v>
      </c>
      <c r="D15" s="31" t="s">
        <v>49</v>
      </c>
      <c r="E15" s="31" t="s">
        <v>198</v>
      </c>
      <c r="F15" s="47">
        <v>0</v>
      </c>
      <c r="G15" s="47">
        <v>361</v>
      </c>
      <c r="H15" s="47">
        <v>129055</v>
      </c>
      <c r="I15" s="47">
        <v>128236</v>
      </c>
      <c r="J15" s="31" t="s">
        <v>199</v>
      </c>
      <c r="K15" s="47">
        <v>127587</v>
      </c>
      <c r="L15" s="154" t="s">
        <v>51</v>
      </c>
      <c r="M15" s="155">
        <f t="shared" si="0"/>
        <v>342.67200000000003</v>
      </c>
      <c r="N15" s="156" t="str">
        <f>VLOOKUP(C15,'Trips&amp;Operators'!$C$1:$G$99999,5,FALSE)</f>
        <v>ADANE ELSHADAY</v>
      </c>
      <c r="O15" s="183" t="s">
        <v>195</v>
      </c>
      <c r="P15" s="157" t="s">
        <v>783</v>
      </c>
      <c r="Q15" s="31"/>
      <c r="R15" s="100" t="str">
        <f>VLOOKUP(C15,'Train Runs'!$A$13:$AE$9977,31,0)</f>
        <v>aws s3 cp s3://rtdc.mdm.uploadarchive.raw/RTDC4041/ "%USERPROFILE%\AppData\Local\Temp\OnboardLogs"\RTDC4041\2016-12-24 --exclude "*" --recursive --include "*20161224*" &amp; "%USERPROFILE%\Documents\GitHub\mrs-test-scripts\Headless Mode &amp; Sideloading\WalkAndUnGZ.bat" "%USERPROFILE%\AppData\Local\Temp\OnboardLogs"\RTDC4041\2016-12-24 &amp; 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</v>
      </c>
      <c r="S15" s="103" t="str">
        <f>VLOOKUP(C15,'Train Runs'!$A$13:$AE$9977,22,0)</f>
        <v>https://search-rtdc-monitor-bjffxe2xuh6vdkpspy63sjmuny.us-east-1.es.amazonaws.com/_plugin/kibana/#/discover/Steve-Slow-Train-Analysis-(2080s-and-2083s)?_g=(refreshInterval:(display:Off,section:0,value:0),time:(from:'2016-12-24 11:54:10-700',mode:absolute,to:'2016-12-24 14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5" s="105" t="str">
        <f t="shared" si="1"/>
        <v>"C:\Program Files (x86)\AstroGrep\AstroGrep.exe" /spath="%USERPROFILE%\AppData\Local\Temp\OnboardLogs" /stypes="*4041*201612242*" /stext=" 20:.+((SYSTEM_STATE.+slice.+state.+changed )|(ment ac)|(multiple cpu faults)|(system.+state.+changed )|(\[timeout)|(PRM\|1\|D)|(kpr)|(kdp)|(\|lc)|(penalty))" /e /r /s</v>
      </c>
      <c r="U15" s="9" t="str">
        <f t="shared" si="2"/>
        <v>4041</v>
      </c>
      <c r="V15" s="36">
        <f t="shared" si="3"/>
        <v>42728.850011574068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{"issue":{"subject":"40th 4S STOP","project_id":79,"tracker_id":40,"status_id":1,"priority_id":2,"assigned_to_id":23,"start_date":"2016-12-24","description":"","custom_fields":[{"id":1,"name":"Subdivision","value":"EC"},{"id":4,"name":"Milepost","value":"12.7587"},{"id":17,"name":"Train ID","value":"170-24"},{"id":16,"name":"Locomotive ID","value":"4041"},{"id":130,"name":"Impact","value":""},{"id":150,"name":"Time of Event (Mountain Time)","value":"13:24:01"},{"id":151,"name":"Denver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"%USERPROFILE%\AppData\Local\Temp\OnboardLogs"\RTDC4041\*4041*201612242*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"%USERPROFILE%\AppData\Local\Temp\OnboardLogs"\RTDC4041\*4041*201612242* &gt;&gt; 42728-slicedisagreementcheck.txt</v>
      </c>
    </row>
    <row r="16" spans="1:30" s="1" customFormat="1" x14ac:dyDescent="0.25">
      <c r="A16" s="36">
        <v>42728.350682870368</v>
      </c>
      <c r="B16" s="31" t="s">
        <v>204</v>
      </c>
      <c r="C16" s="31" t="s">
        <v>437</v>
      </c>
      <c r="D16" s="31" t="s">
        <v>49</v>
      </c>
      <c r="E16" s="31" t="s">
        <v>198</v>
      </c>
      <c r="F16" s="47">
        <v>0</v>
      </c>
      <c r="G16" s="47">
        <v>708</v>
      </c>
      <c r="H16" s="47">
        <v>148208</v>
      </c>
      <c r="I16" s="47">
        <v>151539</v>
      </c>
      <c r="J16" s="31" t="s">
        <v>199</v>
      </c>
      <c r="K16" s="47">
        <v>149694</v>
      </c>
      <c r="L16" s="154" t="s">
        <v>50</v>
      </c>
      <c r="M16" s="155">
        <f t="shared" si="0"/>
        <v>-974.16</v>
      </c>
      <c r="N16" s="156" t="str">
        <f>VLOOKUP(C16,'Trips&amp;Operators'!$C$1:$G$99999,5,FALSE)</f>
        <v>DAVIS WENDY</v>
      </c>
      <c r="O16" s="183" t="s">
        <v>227</v>
      </c>
      <c r="P16" s="157" t="s">
        <v>779</v>
      </c>
      <c r="Q16" s="31"/>
      <c r="R16" s="100" t="str">
        <f>VLOOKUP(C16,'Train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16" s="103" t="str">
        <f>VLOOKUP(C16,'Train Runs'!$A$13:$AE$9977,22,0)</f>
        <v>https://search-rtdc-monitor-bjffxe2xuh6vdkpspy63sjmuny.us-east-1.es.amazonaws.com/_plugin/kibana/#/discover/Steve-Slow-Train-Analysis-(2080s-and-2083s)?_g=(refreshInterval:(display:Off,section:0,value:0),time:(from:'2016-12-24 06:53:52-700',mode:absolute,to:'2016-12-24 09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6" s="105" t="str">
        <f t="shared" si="1"/>
        <v>"C:\Program Files (x86)\AstroGrep\AstroGrep.exe" /spath="%USERPROFILE%\AppData\Local\Temp\OnboardLogs" /stypes="*4011*201612241*" /stext=" 15:.+((SYSTEM_STATE.+slice.+state.+changed )|(ment ac)|(multiple cpu faults)|(system.+state.+changed )|(\[timeout)|(PRM\|1\|D)|(kpr)|(kdp)|(\|lc)|(penalty))" /e /r /s</v>
      </c>
      <c r="U16" s="9" t="str">
        <f t="shared" si="2"/>
        <v>4011</v>
      </c>
      <c r="V16" s="36">
        <f t="shared" si="3"/>
        <v>42728.642349537033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-24","description":"http://stevetu21.github.io/eaglep3/load_kml.html?kml=http://rtdc.gmaps-snips.s3.amazonaws.com/e330293b-f28a-4039-89ae-314e70f8a012.kml","custom_fields":[{"id":1,"name":"Subdivision","value":"EC"},{"id":4,"name":"Milepost","value":"14.9694"},{"id":17,"name":"Train ID","value":"135-24"},{"id":16,"name":"Locomotive ID","value":"4011"},{"id":130,"name":"Impact","value":"Enforcement"},{"id":150,"name":"Time of Event (Mountain Time)","value":"08:24:59"},{"id":151,"name":"Denver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784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"%USERPROFILE%\AppData\Local\Temp\OnboardLogs"\RTDC4011\*4011*201612241*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"%USERPROFILE%\AppData\Local\Temp\OnboardLogs"\RTDC4011\*4011*201612241* &gt;&gt; 42728-slicedisagreementcheck.txt</v>
      </c>
    </row>
    <row r="17" spans="1:30" s="1" customFormat="1" x14ac:dyDescent="0.25">
      <c r="A17" s="36">
        <v>42728.626134259262</v>
      </c>
      <c r="B17" s="31" t="s">
        <v>234</v>
      </c>
      <c r="C17" s="31" t="s">
        <v>448</v>
      </c>
      <c r="D17" s="31" t="s">
        <v>49</v>
      </c>
      <c r="E17" s="31" t="s">
        <v>358</v>
      </c>
      <c r="F17" s="47">
        <v>0</v>
      </c>
      <c r="G17" s="47">
        <v>379</v>
      </c>
      <c r="H17" s="47">
        <v>17976</v>
      </c>
      <c r="I17" s="47">
        <v>17397</v>
      </c>
      <c r="J17" s="31" t="s">
        <v>359</v>
      </c>
      <c r="K17" s="47">
        <v>17100</v>
      </c>
      <c r="L17" s="154" t="s">
        <v>51</v>
      </c>
      <c r="M17" s="155">
        <f t="shared" si="0"/>
        <v>156.816</v>
      </c>
      <c r="N17" s="156" t="str">
        <f>VLOOKUP(C17,'Trips&amp;Operators'!$C$1:$G$99999,5,FALSE)</f>
        <v>KILLION DAVID</v>
      </c>
      <c r="O17" s="183" t="s">
        <v>227</v>
      </c>
      <c r="P17" s="157" t="s">
        <v>779</v>
      </c>
      <c r="Q17" s="31"/>
      <c r="R17" s="100" t="str">
        <f>VLOOKUP(C17,'Train Runs'!$A$13:$AE$9977,31,0)</f>
        <v>aws s3 cp s3://rtdc.mdm.uploadarchive.raw/RTDC4032/ "%USERPROFILE%\AppData\Local\Temp\OnboardLogs"\RTDC4032\2016-12-24 --exclude "*" --recursive --include "*20161224*" &amp; "%USERPROFILE%\Documents\GitHub\mrs-test-scripts\Headless Mode &amp; Sideloading\WalkAndUnGZ.bat" "%USERPROFILE%\AppData\Local\Temp\OnboardLogs"\RTDC4032\2016-12-24 &amp; 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</v>
      </c>
      <c r="S17" s="103" t="str">
        <f>VLOOKUP(C17,'Train Runs'!$A$13:$AE$9977,22,0)</f>
        <v>https://search-rtdc-monitor-bjffxe2xuh6vdkpspy63sjmuny.us-east-1.es.amazonaws.com/_plugin/kibana/#/discover/Steve-Slow-Train-Analysis-(2080s-and-2083s)?_g=(refreshInterval:(display:Off,section:0,value:0),time:(from:'2016-12-24 13:13:17-700',mode:absolute,to:'2016-12-24 16:00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/stypes="*4032*201612242*" /stext=" 22:.+((SYSTEM_STATE.+slice.+state.+changed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6">
        <f t="shared" si="3"/>
        <v>42728.917800925927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drop","project_id":79,"tracker_id":40,"status_id":1,"priority_id":2,"assigned_to_id":23,"start_date":"2016-12-24","description":"","custom_fields":[{"id":1,"name":"Subdivision","value":"EC"},{"id":4,"name":"Milepost","value":"1.71"},{"id":17,"name":"Train ID","value":"180-24"},{"id":16,"name":"Locomotive ID","value":"4032"},{"id":130,"name":"Impact","value":""},{"id":150,"name":"Time of Event (Mountain Time)","value":"15:01:38"},{"id":151,"name":"Denver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"%USERPROFILE%\AppData\Local\Temp\OnboardLogs"\RTDC4032\*4032*201612242*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"%USERPROFILE%\AppData\Local\Temp\OnboardLogs"\RTDC4032\*4032*201612242* &gt;&gt; 42728-slicedisagreementcheck.txt</v>
      </c>
    </row>
    <row r="18" spans="1:30" s="1" customFormat="1" x14ac:dyDescent="0.25">
      <c r="A18" s="36">
        <v>42728.523125</v>
      </c>
      <c r="B18" s="31" t="s">
        <v>356</v>
      </c>
      <c r="C18" s="31" t="s">
        <v>444</v>
      </c>
      <c r="D18" s="31" t="s">
        <v>49</v>
      </c>
      <c r="E18" s="31" t="s">
        <v>258</v>
      </c>
      <c r="F18" s="47">
        <v>100</v>
      </c>
      <c r="G18" s="47">
        <v>312</v>
      </c>
      <c r="H18" s="47">
        <v>68140</v>
      </c>
      <c r="I18" s="47">
        <v>67325</v>
      </c>
      <c r="J18" s="31" t="s">
        <v>247</v>
      </c>
      <c r="K18" s="47">
        <v>66500</v>
      </c>
      <c r="L18" s="154" t="s">
        <v>51</v>
      </c>
      <c r="M18" s="155">
        <f t="shared" si="0"/>
        <v>435.6</v>
      </c>
      <c r="N18" s="156" t="str">
        <f>VLOOKUP(C18,'Trips&amp;Operators'!$C$1:$G$99999,5,FALSE)</f>
        <v>ROMERO CHAD</v>
      </c>
      <c r="O18" s="183" t="s">
        <v>195</v>
      </c>
      <c r="P18" s="157"/>
      <c r="Q18" s="31"/>
      <c r="R18" s="100" t="str">
        <f>VLOOKUP(C18,'Train Runs'!$A$13:$AE$9977,31,0)</f>
        <v>aws s3 cp s3://rtdc.mdm.uploadarchive.raw/RTDC4008/ "%USERPROFILE%\AppData\Local\Temp\OnboardLogs"\RTDC4008\2016-12-24 --exclude "*" --recursive --include "*20161224*" &amp; "%USERPROFILE%\Documents\GitHub\mrs-test-scripts\Headless Mode &amp; Sideloading\WalkAndUnGZ.bat" "%USERPROFILE%\AppData\Local\Temp\OnboardLogs"\RTDC4008\2016-12-24 &amp; aws s3 cp s3://rtdc.mdm.uploadarchive.raw/RTDC4008/ "%USERPROFILE%\AppData\Local\Temp\OnboardLogs"\RTDC4008\2016-12-25 --exclude "*" --recursive --include "*20161225*" &amp; "%USERPROFILE%\Documents\GitHub\mrs-test-scripts\Headless Mode &amp; Sideloading\WalkAndUnGZ.bat" "%USERPROFILE%\AppData\Local\Temp\OnboardLogs"\RTDC4008\2016-12-25</v>
      </c>
      <c r="S18" s="103" t="str">
        <f>VLOOKUP(C18,'Train Runs'!$A$13:$AE$9977,22,0)</f>
        <v>https://search-rtdc-monitor-bjffxe2xuh6vdkpspy63sjmuny.us-east-1.es.amazonaws.com/_plugin/kibana/#/discover/Steve-Slow-Train-Analysis-(2080s-and-2083s)?_g=(refreshInterval:(display:Off,section:0,value:0),time:(from:'2016-12-24 10:59:45-700',mode:absolute,to:'2016-12-24 13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5" t="str">
        <f t="shared" si="1"/>
        <v>"C:\Program Files (x86)\AstroGrep\AstroGrep.exe" /spath="%USERPROFILE%\AppData\Local\Temp\OnboardLogs" /stypes="*4008*201612241*" /stext=" 19:.+((SYSTEM_STATE.+slice.+state.+changed )|(ment ac)|(multiple cpu faults)|(system.+state.+changed )|(\[timeout)|(PRM\|1\|D)|(kpr)|(kdp)|(\|lc)|(penalty))" /e /r /s</v>
      </c>
      <c r="U18" s="9" t="str">
        <f t="shared" si="2"/>
        <v>4008</v>
      </c>
      <c r="V18" s="36">
        <f t="shared" si="3"/>
        <v>42728.814791666664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{"issue":{"subject":"","project_id":79,"tracker_id":40,"status_id":1,"priority_id":2,"assigned_to_id":23,"start_date":"2016-12-24","description":"","custom_fields":[{"id":1,"name":"Subdivision","value":"EC"},{"id":4,"name":"Milepost","value":"6.65"},{"id":17,"name":"Train ID","value":"162-24"},{"id":16,"name":"Locomotive ID","value":"4008"},{"id":130,"name":"Impact","value":""},{"id":150,"name":"Time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"%USERPROFILE%\AppData\Local\Temp\OnboardLogs"\RTDC4008\*4008*201612241*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"%USERPROFILE%\AppData\Local\Temp\OnboardLogs"\RTDC4008\*4008*201612241* &gt;&gt; 42728-slicedisagreementcheck.txt</v>
      </c>
    </row>
    <row r="19" spans="1:30" s="1" customFormat="1" x14ac:dyDescent="0.25">
      <c r="A19" s="36">
        <v>42728.400949074072</v>
      </c>
      <c r="B19" s="31" t="s">
        <v>210</v>
      </c>
      <c r="C19" s="31" t="s">
        <v>438</v>
      </c>
      <c r="D19" s="31" t="s">
        <v>49</v>
      </c>
      <c r="E19" s="31" t="s">
        <v>200</v>
      </c>
      <c r="F19" s="47">
        <v>0</v>
      </c>
      <c r="G19" s="47">
        <v>51</v>
      </c>
      <c r="H19" s="47">
        <v>180</v>
      </c>
      <c r="I19" s="47">
        <v>134</v>
      </c>
      <c r="J19" s="31" t="s">
        <v>201</v>
      </c>
      <c r="K19" s="47">
        <v>1</v>
      </c>
      <c r="L19" s="154" t="s">
        <v>51</v>
      </c>
      <c r="M19" s="155">
        <f t="shared" si="0"/>
        <v>70.224000000000004</v>
      </c>
      <c r="N19" s="156" t="str">
        <f>VLOOKUP(C19,'Trips&amp;Operators'!$C$1:$G$99999,5,FALSE)</f>
        <v>DAVIS WENDY</v>
      </c>
      <c r="O19" s="183" t="s">
        <v>195</v>
      </c>
      <c r="P19" s="157"/>
      <c r="Q19" s="31"/>
      <c r="R19" s="100" t="str">
        <f>VLOOKUP(C19,'Train Runs'!$A$13:$AE$9977,31,0)</f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S19" s="103" t="str">
        <f>VLOOKUP(C19,'Train Runs'!$A$13:$AE$9977,22,0)</f>
        <v>https://search-rtdc-monitor-bjffxe2xuh6vdkpspy63sjmuny.us-east-1.es.amazonaws.com/_plugin/kibana/#/discover/Steve-Slow-Train-Analysis-(2080s-and-2083s)?_g=(refreshInterval:(display:Off,section:0,value:0),time:(from:'2016-12-24 07:51:12-700',mode:absolute,to:'2016-12-24 10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9" s="105" t="str">
        <f t="shared" si="1"/>
        <v>"C:\Program Files (x86)\AstroGrep\AstroGrep.exe" /spath="%USERPROFILE%\AppData\Local\Temp\OnboardLogs" /stypes="*4012*201612241*" /stext=" 16:.+((SYSTEM_STATE.+slice.+state.+changed )|(ment ac)|(multiple cpu faults)|(system.+state.+changed )|(\[timeout)|(PRM\|1\|D)|(kpr)|(kdp)|(\|lc)|(penalty))" /e /r /s</v>
      </c>
      <c r="U19" s="9" t="str">
        <f t="shared" si="2"/>
        <v>4012</v>
      </c>
      <c r="V19" s="36">
        <f t="shared" si="3"/>
        <v>42728.692615740736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ID","value":"136-24"},{"id":16,"name":"Locomotive ID","value":"4012"},{"id":130,"name":"Impact","value":""},{"id":150,"name":"Time of Event (Mountain Time)","value":"09:37:22"},{"id":151,"name":"Denver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"%USERPROFILE%\AppData\Local\Temp\OnboardLogs"\RTDC4012\*4012*201612241*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"%USERPROFILE%\AppData\Local\Temp\OnboardLogs"\RTDC4012\*4012*201612241* &gt;&gt; 42728-slicedisagreementcheck.txt</v>
      </c>
    </row>
    <row r="20" spans="1:30" x14ac:dyDescent="0.25">
      <c r="A20" s="36">
        <v>42728.452164351853</v>
      </c>
      <c r="B20" s="31" t="s">
        <v>441</v>
      </c>
      <c r="C20" s="31" t="s">
        <v>442</v>
      </c>
      <c r="D20" s="31" t="s">
        <v>49</v>
      </c>
      <c r="E20" s="31" t="s">
        <v>200</v>
      </c>
      <c r="F20" s="47">
        <v>0</v>
      </c>
      <c r="G20" s="47">
        <v>99</v>
      </c>
      <c r="H20" s="47">
        <v>378</v>
      </c>
      <c r="I20" s="47">
        <v>274</v>
      </c>
      <c r="J20" s="31" t="s">
        <v>201</v>
      </c>
      <c r="K20" s="47">
        <v>1</v>
      </c>
      <c r="L20" s="154" t="s">
        <v>51</v>
      </c>
      <c r="M20" s="155">
        <f t="shared" si="0"/>
        <v>144.14400000000001</v>
      </c>
      <c r="N20" s="156" t="str">
        <f>VLOOKUP(C20,'Trips&amp;Operators'!$C$1:$G$99999,5,FALSE)</f>
        <v>STRICKLAND EVAN</v>
      </c>
      <c r="O20" s="183" t="s">
        <v>195</v>
      </c>
      <c r="P20" s="157"/>
      <c r="Q20" s="31"/>
      <c r="R20" s="100" t="str">
        <f>VLOOKUP(C20,'Train Runs'!$A$13:$AE$9977,31,0)</f>
        <v>aws s3 cp s3://rtdc.mdm.uploadarchive.raw/RTDC4017/ "%USERPROFILE%\AppData\Local\Temp\OnboardLogs"\RTDC4017\2016-12-24 --exclude "*" --recursive --include "*20161224*" &amp; "%USERPROFILE%\Documents\GitHub\mrs-test-scripts\Headless Mode &amp; Sideloading\WalkAndUnGZ.bat" "%USERPROFILE%\AppData\Local\Temp\OnboardLogs"\RTDC4017\2016-12-24 &amp; 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</v>
      </c>
      <c r="S20" s="103" t="str">
        <f>VLOOKUP(C20,'Train Runs'!$A$13:$AE$9977,22,0)</f>
        <v>https://search-rtdc-monitor-bjffxe2xuh6vdkpspy63sjmuny.us-east-1.es.amazonaws.com/_plugin/kibana/#/discover/Steve-Slow-Train-Analysis-(2080s-and-2083s)?_g=(refreshInterval:(display:Off,section:0,value:0),time:(from:'2016-12-24 09:04:51-700',mode:absolute,to:'2016-12-24 11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0" s="105" t="str">
        <f t="shared" si="1"/>
        <v>"C:\Program Files (x86)\AstroGrep\AstroGrep.exe" /spath="%USERPROFILE%\AppData\Local\Temp\OnboardLogs" /stypes="*4017*201612241*" /stext=" 17:.+((SYSTEM_STATE.+slice.+state.+changed )|(ment ac)|(multiple cpu faults)|(system.+state.+changed )|(\[timeout)|(PRM\|1\|D)|(kpr)|(kdp)|(\|lc)|(penalty))" /e /r /s</v>
      </c>
      <c r="U20" s="9" t="str">
        <f t="shared" si="2"/>
        <v>4017</v>
      </c>
      <c r="V20" s="36">
        <f t="shared" si="3"/>
        <v>42728.743831018517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ID","value":"146-24"},{"id":16,"name":"Locomotive ID","value":"4017"},{"id":130,"name":"Impact","value":""},{"id":150,"name":"Time of Event (Mountain Time)","value":"10:51:07"},{"id":151,"name":"Denver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"%USERPROFILE%\AppData\Local\Temp\OnboardLogs"\RTDC4017\*4017*201612241*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"%USERPROFILE%\AppData\Local\Temp\OnboardLogs"\RTDC4017\*4017*201612241* &gt;&gt; 42728-slicedisagreementcheck.txt</v>
      </c>
    </row>
    <row r="21" spans="1:30" x14ac:dyDescent="0.25">
      <c r="A21" s="36">
        <v>42728.835810185185</v>
      </c>
      <c r="B21" s="31" t="s">
        <v>210</v>
      </c>
      <c r="C21" s="31" t="s">
        <v>452</v>
      </c>
      <c r="D21" s="31" t="s">
        <v>49</v>
      </c>
      <c r="E21" s="31" t="s">
        <v>200</v>
      </c>
      <c r="F21" s="47">
        <v>0</v>
      </c>
      <c r="G21" s="47">
        <v>82</v>
      </c>
      <c r="H21" s="47">
        <v>229</v>
      </c>
      <c r="I21" s="47">
        <v>152</v>
      </c>
      <c r="J21" s="31" t="s">
        <v>201</v>
      </c>
      <c r="K21" s="47">
        <v>1</v>
      </c>
      <c r="L21" s="154" t="s">
        <v>51</v>
      </c>
      <c r="M21" s="155">
        <f t="shared" si="0"/>
        <v>79.727999999999994</v>
      </c>
      <c r="N21" s="156" t="str">
        <f>VLOOKUP(C21,'Trips&amp;Operators'!$C$1:$G$99999,5,FALSE)</f>
        <v>HILLS DUSTIN</v>
      </c>
      <c r="O21" s="183" t="s">
        <v>195</v>
      </c>
      <c r="P21" s="157"/>
      <c r="Q21" s="31"/>
      <c r="R21" s="100" t="str">
        <f>VLOOKUP(C21,'Train Runs'!$A$13:$AE$9977,31,0)</f>
        <v>aws s3 cp s3://rtdc.mdm.uploadarchive.raw/RTDC4012/ "%USERPROFILE%\AppData\Local\Temp\OnboardLogs"\RTDC4012\2016-12-24 --exclude "*" --recursive --include "*20161224*" &amp; "%USERPROFILE%\Documents\GitHub\mrs-test-scripts\Headless Mode &amp; Sideloading\WalkAndUnGZ.bat" "%USERPROFILE%\AppData\Local\Temp\OnboardLogs"\RTDC4012\2016-12-24 &amp; 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</v>
      </c>
      <c r="S21" s="103" t="str">
        <f>VLOOKUP(C21,'Train Runs'!$A$13:$AE$9977,22,0)</f>
        <v>https://search-rtdc-monitor-bjffxe2xuh6vdkpspy63sjmuny.us-east-1.es.amazonaws.com/_plugin/kibana/#/discover/Steve-Slow-Train-Analysis-(2080s-and-2083s)?_g=(refreshInterval:(display:Off,section:0,value:0),time:(from:'2016-12-24 18:09:47-700',mode:absolute,to:'2016-12-24 21:03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1" s="105" t="str">
        <f t="shared" si="1"/>
        <v>"C:\Program Files (x86)\AstroGrep\AstroGrep.exe" /spath="%USERPROFILE%\AppData\Local\Temp\OnboardLogs" /stypes="*4012*201612250*" /stext=" 03:.+((SYSTEM_STATE.+slice.+state.+changed )|(ment ac)|(multiple cpu faults)|(system.+state.+changed )|(\[timeout)|(PRM\|1\|D)|(kpr)|(kdp)|(\|lc)|(penalty))" /e /r /s</v>
      </c>
      <c r="U21" s="9" t="str">
        <f t="shared" si="2"/>
        <v>4012</v>
      </c>
      <c r="V21" s="36">
        <f t="shared" si="3"/>
        <v>42729.127476851849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{"issue":{"subject":"","project_id":79,"tracker_id":40,"status_id":1,"priority_id":2,"assigned_to_id":23,"start_date":"2016-12-24","description":"","custom_fields":[{"id":1,"name":"Subdivision","value":"EC"},{"id":4,"name":"Milepost","value":"0.0001"},{"id":17,"name":"Train ID","value":"220-24"},{"id":16,"name":"Locomotive ID","value":"4012"},{"id":130,"name":"Impact","value":""},{"id":150,"name":"Time of Event (Mountain Time)","value":"20:03:34"},{"id":151,"name":"Denver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"%USERPROFILE%\AppData\Local\Temp\OnboardLogs"\RTDC4012\*4012*201612250*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"%USERPROFILE%\AppData\Local\Temp\OnboardLogs"\RTDC4012\*4012*201612250* &gt;&gt; 42728-slicedisagreementcheck.txt</v>
      </c>
    </row>
    <row r="22" spans="1:30" ht="15" customHeight="1" x14ac:dyDescent="0.25">
      <c r="A22" s="36">
        <v>42728.161273148151</v>
      </c>
      <c r="B22" s="31" t="s">
        <v>290</v>
      </c>
      <c r="C22" s="31" t="s">
        <v>434</v>
      </c>
      <c r="D22" s="31" t="s">
        <v>49</v>
      </c>
      <c r="E22" s="31" t="s">
        <v>200</v>
      </c>
      <c r="F22" s="47">
        <v>0</v>
      </c>
      <c r="G22" s="47">
        <v>18</v>
      </c>
      <c r="H22" s="47">
        <v>233462</v>
      </c>
      <c r="I22" s="47">
        <v>233472</v>
      </c>
      <c r="J22" s="31" t="s">
        <v>201</v>
      </c>
      <c r="K22" s="47">
        <v>233491</v>
      </c>
      <c r="L22" s="154" t="s">
        <v>50</v>
      </c>
      <c r="M22" s="155">
        <f t="shared" si="0"/>
        <v>10.032</v>
      </c>
      <c r="N22" s="156" t="str">
        <f>VLOOKUP(C22,'Trips&amp;Operators'!$C$1:$G$99999,5,FALSE)</f>
        <v>ISHMAEL JOSEPH</v>
      </c>
      <c r="O22" s="183" t="s">
        <v>195</v>
      </c>
      <c r="P22" s="157"/>
      <c r="Q22" s="31"/>
      <c r="R22" s="100" t="str">
        <f>VLOOKUP(C22,'Train Runs'!$A$13:$AE$9977,31,0)</f>
        <v>aws s3 cp s3://rtdc.mdm.uploadarchive.raw/RTDC4044/ "%USERPROFILE%\AppData\Local\Temp\OnboardLogs"\RTDC4044\2016-12-24 --exclude "*" --recursive --include "*20161224*" &amp; "%USERPROFILE%\Documents\GitHub\mrs-test-scripts\Headless Mode &amp; Sideloading\WalkAndUnGZ.bat" "%USERPROFILE%\AppData\Local\Temp\OnboardLogs"\RTDC4044\2016-12-24 &amp; aws s3 cp s3://rtdc.mdm.uploadarchive.raw/RTDC4044/ "%USERPROFILE%\AppData\Local\Temp\OnboardLogs"\RTDC4044\2016-12-25 --exclude "*" --recursive --include "*20161225*" &amp; "%USERPROFILE%\Documents\GitHub\mrs-test-scripts\Headless Mode &amp; Sideloading\WalkAndUnGZ.bat" "%USERPROFILE%\AppData\Local\Temp\OnboardLogs"\RTDC4044\2016-12-25</v>
      </c>
      <c r="S22" s="103" t="str">
        <f>VLOOKUP(C22,'Train Runs'!$A$13:$AE$9977,22,0)</f>
        <v>https://search-rtdc-monitor-bjffxe2xuh6vdkpspy63sjmuny.us-east-1.es.amazonaws.com/_plugin/kibana/#/discover/Steve-Slow-Train-Analysis-(2080s-and-2083s)?_g=(refreshInterval:(display:Off,section:0,value:0),time:(from:'2016-12-24 02:14:07-700',mode:absolute,to:'2016-12-24 04:52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2" s="105" t="str">
        <f t="shared" si="1"/>
        <v>"C:\Program Files (x86)\AstroGrep\AstroGrep.exe" /spath="%USERPROFILE%\AppData\Local\Temp\OnboardLogs" /stypes="*4044*201612241*" /stext=" 10:.+((SYSTEM_STATE.+slice.+state.+changed )|(ment ac)|(multiple cpu faults)|(system.+state.+changed )|(\[timeout)|(PRM\|1\|D)|(kpr)|(kdp)|(\|lc)|(penalty))" /e /r /s</v>
      </c>
      <c r="U22" s="9" t="str">
        <f t="shared" si="2"/>
        <v>4044</v>
      </c>
      <c r="V22" s="36">
        <f t="shared" si="3"/>
        <v>42728.452939814815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ID","value":"101-24"},{"id":16,"name":"Locomotive ID","value":"4044"},{"id":130,"name":"Impact","value":""},{"id":150,"name":"Time of Event (Mountain Time)","value":"03:52:14"},{"id":151,"name":"Denver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"%USERPROFILE%\AppData\Local\Temp\OnboardLogs"\RTDC4044\*4044*201612241*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"%USERPROFILE%\AppData\Local\Temp\OnboardLogs"\RTDC4044\*4044*201612241* &gt;&gt; 42728-slicedisagreementcheck.txt</v>
      </c>
    </row>
    <row r="23" spans="1:30" x14ac:dyDescent="0.25">
      <c r="A23" s="36">
        <v>42728.795613425929</v>
      </c>
      <c r="B23" s="31" t="s">
        <v>204</v>
      </c>
      <c r="C23" s="31" t="s">
        <v>449</v>
      </c>
      <c r="D23" s="31" t="s">
        <v>49</v>
      </c>
      <c r="E23" s="31" t="s">
        <v>200</v>
      </c>
      <c r="F23" s="47">
        <v>0</v>
      </c>
      <c r="G23" s="47">
        <v>68</v>
      </c>
      <c r="H23" s="47">
        <v>233213</v>
      </c>
      <c r="I23" s="47">
        <v>233274</v>
      </c>
      <c r="J23" s="31" t="s">
        <v>201</v>
      </c>
      <c r="K23" s="47">
        <v>233491</v>
      </c>
      <c r="L23" s="154" t="s">
        <v>50</v>
      </c>
      <c r="M23" s="155">
        <f t="shared" si="0"/>
        <v>114.57599999999999</v>
      </c>
      <c r="N23" s="156" t="str">
        <f>VLOOKUP(C23,'Trips&amp;Operators'!$C$1:$G$99999,5,FALSE)</f>
        <v>HILLS DUSTIN</v>
      </c>
      <c r="O23" s="183" t="s">
        <v>195</v>
      </c>
      <c r="P23" s="157"/>
      <c r="Q23" s="31"/>
      <c r="R23" s="100" t="str">
        <f>VLOOKUP(C23,'Train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23" s="103" t="str">
        <f>VLOOKUP(C23,'Train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3" s="105" t="str">
        <f t="shared" si="1"/>
        <v>"C:\Program Files (x86)\AstroGrep\AstroGrep.exe" /spath="%USERPROFILE%\AppData\Local\Temp\OnboardLogs" /stypes="*4011*201612250*" /stext=" 02:.+((SYSTEM_STATE.+slice.+state.+changed )|(ment ac)|(multiple cpu faults)|(system.+state.+changed )|(\[timeout)|(PRM\|1\|D)|(kpr)|(kdp)|(\|lc)|(penalty))" /e /r /s</v>
      </c>
      <c r="U23" s="9" t="str">
        <f t="shared" si="2"/>
        <v>4011</v>
      </c>
      <c r="V23" s="36">
        <f t="shared" si="3"/>
        <v>42729.087280092594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ID","value":"219-24"},{"id":16,"name":"Locomotive ID","value":"4011"},{"id":130,"name":"Impact","value":""},{"id":150,"name":"Time of Event (Mountain Time)","value":"19:05:41"},{"id":151,"name":"Denver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"%USERPROFILE%\AppData\Local\Temp\OnboardLogs"\RTDC4011\*4011*201612250*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24" spans="1:30" x14ac:dyDescent="0.25">
      <c r="A24" s="36">
        <v>42728.795960648145</v>
      </c>
      <c r="B24" s="31" t="s">
        <v>204</v>
      </c>
      <c r="C24" s="31" t="s">
        <v>449</v>
      </c>
      <c r="D24" s="31" t="s">
        <v>49</v>
      </c>
      <c r="E24" s="31" t="s">
        <v>200</v>
      </c>
      <c r="F24" s="47">
        <v>0</v>
      </c>
      <c r="G24" s="47">
        <v>23</v>
      </c>
      <c r="H24" s="47">
        <v>233301</v>
      </c>
      <c r="I24" s="47">
        <v>233314</v>
      </c>
      <c r="J24" s="31" t="s">
        <v>201</v>
      </c>
      <c r="K24" s="47">
        <v>233491</v>
      </c>
      <c r="L24" s="154" t="s">
        <v>50</v>
      </c>
      <c r="M24" s="155">
        <f t="shared" si="0"/>
        <v>93.456000000000003</v>
      </c>
      <c r="N24" s="156" t="str">
        <f>VLOOKUP(C24,'Trips&amp;Operators'!$C$1:$G$99999,5,FALSE)</f>
        <v>HILLS DUSTIN</v>
      </c>
      <c r="O24" s="183" t="s">
        <v>195</v>
      </c>
      <c r="P24" s="157"/>
      <c r="Q24" s="31"/>
      <c r="R24" s="100" t="str">
        <f>VLOOKUP(C24,'Train Runs'!$A$13:$AE$9977,31,0)</f>
        <v>aws s3 cp s3://rtdc.mdm.uploadarchive.raw/RTDC4011/ "%USERPROFILE%\AppData\Local\Temp\OnboardLogs"\RTDC4011\2016-12-24 --exclude "*" --recursive --include "*20161224*" &amp; "%USERPROFILE%\Documents\GitHub\mrs-test-scripts\Headless Mode &amp; Sideloading\WalkAndUnGZ.bat" "%USERPROFILE%\AppData\Local\Temp\OnboardLogs"\RTDC4011\2016-12-24 &amp; aws s3 cp s3://rtdc.mdm.uploadarchive.raw/RTDC4011/ "%USERPROFILE%\AppData\Local\Temp\OnboardLogs"\RTDC4011\2016-12-25 --exclude "*" --recursive --include "*20161225*" &amp; "%USERPROFILE%\Documents\GitHub\mrs-test-scripts\Headless Mode &amp; Sideloading\WalkAndUnGZ.bat" "%USERPROFILE%\AppData\Local\Temp\OnboardLogs"\RTDC4011\2016-12-25</v>
      </c>
      <c r="S24" s="103" t="str">
        <f>VLOOKUP(C24,'Train Runs'!$A$13:$AE$9977,22,0)</f>
        <v>https://search-rtdc-monitor-bjffxe2xuh6vdkpspy63sjmuny.us-east-1.es.amazonaws.com/_plugin/kibana/#/discover/Steve-Slow-Train-Analysis-(2080s-and-2083s)?_g=(refreshInterval:(display:Off,section:0,value:0),time:(from:'2016-12-24 17:23:42-700',mode:absolute,to:'2016-12-24 20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 t="shared" si="1"/>
        <v>"C:\Program Files (x86)\AstroGrep\AstroGrep.exe" /spath="%USERPROFILE%\AppData\Local\Temp\OnboardLogs" /stypes="*4011*201612250*" /stext=" 02:.+((SYSTEM_STATE.+slice.+state.+changed )|(ment ac)|(multiple cpu faults)|(system.+state.+changed )|(\[timeout)|(PRM\|1\|D)|(kpr)|(kdp)|(\|lc)|(penalty))" /e /r /s</v>
      </c>
      <c r="U24" s="9" t="str">
        <f t="shared" si="2"/>
        <v>4011</v>
      </c>
      <c r="V24" s="36">
        <f t="shared" si="3"/>
        <v>42729.08762731481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{"issue":{"subject":"","project_id":79,"tracker_id":40,"status_id":1,"priority_id":2,"assigned_to_id":23,"start_date":"2016-12-24","description":"","custom_fields":[{"id":1,"name":"Subdivision","value":"EC"},{"id":4,"name":"Milepost","value":"23.3491"},{"id":17,"name":"Train ID","value":"219-24"},{"id":16,"name":"Locomotive ID","value":"4011"},{"id":130,"name":"Impact","value":""},{"id":150,"name":"Time of Event (Mountain Time)","value":"19:06:11"},{"id":151,"name":"Denver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"%USERPROFILE%\AppData\Local\Temp\OnboardLogs"\RTDC4011\*4011*201612250*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"%USERPROFILE%\AppData\Local\Temp\OnboardLogs"\RTDC4011\*4011*201612250* &gt;&gt; 42728-slicedisagreementcheck.txt</v>
      </c>
    </row>
    <row r="25" spans="1:30" x14ac:dyDescent="0.25">
      <c r="A25" s="36">
        <v>42728.441550925927</v>
      </c>
      <c r="B25" s="31" t="s">
        <v>289</v>
      </c>
      <c r="C25" s="31" t="s">
        <v>440</v>
      </c>
      <c r="D25" s="31" t="s">
        <v>98</v>
      </c>
      <c r="E25" s="31" t="s">
        <v>200</v>
      </c>
      <c r="F25" s="47">
        <v>0</v>
      </c>
      <c r="G25" s="47">
        <v>5</v>
      </c>
      <c r="H25" s="47">
        <v>59048</v>
      </c>
      <c r="I25" s="47">
        <v>59049</v>
      </c>
      <c r="J25" s="31" t="s">
        <v>201</v>
      </c>
      <c r="K25" s="47">
        <v>59048</v>
      </c>
      <c r="L25" s="154" t="s">
        <v>50</v>
      </c>
      <c r="M25" s="155">
        <f t="shared" si="0"/>
        <v>-0.52800000000000002</v>
      </c>
      <c r="N25" s="156" t="str">
        <f>VLOOKUP(C25,'Trips&amp;Operators'!$C$1:$G$99999,5,FALSE)</f>
        <v>SHOOK JOHN</v>
      </c>
      <c r="O25" s="183" t="s">
        <v>195</v>
      </c>
      <c r="P25" s="157"/>
      <c r="Q25" s="31"/>
      <c r="R25" s="100" t="str">
        <f>VLOOKUP(C25,'Train Runs'!$A$13:$AE$9977,31,0)</f>
        <v>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 &amp; 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</v>
      </c>
      <c r="S25" s="103" t="str">
        <f>VLOOKUP(C25,'Train Runs'!$A$13:$AE$9977,22,0)</f>
        <v>https://search-rtdc-monitor-bjffxe2xuh6vdkpspy63sjmuny.us-east-1.es.amazonaws.com/_plugin/kibana/#/discover/Steve-Slow-Train-Analysis-(2080s-and-2083s)?_g=(refreshInterval:(display:Off,section:0,value:0),time:(from:'2016-12-24 08:59:21-700',mode:absolute,to:'2016-12-24 11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5" s="105" t="str">
        <f t="shared" si="1"/>
        <v>"C:\Program Files (x86)\AstroGrep\AstroGrep.exe" /spath="%USERPROFILE%\AppData\Local\Temp\OnboardLogs" /stypes="*4027*201612241*" /stext=" 17:.+((SYSTEM_STATE.+slice.+state.+changed )|(ment ac)|(multiple cpu faults)|(system.+state.+changed )|(\[timeout)|(PRM\|1\|D)|(kpr)|(kdp)|(\|lc)|(penalty))" /e /r /s</v>
      </c>
      <c r="U25" s="9" t="str">
        <f t="shared" si="2"/>
        <v>4027</v>
      </c>
      <c r="V25" s="36">
        <f t="shared" si="3"/>
        <v>42728.733217592591</v>
      </c>
      <c r="W25" s="50" t="str">
        <f t="shared" si="4"/>
        <v>NW</v>
      </c>
      <c r="X25" s="50" t="str">
        <f t="shared" si="5"/>
        <v>OMIT</v>
      </c>
      <c r="Y25" s="119" t="str">
        <f t="shared" si="6"/>
        <v>echo {"issue":{"subject":"","project_id":79,"tracker_id":40,"status_id":1,"priority_id":2,"assigned_to_id":23,"start_date":"2016-12-24","description":"","custom_fields":[{"id":1,"name":"Subdivision","value":"NW"},{"id":4,"name":"Milepost","value":"5.9048"},{"id":17,"name":"Train ID","value":"1809-24"},{"id":16,"name":"Locomotive ID","value":"4027"},{"id":130,"name":"Impact","value":""},{"id":150,"name":"Time of Event (Mountain Time)","value":"10:35:50"},{"id":151,"name":"Denver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"%USERPROFILE%\AppData\Local\Temp\OnboardLogs"\RTDC4027\*4027*201612241*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"%USERPROFILE%\AppData\Local\Temp\OnboardLogs"\RTDC4027\*4027*201612241* &gt;&gt; 42728-slicedisagreementcheck.txt</v>
      </c>
    </row>
    <row r="26" spans="1:30" x14ac:dyDescent="0.25">
      <c r="A26" s="36">
        <v>42728.480138888888</v>
      </c>
      <c r="B26" s="31" t="s">
        <v>370</v>
      </c>
      <c r="C26" s="31" t="s">
        <v>443</v>
      </c>
      <c r="D26" s="31" t="s">
        <v>98</v>
      </c>
      <c r="E26" s="31" t="s">
        <v>200</v>
      </c>
      <c r="F26" s="47">
        <v>0</v>
      </c>
      <c r="G26" s="47">
        <v>11</v>
      </c>
      <c r="H26" s="47">
        <v>826</v>
      </c>
      <c r="I26" s="47">
        <v>0</v>
      </c>
      <c r="J26" s="31" t="s">
        <v>201</v>
      </c>
      <c r="K26" s="47">
        <v>826</v>
      </c>
      <c r="L26" s="154" t="s">
        <v>51</v>
      </c>
      <c r="M26" s="155">
        <f t="shared" si="0"/>
        <v>-436.12799999999999</v>
      </c>
      <c r="N26" s="156" t="str">
        <f>VLOOKUP(C26,'Trips&amp;Operators'!$C$1:$G$99999,5,FALSE)</f>
        <v>LEVIN SCOTT</v>
      </c>
      <c r="O26" s="183" t="s">
        <v>195</v>
      </c>
      <c r="P26" s="157"/>
      <c r="Q26" s="31"/>
      <c r="R26" s="100" t="str">
        <f>VLOOKUP(C26,'Train Runs'!$A$13:$AE$9977,31,0)</f>
        <v>aws s3 cp s3://rtdc.mdm.uploadarchive.raw/RTDC4054/ "%USERPROFILE%\AppData\Local\Temp\OnboardLogs"\RTDC4054\2016-12-24 --exclude "*" --recursive --include "*20161224*" &amp; "%USERPROFILE%\Documents\GitHub\mrs-test-scripts\Headless Mode &amp; Sideloading\WalkAndUnGZ.bat" "%USERPROFILE%\AppData\Local\Temp\OnboardLogs"\RTDC4054\2016-12-24 &amp; 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</v>
      </c>
      <c r="S26" s="103" t="str">
        <f>VLOOKUP(C26,'Train Runs'!$A$13:$AE$9977,22,0)</f>
        <v>https://search-rtdc-monitor-bjffxe2xuh6vdkpspy63sjmuny.us-east-1.es.amazonaws.com/_plugin/kibana/#/discover/Steve-Slow-Train-Analysis-(2080s-and-2083s)?_g=(refreshInterval:(display:Off,section:0,value:0),time:(from:'2016-12-24 10:22:03-700',mode:absolute,to:'2016-12-24 12:31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6" s="105" t="str">
        <f t="shared" si="1"/>
        <v>"C:\Program Files (x86)\AstroGrep\AstroGrep.exe" /spath="%USERPROFILE%\AppData\Local\Temp\OnboardLogs" /stypes="*4054*201612241*" /stext=" 18:.+((SYSTEM_STATE.+slice.+state.+changed )|(ment ac)|(multiple cpu faults)|(system.+state.+changed )|(\[timeout)|(PRM\|1\|D)|(kpr)|(kdp)|(\|lc)|(penalty))" /e /r /s</v>
      </c>
      <c r="U26" s="9" t="str">
        <f t="shared" si="2"/>
        <v>4054</v>
      </c>
      <c r="V26" s="36">
        <f t="shared" si="3"/>
        <v>42728.771805555552</v>
      </c>
      <c r="W26" s="50" t="str">
        <f t="shared" si="4"/>
        <v>Other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{"issue":{"subject":"","project_id":79,"tracker_id":40,"status_id":1,"priority_id":2,"assigned_to_id":23,"start_date":"2016-12-24","description":"","custom_fields":[{"id":1,"name":"Subdivision","value":"Other"},{"id":4,"name":"Milepost","value":"0.0826"},{"id":17,"name":"Train ID","value":"50-24"},{"id":16,"name":"Locomotive ID","value":"4054"},{"id":130,"name":"Impact","value":""},{"id":150,"name":"Time of Event (Mountain Time)","value":"11:31:24"},{"id":151,"name":"Denver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"%USERPROFILE%\AppData\Local\Temp\OnboardLogs"\RTDC4054\*4054*201612241*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"%USERPROFILE%\AppData\Local\Temp\OnboardLogs"\RTDC4054\*4054*201612241* &gt;&gt; 42728-slicedisagreementcheck.txt</v>
      </c>
    </row>
    <row r="27" spans="1:30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AC27"/>
    </row>
    <row r="28" spans="1:30" ht="15" customHeight="1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ht="15" customHeight="1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74:O1048576 O7:O2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6">
    <cfRule type="expression" dxfId="1" priority="20">
      <formula>$O7="Y"</formula>
    </cfRule>
  </conditionalFormatting>
  <hyperlinks>
    <hyperlink ref="Z14" r:id="rId1"/>
    <hyperlink ref="Z16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AA7:AA26</xm:sqref>
        </x14:dataValidation>
        <x14:dataValidation type="list" allowBlank="1" showInputMessage="1" showErrorMessage="1">
          <x14:formula1>
            <xm:f>'Redmine List Values'!$C$2:$C$15</xm:f>
          </x14:formula1>
          <xm:sqref>AB7:AB26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:XFD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2016-12-24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241</v>
      </c>
      <c r="B3" s="47" t="str">
        <f>A3&amp;"-"&amp;IF(DAY(Variables!$A$2)&lt;10,0,"")&amp;DAY(Variables!$A$2)</f>
        <v>241-24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22241-24%22)),sort:!(Time,asc))</v>
      </c>
      <c r="J3" s="31" t="str">
        <f>VLOOKUP(B3,'Train Runs'!$A$13:$A$99974,1,FALSE)</f>
        <v>241-24</v>
      </c>
      <c r="K3" s="31" t="e">
        <f t="shared" ref="K3:K14" si="1">IF(VLOOKUP(A3,$K$22:$K$45,1,FALSE),"Cancelled")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-24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4" s="31" t="e">
        <f>VLOOKUP(B4,'Train Runs'!$A$13:$A$99974,1,FALSE)</f>
        <v>#N/A</v>
      </c>
      <c r="K4" s="31" t="e">
        <f t="shared" si="1"/>
        <v>#N/A</v>
      </c>
    </row>
    <row r="5" spans="1:11" x14ac:dyDescent="0.25">
      <c r="A5" s="171"/>
      <c r="B5" s="47" t="str">
        <f>A5&amp;"-"&amp;IF(DAY(Variables!$A$2)&lt;10,0,"")&amp;DAY(Variables!$A$2)</f>
        <v>-24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5" s="31" t="e">
        <f>VLOOKUP(B5,'Train Runs'!$A$13:$A$99974,1,FALSE)</f>
        <v>#N/A</v>
      </c>
      <c r="K5" s="31" t="e">
        <f t="shared" si="1"/>
        <v>#N/A</v>
      </c>
    </row>
    <row r="6" spans="1:11" x14ac:dyDescent="0.25">
      <c r="A6" s="171"/>
      <c r="B6" s="47" t="str">
        <f>A6&amp;"-"&amp;IF(DAY(Variables!$A$2)&lt;10,0,"")&amp;DAY(Variables!$A$2)</f>
        <v>-24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6" s="31" t="e">
        <f>VLOOKUP(B6,'Train Runs'!$A$13:$A$99974,1,FALSE)</f>
        <v>#N/A</v>
      </c>
      <c r="K6" s="31" t="e">
        <f t="shared" si="1"/>
        <v>#N/A</v>
      </c>
    </row>
    <row r="7" spans="1:11" x14ac:dyDescent="0.25">
      <c r="A7" s="171"/>
      <c r="B7" s="47" t="str">
        <f>A7&amp;"-"&amp;IF(DAY(Variables!$A$2)&lt;10,0,"")&amp;DAY(Variables!$A$2)</f>
        <v>-24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7" s="31" t="e">
        <f>VLOOKUP(B7,'Train Runs'!$A$13:$A$99974,1,FALSE)</f>
        <v>#N/A</v>
      </c>
      <c r="K7" s="31" t="e">
        <f t="shared" si="1"/>
        <v>#N/A</v>
      </c>
    </row>
    <row r="8" spans="1:11" x14ac:dyDescent="0.25">
      <c r="A8" s="171"/>
      <c r="B8" s="47" t="str">
        <f>A8&amp;"-"&amp;IF(DAY(Variables!$A$2)&lt;10,0,"")&amp;DAY(Variables!$A$2)</f>
        <v>-24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8" s="31" t="e">
        <f>VLOOKUP(B8,'Train Runs'!$A$13:$A$99974,1,FALSE)</f>
        <v>#N/A</v>
      </c>
      <c r="K8" s="31" t="e">
        <f t="shared" si="1"/>
        <v>#N/A</v>
      </c>
    </row>
    <row r="9" spans="1:11" x14ac:dyDescent="0.25">
      <c r="A9" s="171"/>
      <c r="B9" s="47" t="str">
        <f>A9&amp;"-"&amp;IF(DAY(Variables!$A$2)&lt;10,0,"")&amp;DAY(Variables!$A$2)</f>
        <v>-24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9" s="31" t="e">
        <f>VLOOKUP(B9,'Train Runs'!$A$13:$A$99974,1,FALSE)</f>
        <v>#N/A</v>
      </c>
      <c r="K9" s="31" t="e">
        <f t="shared" si="1"/>
        <v>#N/A</v>
      </c>
    </row>
    <row r="10" spans="1:11" x14ac:dyDescent="0.25">
      <c r="A10" s="171"/>
      <c r="B10" s="47" t="str">
        <f>A10&amp;"-"&amp;IF(DAY(Variables!$A$2)&lt;10,0,"")&amp;DAY(Variables!$A$2)</f>
        <v>-24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0" s="31" t="e">
        <f>VLOOKUP(B10,'Train Runs'!$A$13:$A$99974,1,FALSE)</f>
        <v>#N/A</v>
      </c>
      <c r="K10" s="31" t="e">
        <f t="shared" si="1"/>
        <v>#N/A</v>
      </c>
    </row>
    <row r="11" spans="1:11" x14ac:dyDescent="0.25">
      <c r="A11" s="171"/>
      <c r="B11" s="47" t="str">
        <f>A11&amp;"-"&amp;IF(DAY(Variables!$A$2)&lt;10,0,"")&amp;DAY(Variables!$A$2)</f>
        <v>-24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1" s="31" t="e">
        <f>VLOOKUP(B11,'Train Runs'!$A$13:$A$99974,1,FALSE)</f>
        <v>#N/A</v>
      </c>
      <c r="K11" s="31" t="e">
        <f t="shared" si="1"/>
        <v>#N/A</v>
      </c>
    </row>
    <row r="12" spans="1:11" x14ac:dyDescent="0.25">
      <c r="A12" s="171"/>
      <c r="B12" s="47" t="str">
        <f>A12&amp;"-"&amp;IF(DAY(Variables!$A$2)&lt;10,0,"")&amp;DAY(Variables!$A$2)</f>
        <v>-24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2" s="31" t="e">
        <f>VLOOKUP(B12,'Train Runs'!$A$13:$A$99974,1,FALSE)</f>
        <v>#N/A</v>
      </c>
      <c r="K12" s="31" t="e">
        <f t="shared" si="1"/>
        <v>#N/A</v>
      </c>
    </row>
    <row r="13" spans="1:11" x14ac:dyDescent="0.25">
      <c r="A13" s="171"/>
      <c r="B13" s="47" t="str">
        <f>A13&amp;"-"&amp;IF(DAY(Variables!$A$2)&lt;10,0,"")&amp;DAY(Variables!$A$2)</f>
        <v>-24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3" s="31" t="e">
        <f>VLOOKUP(B13,'Train Runs'!$A$13:$A$99974,1,FALSE)</f>
        <v>#N/A</v>
      </c>
      <c r="K13" s="31" t="e">
        <f t="shared" si="1"/>
        <v>#N/A</v>
      </c>
    </row>
    <row r="14" spans="1:11" x14ac:dyDescent="0.25">
      <c r="A14" s="171"/>
      <c r="B14" s="47" t="str">
        <f>A14&amp;"-"&amp;IF(DAY(Variables!$A$2)&lt;10,0,"")&amp;DAY(Variables!$A$2)</f>
        <v>-24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-24%22)),sort:!(Time,asc))</v>
      </c>
      <c r="J14" s="31" t="e">
        <f>VLOOKUP(B14,'Train Runs'!$A$13:$A$99974,1,FALSE)</f>
        <v>#N/A</v>
      </c>
      <c r="K14" s="31" t="e">
        <f t="shared" si="1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252</v>
      </c>
      <c r="G1" s="8" t="s">
        <v>251</v>
      </c>
    </row>
    <row r="2" spans="1:7" x14ac:dyDescent="0.25">
      <c r="A2" s="8">
        <v>42728.034085648149</v>
      </c>
      <c r="B2" s="21" t="s">
        <v>357</v>
      </c>
      <c r="C2" s="21" t="s">
        <v>376</v>
      </c>
      <c r="D2" s="164">
        <v>2270000</v>
      </c>
      <c r="E2" s="21" t="s">
        <v>342</v>
      </c>
      <c r="F2" s="21" t="s">
        <v>343</v>
      </c>
      <c r="G2" s="8" t="str">
        <f>E2&amp;" "&amp;F2</f>
        <v>BROWN JACOB</v>
      </c>
    </row>
    <row r="3" spans="1:7" x14ac:dyDescent="0.25">
      <c r="A3" s="8">
        <v>42728.037743055553</v>
      </c>
      <c r="B3" s="21" t="s">
        <v>257</v>
      </c>
      <c r="C3" s="21" t="s">
        <v>361</v>
      </c>
      <c r="D3" s="164">
        <v>2000000</v>
      </c>
      <c r="E3" s="21" t="s">
        <v>209</v>
      </c>
      <c r="F3" s="21" t="s">
        <v>250</v>
      </c>
      <c r="G3" s="8" t="str">
        <f t="shared" ref="G3:G66" si="0">E3&amp;" "&amp;F3</f>
        <v>STAMBAUGH JAMES</v>
      </c>
    </row>
    <row r="4" spans="1:7" x14ac:dyDescent="0.25">
      <c r="A4" s="8">
        <v>42728.047465277778</v>
      </c>
      <c r="B4" s="21" t="s">
        <v>155</v>
      </c>
      <c r="C4" s="21" t="s">
        <v>377</v>
      </c>
      <c r="D4" s="164">
        <v>2220000</v>
      </c>
      <c r="E4" s="21" t="s">
        <v>340</v>
      </c>
      <c r="F4" s="21" t="s">
        <v>341</v>
      </c>
      <c r="G4" s="8" t="str">
        <f t="shared" si="0"/>
        <v>HILLS DUSTIN</v>
      </c>
    </row>
    <row r="5" spans="1:7" x14ac:dyDescent="0.25">
      <c r="A5" s="8">
        <v>42728.048321759263</v>
      </c>
      <c r="B5" s="21" t="s">
        <v>155</v>
      </c>
      <c r="C5" s="21" t="s">
        <v>377</v>
      </c>
      <c r="D5" s="164">
        <v>2220000</v>
      </c>
      <c r="E5" s="21" t="s">
        <v>340</v>
      </c>
      <c r="F5" s="21" t="s">
        <v>341</v>
      </c>
      <c r="G5" s="8" t="str">
        <f t="shared" si="0"/>
        <v>HILLS DUSTIN</v>
      </c>
    </row>
    <row r="6" spans="1:7" x14ac:dyDescent="0.25">
      <c r="A6" s="8">
        <v>42728.050104166665</v>
      </c>
      <c r="B6" s="21" t="s">
        <v>357</v>
      </c>
      <c r="C6" s="21" t="s">
        <v>376</v>
      </c>
      <c r="D6" s="164">
        <v>2270000</v>
      </c>
      <c r="E6" s="21" t="s">
        <v>342</v>
      </c>
      <c r="F6" s="21" t="s">
        <v>343</v>
      </c>
      <c r="G6" s="8" t="str">
        <f t="shared" si="0"/>
        <v>BROWN JACOB</v>
      </c>
    </row>
    <row r="7" spans="1:7" x14ac:dyDescent="0.25">
      <c r="A7" s="8">
        <v>42728.050856481481</v>
      </c>
      <c r="B7" s="21" t="s">
        <v>291</v>
      </c>
      <c r="C7" s="21" t="s">
        <v>378</v>
      </c>
      <c r="D7" s="164">
        <v>2730000</v>
      </c>
      <c r="E7" s="21" t="s">
        <v>315</v>
      </c>
      <c r="F7" s="21" t="s">
        <v>316</v>
      </c>
      <c r="G7" s="8" t="str">
        <f t="shared" si="0"/>
        <v>YANG JAN</v>
      </c>
    </row>
    <row r="8" spans="1:7" x14ac:dyDescent="0.25">
      <c r="A8" s="8">
        <v>42728.053159722222</v>
      </c>
      <c r="B8" s="21" t="s">
        <v>155</v>
      </c>
      <c r="C8" s="21" t="s">
        <v>377</v>
      </c>
      <c r="D8" s="164">
        <v>2220000</v>
      </c>
      <c r="E8" s="21" t="s">
        <v>340</v>
      </c>
      <c r="F8" s="21" t="s">
        <v>341</v>
      </c>
      <c r="G8" s="8" t="str">
        <f t="shared" si="0"/>
        <v>HILLS DUSTIN</v>
      </c>
    </row>
    <row r="9" spans="1:7" ht="15.75" thickBot="1" x14ac:dyDescent="0.3">
      <c r="A9" s="25">
        <v>42728.053981481484</v>
      </c>
      <c r="B9" s="21" t="s">
        <v>155</v>
      </c>
      <c r="C9" s="21" t="s">
        <v>377</v>
      </c>
      <c r="D9" s="164">
        <v>2220000</v>
      </c>
      <c r="E9" s="21" t="s">
        <v>340</v>
      </c>
      <c r="F9" s="21" t="s">
        <v>341</v>
      </c>
      <c r="G9" s="8" t="str">
        <f t="shared" si="0"/>
        <v>HILLS DUSTIN</v>
      </c>
    </row>
    <row r="10" spans="1:7" x14ac:dyDescent="0.25">
      <c r="A10" s="8">
        <v>42728.055081018516</v>
      </c>
      <c r="B10" s="21" t="s">
        <v>155</v>
      </c>
      <c r="C10" s="21" t="s">
        <v>377</v>
      </c>
      <c r="D10" s="164">
        <v>2220000</v>
      </c>
      <c r="E10" s="21" t="s">
        <v>340</v>
      </c>
      <c r="F10" s="21" t="s">
        <v>341</v>
      </c>
      <c r="G10" s="8" t="str">
        <f t="shared" si="0"/>
        <v>HILLS DUSTIN</v>
      </c>
    </row>
    <row r="11" spans="1:7" x14ac:dyDescent="0.25">
      <c r="A11" s="8">
        <v>42728.056018518517</v>
      </c>
      <c r="B11" s="21" t="s">
        <v>155</v>
      </c>
      <c r="C11" s="21" t="s">
        <v>377</v>
      </c>
      <c r="D11" s="164">
        <v>2220000</v>
      </c>
      <c r="E11" s="21" t="s">
        <v>340</v>
      </c>
      <c r="F11" s="21" t="s">
        <v>341</v>
      </c>
      <c r="G11" s="8" t="str">
        <f t="shared" si="0"/>
        <v>HILLS DUSTIN</v>
      </c>
    </row>
    <row r="12" spans="1:7" x14ac:dyDescent="0.25">
      <c r="A12" s="8">
        <v>42728.056562500002</v>
      </c>
      <c r="B12" s="21" t="s">
        <v>155</v>
      </c>
      <c r="C12" s="21" t="s">
        <v>377</v>
      </c>
      <c r="D12" s="164">
        <v>2220000</v>
      </c>
      <c r="E12" s="21" t="s">
        <v>340</v>
      </c>
      <c r="F12" s="21" t="s">
        <v>341</v>
      </c>
      <c r="G12" s="8" t="str">
        <f t="shared" si="0"/>
        <v>HILLS DUSTIN</v>
      </c>
    </row>
    <row r="13" spans="1:7" x14ac:dyDescent="0.25">
      <c r="A13" s="8">
        <v>42728.057442129626</v>
      </c>
      <c r="B13" s="21" t="s">
        <v>155</v>
      </c>
      <c r="C13" s="21" t="s">
        <v>377</v>
      </c>
      <c r="D13" s="164">
        <v>2220000</v>
      </c>
      <c r="E13" s="21" t="s">
        <v>340</v>
      </c>
      <c r="F13" s="21" t="s">
        <v>341</v>
      </c>
      <c r="G13" s="8" t="str">
        <f t="shared" si="0"/>
        <v>HILLS DUSTIN</v>
      </c>
    </row>
    <row r="14" spans="1:7" x14ac:dyDescent="0.25">
      <c r="A14" s="8">
        <v>42728.058125000003</v>
      </c>
      <c r="B14" s="21" t="s">
        <v>155</v>
      </c>
      <c r="C14" s="21" t="s">
        <v>377</v>
      </c>
      <c r="D14" s="164">
        <v>2220000</v>
      </c>
      <c r="E14" s="21" t="s">
        <v>340</v>
      </c>
      <c r="F14" s="21" t="s">
        <v>341</v>
      </c>
      <c r="G14" s="8" t="str">
        <f t="shared" si="0"/>
        <v>HILLS DUSTIN</v>
      </c>
    </row>
    <row r="15" spans="1:7" x14ac:dyDescent="0.25">
      <c r="A15" s="8">
        <v>42728.068344907406</v>
      </c>
      <c r="B15" s="21" t="s">
        <v>242</v>
      </c>
      <c r="C15" s="21" t="s">
        <v>379</v>
      </c>
      <c r="D15" s="164">
        <v>2000000</v>
      </c>
      <c r="E15" s="21" t="s">
        <v>209</v>
      </c>
      <c r="F15" s="21" t="s">
        <v>250</v>
      </c>
      <c r="G15" s="8" t="str">
        <f t="shared" si="0"/>
        <v>STAMBAUGH JAMES</v>
      </c>
    </row>
    <row r="16" spans="1:7" x14ac:dyDescent="0.25">
      <c r="A16" s="8">
        <v>42728.072638888887</v>
      </c>
      <c r="B16" s="21" t="s">
        <v>360</v>
      </c>
      <c r="C16" s="21" t="s">
        <v>380</v>
      </c>
      <c r="D16" s="164">
        <v>2270000</v>
      </c>
      <c r="E16" s="21" t="s">
        <v>342</v>
      </c>
      <c r="F16" s="21" t="s">
        <v>343</v>
      </c>
      <c r="G16" s="8" t="str">
        <f t="shared" si="0"/>
        <v>BROWN JACOB</v>
      </c>
    </row>
    <row r="17" spans="1:7" x14ac:dyDescent="0.25">
      <c r="A17" s="8">
        <v>42728.089687500003</v>
      </c>
      <c r="B17" s="21" t="s">
        <v>154</v>
      </c>
      <c r="C17" s="21" t="s">
        <v>381</v>
      </c>
      <c r="D17" s="164">
        <v>2220000</v>
      </c>
      <c r="E17" s="21" t="s">
        <v>340</v>
      </c>
      <c r="F17" s="21" t="s">
        <v>341</v>
      </c>
      <c r="G17" s="8" t="str">
        <f t="shared" si="0"/>
        <v>HILLS DUSTIN</v>
      </c>
    </row>
    <row r="18" spans="1:7" x14ac:dyDescent="0.25">
      <c r="A18" s="8">
        <v>42728.090300925927</v>
      </c>
      <c r="B18" s="21" t="s">
        <v>154</v>
      </c>
      <c r="C18" s="21" t="s">
        <v>381</v>
      </c>
      <c r="D18" s="164">
        <v>2220000</v>
      </c>
      <c r="E18" s="21" t="s">
        <v>340</v>
      </c>
      <c r="F18" s="21" t="s">
        <v>341</v>
      </c>
      <c r="G18" s="8" t="str">
        <f t="shared" si="0"/>
        <v>HILLS DUSTIN</v>
      </c>
    </row>
    <row r="19" spans="1:7" x14ac:dyDescent="0.25">
      <c r="A19" s="8">
        <v>42728.111944444441</v>
      </c>
      <c r="B19" s="21" t="s">
        <v>357</v>
      </c>
      <c r="C19" s="21" t="s">
        <v>382</v>
      </c>
      <c r="D19" s="164">
        <v>2270000</v>
      </c>
      <c r="E19" s="21" t="s">
        <v>342</v>
      </c>
      <c r="F19" s="21" t="s">
        <v>343</v>
      </c>
      <c r="G19" s="8" t="str">
        <f t="shared" si="0"/>
        <v>BROWN JACOB</v>
      </c>
    </row>
    <row r="20" spans="1:7" x14ac:dyDescent="0.25">
      <c r="A20" s="8">
        <v>42728.120196759257</v>
      </c>
      <c r="B20" s="21" t="s">
        <v>435</v>
      </c>
      <c r="C20" s="21" t="s">
        <v>456</v>
      </c>
      <c r="D20" s="164">
        <v>2100000</v>
      </c>
      <c r="E20" s="21" t="s">
        <v>330</v>
      </c>
      <c r="F20" s="21" t="s">
        <v>331</v>
      </c>
      <c r="G20" s="8" t="str">
        <f t="shared" si="0"/>
        <v>ISHMAEL JOSEPH</v>
      </c>
    </row>
    <row r="21" spans="1:7" x14ac:dyDescent="0.25">
      <c r="A21" s="8">
        <v>42728.121145833335</v>
      </c>
      <c r="B21" s="21" t="s">
        <v>435</v>
      </c>
      <c r="C21" s="21" t="s">
        <v>456</v>
      </c>
      <c r="D21" s="164">
        <v>2100000</v>
      </c>
      <c r="E21" s="21" t="s">
        <v>330</v>
      </c>
      <c r="F21" s="21" t="s">
        <v>331</v>
      </c>
      <c r="G21" s="8" t="str">
        <f t="shared" si="0"/>
        <v>ISHMAEL JOSEPH</v>
      </c>
    </row>
    <row r="22" spans="1:7" x14ac:dyDescent="0.25">
      <c r="A22" s="27">
        <v>42728.130937499998</v>
      </c>
      <c r="B22" s="21" t="s">
        <v>290</v>
      </c>
      <c r="C22" s="21" t="s">
        <v>434</v>
      </c>
      <c r="D22" s="164">
        <v>2100000</v>
      </c>
      <c r="E22" s="21" t="s">
        <v>330</v>
      </c>
      <c r="F22" s="21" t="s">
        <v>331</v>
      </c>
      <c r="G22" s="8" t="str">
        <f t="shared" si="0"/>
        <v>ISHMAEL JOSEPH</v>
      </c>
    </row>
    <row r="23" spans="1:7" x14ac:dyDescent="0.25">
      <c r="A23" s="8">
        <v>42728.132523148146</v>
      </c>
      <c r="B23" s="21" t="s">
        <v>290</v>
      </c>
      <c r="C23" s="21" t="s">
        <v>434</v>
      </c>
      <c r="D23" s="164">
        <v>2100000</v>
      </c>
      <c r="E23" s="21" t="s">
        <v>330</v>
      </c>
      <c r="F23" s="21" t="s">
        <v>331</v>
      </c>
      <c r="G23" s="8" t="str">
        <f t="shared" si="0"/>
        <v>ISHMAEL JOSEPH</v>
      </c>
    </row>
    <row r="24" spans="1:7" x14ac:dyDescent="0.25">
      <c r="A24" s="8">
        <v>42728.133032407408</v>
      </c>
      <c r="B24" s="21" t="s">
        <v>290</v>
      </c>
      <c r="C24" s="21" t="s">
        <v>434</v>
      </c>
      <c r="D24" s="164">
        <v>2100000</v>
      </c>
      <c r="E24" s="21" t="s">
        <v>330</v>
      </c>
      <c r="F24" s="21" t="s">
        <v>331</v>
      </c>
      <c r="G24" s="8" t="str">
        <f t="shared" si="0"/>
        <v>ISHMAEL JOSEPH</v>
      </c>
    </row>
    <row r="25" spans="1:7" x14ac:dyDescent="0.25">
      <c r="A25" s="8">
        <v>42728.135069444441</v>
      </c>
      <c r="B25" s="21" t="s">
        <v>290</v>
      </c>
      <c r="C25" s="21" t="s">
        <v>434</v>
      </c>
      <c r="D25" s="164">
        <v>2100000</v>
      </c>
      <c r="E25" s="21" t="s">
        <v>330</v>
      </c>
      <c r="F25" s="21" t="s">
        <v>331</v>
      </c>
      <c r="G25" s="8" t="str">
        <f t="shared" si="0"/>
        <v>ISHMAEL JOSEPH</v>
      </c>
    </row>
    <row r="26" spans="1:7" x14ac:dyDescent="0.25">
      <c r="A26" s="8">
        <v>42728.161643518521</v>
      </c>
      <c r="B26" s="21" t="s">
        <v>441</v>
      </c>
      <c r="C26" s="21" t="s">
        <v>457</v>
      </c>
      <c r="D26" s="164">
        <v>2280000</v>
      </c>
      <c r="E26" s="21" t="s">
        <v>458</v>
      </c>
      <c r="F26" s="21" t="s">
        <v>459</v>
      </c>
      <c r="G26" s="8" t="str">
        <f t="shared" si="0"/>
        <v>MAHAN DUANE</v>
      </c>
    </row>
    <row r="27" spans="1:7" x14ac:dyDescent="0.25">
      <c r="A27" s="8">
        <v>42728.167986111112</v>
      </c>
      <c r="B27" s="21" t="s">
        <v>435</v>
      </c>
      <c r="C27" s="21" t="s">
        <v>460</v>
      </c>
      <c r="D27" s="164">
        <v>2100000</v>
      </c>
      <c r="E27" s="21" t="s">
        <v>330</v>
      </c>
      <c r="F27" s="21" t="s">
        <v>331</v>
      </c>
      <c r="G27" s="8" t="str">
        <f t="shared" si="0"/>
        <v>ISHMAEL JOSEPH</v>
      </c>
    </row>
    <row r="28" spans="1:7" x14ac:dyDescent="0.25">
      <c r="A28" s="8">
        <v>42728.172326388885</v>
      </c>
      <c r="B28" s="21" t="s">
        <v>365</v>
      </c>
      <c r="C28" s="21" t="s">
        <v>461</v>
      </c>
      <c r="D28" s="164">
        <v>2280000</v>
      </c>
      <c r="E28" s="21" t="s">
        <v>458</v>
      </c>
      <c r="F28" s="21" t="s">
        <v>459</v>
      </c>
      <c r="G28" s="8" t="str">
        <f t="shared" si="0"/>
        <v>MAHAN DUANE</v>
      </c>
    </row>
    <row r="29" spans="1:7" x14ac:dyDescent="0.25">
      <c r="A29" s="8">
        <v>42728.174907407411</v>
      </c>
      <c r="B29" s="21" t="s">
        <v>210</v>
      </c>
      <c r="C29" s="21" t="s">
        <v>462</v>
      </c>
      <c r="D29" s="164">
        <v>1990000</v>
      </c>
      <c r="E29" s="21" t="s">
        <v>262</v>
      </c>
      <c r="F29" s="21" t="s">
        <v>362</v>
      </c>
      <c r="G29" s="8" t="str">
        <f t="shared" si="0"/>
        <v>DAVIS WENDY</v>
      </c>
    </row>
    <row r="30" spans="1:7" x14ac:dyDescent="0.25">
      <c r="A30" s="8">
        <v>42728.180150462962</v>
      </c>
      <c r="B30" s="21" t="s">
        <v>234</v>
      </c>
      <c r="C30" s="21" t="s">
        <v>463</v>
      </c>
      <c r="D30" s="164">
        <v>2110000</v>
      </c>
      <c r="E30" s="21" t="s">
        <v>293</v>
      </c>
      <c r="F30" s="21" t="s">
        <v>294</v>
      </c>
      <c r="G30" s="8" t="str">
        <f t="shared" si="0"/>
        <v>OUN ZACK</v>
      </c>
    </row>
    <row r="31" spans="1:7" x14ac:dyDescent="0.25">
      <c r="A31" s="8">
        <v>42728.183611111112</v>
      </c>
      <c r="B31" s="21" t="s">
        <v>204</v>
      </c>
      <c r="C31" s="21" t="s">
        <v>464</v>
      </c>
      <c r="D31" s="164">
        <v>1990000</v>
      </c>
      <c r="E31" s="21" t="s">
        <v>262</v>
      </c>
      <c r="F31" s="21" t="s">
        <v>362</v>
      </c>
      <c r="G31" s="8" t="str">
        <f t="shared" si="0"/>
        <v>DAVIS WENDY</v>
      </c>
    </row>
    <row r="32" spans="1:7" x14ac:dyDescent="0.25">
      <c r="A32" s="8">
        <v>42728.193854166668</v>
      </c>
      <c r="B32" s="21" t="s">
        <v>291</v>
      </c>
      <c r="C32" s="21" t="s">
        <v>465</v>
      </c>
      <c r="D32" s="164">
        <v>2110000</v>
      </c>
      <c r="E32" s="21" t="s">
        <v>293</v>
      </c>
      <c r="F32" s="21" t="s">
        <v>294</v>
      </c>
      <c r="G32" s="8" t="str">
        <f t="shared" si="0"/>
        <v>OUN ZACK</v>
      </c>
    </row>
    <row r="33" spans="1:7" x14ac:dyDescent="0.25">
      <c r="A33" s="8">
        <v>42728.206550925926</v>
      </c>
      <c r="B33" s="21" t="s">
        <v>344</v>
      </c>
      <c r="C33" s="21" t="s">
        <v>466</v>
      </c>
      <c r="D33" s="164">
        <v>2100000</v>
      </c>
      <c r="E33" s="21" t="s">
        <v>330</v>
      </c>
      <c r="F33" s="21" t="s">
        <v>331</v>
      </c>
      <c r="G33" s="8" t="str">
        <f t="shared" si="0"/>
        <v>ISHMAEL JOSEPH</v>
      </c>
    </row>
    <row r="34" spans="1:7" x14ac:dyDescent="0.25">
      <c r="A34" s="8">
        <v>42728.206886574073</v>
      </c>
      <c r="B34" s="21" t="s">
        <v>290</v>
      </c>
      <c r="C34" s="21" t="s">
        <v>467</v>
      </c>
      <c r="D34" s="164">
        <v>890000</v>
      </c>
      <c r="E34" s="21" t="s">
        <v>468</v>
      </c>
      <c r="F34" s="21" t="s">
        <v>469</v>
      </c>
      <c r="G34" s="8" t="str">
        <f t="shared" si="0"/>
        <v>LOZA FIDEL</v>
      </c>
    </row>
    <row r="35" spans="1:7" x14ac:dyDescent="0.25">
      <c r="A35" s="8">
        <v>42728.2109837963</v>
      </c>
      <c r="B35" s="21" t="s">
        <v>441</v>
      </c>
      <c r="C35" s="21" t="s">
        <v>470</v>
      </c>
      <c r="D35" s="164">
        <v>2280000</v>
      </c>
      <c r="E35" s="21" t="s">
        <v>458</v>
      </c>
      <c r="F35" s="21" t="s">
        <v>459</v>
      </c>
      <c r="G35" s="8" t="str">
        <f t="shared" si="0"/>
        <v>MAHAN DUANE</v>
      </c>
    </row>
    <row r="36" spans="1:7" x14ac:dyDescent="0.25">
      <c r="A36" s="8">
        <v>42728.219467592593</v>
      </c>
      <c r="B36" s="21" t="s">
        <v>289</v>
      </c>
      <c r="C36" s="21" t="s">
        <v>471</v>
      </c>
      <c r="D36" s="164">
        <v>2020000</v>
      </c>
      <c r="E36" s="21" t="s">
        <v>366</v>
      </c>
      <c r="F36" s="21" t="s">
        <v>248</v>
      </c>
      <c r="G36" s="8" t="str">
        <f t="shared" si="0"/>
        <v>SHOOK JOHN</v>
      </c>
    </row>
    <row r="37" spans="1:7" x14ac:dyDescent="0.25">
      <c r="A37" s="8">
        <v>42728.223993055559</v>
      </c>
      <c r="B37" s="21" t="s">
        <v>210</v>
      </c>
      <c r="C37" s="21" t="s">
        <v>472</v>
      </c>
      <c r="D37" s="164">
        <v>1990000</v>
      </c>
      <c r="E37" s="21" t="s">
        <v>262</v>
      </c>
      <c r="F37" s="21" t="s">
        <v>362</v>
      </c>
      <c r="G37" s="8" t="str">
        <f t="shared" si="0"/>
        <v>DAVIS WENDY</v>
      </c>
    </row>
    <row r="38" spans="1:7" x14ac:dyDescent="0.25">
      <c r="A38" s="8">
        <v>42728.231388888889</v>
      </c>
      <c r="B38" s="21" t="s">
        <v>288</v>
      </c>
      <c r="C38" s="21" t="s">
        <v>473</v>
      </c>
      <c r="D38" s="164">
        <v>2020000</v>
      </c>
      <c r="E38" s="21" t="s">
        <v>366</v>
      </c>
      <c r="F38" s="21" t="s">
        <v>248</v>
      </c>
      <c r="G38" s="8" t="str">
        <f t="shared" si="0"/>
        <v>SHOOK JOHN</v>
      </c>
    </row>
    <row r="39" spans="1:7" x14ac:dyDescent="0.25">
      <c r="A39" s="8">
        <v>42728.231504629628</v>
      </c>
      <c r="B39" s="21" t="s">
        <v>234</v>
      </c>
      <c r="C39" s="21" t="s">
        <v>474</v>
      </c>
      <c r="D39" s="164">
        <v>2110000</v>
      </c>
      <c r="E39" s="21" t="s">
        <v>293</v>
      </c>
      <c r="F39" s="21" t="s">
        <v>294</v>
      </c>
      <c r="G39" s="8" t="str">
        <f t="shared" si="0"/>
        <v>OUN ZACK</v>
      </c>
    </row>
    <row r="40" spans="1:7" x14ac:dyDescent="0.25">
      <c r="A40" s="8">
        <v>42728.231620370374</v>
      </c>
      <c r="B40" s="26" t="s">
        <v>230</v>
      </c>
      <c r="C40" s="21" t="s">
        <v>475</v>
      </c>
      <c r="D40" s="164">
        <v>2030000</v>
      </c>
      <c r="E40" s="21" t="s">
        <v>374</v>
      </c>
      <c r="F40" s="21" t="s">
        <v>249</v>
      </c>
      <c r="G40" s="8" t="str">
        <f t="shared" si="0"/>
        <v>KILLION DAVID</v>
      </c>
    </row>
    <row r="41" spans="1:7" x14ac:dyDescent="0.25">
      <c r="A41" s="8">
        <v>42728.239687499998</v>
      </c>
      <c r="B41" s="21" t="s">
        <v>292</v>
      </c>
      <c r="C41" s="21" t="s">
        <v>476</v>
      </c>
      <c r="D41" s="164">
        <v>890000</v>
      </c>
      <c r="E41" s="21" t="s">
        <v>468</v>
      </c>
      <c r="F41" s="21" t="s">
        <v>469</v>
      </c>
      <c r="G41" s="8" t="str">
        <f t="shared" si="0"/>
        <v>LOZA FIDEL</v>
      </c>
    </row>
    <row r="42" spans="1:7" x14ac:dyDescent="0.25">
      <c r="A42" s="8">
        <v>42728.24927083333</v>
      </c>
      <c r="B42" s="21" t="s">
        <v>365</v>
      </c>
      <c r="C42" s="21" t="s">
        <v>477</v>
      </c>
      <c r="D42" s="164">
        <v>2280000</v>
      </c>
      <c r="E42" s="21" t="s">
        <v>458</v>
      </c>
      <c r="F42" s="21" t="s">
        <v>459</v>
      </c>
      <c r="G42" s="8" t="str">
        <f t="shared" si="0"/>
        <v>MAHAN DUANE</v>
      </c>
    </row>
    <row r="43" spans="1:7" x14ac:dyDescent="0.25">
      <c r="A43" s="8">
        <v>42728.252083333333</v>
      </c>
      <c r="B43" s="21" t="s">
        <v>435</v>
      </c>
      <c r="C43" s="21" t="s">
        <v>478</v>
      </c>
      <c r="D43" s="164">
        <v>2100000</v>
      </c>
      <c r="E43" s="21" t="s">
        <v>330</v>
      </c>
      <c r="F43" s="21" t="s">
        <v>331</v>
      </c>
      <c r="G43" s="8" t="str">
        <f t="shared" si="0"/>
        <v>ISHMAEL JOSEPH</v>
      </c>
    </row>
    <row r="44" spans="1:7" x14ac:dyDescent="0.25">
      <c r="A44" s="8">
        <v>42728.254965277774</v>
      </c>
      <c r="B44" s="21" t="s">
        <v>289</v>
      </c>
      <c r="C44" s="21" t="s">
        <v>479</v>
      </c>
      <c r="D44" s="164">
        <v>2020000</v>
      </c>
      <c r="E44" s="21" t="s">
        <v>366</v>
      </c>
      <c r="F44" s="21" t="s">
        <v>248</v>
      </c>
      <c r="G44" s="8" t="str">
        <f t="shared" si="0"/>
        <v>SHOOK JOHN</v>
      </c>
    </row>
    <row r="45" spans="1:7" x14ac:dyDescent="0.25">
      <c r="A45" s="8">
        <v>42728.258217592593</v>
      </c>
      <c r="B45" s="21" t="s">
        <v>204</v>
      </c>
      <c r="C45" s="21" t="s">
        <v>472</v>
      </c>
      <c r="D45" s="164">
        <v>1990000</v>
      </c>
      <c r="E45" s="21" t="s">
        <v>262</v>
      </c>
      <c r="F45" s="21" t="s">
        <v>362</v>
      </c>
      <c r="G45" s="8" t="str">
        <f t="shared" si="0"/>
        <v>DAVIS WENDY</v>
      </c>
    </row>
    <row r="46" spans="1:7" x14ac:dyDescent="0.25">
      <c r="A46" s="8">
        <v>42728.259143518517</v>
      </c>
      <c r="B46" s="21" t="s">
        <v>204</v>
      </c>
      <c r="C46" s="21" t="s">
        <v>480</v>
      </c>
      <c r="D46" s="164">
        <v>1990000</v>
      </c>
      <c r="E46" s="21" t="s">
        <v>262</v>
      </c>
      <c r="F46" s="21" t="s">
        <v>362</v>
      </c>
      <c r="G46" s="8" t="str">
        <f t="shared" si="0"/>
        <v>DAVIS WENDY</v>
      </c>
    </row>
    <row r="47" spans="1:7" x14ac:dyDescent="0.25">
      <c r="A47" s="8">
        <v>42728.26295138889</v>
      </c>
      <c r="B47" s="21" t="s">
        <v>269</v>
      </c>
      <c r="C47" s="21" t="s">
        <v>481</v>
      </c>
      <c r="D47" s="164">
        <v>1100000</v>
      </c>
      <c r="E47" s="21" t="s">
        <v>332</v>
      </c>
      <c r="F47" s="21" t="s">
        <v>333</v>
      </c>
      <c r="G47" s="8" t="str">
        <f t="shared" si="0"/>
        <v>GEBRETEKLE DAGNEW</v>
      </c>
    </row>
    <row r="48" spans="1:7" x14ac:dyDescent="0.25">
      <c r="A48" s="8">
        <v>42728.267442129632</v>
      </c>
      <c r="B48" s="21" t="s">
        <v>291</v>
      </c>
      <c r="C48" s="21" t="s">
        <v>482</v>
      </c>
      <c r="D48" s="164">
        <v>2110000</v>
      </c>
      <c r="E48" s="21" t="s">
        <v>293</v>
      </c>
      <c r="F48" s="21" t="s">
        <v>294</v>
      </c>
      <c r="G48" s="8" t="str">
        <f t="shared" si="0"/>
        <v>OUN ZACK</v>
      </c>
    </row>
    <row r="49" spans="1:7" x14ac:dyDescent="0.25">
      <c r="A49" s="8">
        <v>42728.274861111109</v>
      </c>
      <c r="B49" s="21" t="s">
        <v>231</v>
      </c>
      <c r="C49" s="21" t="s">
        <v>483</v>
      </c>
      <c r="D49" s="164">
        <v>2140000</v>
      </c>
      <c r="E49" s="21" t="s">
        <v>363</v>
      </c>
      <c r="F49" s="21" t="s">
        <v>364</v>
      </c>
      <c r="G49" s="8" t="str">
        <f t="shared" si="0"/>
        <v>ROBINSON KADDIBA</v>
      </c>
    </row>
    <row r="50" spans="1:7" x14ac:dyDescent="0.25">
      <c r="A50" s="8">
        <v>42728.277141203704</v>
      </c>
      <c r="B50" s="21" t="s">
        <v>290</v>
      </c>
      <c r="C50" s="21" t="s">
        <v>484</v>
      </c>
      <c r="D50" s="164">
        <v>890000</v>
      </c>
      <c r="E50" s="21" t="s">
        <v>468</v>
      </c>
      <c r="F50" s="21" t="s">
        <v>469</v>
      </c>
      <c r="G50" s="8" t="str">
        <f t="shared" si="0"/>
        <v>LOZA FIDEL</v>
      </c>
    </row>
    <row r="51" spans="1:7" x14ac:dyDescent="0.25">
      <c r="A51" s="8">
        <v>42728.277384259258</v>
      </c>
      <c r="B51" s="21" t="s">
        <v>288</v>
      </c>
      <c r="C51" s="21" t="s">
        <v>485</v>
      </c>
      <c r="D51" s="164">
        <v>2020000</v>
      </c>
      <c r="E51" s="21" t="s">
        <v>366</v>
      </c>
      <c r="F51" s="21" t="s">
        <v>248</v>
      </c>
      <c r="G51" s="8" t="str">
        <f t="shared" si="0"/>
        <v>SHOOK JOHN</v>
      </c>
    </row>
    <row r="52" spans="1:7" x14ac:dyDescent="0.25">
      <c r="A52" s="8">
        <v>42728.283101851855</v>
      </c>
      <c r="B52" s="21" t="s">
        <v>356</v>
      </c>
      <c r="C52" s="21" t="s">
        <v>486</v>
      </c>
      <c r="D52" s="164">
        <v>2280000</v>
      </c>
      <c r="E52" s="21" t="s">
        <v>458</v>
      </c>
      <c r="F52" s="21" t="s">
        <v>459</v>
      </c>
      <c r="G52" s="8" t="str">
        <f t="shared" si="0"/>
        <v>MAHAN DUANE</v>
      </c>
    </row>
    <row r="53" spans="1:7" x14ac:dyDescent="0.25">
      <c r="A53" s="8">
        <v>42728.286550925928</v>
      </c>
      <c r="B53" s="21" t="s">
        <v>344</v>
      </c>
      <c r="C53" s="21" t="s">
        <v>487</v>
      </c>
      <c r="D53" s="164">
        <v>2100000</v>
      </c>
      <c r="E53" s="21" t="s">
        <v>330</v>
      </c>
      <c r="F53" s="21" t="s">
        <v>331</v>
      </c>
      <c r="G53" s="8" t="str">
        <f t="shared" si="0"/>
        <v>ISHMAEL JOSEPH</v>
      </c>
    </row>
    <row r="54" spans="1:7" x14ac:dyDescent="0.25">
      <c r="A54" s="8">
        <v>42728.291516203702</v>
      </c>
      <c r="B54" s="21" t="s">
        <v>289</v>
      </c>
      <c r="C54" s="21" t="s">
        <v>488</v>
      </c>
      <c r="D54" s="164">
        <v>2020000</v>
      </c>
      <c r="E54" s="21" t="s">
        <v>366</v>
      </c>
      <c r="F54" s="21" t="s">
        <v>248</v>
      </c>
      <c r="G54" s="8" t="str">
        <f t="shared" si="0"/>
        <v>SHOOK JOHN</v>
      </c>
    </row>
    <row r="55" spans="1:7" x14ac:dyDescent="0.25">
      <c r="A55" s="8">
        <v>42728.293530092589</v>
      </c>
      <c r="B55" s="21" t="s">
        <v>210</v>
      </c>
      <c r="C55" s="21" t="s">
        <v>489</v>
      </c>
      <c r="D55" s="164">
        <v>1990000</v>
      </c>
      <c r="E55" s="21" t="s">
        <v>262</v>
      </c>
      <c r="F55" s="21" t="s">
        <v>362</v>
      </c>
      <c r="G55" s="8" t="str">
        <f t="shared" si="0"/>
        <v>DAVIS WENDY</v>
      </c>
    </row>
    <row r="56" spans="1:7" x14ac:dyDescent="0.25">
      <c r="A56" s="8">
        <v>42728.299259259256</v>
      </c>
      <c r="B56" s="21" t="s">
        <v>270</v>
      </c>
      <c r="C56" s="21" t="s">
        <v>490</v>
      </c>
      <c r="D56" s="164">
        <v>1100000</v>
      </c>
      <c r="E56" s="21" t="s">
        <v>332</v>
      </c>
      <c r="F56" s="21" t="s">
        <v>333</v>
      </c>
      <c r="G56" s="8" t="str">
        <f t="shared" si="0"/>
        <v>GEBRETEKLE DAGNEW</v>
      </c>
    </row>
    <row r="57" spans="1:7" x14ac:dyDescent="0.25">
      <c r="A57" s="8">
        <v>42728.305659722224</v>
      </c>
      <c r="B57" s="21" t="s">
        <v>234</v>
      </c>
      <c r="C57" s="21" t="s">
        <v>491</v>
      </c>
      <c r="D57" s="164">
        <v>2110000</v>
      </c>
      <c r="E57" s="21" t="s">
        <v>293</v>
      </c>
      <c r="F57" s="21" t="s">
        <v>294</v>
      </c>
      <c r="G57" s="8" t="str">
        <f t="shared" si="0"/>
        <v>OUN ZACK</v>
      </c>
    </row>
    <row r="58" spans="1:7" x14ac:dyDescent="0.25">
      <c r="A58" s="8">
        <v>42728.308761574073</v>
      </c>
      <c r="B58" s="21" t="s">
        <v>230</v>
      </c>
      <c r="C58" s="21" t="s">
        <v>492</v>
      </c>
      <c r="D58" s="164">
        <v>2030000</v>
      </c>
      <c r="E58" s="21" t="s">
        <v>374</v>
      </c>
      <c r="F58" s="21" t="s">
        <v>249</v>
      </c>
      <c r="G58" s="8" t="str">
        <f t="shared" si="0"/>
        <v>KILLION DAVID</v>
      </c>
    </row>
    <row r="59" spans="1:7" x14ac:dyDescent="0.25">
      <c r="A59" s="8">
        <v>42728.316828703704</v>
      </c>
      <c r="B59" s="21" t="s">
        <v>292</v>
      </c>
      <c r="C59" s="21" t="s">
        <v>493</v>
      </c>
      <c r="D59" s="164">
        <v>890000</v>
      </c>
      <c r="E59" s="21" t="s">
        <v>468</v>
      </c>
      <c r="F59" s="21" t="s">
        <v>469</v>
      </c>
      <c r="G59" s="8" t="str">
        <f t="shared" si="0"/>
        <v>LOZA FIDEL</v>
      </c>
    </row>
    <row r="60" spans="1:7" x14ac:dyDescent="0.25">
      <c r="A60" s="8">
        <v>42728.318472222221</v>
      </c>
      <c r="B60" s="21" t="s">
        <v>288</v>
      </c>
      <c r="C60" s="21" t="s">
        <v>494</v>
      </c>
      <c r="D60" s="164">
        <v>2020000</v>
      </c>
      <c r="E60" s="21" t="s">
        <v>366</v>
      </c>
      <c r="F60" s="21" t="s">
        <v>248</v>
      </c>
      <c r="G60" s="8" t="str">
        <f t="shared" si="0"/>
        <v>SHOOK JOHN</v>
      </c>
    </row>
    <row r="61" spans="1:7" x14ac:dyDescent="0.25">
      <c r="A61" s="8">
        <v>42728.32068287037</v>
      </c>
      <c r="B61" s="21" t="s">
        <v>365</v>
      </c>
      <c r="C61" s="21" t="s">
        <v>495</v>
      </c>
      <c r="D61" s="164">
        <v>2280000</v>
      </c>
      <c r="E61" s="21" t="s">
        <v>458</v>
      </c>
      <c r="F61" s="21" t="s">
        <v>459</v>
      </c>
      <c r="G61" s="8" t="str">
        <f t="shared" si="0"/>
        <v>MAHAN DUANE</v>
      </c>
    </row>
    <row r="62" spans="1:7" x14ac:dyDescent="0.25">
      <c r="A62" s="8">
        <v>42728.323437500003</v>
      </c>
      <c r="B62" s="21" t="s">
        <v>435</v>
      </c>
      <c r="C62" s="21" t="s">
        <v>436</v>
      </c>
      <c r="D62" s="164">
        <v>2100000</v>
      </c>
      <c r="E62" s="21" t="s">
        <v>330</v>
      </c>
      <c r="F62" s="21" t="s">
        <v>331</v>
      </c>
      <c r="G62" s="8" t="str">
        <f t="shared" si="0"/>
        <v>ISHMAEL JOSEPH</v>
      </c>
    </row>
    <row r="63" spans="1:7" x14ac:dyDescent="0.25">
      <c r="A63" s="8">
        <v>42728.329131944447</v>
      </c>
      <c r="B63" s="21" t="s">
        <v>231</v>
      </c>
      <c r="C63" s="21" t="s">
        <v>492</v>
      </c>
      <c r="D63" s="164">
        <v>2140000</v>
      </c>
      <c r="E63" s="21" t="s">
        <v>363</v>
      </c>
      <c r="F63" s="21" t="s">
        <v>364</v>
      </c>
      <c r="G63" s="8" t="str">
        <f t="shared" si="0"/>
        <v>ROBINSON KADDIBA</v>
      </c>
    </row>
    <row r="64" spans="1:7" x14ac:dyDescent="0.25">
      <c r="A64" s="27">
        <v>42728.329479166663</v>
      </c>
      <c r="B64" s="21" t="s">
        <v>204</v>
      </c>
      <c r="C64" s="21" t="s">
        <v>437</v>
      </c>
      <c r="D64" s="164">
        <v>1990000</v>
      </c>
      <c r="E64" s="21" t="s">
        <v>262</v>
      </c>
      <c r="F64" s="21" t="s">
        <v>362</v>
      </c>
      <c r="G64" s="8" t="str">
        <f t="shared" si="0"/>
        <v>DAVIS WENDY</v>
      </c>
    </row>
    <row r="65" spans="1:7" x14ac:dyDescent="0.25">
      <c r="A65" s="8">
        <v>42728.332731481481</v>
      </c>
      <c r="B65" s="21" t="s">
        <v>289</v>
      </c>
      <c r="C65" s="21" t="s">
        <v>496</v>
      </c>
      <c r="D65" s="164">
        <v>2020000</v>
      </c>
      <c r="E65" s="21" t="s">
        <v>366</v>
      </c>
      <c r="F65" s="21" t="s">
        <v>248</v>
      </c>
      <c r="G65" s="8" t="str">
        <f t="shared" si="0"/>
        <v>SHOOK JOHN</v>
      </c>
    </row>
    <row r="66" spans="1:7" x14ac:dyDescent="0.25">
      <c r="A66" s="8">
        <v>42728.337627314817</v>
      </c>
      <c r="B66" s="21" t="s">
        <v>269</v>
      </c>
      <c r="C66" s="21" t="s">
        <v>497</v>
      </c>
      <c r="D66" s="164">
        <v>1100000</v>
      </c>
      <c r="E66" s="21" t="s">
        <v>332</v>
      </c>
      <c r="F66" s="21" t="s">
        <v>333</v>
      </c>
      <c r="G66" s="8" t="str">
        <f t="shared" si="0"/>
        <v>GEBRETEKLE DAGNEW</v>
      </c>
    </row>
    <row r="67" spans="1:7" x14ac:dyDescent="0.25">
      <c r="A67" s="8">
        <v>42728.340474537035</v>
      </c>
      <c r="B67" s="21" t="s">
        <v>291</v>
      </c>
      <c r="C67" s="21" t="s">
        <v>498</v>
      </c>
      <c r="D67" s="164">
        <v>2110000</v>
      </c>
      <c r="E67" s="21" t="s">
        <v>293</v>
      </c>
      <c r="F67" s="21" t="s">
        <v>294</v>
      </c>
      <c r="G67" s="8" t="str">
        <f t="shared" ref="G67:G130" si="1">E67&amp;" "&amp;F67</f>
        <v>OUN ZACK</v>
      </c>
    </row>
    <row r="68" spans="1:7" x14ac:dyDescent="0.25">
      <c r="A68" s="8">
        <v>42728.349768518521</v>
      </c>
      <c r="B68" s="21" t="s">
        <v>231</v>
      </c>
      <c r="C68" s="21" t="s">
        <v>499</v>
      </c>
      <c r="D68" s="164">
        <v>2140000</v>
      </c>
      <c r="E68" s="21" t="s">
        <v>363</v>
      </c>
      <c r="F68" s="21" t="s">
        <v>364</v>
      </c>
      <c r="G68" s="8" t="str">
        <f t="shared" si="1"/>
        <v>ROBINSON KADDIBA</v>
      </c>
    </row>
    <row r="69" spans="1:7" x14ac:dyDescent="0.25">
      <c r="A69" s="8">
        <v>42728.351122685184</v>
      </c>
      <c r="B69" s="21" t="s">
        <v>290</v>
      </c>
      <c r="C69" s="21" t="s">
        <v>500</v>
      </c>
      <c r="D69" s="164">
        <v>890000</v>
      </c>
      <c r="E69" s="21" t="s">
        <v>468</v>
      </c>
      <c r="F69" s="21" t="s">
        <v>469</v>
      </c>
      <c r="G69" s="8" t="str">
        <f t="shared" si="1"/>
        <v>LOZA FIDEL</v>
      </c>
    </row>
    <row r="70" spans="1:7" x14ac:dyDescent="0.25">
      <c r="A70" s="8">
        <v>42728.356886574074</v>
      </c>
      <c r="B70" s="21" t="s">
        <v>356</v>
      </c>
      <c r="C70" s="21" t="s">
        <v>501</v>
      </c>
      <c r="D70" s="164">
        <v>2280000</v>
      </c>
      <c r="E70" s="21" t="s">
        <v>458</v>
      </c>
      <c r="F70" s="21" t="s">
        <v>459</v>
      </c>
      <c r="G70" s="8" t="str">
        <f t="shared" si="1"/>
        <v>MAHAN DUANE</v>
      </c>
    </row>
    <row r="71" spans="1:7" x14ac:dyDescent="0.25">
      <c r="A71" s="8">
        <v>42728.359803240739</v>
      </c>
      <c r="B71" s="21" t="s">
        <v>288</v>
      </c>
      <c r="C71" s="21" t="s">
        <v>502</v>
      </c>
      <c r="D71" s="164">
        <v>2020000</v>
      </c>
      <c r="E71" s="21" t="s">
        <v>366</v>
      </c>
      <c r="F71" s="21" t="s">
        <v>248</v>
      </c>
      <c r="G71" s="8" t="str">
        <f t="shared" si="1"/>
        <v>SHOOK JOHN</v>
      </c>
    </row>
    <row r="72" spans="1:7" x14ac:dyDescent="0.25">
      <c r="A72" s="8">
        <v>42728.361724537041</v>
      </c>
      <c r="B72" s="21" t="s">
        <v>344</v>
      </c>
      <c r="C72" s="21" t="s">
        <v>503</v>
      </c>
      <c r="D72" s="164">
        <v>2100000</v>
      </c>
      <c r="E72" s="21" t="s">
        <v>330</v>
      </c>
      <c r="F72" s="21" t="s">
        <v>331</v>
      </c>
      <c r="G72" s="8" t="str">
        <f t="shared" si="1"/>
        <v>ISHMAEL JOSEPH</v>
      </c>
    </row>
    <row r="73" spans="1:7" x14ac:dyDescent="0.25">
      <c r="A73" s="8">
        <v>42728.362430555557</v>
      </c>
      <c r="B73" s="21" t="s">
        <v>288</v>
      </c>
      <c r="C73" s="21" t="s">
        <v>502</v>
      </c>
      <c r="D73" s="164">
        <v>2020000</v>
      </c>
      <c r="E73" s="21" t="s">
        <v>366</v>
      </c>
      <c r="F73" s="21" t="s">
        <v>248</v>
      </c>
      <c r="G73" s="8" t="str">
        <f t="shared" si="1"/>
        <v>SHOOK JOHN</v>
      </c>
    </row>
    <row r="74" spans="1:7" x14ac:dyDescent="0.25">
      <c r="A74" s="8">
        <v>42728.369525462964</v>
      </c>
      <c r="B74" s="21" t="s">
        <v>210</v>
      </c>
      <c r="C74" s="21" t="s">
        <v>438</v>
      </c>
      <c r="D74" s="164">
        <v>1990000</v>
      </c>
      <c r="E74" s="21" t="s">
        <v>262</v>
      </c>
      <c r="F74" s="21" t="s">
        <v>362</v>
      </c>
      <c r="G74" s="8" t="str">
        <f t="shared" si="1"/>
        <v>DAVIS WENDY</v>
      </c>
    </row>
    <row r="75" spans="1:7" x14ac:dyDescent="0.25">
      <c r="A75" s="8">
        <v>42728.373090277775</v>
      </c>
      <c r="B75" s="21" t="s">
        <v>270</v>
      </c>
      <c r="C75" s="21" t="s">
        <v>504</v>
      </c>
      <c r="D75" s="164">
        <v>1100000</v>
      </c>
      <c r="E75" s="21" t="s">
        <v>332</v>
      </c>
      <c r="F75" s="21" t="s">
        <v>333</v>
      </c>
      <c r="G75" s="8" t="str">
        <f t="shared" si="1"/>
        <v>GEBRETEKLE DAGNEW</v>
      </c>
    </row>
    <row r="76" spans="1:7" x14ac:dyDescent="0.25">
      <c r="A76" s="8">
        <v>42728.375335648147</v>
      </c>
      <c r="B76" s="21" t="s">
        <v>289</v>
      </c>
      <c r="C76" s="21" t="s">
        <v>505</v>
      </c>
      <c r="D76" s="164">
        <v>2020000</v>
      </c>
      <c r="E76" s="21" t="s">
        <v>366</v>
      </c>
      <c r="F76" s="21" t="s">
        <v>248</v>
      </c>
      <c r="G76" s="8" t="str">
        <f t="shared" si="1"/>
        <v>SHOOK JOHN</v>
      </c>
    </row>
    <row r="77" spans="1:7" x14ac:dyDescent="0.25">
      <c r="A77" s="8">
        <v>42728.377557870372</v>
      </c>
      <c r="B77" s="21" t="s">
        <v>234</v>
      </c>
      <c r="C77" s="21" t="s">
        <v>506</v>
      </c>
      <c r="D77" s="164">
        <v>2110000</v>
      </c>
      <c r="E77" s="21" t="s">
        <v>293</v>
      </c>
      <c r="F77" s="21" t="s">
        <v>294</v>
      </c>
      <c r="G77" s="8" t="str">
        <f t="shared" si="1"/>
        <v>OUN ZACK</v>
      </c>
    </row>
    <row r="78" spans="1:7" x14ac:dyDescent="0.25">
      <c r="A78" s="8">
        <v>42728.390011574076</v>
      </c>
      <c r="B78" s="21" t="s">
        <v>445</v>
      </c>
      <c r="C78" s="21" t="s">
        <v>507</v>
      </c>
      <c r="D78" s="164">
        <v>1760000</v>
      </c>
      <c r="E78" s="21" t="s">
        <v>372</v>
      </c>
      <c r="F78" s="21" t="s">
        <v>373</v>
      </c>
      <c r="G78" s="8" t="str">
        <f t="shared" si="1"/>
        <v>STRICKLAND EVAN</v>
      </c>
    </row>
    <row r="79" spans="1:7" x14ac:dyDescent="0.25">
      <c r="A79" s="8">
        <v>42728.390069444446</v>
      </c>
      <c r="B79" s="21" t="s">
        <v>292</v>
      </c>
      <c r="C79" s="21" t="s">
        <v>508</v>
      </c>
      <c r="D79" s="164">
        <v>890000</v>
      </c>
      <c r="E79" s="21" t="s">
        <v>468</v>
      </c>
      <c r="F79" s="21" t="s">
        <v>469</v>
      </c>
      <c r="G79" s="8" t="str">
        <f t="shared" si="1"/>
        <v>LOZA FIDEL</v>
      </c>
    </row>
    <row r="80" spans="1:7" x14ac:dyDescent="0.25">
      <c r="A80" s="8">
        <v>42728.393564814818</v>
      </c>
      <c r="B80" s="21" t="s">
        <v>365</v>
      </c>
      <c r="C80" s="21" t="s">
        <v>509</v>
      </c>
      <c r="D80" s="164">
        <v>2280000</v>
      </c>
      <c r="E80" s="21" t="s">
        <v>458</v>
      </c>
      <c r="F80" s="21" t="s">
        <v>459</v>
      </c>
      <c r="G80" s="8" t="str">
        <f t="shared" si="1"/>
        <v>MAHAN DUANE</v>
      </c>
    </row>
    <row r="81" spans="1:7" x14ac:dyDescent="0.25">
      <c r="A81" s="8">
        <v>42728.395231481481</v>
      </c>
      <c r="B81" s="21" t="s">
        <v>435</v>
      </c>
      <c r="C81" s="21" t="s">
        <v>439</v>
      </c>
      <c r="D81" s="164">
        <v>2100000</v>
      </c>
      <c r="E81" s="21" t="s">
        <v>330</v>
      </c>
      <c r="F81" s="21" t="s">
        <v>331</v>
      </c>
      <c r="G81" s="8" t="str">
        <f t="shared" si="1"/>
        <v>ISHMAEL JOSEPH</v>
      </c>
    </row>
    <row r="82" spans="1:7" x14ac:dyDescent="0.25">
      <c r="A82" s="8">
        <v>42728.401747685188</v>
      </c>
      <c r="B82" s="21" t="s">
        <v>288</v>
      </c>
      <c r="C82" s="21" t="s">
        <v>510</v>
      </c>
      <c r="D82" s="164">
        <v>2020000</v>
      </c>
      <c r="E82" s="21" t="s">
        <v>366</v>
      </c>
      <c r="F82" s="21" t="s">
        <v>248</v>
      </c>
      <c r="G82" s="8" t="str">
        <f t="shared" si="1"/>
        <v>SHOOK JOHN</v>
      </c>
    </row>
    <row r="83" spans="1:7" x14ac:dyDescent="0.25">
      <c r="A83" s="8">
        <v>42728.40253472222</v>
      </c>
      <c r="B83" s="21" t="s">
        <v>204</v>
      </c>
      <c r="C83" s="21" t="s">
        <v>511</v>
      </c>
      <c r="D83" s="164">
        <v>1990000</v>
      </c>
      <c r="E83" s="21" t="s">
        <v>262</v>
      </c>
      <c r="F83" s="21" t="s">
        <v>362</v>
      </c>
      <c r="G83" s="8" t="str">
        <f t="shared" si="1"/>
        <v>DAVIS WENDY</v>
      </c>
    </row>
    <row r="84" spans="1:7" x14ac:dyDescent="0.25">
      <c r="A84" s="8">
        <v>42728.411944444444</v>
      </c>
      <c r="B84" s="21" t="s">
        <v>269</v>
      </c>
      <c r="C84" s="21" t="s">
        <v>512</v>
      </c>
      <c r="D84" s="164">
        <v>1100000</v>
      </c>
      <c r="E84" s="21" t="s">
        <v>332</v>
      </c>
      <c r="F84" s="21" t="s">
        <v>333</v>
      </c>
      <c r="G84" s="8" t="str">
        <f t="shared" si="1"/>
        <v>GEBRETEKLE DAGNEW</v>
      </c>
    </row>
    <row r="85" spans="1:7" x14ac:dyDescent="0.25">
      <c r="A85" s="8">
        <v>42728.413900462961</v>
      </c>
      <c r="B85" s="21" t="s">
        <v>291</v>
      </c>
      <c r="C85" s="21" t="s">
        <v>513</v>
      </c>
      <c r="D85" s="164">
        <v>2110000</v>
      </c>
      <c r="E85" s="21" t="s">
        <v>293</v>
      </c>
      <c r="F85" s="21" t="s">
        <v>294</v>
      </c>
      <c r="G85" s="8" t="str">
        <f t="shared" si="1"/>
        <v>OUN ZACK</v>
      </c>
    </row>
    <row r="86" spans="1:7" x14ac:dyDescent="0.25">
      <c r="A86" s="8">
        <v>42728.416562500002</v>
      </c>
      <c r="B86" s="21" t="s">
        <v>289</v>
      </c>
      <c r="C86" s="21" t="s">
        <v>440</v>
      </c>
      <c r="D86" s="164">
        <v>2020000</v>
      </c>
      <c r="E86" s="21" t="s">
        <v>366</v>
      </c>
      <c r="F86" s="21" t="s">
        <v>248</v>
      </c>
      <c r="G86" s="8" t="str">
        <f t="shared" si="1"/>
        <v>SHOOK JOHN</v>
      </c>
    </row>
    <row r="87" spans="1:7" x14ac:dyDescent="0.25">
      <c r="A87" s="8">
        <v>42728.420856481483</v>
      </c>
      <c r="B87" s="21" t="s">
        <v>441</v>
      </c>
      <c r="C87" s="21" t="s">
        <v>442</v>
      </c>
      <c r="D87" s="164">
        <v>1760000</v>
      </c>
      <c r="E87" s="21" t="s">
        <v>372</v>
      </c>
      <c r="F87" s="21" t="s">
        <v>373</v>
      </c>
      <c r="G87" s="8" t="str">
        <f t="shared" si="1"/>
        <v>STRICKLAND EVAN</v>
      </c>
    </row>
    <row r="88" spans="1:7" x14ac:dyDescent="0.25">
      <c r="A88" s="8">
        <v>42728.424224537041</v>
      </c>
      <c r="B88" s="21" t="s">
        <v>290</v>
      </c>
      <c r="C88" s="21" t="s">
        <v>514</v>
      </c>
      <c r="D88" s="164">
        <v>890000</v>
      </c>
      <c r="E88" s="21" t="s">
        <v>468</v>
      </c>
      <c r="F88" s="21" t="s">
        <v>469</v>
      </c>
      <c r="G88" s="8" t="str">
        <f t="shared" si="1"/>
        <v>LOZA FIDEL</v>
      </c>
    </row>
    <row r="89" spans="1:7" x14ac:dyDescent="0.25">
      <c r="A89" s="8">
        <v>42728.427847222221</v>
      </c>
      <c r="B89" s="21" t="s">
        <v>356</v>
      </c>
      <c r="C89" s="21" t="s">
        <v>515</v>
      </c>
      <c r="D89" s="164">
        <v>2280000</v>
      </c>
      <c r="E89" s="21" t="s">
        <v>458</v>
      </c>
      <c r="F89" s="21" t="s">
        <v>459</v>
      </c>
      <c r="G89" s="8" t="str">
        <f t="shared" si="1"/>
        <v>MAHAN DUANE</v>
      </c>
    </row>
    <row r="90" spans="1:7" x14ac:dyDescent="0.25">
      <c r="A90" s="8">
        <v>42728.432638888888</v>
      </c>
      <c r="B90" s="21" t="s">
        <v>230</v>
      </c>
      <c r="C90" s="21" t="s">
        <v>516</v>
      </c>
      <c r="D90" s="164">
        <v>1820000</v>
      </c>
      <c r="E90" s="21" t="s">
        <v>517</v>
      </c>
      <c r="F90" s="21" t="s">
        <v>518</v>
      </c>
      <c r="G90" s="8" t="str">
        <f t="shared" si="1"/>
        <v>ADANE ELSHADAY</v>
      </c>
    </row>
    <row r="91" spans="1:7" x14ac:dyDescent="0.25">
      <c r="A91" s="8">
        <v>42728.439930555556</v>
      </c>
      <c r="B91" s="21" t="s">
        <v>210</v>
      </c>
      <c r="C91" s="21" t="s">
        <v>519</v>
      </c>
      <c r="D91" s="164">
        <v>1990000</v>
      </c>
      <c r="E91" s="21" t="s">
        <v>262</v>
      </c>
      <c r="F91" s="21" t="s">
        <v>362</v>
      </c>
      <c r="G91" s="8" t="str">
        <f t="shared" si="1"/>
        <v>DAVIS WENDY</v>
      </c>
    </row>
    <row r="92" spans="1:7" x14ac:dyDescent="0.25">
      <c r="A92" s="8">
        <v>42728.443645833337</v>
      </c>
      <c r="B92" s="21" t="s">
        <v>288</v>
      </c>
      <c r="C92" s="21" t="s">
        <v>520</v>
      </c>
      <c r="D92" s="164">
        <v>2020000</v>
      </c>
      <c r="E92" s="21" t="s">
        <v>366</v>
      </c>
      <c r="F92" s="21" t="s">
        <v>248</v>
      </c>
      <c r="G92" s="8" t="str">
        <f t="shared" si="1"/>
        <v>SHOOK JOHN</v>
      </c>
    </row>
    <row r="93" spans="1:7" x14ac:dyDescent="0.25">
      <c r="A93" s="8">
        <v>42728.444456018522</v>
      </c>
      <c r="B93" s="21" t="s">
        <v>270</v>
      </c>
      <c r="C93" s="21" t="s">
        <v>521</v>
      </c>
      <c r="D93" s="164">
        <v>1100000</v>
      </c>
      <c r="E93" s="21" t="s">
        <v>332</v>
      </c>
      <c r="F93" s="21" t="s">
        <v>333</v>
      </c>
      <c r="G93" s="8" t="str">
        <f t="shared" si="1"/>
        <v>GEBRETEKLE DAGNEW</v>
      </c>
    </row>
    <row r="94" spans="1:7" x14ac:dyDescent="0.25">
      <c r="A94" s="8">
        <v>42728.451180555552</v>
      </c>
      <c r="B94" s="21" t="s">
        <v>234</v>
      </c>
      <c r="C94" s="21" t="s">
        <v>522</v>
      </c>
      <c r="D94" s="164">
        <v>2110000</v>
      </c>
      <c r="E94" s="21" t="s">
        <v>293</v>
      </c>
      <c r="F94" s="21" t="s">
        <v>294</v>
      </c>
      <c r="G94" s="8" t="str">
        <f t="shared" si="1"/>
        <v>OUN ZACK</v>
      </c>
    </row>
    <row r="95" spans="1:7" x14ac:dyDescent="0.25">
      <c r="A95" s="8">
        <v>42728.455613425926</v>
      </c>
      <c r="B95" s="21" t="s">
        <v>445</v>
      </c>
      <c r="C95" s="21" t="s">
        <v>523</v>
      </c>
      <c r="D95" s="164">
        <v>880000</v>
      </c>
      <c r="E95" s="21" t="s">
        <v>369</v>
      </c>
      <c r="F95" s="21" t="s">
        <v>261</v>
      </c>
      <c r="G95" s="8" t="str">
        <f t="shared" si="1"/>
        <v>STEWART MICHAEL</v>
      </c>
    </row>
    <row r="96" spans="1:7" x14ac:dyDescent="0.25">
      <c r="A96" s="8">
        <v>42728.457615740743</v>
      </c>
      <c r="B96" s="21" t="s">
        <v>289</v>
      </c>
      <c r="C96" s="21" t="s">
        <v>524</v>
      </c>
      <c r="D96" s="164">
        <v>2020000</v>
      </c>
      <c r="E96" s="21" t="s">
        <v>366</v>
      </c>
      <c r="F96" s="21" t="s">
        <v>248</v>
      </c>
      <c r="G96" s="8" t="str">
        <f t="shared" si="1"/>
        <v>SHOOK JOHN</v>
      </c>
    </row>
    <row r="97" spans="1:7" x14ac:dyDescent="0.25">
      <c r="A97" s="8">
        <v>42728.459733796299</v>
      </c>
      <c r="B97" s="21" t="s">
        <v>292</v>
      </c>
      <c r="C97" s="21" t="s">
        <v>525</v>
      </c>
      <c r="D97" s="164">
        <v>890000</v>
      </c>
      <c r="E97" s="21" t="s">
        <v>468</v>
      </c>
      <c r="F97" s="21" t="s">
        <v>469</v>
      </c>
      <c r="G97" s="8" t="str">
        <f t="shared" si="1"/>
        <v>LOZA FIDEL</v>
      </c>
    </row>
    <row r="98" spans="1:7" x14ac:dyDescent="0.25">
      <c r="A98" s="8">
        <v>42728.463900462964</v>
      </c>
      <c r="B98" s="21" t="s">
        <v>231</v>
      </c>
      <c r="C98" s="21" t="s">
        <v>526</v>
      </c>
      <c r="D98" s="164">
        <v>1820000</v>
      </c>
      <c r="E98" s="21" t="s">
        <v>517</v>
      </c>
      <c r="F98" s="21" t="s">
        <v>518</v>
      </c>
      <c r="G98" s="8" t="str">
        <f t="shared" si="1"/>
        <v>ADANE ELSHADAY</v>
      </c>
    </row>
    <row r="99" spans="1:7" x14ac:dyDescent="0.25">
      <c r="A99" s="8">
        <v>42728.467430555553</v>
      </c>
      <c r="B99" s="21" t="s">
        <v>365</v>
      </c>
      <c r="C99" s="21" t="s">
        <v>527</v>
      </c>
      <c r="D99" s="164">
        <v>2470000</v>
      </c>
      <c r="E99" s="21" t="s">
        <v>528</v>
      </c>
      <c r="F99" s="21" t="s">
        <v>529</v>
      </c>
      <c r="G99" s="8" t="str">
        <f t="shared" si="1"/>
        <v>ROMERO CHAD</v>
      </c>
    </row>
    <row r="100" spans="1:7" x14ac:dyDescent="0.25">
      <c r="A100" s="8">
        <v>42728.474085648151</v>
      </c>
      <c r="B100" s="21" t="s">
        <v>370</v>
      </c>
      <c r="C100" s="21" t="s">
        <v>443</v>
      </c>
      <c r="D100" s="164">
        <v>1300000</v>
      </c>
      <c r="E100" s="21" t="s">
        <v>113</v>
      </c>
      <c r="F100" s="21" t="s">
        <v>530</v>
      </c>
      <c r="G100" s="8" t="str">
        <f t="shared" si="1"/>
        <v>LEVIN SCOTT</v>
      </c>
    </row>
    <row r="101" spans="1:7" x14ac:dyDescent="0.25">
      <c r="A101" s="8">
        <v>42728.47729166667</v>
      </c>
      <c r="B101" s="21" t="s">
        <v>204</v>
      </c>
      <c r="C101" s="21" t="s">
        <v>531</v>
      </c>
      <c r="D101" s="164">
        <v>1770000</v>
      </c>
      <c r="E101" s="21" t="s">
        <v>338</v>
      </c>
      <c r="F101" s="21" t="s">
        <v>339</v>
      </c>
      <c r="G101" s="8" t="str">
        <f t="shared" si="1"/>
        <v>BRUDER RICHARD</v>
      </c>
    </row>
    <row r="102" spans="1:7" x14ac:dyDescent="0.25">
      <c r="A102" s="8">
        <v>42728.483819444446</v>
      </c>
      <c r="B102" s="21" t="s">
        <v>269</v>
      </c>
      <c r="C102" s="21" t="s">
        <v>532</v>
      </c>
      <c r="D102" s="164">
        <v>1100000</v>
      </c>
      <c r="E102" s="21" t="s">
        <v>332</v>
      </c>
      <c r="F102" s="21" t="s">
        <v>333</v>
      </c>
      <c r="G102" s="8" t="str">
        <f t="shared" si="1"/>
        <v>GEBRETEKLE DAGNEW</v>
      </c>
    </row>
    <row r="103" spans="1:7" x14ac:dyDescent="0.25">
      <c r="A103" s="8">
        <v>42728.48510416667</v>
      </c>
      <c r="B103" s="21" t="s">
        <v>288</v>
      </c>
      <c r="C103" s="21" t="s">
        <v>533</v>
      </c>
      <c r="D103" s="164">
        <v>2020000</v>
      </c>
      <c r="E103" s="21" t="s">
        <v>366</v>
      </c>
      <c r="F103" s="21" t="s">
        <v>248</v>
      </c>
      <c r="G103" s="8" t="str">
        <f t="shared" si="1"/>
        <v>SHOOK JOHN</v>
      </c>
    </row>
    <row r="104" spans="1:7" x14ac:dyDescent="0.25">
      <c r="A104" s="8">
        <v>42728.486701388887</v>
      </c>
      <c r="B104" s="21" t="s">
        <v>291</v>
      </c>
      <c r="C104" s="21" t="s">
        <v>534</v>
      </c>
      <c r="D104" s="164">
        <v>2030000</v>
      </c>
      <c r="E104" s="21" t="s">
        <v>374</v>
      </c>
      <c r="F104" s="21" t="s">
        <v>249</v>
      </c>
      <c r="G104" s="8" t="str">
        <f t="shared" si="1"/>
        <v>KILLION DAVID</v>
      </c>
    </row>
    <row r="105" spans="1:7" x14ac:dyDescent="0.25">
      <c r="A105" s="8">
        <v>42728.495925925927</v>
      </c>
      <c r="B105" s="21" t="s">
        <v>441</v>
      </c>
      <c r="C105" s="21" t="s">
        <v>535</v>
      </c>
      <c r="D105" s="164">
        <v>880000</v>
      </c>
      <c r="E105" s="21" t="s">
        <v>369</v>
      </c>
      <c r="F105" s="21" t="s">
        <v>261</v>
      </c>
      <c r="G105" s="8" t="str">
        <f t="shared" si="1"/>
        <v>STEWART MICHAEL</v>
      </c>
    </row>
    <row r="106" spans="1:7" x14ac:dyDescent="0.25">
      <c r="A106" s="8">
        <v>42728.496053240742</v>
      </c>
      <c r="B106" s="21" t="s">
        <v>290</v>
      </c>
      <c r="C106" s="21" t="s">
        <v>536</v>
      </c>
      <c r="D106" s="164">
        <v>1300000</v>
      </c>
      <c r="E106" s="21" t="s">
        <v>113</v>
      </c>
      <c r="F106" s="21" t="s">
        <v>530</v>
      </c>
      <c r="G106" s="8" t="str">
        <f t="shared" si="1"/>
        <v>LEVIN SCOTT</v>
      </c>
    </row>
    <row r="107" spans="1:7" x14ac:dyDescent="0.25">
      <c r="A107" s="8">
        <v>42728.499745370369</v>
      </c>
      <c r="B107" s="21" t="s">
        <v>289</v>
      </c>
      <c r="C107" s="21" t="s">
        <v>537</v>
      </c>
      <c r="D107" s="164">
        <v>2020000</v>
      </c>
      <c r="E107" s="21" t="s">
        <v>366</v>
      </c>
      <c r="F107" s="21" t="s">
        <v>248</v>
      </c>
      <c r="G107" s="8" t="str">
        <f t="shared" si="1"/>
        <v>SHOOK JOHN</v>
      </c>
    </row>
    <row r="108" spans="1:7" x14ac:dyDescent="0.25">
      <c r="A108" s="8">
        <v>42728.500335648147</v>
      </c>
      <c r="B108" s="21" t="s">
        <v>356</v>
      </c>
      <c r="C108" s="21" t="s">
        <v>444</v>
      </c>
      <c r="D108" s="164">
        <v>2470000</v>
      </c>
      <c r="E108" s="21" t="s">
        <v>528</v>
      </c>
      <c r="F108" s="21" t="s">
        <v>529</v>
      </c>
      <c r="G108" s="8" t="str">
        <f t="shared" si="1"/>
        <v>ROMERO CHAD</v>
      </c>
    </row>
    <row r="109" spans="1:7" x14ac:dyDescent="0.25">
      <c r="A109" s="8">
        <v>42728.503692129627</v>
      </c>
      <c r="B109" s="21" t="s">
        <v>371</v>
      </c>
      <c r="C109" s="21" t="s">
        <v>538</v>
      </c>
      <c r="D109" s="164">
        <v>890000</v>
      </c>
      <c r="E109" s="21" t="s">
        <v>468</v>
      </c>
      <c r="F109" s="21" t="s">
        <v>469</v>
      </c>
      <c r="G109" s="8" t="str">
        <f t="shared" si="1"/>
        <v>LOZA FIDEL</v>
      </c>
    </row>
    <row r="110" spans="1:7" x14ac:dyDescent="0.25">
      <c r="A110" s="8">
        <v>42728.504976851851</v>
      </c>
      <c r="B110" s="21" t="s">
        <v>230</v>
      </c>
      <c r="C110" s="21" t="s">
        <v>539</v>
      </c>
      <c r="D110" s="164">
        <v>1820000</v>
      </c>
      <c r="E110" s="21" t="s">
        <v>517</v>
      </c>
      <c r="F110" s="21" t="s">
        <v>518</v>
      </c>
      <c r="G110" s="8" t="str">
        <f t="shared" si="1"/>
        <v>ADANE ELSHADAY</v>
      </c>
    </row>
    <row r="111" spans="1:7" x14ac:dyDescent="0.25">
      <c r="A111" s="8">
        <v>42728.51494212963</v>
      </c>
      <c r="B111" s="21" t="s">
        <v>210</v>
      </c>
      <c r="C111" s="21" t="s">
        <v>540</v>
      </c>
      <c r="D111" s="164">
        <v>1770000</v>
      </c>
      <c r="E111" s="21" t="s">
        <v>338</v>
      </c>
      <c r="F111" s="21" t="s">
        <v>339</v>
      </c>
      <c r="G111" s="8" t="str">
        <f t="shared" si="1"/>
        <v>BRUDER RICHARD</v>
      </c>
    </row>
    <row r="112" spans="1:7" x14ac:dyDescent="0.25">
      <c r="A112" s="8">
        <v>42728.517743055556</v>
      </c>
      <c r="B112" s="21" t="s">
        <v>270</v>
      </c>
      <c r="C112" s="21" t="s">
        <v>541</v>
      </c>
      <c r="D112" s="164">
        <v>1190000</v>
      </c>
      <c r="E112" s="21" t="s">
        <v>336</v>
      </c>
      <c r="F112" s="21" t="s">
        <v>337</v>
      </c>
      <c r="G112" s="8" t="str">
        <f t="shared" si="1"/>
        <v>BRANNON JEFFREY</v>
      </c>
    </row>
    <row r="113" spans="1:7" x14ac:dyDescent="0.25">
      <c r="A113" s="8">
        <v>42728.52648148148</v>
      </c>
      <c r="B113" s="21" t="s">
        <v>288</v>
      </c>
      <c r="C113" s="21" t="s">
        <v>542</v>
      </c>
      <c r="D113" s="164">
        <v>2020000</v>
      </c>
      <c r="E113" s="21" t="s">
        <v>366</v>
      </c>
      <c r="F113" s="21" t="s">
        <v>248</v>
      </c>
      <c r="G113" s="8" t="str">
        <f t="shared" si="1"/>
        <v>SHOOK JOHN</v>
      </c>
    </row>
    <row r="114" spans="1:7" x14ac:dyDescent="0.25">
      <c r="A114" s="8">
        <v>42728.526562500003</v>
      </c>
      <c r="B114" s="21" t="s">
        <v>234</v>
      </c>
      <c r="C114" s="21" t="s">
        <v>543</v>
      </c>
      <c r="D114" s="164">
        <v>2030000</v>
      </c>
      <c r="E114" s="21" t="s">
        <v>374</v>
      </c>
      <c r="F114" s="21" t="s">
        <v>249</v>
      </c>
      <c r="G114" s="8" t="str">
        <f t="shared" si="1"/>
        <v>KILLION DAVID</v>
      </c>
    </row>
    <row r="115" spans="1:7" x14ac:dyDescent="0.25">
      <c r="A115" s="8">
        <v>42728.52715277778</v>
      </c>
      <c r="B115" s="21" t="s">
        <v>288</v>
      </c>
      <c r="C115" s="21" t="s">
        <v>542</v>
      </c>
      <c r="D115" s="164">
        <v>2020000</v>
      </c>
      <c r="E115" s="21" t="s">
        <v>366</v>
      </c>
      <c r="F115" s="21" t="s">
        <v>248</v>
      </c>
      <c r="G115" s="8" t="str">
        <f t="shared" si="1"/>
        <v>SHOOK JOHN</v>
      </c>
    </row>
    <row r="116" spans="1:7" x14ac:dyDescent="0.25">
      <c r="A116" s="8">
        <v>42728.527592592596</v>
      </c>
      <c r="B116" s="21" t="s">
        <v>445</v>
      </c>
      <c r="C116" s="21" t="s">
        <v>446</v>
      </c>
      <c r="D116" s="164">
        <v>880000</v>
      </c>
      <c r="E116" s="21" t="s">
        <v>369</v>
      </c>
      <c r="F116" s="21" t="s">
        <v>261</v>
      </c>
      <c r="G116" s="8" t="str">
        <f t="shared" si="1"/>
        <v>STEWART MICHAEL</v>
      </c>
    </row>
    <row r="117" spans="1:7" x14ac:dyDescent="0.25">
      <c r="A117" s="8">
        <v>42728.535995370374</v>
      </c>
      <c r="B117" s="21" t="s">
        <v>292</v>
      </c>
      <c r="C117" s="21" t="s">
        <v>544</v>
      </c>
      <c r="D117" s="164">
        <v>1300000</v>
      </c>
      <c r="E117" s="21" t="s">
        <v>113</v>
      </c>
      <c r="F117" s="21" t="s">
        <v>530</v>
      </c>
      <c r="G117" s="8" t="str">
        <f t="shared" si="1"/>
        <v>LEVIN SCOTT</v>
      </c>
    </row>
    <row r="118" spans="1:7" x14ac:dyDescent="0.25">
      <c r="A118" s="8">
        <v>42728.538043981483</v>
      </c>
      <c r="B118" s="21" t="s">
        <v>231</v>
      </c>
      <c r="C118" s="21" t="s">
        <v>447</v>
      </c>
      <c r="D118" s="164">
        <v>1820000</v>
      </c>
      <c r="E118" s="21" t="s">
        <v>517</v>
      </c>
      <c r="F118" s="21" t="s">
        <v>518</v>
      </c>
      <c r="G118" s="8" t="str">
        <f t="shared" si="1"/>
        <v>ADANE ELSHADAY</v>
      </c>
    </row>
    <row r="119" spans="1:7" x14ac:dyDescent="0.25">
      <c r="A119" s="8">
        <v>42728.539074074077</v>
      </c>
      <c r="B119" s="21" t="s">
        <v>365</v>
      </c>
      <c r="C119" s="21" t="s">
        <v>545</v>
      </c>
      <c r="D119" s="164">
        <v>920000</v>
      </c>
      <c r="E119" s="21" t="s">
        <v>262</v>
      </c>
      <c r="F119" s="21" t="s">
        <v>261</v>
      </c>
      <c r="G119" s="8" t="str">
        <f t="shared" si="1"/>
        <v>DAVIS MICHAEL</v>
      </c>
    </row>
    <row r="120" spans="1:7" x14ac:dyDescent="0.25">
      <c r="A120" s="8">
        <v>42728.540949074071</v>
      </c>
      <c r="B120" s="21" t="s">
        <v>289</v>
      </c>
      <c r="C120" s="21" t="s">
        <v>546</v>
      </c>
      <c r="D120" s="164">
        <v>2020000</v>
      </c>
      <c r="E120" s="21" t="s">
        <v>366</v>
      </c>
      <c r="F120" s="21" t="s">
        <v>248</v>
      </c>
      <c r="G120" s="8" t="str">
        <f t="shared" si="1"/>
        <v>SHOOK JOHN</v>
      </c>
    </row>
    <row r="121" spans="1:7" x14ac:dyDescent="0.25">
      <c r="A121" s="8">
        <v>42728.54724537037</v>
      </c>
      <c r="B121" s="21" t="s">
        <v>204</v>
      </c>
      <c r="C121" s="21" t="s">
        <v>547</v>
      </c>
      <c r="D121" s="164">
        <v>1770000</v>
      </c>
      <c r="E121" s="21" t="s">
        <v>338</v>
      </c>
      <c r="F121" s="21" t="s">
        <v>339</v>
      </c>
      <c r="G121" s="8" t="str">
        <f t="shared" si="1"/>
        <v>BRUDER RICHARD</v>
      </c>
    </row>
    <row r="122" spans="1:7" x14ac:dyDescent="0.25">
      <c r="A122" s="8">
        <v>42728.557083333333</v>
      </c>
      <c r="B122" s="26" t="s">
        <v>269</v>
      </c>
      <c r="C122" s="21" t="s">
        <v>548</v>
      </c>
      <c r="D122" s="164">
        <v>1190000</v>
      </c>
      <c r="E122" s="21" t="s">
        <v>336</v>
      </c>
      <c r="F122" s="21" t="s">
        <v>337</v>
      </c>
      <c r="G122" s="8" t="str">
        <f t="shared" si="1"/>
        <v>BRANNON JEFFREY</v>
      </c>
    </row>
    <row r="123" spans="1:7" x14ac:dyDescent="0.25">
      <c r="A123" s="8">
        <v>42728.557708333334</v>
      </c>
      <c r="B123" s="21" t="s">
        <v>291</v>
      </c>
      <c r="C123" s="21" t="s">
        <v>549</v>
      </c>
      <c r="D123" s="164">
        <v>2030000</v>
      </c>
      <c r="E123" s="21" t="s">
        <v>374</v>
      </c>
      <c r="F123" s="21" t="s">
        <v>249</v>
      </c>
      <c r="G123" s="8" t="str">
        <f t="shared" si="1"/>
        <v>KILLION DAVID</v>
      </c>
    </row>
    <row r="124" spans="1:7" x14ac:dyDescent="0.25">
      <c r="A124" s="8">
        <v>42728.568449074075</v>
      </c>
      <c r="B124" s="21" t="s">
        <v>441</v>
      </c>
      <c r="C124" s="21" t="s">
        <v>550</v>
      </c>
      <c r="D124" s="164">
        <v>880000</v>
      </c>
      <c r="E124" s="21" t="s">
        <v>369</v>
      </c>
      <c r="F124" s="21" t="s">
        <v>261</v>
      </c>
      <c r="G124" s="8" t="str">
        <f t="shared" si="1"/>
        <v>STEWART MICHAEL</v>
      </c>
    </row>
    <row r="125" spans="1:7" x14ac:dyDescent="0.25">
      <c r="A125" s="8">
        <v>42728.569039351853</v>
      </c>
      <c r="B125" s="21" t="s">
        <v>288</v>
      </c>
      <c r="C125" s="21" t="s">
        <v>551</v>
      </c>
      <c r="D125" s="164">
        <v>2020000</v>
      </c>
      <c r="E125" s="21" t="s">
        <v>366</v>
      </c>
      <c r="F125" s="21" t="s">
        <v>248</v>
      </c>
      <c r="G125" s="8" t="str">
        <f t="shared" si="1"/>
        <v>SHOOK JOHN</v>
      </c>
    </row>
    <row r="126" spans="1:7" x14ac:dyDescent="0.25">
      <c r="A126" s="8">
        <v>42728.569849537038</v>
      </c>
      <c r="B126" s="21" t="s">
        <v>290</v>
      </c>
      <c r="C126" s="21" t="s">
        <v>552</v>
      </c>
      <c r="D126" s="164">
        <v>1300000</v>
      </c>
      <c r="E126" s="21" t="s">
        <v>113</v>
      </c>
      <c r="F126" s="21" t="s">
        <v>530</v>
      </c>
      <c r="G126" s="8" t="str">
        <f t="shared" si="1"/>
        <v>LEVIN SCOTT</v>
      </c>
    </row>
    <row r="127" spans="1:7" x14ac:dyDescent="0.25">
      <c r="A127" s="8">
        <v>42728.577557870369</v>
      </c>
      <c r="B127" s="21" t="s">
        <v>356</v>
      </c>
      <c r="C127" s="21" t="s">
        <v>553</v>
      </c>
      <c r="D127" s="164">
        <v>920000</v>
      </c>
      <c r="E127" s="21" t="s">
        <v>262</v>
      </c>
      <c r="F127" s="21" t="s">
        <v>261</v>
      </c>
      <c r="G127" s="8" t="str">
        <f t="shared" si="1"/>
        <v>DAVIS MICHAEL</v>
      </c>
    </row>
    <row r="128" spans="1:7" x14ac:dyDescent="0.25">
      <c r="A128" s="8">
        <v>42728.578877314816</v>
      </c>
      <c r="B128" s="21" t="s">
        <v>230</v>
      </c>
      <c r="C128" s="21" t="s">
        <v>554</v>
      </c>
      <c r="D128" s="164">
        <v>1820000</v>
      </c>
      <c r="E128" s="21" t="s">
        <v>517</v>
      </c>
      <c r="F128" s="21" t="s">
        <v>518</v>
      </c>
      <c r="G128" s="8" t="str">
        <f t="shared" si="1"/>
        <v>ADANE ELSHADAY</v>
      </c>
    </row>
    <row r="129" spans="1:7" x14ac:dyDescent="0.25">
      <c r="A129" s="8">
        <v>42728.585868055554</v>
      </c>
      <c r="B129" s="21" t="s">
        <v>210</v>
      </c>
      <c r="C129" s="21" t="s">
        <v>555</v>
      </c>
      <c r="D129" s="164">
        <v>1770000</v>
      </c>
      <c r="E129" s="21" t="s">
        <v>338</v>
      </c>
      <c r="F129" s="21" t="s">
        <v>339</v>
      </c>
      <c r="G129" s="8" t="str">
        <f t="shared" si="1"/>
        <v>BRUDER RICHARD</v>
      </c>
    </row>
    <row r="130" spans="1:7" x14ac:dyDescent="0.25">
      <c r="A130" s="8">
        <v>42728.590717592589</v>
      </c>
      <c r="B130" s="21" t="s">
        <v>270</v>
      </c>
      <c r="C130" s="21" t="s">
        <v>556</v>
      </c>
      <c r="D130" s="164">
        <v>1190000</v>
      </c>
      <c r="E130" s="21" t="s">
        <v>336</v>
      </c>
      <c r="F130" s="21" t="s">
        <v>337</v>
      </c>
      <c r="G130" s="8" t="str">
        <f t="shared" si="1"/>
        <v>BRANNON JEFFREY</v>
      </c>
    </row>
    <row r="131" spans="1:7" x14ac:dyDescent="0.25">
      <c r="A131" s="8">
        <v>42728.593425925923</v>
      </c>
      <c r="B131" s="21" t="s">
        <v>234</v>
      </c>
      <c r="C131" s="21" t="s">
        <v>448</v>
      </c>
      <c r="D131" s="164">
        <v>2030000</v>
      </c>
      <c r="E131" s="21" t="s">
        <v>374</v>
      </c>
      <c r="F131" s="21" t="s">
        <v>249</v>
      </c>
      <c r="G131" s="8" t="str">
        <f t="shared" ref="G131:G194" si="2">E131&amp;" "&amp;F131</f>
        <v>KILLION DAVID</v>
      </c>
    </row>
    <row r="132" spans="1:7" x14ac:dyDescent="0.25">
      <c r="A132" s="8">
        <v>42728.594733796293</v>
      </c>
      <c r="B132" s="21" t="s">
        <v>289</v>
      </c>
      <c r="C132" s="21" t="s">
        <v>557</v>
      </c>
      <c r="D132" s="164">
        <v>1540000</v>
      </c>
      <c r="E132" s="21" t="s">
        <v>334</v>
      </c>
      <c r="F132" s="21" t="s">
        <v>335</v>
      </c>
      <c r="G132" s="8" t="str">
        <f t="shared" si="2"/>
        <v>HELVIE ADAM</v>
      </c>
    </row>
    <row r="133" spans="1:7" x14ac:dyDescent="0.25">
      <c r="A133" s="8">
        <v>42728.601446759261</v>
      </c>
      <c r="B133" s="21" t="s">
        <v>445</v>
      </c>
      <c r="C133" s="21" t="s">
        <v>558</v>
      </c>
      <c r="D133" s="164">
        <v>880000</v>
      </c>
      <c r="E133" s="21" t="s">
        <v>369</v>
      </c>
      <c r="F133" s="21" t="s">
        <v>261</v>
      </c>
      <c r="G133" s="8" t="str">
        <f t="shared" si="2"/>
        <v>STEWART MICHAEL</v>
      </c>
    </row>
    <row r="134" spans="1:7" x14ac:dyDescent="0.25">
      <c r="A134" s="8">
        <v>42728.605127314811</v>
      </c>
      <c r="B134" s="21" t="s">
        <v>292</v>
      </c>
      <c r="C134" s="21" t="s">
        <v>559</v>
      </c>
      <c r="D134" s="164">
        <v>1300000</v>
      </c>
      <c r="E134" s="21" t="s">
        <v>113</v>
      </c>
      <c r="F134" s="21" t="s">
        <v>530</v>
      </c>
      <c r="G134" s="8" t="str">
        <f t="shared" si="2"/>
        <v>LEVIN SCOTT</v>
      </c>
    </row>
    <row r="135" spans="1:7" x14ac:dyDescent="0.25">
      <c r="A135" s="8">
        <v>42728.608715277776</v>
      </c>
      <c r="B135" s="21" t="s">
        <v>288</v>
      </c>
      <c r="C135" s="21" t="s">
        <v>560</v>
      </c>
      <c r="D135" s="164">
        <v>1540000</v>
      </c>
      <c r="E135" s="21" t="s">
        <v>334</v>
      </c>
      <c r="F135" s="21" t="s">
        <v>335</v>
      </c>
      <c r="G135" s="8" t="str">
        <f t="shared" si="2"/>
        <v>HELVIE ADAM</v>
      </c>
    </row>
    <row r="136" spans="1:7" x14ac:dyDescent="0.25">
      <c r="A136" s="8">
        <v>42728.610081018516</v>
      </c>
      <c r="B136" s="21" t="s">
        <v>231</v>
      </c>
      <c r="C136" s="21" t="s">
        <v>561</v>
      </c>
      <c r="D136" s="164">
        <v>1820000</v>
      </c>
      <c r="E136" s="21" t="s">
        <v>517</v>
      </c>
      <c r="F136" s="21" t="s">
        <v>518</v>
      </c>
      <c r="G136" s="8" t="str">
        <f t="shared" si="2"/>
        <v>ADANE ELSHADAY</v>
      </c>
    </row>
    <row r="137" spans="1:7" x14ac:dyDescent="0.25">
      <c r="A137" s="8">
        <v>42728.611597222225</v>
      </c>
      <c r="B137" s="21" t="s">
        <v>365</v>
      </c>
      <c r="C137" s="21" t="s">
        <v>562</v>
      </c>
      <c r="D137" s="164">
        <v>920000</v>
      </c>
      <c r="E137" s="21" t="s">
        <v>262</v>
      </c>
      <c r="F137" s="21" t="s">
        <v>261</v>
      </c>
      <c r="G137" s="8" t="str">
        <f t="shared" si="2"/>
        <v>DAVIS MICHAEL</v>
      </c>
    </row>
    <row r="138" spans="1:7" x14ac:dyDescent="0.25">
      <c r="A138" s="8">
        <v>42728.620648148149</v>
      </c>
      <c r="B138" s="21" t="s">
        <v>204</v>
      </c>
      <c r="C138" s="21" t="s">
        <v>563</v>
      </c>
      <c r="D138" s="164">
        <v>1770000</v>
      </c>
      <c r="E138" s="21" t="s">
        <v>338</v>
      </c>
      <c r="F138" s="21" t="s">
        <v>339</v>
      </c>
      <c r="G138" s="8" t="str">
        <f t="shared" si="2"/>
        <v>BRUDER RICHARD</v>
      </c>
    </row>
    <row r="139" spans="1:7" x14ac:dyDescent="0.25">
      <c r="A139" s="8">
        <v>42728.625590277778</v>
      </c>
      <c r="B139" s="21" t="s">
        <v>269</v>
      </c>
      <c r="C139" s="21" t="s">
        <v>564</v>
      </c>
      <c r="D139" s="164">
        <v>1190000</v>
      </c>
      <c r="E139" s="21" t="s">
        <v>336</v>
      </c>
      <c r="F139" s="21" t="s">
        <v>337</v>
      </c>
      <c r="G139" s="8" t="str">
        <f t="shared" si="2"/>
        <v>BRANNON JEFFREY</v>
      </c>
    </row>
    <row r="140" spans="1:7" x14ac:dyDescent="0.25">
      <c r="A140" s="8">
        <v>42728.632465277777</v>
      </c>
      <c r="B140" s="21" t="s">
        <v>291</v>
      </c>
      <c r="C140" s="21" t="s">
        <v>565</v>
      </c>
      <c r="D140" s="164">
        <v>2030000</v>
      </c>
      <c r="E140" s="21" t="s">
        <v>374</v>
      </c>
      <c r="F140" s="21" t="s">
        <v>249</v>
      </c>
      <c r="G140" s="8" t="str">
        <f t="shared" si="2"/>
        <v>KILLION DAVID</v>
      </c>
    </row>
    <row r="141" spans="1:7" x14ac:dyDescent="0.25">
      <c r="A141" s="8">
        <v>42728.637685185182</v>
      </c>
      <c r="B141" s="21" t="s">
        <v>289</v>
      </c>
      <c r="C141" s="21" t="s">
        <v>566</v>
      </c>
      <c r="D141" s="164">
        <v>1540000</v>
      </c>
      <c r="E141" s="21" t="s">
        <v>334</v>
      </c>
      <c r="F141" s="21" t="s">
        <v>335</v>
      </c>
      <c r="G141" s="8" t="str">
        <f t="shared" si="2"/>
        <v>HELVIE ADAM</v>
      </c>
    </row>
    <row r="142" spans="1:7" x14ac:dyDescent="0.25">
      <c r="A142" s="8">
        <v>42728.641851851855</v>
      </c>
      <c r="B142" s="21" t="s">
        <v>441</v>
      </c>
      <c r="C142" s="21" t="s">
        <v>567</v>
      </c>
      <c r="D142" s="164">
        <v>880000</v>
      </c>
      <c r="E142" s="21" t="s">
        <v>369</v>
      </c>
      <c r="F142" s="21" t="s">
        <v>261</v>
      </c>
      <c r="G142" s="8" t="str">
        <f t="shared" si="2"/>
        <v>STEWART MICHAEL</v>
      </c>
    </row>
    <row r="143" spans="1:7" x14ac:dyDescent="0.25">
      <c r="A143" s="8">
        <v>42728.643206018518</v>
      </c>
      <c r="B143" s="21" t="s">
        <v>290</v>
      </c>
      <c r="C143" s="21" t="s">
        <v>568</v>
      </c>
      <c r="D143" s="164">
        <v>1300000</v>
      </c>
      <c r="E143" s="21" t="s">
        <v>113</v>
      </c>
      <c r="F143" s="21" t="s">
        <v>530</v>
      </c>
      <c r="G143" s="8" t="str">
        <f t="shared" si="2"/>
        <v>LEVIN SCOTT</v>
      </c>
    </row>
    <row r="144" spans="1:7" x14ac:dyDescent="0.25">
      <c r="A144" s="8">
        <v>42728.650127314817</v>
      </c>
      <c r="B144" s="21" t="s">
        <v>288</v>
      </c>
      <c r="C144" s="21" t="s">
        <v>569</v>
      </c>
      <c r="D144" s="164">
        <v>1540000</v>
      </c>
      <c r="E144" s="21" t="s">
        <v>334</v>
      </c>
      <c r="F144" s="21" t="s">
        <v>335</v>
      </c>
      <c r="G144" s="8" t="str">
        <f t="shared" si="2"/>
        <v>HELVIE ADAM</v>
      </c>
    </row>
    <row r="145" spans="1:7" x14ac:dyDescent="0.25">
      <c r="A145" s="8">
        <v>42728.650173611109</v>
      </c>
      <c r="B145" s="21" t="s">
        <v>356</v>
      </c>
      <c r="C145" s="21" t="s">
        <v>570</v>
      </c>
      <c r="D145" s="164">
        <v>920000</v>
      </c>
      <c r="E145" s="21" t="s">
        <v>262</v>
      </c>
      <c r="F145" s="21" t="s">
        <v>261</v>
      </c>
      <c r="G145" s="8" t="str">
        <f t="shared" si="2"/>
        <v>DAVIS MICHAEL</v>
      </c>
    </row>
    <row r="146" spans="1:7" x14ac:dyDescent="0.25">
      <c r="A146" s="8">
        <v>42728.653865740744</v>
      </c>
      <c r="B146" s="21" t="s">
        <v>230</v>
      </c>
      <c r="C146" s="21" t="s">
        <v>571</v>
      </c>
      <c r="D146" s="164">
        <v>1820000</v>
      </c>
      <c r="E146" s="21" t="s">
        <v>517</v>
      </c>
      <c r="F146" s="21" t="s">
        <v>518</v>
      </c>
      <c r="G146" s="8" t="str">
        <f t="shared" si="2"/>
        <v>ADANE ELSHADAY</v>
      </c>
    </row>
    <row r="147" spans="1:7" x14ac:dyDescent="0.25">
      <c r="A147" s="8">
        <v>42728.658842592595</v>
      </c>
      <c r="B147" s="21" t="s">
        <v>210</v>
      </c>
      <c r="C147" s="21" t="s">
        <v>572</v>
      </c>
      <c r="D147" s="164">
        <v>1770000</v>
      </c>
      <c r="E147" s="21" t="s">
        <v>338</v>
      </c>
      <c r="F147" s="21" t="s">
        <v>339</v>
      </c>
      <c r="G147" s="8" t="str">
        <f t="shared" si="2"/>
        <v>BRUDER RICHARD</v>
      </c>
    </row>
    <row r="148" spans="1:7" x14ac:dyDescent="0.25">
      <c r="A148" s="8">
        <v>42728.661400462966</v>
      </c>
      <c r="B148" s="21" t="s">
        <v>270</v>
      </c>
      <c r="C148" s="21" t="s">
        <v>573</v>
      </c>
      <c r="D148" s="164">
        <v>1190000</v>
      </c>
      <c r="E148" s="21" t="s">
        <v>336</v>
      </c>
      <c r="F148" s="21" t="s">
        <v>337</v>
      </c>
      <c r="G148" s="8" t="str">
        <f t="shared" si="2"/>
        <v>BRANNON JEFFREY</v>
      </c>
    </row>
    <row r="149" spans="1:7" x14ac:dyDescent="0.25">
      <c r="A149" s="8">
        <v>42728.66915509259</v>
      </c>
      <c r="B149" s="21" t="s">
        <v>234</v>
      </c>
      <c r="C149" s="21" t="s">
        <v>574</v>
      </c>
      <c r="D149" s="164">
        <v>2030000</v>
      </c>
      <c r="E149" s="21" t="s">
        <v>374</v>
      </c>
      <c r="F149" s="21" t="s">
        <v>249</v>
      </c>
      <c r="G149" s="8" t="str">
        <f t="shared" si="2"/>
        <v>KILLION DAVID</v>
      </c>
    </row>
    <row r="150" spans="1:7" x14ac:dyDescent="0.25">
      <c r="A150" s="8">
        <v>42728.673090277778</v>
      </c>
      <c r="B150" s="21" t="s">
        <v>445</v>
      </c>
      <c r="C150" s="21" t="s">
        <v>575</v>
      </c>
      <c r="D150" s="164">
        <v>880000</v>
      </c>
      <c r="E150" s="21" t="s">
        <v>369</v>
      </c>
      <c r="F150" s="21" t="s">
        <v>261</v>
      </c>
      <c r="G150" s="8" t="str">
        <f t="shared" si="2"/>
        <v>STEWART MICHAEL</v>
      </c>
    </row>
    <row r="151" spans="1:7" x14ac:dyDescent="0.25">
      <c r="A151" s="8">
        <v>42728.678344907406</v>
      </c>
      <c r="B151" s="21" t="s">
        <v>292</v>
      </c>
      <c r="C151" s="21" t="s">
        <v>576</v>
      </c>
      <c r="D151" s="164">
        <v>1300000</v>
      </c>
      <c r="E151" s="21" t="s">
        <v>113</v>
      </c>
      <c r="F151" s="21" t="s">
        <v>530</v>
      </c>
      <c r="G151" s="8" t="str">
        <f t="shared" si="2"/>
        <v>LEVIN SCOTT</v>
      </c>
    </row>
    <row r="152" spans="1:7" x14ac:dyDescent="0.25">
      <c r="A152" s="8">
        <v>42728.680104166669</v>
      </c>
      <c r="B152" s="21" t="s">
        <v>289</v>
      </c>
      <c r="C152" s="21" t="s">
        <v>577</v>
      </c>
      <c r="D152" s="164">
        <v>1540000</v>
      </c>
      <c r="E152" s="21" t="s">
        <v>334</v>
      </c>
      <c r="F152" s="21" t="s">
        <v>335</v>
      </c>
      <c r="G152" s="8" t="str">
        <f t="shared" si="2"/>
        <v>HELVIE ADAM</v>
      </c>
    </row>
    <row r="153" spans="1:7" x14ac:dyDescent="0.25">
      <c r="A153" s="8">
        <v>42728.683159722219</v>
      </c>
      <c r="B153" s="21" t="s">
        <v>231</v>
      </c>
      <c r="C153" s="21" t="s">
        <v>578</v>
      </c>
      <c r="D153" s="164">
        <v>1820000</v>
      </c>
      <c r="E153" s="21" t="s">
        <v>517</v>
      </c>
      <c r="F153" s="21" t="s">
        <v>518</v>
      </c>
      <c r="G153" s="8" t="str">
        <f t="shared" si="2"/>
        <v>ADANE ELSHADAY</v>
      </c>
    </row>
    <row r="154" spans="1:7" x14ac:dyDescent="0.25">
      <c r="A154" s="8">
        <v>42728.683912037035</v>
      </c>
      <c r="B154" s="21" t="s">
        <v>365</v>
      </c>
      <c r="C154" s="21" t="s">
        <v>579</v>
      </c>
      <c r="D154" s="164">
        <v>920000</v>
      </c>
      <c r="E154" s="21" t="s">
        <v>262</v>
      </c>
      <c r="F154" s="21" t="s">
        <v>261</v>
      </c>
      <c r="G154" s="8" t="str">
        <f t="shared" si="2"/>
        <v>DAVIS MICHAEL</v>
      </c>
    </row>
    <row r="155" spans="1:7" x14ac:dyDescent="0.25">
      <c r="A155" s="8">
        <v>42728.693020833336</v>
      </c>
      <c r="B155" s="21" t="s">
        <v>204</v>
      </c>
      <c r="C155" s="21" t="s">
        <v>580</v>
      </c>
      <c r="D155" s="164">
        <v>1770000</v>
      </c>
      <c r="E155" s="21" t="s">
        <v>338</v>
      </c>
      <c r="F155" s="21" t="s">
        <v>339</v>
      </c>
      <c r="G155" s="8" t="str">
        <f t="shared" si="2"/>
        <v>BRUDER RICHARD</v>
      </c>
    </row>
    <row r="156" spans="1:7" x14ac:dyDescent="0.25">
      <c r="A156" s="8">
        <v>42728.693958333337</v>
      </c>
      <c r="B156" s="21" t="s">
        <v>288</v>
      </c>
      <c r="C156" s="21" t="s">
        <v>581</v>
      </c>
      <c r="D156" s="164">
        <v>1540000</v>
      </c>
      <c r="E156" s="21" t="s">
        <v>334</v>
      </c>
      <c r="F156" s="21" t="s">
        <v>335</v>
      </c>
      <c r="G156" s="8" t="str">
        <f t="shared" si="2"/>
        <v>HELVIE ADAM</v>
      </c>
    </row>
    <row r="157" spans="1:7" x14ac:dyDescent="0.25">
      <c r="A157" s="8">
        <v>42728.696504629632</v>
      </c>
      <c r="B157" s="21" t="s">
        <v>269</v>
      </c>
      <c r="C157" s="21" t="s">
        <v>573</v>
      </c>
      <c r="D157" s="164">
        <v>1190000</v>
      </c>
      <c r="E157" s="21" t="s">
        <v>336</v>
      </c>
      <c r="F157" s="21" t="s">
        <v>337</v>
      </c>
      <c r="G157" s="8" t="str">
        <f t="shared" si="2"/>
        <v>BRANNON JEFFREY</v>
      </c>
    </row>
    <row r="158" spans="1:7" x14ac:dyDescent="0.25">
      <c r="A158" s="8">
        <v>42728.697442129633</v>
      </c>
      <c r="B158" s="21" t="s">
        <v>269</v>
      </c>
      <c r="C158" s="21" t="s">
        <v>582</v>
      </c>
      <c r="D158" s="164">
        <v>1190000</v>
      </c>
      <c r="E158" s="21" t="s">
        <v>336</v>
      </c>
      <c r="F158" s="21" t="s">
        <v>337</v>
      </c>
      <c r="G158" s="8" t="str">
        <f t="shared" si="2"/>
        <v>BRANNON JEFFREY</v>
      </c>
    </row>
    <row r="159" spans="1:7" x14ac:dyDescent="0.25">
      <c r="A159" s="8">
        <v>42728.703796296293</v>
      </c>
      <c r="B159" s="21" t="s">
        <v>291</v>
      </c>
      <c r="C159" s="21" t="s">
        <v>583</v>
      </c>
      <c r="D159" s="164">
        <v>2030000</v>
      </c>
      <c r="E159" s="21" t="s">
        <v>374</v>
      </c>
      <c r="F159" s="21" t="s">
        <v>249</v>
      </c>
      <c r="G159" s="8" t="str">
        <f t="shared" si="2"/>
        <v>KILLION DAVID</v>
      </c>
    </row>
    <row r="160" spans="1:7" x14ac:dyDescent="0.25">
      <c r="A160" s="8">
        <v>42728.710034722222</v>
      </c>
      <c r="B160" s="21" t="s">
        <v>441</v>
      </c>
      <c r="C160" s="21" t="s">
        <v>584</v>
      </c>
      <c r="D160" s="164">
        <v>880000</v>
      </c>
      <c r="E160" s="21" t="s">
        <v>369</v>
      </c>
      <c r="F160" s="21" t="s">
        <v>261</v>
      </c>
      <c r="G160" s="8" t="str">
        <f t="shared" si="2"/>
        <v>STEWART MICHAEL</v>
      </c>
    </row>
    <row r="161" spans="1:7" x14ac:dyDescent="0.25">
      <c r="A161" s="8">
        <v>42728.714490740742</v>
      </c>
      <c r="B161" s="21" t="s">
        <v>344</v>
      </c>
      <c r="C161" s="21" t="s">
        <v>585</v>
      </c>
      <c r="D161" s="164">
        <v>2470000</v>
      </c>
      <c r="E161" s="21" t="s">
        <v>528</v>
      </c>
      <c r="F161" s="21" t="s">
        <v>529</v>
      </c>
      <c r="G161" s="8" t="str">
        <f t="shared" si="2"/>
        <v>ROMERO CHAD</v>
      </c>
    </row>
    <row r="162" spans="1:7" x14ac:dyDescent="0.25">
      <c r="A162" s="8">
        <v>42728.716284722221</v>
      </c>
      <c r="B162" s="21" t="s">
        <v>290</v>
      </c>
      <c r="C162" s="21" t="s">
        <v>586</v>
      </c>
      <c r="D162" s="164">
        <v>1300000</v>
      </c>
      <c r="E162" s="21" t="s">
        <v>113</v>
      </c>
      <c r="F162" s="21" t="s">
        <v>530</v>
      </c>
      <c r="G162" s="8" t="str">
        <f t="shared" si="2"/>
        <v>LEVIN SCOTT</v>
      </c>
    </row>
    <row r="163" spans="1:7" x14ac:dyDescent="0.25">
      <c r="A163" s="8">
        <v>42728.720752314817</v>
      </c>
      <c r="B163" s="21" t="s">
        <v>289</v>
      </c>
      <c r="C163" s="21" t="s">
        <v>587</v>
      </c>
      <c r="D163" s="164">
        <v>1540000</v>
      </c>
      <c r="E163" s="21" t="s">
        <v>334</v>
      </c>
      <c r="F163" s="21" t="s">
        <v>335</v>
      </c>
      <c r="G163" s="8" t="str">
        <f t="shared" si="2"/>
        <v>HELVIE ADAM</v>
      </c>
    </row>
    <row r="164" spans="1:7" x14ac:dyDescent="0.25">
      <c r="A164" s="8">
        <v>42728.723495370374</v>
      </c>
      <c r="B164" s="21" t="s">
        <v>356</v>
      </c>
      <c r="C164" s="21" t="s">
        <v>588</v>
      </c>
      <c r="D164" s="164">
        <v>920000</v>
      </c>
      <c r="E164" s="21" t="s">
        <v>262</v>
      </c>
      <c r="F164" s="21" t="s">
        <v>261</v>
      </c>
      <c r="G164" s="8" t="str">
        <f t="shared" si="2"/>
        <v>DAVIS MICHAEL</v>
      </c>
    </row>
    <row r="165" spans="1:7" x14ac:dyDescent="0.25">
      <c r="A165" s="8">
        <v>42728.725486111114</v>
      </c>
      <c r="B165" s="21" t="s">
        <v>230</v>
      </c>
      <c r="C165" s="21" t="s">
        <v>589</v>
      </c>
      <c r="D165" s="164">
        <v>1820000</v>
      </c>
      <c r="E165" s="21" t="s">
        <v>517</v>
      </c>
      <c r="F165" s="21" t="s">
        <v>518</v>
      </c>
      <c r="G165" s="8" t="str">
        <f t="shared" si="2"/>
        <v>ADANE ELSHADAY</v>
      </c>
    </row>
    <row r="166" spans="1:7" x14ac:dyDescent="0.25">
      <c r="A166" s="8">
        <v>42728.731215277781</v>
      </c>
      <c r="B166" s="21" t="s">
        <v>210</v>
      </c>
      <c r="C166" s="21" t="s">
        <v>590</v>
      </c>
      <c r="D166" s="164">
        <v>1770000</v>
      </c>
      <c r="E166" s="21" t="s">
        <v>338</v>
      </c>
      <c r="F166" s="21" t="s">
        <v>339</v>
      </c>
      <c r="G166" s="8" t="str">
        <f t="shared" si="2"/>
        <v>BRUDER RICHARD</v>
      </c>
    </row>
    <row r="167" spans="1:7" x14ac:dyDescent="0.25">
      <c r="A167" s="8">
        <v>42728.7344212963</v>
      </c>
      <c r="B167" s="21" t="s">
        <v>288</v>
      </c>
      <c r="C167" s="21" t="s">
        <v>591</v>
      </c>
      <c r="D167" s="164">
        <v>1540000</v>
      </c>
      <c r="E167" s="21" t="s">
        <v>334</v>
      </c>
      <c r="F167" s="21" t="s">
        <v>335</v>
      </c>
      <c r="G167" s="8" t="str">
        <f t="shared" si="2"/>
        <v>HELVIE ADAM</v>
      </c>
    </row>
    <row r="168" spans="1:7" x14ac:dyDescent="0.25">
      <c r="A168" s="8">
        <v>42728.737916666665</v>
      </c>
      <c r="B168" s="21" t="s">
        <v>270</v>
      </c>
      <c r="C168" s="21" t="s">
        <v>592</v>
      </c>
      <c r="D168" s="164">
        <v>2230000</v>
      </c>
      <c r="E168" s="21" t="s">
        <v>279</v>
      </c>
      <c r="F168" s="21" t="s">
        <v>261</v>
      </c>
      <c r="G168" s="8" t="str">
        <f t="shared" si="2"/>
        <v>SMITH MICHAEL</v>
      </c>
    </row>
    <row r="169" spans="1:7" x14ac:dyDescent="0.25">
      <c r="A169" s="8">
        <v>42728.738240740742</v>
      </c>
      <c r="B169" s="21" t="s">
        <v>257</v>
      </c>
      <c r="C169" s="21" t="s">
        <v>593</v>
      </c>
      <c r="D169" s="164">
        <v>2630000</v>
      </c>
      <c r="E169" s="21" t="s">
        <v>367</v>
      </c>
      <c r="F169" s="21" t="s">
        <v>368</v>
      </c>
      <c r="G169" s="8" t="str">
        <f t="shared" si="2"/>
        <v>SAFIEF AEIMEN</v>
      </c>
    </row>
    <row r="170" spans="1:7" x14ac:dyDescent="0.25">
      <c r="A170" s="8">
        <v>42728.741053240738</v>
      </c>
      <c r="B170" s="21" t="s">
        <v>234</v>
      </c>
      <c r="C170" s="21" t="s">
        <v>594</v>
      </c>
      <c r="D170" s="164">
        <v>2030000</v>
      </c>
      <c r="E170" s="21" t="s">
        <v>374</v>
      </c>
      <c r="F170" s="21" t="s">
        <v>249</v>
      </c>
      <c r="G170" s="8" t="str">
        <f t="shared" si="2"/>
        <v>KILLION DAVID</v>
      </c>
    </row>
    <row r="171" spans="1:7" x14ac:dyDescent="0.25">
      <c r="A171" s="8">
        <v>42728.746678240743</v>
      </c>
      <c r="B171" s="21" t="s">
        <v>445</v>
      </c>
      <c r="C171" s="21" t="s">
        <v>595</v>
      </c>
      <c r="D171" s="164">
        <v>1190000</v>
      </c>
      <c r="E171" s="21" t="s">
        <v>336</v>
      </c>
      <c r="F171" s="21" t="s">
        <v>337</v>
      </c>
      <c r="G171" s="8" t="str">
        <f t="shared" si="2"/>
        <v>BRANNON JEFFREY</v>
      </c>
    </row>
    <row r="172" spans="1:7" x14ac:dyDescent="0.25">
      <c r="A172" s="8">
        <v>42728.748240740744</v>
      </c>
      <c r="B172" s="21" t="s">
        <v>370</v>
      </c>
      <c r="C172" s="21" t="s">
        <v>596</v>
      </c>
      <c r="D172" s="164">
        <v>2220000</v>
      </c>
      <c r="E172" s="21" t="s">
        <v>340</v>
      </c>
      <c r="F172" s="21" t="s">
        <v>341</v>
      </c>
      <c r="G172" s="8" t="str">
        <f t="shared" si="2"/>
        <v>HILLS DUSTIN</v>
      </c>
    </row>
    <row r="173" spans="1:7" x14ac:dyDescent="0.25">
      <c r="A173" s="8">
        <v>42728.754849537036</v>
      </c>
      <c r="B173" s="21" t="s">
        <v>292</v>
      </c>
      <c r="C173" s="21" t="s">
        <v>597</v>
      </c>
      <c r="D173" s="164">
        <v>1300000</v>
      </c>
      <c r="E173" s="21" t="s">
        <v>113</v>
      </c>
      <c r="F173" s="21" t="s">
        <v>530</v>
      </c>
      <c r="G173" s="8" t="str">
        <f t="shared" si="2"/>
        <v>LEVIN SCOTT</v>
      </c>
    </row>
    <row r="174" spans="1:7" x14ac:dyDescent="0.25">
      <c r="A174" s="8">
        <v>42728.756678240738</v>
      </c>
      <c r="B174" s="21" t="s">
        <v>231</v>
      </c>
      <c r="C174" s="21" t="s">
        <v>598</v>
      </c>
      <c r="D174" s="164">
        <v>1820000</v>
      </c>
      <c r="E174" s="21" t="s">
        <v>517</v>
      </c>
      <c r="F174" s="21" t="s">
        <v>518</v>
      </c>
      <c r="G174" s="8" t="str">
        <f t="shared" si="2"/>
        <v>ADANE ELSHADAY</v>
      </c>
    </row>
    <row r="175" spans="1:7" x14ac:dyDescent="0.25">
      <c r="A175" s="8">
        <v>42728.758020833331</v>
      </c>
      <c r="B175" s="21" t="s">
        <v>365</v>
      </c>
      <c r="C175" s="21" t="s">
        <v>599</v>
      </c>
      <c r="D175" s="164">
        <v>2000000</v>
      </c>
      <c r="E175" s="21" t="s">
        <v>209</v>
      </c>
      <c r="F175" s="21" t="s">
        <v>250</v>
      </c>
      <c r="G175" s="8" t="str">
        <f t="shared" si="2"/>
        <v>STAMBAUGH JAMES</v>
      </c>
    </row>
    <row r="176" spans="1:7" x14ac:dyDescent="0.25">
      <c r="A176" s="8">
        <v>42728.76258101852</v>
      </c>
      <c r="B176" s="21" t="s">
        <v>289</v>
      </c>
      <c r="C176" s="21" t="s">
        <v>600</v>
      </c>
      <c r="D176" s="164">
        <v>1540000</v>
      </c>
      <c r="E176" s="21" t="s">
        <v>334</v>
      </c>
      <c r="F176" s="21" t="s">
        <v>335</v>
      </c>
      <c r="G176" s="8" t="str">
        <f t="shared" si="2"/>
        <v>HELVIE ADAM</v>
      </c>
    </row>
    <row r="177" spans="1:7" x14ac:dyDescent="0.25">
      <c r="A177" s="8">
        <v>42728.767199074071</v>
      </c>
      <c r="B177" s="21" t="s">
        <v>204</v>
      </c>
      <c r="C177" s="21" t="s">
        <v>449</v>
      </c>
      <c r="D177" s="164">
        <v>2220000</v>
      </c>
      <c r="E177" s="21" t="s">
        <v>340</v>
      </c>
      <c r="F177" s="21" t="s">
        <v>341</v>
      </c>
      <c r="G177" s="8" t="str">
        <f t="shared" si="2"/>
        <v>HILLS DUSTIN</v>
      </c>
    </row>
    <row r="178" spans="1:7" x14ac:dyDescent="0.25">
      <c r="A178" s="8">
        <v>42728.769849537035</v>
      </c>
      <c r="B178" s="21" t="s">
        <v>371</v>
      </c>
      <c r="C178" s="21" t="s">
        <v>601</v>
      </c>
      <c r="D178" s="164">
        <v>1770000</v>
      </c>
      <c r="E178" s="21" t="s">
        <v>338</v>
      </c>
      <c r="F178" s="21" t="s">
        <v>339</v>
      </c>
      <c r="G178" s="8" t="str">
        <f t="shared" si="2"/>
        <v>BRUDER RICHARD</v>
      </c>
    </row>
    <row r="179" spans="1:7" x14ac:dyDescent="0.25">
      <c r="A179" s="8">
        <v>42728.772326388891</v>
      </c>
      <c r="B179" s="21" t="s">
        <v>269</v>
      </c>
      <c r="C179" s="21" t="s">
        <v>602</v>
      </c>
      <c r="D179" s="164">
        <v>2230000</v>
      </c>
      <c r="E179" s="21" t="s">
        <v>279</v>
      </c>
      <c r="F179" s="21" t="s">
        <v>261</v>
      </c>
      <c r="G179" s="8" t="str">
        <f t="shared" si="2"/>
        <v>SMITH MICHAEL</v>
      </c>
    </row>
    <row r="180" spans="1:7" x14ac:dyDescent="0.25">
      <c r="A180" s="8">
        <v>42728.775335648148</v>
      </c>
      <c r="B180" s="21" t="s">
        <v>288</v>
      </c>
      <c r="C180" s="21" t="s">
        <v>603</v>
      </c>
      <c r="D180" s="164">
        <v>1540000</v>
      </c>
      <c r="E180" s="21" t="s">
        <v>334</v>
      </c>
      <c r="F180" s="21" t="s">
        <v>335</v>
      </c>
      <c r="G180" s="8" t="str">
        <f t="shared" si="2"/>
        <v>HELVIE ADAM</v>
      </c>
    </row>
    <row r="181" spans="1:7" x14ac:dyDescent="0.25">
      <c r="A181" s="8">
        <v>42728.778252314813</v>
      </c>
      <c r="B181" s="21" t="s">
        <v>291</v>
      </c>
      <c r="C181" s="21" t="s">
        <v>604</v>
      </c>
      <c r="D181" s="164">
        <v>2030000</v>
      </c>
      <c r="E181" s="21" t="s">
        <v>374</v>
      </c>
      <c r="F181" s="21" t="s">
        <v>249</v>
      </c>
      <c r="G181" s="8" t="str">
        <f t="shared" si="2"/>
        <v>KILLION DAVID</v>
      </c>
    </row>
    <row r="182" spans="1:7" x14ac:dyDescent="0.25">
      <c r="A182" s="8">
        <v>42728.783136574071</v>
      </c>
      <c r="B182" s="21" t="s">
        <v>441</v>
      </c>
      <c r="C182" s="21" t="s">
        <v>450</v>
      </c>
      <c r="D182" s="164">
        <v>1190000</v>
      </c>
      <c r="E182" s="21" t="s">
        <v>336</v>
      </c>
      <c r="F182" s="21" t="s">
        <v>337</v>
      </c>
      <c r="G182" s="8" t="str">
        <f t="shared" si="2"/>
        <v>BRANNON JEFFREY</v>
      </c>
    </row>
    <row r="183" spans="1:7" x14ac:dyDescent="0.25">
      <c r="A183" s="8">
        <v>42728.787291666667</v>
      </c>
      <c r="B183" s="21" t="s">
        <v>290</v>
      </c>
      <c r="C183" s="21" t="s">
        <v>605</v>
      </c>
      <c r="D183" s="164">
        <v>2270000</v>
      </c>
      <c r="E183" s="21" t="s">
        <v>342</v>
      </c>
      <c r="F183" s="21" t="s">
        <v>343</v>
      </c>
      <c r="G183" s="8" t="str">
        <f t="shared" si="2"/>
        <v>BROWN JACOB</v>
      </c>
    </row>
    <row r="184" spans="1:7" x14ac:dyDescent="0.25">
      <c r="A184" s="8">
        <v>42728.796898148146</v>
      </c>
      <c r="B184" s="21" t="s">
        <v>230</v>
      </c>
      <c r="C184" s="21" t="s">
        <v>606</v>
      </c>
      <c r="D184" s="164">
        <v>1820000</v>
      </c>
      <c r="E184" s="21" t="s">
        <v>517</v>
      </c>
      <c r="F184" s="21" t="s">
        <v>518</v>
      </c>
      <c r="G184" s="8" t="str">
        <f t="shared" si="2"/>
        <v>ADANE ELSHADAY</v>
      </c>
    </row>
    <row r="185" spans="1:7" x14ac:dyDescent="0.25">
      <c r="A185" s="8">
        <v>42728.797754629632</v>
      </c>
      <c r="B185" s="21" t="s">
        <v>356</v>
      </c>
      <c r="C185" s="21" t="s">
        <v>451</v>
      </c>
      <c r="D185" s="164">
        <v>2000000</v>
      </c>
      <c r="E185" s="21" t="s">
        <v>209</v>
      </c>
      <c r="F185" s="21" t="s">
        <v>250</v>
      </c>
      <c r="G185" s="8" t="str">
        <f t="shared" si="2"/>
        <v>STAMBAUGH JAMES</v>
      </c>
    </row>
    <row r="186" spans="1:7" x14ac:dyDescent="0.25">
      <c r="A186" s="8">
        <v>42728.798958333333</v>
      </c>
      <c r="B186" s="21" t="s">
        <v>210</v>
      </c>
      <c r="C186" s="21" t="s">
        <v>452</v>
      </c>
      <c r="D186" s="164">
        <v>2220000</v>
      </c>
      <c r="E186" s="21" t="s">
        <v>340</v>
      </c>
      <c r="F186" s="21" t="s">
        <v>341</v>
      </c>
      <c r="G186" s="8" t="str">
        <f t="shared" si="2"/>
        <v>HILLS DUSTIN</v>
      </c>
    </row>
    <row r="187" spans="1:7" x14ac:dyDescent="0.25">
      <c r="A187" s="8">
        <v>42728.804236111115</v>
      </c>
      <c r="B187" s="21" t="s">
        <v>289</v>
      </c>
      <c r="C187" s="21" t="s">
        <v>607</v>
      </c>
      <c r="D187" s="164">
        <v>1540000</v>
      </c>
      <c r="E187" s="21" t="s">
        <v>334</v>
      </c>
      <c r="F187" s="21" t="s">
        <v>335</v>
      </c>
      <c r="G187" s="8" t="str">
        <f t="shared" si="2"/>
        <v>HELVIE ADAM</v>
      </c>
    </row>
    <row r="188" spans="1:7" x14ac:dyDescent="0.25">
      <c r="A188" s="8">
        <v>42728.808935185189</v>
      </c>
      <c r="B188" s="21" t="s">
        <v>441</v>
      </c>
      <c r="C188" s="21" t="s">
        <v>450</v>
      </c>
      <c r="D188" s="164">
        <v>1190000</v>
      </c>
      <c r="E188" s="21" t="s">
        <v>336</v>
      </c>
      <c r="F188" s="21" t="s">
        <v>337</v>
      </c>
      <c r="G188" s="8" t="str">
        <f t="shared" si="2"/>
        <v>BRANNON JEFFREY</v>
      </c>
    </row>
    <row r="189" spans="1:7" x14ac:dyDescent="0.25">
      <c r="A189" s="8">
        <v>42728.80914351852</v>
      </c>
      <c r="B189" s="21" t="s">
        <v>270</v>
      </c>
      <c r="C189" s="21" t="s">
        <v>608</v>
      </c>
      <c r="D189" s="164">
        <v>2230000</v>
      </c>
      <c r="E189" s="21" t="s">
        <v>279</v>
      </c>
      <c r="F189" s="21" t="s">
        <v>261</v>
      </c>
      <c r="G189" s="8" t="str">
        <f t="shared" si="2"/>
        <v>SMITH MICHAEL</v>
      </c>
    </row>
    <row r="190" spans="1:7" x14ac:dyDescent="0.25">
      <c r="A190" s="8">
        <v>42728.81758101852</v>
      </c>
      <c r="B190" s="21" t="s">
        <v>288</v>
      </c>
      <c r="C190" s="21" t="s">
        <v>609</v>
      </c>
      <c r="D190" s="164">
        <v>1540000</v>
      </c>
      <c r="E190" s="21" t="s">
        <v>334</v>
      </c>
      <c r="F190" s="21" t="s">
        <v>335</v>
      </c>
      <c r="G190" s="8" t="str">
        <f t="shared" si="2"/>
        <v>HELVIE ADAM</v>
      </c>
    </row>
    <row r="191" spans="1:7" x14ac:dyDescent="0.25">
      <c r="A191" s="8">
        <v>42728.819409722222</v>
      </c>
      <c r="B191" s="21" t="s">
        <v>445</v>
      </c>
      <c r="C191" s="21" t="s">
        <v>610</v>
      </c>
      <c r="D191" s="164">
        <v>1190000</v>
      </c>
      <c r="E191" s="21" t="s">
        <v>336</v>
      </c>
      <c r="F191" s="21" t="s">
        <v>337</v>
      </c>
      <c r="G191" s="8" t="str">
        <f t="shared" si="2"/>
        <v>BRANNON JEFFREY</v>
      </c>
    </row>
    <row r="192" spans="1:7" x14ac:dyDescent="0.25">
      <c r="A192" s="8">
        <v>42728.827013888891</v>
      </c>
      <c r="B192" s="21" t="s">
        <v>292</v>
      </c>
      <c r="C192" s="21" t="s">
        <v>453</v>
      </c>
      <c r="D192" s="164">
        <v>2270000</v>
      </c>
      <c r="E192" s="21" t="s">
        <v>342</v>
      </c>
      <c r="F192" s="21" t="s">
        <v>343</v>
      </c>
      <c r="G192" s="8" t="str">
        <f t="shared" si="2"/>
        <v>BROWN JACOB</v>
      </c>
    </row>
    <row r="193" spans="1:7" x14ac:dyDescent="0.25">
      <c r="A193" s="8">
        <v>42728.831643518519</v>
      </c>
      <c r="B193" s="21" t="s">
        <v>365</v>
      </c>
      <c r="C193" s="21" t="s">
        <v>611</v>
      </c>
      <c r="D193" s="164">
        <v>2000000</v>
      </c>
      <c r="E193" s="21" t="s">
        <v>209</v>
      </c>
      <c r="F193" s="21" t="s">
        <v>250</v>
      </c>
      <c r="G193" s="8" t="str">
        <f t="shared" si="2"/>
        <v>STAMBAUGH JAMES</v>
      </c>
    </row>
    <row r="194" spans="1:7" x14ac:dyDescent="0.25">
      <c r="A194" s="8">
        <v>42728.841145833336</v>
      </c>
      <c r="B194" s="21" t="s">
        <v>204</v>
      </c>
      <c r="C194" s="21" t="s">
        <v>612</v>
      </c>
      <c r="D194" s="164">
        <v>2220000</v>
      </c>
      <c r="E194" s="21" t="s">
        <v>340</v>
      </c>
      <c r="F194" s="21" t="s">
        <v>341</v>
      </c>
      <c r="G194" s="8" t="str">
        <f t="shared" si="2"/>
        <v>HILLS DUSTIN</v>
      </c>
    </row>
    <row r="195" spans="1:7" x14ac:dyDescent="0.25">
      <c r="A195" s="8">
        <v>42728.841516203705</v>
      </c>
      <c r="B195" s="21" t="s">
        <v>269</v>
      </c>
      <c r="C195" s="21" t="s">
        <v>613</v>
      </c>
      <c r="D195" s="164">
        <v>2230000</v>
      </c>
      <c r="E195" s="21" t="s">
        <v>279</v>
      </c>
      <c r="F195" s="21" t="s">
        <v>261</v>
      </c>
      <c r="G195" s="8" t="str">
        <f t="shared" ref="G195:G258" si="3">E195&amp;" "&amp;F195</f>
        <v>SMITH MICHAEL</v>
      </c>
    </row>
    <row r="196" spans="1:7" x14ac:dyDescent="0.25">
      <c r="A196" s="8">
        <v>42728.846342592595</v>
      </c>
      <c r="B196" s="21" t="s">
        <v>289</v>
      </c>
      <c r="C196" s="21" t="s">
        <v>614</v>
      </c>
      <c r="D196" s="164">
        <v>1540000</v>
      </c>
      <c r="E196" s="21" t="s">
        <v>334</v>
      </c>
      <c r="F196" s="21" t="s">
        <v>335</v>
      </c>
      <c r="G196" s="8" t="str">
        <f t="shared" si="3"/>
        <v>HELVIE ADAM</v>
      </c>
    </row>
    <row r="197" spans="1:7" x14ac:dyDescent="0.25">
      <c r="A197" s="8">
        <v>42728.859212962961</v>
      </c>
      <c r="B197" s="21" t="s">
        <v>288</v>
      </c>
      <c r="C197" s="21" t="s">
        <v>614</v>
      </c>
      <c r="D197" s="164">
        <v>1540000</v>
      </c>
      <c r="E197" s="21" t="s">
        <v>334</v>
      </c>
      <c r="F197" s="21" t="s">
        <v>335</v>
      </c>
      <c r="G197" s="8" t="str">
        <f t="shared" si="3"/>
        <v>HELVIE ADAM</v>
      </c>
    </row>
    <row r="198" spans="1:7" x14ac:dyDescent="0.25">
      <c r="A198" s="8">
        <v>42728.860185185185</v>
      </c>
      <c r="B198" s="21" t="s">
        <v>288</v>
      </c>
      <c r="C198" s="21" t="s">
        <v>615</v>
      </c>
      <c r="D198" s="164">
        <v>1540000</v>
      </c>
      <c r="E198" s="21" t="s">
        <v>334</v>
      </c>
      <c r="F198" s="21" t="s">
        <v>335</v>
      </c>
      <c r="G198" s="8" t="str">
        <f t="shared" si="3"/>
        <v>HELVIE ADAM</v>
      </c>
    </row>
    <row r="199" spans="1:7" x14ac:dyDescent="0.25">
      <c r="A199" s="8">
        <v>42728.860983796294</v>
      </c>
      <c r="B199" s="21" t="s">
        <v>288</v>
      </c>
      <c r="C199" s="21" t="s">
        <v>615</v>
      </c>
      <c r="D199" s="164">
        <v>1540000</v>
      </c>
      <c r="E199" s="21" t="s">
        <v>334</v>
      </c>
      <c r="F199" s="21" t="s">
        <v>335</v>
      </c>
      <c r="G199" s="8" t="str">
        <f t="shared" si="3"/>
        <v>HELVIE ADAM</v>
      </c>
    </row>
    <row r="200" spans="1:7" x14ac:dyDescent="0.25">
      <c r="A200" s="8">
        <v>42728.870370370372</v>
      </c>
      <c r="B200" s="21" t="s">
        <v>356</v>
      </c>
      <c r="C200" s="21" t="s">
        <v>616</v>
      </c>
      <c r="D200" s="164">
        <v>2000000</v>
      </c>
      <c r="E200" s="21" t="s">
        <v>209</v>
      </c>
      <c r="F200" s="21" t="s">
        <v>250</v>
      </c>
      <c r="G200" s="8" t="str">
        <f t="shared" si="3"/>
        <v>STAMBAUGH JAMES</v>
      </c>
    </row>
    <row r="201" spans="1:7" x14ac:dyDescent="0.25">
      <c r="A201" s="8">
        <v>42728.871736111112</v>
      </c>
      <c r="B201" s="21" t="s">
        <v>290</v>
      </c>
      <c r="C201" s="21" t="s">
        <v>617</v>
      </c>
      <c r="D201" s="164">
        <v>2270000</v>
      </c>
      <c r="E201" s="21" t="s">
        <v>342</v>
      </c>
      <c r="F201" s="21" t="s">
        <v>343</v>
      </c>
      <c r="G201" s="8" t="str">
        <f t="shared" si="3"/>
        <v>BROWN JACOB</v>
      </c>
    </row>
    <row r="202" spans="1:7" x14ac:dyDescent="0.25">
      <c r="A202" s="27">
        <v>42728.880787037036</v>
      </c>
      <c r="B202" s="21" t="s">
        <v>210</v>
      </c>
      <c r="C202" s="21" t="s">
        <v>618</v>
      </c>
      <c r="D202" s="164">
        <v>2220000</v>
      </c>
      <c r="E202" s="21" t="s">
        <v>340</v>
      </c>
      <c r="F202" s="21" t="s">
        <v>341</v>
      </c>
      <c r="G202" s="8" t="str">
        <f t="shared" si="3"/>
        <v>HILLS DUSTIN</v>
      </c>
    </row>
    <row r="203" spans="1:7" x14ac:dyDescent="0.25">
      <c r="A203" s="8">
        <v>42728.885370370372</v>
      </c>
      <c r="B203" s="21" t="s">
        <v>270</v>
      </c>
      <c r="C203" s="21" t="s">
        <v>619</v>
      </c>
      <c r="D203" s="164">
        <v>2230000</v>
      </c>
      <c r="E203" s="21" t="s">
        <v>279</v>
      </c>
      <c r="F203" s="21" t="s">
        <v>261</v>
      </c>
      <c r="G203" s="8" t="str">
        <f t="shared" si="3"/>
        <v>SMITH MICHAEL</v>
      </c>
    </row>
    <row r="204" spans="1:7" x14ac:dyDescent="0.25">
      <c r="A204" s="8">
        <v>42728.885659722226</v>
      </c>
      <c r="B204" s="21" t="s">
        <v>289</v>
      </c>
      <c r="C204" s="21" t="s">
        <v>620</v>
      </c>
      <c r="D204" s="164">
        <v>1540000</v>
      </c>
      <c r="E204" s="21" t="s">
        <v>334</v>
      </c>
      <c r="F204" s="21" t="s">
        <v>335</v>
      </c>
      <c r="G204" s="8" t="str">
        <f t="shared" si="3"/>
        <v>HELVIE ADAM</v>
      </c>
    </row>
    <row r="205" spans="1:7" x14ac:dyDescent="0.25">
      <c r="A205" s="8">
        <v>42728.90016203704</v>
      </c>
      <c r="B205" s="21" t="s">
        <v>288</v>
      </c>
      <c r="C205" s="21" t="s">
        <v>621</v>
      </c>
      <c r="D205" s="164">
        <v>1540000</v>
      </c>
      <c r="E205" s="21" t="s">
        <v>334</v>
      </c>
      <c r="F205" s="21" t="s">
        <v>335</v>
      </c>
      <c r="G205" s="8" t="str">
        <f t="shared" si="3"/>
        <v>HELVIE ADAM</v>
      </c>
    </row>
    <row r="206" spans="1:7" x14ac:dyDescent="0.25">
      <c r="A206" s="8">
        <v>42728.901759259257</v>
      </c>
      <c r="B206" s="21" t="s">
        <v>365</v>
      </c>
      <c r="C206" s="21" t="s">
        <v>622</v>
      </c>
      <c r="D206" s="164">
        <v>2000000</v>
      </c>
      <c r="E206" s="21" t="s">
        <v>209</v>
      </c>
      <c r="F206" s="21" t="s">
        <v>250</v>
      </c>
      <c r="G206" s="8" t="str">
        <f t="shared" si="3"/>
        <v>STAMBAUGH JAMES</v>
      </c>
    </row>
    <row r="207" spans="1:7" x14ac:dyDescent="0.25">
      <c r="A207" s="8">
        <v>42728.909270833334</v>
      </c>
      <c r="B207" s="21" t="s">
        <v>292</v>
      </c>
      <c r="C207" s="21" t="s">
        <v>623</v>
      </c>
      <c r="D207" s="164">
        <v>2270000</v>
      </c>
      <c r="E207" s="21" t="s">
        <v>342</v>
      </c>
      <c r="F207" s="21" t="s">
        <v>343</v>
      </c>
      <c r="G207" s="8" t="str">
        <f t="shared" si="3"/>
        <v>BROWN JACOB</v>
      </c>
    </row>
    <row r="208" spans="1:7" x14ac:dyDescent="0.25">
      <c r="A208" s="8">
        <v>42728.921759259261</v>
      </c>
      <c r="B208" s="21" t="s">
        <v>204</v>
      </c>
      <c r="C208" s="21" t="s">
        <v>454</v>
      </c>
      <c r="D208" s="164">
        <v>2220000</v>
      </c>
      <c r="E208" s="21" t="s">
        <v>340</v>
      </c>
      <c r="F208" s="21" t="s">
        <v>341</v>
      </c>
      <c r="G208" s="8" t="str">
        <f t="shared" si="3"/>
        <v>HILLS DUSTIN</v>
      </c>
    </row>
    <row r="209" spans="1:7" x14ac:dyDescent="0.25">
      <c r="A209" s="8">
        <v>42728.928425925929</v>
      </c>
      <c r="B209" s="21" t="s">
        <v>289</v>
      </c>
      <c r="C209" s="21" t="s">
        <v>624</v>
      </c>
      <c r="D209" s="164">
        <v>1540000</v>
      </c>
      <c r="E209" s="21" t="s">
        <v>334</v>
      </c>
      <c r="F209" s="21" t="s">
        <v>335</v>
      </c>
      <c r="G209" s="8" t="str">
        <f t="shared" si="3"/>
        <v>HELVIE ADAM</v>
      </c>
    </row>
    <row r="210" spans="1:7" x14ac:dyDescent="0.25">
      <c r="A210" s="8">
        <v>42728.942395833335</v>
      </c>
      <c r="B210" s="21" t="s">
        <v>288</v>
      </c>
      <c r="C210" s="21" t="s">
        <v>625</v>
      </c>
      <c r="D210" s="164">
        <v>1540000</v>
      </c>
      <c r="E210" s="21" t="s">
        <v>334</v>
      </c>
      <c r="F210" s="21" t="s">
        <v>335</v>
      </c>
      <c r="G210" s="8" t="str">
        <f t="shared" si="3"/>
        <v>HELVIE ADAM</v>
      </c>
    </row>
    <row r="211" spans="1:7" x14ac:dyDescent="0.25">
      <c r="A211" s="8">
        <v>42728.954814814817</v>
      </c>
      <c r="B211" s="21" t="s">
        <v>290</v>
      </c>
      <c r="C211" s="21" t="s">
        <v>455</v>
      </c>
      <c r="D211" s="164">
        <v>2270000</v>
      </c>
      <c r="E211" s="21" t="s">
        <v>342</v>
      </c>
      <c r="F211" s="21" t="s">
        <v>343</v>
      </c>
      <c r="G211" s="8" t="str">
        <f t="shared" si="3"/>
        <v>BROWN JACOB</v>
      </c>
    </row>
    <row r="212" spans="1:7" x14ac:dyDescent="0.25">
      <c r="A212" s="8">
        <v>42728.961041666669</v>
      </c>
      <c r="B212" s="21" t="s">
        <v>356</v>
      </c>
      <c r="C212" s="21" t="s">
        <v>626</v>
      </c>
      <c r="D212" s="164">
        <v>2000000</v>
      </c>
      <c r="E212" s="21" t="s">
        <v>209</v>
      </c>
      <c r="F212" s="21" t="s">
        <v>250</v>
      </c>
      <c r="G212" s="8" t="str">
        <f t="shared" si="3"/>
        <v>STAMBAUGH JAMES</v>
      </c>
    </row>
    <row r="213" spans="1:7" x14ac:dyDescent="0.25">
      <c r="A213" s="8">
        <v>42728.966111111113</v>
      </c>
      <c r="B213" s="21" t="s">
        <v>269</v>
      </c>
      <c r="C213" s="21" t="s">
        <v>627</v>
      </c>
      <c r="D213" s="164">
        <v>2230000</v>
      </c>
      <c r="E213" s="21" t="s">
        <v>279</v>
      </c>
      <c r="F213" s="21" t="s">
        <v>261</v>
      </c>
      <c r="G213" s="8" t="str">
        <f t="shared" si="3"/>
        <v>SMITH MICHAEL</v>
      </c>
    </row>
    <row r="214" spans="1:7" x14ac:dyDescent="0.25">
      <c r="A214" s="8">
        <v>42728.979571759257</v>
      </c>
      <c r="B214" s="21" t="s">
        <v>210</v>
      </c>
      <c r="C214" s="21" t="s">
        <v>628</v>
      </c>
      <c r="D214" s="164">
        <v>2220000</v>
      </c>
      <c r="E214" s="21" t="s">
        <v>340</v>
      </c>
      <c r="F214" s="21" t="s">
        <v>341</v>
      </c>
      <c r="G214" s="8" t="str">
        <f t="shared" si="3"/>
        <v>HILLS DUSTIN</v>
      </c>
    </row>
    <row r="215" spans="1:7" x14ac:dyDescent="0.25">
      <c r="A215" s="8">
        <v>42728.982858796298</v>
      </c>
      <c r="B215" s="21" t="s">
        <v>365</v>
      </c>
      <c r="C215" s="21" t="s">
        <v>629</v>
      </c>
      <c r="D215" s="164">
        <v>2000000</v>
      </c>
      <c r="E215" s="21" t="s">
        <v>209</v>
      </c>
      <c r="F215" s="21" t="s">
        <v>250</v>
      </c>
      <c r="G215" s="8" t="str">
        <f t="shared" si="3"/>
        <v>STAMBAUGH JAMES</v>
      </c>
    </row>
    <row r="216" spans="1:7" x14ac:dyDescent="0.25">
      <c r="A216" s="8">
        <v>42729.015243055554</v>
      </c>
      <c r="B216" s="21" t="s">
        <v>292</v>
      </c>
      <c r="C216" s="21" t="s">
        <v>630</v>
      </c>
      <c r="D216" s="164">
        <v>2270000</v>
      </c>
      <c r="E216" s="21" t="s">
        <v>342</v>
      </c>
      <c r="F216" s="21" t="s">
        <v>343</v>
      </c>
      <c r="G216" s="8" t="str">
        <f t="shared" si="3"/>
        <v>BROWN JACOB</v>
      </c>
    </row>
    <row r="217" spans="1:7" x14ac:dyDescent="0.25">
      <c r="A217" s="8">
        <v>42729.017800925925</v>
      </c>
      <c r="B217" s="21" t="s">
        <v>242</v>
      </c>
      <c r="C217" s="21" t="s">
        <v>631</v>
      </c>
      <c r="D217" s="164">
        <v>2630000</v>
      </c>
      <c r="E217" s="21" t="s">
        <v>367</v>
      </c>
      <c r="F217" s="21" t="s">
        <v>368</v>
      </c>
      <c r="G217" s="8" t="str">
        <f t="shared" si="3"/>
        <v>SAFIEF AEIMEN</v>
      </c>
    </row>
    <row r="218" spans="1:7" x14ac:dyDescent="0.25">
      <c r="A218" s="8">
        <v>42729.033668981479</v>
      </c>
      <c r="B218" s="21" t="s">
        <v>204</v>
      </c>
      <c r="C218" s="21" t="s">
        <v>632</v>
      </c>
      <c r="D218" s="164">
        <v>2220000</v>
      </c>
      <c r="E218" s="21" t="s">
        <v>340</v>
      </c>
      <c r="F218" s="21" t="s">
        <v>341</v>
      </c>
      <c r="G218" s="8" t="str">
        <f t="shared" si="3"/>
        <v>HILLS DUSTIN</v>
      </c>
    </row>
    <row r="219" spans="1:7" x14ac:dyDescent="0.25">
      <c r="A219" s="8">
        <v>42729.036238425928</v>
      </c>
      <c r="B219" s="21" t="s">
        <v>356</v>
      </c>
      <c r="C219" s="21" t="s">
        <v>633</v>
      </c>
      <c r="D219" s="164">
        <v>2000000</v>
      </c>
      <c r="E219" s="21" t="s">
        <v>209</v>
      </c>
      <c r="F219" s="21" t="s">
        <v>250</v>
      </c>
      <c r="G219" s="8" t="str">
        <f t="shared" si="3"/>
        <v>STAMBAUGH JAMES</v>
      </c>
    </row>
    <row r="220" spans="1:7" x14ac:dyDescent="0.25">
      <c r="A220" s="8">
        <v>42729.043946759259</v>
      </c>
      <c r="B220" s="21" t="s">
        <v>269</v>
      </c>
      <c r="C220" s="21" t="s">
        <v>634</v>
      </c>
      <c r="D220" s="164">
        <v>2230000</v>
      </c>
      <c r="E220" s="21" t="s">
        <v>279</v>
      </c>
      <c r="F220" s="21" t="s">
        <v>261</v>
      </c>
      <c r="G220" s="8" t="str">
        <f t="shared" si="3"/>
        <v>SMITH MICHAEL</v>
      </c>
    </row>
    <row r="221" spans="1:7" x14ac:dyDescent="0.25">
      <c r="A221" s="8">
        <v>42729.051238425927</v>
      </c>
      <c r="B221" s="21" t="s">
        <v>290</v>
      </c>
      <c r="C221" s="21" t="s">
        <v>635</v>
      </c>
      <c r="D221" s="164">
        <v>2270000</v>
      </c>
      <c r="E221" s="21" t="s">
        <v>342</v>
      </c>
      <c r="F221" s="21" t="s">
        <v>343</v>
      </c>
      <c r="G221" s="8" t="str">
        <f t="shared" si="3"/>
        <v>BROWN JACOB</v>
      </c>
    </row>
    <row r="222" spans="1:7" x14ac:dyDescent="0.25">
      <c r="A222" s="8">
        <v>42729.067141203705</v>
      </c>
      <c r="B222" s="21" t="s">
        <v>365</v>
      </c>
      <c r="C222" s="21" t="s">
        <v>636</v>
      </c>
      <c r="D222" s="164">
        <v>2000000</v>
      </c>
      <c r="E222" s="21" t="s">
        <v>209</v>
      </c>
      <c r="F222" s="21" t="s">
        <v>250</v>
      </c>
      <c r="G222" s="8" t="str">
        <f t="shared" si="3"/>
        <v>STAMBAUGH JAMES</v>
      </c>
    </row>
    <row r="223" spans="1:7" x14ac:dyDescent="0.25">
      <c r="A223" s="8">
        <v>42729.068680555552</v>
      </c>
      <c r="B223" s="21" t="s">
        <v>204</v>
      </c>
      <c r="C223" s="21" t="s">
        <v>632</v>
      </c>
      <c r="D223" s="164">
        <v>2220000</v>
      </c>
      <c r="E223" s="21" t="s">
        <v>340</v>
      </c>
      <c r="F223" s="21" t="s">
        <v>341</v>
      </c>
      <c r="G223" s="8" t="str">
        <f t="shared" si="3"/>
        <v>HILLS DUSTIN</v>
      </c>
    </row>
    <row r="224" spans="1:7" x14ac:dyDescent="0.25">
      <c r="A224" s="8">
        <v>42729.072951388887</v>
      </c>
      <c r="B224" t="s">
        <v>210</v>
      </c>
      <c r="C224" t="s">
        <v>637</v>
      </c>
      <c r="D224" s="164">
        <v>2220000</v>
      </c>
      <c r="E224" t="s">
        <v>340</v>
      </c>
      <c r="F224" s="21" t="s">
        <v>341</v>
      </c>
      <c r="G224" s="8" t="str">
        <f t="shared" si="3"/>
        <v>HILLS DUSTIN</v>
      </c>
    </row>
    <row r="225" spans="1:7" x14ac:dyDescent="0.25">
      <c r="A225" s="8">
        <v>42729.07508101852</v>
      </c>
      <c r="B225" t="s">
        <v>257</v>
      </c>
      <c r="C225" t="s">
        <v>638</v>
      </c>
      <c r="D225" s="164">
        <v>2630000</v>
      </c>
      <c r="E225" t="s">
        <v>367</v>
      </c>
      <c r="F225" s="21" t="s">
        <v>368</v>
      </c>
      <c r="G225" s="8" t="str">
        <f t="shared" si="3"/>
        <v>SAFIEF AEIMEN</v>
      </c>
    </row>
    <row r="226" spans="1:7" x14ac:dyDescent="0.25">
      <c r="A226" s="8">
        <v>42729.09065972222</v>
      </c>
      <c r="B226" t="s">
        <v>270</v>
      </c>
      <c r="C226" t="s">
        <v>639</v>
      </c>
      <c r="D226" s="164">
        <v>2230000</v>
      </c>
      <c r="E226" t="s">
        <v>279</v>
      </c>
      <c r="F226" s="21" t="s">
        <v>261</v>
      </c>
      <c r="G226" s="8" t="str">
        <f t="shared" si="3"/>
        <v>SMITH MICHAEL</v>
      </c>
    </row>
    <row r="227" spans="1:7" x14ac:dyDescent="0.25">
      <c r="A227" s="8">
        <v>42728.014178240737</v>
      </c>
      <c r="B227" t="s">
        <v>234</v>
      </c>
      <c r="C227" t="s">
        <v>375</v>
      </c>
      <c r="D227" s="164">
        <v>2730000</v>
      </c>
      <c r="E227" t="s">
        <v>315</v>
      </c>
      <c r="F227" s="21" t="s">
        <v>316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357</v>
      </c>
      <c r="C228" t="s">
        <v>376</v>
      </c>
      <c r="D228" s="164">
        <v>2270000</v>
      </c>
      <c r="E228" t="s">
        <v>342</v>
      </c>
      <c r="F228" s="21" t="s">
        <v>343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257</v>
      </c>
      <c r="C229" t="s">
        <v>361</v>
      </c>
      <c r="D229" s="164">
        <v>2000000</v>
      </c>
      <c r="E229" t="s">
        <v>209</v>
      </c>
      <c r="F229" s="21" t="s">
        <v>250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377</v>
      </c>
      <c r="D230" s="164">
        <v>2220000</v>
      </c>
      <c r="E230" t="s">
        <v>340</v>
      </c>
      <c r="F230" s="21" t="s">
        <v>341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377</v>
      </c>
      <c r="D231" s="164">
        <v>2220000</v>
      </c>
      <c r="E231" t="s">
        <v>340</v>
      </c>
      <c r="F231" s="21" t="s">
        <v>341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357</v>
      </c>
      <c r="C232" t="s">
        <v>376</v>
      </c>
      <c r="D232" s="164">
        <v>2270000</v>
      </c>
      <c r="E232" t="s">
        <v>342</v>
      </c>
      <c r="F232" s="21" t="s">
        <v>343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291</v>
      </c>
      <c r="C233" t="s">
        <v>378</v>
      </c>
      <c r="D233" s="164">
        <v>2730000</v>
      </c>
      <c r="E233" t="s">
        <v>315</v>
      </c>
      <c r="F233" s="21" t="s">
        <v>316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377</v>
      </c>
      <c r="D234" s="164">
        <v>2220000</v>
      </c>
      <c r="E234" t="s">
        <v>340</v>
      </c>
      <c r="F234" s="21" t="s">
        <v>341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377</v>
      </c>
      <c r="D235" s="164">
        <v>2220000</v>
      </c>
      <c r="E235" t="s">
        <v>340</v>
      </c>
      <c r="F235" s="21" t="s">
        <v>341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377</v>
      </c>
      <c r="D236" s="164">
        <v>2220000</v>
      </c>
      <c r="E236" t="s">
        <v>340</v>
      </c>
      <c r="F236" s="21" t="s">
        <v>341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377</v>
      </c>
      <c r="D237" s="164">
        <v>2220000</v>
      </c>
      <c r="E237" t="s">
        <v>340</v>
      </c>
      <c r="F237" s="21" t="s">
        <v>341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377</v>
      </c>
      <c r="D238" s="164">
        <v>2220000</v>
      </c>
      <c r="E238" t="s">
        <v>340</v>
      </c>
      <c r="F238" s="21" t="s">
        <v>341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377</v>
      </c>
      <c r="D239" s="164">
        <v>2220000</v>
      </c>
      <c r="E239" t="s">
        <v>340</v>
      </c>
      <c r="F239" s="21" t="s">
        <v>341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377</v>
      </c>
      <c r="D240" s="164">
        <v>2220000</v>
      </c>
      <c r="E240" t="s">
        <v>340</v>
      </c>
      <c r="F240" s="21" t="s">
        <v>341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242</v>
      </c>
      <c r="C241" t="s">
        <v>379</v>
      </c>
      <c r="D241" s="164">
        <v>2000000</v>
      </c>
      <c r="E241" t="s">
        <v>209</v>
      </c>
      <c r="F241" s="21" t="s">
        <v>250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360</v>
      </c>
      <c r="C242" t="s">
        <v>380</v>
      </c>
      <c r="D242" s="164">
        <v>2270000</v>
      </c>
      <c r="E242" t="s">
        <v>342</v>
      </c>
      <c r="F242" s="21" t="s">
        <v>343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381</v>
      </c>
      <c r="D243" s="164">
        <v>2220000</v>
      </c>
      <c r="E243" t="s">
        <v>340</v>
      </c>
      <c r="F243" s="21" t="s">
        <v>341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381</v>
      </c>
      <c r="D244" s="164">
        <v>2220000</v>
      </c>
      <c r="E244" t="s">
        <v>340</v>
      </c>
      <c r="F244" s="21" t="s">
        <v>341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357</v>
      </c>
      <c r="C245" t="s">
        <v>382</v>
      </c>
      <c r="D245" s="164">
        <v>2270000</v>
      </c>
      <c r="E245" t="s">
        <v>342</v>
      </c>
      <c r="F245" s="21" t="s">
        <v>343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292</v>
      </c>
      <c r="C246" t="s">
        <v>295</v>
      </c>
      <c r="D246" s="164">
        <v>2000000</v>
      </c>
      <c r="E246" t="s">
        <v>209</v>
      </c>
      <c r="F246" s="21" t="s">
        <v>250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270</v>
      </c>
      <c r="C247" t="s">
        <v>296</v>
      </c>
      <c r="D247" s="164">
        <v>1810000</v>
      </c>
      <c r="E247" t="s">
        <v>280</v>
      </c>
      <c r="F247" s="21" t="s">
        <v>250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297</v>
      </c>
      <c r="D248" s="164">
        <v>2230000</v>
      </c>
      <c r="E248" t="s">
        <v>279</v>
      </c>
      <c r="F248" s="21" t="s">
        <v>261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298</v>
      </c>
      <c r="D249" s="164">
        <v>1800000</v>
      </c>
      <c r="E249" t="s">
        <v>235</v>
      </c>
      <c r="F249" s="21" t="s">
        <v>253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269</v>
      </c>
      <c r="C250" t="s">
        <v>299</v>
      </c>
      <c r="D250" s="164">
        <v>1810000</v>
      </c>
      <c r="E250" t="s">
        <v>280</v>
      </c>
      <c r="F250" s="21" t="s">
        <v>250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290</v>
      </c>
      <c r="C251" t="s">
        <v>300</v>
      </c>
      <c r="D251" s="164">
        <v>2000000</v>
      </c>
      <c r="E251" t="s">
        <v>209</v>
      </c>
      <c r="F251" s="21" t="s">
        <v>250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301</v>
      </c>
      <c r="D252" s="164">
        <v>1800000</v>
      </c>
      <c r="E252" t="s">
        <v>235</v>
      </c>
      <c r="F252" s="21" t="s">
        <v>253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268</v>
      </c>
      <c r="C253" t="s">
        <v>302</v>
      </c>
      <c r="D253" s="164">
        <v>2230000</v>
      </c>
      <c r="E253" t="s">
        <v>279</v>
      </c>
      <c r="F253" s="21" t="s">
        <v>261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270</v>
      </c>
      <c r="C254" t="s">
        <v>303</v>
      </c>
      <c r="D254" s="164">
        <v>1810000</v>
      </c>
      <c r="E254" t="s">
        <v>280</v>
      </c>
      <c r="F254" s="21" t="s">
        <v>250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292</v>
      </c>
      <c r="C255" t="s">
        <v>304</v>
      </c>
      <c r="D255" s="164">
        <v>2000000</v>
      </c>
      <c r="E255" t="s">
        <v>209</v>
      </c>
      <c r="F255" s="21" t="s">
        <v>250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305</v>
      </c>
      <c r="D256" s="164">
        <v>2230000</v>
      </c>
      <c r="E256" t="s">
        <v>279</v>
      </c>
      <c r="F256" s="21" t="s">
        <v>261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290</v>
      </c>
      <c r="C257" t="s">
        <v>306</v>
      </c>
      <c r="D257" s="164">
        <v>2000000</v>
      </c>
      <c r="E257" t="s">
        <v>209</v>
      </c>
      <c r="F257" s="21" t="s">
        <v>250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307</v>
      </c>
      <c r="D258" s="164">
        <v>2110000</v>
      </c>
      <c r="E258" t="s">
        <v>293</v>
      </c>
      <c r="F258" s="21" t="s">
        <v>294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307</v>
      </c>
      <c r="D259" s="164">
        <v>2110000</v>
      </c>
      <c r="E259" t="s">
        <v>293</v>
      </c>
      <c r="F259" s="21" t="s">
        <v>294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230</v>
      </c>
      <c r="C260" t="s">
        <v>238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237</v>
      </c>
      <c r="D261" s="164">
        <v>2530000</v>
      </c>
      <c r="E261" t="s">
        <v>236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239</v>
      </c>
      <c r="D262" s="164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383</v>
      </c>
      <c r="I1" s="179" t="s">
        <v>171</v>
      </c>
      <c r="J1" s="179" t="s">
        <v>172</v>
      </c>
      <c r="K1" s="179" t="s">
        <v>384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35.450000000000003</v>
      </c>
      <c r="B2" s="169">
        <v>0.49</v>
      </c>
      <c r="C2" s="169">
        <v>23.13</v>
      </c>
      <c r="D2" s="8">
        <v>42728</v>
      </c>
      <c r="E2" s="169">
        <v>0.6</v>
      </c>
      <c r="F2" s="169" t="s">
        <v>240</v>
      </c>
      <c r="G2" s="169">
        <v>269.85000000000002</v>
      </c>
      <c r="H2" s="169"/>
      <c r="I2" s="169">
        <v>0</v>
      </c>
      <c r="J2" s="169">
        <v>0</v>
      </c>
      <c r="K2" s="169"/>
      <c r="L2" s="169">
        <v>1013.09</v>
      </c>
      <c r="M2" s="169" t="s">
        <v>245</v>
      </c>
      <c r="N2" s="169">
        <v>35.450000000000003</v>
      </c>
      <c r="O2" s="169">
        <v>1482562800</v>
      </c>
      <c r="P2" s="169">
        <v>6.69</v>
      </c>
      <c r="Q2" s="169">
        <v>231</v>
      </c>
      <c r="R2" s="169">
        <v>1.83</v>
      </c>
    </row>
    <row r="3" spans="1:18" x14ac:dyDescent="0.25">
      <c r="A3" s="169">
        <v>34.450000000000003</v>
      </c>
      <c r="B3" s="169">
        <v>0.5</v>
      </c>
      <c r="C3" s="169">
        <v>21.91</v>
      </c>
      <c r="D3" s="8">
        <v>42728.041666666664</v>
      </c>
      <c r="E3" s="169">
        <v>0.6</v>
      </c>
      <c r="F3" s="169" t="s">
        <v>240</v>
      </c>
      <c r="G3" s="169">
        <v>270.83999999999997</v>
      </c>
      <c r="H3" s="169"/>
      <c r="I3" s="169">
        <v>0</v>
      </c>
      <c r="J3" s="169">
        <v>0</v>
      </c>
      <c r="K3" s="169"/>
      <c r="L3" s="169">
        <v>1013.06</v>
      </c>
      <c r="M3" s="169" t="s">
        <v>245</v>
      </c>
      <c r="N3" s="169">
        <v>34.450000000000003</v>
      </c>
      <c r="O3" s="169">
        <v>1482566400</v>
      </c>
      <c r="P3" s="169">
        <v>6.43</v>
      </c>
      <c r="Q3" s="169">
        <v>256</v>
      </c>
      <c r="R3" s="169">
        <v>1.81</v>
      </c>
    </row>
    <row r="4" spans="1:18" x14ac:dyDescent="0.25">
      <c r="A4" s="169">
        <v>34.14</v>
      </c>
      <c r="B4" s="169">
        <v>0.48</v>
      </c>
      <c r="C4" s="169">
        <v>21.7</v>
      </c>
      <c r="D4" s="8">
        <v>42728.083333333336</v>
      </c>
      <c r="E4" s="169">
        <v>0.6</v>
      </c>
      <c r="F4" s="169" t="s">
        <v>240</v>
      </c>
      <c r="G4" s="169">
        <v>271.82</v>
      </c>
      <c r="H4" s="169"/>
      <c r="I4" s="169">
        <v>0</v>
      </c>
      <c r="J4" s="169">
        <v>0</v>
      </c>
      <c r="K4" s="169"/>
      <c r="L4" s="169">
        <v>1013.05</v>
      </c>
      <c r="M4" s="169" t="s">
        <v>245</v>
      </c>
      <c r="N4" s="169">
        <v>34.14</v>
      </c>
      <c r="O4" s="169">
        <v>1482570000</v>
      </c>
      <c r="P4" s="169">
        <v>5.57</v>
      </c>
      <c r="Q4" s="169">
        <v>266</v>
      </c>
      <c r="R4" s="169">
        <v>1.37</v>
      </c>
    </row>
    <row r="5" spans="1:18" x14ac:dyDescent="0.25">
      <c r="A5" s="169">
        <v>32.24</v>
      </c>
      <c r="B5" s="169">
        <v>0.53</v>
      </c>
      <c r="C5" s="169">
        <v>20.059999999999999</v>
      </c>
      <c r="D5" s="8">
        <v>42728.125</v>
      </c>
      <c r="E5" s="169">
        <v>0.6</v>
      </c>
      <c r="F5" s="169" t="s">
        <v>240</v>
      </c>
      <c r="G5" s="169">
        <v>274.26</v>
      </c>
      <c r="H5" s="169"/>
      <c r="I5" s="169">
        <v>0</v>
      </c>
      <c r="J5" s="169">
        <v>0</v>
      </c>
      <c r="K5" s="169"/>
      <c r="L5" s="169">
        <v>1012.9</v>
      </c>
      <c r="M5" s="169" t="s">
        <v>245</v>
      </c>
      <c r="N5" s="169">
        <v>32.24</v>
      </c>
      <c r="O5" s="169">
        <v>1482573600</v>
      </c>
      <c r="P5" s="169">
        <v>5.0199999999999996</v>
      </c>
      <c r="Q5" s="169">
        <v>246</v>
      </c>
      <c r="R5" s="169">
        <v>1.31</v>
      </c>
    </row>
    <row r="6" spans="1:18" x14ac:dyDescent="0.25">
      <c r="A6" s="169">
        <v>30.4</v>
      </c>
      <c r="B6" s="169">
        <v>0.46</v>
      </c>
      <c r="C6" s="169">
        <v>19.32</v>
      </c>
      <c r="D6" s="8">
        <v>42728.166666666664</v>
      </c>
      <c r="E6" s="169">
        <v>0.63</v>
      </c>
      <c r="F6" s="169" t="s">
        <v>240</v>
      </c>
      <c r="G6" s="169">
        <v>277.13</v>
      </c>
      <c r="H6" s="169"/>
      <c r="I6" s="169">
        <v>0</v>
      </c>
      <c r="J6" s="169">
        <v>0</v>
      </c>
      <c r="K6" s="169"/>
      <c r="L6" s="169">
        <v>1012.73</v>
      </c>
      <c r="M6" s="169" t="s">
        <v>245</v>
      </c>
      <c r="N6" s="169">
        <v>30.4</v>
      </c>
      <c r="O6" s="169">
        <v>1482577200</v>
      </c>
      <c r="P6" s="169">
        <v>5.19</v>
      </c>
      <c r="Q6" s="169">
        <v>214</v>
      </c>
      <c r="R6" s="169">
        <v>1.37</v>
      </c>
    </row>
    <row r="7" spans="1:18" x14ac:dyDescent="0.25">
      <c r="A7" s="169">
        <v>29.1</v>
      </c>
      <c r="B7" s="169">
        <v>0.4</v>
      </c>
      <c r="C7" s="169">
        <v>20.2</v>
      </c>
      <c r="D7" s="8">
        <v>42728.208333333336</v>
      </c>
      <c r="E7" s="169">
        <v>0.69</v>
      </c>
      <c r="F7" s="169" t="s">
        <v>240</v>
      </c>
      <c r="G7" s="169">
        <v>278.63</v>
      </c>
      <c r="H7" s="169"/>
      <c r="I7" s="169">
        <v>0</v>
      </c>
      <c r="J7" s="169">
        <v>0</v>
      </c>
      <c r="K7" s="169"/>
      <c r="L7" s="169">
        <v>1012.69</v>
      </c>
      <c r="M7" s="169" t="s">
        <v>245</v>
      </c>
      <c r="N7" s="169">
        <v>29.1</v>
      </c>
      <c r="O7" s="169">
        <v>1482580800</v>
      </c>
      <c r="P7" s="169">
        <v>6.81</v>
      </c>
      <c r="Q7" s="169">
        <v>214</v>
      </c>
      <c r="R7" s="169">
        <v>1.58</v>
      </c>
    </row>
    <row r="8" spans="1:18" x14ac:dyDescent="0.25">
      <c r="A8" s="169">
        <v>28.84</v>
      </c>
      <c r="B8" s="169">
        <v>0.34</v>
      </c>
      <c r="C8" s="169">
        <v>21.23</v>
      </c>
      <c r="D8" s="8">
        <v>42728.25</v>
      </c>
      <c r="E8" s="169">
        <v>0.73</v>
      </c>
      <c r="F8" s="169" t="s">
        <v>240</v>
      </c>
      <c r="G8" s="169">
        <v>277.64999999999998</v>
      </c>
      <c r="H8" s="169"/>
      <c r="I8" s="169">
        <v>0</v>
      </c>
      <c r="J8" s="169">
        <v>0</v>
      </c>
      <c r="K8" s="169"/>
      <c r="L8" s="169">
        <v>1013.07</v>
      </c>
      <c r="M8" s="169" t="s">
        <v>245</v>
      </c>
      <c r="N8" s="169">
        <v>28.84</v>
      </c>
      <c r="O8" s="169">
        <v>1482584400</v>
      </c>
      <c r="P8" s="169">
        <v>6.08</v>
      </c>
      <c r="Q8" s="169">
        <v>206</v>
      </c>
      <c r="R8" s="169">
        <v>1.68</v>
      </c>
    </row>
    <row r="9" spans="1:18" x14ac:dyDescent="0.25">
      <c r="A9" s="169">
        <v>28.3</v>
      </c>
      <c r="B9" s="169">
        <v>0.28999999999999998</v>
      </c>
      <c r="C9" s="169">
        <v>19.489999999999998</v>
      </c>
      <c r="D9" s="8">
        <v>42728.291666666664</v>
      </c>
      <c r="E9" s="169">
        <v>0.69</v>
      </c>
      <c r="F9" s="169" t="s">
        <v>240</v>
      </c>
      <c r="G9" s="169">
        <v>275.31</v>
      </c>
      <c r="H9" s="169"/>
      <c r="I9" s="169">
        <v>0</v>
      </c>
      <c r="J9" s="169">
        <v>0</v>
      </c>
      <c r="K9" s="169"/>
      <c r="L9" s="169">
        <v>1013.8</v>
      </c>
      <c r="M9" s="169" t="s">
        <v>245</v>
      </c>
      <c r="N9" s="169">
        <v>28.3</v>
      </c>
      <c r="O9" s="169">
        <v>1482588000</v>
      </c>
      <c r="P9" s="169">
        <v>5.16</v>
      </c>
      <c r="Q9" s="169">
        <v>221</v>
      </c>
      <c r="R9" s="169">
        <v>1.72</v>
      </c>
    </row>
    <row r="10" spans="1:18" x14ac:dyDescent="0.25">
      <c r="A10" s="169">
        <v>28.49</v>
      </c>
      <c r="B10" s="169">
        <v>0.28000000000000003</v>
      </c>
      <c r="C10" s="169">
        <v>20.100000000000001</v>
      </c>
      <c r="D10" s="8">
        <v>42728.333333333336</v>
      </c>
      <c r="E10" s="169">
        <v>0.7</v>
      </c>
      <c r="F10" s="169" t="s">
        <v>317</v>
      </c>
      <c r="G10" s="169">
        <v>273.14</v>
      </c>
      <c r="H10" s="169"/>
      <c r="I10" s="169">
        <v>0</v>
      </c>
      <c r="J10" s="169">
        <v>0</v>
      </c>
      <c r="K10" s="169"/>
      <c r="L10" s="169">
        <v>1013.75</v>
      </c>
      <c r="M10" s="169" t="s">
        <v>245</v>
      </c>
      <c r="N10" s="169">
        <v>28.49</v>
      </c>
      <c r="O10" s="169">
        <v>1482591600</v>
      </c>
      <c r="P10" s="169">
        <v>4.8</v>
      </c>
      <c r="Q10" s="169">
        <v>228</v>
      </c>
      <c r="R10" s="169">
        <v>1.55</v>
      </c>
    </row>
    <row r="11" spans="1:18" x14ac:dyDescent="0.25">
      <c r="A11" s="169">
        <v>33.119999999999997</v>
      </c>
      <c r="B11" s="169">
        <v>0.28000000000000003</v>
      </c>
      <c r="C11" s="169">
        <v>23.37</v>
      </c>
      <c r="D11" s="8">
        <v>42728.375</v>
      </c>
      <c r="E11" s="169">
        <v>0.67</v>
      </c>
      <c r="F11" s="169" t="s">
        <v>317</v>
      </c>
      <c r="G11" s="169">
        <v>271.64</v>
      </c>
      <c r="H11" s="169"/>
      <c r="I11" s="169">
        <v>0</v>
      </c>
      <c r="J11" s="169">
        <v>0</v>
      </c>
      <c r="K11" s="169"/>
      <c r="L11" s="169">
        <v>1012.42</v>
      </c>
      <c r="M11" s="169" t="s">
        <v>245</v>
      </c>
      <c r="N11" s="169">
        <v>33.119999999999997</v>
      </c>
      <c r="O11" s="169">
        <v>1482595200</v>
      </c>
      <c r="P11" s="169">
        <v>4.72</v>
      </c>
      <c r="Q11" s="169">
        <v>215</v>
      </c>
      <c r="R11" s="169">
        <v>1.31</v>
      </c>
    </row>
    <row r="12" spans="1:18" x14ac:dyDescent="0.25">
      <c r="A12" s="169">
        <v>36.869999999999997</v>
      </c>
      <c r="B12" s="169">
        <v>0.28000000000000003</v>
      </c>
      <c r="C12" s="169">
        <v>22.63</v>
      </c>
      <c r="D12" s="8">
        <v>42728.416666666664</v>
      </c>
      <c r="E12" s="169">
        <v>0.56000000000000005</v>
      </c>
      <c r="F12" s="169" t="s">
        <v>317</v>
      </c>
      <c r="G12" s="169">
        <v>270.31</v>
      </c>
      <c r="H12" s="169"/>
      <c r="I12" s="169">
        <v>0</v>
      </c>
      <c r="J12" s="169">
        <v>0</v>
      </c>
      <c r="K12" s="169"/>
      <c r="L12" s="169">
        <v>1010.32</v>
      </c>
      <c r="M12" s="169" t="s">
        <v>245</v>
      </c>
      <c r="N12" s="169">
        <v>36.869999999999997</v>
      </c>
      <c r="O12" s="169">
        <v>1482598800</v>
      </c>
      <c r="P12" s="169">
        <v>4.7</v>
      </c>
      <c r="Q12" s="169">
        <v>220</v>
      </c>
      <c r="R12" s="169">
        <v>0.7</v>
      </c>
    </row>
    <row r="13" spans="1:18" x14ac:dyDescent="0.25">
      <c r="A13" s="169">
        <v>41.23</v>
      </c>
      <c r="B13" s="169">
        <v>0.27</v>
      </c>
      <c r="C13" s="169">
        <v>21.35</v>
      </c>
      <c r="D13" s="8">
        <v>42728.458333333336</v>
      </c>
      <c r="E13" s="169">
        <v>0.45</v>
      </c>
      <c r="F13" s="169" t="s">
        <v>317</v>
      </c>
      <c r="G13" s="169">
        <v>269.23</v>
      </c>
      <c r="H13" s="169"/>
      <c r="I13" s="169">
        <v>0</v>
      </c>
      <c r="J13" s="169">
        <v>0</v>
      </c>
      <c r="K13" s="169"/>
      <c r="L13" s="169">
        <v>1008.47</v>
      </c>
      <c r="M13" s="169" t="s">
        <v>245</v>
      </c>
      <c r="N13" s="169">
        <v>41.23</v>
      </c>
      <c r="O13" s="169">
        <v>1482602400</v>
      </c>
      <c r="P13" s="169">
        <v>4.76</v>
      </c>
      <c r="Q13" s="169">
        <v>44</v>
      </c>
      <c r="R13" s="169">
        <v>0.28000000000000003</v>
      </c>
    </row>
    <row r="14" spans="1:18" x14ac:dyDescent="0.25">
      <c r="A14" s="169">
        <v>45.34</v>
      </c>
      <c r="B14" s="169">
        <v>0.27</v>
      </c>
      <c r="C14" s="169">
        <v>22.58</v>
      </c>
      <c r="D14" s="8">
        <v>42728.5</v>
      </c>
      <c r="E14" s="169">
        <v>0.4</v>
      </c>
      <c r="F14" s="169" t="s">
        <v>317</v>
      </c>
      <c r="G14" s="169">
        <v>268.35000000000002</v>
      </c>
      <c r="H14" s="169"/>
      <c r="I14" s="169">
        <v>0</v>
      </c>
      <c r="J14" s="169">
        <v>0</v>
      </c>
      <c r="K14" s="169"/>
      <c r="L14" s="169">
        <v>1006.95</v>
      </c>
      <c r="M14" s="169" t="s">
        <v>245</v>
      </c>
      <c r="N14" s="169">
        <v>45.34</v>
      </c>
      <c r="O14" s="169">
        <v>1482606000</v>
      </c>
      <c r="P14" s="169">
        <v>4.83</v>
      </c>
      <c r="Q14" s="169">
        <v>66</v>
      </c>
      <c r="R14" s="169">
        <v>1.0900000000000001</v>
      </c>
    </row>
    <row r="15" spans="1:18" x14ac:dyDescent="0.25">
      <c r="A15" s="169">
        <v>48.9</v>
      </c>
      <c r="B15" s="169">
        <v>0.27</v>
      </c>
      <c r="C15" s="169">
        <v>23.92</v>
      </c>
      <c r="D15" s="8">
        <v>42728.541666666664</v>
      </c>
      <c r="E15" s="169">
        <v>0.37</v>
      </c>
      <c r="F15" s="169" t="s">
        <v>317</v>
      </c>
      <c r="G15" s="169">
        <v>267.70999999999998</v>
      </c>
      <c r="H15" s="169"/>
      <c r="I15" s="169">
        <v>0</v>
      </c>
      <c r="J15" s="169">
        <v>0</v>
      </c>
      <c r="K15" s="169"/>
      <c r="L15" s="169">
        <v>1005.48</v>
      </c>
      <c r="M15" s="169" t="s">
        <v>245</v>
      </c>
      <c r="N15" s="169">
        <v>48.9</v>
      </c>
      <c r="O15" s="169">
        <v>1482609600</v>
      </c>
      <c r="P15" s="169">
        <v>4.9000000000000004</v>
      </c>
      <c r="Q15" s="169">
        <v>58</v>
      </c>
      <c r="R15" s="169">
        <v>1.52</v>
      </c>
    </row>
    <row r="16" spans="1:18" x14ac:dyDescent="0.25">
      <c r="A16" s="169">
        <v>49.46</v>
      </c>
      <c r="B16" s="169">
        <v>0.27</v>
      </c>
      <c r="C16" s="169">
        <v>25.3</v>
      </c>
      <c r="D16" s="8">
        <v>42728.583333333336</v>
      </c>
      <c r="E16" s="169">
        <v>0.39</v>
      </c>
      <c r="F16" s="169" t="s">
        <v>317</v>
      </c>
      <c r="G16" s="169">
        <v>267.52</v>
      </c>
      <c r="H16" s="169"/>
      <c r="I16" s="169">
        <v>0</v>
      </c>
      <c r="J16" s="169">
        <v>0</v>
      </c>
      <c r="K16" s="169"/>
      <c r="L16" s="169">
        <v>1004.26</v>
      </c>
      <c r="M16" s="169" t="s">
        <v>245</v>
      </c>
      <c r="N16" s="169">
        <v>49.46</v>
      </c>
      <c r="O16" s="169">
        <v>1482613200</v>
      </c>
      <c r="P16" s="169">
        <v>4.9800000000000004</v>
      </c>
      <c r="Q16" s="169">
        <v>35</v>
      </c>
      <c r="R16" s="169">
        <v>1.88</v>
      </c>
    </row>
    <row r="17" spans="1:18" x14ac:dyDescent="0.25">
      <c r="A17" s="169">
        <v>50.66</v>
      </c>
      <c r="B17" s="169">
        <v>0.27</v>
      </c>
      <c r="C17" s="169">
        <v>26.09</v>
      </c>
      <c r="D17" s="8">
        <v>42728.625</v>
      </c>
      <c r="E17" s="169">
        <v>0.38</v>
      </c>
      <c r="F17" s="169" t="s">
        <v>317</v>
      </c>
      <c r="G17" s="169">
        <v>268.01</v>
      </c>
      <c r="H17" s="169"/>
      <c r="I17" s="169">
        <v>0</v>
      </c>
      <c r="J17" s="169">
        <v>0</v>
      </c>
      <c r="K17" s="169"/>
      <c r="L17" s="169">
        <v>1003.48</v>
      </c>
      <c r="M17" s="169" t="s">
        <v>245</v>
      </c>
      <c r="N17" s="169">
        <v>50.66</v>
      </c>
      <c r="O17" s="169">
        <v>1482616800</v>
      </c>
      <c r="P17" s="169">
        <v>5.15</v>
      </c>
      <c r="Q17" s="169">
        <v>34</v>
      </c>
      <c r="R17" s="169">
        <v>1.44</v>
      </c>
    </row>
    <row r="18" spans="1:18" x14ac:dyDescent="0.25">
      <c r="A18" s="169">
        <v>46.78</v>
      </c>
      <c r="B18" s="169">
        <v>0.27</v>
      </c>
      <c r="C18" s="169">
        <v>22.97</v>
      </c>
      <c r="D18" s="8">
        <v>42728.666666666664</v>
      </c>
      <c r="E18" s="169">
        <v>0.39</v>
      </c>
      <c r="F18" s="169" t="s">
        <v>317</v>
      </c>
      <c r="G18" s="169">
        <v>268.95</v>
      </c>
      <c r="H18" s="169"/>
      <c r="I18" s="169">
        <v>0</v>
      </c>
      <c r="J18" s="169">
        <v>0</v>
      </c>
      <c r="K18" s="169"/>
      <c r="L18" s="169">
        <v>1003.21</v>
      </c>
      <c r="M18" s="169" t="s">
        <v>245</v>
      </c>
      <c r="N18" s="169">
        <v>46.78</v>
      </c>
      <c r="O18" s="169">
        <v>1482620400</v>
      </c>
      <c r="P18" s="169">
        <v>7.76</v>
      </c>
      <c r="Q18" s="169">
        <v>135</v>
      </c>
      <c r="R18" s="169">
        <v>0.55000000000000004</v>
      </c>
    </row>
    <row r="19" spans="1:18" x14ac:dyDescent="0.25">
      <c r="A19" s="169">
        <v>43.46</v>
      </c>
      <c r="B19" s="169">
        <v>0.2</v>
      </c>
      <c r="C19" s="169">
        <v>23.53</v>
      </c>
      <c r="D19" s="8">
        <v>42728.708333333336</v>
      </c>
      <c r="E19" s="169">
        <v>0.45</v>
      </c>
      <c r="F19" s="169" t="s">
        <v>387</v>
      </c>
      <c r="G19" s="169">
        <v>269.83999999999997</v>
      </c>
      <c r="H19" s="169"/>
      <c r="I19" s="169">
        <v>0</v>
      </c>
      <c r="J19" s="169">
        <v>0</v>
      </c>
      <c r="K19" s="169"/>
      <c r="L19" s="169">
        <v>1003.3</v>
      </c>
      <c r="M19" s="169" t="s">
        <v>386</v>
      </c>
      <c r="N19" s="169">
        <v>43.46</v>
      </c>
      <c r="O19" s="169">
        <v>1482624000</v>
      </c>
      <c r="P19" s="169">
        <v>8.14</v>
      </c>
      <c r="Q19" s="169">
        <v>166</v>
      </c>
      <c r="R19" s="169">
        <v>0.87</v>
      </c>
    </row>
    <row r="20" spans="1:18" x14ac:dyDescent="0.25">
      <c r="A20" s="169">
        <v>41.98</v>
      </c>
      <c r="B20" s="169">
        <v>0.06</v>
      </c>
      <c r="C20" s="169">
        <v>25.45</v>
      </c>
      <c r="D20" s="8">
        <v>42728.75</v>
      </c>
      <c r="E20" s="169">
        <v>0.52</v>
      </c>
      <c r="F20" s="169" t="s">
        <v>387</v>
      </c>
      <c r="G20" s="169">
        <v>270.60000000000002</v>
      </c>
      <c r="H20" s="169"/>
      <c r="I20" s="169">
        <v>0</v>
      </c>
      <c r="J20" s="169">
        <v>0</v>
      </c>
      <c r="K20" s="169"/>
      <c r="L20" s="169">
        <v>1003.56</v>
      </c>
      <c r="M20" s="169" t="s">
        <v>386</v>
      </c>
      <c r="N20" s="169">
        <v>41.98</v>
      </c>
      <c r="O20" s="169">
        <v>1482627600</v>
      </c>
      <c r="P20" s="169">
        <v>8.6300000000000008</v>
      </c>
      <c r="Q20" s="169">
        <v>190</v>
      </c>
      <c r="R20" s="169">
        <v>1.34</v>
      </c>
    </row>
    <row r="21" spans="1:18" x14ac:dyDescent="0.25">
      <c r="A21" s="169">
        <v>39.700000000000003</v>
      </c>
      <c r="B21" s="169">
        <v>0.03</v>
      </c>
      <c r="C21" s="169">
        <v>25.95</v>
      </c>
      <c r="D21" s="8">
        <v>42728.791666666664</v>
      </c>
      <c r="E21" s="169">
        <v>0.57999999999999996</v>
      </c>
      <c r="F21" s="169" t="s">
        <v>387</v>
      </c>
      <c r="G21" s="169">
        <v>271.33</v>
      </c>
      <c r="H21" s="169"/>
      <c r="I21" s="169">
        <v>0</v>
      </c>
      <c r="J21" s="169">
        <v>0</v>
      </c>
      <c r="K21" s="169"/>
      <c r="L21" s="169">
        <v>1005.06</v>
      </c>
      <c r="M21" s="169" t="s">
        <v>386</v>
      </c>
      <c r="N21" s="169">
        <v>39.700000000000003</v>
      </c>
      <c r="O21" s="169">
        <v>1482631200</v>
      </c>
      <c r="P21" s="169">
        <v>9.27</v>
      </c>
      <c r="Q21" s="169">
        <v>194</v>
      </c>
      <c r="R21" s="169">
        <v>2.5499999999999998</v>
      </c>
    </row>
    <row r="22" spans="1:18" x14ac:dyDescent="0.25">
      <c r="A22" s="169">
        <v>37.81</v>
      </c>
      <c r="B22" s="169">
        <v>0.04</v>
      </c>
      <c r="C22" s="169">
        <v>25.15</v>
      </c>
      <c r="D22" s="8">
        <v>42728.833333333336</v>
      </c>
      <c r="E22" s="169">
        <v>0.6</v>
      </c>
      <c r="F22" s="169" t="s">
        <v>387</v>
      </c>
      <c r="G22" s="169">
        <v>271.79000000000002</v>
      </c>
      <c r="H22" s="169"/>
      <c r="I22" s="169">
        <v>0</v>
      </c>
      <c r="J22" s="169">
        <v>0</v>
      </c>
      <c r="K22" s="169"/>
      <c r="L22" s="169">
        <v>1006.09</v>
      </c>
      <c r="M22" s="169" t="s">
        <v>386</v>
      </c>
      <c r="N22" s="169">
        <v>37.81</v>
      </c>
      <c r="O22" s="169">
        <v>1482634800</v>
      </c>
      <c r="P22" s="169">
        <v>8.74</v>
      </c>
      <c r="Q22" s="169">
        <v>194</v>
      </c>
      <c r="R22" s="169">
        <v>2.63</v>
      </c>
    </row>
    <row r="23" spans="1:18" x14ac:dyDescent="0.25">
      <c r="A23" s="169">
        <v>34.54</v>
      </c>
      <c r="B23" s="169">
        <v>0.06</v>
      </c>
      <c r="C23" s="169">
        <v>24.86</v>
      </c>
      <c r="D23" s="8">
        <v>42728.875</v>
      </c>
      <c r="E23" s="169">
        <v>0.62</v>
      </c>
      <c r="F23" s="169" t="s">
        <v>387</v>
      </c>
      <c r="G23" s="169">
        <v>271.45</v>
      </c>
      <c r="H23" s="169"/>
      <c r="I23" s="169">
        <v>0</v>
      </c>
      <c r="J23" s="169">
        <v>0</v>
      </c>
      <c r="K23" s="169"/>
      <c r="L23" s="169">
        <v>1004.99</v>
      </c>
      <c r="M23" s="169" t="s">
        <v>386</v>
      </c>
      <c r="N23" s="169">
        <v>36.729999999999997</v>
      </c>
      <c r="O23" s="169">
        <v>1482638400</v>
      </c>
      <c r="P23" s="169">
        <v>8.31</v>
      </c>
      <c r="Q23" s="169">
        <v>194</v>
      </c>
      <c r="R23" s="169">
        <v>3.1</v>
      </c>
    </row>
    <row r="24" spans="1:18" x14ac:dyDescent="0.25">
      <c r="A24" s="169">
        <v>29.29</v>
      </c>
      <c r="B24" s="169">
        <v>0.05</v>
      </c>
      <c r="C24" s="169">
        <v>21.6</v>
      </c>
      <c r="D24" s="8">
        <v>42728.916666666664</v>
      </c>
      <c r="E24" s="169">
        <v>0.62</v>
      </c>
      <c r="F24" s="169" t="s">
        <v>387</v>
      </c>
      <c r="G24" s="169">
        <v>270.83999999999997</v>
      </c>
      <c r="H24" s="169"/>
      <c r="I24" s="169">
        <v>0</v>
      </c>
      <c r="J24" s="169">
        <v>0</v>
      </c>
      <c r="K24" s="169"/>
      <c r="L24" s="169">
        <v>1002.86</v>
      </c>
      <c r="M24" s="169" t="s">
        <v>386</v>
      </c>
      <c r="N24" s="169">
        <v>33.19</v>
      </c>
      <c r="O24" s="169">
        <v>1482642000</v>
      </c>
      <c r="P24" s="169">
        <v>8.42</v>
      </c>
      <c r="Q24" s="169">
        <v>189</v>
      </c>
      <c r="R24" s="169">
        <v>4.1500000000000004</v>
      </c>
    </row>
    <row r="25" spans="1:18" x14ac:dyDescent="0.25">
      <c r="A25" s="169">
        <v>28.54</v>
      </c>
      <c r="B25" s="169">
        <v>0.14000000000000001</v>
      </c>
      <c r="C25" s="169">
        <v>22.62</v>
      </c>
      <c r="D25" s="8">
        <v>42728.958333333336</v>
      </c>
      <c r="E25" s="169">
        <v>0.66</v>
      </c>
      <c r="F25" s="169" t="s">
        <v>387</v>
      </c>
      <c r="G25" s="169">
        <v>271.47000000000003</v>
      </c>
      <c r="H25" s="169"/>
      <c r="I25" s="169">
        <v>0</v>
      </c>
      <c r="J25" s="169">
        <v>0</v>
      </c>
      <c r="K25" s="169"/>
      <c r="L25" s="169">
        <v>1001.07</v>
      </c>
      <c r="M25" s="169" t="s">
        <v>386</v>
      </c>
      <c r="N25" s="169">
        <v>32.799999999999997</v>
      </c>
      <c r="O25" s="169">
        <v>1482645600</v>
      </c>
      <c r="P25" s="169">
        <v>8.73</v>
      </c>
      <c r="Q25" s="169">
        <v>189</v>
      </c>
      <c r="R25" s="169">
        <v>4.4400000000000004</v>
      </c>
    </row>
    <row r="26" spans="1:18" x14ac:dyDescent="0.25">
      <c r="A26" s="169">
        <v>31.04</v>
      </c>
      <c r="B26" s="169">
        <v>0.2</v>
      </c>
      <c r="C26" s="169">
        <v>25.36</v>
      </c>
      <c r="D26" s="8">
        <v>42729</v>
      </c>
      <c r="E26" s="169">
        <v>0.67</v>
      </c>
      <c r="F26" s="169" t="s">
        <v>387</v>
      </c>
      <c r="G26" s="169">
        <v>275.04000000000002</v>
      </c>
      <c r="H26" s="169"/>
      <c r="I26" s="169">
        <v>0</v>
      </c>
      <c r="J26" s="169">
        <v>0</v>
      </c>
      <c r="K26" s="169"/>
      <c r="L26" s="169">
        <v>1000.23</v>
      </c>
      <c r="M26" s="169" t="s">
        <v>386</v>
      </c>
      <c r="N26" s="169">
        <v>35.33</v>
      </c>
      <c r="O26" s="169">
        <v>1482649200</v>
      </c>
      <c r="P26" s="169">
        <v>8.86</v>
      </c>
      <c r="Q26" s="169">
        <v>181</v>
      </c>
      <c r="R26" s="169">
        <v>4.93</v>
      </c>
    </row>
    <row r="27" spans="1:18" x14ac:dyDescent="0.25">
      <c r="A27" s="169">
        <v>28.51</v>
      </c>
      <c r="B27" s="169">
        <v>0.23</v>
      </c>
      <c r="C27" s="169">
        <v>22.77</v>
      </c>
      <c r="D27" s="8">
        <v>42729.041666666664</v>
      </c>
      <c r="E27" s="169">
        <v>0.66</v>
      </c>
      <c r="F27" s="169" t="s">
        <v>387</v>
      </c>
      <c r="G27" s="169">
        <v>278.61</v>
      </c>
      <c r="H27" s="169"/>
      <c r="I27" s="169">
        <v>0</v>
      </c>
      <c r="J27" s="169">
        <v>0</v>
      </c>
      <c r="K27" s="169"/>
      <c r="L27" s="169">
        <v>999.34</v>
      </c>
      <c r="M27" s="169" t="s">
        <v>386</v>
      </c>
      <c r="N27" s="169">
        <v>32.700000000000003</v>
      </c>
      <c r="O27" s="169">
        <v>1482652800</v>
      </c>
      <c r="P27" s="169">
        <v>8.77</v>
      </c>
      <c r="Q27" s="169">
        <v>177</v>
      </c>
      <c r="R27" s="169">
        <v>4.3499999999999996</v>
      </c>
    </row>
    <row r="28" spans="1:18" x14ac:dyDescent="0.25">
      <c r="A28" s="169">
        <v>28.96</v>
      </c>
      <c r="B28" s="169">
        <v>0.37</v>
      </c>
      <c r="C28" s="169">
        <v>23.65</v>
      </c>
      <c r="D28" s="8">
        <v>42729.083333333336</v>
      </c>
      <c r="E28" s="169">
        <v>0.7</v>
      </c>
      <c r="F28" s="169" t="s">
        <v>240</v>
      </c>
      <c r="G28" s="169">
        <v>282.18</v>
      </c>
      <c r="H28" s="169">
        <v>8.0000000000000002E-3</v>
      </c>
      <c r="I28" s="169">
        <v>1.1000000000000001E-3</v>
      </c>
      <c r="J28" s="169">
        <v>0.01</v>
      </c>
      <c r="K28" s="169" t="s">
        <v>385</v>
      </c>
      <c r="L28" s="169">
        <v>998.44</v>
      </c>
      <c r="M28" s="169" t="s">
        <v>245</v>
      </c>
      <c r="N28" s="169">
        <v>32.26</v>
      </c>
      <c r="O28" s="169">
        <v>1482656400</v>
      </c>
      <c r="P28" s="169">
        <v>6.47</v>
      </c>
      <c r="Q28" s="169">
        <v>172</v>
      </c>
      <c r="R28" s="169">
        <v>3.5</v>
      </c>
    </row>
    <row r="29" spans="1:18" x14ac:dyDescent="0.25">
      <c r="A29" s="169">
        <v>29.57</v>
      </c>
      <c r="B29" s="169">
        <v>0.54</v>
      </c>
      <c r="C29" s="169">
        <v>26.94</v>
      </c>
      <c r="D29" s="8">
        <v>42729.125</v>
      </c>
      <c r="E29" s="169">
        <v>0.77</v>
      </c>
      <c r="F29" s="169" t="s">
        <v>385</v>
      </c>
      <c r="G29" s="169">
        <v>289.91000000000003</v>
      </c>
      <c r="H29" s="169">
        <v>0.192</v>
      </c>
      <c r="I29" s="169">
        <v>2.52E-2</v>
      </c>
      <c r="J29" s="169">
        <v>0.56999999999999995</v>
      </c>
      <c r="K29" s="169" t="s">
        <v>385</v>
      </c>
      <c r="L29" s="169">
        <v>997.21</v>
      </c>
      <c r="M29" s="169" t="s">
        <v>640</v>
      </c>
      <c r="N29" s="169">
        <v>33.409999999999997</v>
      </c>
      <c r="O29" s="169">
        <v>1482660000</v>
      </c>
      <c r="P29" s="169">
        <v>5.45</v>
      </c>
      <c r="Q29" s="169">
        <v>164</v>
      </c>
      <c r="R29" s="169">
        <v>4.13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30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42728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764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765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766</v>
      </c>
      <c r="J20" t="s">
        <v>87</v>
      </c>
      <c r="M20" s="164" t="s">
        <v>244</v>
      </c>
    </row>
    <row r="21" spans="3:13" x14ac:dyDescent="0.25">
      <c r="C21" t="s">
        <v>767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768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769</v>
      </c>
      <c r="J23" s="29" t="s">
        <v>95</v>
      </c>
      <c r="K23" s="21"/>
      <c r="M23" s="164">
        <v>-7</v>
      </c>
    </row>
    <row r="24" spans="3:13" x14ac:dyDescent="0.25">
      <c r="C24" t="s">
        <v>770</v>
      </c>
      <c r="J24" s="21" t="s">
        <v>108</v>
      </c>
      <c r="K24" s="21"/>
      <c r="M24" s="164" t="s">
        <v>110</v>
      </c>
    </row>
    <row r="25" spans="3:13" x14ac:dyDescent="0.25">
      <c r="C25" t="s">
        <v>771</v>
      </c>
      <c r="J25" t="s">
        <v>151</v>
      </c>
      <c r="M25" s="164" t="b">
        <v>1</v>
      </c>
    </row>
    <row r="26" spans="3:13" x14ac:dyDescent="0.25">
      <c r="C26" t="s">
        <v>772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C:\Users\stu\Documents\GitHub\eaglep3-reporting\EC\2016-12-24-refined-times.txt</v>
      </c>
    </row>
    <row r="27" spans="3:13" x14ac:dyDescent="0.25">
      <c r="C27" t="s">
        <v>773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C:\Users\stu\Documents\GitHub\eaglep3-reporting\EC\2016-12-24-Enforcements.txt</v>
      </c>
    </row>
    <row r="28" spans="3:13" x14ac:dyDescent="0.25">
      <c r="C28" t="s">
        <v>774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C:\Users\stu\Documents\GitHub\eaglep3-reporting\EC\2016-12-24-Runs-refined.txt</v>
      </c>
    </row>
    <row r="29" spans="3:13" x14ac:dyDescent="0.25">
      <c r="C29" t="s">
        <v>775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C:\Users\stu\Documents\GitHub\eaglep3-reporting\EC\2016-12-24-Trips.txt</v>
      </c>
    </row>
    <row r="30" spans="3:13" x14ac:dyDescent="0.25">
      <c r="C30" t="s">
        <v>776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C:\Users\stu\Documents\GitHub\eaglep3-reporting\EC\2016-12-24-Weather.txt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65" sqref="A65:XFD92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793</v>
      </c>
      <c r="B1" t="str">
        <f t="shared" ref="B1:B52" si="0">MID(A1,6,23)</f>
        <v>2016/12/24 10:52:09.824</v>
      </c>
      <c r="C1" t="e">
        <f>ABS(B1-#REF!)</f>
        <v>#REF!</v>
      </c>
    </row>
    <row r="2" spans="1:3" x14ac:dyDescent="0.25">
      <c r="A2" t="s">
        <v>794</v>
      </c>
      <c r="B2" s="21" t="str">
        <f t="shared" si="0"/>
        <v>2016/12/24 10:52:10.121</v>
      </c>
      <c r="C2">
        <f>ABS(B2-B1)</f>
        <v>3.437504346948117E-6</v>
      </c>
    </row>
    <row r="3" spans="1:3" x14ac:dyDescent="0.25">
      <c r="A3" t="s">
        <v>795</v>
      </c>
      <c r="B3" s="21" t="str">
        <f t="shared" si="0"/>
        <v>2016/12/24 10:52:10.187</v>
      </c>
      <c r="C3" s="21">
        <f t="shared" ref="C3:C52" si="1">ABS(B3-B2)</f>
        <v>7.6388823799788952E-7</v>
      </c>
    </row>
    <row r="4" spans="1:3" x14ac:dyDescent="0.25">
      <c r="A4" t="s">
        <v>796</v>
      </c>
      <c r="B4" s="21" t="str">
        <f t="shared" si="0"/>
        <v>2016/12/24 15:03:02.583</v>
      </c>
      <c r="C4" s="21">
        <f t="shared" si="1"/>
        <v>0.17421754629322095</v>
      </c>
    </row>
    <row r="5" spans="1:3" x14ac:dyDescent="0.25">
      <c r="A5" t="s">
        <v>797</v>
      </c>
      <c r="B5" s="21" t="str">
        <f t="shared" si="0"/>
        <v>2016/12/24 15:03:03.306</v>
      </c>
      <c r="C5" s="21">
        <f t="shared" si="1"/>
        <v>8.3680570241995156E-6</v>
      </c>
    </row>
    <row r="6" spans="1:3" x14ac:dyDescent="0.25">
      <c r="A6" t="s">
        <v>798</v>
      </c>
      <c r="B6" s="21" t="str">
        <f t="shared" si="0"/>
        <v>2016/12/24 15:03:03.380</v>
      </c>
      <c r="C6" s="21">
        <f t="shared" si="1"/>
        <v>8.564820745959878E-7</v>
      </c>
    </row>
    <row r="7" spans="1:3" x14ac:dyDescent="0.25">
      <c r="A7" t="s">
        <v>799</v>
      </c>
      <c r="B7" s="21" t="str">
        <f t="shared" si="0"/>
        <v>2016/12/24 15:24:26.666</v>
      </c>
      <c r="C7" s="21">
        <f t="shared" si="1"/>
        <v>1.4852847220026888E-2</v>
      </c>
    </row>
    <row r="8" spans="1:3" x14ac:dyDescent="0.25">
      <c r="A8" t="s">
        <v>800</v>
      </c>
      <c r="B8" s="21" t="str">
        <f t="shared" si="0"/>
        <v>2016/12/24 15:24:27.016</v>
      </c>
      <c r="C8" s="21">
        <f t="shared" si="1"/>
        <v>4.0509257814846933E-6</v>
      </c>
    </row>
    <row r="9" spans="1:3" x14ac:dyDescent="0.25">
      <c r="A9" t="s">
        <v>801</v>
      </c>
      <c r="B9" s="21" t="str">
        <f t="shared" si="0"/>
        <v>2016/12/24 15:24:27.383</v>
      </c>
      <c r="C9" s="21">
        <f t="shared" si="1"/>
        <v>4.2476895032450557E-6</v>
      </c>
    </row>
    <row r="10" spans="1:3" x14ac:dyDescent="0.25">
      <c r="A10" t="s">
        <v>802</v>
      </c>
      <c r="B10" s="21" t="str">
        <f t="shared" si="0"/>
        <v>2016/12/24 16:37:15.583</v>
      </c>
      <c r="C10" s="21">
        <f t="shared" si="1"/>
        <v>5.0557870366901625E-2</v>
      </c>
    </row>
    <row r="11" spans="1:3" x14ac:dyDescent="0.25">
      <c r="A11" t="s">
        <v>803</v>
      </c>
      <c r="B11" s="21" t="str">
        <f t="shared" si="0"/>
        <v>2016/12/24 16:37:15.807</v>
      </c>
      <c r="C11" s="21">
        <f t="shared" si="1"/>
        <v>2.5925910449586809E-6</v>
      </c>
    </row>
    <row r="12" spans="1:3" x14ac:dyDescent="0.25">
      <c r="A12" t="s">
        <v>804</v>
      </c>
      <c r="B12" s="21" t="str">
        <f t="shared" si="0"/>
        <v>2016/12/24 16:37:16.016</v>
      </c>
      <c r="C12" s="21">
        <f t="shared" si="1"/>
        <v>2.4189866962842643E-6</v>
      </c>
    </row>
    <row r="13" spans="1:3" x14ac:dyDescent="0.25">
      <c r="A13" t="s">
        <v>805</v>
      </c>
      <c r="B13" s="21" t="str">
        <f t="shared" si="0"/>
        <v>2016/12/24 16:43:35.300</v>
      </c>
      <c r="C13" s="21">
        <f t="shared" si="1"/>
        <v>4.3898611111217178E-3</v>
      </c>
    </row>
    <row r="14" spans="1:3" x14ac:dyDescent="0.25">
      <c r="A14" t="s">
        <v>806</v>
      </c>
      <c r="B14" s="21" t="str">
        <f t="shared" si="0"/>
        <v>2016/12/24 16:43:35.576</v>
      </c>
      <c r="C14" s="21">
        <f t="shared" si="1"/>
        <v>3.1944437068887055E-6</v>
      </c>
    </row>
    <row r="15" spans="1:3" x14ac:dyDescent="0.25">
      <c r="A15" t="s">
        <v>807</v>
      </c>
      <c r="B15" s="21" t="str">
        <f t="shared" si="0"/>
        <v>2016/12/24 16:43:36.379</v>
      </c>
      <c r="C15" s="21">
        <f t="shared" si="1"/>
        <v>9.29398083826527E-6</v>
      </c>
    </row>
    <row r="16" spans="1:3" x14ac:dyDescent="0.25">
      <c r="A16" t="s">
        <v>808</v>
      </c>
      <c r="B16" s="21" t="str">
        <f t="shared" si="0"/>
        <v>2016/12/24 16:47:14.688</v>
      </c>
      <c r="C16" s="21">
        <f t="shared" si="1"/>
        <v>2.5267245364375412E-3</v>
      </c>
    </row>
    <row r="17" spans="1:3" x14ac:dyDescent="0.25">
      <c r="A17" t="s">
        <v>809</v>
      </c>
      <c r="B17" s="21" t="str">
        <f t="shared" si="0"/>
        <v>2016/12/24 17:35:46.618</v>
      </c>
      <c r="C17" s="21">
        <f t="shared" si="1"/>
        <v>3.3702893517329358E-2</v>
      </c>
    </row>
    <row r="18" spans="1:3" x14ac:dyDescent="0.25">
      <c r="A18" t="s">
        <v>810</v>
      </c>
      <c r="B18" s="21" t="str">
        <f t="shared" si="0"/>
        <v>2016/12/24 17:35:46.837</v>
      </c>
      <c r="C18" s="21">
        <f t="shared" si="1"/>
        <v>2.5347253540530801E-6</v>
      </c>
    </row>
    <row r="19" spans="1:3" x14ac:dyDescent="0.25">
      <c r="A19" t="s">
        <v>811</v>
      </c>
      <c r="B19" s="21" t="str">
        <f t="shared" si="0"/>
        <v>2016/12/24 17:35:47.175</v>
      </c>
      <c r="C19" s="21">
        <f t="shared" si="1"/>
        <v>3.9120350265875459E-6</v>
      </c>
    </row>
    <row r="20" spans="1:3" x14ac:dyDescent="0.25">
      <c r="A20" t="s">
        <v>812</v>
      </c>
      <c r="B20" s="21" t="str">
        <f t="shared" si="0"/>
        <v>2016/12/24 17:50:59.231</v>
      </c>
      <c r="C20" s="21">
        <f t="shared" si="1"/>
        <v>1.0556203698797617E-2</v>
      </c>
    </row>
    <row r="21" spans="1:3" x14ac:dyDescent="0.25">
      <c r="A21" t="s">
        <v>813</v>
      </c>
      <c r="B21" s="21" t="str">
        <f t="shared" si="0"/>
        <v>2016/12/24 17:50:59.233</v>
      </c>
      <c r="C21" s="21">
        <f t="shared" si="1"/>
        <v>2.3152097128331661E-8</v>
      </c>
    </row>
    <row r="22" spans="1:3" x14ac:dyDescent="0.25">
      <c r="A22" t="s">
        <v>814</v>
      </c>
      <c r="B22" s="21" t="str">
        <f t="shared" si="0"/>
        <v>2016/12/24 17:50:59.304</v>
      </c>
      <c r="C22" s="21">
        <f t="shared" si="1"/>
        <v>8.2176120486110449E-7</v>
      </c>
    </row>
    <row r="23" spans="1:3" x14ac:dyDescent="0.25">
      <c r="A23" t="s">
        <v>815</v>
      </c>
      <c r="B23" s="21" t="str">
        <f t="shared" si="0"/>
        <v>2016/12/24 19:33:01.122</v>
      </c>
      <c r="C23" s="21">
        <f t="shared" si="1"/>
        <v>7.0854375000635628E-2</v>
      </c>
    </row>
    <row r="24" spans="1:3" x14ac:dyDescent="0.25">
      <c r="A24" t="s">
        <v>816</v>
      </c>
      <c r="B24" s="21" t="str">
        <f t="shared" si="0"/>
        <v>2016/12/24 19:33:01.382</v>
      </c>
      <c r="C24" s="21">
        <f t="shared" si="1"/>
        <v>3.0092560336925089E-6</v>
      </c>
    </row>
    <row r="25" spans="1:3" x14ac:dyDescent="0.25">
      <c r="A25" t="s">
        <v>817</v>
      </c>
      <c r="B25" s="21" t="str">
        <f t="shared" si="0"/>
        <v>2016/12/24 19:33:01.737</v>
      </c>
      <c r="C25" s="21">
        <f t="shared" si="1"/>
        <v>4.1087987483479083E-6</v>
      </c>
    </row>
    <row r="26" spans="1:3" x14ac:dyDescent="0.25">
      <c r="A26" t="s">
        <v>818</v>
      </c>
      <c r="B26" s="21" t="str">
        <f t="shared" si="0"/>
        <v>2016/12/24 19:35:23.179</v>
      </c>
      <c r="C26" s="21">
        <f t="shared" si="1"/>
        <v>1.6370601806556806E-3</v>
      </c>
    </row>
    <row r="27" spans="1:3" x14ac:dyDescent="0.25">
      <c r="A27" t="s">
        <v>819</v>
      </c>
      <c r="B27" s="21" t="str">
        <f t="shared" si="0"/>
        <v>2016/12/24 19:51:42.028</v>
      </c>
      <c r="C27" s="21">
        <f t="shared" si="1"/>
        <v>1.1329270833812188E-2</v>
      </c>
    </row>
    <row r="28" spans="1:3" x14ac:dyDescent="0.25">
      <c r="A28" t="s">
        <v>820</v>
      </c>
      <c r="B28" s="21" t="str">
        <f t="shared" si="0"/>
        <v>2016/12/24 19:51:42.223</v>
      </c>
      <c r="C28" s="21">
        <f t="shared" si="1"/>
        <v>2.2569438442587852E-6</v>
      </c>
    </row>
    <row r="29" spans="1:3" x14ac:dyDescent="0.25">
      <c r="A29" t="s">
        <v>821</v>
      </c>
      <c r="B29" s="21" t="str">
        <f t="shared" si="0"/>
        <v>2016/12/24 19:51:43.241</v>
      </c>
      <c r="C29" s="21">
        <f t="shared" si="1"/>
        <v>1.1782409274019301E-5</v>
      </c>
    </row>
    <row r="30" spans="1:3" x14ac:dyDescent="0.25">
      <c r="A30" t="s">
        <v>822</v>
      </c>
      <c r="B30" s="21" t="str">
        <f t="shared" si="0"/>
        <v>2016/12/24 20:23:44.717</v>
      </c>
      <c r="C30" s="21">
        <f t="shared" si="1"/>
        <v>2.2239305559196509E-2</v>
      </c>
    </row>
    <row r="31" spans="1:3" x14ac:dyDescent="0.25">
      <c r="A31" t="s">
        <v>823</v>
      </c>
      <c r="B31" s="21" t="str">
        <f t="shared" si="0"/>
        <v>2016/12/24 20:23:45.322</v>
      </c>
      <c r="C31" s="21">
        <f t="shared" si="1"/>
        <v>7.0023088483139873E-6</v>
      </c>
    </row>
    <row r="32" spans="1:3" x14ac:dyDescent="0.25">
      <c r="A32" t="s">
        <v>824</v>
      </c>
      <c r="B32" s="21" t="str">
        <f t="shared" si="0"/>
        <v>2016/12/24 22:01:18.571</v>
      </c>
      <c r="C32" s="21">
        <f t="shared" si="1"/>
        <v>6.7745937500149012E-2</v>
      </c>
    </row>
    <row r="33" spans="1:3" x14ac:dyDescent="0.25">
      <c r="A33" t="s">
        <v>825</v>
      </c>
      <c r="B33" s="21" t="str">
        <f t="shared" si="0"/>
        <v>2016/12/24 22:01:18.591</v>
      </c>
      <c r="C33" s="21">
        <f t="shared" si="1"/>
        <v>2.314845914952457E-7</v>
      </c>
    </row>
    <row r="34" spans="1:3" x14ac:dyDescent="0.25">
      <c r="A34" t="s">
        <v>826</v>
      </c>
      <c r="B34" s="21" t="str">
        <f t="shared" si="0"/>
        <v>2016/12/24 22:01:18.628</v>
      </c>
      <c r="C34" s="21">
        <f t="shared" si="1"/>
        <v>4.282410372979939E-7</v>
      </c>
    </row>
    <row r="35" spans="1:3" x14ac:dyDescent="0.25">
      <c r="A35" t="s">
        <v>827</v>
      </c>
      <c r="B35" s="21" t="str">
        <f t="shared" si="0"/>
        <v>2016/12/24 22:01:18.641</v>
      </c>
      <c r="C35" s="21">
        <f t="shared" si="1"/>
        <v>1.5045952750369906E-7</v>
      </c>
    </row>
    <row r="36" spans="1:3" x14ac:dyDescent="0.25">
      <c r="A36" t="s">
        <v>828</v>
      </c>
      <c r="B36" s="21" t="str">
        <f t="shared" si="0"/>
        <v>2016/12/24 22:01:18.816</v>
      </c>
      <c r="C36" s="21">
        <f t="shared" si="1"/>
        <v>2.0254665287211537E-6</v>
      </c>
    </row>
    <row r="37" spans="1:3" x14ac:dyDescent="0.25">
      <c r="A37" t="s">
        <v>829</v>
      </c>
      <c r="B37" s="21" t="str">
        <f t="shared" si="0"/>
        <v>2016/12/24 22:01:18.830</v>
      </c>
      <c r="C37" s="21">
        <f t="shared" si="1"/>
        <v>1.6203557606786489E-7</v>
      </c>
    </row>
    <row r="38" spans="1:3" x14ac:dyDescent="0.25">
      <c r="A38" t="s">
        <v>830</v>
      </c>
      <c r="B38" s="21" t="str">
        <f t="shared" si="0"/>
        <v>2016/12/25 02:04:49.618</v>
      </c>
      <c r="C38" s="21">
        <f t="shared" si="1"/>
        <v>0.16910634258965729</v>
      </c>
    </row>
    <row r="39" spans="1:3" x14ac:dyDescent="0.25">
      <c r="A39" t="s">
        <v>831</v>
      </c>
      <c r="B39" s="21" t="str">
        <f t="shared" si="0"/>
        <v>2016/12/25 02:04:49.986</v>
      </c>
      <c r="C39" s="21">
        <f t="shared" si="1"/>
        <v>4.2592655518092215E-6</v>
      </c>
    </row>
    <row r="40" spans="1:3" x14ac:dyDescent="0.25">
      <c r="A40" t="s">
        <v>832</v>
      </c>
      <c r="B40" s="21" t="str">
        <f t="shared" si="0"/>
        <v>2016/12/25 02:05:33.619</v>
      </c>
      <c r="C40" s="21">
        <f t="shared" si="1"/>
        <v>5.0501157238613814E-4</v>
      </c>
    </row>
    <row r="41" spans="1:3" x14ac:dyDescent="0.25">
      <c r="A41" t="s">
        <v>833</v>
      </c>
      <c r="B41" s="21" t="str">
        <f t="shared" si="0"/>
        <v>2016/12/25 02:05:33.682</v>
      </c>
      <c r="C41" s="21">
        <f t="shared" si="1"/>
        <v>7.2916736826300621E-7</v>
      </c>
    </row>
    <row r="42" spans="1:3" x14ac:dyDescent="0.25">
      <c r="A42" t="s">
        <v>834</v>
      </c>
      <c r="B42" s="21" t="str">
        <f t="shared" si="0"/>
        <v>2016/12/25 02:05:33.983</v>
      </c>
      <c r="C42" s="21">
        <f t="shared" si="1"/>
        <v>3.483793989289552E-6</v>
      </c>
    </row>
    <row r="43" spans="1:3" x14ac:dyDescent="0.25">
      <c r="A43" t="s">
        <v>835</v>
      </c>
      <c r="B43" s="21" t="str">
        <f t="shared" si="0"/>
        <v>2016/12/25 02:06:05.614</v>
      </c>
      <c r="C43" s="21">
        <f t="shared" si="1"/>
        <v>3.6609953531296924E-4</v>
      </c>
    </row>
    <row r="44" spans="1:3" x14ac:dyDescent="0.25">
      <c r="A44" t="s">
        <v>836</v>
      </c>
      <c r="B44" s="21" t="str">
        <f t="shared" si="0"/>
        <v>2016/12/25 02:06:05.681</v>
      </c>
      <c r="C44" s="21">
        <f t="shared" si="1"/>
        <v>7.7546428656205535E-7</v>
      </c>
    </row>
    <row r="45" spans="1:3" x14ac:dyDescent="0.25">
      <c r="A45" t="s">
        <v>837</v>
      </c>
      <c r="B45" s="21" t="str">
        <f t="shared" si="0"/>
        <v>2016/12/25 02:06:05.988</v>
      </c>
      <c r="C45" s="21">
        <f t="shared" si="1"/>
        <v>3.5532430047169328E-6</v>
      </c>
    </row>
    <row r="46" spans="1:3" x14ac:dyDescent="0.25">
      <c r="A46" t="s">
        <v>838</v>
      </c>
      <c r="B46" s="21" t="str">
        <f t="shared" si="0"/>
        <v>2016/12/25 02:23:13.762</v>
      </c>
      <c r="C46" s="21">
        <f t="shared" si="1"/>
        <v>1.1895532406924758E-2</v>
      </c>
    </row>
    <row r="47" spans="1:3" x14ac:dyDescent="0.25">
      <c r="A47" t="s">
        <v>839</v>
      </c>
      <c r="B47" s="21" t="str">
        <f t="shared" si="0"/>
        <v>2016/12/25 02:23:14.299</v>
      </c>
      <c r="C47" s="21">
        <f t="shared" si="1"/>
        <v>6.2152757891453803E-6</v>
      </c>
    </row>
    <row r="48" spans="1:3" x14ac:dyDescent="0.25">
      <c r="A48" t="s">
        <v>840</v>
      </c>
      <c r="B48" s="21" t="str">
        <f t="shared" si="0"/>
        <v>2016/12/25 02:40:06.130</v>
      </c>
      <c r="C48" s="21">
        <f t="shared" si="1"/>
        <v>1.1711006947734859E-2</v>
      </c>
    </row>
    <row r="49" spans="1:3" x14ac:dyDescent="0.25">
      <c r="A49" t="s">
        <v>841</v>
      </c>
      <c r="B49" s="21" t="str">
        <f t="shared" si="0"/>
        <v>2016/12/25 02:40:06.378</v>
      </c>
      <c r="C49" s="21">
        <f t="shared" si="1"/>
        <v>2.8703652787953615E-6</v>
      </c>
    </row>
    <row r="50" spans="1:3" x14ac:dyDescent="0.25">
      <c r="A50" t="s">
        <v>842</v>
      </c>
      <c r="B50" s="21" t="str">
        <f t="shared" si="0"/>
        <v>2016/12/25 02:40:06.741</v>
      </c>
      <c r="C50" s="21">
        <f t="shared" si="1"/>
        <v>4.2013925849460065E-6</v>
      </c>
    </row>
    <row r="51" spans="1:3" x14ac:dyDescent="0.25">
      <c r="A51" t="s">
        <v>843</v>
      </c>
      <c r="B51" s="21" t="str">
        <f t="shared" si="0"/>
        <v>2016/12/25 03:03:26.809</v>
      </c>
      <c r="C51" s="21">
        <f t="shared" si="1"/>
        <v>1.6204490741074551E-2</v>
      </c>
    </row>
    <row r="52" spans="1:3" x14ac:dyDescent="0.25">
      <c r="A52" t="s">
        <v>844</v>
      </c>
      <c r="B52" s="21" t="str">
        <f t="shared" si="0"/>
        <v>2016/12/25 03:03:27.016</v>
      </c>
      <c r="C52" s="21">
        <f t="shared" si="1"/>
        <v>2.3958345991559327E-6</v>
      </c>
    </row>
    <row r="53" spans="1:3" x14ac:dyDescent="0.25">
      <c r="A53" t="s">
        <v>845</v>
      </c>
      <c r="B53" s="21" t="str">
        <f t="shared" ref="B53:B64" si="2">MID(A53,6,23)</f>
        <v>2016/12/25 03:27:46.954</v>
      </c>
      <c r="C53" s="21">
        <f t="shared" ref="C53:C64" si="3">ABS(B53-B52)</f>
        <v>1.6897430556127802E-2</v>
      </c>
    </row>
    <row r="54" spans="1:3" x14ac:dyDescent="0.25">
      <c r="A54" t="s">
        <v>846</v>
      </c>
      <c r="B54" s="21" t="str">
        <f t="shared" si="2"/>
        <v>2016/12/25 03:27:47.166</v>
      </c>
      <c r="C54" s="21">
        <f t="shared" si="3"/>
        <v>2.4537002900615335E-6</v>
      </c>
    </row>
    <row r="55" spans="1:3" x14ac:dyDescent="0.25">
      <c r="A55" t="s">
        <v>847</v>
      </c>
      <c r="B55" s="21" t="str">
        <f t="shared" si="2"/>
        <v>2016/12/25 03:27:47.295</v>
      </c>
      <c r="C55" s="21">
        <f t="shared" si="3"/>
        <v>1.4930556062608957E-6</v>
      </c>
    </row>
    <row r="56" spans="1:3" x14ac:dyDescent="0.25">
      <c r="A56" t="s">
        <v>848</v>
      </c>
      <c r="B56" s="21" t="str">
        <f t="shared" si="2"/>
        <v>2016/12/25 04:34:28.109</v>
      </c>
      <c r="C56" s="21">
        <f t="shared" si="3"/>
        <v>4.6305717594805174E-2</v>
      </c>
    </row>
    <row r="57" spans="1:3" x14ac:dyDescent="0.25">
      <c r="A57" t="s">
        <v>849</v>
      </c>
      <c r="B57" s="21" t="str">
        <f t="shared" si="2"/>
        <v>2016/12/25 04:34:28.359</v>
      </c>
      <c r="C57" s="21">
        <f t="shared" si="3"/>
        <v>2.8935173759236932E-6</v>
      </c>
    </row>
    <row r="58" spans="1:3" x14ac:dyDescent="0.25">
      <c r="A58" t="s">
        <v>850</v>
      </c>
      <c r="B58" s="21" t="str">
        <f t="shared" si="2"/>
        <v>2016/12/25 06:09:33.632</v>
      </c>
      <c r="C58" s="21">
        <f t="shared" si="3"/>
        <v>6.6033252311171964E-2</v>
      </c>
    </row>
    <row r="59" spans="1:3" x14ac:dyDescent="0.25">
      <c r="A59" t="s">
        <v>851</v>
      </c>
      <c r="B59" s="21" t="str">
        <f t="shared" si="2"/>
        <v>2016/12/25 06:09:34.006</v>
      </c>
      <c r="C59" s="21">
        <f t="shared" si="3"/>
        <v>4.3287072912789881E-6</v>
      </c>
    </row>
    <row r="60" spans="1:3" x14ac:dyDescent="0.25">
      <c r="A60" t="s">
        <v>852</v>
      </c>
      <c r="B60" s="21" t="str">
        <f t="shared" si="2"/>
        <v>2016/12/25 06:09:34.703</v>
      </c>
      <c r="C60" s="21">
        <f t="shared" si="3"/>
        <v>8.0671306932345033E-6</v>
      </c>
    </row>
    <row r="61" spans="1:3" x14ac:dyDescent="0.25">
      <c r="A61" t="s">
        <v>853</v>
      </c>
      <c r="B61" s="21" t="str">
        <f t="shared" si="2"/>
        <v>2016/12/25 06:32:38.839</v>
      </c>
      <c r="C61" s="21">
        <f t="shared" si="3"/>
        <v>1.6020092589315027E-2</v>
      </c>
    </row>
    <row r="62" spans="1:3" x14ac:dyDescent="0.25">
      <c r="A62" t="s">
        <v>854</v>
      </c>
      <c r="B62" s="21" t="str">
        <f t="shared" si="2"/>
        <v>2016/12/25 06:32:39.132</v>
      </c>
      <c r="C62" s="21">
        <f t="shared" si="3"/>
        <v>3.3912074286490679E-6</v>
      </c>
    </row>
    <row r="63" spans="1:3" x14ac:dyDescent="0.25">
      <c r="A63" t="s">
        <v>855</v>
      </c>
      <c r="B63" s="21" t="str">
        <f t="shared" si="2"/>
        <v>2016/12/25 06:32:39.195</v>
      </c>
      <c r="C63" s="21">
        <f t="shared" si="3"/>
        <v>7.2916736826300621E-7</v>
      </c>
    </row>
    <row r="64" spans="1:3" x14ac:dyDescent="0.25">
      <c r="A64" t="s">
        <v>856</v>
      </c>
      <c r="B64" s="21" t="str">
        <f t="shared" si="2"/>
        <v>2016/12/25 08:24:05.839</v>
      </c>
      <c r="C64" s="21">
        <f t="shared" si="3"/>
        <v>7.739171296270797E-2</v>
      </c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2016-12-27T17:12:58Z</dcterms:modified>
</cp:coreProperties>
</file>