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Enforcements!$A$6:$AC$34</definedName>
    <definedName name="_xlnm._FilterDatabase" localSheetId="2" hidden="1">'Missing Trips'!$A$2:$J$85</definedName>
    <definedName name="_xlnm._FilterDatabase" localSheetId="0" hidden="1">'Train Runs'!$A$12:$AG$262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Runs'!$A$12:$J$65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03" i="1" l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03" i="1"/>
  <c r="AM203" i="1"/>
  <c r="AN203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04" i="1"/>
  <c r="AM204" i="1"/>
  <c r="AN204" i="1"/>
  <c r="K142" i="1"/>
  <c r="L142" i="1"/>
  <c r="M142" i="1"/>
  <c r="V142" i="1"/>
  <c r="Y142" i="1"/>
  <c r="Z142" i="1"/>
  <c r="AB142" i="1"/>
  <c r="AC142" i="1"/>
  <c r="AD142" i="1"/>
  <c r="AE142" i="1"/>
  <c r="AF142" i="1"/>
  <c r="AH142" i="1"/>
  <c r="AM142" i="1"/>
  <c r="AN142" i="1"/>
  <c r="K143" i="1"/>
  <c r="L143" i="1"/>
  <c r="M143" i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V144" i="1"/>
  <c r="Y144" i="1"/>
  <c r="Z144" i="1"/>
  <c r="AB144" i="1"/>
  <c r="AC144" i="1"/>
  <c r="AD144" i="1"/>
  <c r="AG144" i="1" s="1"/>
  <c r="AE144" i="1"/>
  <c r="AF144" i="1"/>
  <c r="AH144" i="1"/>
  <c r="AM144" i="1"/>
  <c r="AN144" i="1"/>
  <c r="K145" i="1"/>
  <c r="L145" i="1"/>
  <c r="M145" i="1"/>
  <c r="V145" i="1"/>
  <c r="Y145" i="1"/>
  <c r="Z145" i="1"/>
  <c r="AB145" i="1"/>
  <c r="AC145" i="1"/>
  <c r="AD145" i="1"/>
  <c r="AG145" i="1" s="1"/>
  <c r="AE145" i="1"/>
  <c r="AF145" i="1"/>
  <c r="AH145" i="1"/>
  <c r="AM145" i="1"/>
  <c r="AN145" i="1"/>
  <c r="K146" i="1"/>
  <c r="L146" i="1"/>
  <c r="M146" i="1"/>
  <c r="V146" i="1"/>
  <c r="Y146" i="1"/>
  <c r="Z146" i="1"/>
  <c r="AB146" i="1"/>
  <c r="AC146" i="1"/>
  <c r="AD146" i="1"/>
  <c r="AE146" i="1"/>
  <c r="AF146" i="1"/>
  <c r="AH146" i="1"/>
  <c r="AM146" i="1"/>
  <c r="AN146" i="1"/>
  <c r="K147" i="1"/>
  <c r="L147" i="1"/>
  <c r="M147" i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V148" i="1"/>
  <c r="Y148" i="1"/>
  <c r="Z148" i="1"/>
  <c r="AB148" i="1"/>
  <c r="AC148" i="1"/>
  <c r="AD148" i="1"/>
  <c r="AG148" i="1" s="1"/>
  <c r="AE148" i="1"/>
  <c r="AF148" i="1"/>
  <c r="AH148" i="1"/>
  <c r="AM148" i="1"/>
  <c r="AN148" i="1"/>
  <c r="K149" i="1"/>
  <c r="L149" i="1"/>
  <c r="M149" i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V150" i="1"/>
  <c r="Y150" i="1"/>
  <c r="Z150" i="1"/>
  <c r="AA150" i="1" s="1"/>
  <c r="AB150" i="1"/>
  <c r="AC150" i="1"/>
  <c r="AD150" i="1"/>
  <c r="AE150" i="1"/>
  <c r="AF150" i="1"/>
  <c r="AH150" i="1"/>
  <c r="AM150" i="1"/>
  <c r="AN150" i="1"/>
  <c r="K151" i="1"/>
  <c r="L151" i="1"/>
  <c r="M151" i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V152" i="1"/>
  <c r="Y152" i="1"/>
  <c r="Z152" i="1"/>
  <c r="AB152" i="1"/>
  <c r="AC152" i="1"/>
  <c r="AD152" i="1"/>
  <c r="AG152" i="1" s="1"/>
  <c r="AE152" i="1"/>
  <c r="AF152" i="1"/>
  <c r="AH152" i="1"/>
  <c r="AM152" i="1"/>
  <c r="AN152" i="1"/>
  <c r="K153" i="1"/>
  <c r="L153" i="1"/>
  <c r="M153" i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K154" i="1"/>
  <c r="L154" i="1"/>
  <c r="M154" i="1"/>
  <c r="V154" i="1"/>
  <c r="Y154" i="1"/>
  <c r="Z154" i="1"/>
  <c r="AB154" i="1"/>
  <c r="AC154" i="1"/>
  <c r="AD154" i="1"/>
  <c r="AE154" i="1"/>
  <c r="AF154" i="1"/>
  <c r="AH154" i="1"/>
  <c r="AM154" i="1"/>
  <c r="AN154" i="1"/>
  <c r="K155" i="1"/>
  <c r="L155" i="1"/>
  <c r="M155" i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V156" i="1"/>
  <c r="Y156" i="1"/>
  <c r="Z156" i="1"/>
  <c r="AB156" i="1"/>
  <c r="AC156" i="1"/>
  <c r="AD156" i="1"/>
  <c r="AG156" i="1" s="1"/>
  <c r="AE156" i="1"/>
  <c r="AF156" i="1"/>
  <c r="AH156" i="1"/>
  <c r="AM156" i="1"/>
  <c r="AN156" i="1"/>
  <c r="K140" i="1"/>
  <c r="L140" i="1"/>
  <c r="M140" i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" i="1"/>
  <c r="L14" i="1"/>
  <c r="M14" i="1"/>
  <c r="P14" i="1" s="1"/>
  <c r="V14" i="1"/>
  <c r="Y14" i="1"/>
  <c r="Z14" i="1"/>
  <c r="AB14" i="1"/>
  <c r="AC14" i="1"/>
  <c r="AD14" i="1"/>
  <c r="T14" i="1" s="1"/>
  <c r="AE14" i="1"/>
  <c r="R17" i="3" s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S20" i="3" s="1"/>
  <c r="Y28" i="1"/>
  <c r="Z28" i="1"/>
  <c r="AB28" i="1"/>
  <c r="AC28" i="1"/>
  <c r="AD28" i="1"/>
  <c r="AE28" i="1"/>
  <c r="R20" i="3" s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G29" i="1" s="1"/>
  <c r="AE29" i="1"/>
  <c r="AF29" i="1"/>
  <c r="AH29" i="1"/>
  <c r="AM29" i="1"/>
  <c r="AN29" i="1"/>
  <c r="K30" i="1"/>
  <c r="L30" i="1"/>
  <c r="M30" i="1"/>
  <c r="N30" i="1" s="1"/>
  <c r="V30" i="1"/>
  <c r="S21" i="3" s="1"/>
  <c r="Y30" i="1"/>
  <c r="Z30" i="1"/>
  <c r="AB30" i="1"/>
  <c r="AC30" i="1"/>
  <c r="AD30" i="1"/>
  <c r="AE30" i="1"/>
  <c r="R21" i="3" s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K37" i="1"/>
  <c r="L37" i="1"/>
  <c r="M37" i="1"/>
  <c r="N37" i="1" s="1"/>
  <c r="V37" i="1"/>
  <c r="S7" i="3" s="1"/>
  <c r="Y37" i="1"/>
  <c r="Z37" i="1"/>
  <c r="AB37" i="1"/>
  <c r="AC37" i="1"/>
  <c r="AD37" i="1"/>
  <c r="AE37" i="1"/>
  <c r="R7" i="3" s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K40" i="1"/>
  <c r="L40" i="1"/>
  <c r="M40" i="1"/>
  <c r="N40" i="1" s="1"/>
  <c r="V40" i="1"/>
  <c r="S11" i="3" s="1"/>
  <c r="Y40" i="1"/>
  <c r="Z40" i="1"/>
  <c r="AB40" i="1"/>
  <c r="AC40" i="1"/>
  <c r="AD40" i="1"/>
  <c r="T40" i="1" s="1"/>
  <c r="AE40" i="1"/>
  <c r="R11" i="3" s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K47" i="1"/>
  <c r="L47" i="1"/>
  <c r="M47" i="1"/>
  <c r="N47" i="1" s="1"/>
  <c r="V47" i="1"/>
  <c r="S12" i="3" s="1"/>
  <c r="Y47" i="1"/>
  <c r="Z47" i="1"/>
  <c r="AB47" i="1"/>
  <c r="AC47" i="1"/>
  <c r="AD47" i="1"/>
  <c r="AE47" i="1"/>
  <c r="R12" i="3" s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P62" i="1" s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AH69" i="1"/>
  <c r="AM69" i="1"/>
  <c r="AN69" i="1"/>
  <c r="K70" i="1"/>
  <c r="L70" i="1"/>
  <c r="M70" i="1"/>
  <c r="N70" i="1" s="1"/>
  <c r="V70" i="1"/>
  <c r="S13" i="3" s="1"/>
  <c r="Y70" i="1"/>
  <c r="Z70" i="1"/>
  <c r="AB70" i="1"/>
  <c r="AC70" i="1"/>
  <c r="AD70" i="1"/>
  <c r="AE70" i="1"/>
  <c r="R13" i="3" s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S26" i="3" s="1"/>
  <c r="Y75" i="1"/>
  <c r="Z75" i="1"/>
  <c r="AB75" i="1"/>
  <c r="AC75" i="1"/>
  <c r="AD75" i="1"/>
  <c r="AE75" i="1"/>
  <c r="R26" i="3" s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S16" i="3" s="1"/>
  <c r="Y79" i="1"/>
  <c r="Z79" i="1"/>
  <c r="AB79" i="1"/>
  <c r="AC79" i="1"/>
  <c r="AD79" i="1"/>
  <c r="T79" i="1" s="1"/>
  <c r="AE79" i="1"/>
  <c r="R16" i="3" s="1"/>
  <c r="AF79" i="1"/>
  <c r="AH79" i="1"/>
  <c r="AM79" i="1"/>
  <c r="AN79" i="1"/>
  <c r="K80" i="1"/>
  <c r="L80" i="1"/>
  <c r="M80" i="1"/>
  <c r="N80" i="1" s="1"/>
  <c r="V80" i="1"/>
  <c r="S22" i="3" s="1"/>
  <c r="Y80" i="1"/>
  <c r="Z80" i="1"/>
  <c r="AB80" i="1"/>
  <c r="AC80" i="1"/>
  <c r="AD80" i="1"/>
  <c r="T80" i="1" s="1"/>
  <c r="AE80" i="1"/>
  <c r="R22" i="3" s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K108" i="1"/>
  <c r="L108" i="1"/>
  <c r="M108" i="1"/>
  <c r="N108" i="1" s="1"/>
  <c r="V108" i="1"/>
  <c r="S23" i="3" s="1"/>
  <c r="Y108" i="1"/>
  <c r="Z108" i="1"/>
  <c r="AB108" i="1"/>
  <c r="AC108" i="1"/>
  <c r="AD108" i="1"/>
  <c r="AE108" i="1"/>
  <c r="R23" i="3" s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K112" i="1"/>
  <c r="L112" i="1"/>
  <c r="M112" i="1"/>
  <c r="N112" i="1" s="1"/>
  <c r="V112" i="1"/>
  <c r="S24" i="3" s="1"/>
  <c r="Y112" i="1"/>
  <c r="Z112" i="1"/>
  <c r="AB112" i="1"/>
  <c r="AC112" i="1"/>
  <c r="AD112" i="1"/>
  <c r="AE112" i="1"/>
  <c r="R24" i="3" s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 s="1"/>
  <c r="V132" i="1"/>
  <c r="S8" i="3" s="1"/>
  <c r="Y132" i="1"/>
  <c r="Z132" i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AN135" i="1"/>
  <c r="K136" i="1"/>
  <c r="L136" i="1"/>
  <c r="M136" i="1"/>
  <c r="N136" i="1" s="1"/>
  <c r="V136" i="1"/>
  <c r="S25" i="3" s="1"/>
  <c r="Y136" i="1"/>
  <c r="Z136" i="1"/>
  <c r="AB136" i="1"/>
  <c r="AC136" i="1"/>
  <c r="AD136" i="1"/>
  <c r="T136" i="1" s="1"/>
  <c r="AE136" i="1"/>
  <c r="R25" i="3" s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AH137" i="1"/>
  <c r="AM137" i="1"/>
  <c r="AN137" i="1"/>
  <c r="K138" i="1"/>
  <c r="L138" i="1"/>
  <c r="M138" i="1"/>
  <c r="P138" i="1" s="1"/>
  <c r="V138" i="1"/>
  <c r="Y138" i="1"/>
  <c r="Z138" i="1"/>
  <c r="AB138" i="1"/>
  <c r="AC138" i="1"/>
  <c r="AD138" i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AH157" i="1"/>
  <c r="AM157" i="1"/>
  <c r="AN157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158" i="1"/>
  <c r="AM158" i="1"/>
  <c r="AN15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AG208" i="1" s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AM163" i="1"/>
  <c r="AN163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64" i="1"/>
  <c r="AM164" i="1"/>
  <c r="AN164" i="1"/>
  <c r="K218" i="1"/>
  <c r="L218" i="1"/>
  <c r="M218" i="1"/>
  <c r="N218" i="1" s="1"/>
  <c r="V218" i="1"/>
  <c r="S35" i="3" s="1"/>
  <c r="Y218" i="1"/>
  <c r="Z218" i="1"/>
  <c r="AB218" i="1"/>
  <c r="AC218" i="1"/>
  <c r="AD218" i="1"/>
  <c r="AG218" i="1" s="1"/>
  <c r="AE218" i="1"/>
  <c r="AF218" i="1"/>
  <c r="AH165" i="1"/>
  <c r="AM165" i="1"/>
  <c r="AN165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66" i="1"/>
  <c r="AM166" i="1"/>
  <c r="AN166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167" i="1"/>
  <c r="AM167" i="1"/>
  <c r="AN167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168" i="1"/>
  <c r="AM168" i="1"/>
  <c r="AN168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169" i="1"/>
  <c r="AM169" i="1"/>
  <c r="AN169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170" i="1"/>
  <c r="AM170" i="1"/>
  <c r="AN170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171" i="1"/>
  <c r="AM171" i="1"/>
  <c r="AN171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172" i="1"/>
  <c r="AM172" i="1"/>
  <c r="AN172" i="1"/>
  <c r="K226" i="1"/>
  <c r="L226" i="1"/>
  <c r="M226" i="1"/>
  <c r="N226" i="1" s="1"/>
  <c r="V226" i="1"/>
  <c r="Y226" i="1"/>
  <c r="Z226" i="1"/>
  <c r="AB226" i="1"/>
  <c r="AC226" i="1"/>
  <c r="AD226" i="1"/>
  <c r="AE226" i="1"/>
  <c r="AF226" i="1"/>
  <c r="AH173" i="1"/>
  <c r="AM173" i="1"/>
  <c r="AN173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4" i="1"/>
  <c r="AM174" i="1"/>
  <c r="AN174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5" i="1"/>
  <c r="AM175" i="1"/>
  <c r="AN175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6" i="1"/>
  <c r="AM176" i="1"/>
  <c r="AN176" i="1"/>
  <c r="K230" i="1"/>
  <c r="L230" i="1"/>
  <c r="M230" i="1"/>
  <c r="N230" i="1" s="1"/>
  <c r="V230" i="1"/>
  <c r="S39" i="3" s="1"/>
  <c r="Y230" i="1"/>
  <c r="Z230" i="1"/>
  <c r="AB230" i="1"/>
  <c r="AC230" i="1"/>
  <c r="AD230" i="1"/>
  <c r="AG230" i="1" s="1"/>
  <c r="AE230" i="1"/>
  <c r="R39" i="3" s="1"/>
  <c r="AF230" i="1"/>
  <c r="AH177" i="1"/>
  <c r="AM177" i="1"/>
  <c r="AN177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8" i="1"/>
  <c r="AM178" i="1"/>
  <c r="AN178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79" i="1"/>
  <c r="AM179" i="1"/>
  <c r="AN179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80" i="1"/>
  <c r="AM180" i="1"/>
  <c r="AN180" i="1"/>
  <c r="K158" i="1"/>
  <c r="L158" i="1"/>
  <c r="M158" i="1"/>
  <c r="N158" i="1" s="1"/>
  <c r="V158" i="1"/>
  <c r="Y158" i="1"/>
  <c r="Z158" i="1"/>
  <c r="AB158" i="1"/>
  <c r="AC158" i="1"/>
  <c r="AD158" i="1"/>
  <c r="AG158" i="1" s="1"/>
  <c r="AE158" i="1"/>
  <c r="AF158" i="1"/>
  <c r="AH181" i="1"/>
  <c r="AM181" i="1"/>
  <c r="AN181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82" i="1"/>
  <c r="AM182" i="1"/>
  <c r="AN182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83" i="1"/>
  <c r="AM183" i="1"/>
  <c r="AN183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84" i="1"/>
  <c r="AM184" i="1"/>
  <c r="AN184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AH185" i="1"/>
  <c r="AM185" i="1"/>
  <c r="AN185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186" i="1"/>
  <c r="AM186" i="1"/>
  <c r="AN186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AH187" i="1"/>
  <c r="AM187" i="1"/>
  <c r="AN187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88" i="1"/>
  <c r="AM188" i="1"/>
  <c r="AN188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AF166" i="1"/>
  <c r="AH189" i="1"/>
  <c r="AM189" i="1"/>
  <c r="AN189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90" i="1"/>
  <c r="AM190" i="1"/>
  <c r="AN190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91" i="1"/>
  <c r="AM191" i="1"/>
  <c r="AN191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192" i="1"/>
  <c r="AM192" i="1"/>
  <c r="AN192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93" i="1"/>
  <c r="AM193" i="1"/>
  <c r="AN193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94" i="1"/>
  <c r="AM194" i="1"/>
  <c r="AN194" i="1"/>
  <c r="K172" i="1"/>
  <c r="L172" i="1"/>
  <c r="M172" i="1"/>
  <c r="N172" i="1" s="1"/>
  <c r="V172" i="1"/>
  <c r="S33" i="3" s="1"/>
  <c r="Y172" i="1"/>
  <c r="Z172" i="1"/>
  <c r="AB172" i="1"/>
  <c r="AC172" i="1"/>
  <c r="AD172" i="1"/>
  <c r="AE172" i="1"/>
  <c r="R33" i="3" s="1"/>
  <c r="AF172" i="1"/>
  <c r="AH195" i="1"/>
  <c r="AM195" i="1"/>
  <c r="AN195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96" i="1"/>
  <c r="AM196" i="1"/>
  <c r="AN196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97" i="1"/>
  <c r="AM197" i="1"/>
  <c r="AN197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98" i="1"/>
  <c r="AM198" i="1"/>
  <c r="AN198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199" i="1"/>
  <c r="AM199" i="1"/>
  <c r="AN199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00" i="1"/>
  <c r="AM200" i="1"/>
  <c r="AN200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201" i="1"/>
  <c r="AM201" i="1"/>
  <c r="AN201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202" i="1"/>
  <c r="AM202" i="1"/>
  <c r="AN202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05" i="1"/>
  <c r="AM205" i="1"/>
  <c r="AN205" i="1"/>
  <c r="K184" i="1"/>
  <c r="L184" i="1"/>
  <c r="M184" i="1"/>
  <c r="N184" i="1" s="1"/>
  <c r="V184" i="1"/>
  <c r="S30" i="3" s="1"/>
  <c r="Y184" i="1"/>
  <c r="Z184" i="1"/>
  <c r="AB184" i="1"/>
  <c r="AC184" i="1"/>
  <c r="AD184" i="1"/>
  <c r="AE184" i="1"/>
  <c r="R30" i="3" s="1"/>
  <c r="AF184" i="1"/>
  <c r="AH206" i="1"/>
  <c r="AM206" i="1"/>
  <c r="AN206" i="1"/>
  <c r="K185" i="1"/>
  <c r="L185" i="1"/>
  <c r="M185" i="1"/>
  <c r="N185" i="1" s="1"/>
  <c r="V185" i="1"/>
  <c r="S27" i="3" s="1"/>
  <c r="Y185" i="1"/>
  <c r="Z185" i="1"/>
  <c r="AB185" i="1"/>
  <c r="AC185" i="1"/>
  <c r="AD185" i="1"/>
  <c r="T185" i="1" s="1"/>
  <c r="AE185" i="1"/>
  <c r="R27" i="3" s="1"/>
  <c r="AF185" i="1"/>
  <c r="AH207" i="1"/>
  <c r="AM207" i="1"/>
  <c r="AN207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208" i="1"/>
  <c r="AM208" i="1"/>
  <c r="AN208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209" i="1"/>
  <c r="AM209" i="1"/>
  <c r="AN209" i="1"/>
  <c r="K188" i="1"/>
  <c r="L188" i="1"/>
  <c r="M188" i="1"/>
  <c r="N188" i="1" s="1"/>
  <c r="V188" i="1"/>
  <c r="S31" i="3" s="1"/>
  <c r="Y188" i="1"/>
  <c r="Z188" i="1"/>
  <c r="AB188" i="1"/>
  <c r="AC188" i="1"/>
  <c r="AD188" i="1"/>
  <c r="AE188" i="1"/>
  <c r="AF188" i="1"/>
  <c r="AH210" i="1"/>
  <c r="AM210" i="1"/>
  <c r="AN210" i="1"/>
  <c r="K189" i="1"/>
  <c r="L189" i="1"/>
  <c r="M189" i="1"/>
  <c r="N189" i="1" s="1"/>
  <c r="V189" i="1"/>
  <c r="S28" i="3" s="1"/>
  <c r="Y189" i="1"/>
  <c r="Z189" i="1"/>
  <c r="AB189" i="1"/>
  <c r="AC189" i="1"/>
  <c r="AD189" i="1"/>
  <c r="AE189" i="1"/>
  <c r="R28" i="3" s="1"/>
  <c r="AF189" i="1"/>
  <c r="AH211" i="1"/>
  <c r="AM211" i="1"/>
  <c r="AN211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12" i="1"/>
  <c r="AM212" i="1"/>
  <c r="AN212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AH213" i="1"/>
  <c r="AM213" i="1"/>
  <c r="AN213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14" i="1"/>
  <c r="AM214" i="1"/>
  <c r="AN214" i="1"/>
  <c r="K193" i="1"/>
  <c r="L193" i="1"/>
  <c r="M193" i="1"/>
  <c r="N193" i="1" s="1"/>
  <c r="V193" i="1"/>
  <c r="S29" i="3" s="1"/>
  <c r="Y193" i="1"/>
  <c r="Z193" i="1"/>
  <c r="AB193" i="1"/>
  <c r="AC193" i="1"/>
  <c r="AD193" i="1"/>
  <c r="T193" i="1" s="1"/>
  <c r="AE193" i="1"/>
  <c r="R29" i="3" s="1"/>
  <c r="AF193" i="1"/>
  <c r="AH215" i="1"/>
  <c r="AM215" i="1"/>
  <c r="AN215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16" i="1"/>
  <c r="AM216" i="1"/>
  <c r="AN216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217" i="1"/>
  <c r="AM217" i="1"/>
  <c r="AN217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18" i="1"/>
  <c r="AM218" i="1"/>
  <c r="AN218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19" i="1"/>
  <c r="AM219" i="1"/>
  <c r="AN219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220" i="1"/>
  <c r="AM220" i="1"/>
  <c r="AN220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21" i="1"/>
  <c r="AM221" i="1"/>
  <c r="AN221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22" i="1"/>
  <c r="AM222" i="1"/>
  <c r="AN222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23" i="1"/>
  <c r="AM223" i="1"/>
  <c r="AN223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24" i="1"/>
  <c r="AM224" i="1"/>
  <c r="AN224" i="1"/>
  <c r="AH225" i="1"/>
  <c r="AM225" i="1"/>
  <c r="AN225" i="1"/>
  <c r="AH226" i="1"/>
  <c r="AM226" i="1"/>
  <c r="AN226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227" i="1"/>
  <c r="AM227" i="1"/>
  <c r="AN227" i="1"/>
  <c r="K234" i="1"/>
  <c r="L234" i="1"/>
  <c r="M234" i="1"/>
  <c r="N234" i="1" s="1"/>
  <c r="V234" i="1"/>
  <c r="Y234" i="1"/>
  <c r="Z234" i="1"/>
  <c r="AB234" i="1"/>
  <c r="AC234" i="1"/>
  <c r="AD234" i="1"/>
  <c r="AE234" i="1"/>
  <c r="AF234" i="1"/>
  <c r="AH228" i="1"/>
  <c r="AM228" i="1"/>
  <c r="AN228" i="1"/>
  <c r="K235" i="1"/>
  <c r="L235" i="1"/>
  <c r="M235" i="1"/>
  <c r="N235" i="1" s="1"/>
  <c r="V235" i="1"/>
  <c r="Y235" i="1"/>
  <c r="Z235" i="1"/>
  <c r="AB235" i="1"/>
  <c r="AC235" i="1"/>
  <c r="AD235" i="1"/>
  <c r="AE235" i="1"/>
  <c r="AF235" i="1"/>
  <c r="AH229" i="1"/>
  <c r="AM229" i="1"/>
  <c r="AN229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230" i="1"/>
  <c r="AM230" i="1"/>
  <c r="AN230" i="1"/>
  <c r="K237" i="1"/>
  <c r="L237" i="1"/>
  <c r="M237" i="1"/>
  <c r="N237" i="1" s="1"/>
  <c r="V237" i="1"/>
  <c r="Y237" i="1"/>
  <c r="Z237" i="1"/>
  <c r="AB237" i="1"/>
  <c r="AC237" i="1"/>
  <c r="AD237" i="1"/>
  <c r="T237" i="1" s="1"/>
  <c r="AE237" i="1"/>
  <c r="AF237" i="1"/>
  <c r="AH231" i="1"/>
  <c r="AM231" i="1"/>
  <c r="AN231" i="1"/>
  <c r="K238" i="1"/>
  <c r="L238" i="1"/>
  <c r="M238" i="1"/>
  <c r="N238" i="1" s="1"/>
  <c r="V238" i="1"/>
  <c r="Y238" i="1"/>
  <c r="Z238" i="1"/>
  <c r="AB238" i="1"/>
  <c r="AC238" i="1"/>
  <c r="AD238" i="1"/>
  <c r="AG238" i="1" s="1"/>
  <c r="AE238" i="1"/>
  <c r="AF238" i="1"/>
  <c r="AH232" i="1"/>
  <c r="AM232" i="1"/>
  <c r="AN232" i="1"/>
  <c r="K239" i="1"/>
  <c r="L239" i="1"/>
  <c r="M239" i="1"/>
  <c r="N239" i="1" s="1"/>
  <c r="V239" i="1"/>
  <c r="Y239" i="1"/>
  <c r="Z239" i="1"/>
  <c r="AB239" i="1"/>
  <c r="AC239" i="1"/>
  <c r="AD239" i="1"/>
  <c r="AG239" i="1" s="1"/>
  <c r="AE239" i="1"/>
  <c r="AF239" i="1"/>
  <c r="AH233" i="1"/>
  <c r="AM233" i="1"/>
  <c r="AN233" i="1"/>
  <c r="K240" i="1"/>
  <c r="L240" i="1"/>
  <c r="M240" i="1"/>
  <c r="N240" i="1" s="1"/>
  <c r="V240" i="1"/>
  <c r="Y240" i="1"/>
  <c r="Z240" i="1"/>
  <c r="AB240" i="1"/>
  <c r="AC240" i="1"/>
  <c r="AD240" i="1"/>
  <c r="AE240" i="1"/>
  <c r="AF240" i="1"/>
  <c r="AH234" i="1"/>
  <c r="AM234" i="1"/>
  <c r="AN234" i="1"/>
  <c r="K241" i="1"/>
  <c r="L241" i="1"/>
  <c r="M241" i="1"/>
  <c r="N241" i="1" s="1"/>
  <c r="V241" i="1"/>
  <c r="Y241" i="1"/>
  <c r="Z241" i="1"/>
  <c r="AB241" i="1"/>
  <c r="AC241" i="1"/>
  <c r="AD241" i="1"/>
  <c r="T241" i="1" s="1"/>
  <c r="AE241" i="1"/>
  <c r="AF241" i="1"/>
  <c r="AH235" i="1"/>
  <c r="AM235" i="1"/>
  <c r="AN235" i="1"/>
  <c r="K211" i="1"/>
  <c r="L211" i="1"/>
  <c r="M211" i="1"/>
  <c r="N211" i="1" s="1"/>
  <c r="V211" i="1"/>
  <c r="S40" i="3" s="1"/>
  <c r="Y211" i="1"/>
  <c r="Z211" i="1"/>
  <c r="AB211" i="1"/>
  <c r="AC211" i="1"/>
  <c r="AD211" i="1"/>
  <c r="AE211" i="1"/>
  <c r="R40" i="3" s="1"/>
  <c r="AF211" i="1"/>
  <c r="AH236" i="1"/>
  <c r="AM236" i="1"/>
  <c r="AN236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237" i="1"/>
  <c r="AM237" i="1"/>
  <c r="AN237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238" i="1"/>
  <c r="AM238" i="1"/>
  <c r="AN238" i="1"/>
  <c r="K214" i="1"/>
  <c r="L214" i="1"/>
  <c r="M214" i="1"/>
  <c r="N214" i="1" s="1"/>
  <c r="V214" i="1"/>
  <c r="S34" i="3" s="1"/>
  <c r="Y214" i="1"/>
  <c r="Z214" i="1"/>
  <c r="AB214" i="1"/>
  <c r="AC214" i="1"/>
  <c r="AD214" i="1"/>
  <c r="T214" i="1" s="1"/>
  <c r="AE214" i="1"/>
  <c r="R34" i="3" s="1"/>
  <c r="AF214" i="1"/>
  <c r="AH239" i="1"/>
  <c r="AM239" i="1"/>
  <c r="AN239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240" i="1"/>
  <c r="AM240" i="1"/>
  <c r="AN240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AH241" i="1"/>
  <c r="AM241" i="1"/>
  <c r="AN241" i="1"/>
  <c r="M38" i="3"/>
  <c r="R38" i="3"/>
  <c r="S38" i="3"/>
  <c r="U38" i="3"/>
  <c r="T38" i="3" s="1"/>
  <c r="V38" i="3"/>
  <c r="W38" i="3"/>
  <c r="X38" i="3"/>
  <c r="AC38" i="3"/>
  <c r="M14" i="3"/>
  <c r="U14" i="3"/>
  <c r="AD14" i="3" s="1"/>
  <c r="V14" i="3"/>
  <c r="W14" i="3"/>
  <c r="X14" i="3"/>
  <c r="M9" i="3"/>
  <c r="U9" i="3"/>
  <c r="AC9" i="3" s="1"/>
  <c r="V9" i="3"/>
  <c r="W9" i="3"/>
  <c r="X9" i="3"/>
  <c r="M19" i="3"/>
  <c r="U19" i="3"/>
  <c r="T19" i="3" s="1"/>
  <c r="V19" i="3"/>
  <c r="W19" i="3"/>
  <c r="X19" i="3"/>
  <c r="M18" i="3"/>
  <c r="R18" i="3"/>
  <c r="U18" i="3"/>
  <c r="AC18" i="3" s="1"/>
  <c r="V18" i="3"/>
  <c r="W18" i="3"/>
  <c r="X18" i="3"/>
  <c r="M17" i="3"/>
  <c r="U17" i="3"/>
  <c r="V17" i="3"/>
  <c r="W17" i="3"/>
  <c r="X17" i="3"/>
  <c r="M40" i="3"/>
  <c r="U40" i="3"/>
  <c r="AC40" i="3" s="1"/>
  <c r="V40" i="3"/>
  <c r="W40" i="3"/>
  <c r="X40" i="3"/>
  <c r="M15" i="3"/>
  <c r="S15" i="3"/>
  <c r="U15" i="3"/>
  <c r="V15" i="3"/>
  <c r="W15" i="3"/>
  <c r="X15" i="3"/>
  <c r="M20" i="3"/>
  <c r="U20" i="3"/>
  <c r="AC20" i="3" s="1"/>
  <c r="V20" i="3"/>
  <c r="W20" i="3"/>
  <c r="X20" i="3"/>
  <c r="M11" i="3"/>
  <c r="U11" i="3"/>
  <c r="V11" i="3"/>
  <c r="W11" i="3"/>
  <c r="X11" i="3"/>
  <c r="AC11" i="3"/>
  <c r="M21" i="3"/>
  <c r="U21" i="3"/>
  <c r="AD21" i="3" s="1"/>
  <c r="V21" i="3"/>
  <c r="W21" i="3"/>
  <c r="X21" i="3"/>
  <c r="M7" i="3"/>
  <c r="U7" i="3"/>
  <c r="AC7" i="3" s="1"/>
  <c r="V7" i="3"/>
  <c r="W7" i="3"/>
  <c r="X7" i="3"/>
  <c r="M12" i="3"/>
  <c r="U12" i="3"/>
  <c r="AC12" i="3" s="1"/>
  <c r="V12" i="3"/>
  <c r="W12" i="3"/>
  <c r="X12" i="3"/>
  <c r="AD20" i="3"/>
  <c r="M33" i="3"/>
  <c r="U33" i="3"/>
  <c r="T33" i="3" s="1"/>
  <c r="V33" i="3"/>
  <c r="W33" i="3"/>
  <c r="X33" i="3"/>
  <c r="M35" i="3"/>
  <c r="U35" i="3"/>
  <c r="V35" i="3"/>
  <c r="W35" i="3"/>
  <c r="X35" i="3"/>
  <c r="AC35" i="3"/>
  <c r="M36" i="3"/>
  <c r="U36" i="3"/>
  <c r="AC36" i="3" s="1"/>
  <c r="V36" i="3"/>
  <c r="W36" i="3"/>
  <c r="X36" i="3"/>
  <c r="M13" i="3"/>
  <c r="U13" i="3"/>
  <c r="AC13" i="3" s="1"/>
  <c r="V13" i="3"/>
  <c r="W13" i="3"/>
  <c r="X13" i="3"/>
  <c r="M26" i="3"/>
  <c r="U26" i="3"/>
  <c r="T26" i="3" s="1"/>
  <c r="V26" i="3"/>
  <c r="W26" i="3"/>
  <c r="X26" i="3"/>
  <c r="AC26" i="3"/>
  <c r="M16" i="3"/>
  <c r="U16" i="3"/>
  <c r="V16" i="3"/>
  <c r="W16" i="3"/>
  <c r="X16" i="3"/>
  <c r="M22" i="3"/>
  <c r="U22" i="3"/>
  <c r="AC22" i="3" s="1"/>
  <c r="V22" i="3"/>
  <c r="W22" i="3"/>
  <c r="X22" i="3"/>
  <c r="M34" i="3"/>
  <c r="U34" i="3"/>
  <c r="AC34" i="3" s="1"/>
  <c r="V34" i="3"/>
  <c r="W34" i="3"/>
  <c r="X34" i="3"/>
  <c r="M30" i="3"/>
  <c r="U30" i="3"/>
  <c r="T30" i="3" s="1"/>
  <c r="V30" i="3"/>
  <c r="W30" i="3"/>
  <c r="X30" i="3"/>
  <c r="M27" i="3"/>
  <c r="U27" i="3"/>
  <c r="V27" i="3"/>
  <c r="W27" i="3"/>
  <c r="X27" i="3"/>
  <c r="AC27" i="3"/>
  <c r="M31" i="3"/>
  <c r="U31" i="3"/>
  <c r="AC31" i="3" s="1"/>
  <c r="V31" i="3"/>
  <c r="W31" i="3"/>
  <c r="X31" i="3"/>
  <c r="M23" i="3"/>
  <c r="U23" i="3"/>
  <c r="AC23" i="3" s="1"/>
  <c r="V23" i="3"/>
  <c r="W23" i="3"/>
  <c r="X23" i="3"/>
  <c r="M32" i="3"/>
  <c r="U32" i="3"/>
  <c r="V32" i="3"/>
  <c r="W32" i="3"/>
  <c r="X32" i="3"/>
  <c r="AC32" i="3"/>
  <c r="M39" i="3"/>
  <c r="U39" i="3"/>
  <c r="V39" i="3"/>
  <c r="W39" i="3"/>
  <c r="X39" i="3"/>
  <c r="M28" i="3"/>
  <c r="U28" i="3"/>
  <c r="AC28" i="3" s="1"/>
  <c r="V28" i="3"/>
  <c r="W28" i="3"/>
  <c r="X28" i="3"/>
  <c r="M24" i="3"/>
  <c r="U24" i="3"/>
  <c r="AC24" i="3" s="1"/>
  <c r="V24" i="3"/>
  <c r="W24" i="3"/>
  <c r="X24" i="3"/>
  <c r="AD36" i="3"/>
  <c r="M29" i="3"/>
  <c r="U29" i="3"/>
  <c r="AD29" i="3" s="1"/>
  <c r="V29" i="3"/>
  <c r="W29" i="3"/>
  <c r="X29" i="3"/>
  <c r="AC29" i="3"/>
  <c r="M10" i="3"/>
  <c r="U10" i="3"/>
  <c r="V10" i="3"/>
  <c r="W10" i="3"/>
  <c r="X10" i="3"/>
  <c r="AC10" i="3"/>
  <c r="M8" i="3"/>
  <c r="U8" i="3"/>
  <c r="AC8" i="3" s="1"/>
  <c r="V8" i="3"/>
  <c r="W8" i="3"/>
  <c r="X8" i="3"/>
  <c r="M25" i="3"/>
  <c r="U25" i="3"/>
  <c r="V25" i="3"/>
  <c r="W25" i="3"/>
  <c r="X25" i="3"/>
  <c r="S32" i="3" l="1"/>
  <c r="AA151" i="1"/>
  <c r="AG83" i="1"/>
  <c r="AI83" i="1" s="1"/>
  <c r="S36" i="3"/>
  <c r="X202" i="1"/>
  <c r="AA203" i="1"/>
  <c r="T109" i="1"/>
  <c r="U109" i="1" s="1"/>
  <c r="S109" i="1" s="1"/>
  <c r="AG203" i="1"/>
  <c r="AI203" i="1" s="1"/>
  <c r="X203" i="1"/>
  <c r="X205" i="1"/>
  <c r="AA38" i="1"/>
  <c r="X204" i="1"/>
  <c r="AA190" i="1"/>
  <c r="AA168" i="1"/>
  <c r="AA162" i="1"/>
  <c r="W162" i="1" s="1"/>
  <c r="AA108" i="1"/>
  <c r="AI53" i="1"/>
  <c r="AG25" i="1"/>
  <c r="U25" i="1" s="1"/>
  <c r="S25" i="1" s="1"/>
  <c r="AA142" i="1"/>
  <c r="X234" i="1"/>
  <c r="AI230" i="1"/>
  <c r="T152" i="1"/>
  <c r="U152" i="1" s="1"/>
  <c r="S152" i="1" s="1"/>
  <c r="X215" i="1"/>
  <c r="X144" i="1"/>
  <c r="S10" i="3"/>
  <c r="T71" i="1"/>
  <c r="U71" i="1" s="1"/>
  <c r="S71" i="1" s="1"/>
  <c r="AA102" i="1"/>
  <c r="AC33" i="3"/>
  <c r="Y16" i="3"/>
  <c r="Y21" i="3"/>
  <c r="X108" i="1"/>
  <c r="AA44" i="1"/>
  <c r="X33" i="1"/>
  <c r="X31" i="1"/>
  <c r="AA31" i="1"/>
  <c r="AI29" i="1"/>
  <c r="AA231" i="1"/>
  <c r="AA95" i="1"/>
  <c r="X36" i="1"/>
  <c r="T35" i="1"/>
  <c r="U35" i="1" s="1"/>
  <c r="S35" i="1" s="1"/>
  <c r="AA144" i="1"/>
  <c r="W144" i="1" s="1"/>
  <c r="T144" i="1"/>
  <c r="AA143" i="1"/>
  <c r="AA204" i="1"/>
  <c r="AC30" i="3"/>
  <c r="AC19" i="3"/>
  <c r="AA211" i="1"/>
  <c r="AI238" i="1"/>
  <c r="AG160" i="1"/>
  <c r="U160" i="1" s="1"/>
  <c r="S160" i="1" s="1"/>
  <c r="AG118" i="1"/>
  <c r="U118" i="1" s="1"/>
  <c r="S118" i="1" s="1"/>
  <c r="AA109" i="1"/>
  <c r="W109" i="1" s="1"/>
  <c r="AA92" i="1"/>
  <c r="AA86" i="1"/>
  <c r="AA81" i="1"/>
  <c r="AA75" i="1"/>
  <c r="AA53" i="1"/>
  <c r="W53" i="1" s="1"/>
  <c r="X87" i="1"/>
  <c r="X141" i="1"/>
  <c r="AG153" i="1"/>
  <c r="AI153" i="1" s="1"/>
  <c r="AA145" i="1"/>
  <c r="W145" i="1" s="1"/>
  <c r="AD30" i="3"/>
  <c r="X179" i="1"/>
  <c r="X174" i="1"/>
  <c r="X210" i="1"/>
  <c r="X43" i="1"/>
  <c r="X32" i="1"/>
  <c r="X30" i="1"/>
  <c r="AI25" i="1"/>
  <c r="AA238" i="1"/>
  <c r="W238" i="1" s="1"/>
  <c r="Y14" i="3"/>
  <c r="Y18" i="3"/>
  <c r="AA173" i="1"/>
  <c r="AA220" i="1"/>
  <c r="AA208" i="1"/>
  <c r="W208" i="1" s="1"/>
  <c r="AG86" i="1"/>
  <c r="AI86" i="1" s="1"/>
  <c r="AA85" i="1"/>
  <c r="AA80" i="1"/>
  <c r="AA24" i="1"/>
  <c r="AA20" i="1"/>
  <c r="AG17" i="1"/>
  <c r="AI17" i="1" s="1"/>
  <c r="AA140" i="1"/>
  <c r="T183" i="1"/>
  <c r="X183" i="1"/>
  <c r="T139" i="1"/>
  <c r="X139" i="1"/>
  <c r="AG107" i="1"/>
  <c r="AI107" i="1" s="1"/>
  <c r="X107" i="1"/>
  <c r="AG103" i="1"/>
  <c r="AI103" i="1" s="1"/>
  <c r="X103" i="1"/>
  <c r="X51" i="1"/>
  <c r="AG51" i="1"/>
  <c r="AI51" i="1" s="1"/>
  <c r="R31" i="3"/>
  <c r="R32" i="3"/>
  <c r="T159" i="1"/>
  <c r="X159" i="1"/>
  <c r="X160" i="1"/>
  <c r="X171" i="1"/>
  <c r="AG226" i="1"/>
  <c r="AI226" i="1" s="1"/>
  <c r="X226" i="1"/>
  <c r="AG222" i="1"/>
  <c r="AI222" i="1" s="1"/>
  <c r="X222" i="1"/>
  <c r="T108" i="1"/>
  <c r="AA107" i="1"/>
  <c r="T102" i="1"/>
  <c r="AG102" i="1"/>
  <c r="T72" i="1"/>
  <c r="X72" i="1"/>
  <c r="T57" i="1"/>
  <c r="AG57" i="1"/>
  <c r="AI57" i="1" s="1"/>
  <c r="X57" i="1"/>
  <c r="T42" i="1"/>
  <c r="X42" i="1"/>
  <c r="T187" i="1"/>
  <c r="X187" i="1"/>
  <c r="T135" i="1"/>
  <c r="X135" i="1"/>
  <c r="T127" i="1"/>
  <c r="X127" i="1"/>
  <c r="X124" i="1"/>
  <c r="X123" i="1"/>
  <c r="AG119" i="1"/>
  <c r="X119" i="1"/>
  <c r="T119" i="1"/>
  <c r="T92" i="1"/>
  <c r="AG92" i="1"/>
  <c r="AI92" i="1" s="1"/>
  <c r="AG49" i="1"/>
  <c r="AI49" i="1" s="1"/>
  <c r="X49" i="1"/>
  <c r="AD38" i="3"/>
  <c r="T157" i="1"/>
  <c r="X157" i="1"/>
  <c r="T217" i="1"/>
  <c r="X217" i="1"/>
  <c r="T84" i="1"/>
  <c r="X84" i="1"/>
  <c r="AG75" i="1"/>
  <c r="AI75" i="1" s="1"/>
  <c r="X75" i="1"/>
  <c r="T75" i="1"/>
  <c r="T54" i="1"/>
  <c r="AG54" i="1"/>
  <c r="AI54" i="1" s="1"/>
  <c r="X54" i="1"/>
  <c r="AG28" i="1"/>
  <c r="AI28" i="1" s="1"/>
  <c r="X28" i="1"/>
  <c r="T26" i="1"/>
  <c r="X26" i="1"/>
  <c r="X27" i="1"/>
  <c r="Y9" i="3"/>
  <c r="Y38" i="3"/>
  <c r="X213" i="1"/>
  <c r="X235" i="1"/>
  <c r="T188" i="1"/>
  <c r="AG188" i="1"/>
  <c r="AI188" i="1" s="1"/>
  <c r="X186" i="1"/>
  <c r="AA226" i="1"/>
  <c r="X102" i="1"/>
  <c r="AG99" i="1"/>
  <c r="X99" i="1"/>
  <c r="X95" i="1"/>
  <c r="T95" i="1"/>
  <c r="AA57" i="1"/>
  <c r="X50" i="1"/>
  <c r="X163" i="1"/>
  <c r="AA159" i="1"/>
  <c r="X223" i="1"/>
  <c r="AA221" i="1"/>
  <c r="AA137" i="1"/>
  <c r="W137" i="1" s="1"/>
  <c r="AA133" i="1"/>
  <c r="W133" i="1" s="1"/>
  <c r="AA127" i="1"/>
  <c r="AA119" i="1"/>
  <c r="AA116" i="1"/>
  <c r="W116" i="1" s="1"/>
  <c r="X106" i="1"/>
  <c r="X96" i="1"/>
  <c r="AA94" i="1"/>
  <c r="AA61" i="1"/>
  <c r="X46" i="1"/>
  <c r="T29" i="1"/>
  <c r="U29" i="1" s="1"/>
  <c r="S29" i="1" s="1"/>
  <c r="AA26" i="1"/>
  <c r="X230" i="1"/>
  <c r="X115" i="1"/>
  <c r="X81" i="1"/>
  <c r="X29" i="1"/>
  <c r="X19" i="1"/>
  <c r="X35" i="1"/>
  <c r="T145" i="1"/>
  <c r="U145" i="1" s="1"/>
  <c r="S145" i="1" s="1"/>
  <c r="X158" i="1"/>
  <c r="AA19" i="1"/>
  <c r="X214" i="1"/>
  <c r="X91" i="1"/>
  <c r="X80" i="1"/>
  <c r="X17" i="1"/>
  <c r="X34" i="1"/>
  <c r="AA156" i="1"/>
  <c r="W156" i="1" s="1"/>
  <c r="AA154" i="1"/>
  <c r="AA153" i="1"/>
  <c r="AG151" i="1"/>
  <c r="AI151" i="1" s="1"/>
  <c r="AA147" i="1"/>
  <c r="X55" i="1"/>
  <c r="AA40" i="1"/>
  <c r="X167" i="1"/>
  <c r="X156" i="1"/>
  <c r="Y8" i="3"/>
  <c r="Y39" i="3"/>
  <c r="Y27" i="3"/>
  <c r="Y30" i="3"/>
  <c r="AD19" i="3"/>
  <c r="AD18" i="3"/>
  <c r="X199" i="1"/>
  <c r="X138" i="1"/>
  <c r="X112" i="1"/>
  <c r="AA91" i="1"/>
  <c r="W91" i="1" s="1"/>
  <c r="AA71" i="1"/>
  <c r="W71" i="1" s="1"/>
  <c r="AA70" i="1"/>
  <c r="X67" i="1"/>
  <c r="AA66" i="1"/>
  <c r="X58" i="1"/>
  <c r="AA35" i="1"/>
  <c r="W35" i="1" s="1"/>
  <c r="AA34" i="1"/>
  <c r="AA15" i="1"/>
  <c r="X218" i="1"/>
  <c r="X41" i="1"/>
  <c r="AA155" i="1"/>
  <c r="AA152" i="1"/>
  <c r="W152" i="1" s="1"/>
  <c r="AG149" i="1"/>
  <c r="U149" i="1" s="1"/>
  <c r="S149" i="1" s="1"/>
  <c r="AA148" i="1"/>
  <c r="W148" i="1" s="1"/>
  <c r="AA146" i="1"/>
  <c r="AG143" i="1"/>
  <c r="U143" i="1" s="1"/>
  <c r="S143" i="1" s="1"/>
  <c r="X206" i="1"/>
  <c r="AG204" i="1"/>
  <c r="AD26" i="3"/>
  <c r="T235" i="1"/>
  <c r="T195" i="1"/>
  <c r="U195" i="1" s="1"/>
  <c r="S195" i="1" s="1"/>
  <c r="AA237" i="1"/>
  <c r="AA195" i="1"/>
  <c r="W195" i="1" s="1"/>
  <c r="X195" i="1"/>
  <c r="T156" i="1"/>
  <c r="U156" i="1" s="1"/>
  <c r="S156" i="1" s="1"/>
  <c r="AG155" i="1"/>
  <c r="T148" i="1"/>
  <c r="U148" i="1" s="1"/>
  <c r="S148" i="1" s="1"/>
  <c r="AG147" i="1"/>
  <c r="X152" i="1"/>
  <c r="X155" i="1"/>
  <c r="X151" i="1"/>
  <c r="X148" i="1"/>
  <c r="X147" i="1"/>
  <c r="X143" i="1"/>
  <c r="AA149" i="1"/>
  <c r="U144" i="1"/>
  <c r="S144" i="1" s="1"/>
  <c r="AI144" i="1"/>
  <c r="AI156" i="1"/>
  <c r="AI148" i="1"/>
  <c r="AI152" i="1"/>
  <c r="AG154" i="1"/>
  <c r="X153" i="1"/>
  <c r="AG150" i="1"/>
  <c r="X149" i="1"/>
  <c r="AG146" i="1"/>
  <c r="X145" i="1"/>
  <c r="AG142" i="1"/>
  <c r="X154" i="1"/>
  <c r="T154" i="1"/>
  <c r="X150" i="1"/>
  <c r="T150" i="1"/>
  <c r="X146" i="1"/>
  <c r="T146" i="1"/>
  <c r="AI145" i="1"/>
  <c r="X142" i="1"/>
  <c r="T142" i="1"/>
  <c r="AG140" i="1"/>
  <c r="X140" i="1"/>
  <c r="T181" i="1"/>
  <c r="X181" i="1"/>
  <c r="X182" i="1"/>
  <c r="T78" i="1"/>
  <c r="X78" i="1"/>
  <c r="AG78" i="1"/>
  <c r="AI78" i="1" s="1"/>
  <c r="T70" i="1"/>
  <c r="X70" i="1"/>
  <c r="T64" i="1"/>
  <c r="X64" i="1"/>
  <c r="X65" i="1"/>
  <c r="X59" i="1"/>
  <c r="AD9" i="3"/>
  <c r="AE14" i="3"/>
  <c r="T161" i="1"/>
  <c r="X161" i="1"/>
  <c r="X162" i="1"/>
  <c r="T129" i="1"/>
  <c r="X130" i="1"/>
  <c r="X129" i="1"/>
  <c r="T110" i="1"/>
  <c r="X110" i="1"/>
  <c r="AG110" i="1"/>
  <c r="AI110" i="1" s="1"/>
  <c r="T33" i="1"/>
  <c r="AG31" i="1"/>
  <c r="R15" i="3"/>
  <c r="AG24" i="1"/>
  <c r="AI24" i="1" s="1"/>
  <c r="X24" i="1"/>
  <c r="X25" i="1"/>
  <c r="T22" i="1"/>
  <c r="X22" i="1"/>
  <c r="AG20" i="1"/>
  <c r="AI20" i="1" s="1"/>
  <c r="X20" i="1"/>
  <c r="X21" i="1"/>
  <c r="T18" i="1"/>
  <c r="X18" i="1"/>
  <c r="AG15" i="1"/>
  <c r="X16" i="1"/>
  <c r="X238" i="1"/>
  <c r="X131" i="1"/>
  <c r="X79" i="1"/>
  <c r="X15" i="1"/>
  <c r="R35" i="3"/>
  <c r="R36" i="3"/>
  <c r="X120" i="1"/>
  <c r="T120" i="1"/>
  <c r="AG120" i="1"/>
  <c r="AI120" i="1" s="1"/>
  <c r="T100" i="1"/>
  <c r="X100" i="1"/>
  <c r="AG100" i="1"/>
  <c r="X93" i="1"/>
  <c r="X94" i="1"/>
  <c r="T76" i="1"/>
  <c r="X76" i="1"/>
  <c r="X77" i="1"/>
  <c r="T73" i="1"/>
  <c r="X73" i="1"/>
  <c r="X74" i="1"/>
  <c r="T68" i="1"/>
  <c r="X68" i="1"/>
  <c r="X69" i="1"/>
  <c r="T66" i="1"/>
  <c r="X66" i="1"/>
  <c r="T62" i="1"/>
  <c r="X62" i="1"/>
  <c r="T60" i="1"/>
  <c r="X60" i="1"/>
  <c r="X61" i="1"/>
  <c r="AC17" i="3"/>
  <c r="AD17" i="3"/>
  <c r="T17" i="3"/>
  <c r="AE17" i="3"/>
  <c r="T189" i="1"/>
  <c r="X190" i="1"/>
  <c r="X189" i="1"/>
  <c r="AI208" i="1"/>
  <c r="T184" i="1"/>
  <c r="X184" i="1"/>
  <c r="T104" i="1"/>
  <c r="X104" i="1"/>
  <c r="X105" i="1"/>
  <c r="X44" i="1"/>
  <c r="X45" i="1"/>
  <c r="AG39" i="1"/>
  <c r="AI39" i="1" s="1"/>
  <c r="X40" i="1"/>
  <c r="T37" i="1"/>
  <c r="X38" i="1"/>
  <c r="X37" i="1"/>
  <c r="S18" i="3"/>
  <c r="S17" i="3"/>
  <c r="X71" i="1"/>
  <c r="T40" i="3"/>
  <c r="AE40" i="3"/>
  <c r="X200" i="1"/>
  <c r="T196" i="1"/>
  <c r="X196" i="1"/>
  <c r="AG196" i="1"/>
  <c r="AD40" i="3"/>
  <c r="AC25" i="3"/>
  <c r="T25" i="3"/>
  <c r="T211" i="1"/>
  <c r="X211" i="1"/>
  <c r="AG211" i="1"/>
  <c r="T240" i="1"/>
  <c r="X241" i="1"/>
  <c r="X240" i="1"/>
  <c r="T180" i="1"/>
  <c r="X180" i="1"/>
  <c r="AG180" i="1"/>
  <c r="T178" i="1"/>
  <c r="X178" i="1"/>
  <c r="AG176" i="1"/>
  <c r="X176" i="1"/>
  <c r="AG172" i="1"/>
  <c r="X172" i="1"/>
  <c r="T170" i="1"/>
  <c r="X170" i="1"/>
  <c r="R10" i="3"/>
  <c r="R8" i="3"/>
  <c r="T88" i="1"/>
  <c r="X88" i="1"/>
  <c r="AG88" i="1"/>
  <c r="AI88" i="1" s="1"/>
  <c r="X82" i="1"/>
  <c r="T82" i="1"/>
  <c r="T55" i="1"/>
  <c r="X56" i="1"/>
  <c r="T52" i="1"/>
  <c r="X52" i="1"/>
  <c r="X53" i="1"/>
  <c r="AG47" i="1"/>
  <c r="X48" i="1"/>
  <c r="T47" i="1"/>
  <c r="T36" i="1"/>
  <c r="AG36" i="1"/>
  <c r="AI36" i="1" s="1"/>
  <c r="X191" i="1"/>
  <c r="X175" i="1"/>
  <c r="X111" i="1"/>
  <c r="X83" i="1"/>
  <c r="X63" i="1"/>
  <c r="X47" i="1"/>
  <c r="X39" i="1"/>
  <c r="X23" i="1"/>
  <c r="AD22" i="3"/>
  <c r="AA218" i="1"/>
  <c r="W218" i="1" s="1"/>
  <c r="X237" i="1"/>
  <c r="X233" i="1"/>
  <c r="X221" i="1"/>
  <c r="X209" i="1"/>
  <c r="X134" i="1"/>
  <c r="X126" i="1"/>
  <c r="X114" i="1"/>
  <c r="AA169" i="1"/>
  <c r="W169" i="1" s="1"/>
  <c r="AG220" i="1"/>
  <c r="AI220" i="1" s="1"/>
  <c r="AG127" i="1"/>
  <c r="AI127" i="1" s="1"/>
  <c r="X236" i="1"/>
  <c r="X232" i="1"/>
  <c r="X228" i="1"/>
  <c r="X224" i="1"/>
  <c r="X220" i="1"/>
  <c r="X216" i="1"/>
  <c r="X212" i="1"/>
  <c r="X208" i="1"/>
  <c r="X201" i="1"/>
  <c r="X197" i="1"/>
  <c r="X193" i="1"/>
  <c r="X185" i="1"/>
  <c r="X177" i="1"/>
  <c r="X173" i="1"/>
  <c r="X169" i="1"/>
  <c r="X165" i="1"/>
  <c r="X137" i="1"/>
  <c r="X133" i="1"/>
  <c r="X125" i="1"/>
  <c r="X121" i="1"/>
  <c r="X117" i="1"/>
  <c r="X113" i="1"/>
  <c r="X109" i="1"/>
  <c r="X101" i="1"/>
  <c r="X97" i="1"/>
  <c r="X89" i="1"/>
  <c r="X85" i="1"/>
  <c r="AA194" i="1"/>
  <c r="AI166" i="1"/>
  <c r="AA223" i="1"/>
  <c r="AA134" i="1"/>
  <c r="AA28" i="1"/>
  <c r="X229" i="1"/>
  <c r="X225" i="1"/>
  <c r="X198" i="1"/>
  <c r="X194" i="1"/>
  <c r="X166" i="1"/>
  <c r="X122" i="1"/>
  <c r="X118" i="1"/>
  <c r="X98" i="1"/>
  <c r="X90" i="1"/>
  <c r="X86" i="1"/>
  <c r="Y25" i="3"/>
  <c r="Y28" i="3"/>
  <c r="Y22" i="3"/>
  <c r="Y15" i="3"/>
  <c r="Y17" i="3"/>
  <c r="AA182" i="1"/>
  <c r="AG228" i="1"/>
  <c r="AI228" i="1" s="1"/>
  <c r="AG205" i="1"/>
  <c r="AI205" i="1" s="1"/>
  <c r="Y10" i="3"/>
  <c r="AD34" i="3"/>
  <c r="AD33" i="3"/>
  <c r="Y31" i="3"/>
  <c r="Y36" i="3"/>
  <c r="Y11" i="3"/>
  <c r="AG192" i="1"/>
  <c r="AI192" i="1" s="1"/>
  <c r="AA186" i="1"/>
  <c r="AG182" i="1"/>
  <c r="AA180" i="1"/>
  <c r="AA178" i="1"/>
  <c r="AA170" i="1"/>
  <c r="AA165" i="1"/>
  <c r="T164" i="1"/>
  <c r="U164" i="1" s="1"/>
  <c r="S164" i="1" s="1"/>
  <c r="AA163" i="1"/>
  <c r="AI158" i="1"/>
  <c r="AA158" i="1"/>
  <c r="W158" i="1" s="1"/>
  <c r="AA120" i="1"/>
  <c r="T107" i="1"/>
  <c r="AA106" i="1"/>
  <c r="AA104" i="1"/>
  <c r="AA100" i="1"/>
  <c r="AA78" i="1"/>
  <c r="AA64" i="1"/>
  <c r="AA47" i="1"/>
  <c r="AA46" i="1"/>
  <c r="AA37" i="1"/>
  <c r="X239" i="1"/>
  <c r="X231" i="1"/>
  <c r="X227" i="1"/>
  <c r="X219" i="1"/>
  <c r="X207" i="1"/>
  <c r="X192" i="1"/>
  <c r="X188" i="1"/>
  <c r="X168" i="1"/>
  <c r="X164" i="1"/>
  <c r="X136" i="1"/>
  <c r="X132" i="1"/>
  <c r="X128" i="1"/>
  <c r="X116" i="1"/>
  <c r="X92" i="1"/>
  <c r="AA177" i="1"/>
  <c r="AA172" i="1"/>
  <c r="AG167" i="1"/>
  <c r="U167" i="1" s="1"/>
  <c r="S167" i="1" s="1"/>
  <c r="AA164" i="1"/>
  <c r="W164" i="1" s="1"/>
  <c r="AA230" i="1"/>
  <c r="W230" i="1" s="1"/>
  <c r="AG224" i="1"/>
  <c r="AI224" i="1" s="1"/>
  <c r="AA222" i="1"/>
  <c r="AG219" i="1"/>
  <c r="U219" i="1" s="1"/>
  <c r="S219" i="1" s="1"/>
  <c r="AG206" i="1"/>
  <c r="AI206" i="1" s="1"/>
  <c r="AA138" i="1"/>
  <c r="AG134" i="1"/>
  <c r="AG40" i="1"/>
  <c r="AI40" i="1" s="1"/>
  <c r="AG38" i="1"/>
  <c r="AI38" i="1" s="1"/>
  <c r="AI216" i="1"/>
  <c r="T215" i="1"/>
  <c r="AA214" i="1"/>
  <c r="AG240" i="1"/>
  <c r="AI240" i="1" s="1"/>
  <c r="AA239" i="1"/>
  <c r="W239" i="1" s="1"/>
  <c r="T239" i="1"/>
  <c r="U239" i="1" s="1"/>
  <c r="S239" i="1" s="1"/>
  <c r="AA234" i="1"/>
  <c r="T234" i="1"/>
  <c r="AA233" i="1"/>
  <c r="AA198" i="1"/>
  <c r="W198" i="1" s="1"/>
  <c r="AG190" i="1"/>
  <c r="AA185" i="1"/>
  <c r="AG183" i="1"/>
  <c r="T166" i="1"/>
  <c r="U166" i="1" s="1"/>
  <c r="S166" i="1" s="1"/>
  <c r="AG135" i="1"/>
  <c r="AI135" i="1" s="1"/>
  <c r="AA125" i="1"/>
  <c r="W125" i="1" s="1"/>
  <c r="AA121" i="1"/>
  <c r="W121" i="1" s="1"/>
  <c r="AI116" i="1"/>
  <c r="AA112" i="1"/>
  <c r="T112" i="1"/>
  <c r="AG104" i="1"/>
  <c r="AI104" i="1" s="1"/>
  <c r="AA88" i="1"/>
  <c r="AA82" i="1"/>
  <c r="AG79" i="1"/>
  <c r="U79" i="1" s="1"/>
  <c r="S79" i="1" s="1"/>
  <c r="AA76" i="1"/>
  <c r="AA72" i="1"/>
  <c r="AG66" i="1"/>
  <c r="AI66" i="1" s="1"/>
  <c r="AG63" i="1"/>
  <c r="U63" i="1" s="1"/>
  <c r="S63" i="1" s="1"/>
  <c r="AG62" i="1"/>
  <c r="AI62" i="1" s="1"/>
  <c r="T32" i="1"/>
  <c r="AG21" i="1"/>
  <c r="AI21" i="1" s="1"/>
  <c r="AA191" i="1"/>
  <c r="W191" i="1" s="1"/>
  <c r="T191" i="1"/>
  <c r="U191" i="1" s="1"/>
  <c r="S191" i="1" s="1"/>
  <c r="AA188" i="1"/>
  <c r="AA176" i="1"/>
  <c r="AA174" i="1"/>
  <c r="AA166" i="1"/>
  <c r="W166" i="1" s="1"/>
  <c r="AI162" i="1"/>
  <c r="AG232" i="1"/>
  <c r="AA224" i="1"/>
  <c r="AA209" i="1"/>
  <c r="AA207" i="1"/>
  <c r="AA205" i="1"/>
  <c r="AA130" i="1"/>
  <c r="AA128" i="1"/>
  <c r="AA77" i="1"/>
  <c r="AA65" i="1"/>
  <c r="AG61" i="1"/>
  <c r="U61" i="1" s="1"/>
  <c r="S61" i="1" s="1"/>
  <c r="AG55" i="1"/>
  <c r="AI55" i="1" s="1"/>
  <c r="T51" i="1"/>
  <c r="AA50" i="1"/>
  <c r="AG42" i="1"/>
  <c r="AI42" i="1" s="1"/>
  <c r="AA41" i="1"/>
  <c r="AA16" i="1"/>
  <c r="AG215" i="1"/>
  <c r="AA236" i="1"/>
  <c r="AG234" i="1"/>
  <c r="AA202" i="1"/>
  <c r="AA197" i="1"/>
  <c r="AG194" i="1"/>
  <c r="U194" i="1" s="1"/>
  <c r="S194" i="1" s="1"/>
  <c r="AA183" i="1"/>
  <c r="AA129" i="1"/>
  <c r="AA117" i="1"/>
  <c r="W117" i="1" s="1"/>
  <c r="T117" i="1"/>
  <c r="U117" i="1" s="1"/>
  <c r="S117" i="1" s="1"/>
  <c r="AA115" i="1"/>
  <c r="W115" i="1" s="1"/>
  <c r="T115" i="1"/>
  <c r="U115" i="1" s="1"/>
  <c r="S115" i="1" s="1"/>
  <c r="AA114" i="1"/>
  <c r="AG112" i="1"/>
  <c r="AI112" i="1" s="1"/>
  <c r="AG98" i="1"/>
  <c r="AI98" i="1" s="1"/>
  <c r="AA96" i="1"/>
  <c r="AA87" i="1"/>
  <c r="W87" i="1" s="1"/>
  <c r="AA79" i="1"/>
  <c r="AG74" i="1"/>
  <c r="AI74" i="1" s="1"/>
  <c r="AA73" i="1"/>
  <c r="AG70" i="1"/>
  <c r="AI70" i="1" s="1"/>
  <c r="AA63" i="1"/>
  <c r="AA62" i="1"/>
  <c r="AA22" i="1"/>
  <c r="AG212" i="1"/>
  <c r="AI212" i="1" s="1"/>
  <c r="T212" i="1"/>
  <c r="AG236" i="1"/>
  <c r="AA235" i="1"/>
  <c r="T202" i="1"/>
  <c r="AA201" i="1"/>
  <c r="T200" i="1"/>
  <c r="AG200" i="1"/>
  <c r="AA200" i="1"/>
  <c r="T198" i="1"/>
  <c r="U198" i="1" s="1"/>
  <c r="S198" i="1" s="1"/>
  <c r="AA216" i="1"/>
  <c r="W216" i="1" s="1"/>
  <c r="T216" i="1"/>
  <c r="U216" i="1" s="1"/>
  <c r="S216" i="1" s="1"/>
  <c r="AA215" i="1"/>
  <c r="T213" i="1"/>
  <c r="AG213" i="1"/>
  <c r="AI213" i="1" s="1"/>
  <c r="AA213" i="1"/>
  <c r="T238" i="1"/>
  <c r="U238" i="1" s="1"/>
  <c r="S238" i="1" s="1"/>
  <c r="AG235" i="1"/>
  <c r="AA240" i="1"/>
  <c r="AG202" i="1"/>
  <c r="AI202" i="1" s="1"/>
  <c r="AG199" i="1"/>
  <c r="AI199" i="1" s="1"/>
  <c r="T199" i="1"/>
  <c r="AA212" i="1"/>
  <c r="AA241" i="1"/>
  <c r="AA199" i="1"/>
  <c r="AA196" i="1"/>
  <c r="AA193" i="1"/>
  <c r="AG187" i="1"/>
  <c r="AG184" i="1"/>
  <c r="AA181" i="1"/>
  <c r="AA179" i="1"/>
  <c r="T179" i="1"/>
  <c r="AG178" i="1"/>
  <c r="AG175" i="1"/>
  <c r="U175" i="1" s="1"/>
  <c r="S175" i="1" s="1"/>
  <c r="AA171" i="1"/>
  <c r="T171" i="1"/>
  <c r="AG170" i="1"/>
  <c r="AA167" i="1"/>
  <c r="AA160" i="1"/>
  <c r="AG159" i="1"/>
  <c r="T158" i="1"/>
  <c r="U158" i="1" s="1"/>
  <c r="S158" i="1" s="1"/>
  <c r="AA232" i="1"/>
  <c r="AG231" i="1"/>
  <c r="T230" i="1"/>
  <c r="U230" i="1" s="1"/>
  <c r="S230" i="1" s="1"/>
  <c r="AA228" i="1"/>
  <c r="AG227" i="1"/>
  <c r="U227" i="1" s="1"/>
  <c r="S227" i="1" s="1"/>
  <c r="AA225" i="1"/>
  <c r="AA219" i="1"/>
  <c r="T218" i="1"/>
  <c r="U218" i="1" s="1"/>
  <c r="S218" i="1" s="1"/>
  <c r="T133" i="1"/>
  <c r="U133" i="1" s="1"/>
  <c r="S133" i="1" s="1"/>
  <c r="T125" i="1"/>
  <c r="U125" i="1" s="1"/>
  <c r="S125" i="1" s="1"/>
  <c r="AA122" i="1"/>
  <c r="AA118" i="1"/>
  <c r="T116" i="1"/>
  <c r="U116" i="1" s="1"/>
  <c r="S116" i="1" s="1"/>
  <c r="AA113" i="1"/>
  <c r="W113" i="1" s="1"/>
  <c r="T113" i="1"/>
  <c r="U113" i="1" s="1"/>
  <c r="S113" i="1" s="1"/>
  <c r="AG82" i="1"/>
  <c r="T67" i="1"/>
  <c r="AG67" i="1"/>
  <c r="AI67" i="1" s="1"/>
  <c r="T44" i="1"/>
  <c r="AG44" i="1"/>
  <c r="AI44" i="1" s="1"/>
  <c r="AG30" i="1"/>
  <c r="AI30" i="1" s="1"/>
  <c r="T30" i="1"/>
  <c r="T186" i="1"/>
  <c r="T174" i="1"/>
  <c r="T163" i="1"/>
  <c r="AA161" i="1"/>
  <c r="AA157" i="1"/>
  <c r="AA229" i="1"/>
  <c r="T223" i="1"/>
  <c r="AA217" i="1"/>
  <c r="AA210" i="1"/>
  <c r="T209" i="1"/>
  <c r="AA141" i="1"/>
  <c r="AA139" i="1"/>
  <c r="T138" i="1"/>
  <c r="AA132" i="1"/>
  <c r="AA131" i="1"/>
  <c r="T130" i="1"/>
  <c r="AG126" i="1"/>
  <c r="AI126" i="1" s="1"/>
  <c r="AA126" i="1"/>
  <c r="AG123" i="1"/>
  <c r="AI123" i="1" s="1"/>
  <c r="T123" i="1"/>
  <c r="T96" i="1"/>
  <c r="AG96" i="1"/>
  <c r="AG93" i="1"/>
  <c r="T93" i="1"/>
  <c r="AA90" i="1"/>
  <c r="AG77" i="1"/>
  <c r="AI77" i="1" s="1"/>
  <c r="T59" i="1"/>
  <c r="AG59" i="1"/>
  <c r="AI59" i="1" s="1"/>
  <c r="AA42" i="1"/>
  <c r="AA23" i="1"/>
  <c r="AA192" i="1"/>
  <c r="AA189" i="1"/>
  <c r="AA187" i="1"/>
  <c r="AG186" i="1"/>
  <c r="AA184" i="1"/>
  <c r="AG179" i="1"/>
  <c r="AI179" i="1" s="1"/>
  <c r="AA175" i="1"/>
  <c r="AG174" i="1"/>
  <c r="AG171" i="1"/>
  <c r="AG165" i="1"/>
  <c r="U165" i="1" s="1"/>
  <c r="S165" i="1" s="1"/>
  <c r="AG163" i="1"/>
  <c r="AI163" i="1" s="1"/>
  <c r="T162" i="1"/>
  <c r="U162" i="1" s="1"/>
  <c r="S162" i="1" s="1"/>
  <c r="T222" i="1"/>
  <c r="T208" i="1"/>
  <c r="U208" i="1" s="1"/>
  <c r="S208" i="1" s="1"/>
  <c r="T137" i="1"/>
  <c r="U137" i="1" s="1"/>
  <c r="S137" i="1" s="1"/>
  <c r="AG129" i="1"/>
  <c r="AI129" i="1" s="1"/>
  <c r="T114" i="1"/>
  <c r="AG114" i="1"/>
  <c r="AG101" i="1"/>
  <c r="AI101" i="1" s="1"/>
  <c r="T101" i="1"/>
  <c r="AG73" i="1"/>
  <c r="AG65" i="1"/>
  <c r="AG43" i="1"/>
  <c r="T43" i="1"/>
  <c r="AG161" i="1"/>
  <c r="AA227" i="1"/>
  <c r="T226" i="1"/>
  <c r="AG223" i="1"/>
  <c r="AG210" i="1"/>
  <c r="AI210" i="1" s="1"/>
  <c r="AG209" i="1"/>
  <c r="AA206" i="1"/>
  <c r="AG139" i="1"/>
  <c r="AI139" i="1" s="1"/>
  <c r="AG138" i="1"/>
  <c r="AI138" i="1" s="1"/>
  <c r="AA136" i="1"/>
  <c r="AA135" i="1"/>
  <c r="AG131" i="1"/>
  <c r="U131" i="1" s="1"/>
  <c r="S131" i="1" s="1"/>
  <c r="AG130" i="1"/>
  <c r="AI130" i="1" s="1"/>
  <c r="T126" i="1"/>
  <c r="AG111" i="1"/>
  <c r="AI111" i="1" s="1"/>
  <c r="T111" i="1"/>
  <c r="AA110" i="1"/>
  <c r="AG108" i="1"/>
  <c r="T106" i="1"/>
  <c r="AG106" i="1"/>
  <c r="AA99" i="1"/>
  <c r="AA98" i="1"/>
  <c r="AG95" i="1"/>
  <c r="AA74" i="1"/>
  <c r="AA69" i="1"/>
  <c r="W69" i="1" s="1"/>
  <c r="T58" i="1"/>
  <c r="AG58" i="1"/>
  <c r="T50" i="1"/>
  <c r="AG50" i="1"/>
  <c r="AI50" i="1" s="1"/>
  <c r="T46" i="1"/>
  <c r="AG46" i="1"/>
  <c r="AA27" i="1"/>
  <c r="AG16" i="1"/>
  <c r="AA124" i="1"/>
  <c r="AA123" i="1"/>
  <c r="AA103" i="1"/>
  <c r="T103" i="1"/>
  <c r="AA97" i="1"/>
  <c r="W97" i="1" s="1"/>
  <c r="T97" i="1"/>
  <c r="U97" i="1" s="1"/>
  <c r="S97" i="1" s="1"/>
  <c r="AA89" i="1"/>
  <c r="AA84" i="1"/>
  <c r="AA83" i="1"/>
  <c r="T53" i="1"/>
  <c r="U53" i="1" s="1"/>
  <c r="S53" i="1" s="1"/>
  <c r="AA52" i="1"/>
  <c r="AA51" i="1"/>
  <c r="T49" i="1"/>
  <c r="AA48" i="1"/>
  <c r="AA32" i="1"/>
  <c r="T31" i="1"/>
  <c r="AA18" i="1"/>
  <c r="AA17" i="1"/>
  <c r="T15" i="1"/>
  <c r="AA14" i="1"/>
  <c r="AA111" i="1"/>
  <c r="AA105" i="1"/>
  <c r="W105" i="1" s="1"/>
  <c r="T105" i="1"/>
  <c r="U105" i="1" s="1"/>
  <c r="S105" i="1" s="1"/>
  <c r="T91" i="1"/>
  <c r="U91" i="1" s="1"/>
  <c r="S91" i="1" s="1"/>
  <c r="T87" i="1"/>
  <c r="U87" i="1" s="1"/>
  <c r="S87" i="1" s="1"/>
  <c r="AA56" i="1"/>
  <c r="AA55" i="1"/>
  <c r="AA54" i="1"/>
  <c r="AA49" i="1"/>
  <c r="W49" i="1" s="1"/>
  <c r="AG48" i="1"/>
  <c r="AI48" i="1" s="1"/>
  <c r="AA45" i="1"/>
  <c r="AA39" i="1"/>
  <c r="T39" i="1"/>
  <c r="AA36" i="1"/>
  <c r="AG34" i="1"/>
  <c r="AI34" i="1" s="1"/>
  <c r="AG32" i="1"/>
  <c r="AI32" i="1" s="1"/>
  <c r="AA29" i="1"/>
  <c r="W29" i="1" s="1"/>
  <c r="T28" i="1"/>
  <c r="AA25" i="1"/>
  <c r="T24" i="1"/>
  <c r="AA21" i="1"/>
  <c r="T20" i="1"/>
  <c r="AA101" i="1"/>
  <c r="T99" i="1"/>
  <c r="AA93" i="1"/>
  <c r="U83" i="1"/>
  <c r="S83" i="1" s="1"/>
  <c r="T69" i="1"/>
  <c r="U69" i="1" s="1"/>
  <c r="S69" i="1" s="1"/>
  <c r="AA68" i="1"/>
  <c r="AA67" i="1"/>
  <c r="AA60" i="1"/>
  <c r="AA59" i="1"/>
  <c r="AA58" i="1"/>
  <c r="AA43" i="1"/>
  <c r="AA33" i="1"/>
  <c r="AA30" i="1"/>
  <c r="AI195" i="1"/>
  <c r="AG214" i="1"/>
  <c r="AI214" i="1" s="1"/>
  <c r="AG241" i="1"/>
  <c r="AI241" i="1" s="1"/>
  <c r="AG237" i="1"/>
  <c r="AI237" i="1" s="1"/>
  <c r="AG233" i="1"/>
  <c r="AI233" i="1" s="1"/>
  <c r="AG201" i="1"/>
  <c r="AI201" i="1" s="1"/>
  <c r="AG197" i="1"/>
  <c r="AI197" i="1" s="1"/>
  <c r="AG193" i="1"/>
  <c r="AI193" i="1" s="1"/>
  <c r="AG189" i="1"/>
  <c r="AG185" i="1"/>
  <c r="AI185" i="1" s="1"/>
  <c r="AG181" i="1"/>
  <c r="AG177" i="1"/>
  <c r="AI177" i="1" s="1"/>
  <c r="T176" i="1"/>
  <c r="AI198" i="1"/>
  <c r="AG173" i="1"/>
  <c r="AI173" i="1" s="1"/>
  <c r="T172" i="1"/>
  <c r="AG168" i="1"/>
  <c r="W168" i="1" s="1"/>
  <c r="AI125" i="1"/>
  <c r="AI218" i="1"/>
  <c r="AI133" i="1"/>
  <c r="T169" i="1"/>
  <c r="U169" i="1" s="1"/>
  <c r="S169" i="1" s="1"/>
  <c r="AI169" i="1"/>
  <c r="AI137" i="1"/>
  <c r="T122" i="1"/>
  <c r="AI117" i="1"/>
  <c r="AI115" i="1"/>
  <c r="AI109" i="1"/>
  <c r="AG157" i="1"/>
  <c r="AI157" i="1" s="1"/>
  <c r="AG229" i="1"/>
  <c r="AI229" i="1" s="1"/>
  <c r="AG225" i="1"/>
  <c r="AG221" i="1"/>
  <c r="AG217" i="1"/>
  <c r="AI217" i="1" s="1"/>
  <c r="AG207" i="1"/>
  <c r="AG141" i="1"/>
  <c r="AG136" i="1"/>
  <c r="AG132" i="1"/>
  <c r="AG128" i="1"/>
  <c r="AG124" i="1"/>
  <c r="AG122" i="1"/>
  <c r="T121" i="1"/>
  <c r="U121" i="1" s="1"/>
  <c r="S121" i="1" s="1"/>
  <c r="AI97" i="1"/>
  <c r="AI91" i="1"/>
  <c r="AI87" i="1"/>
  <c r="AI121" i="1"/>
  <c r="AI113" i="1"/>
  <c r="AI105" i="1"/>
  <c r="AG89" i="1"/>
  <c r="AG94" i="1"/>
  <c r="AG90" i="1"/>
  <c r="AI69" i="1"/>
  <c r="AG84" i="1"/>
  <c r="AG80" i="1"/>
  <c r="AG76" i="1"/>
  <c r="AG72" i="1"/>
  <c r="AG68" i="1"/>
  <c r="AG64" i="1"/>
  <c r="AG60" i="1"/>
  <c r="AG56" i="1"/>
  <c r="AG52" i="1"/>
  <c r="AG85" i="1"/>
  <c r="AG81" i="1"/>
  <c r="AI71" i="1"/>
  <c r="AI47" i="1"/>
  <c r="AI35" i="1"/>
  <c r="AG45" i="1"/>
  <c r="AG41" i="1"/>
  <c r="AG37" i="1"/>
  <c r="AG33" i="1"/>
  <c r="AG26" i="1"/>
  <c r="AG22" i="1"/>
  <c r="AG18" i="1"/>
  <c r="AG14" i="1"/>
  <c r="AG27" i="1"/>
  <c r="AG23" i="1"/>
  <c r="AG19" i="1"/>
  <c r="AE24" i="3"/>
  <c r="AE13" i="3"/>
  <c r="T29" i="3"/>
  <c r="AE32" i="3"/>
  <c r="AD28" i="3"/>
  <c r="AD24" i="3"/>
  <c r="AE21" i="3"/>
  <c r="T20" i="3"/>
  <c r="AE10" i="3"/>
  <c r="Y32" i="3"/>
  <c r="AD32" i="3"/>
  <c r="AE29" i="3"/>
  <c r="T13" i="3"/>
  <c r="Y35" i="3"/>
  <c r="Y7" i="3"/>
  <c r="Y40" i="3"/>
  <c r="AD12" i="3"/>
  <c r="Y19" i="3"/>
  <c r="AD10" i="3"/>
  <c r="AD8" i="3"/>
  <c r="T23" i="3"/>
  <c r="Y34" i="3"/>
  <c r="Y13" i="3"/>
  <c r="AD16" i="3"/>
  <c r="AD11" i="3"/>
  <c r="Y29" i="3"/>
  <c r="AE36" i="3"/>
  <c r="AC39" i="3"/>
  <c r="T32" i="3"/>
  <c r="Y23" i="3"/>
  <c r="T34" i="3"/>
  <c r="AD25" i="3"/>
  <c r="AE25" i="3"/>
  <c r="Y33" i="3"/>
  <c r="AE20" i="3"/>
  <c r="AC21" i="3"/>
  <c r="T11" i="3"/>
  <c r="Y20" i="3"/>
  <c r="AD15" i="3"/>
  <c r="T9" i="3"/>
  <c r="T24" i="3"/>
  <c r="AE33" i="3"/>
  <c r="AE28" i="3"/>
  <c r="AC16" i="3"/>
  <c r="T12" i="3"/>
  <c r="AE18" i="3"/>
  <c r="Y24" i="3"/>
  <c r="Y26" i="3"/>
  <c r="Y12" i="3"/>
  <c r="T18" i="3"/>
  <c r="AC15" i="3"/>
  <c r="AC14" i="3"/>
  <c r="AE35" i="3"/>
  <c r="T28" i="3"/>
  <c r="AE27" i="3"/>
  <c r="T22" i="3"/>
  <c r="AE23" i="3"/>
  <c r="T36" i="3"/>
  <c r="T7" i="3"/>
  <c r="AE39" i="3"/>
  <c r="T8" i="3"/>
  <c r="AE31" i="3"/>
  <c r="T31" i="3"/>
  <c r="AD39" i="3"/>
  <c r="AE38" i="3"/>
  <c r="T10" i="3"/>
  <c r="AD35" i="3"/>
  <c r="AE34" i="3"/>
  <c r="T39" i="3"/>
  <c r="AD31" i="3"/>
  <c r="AE30" i="3"/>
  <c r="T27" i="3"/>
  <c r="AD27" i="3"/>
  <c r="AE26" i="3"/>
  <c r="T16" i="3"/>
  <c r="AD23" i="3"/>
  <c r="AE22" i="3"/>
  <c r="T35" i="3"/>
  <c r="AE19" i="3"/>
  <c r="T21" i="3"/>
  <c r="AE16" i="3"/>
  <c r="T15" i="3"/>
  <c r="AD13" i="3"/>
  <c r="AE12" i="3"/>
  <c r="AE9" i="3"/>
  <c r="T14" i="3"/>
  <c r="AE15" i="3"/>
  <c r="AE11" i="3"/>
  <c r="AE8" i="3"/>
  <c r="K13" i="1"/>
  <c r="L13" i="1"/>
  <c r="M13" i="1"/>
  <c r="P13" i="1" s="1"/>
  <c r="V13" i="1"/>
  <c r="Y13" i="1"/>
  <c r="Z13" i="1"/>
  <c r="AB13" i="1"/>
  <c r="AC13" i="1"/>
  <c r="AD13" i="1"/>
  <c r="AE13" i="1"/>
  <c r="AF13" i="1"/>
  <c r="AM13" i="1"/>
  <c r="AN13" i="1"/>
  <c r="W199" i="1" l="1"/>
  <c r="W142" i="1"/>
  <c r="W83" i="1"/>
  <c r="W231" i="1"/>
  <c r="W160" i="1"/>
  <c r="U224" i="1"/>
  <c r="S224" i="1" s="1"/>
  <c r="U172" i="1"/>
  <c r="S172" i="1" s="1"/>
  <c r="AI143" i="1"/>
  <c r="W36" i="1"/>
  <c r="U203" i="1"/>
  <c r="S203" i="1" s="1"/>
  <c r="U17" i="1"/>
  <c r="S17" i="1" s="1"/>
  <c r="U220" i="1"/>
  <c r="S220" i="1" s="1"/>
  <c r="W203" i="1"/>
  <c r="W222" i="1"/>
  <c r="W39" i="1"/>
  <c r="W25" i="1"/>
  <c r="W103" i="1"/>
  <c r="U73" i="1"/>
  <c r="S73" i="1" s="1"/>
  <c r="U222" i="1"/>
  <c r="S222" i="1" s="1"/>
  <c r="W45" i="1"/>
  <c r="W221" i="1"/>
  <c r="AI165" i="1"/>
  <c r="W17" i="1"/>
  <c r="W186" i="1"/>
  <c r="W147" i="1"/>
  <c r="U86" i="1"/>
  <c r="S86" i="1" s="1"/>
  <c r="W224" i="1"/>
  <c r="W120" i="1"/>
  <c r="U192" i="1"/>
  <c r="S192" i="1" s="1"/>
  <c r="U99" i="1"/>
  <c r="S99" i="1" s="1"/>
  <c r="U24" i="1"/>
  <c r="S24" i="1" s="1"/>
  <c r="W54" i="1"/>
  <c r="W42" i="1"/>
  <c r="W15" i="1"/>
  <c r="AI194" i="1"/>
  <c r="U51" i="1"/>
  <c r="S51" i="1" s="1"/>
  <c r="W190" i="1"/>
  <c r="U95" i="1"/>
  <c r="S95" i="1" s="1"/>
  <c r="U110" i="1"/>
  <c r="S110" i="1" s="1"/>
  <c r="AI131" i="1"/>
  <c r="W51" i="1"/>
  <c r="W31" i="1"/>
  <c r="AI63" i="1"/>
  <c r="W64" i="1"/>
  <c r="W172" i="1"/>
  <c r="W20" i="1"/>
  <c r="AI118" i="1"/>
  <c r="W226" i="1"/>
  <c r="W19" i="1"/>
  <c r="U57" i="1"/>
  <c r="S57" i="1" s="1"/>
  <c r="U92" i="1"/>
  <c r="S92" i="1" s="1"/>
  <c r="U20" i="1"/>
  <c r="S20" i="1" s="1"/>
  <c r="U28" i="1"/>
  <c r="S28" i="1" s="1"/>
  <c r="U126" i="1"/>
  <c r="S126" i="1" s="1"/>
  <c r="W118" i="1"/>
  <c r="U215" i="1"/>
  <c r="S215" i="1" s="1"/>
  <c r="U180" i="1"/>
  <c r="S180" i="1" s="1"/>
  <c r="W57" i="1"/>
  <c r="W107" i="1"/>
  <c r="U206" i="1"/>
  <c r="S206" i="1" s="1"/>
  <c r="AI31" i="1"/>
  <c r="W80" i="1"/>
  <c r="U98" i="1"/>
  <c r="S98" i="1" s="1"/>
  <c r="U49" i="1"/>
  <c r="S49" i="1" s="1"/>
  <c r="U235" i="1"/>
  <c r="S235" i="1" s="1"/>
  <c r="W127" i="1"/>
  <c r="W99" i="1"/>
  <c r="U42" i="1"/>
  <c r="S42" i="1" s="1"/>
  <c r="W37" i="1"/>
  <c r="U34" i="1"/>
  <c r="S34" i="1" s="1"/>
  <c r="W59" i="1"/>
  <c r="W220" i="1"/>
  <c r="U161" i="1"/>
  <c r="S161" i="1" s="1"/>
  <c r="W205" i="1"/>
  <c r="W153" i="1"/>
  <c r="W75" i="1"/>
  <c r="U77" i="1"/>
  <c r="S77" i="1" s="1"/>
  <c r="W98" i="1"/>
  <c r="W192" i="1"/>
  <c r="U107" i="1"/>
  <c r="S107" i="1" s="1"/>
  <c r="W184" i="1"/>
  <c r="U54" i="1"/>
  <c r="S54" i="1" s="1"/>
  <c r="U135" i="1"/>
  <c r="S135" i="1" s="1"/>
  <c r="U153" i="1"/>
  <c r="S153" i="1" s="1"/>
  <c r="W76" i="1"/>
  <c r="U59" i="1"/>
  <c r="S59" i="1" s="1"/>
  <c r="U188" i="1"/>
  <c r="S188" i="1" s="1"/>
  <c r="AI149" i="1"/>
  <c r="W151" i="1"/>
  <c r="AI99" i="1"/>
  <c r="W188" i="1"/>
  <c r="W211" i="1"/>
  <c r="W24" i="1"/>
  <c r="U151" i="1"/>
  <c r="S151" i="1" s="1"/>
  <c r="U75" i="1"/>
  <c r="S75" i="1" s="1"/>
  <c r="U130" i="1"/>
  <c r="S130" i="1" s="1"/>
  <c r="AI61" i="1"/>
  <c r="W47" i="1"/>
  <c r="U47" i="1"/>
  <c r="S47" i="1" s="1"/>
  <c r="U88" i="1"/>
  <c r="S88" i="1" s="1"/>
  <c r="U129" i="1"/>
  <c r="S129" i="1" s="1"/>
  <c r="W143" i="1"/>
  <c r="W209" i="1"/>
  <c r="AI190" i="1"/>
  <c r="U171" i="1"/>
  <c r="S171" i="1" s="1"/>
  <c r="U112" i="1"/>
  <c r="S112" i="1" s="1"/>
  <c r="U139" i="1"/>
  <c r="S139" i="1" s="1"/>
  <c r="W194" i="1"/>
  <c r="W236" i="1"/>
  <c r="W34" i="1"/>
  <c r="W119" i="1"/>
  <c r="U127" i="1"/>
  <c r="S127" i="1" s="1"/>
  <c r="W86" i="1"/>
  <c r="AI15" i="1"/>
  <c r="AI119" i="1"/>
  <c r="U226" i="1"/>
  <c r="S226" i="1" s="1"/>
  <c r="W65" i="1"/>
  <c r="W77" i="1"/>
  <c r="W176" i="1"/>
  <c r="W170" i="1"/>
  <c r="W28" i="1"/>
  <c r="U39" i="1"/>
  <c r="S39" i="1" s="1"/>
  <c r="W146" i="1"/>
  <c r="U102" i="1"/>
  <c r="S102" i="1" s="1"/>
  <c r="AI102" i="1"/>
  <c r="U40" i="1"/>
  <c r="S40" i="1" s="1"/>
  <c r="U119" i="1"/>
  <c r="S119" i="1" s="1"/>
  <c r="W219" i="1"/>
  <c r="U187" i="1"/>
  <c r="S187" i="1" s="1"/>
  <c r="W62" i="1"/>
  <c r="W82" i="1"/>
  <c r="AI147" i="1"/>
  <c r="U15" i="1"/>
  <c r="S15" i="1" s="1"/>
  <c r="U21" i="1"/>
  <c r="S21" i="1" s="1"/>
  <c r="U48" i="1"/>
  <c r="S48" i="1" s="1"/>
  <c r="AI79" i="1"/>
  <c r="AI73" i="1"/>
  <c r="W136" i="1"/>
  <c r="U209" i="1"/>
  <c r="S209" i="1" s="1"/>
  <c r="W43" i="1"/>
  <c r="W92" i="1"/>
  <c r="U103" i="1"/>
  <c r="S103" i="1" s="1"/>
  <c r="U101" i="1"/>
  <c r="S101" i="1" s="1"/>
  <c r="U74" i="1"/>
  <c r="S74" i="1" s="1"/>
  <c r="W61" i="1"/>
  <c r="W88" i="1"/>
  <c r="U36" i="1"/>
  <c r="S36" i="1" s="1"/>
  <c r="W149" i="1"/>
  <c r="W102" i="1"/>
  <c r="AI204" i="1"/>
  <c r="U204" i="1"/>
  <c r="S204" i="1" s="1"/>
  <c r="W204" i="1"/>
  <c r="W95" i="1"/>
  <c r="AI95" i="1"/>
  <c r="AI93" i="1"/>
  <c r="U93" i="1"/>
  <c r="S93" i="1" s="1"/>
  <c r="U223" i="1"/>
  <c r="S223" i="1" s="1"/>
  <c r="U159" i="1"/>
  <c r="S159" i="1" s="1"/>
  <c r="AI159" i="1"/>
  <c r="U155" i="1"/>
  <c r="S155" i="1" s="1"/>
  <c r="W155" i="1"/>
  <c r="AI155" i="1"/>
  <c r="U31" i="1"/>
  <c r="S31" i="1" s="1"/>
  <c r="AI161" i="1"/>
  <c r="AI43" i="1"/>
  <c r="U43" i="1"/>
  <c r="S43" i="1" s="1"/>
  <c r="W73" i="1"/>
  <c r="AI232" i="1"/>
  <c r="U232" i="1"/>
  <c r="S232" i="1" s="1"/>
  <c r="U183" i="1"/>
  <c r="S183" i="1" s="1"/>
  <c r="AI183" i="1"/>
  <c r="AI134" i="1"/>
  <c r="U134" i="1"/>
  <c r="S134" i="1" s="1"/>
  <c r="U182" i="1"/>
  <c r="S182" i="1" s="1"/>
  <c r="AI182" i="1"/>
  <c r="W182" i="1"/>
  <c r="AI100" i="1"/>
  <c r="U100" i="1"/>
  <c r="S100" i="1" s="1"/>
  <c r="W21" i="1"/>
  <c r="W183" i="1"/>
  <c r="W27" i="1"/>
  <c r="W56" i="1"/>
  <c r="W225" i="1"/>
  <c r="U231" i="1"/>
  <c r="S231" i="1" s="1"/>
  <c r="AI187" i="1"/>
  <c r="W30" i="1"/>
  <c r="W123" i="1"/>
  <c r="U50" i="1"/>
  <c r="S50" i="1" s="1"/>
  <c r="W110" i="1"/>
  <c r="U44" i="1"/>
  <c r="S44" i="1" s="1"/>
  <c r="W232" i="1"/>
  <c r="W63" i="1"/>
  <c r="W79" i="1"/>
  <c r="W78" i="1"/>
  <c r="W134" i="1"/>
  <c r="W207" i="1"/>
  <c r="U205" i="1"/>
  <c r="S205" i="1" s="1"/>
  <c r="W101" i="1"/>
  <c r="W55" i="1"/>
  <c r="W111" i="1"/>
  <c r="W74" i="1"/>
  <c r="W106" i="1"/>
  <c r="U111" i="1"/>
  <c r="S111" i="1" s="1"/>
  <c r="U179" i="1"/>
  <c r="S179" i="1" s="1"/>
  <c r="U30" i="1"/>
  <c r="S30" i="1" s="1"/>
  <c r="W196" i="1"/>
  <c r="U199" i="1"/>
  <c r="S199" i="1" s="1"/>
  <c r="W100" i="1"/>
  <c r="W180" i="1"/>
  <c r="W223" i="1"/>
  <c r="U196" i="1"/>
  <c r="S196" i="1" s="1"/>
  <c r="U104" i="1"/>
  <c r="S104" i="1" s="1"/>
  <c r="U78" i="1"/>
  <c r="S78" i="1" s="1"/>
  <c r="U147" i="1"/>
  <c r="S147" i="1" s="1"/>
  <c r="AI142" i="1"/>
  <c r="U142" i="1"/>
  <c r="S142" i="1" s="1"/>
  <c r="AI150" i="1"/>
  <c r="U150" i="1"/>
  <c r="S150" i="1" s="1"/>
  <c r="W150" i="1"/>
  <c r="AI146" i="1"/>
  <c r="U146" i="1"/>
  <c r="S146" i="1" s="1"/>
  <c r="AI154" i="1"/>
  <c r="U154" i="1"/>
  <c r="S154" i="1" s="1"/>
  <c r="W154" i="1"/>
  <c r="AI140" i="1"/>
  <c r="U140" i="1"/>
  <c r="S140" i="1" s="1"/>
  <c r="W140" i="1"/>
  <c r="U228" i="1"/>
  <c r="S228" i="1" s="1"/>
  <c r="W66" i="1"/>
  <c r="W46" i="1"/>
  <c r="W228" i="1"/>
  <c r="W167" i="1"/>
  <c r="U32" i="1"/>
  <c r="S32" i="1" s="1"/>
  <c r="W60" i="1"/>
  <c r="W68" i="1"/>
  <c r="U123" i="1"/>
  <c r="S123" i="1" s="1"/>
  <c r="AI171" i="1"/>
  <c r="W128" i="1"/>
  <c r="U210" i="1"/>
  <c r="S210" i="1" s="1"/>
  <c r="U138" i="1"/>
  <c r="S138" i="1" s="1"/>
  <c r="U176" i="1"/>
  <c r="S176" i="1" s="1"/>
  <c r="W181" i="1"/>
  <c r="U66" i="1"/>
  <c r="S66" i="1" s="1"/>
  <c r="W70" i="1"/>
  <c r="W93" i="1"/>
  <c r="W16" i="1"/>
  <c r="W227" i="1"/>
  <c r="U70" i="1"/>
  <c r="S70" i="1" s="1"/>
  <c r="W114" i="1"/>
  <c r="W129" i="1"/>
  <c r="U163" i="1"/>
  <c r="S163" i="1" s="1"/>
  <c r="W174" i="1"/>
  <c r="W96" i="1"/>
  <c r="U120" i="1"/>
  <c r="S120" i="1" s="1"/>
  <c r="W240" i="1"/>
  <c r="W215" i="1"/>
  <c r="U55" i="1"/>
  <c r="S55" i="1" s="1"/>
  <c r="T13" i="1"/>
  <c r="X13" i="1"/>
  <c r="X14" i="1"/>
  <c r="AI167" i="1"/>
  <c r="U38" i="1"/>
  <c r="S38" i="1" s="1"/>
  <c r="AI175" i="1"/>
  <c r="AI209" i="1"/>
  <c r="U212" i="1"/>
  <c r="S212" i="1" s="1"/>
  <c r="U240" i="1"/>
  <c r="S240" i="1" s="1"/>
  <c r="W40" i="1"/>
  <c r="W58" i="1"/>
  <c r="W67" i="1"/>
  <c r="U62" i="1"/>
  <c r="S62" i="1" s="1"/>
  <c r="W135" i="1"/>
  <c r="W206" i="1"/>
  <c r="U190" i="1"/>
  <c r="S190" i="1" s="1"/>
  <c r="W159" i="1"/>
  <c r="W175" i="1"/>
  <c r="U202" i="1"/>
  <c r="S202" i="1" s="1"/>
  <c r="U211" i="1"/>
  <c r="S211" i="1" s="1"/>
  <c r="W112" i="1"/>
  <c r="U234" i="1"/>
  <c r="S234" i="1" s="1"/>
  <c r="AI234" i="1"/>
  <c r="W38" i="1"/>
  <c r="AI181" i="1"/>
  <c r="W212" i="1"/>
  <c r="W234" i="1"/>
  <c r="W213" i="1"/>
  <c r="W104" i="1"/>
  <c r="W165" i="1"/>
  <c r="W189" i="1"/>
  <c r="AI189" i="1"/>
  <c r="AI225" i="1"/>
  <c r="W48" i="1"/>
  <c r="U58" i="1"/>
  <c r="S58" i="1" s="1"/>
  <c r="AI58" i="1"/>
  <c r="U108" i="1"/>
  <c r="S108" i="1" s="1"/>
  <c r="AI108" i="1"/>
  <c r="W130" i="1"/>
  <c r="W187" i="1"/>
  <c r="W126" i="1"/>
  <c r="W131" i="1"/>
  <c r="U82" i="1"/>
  <c r="S82" i="1" s="1"/>
  <c r="AI82" i="1"/>
  <c r="U178" i="1"/>
  <c r="S178" i="1" s="1"/>
  <c r="AI178" i="1"/>
  <c r="U184" i="1"/>
  <c r="S184" i="1" s="1"/>
  <c r="AI184" i="1"/>
  <c r="U200" i="1"/>
  <c r="S200" i="1" s="1"/>
  <c r="W235" i="1"/>
  <c r="AA13" i="1"/>
  <c r="W108" i="1"/>
  <c r="W44" i="1"/>
  <c r="W171" i="1"/>
  <c r="U236" i="1"/>
  <c r="S236" i="1" s="1"/>
  <c r="AI236" i="1"/>
  <c r="U106" i="1"/>
  <c r="S106" i="1" s="1"/>
  <c r="AI106" i="1"/>
  <c r="U65" i="1"/>
  <c r="S65" i="1" s="1"/>
  <c r="AI65" i="1"/>
  <c r="U114" i="1"/>
  <c r="S114" i="1" s="1"/>
  <c r="AI114" i="1"/>
  <c r="W138" i="1"/>
  <c r="W210" i="1"/>
  <c r="W179" i="1"/>
  <c r="AI221" i="1"/>
  <c r="W214" i="1"/>
  <c r="W32" i="1"/>
  <c r="U16" i="1"/>
  <c r="S16" i="1" s="1"/>
  <c r="AI16" i="1"/>
  <c r="U46" i="1"/>
  <c r="S46" i="1" s="1"/>
  <c r="AI46" i="1"/>
  <c r="W50" i="1"/>
  <c r="U174" i="1"/>
  <c r="S174" i="1" s="1"/>
  <c r="AI174" i="1"/>
  <c r="U186" i="1"/>
  <c r="S186" i="1" s="1"/>
  <c r="AI186" i="1"/>
  <c r="U96" i="1"/>
  <c r="S96" i="1" s="1"/>
  <c r="AI96" i="1"/>
  <c r="W139" i="1"/>
  <c r="W161" i="1"/>
  <c r="U67" i="1"/>
  <c r="S67" i="1" s="1"/>
  <c r="U170" i="1"/>
  <c r="S170" i="1" s="1"/>
  <c r="AI170" i="1"/>
  <c r="W163" i="1"/>
  <c r="U213" i="1"/>
  <c r="S213" i="1" s="1"/>
  <c r="W200" i="1"/>
  <c r="W178" i="1"/>
  <c r="W202" i="1"/>
  <c r="AI33" i="1"/>
  <c r="U33" i="1"/>
  <c r="S33" i="1" s="1"/>
  <c r="W33" i="1"/>
  <c r="AI52" i="1"/>
  <c r="U52" i="1"/>
  <c r="S52" i="1" s="1"/>
  <c r="AI84" i="1"/>
  <c r="U84" i="1"/>
  <c r="S84" i="1" s="1"/>
  <c r="W84" i="1"/>
  <c r="U132" i="1"/>
  <c r="S132" i="1" s="1"/>
  <c r="AI132" i="1"/>
  <c r="U141" i="1"/>
  <c r="S141" i="1" s="1"/>
  <c r="AI141" i="1"/>
  <c r="U217" i="1"/>
  <c r="S217" i="1" s="1"/>
  <c r="AI164" i="1"/>
  <c r="U229" i="1"/>
  <c r="S229" i="1" s="1"/>
  <c r="AI176" i="1"/>
  <c r="AI191" i="1"/>
  <c r="U168" i="1"/>
  <c r="S168" i="1" s="1"/>
  <c r="AI215" i="1"/>
  <c r="U193" i="1"/>
  <c r="S193" i="1" s="1"/>
  <c r="AI223" i="1"/>
  <c r="U201" i="1"/>
  <c r="S201" i="1" s="1"/>
  <c r="AI231" i="1"/>
  <c r="U237" i="1"/>
  <c r="S237" i="1" s="1"/>
  <c r="AI239" i="1"/>
  <c r="U214" i="1"/>
  <c r="S214" i="1" s="1"/>
  <c r="W201" i="1"/>
  <c r="U23" i="1"/>
  <c r="S23" i="1" s="1"/>
  <c r="AI23" i="1"/>
  <c r="AI18" i="1"/>
  <c r="U18" i="1"/>
  <c r="S18" i="1" s="1"/>
  <c r="AI72" i="1"/>
  <c r="U72" i="1"/>
  <c r="S72" i="1" s="1"/>
  <c r="U157" i="1"/>
  <c r="S157" i="1" s="1"/>
  <c r="AI180" i="1"/>
  <c r="W132" i="1"/>
  <c r="W141" i="1"/>
  <c r="W217" i="1"/>
  <c r="AI196" i="1"/>
  <c r="U173" i="1"/>
  <c r="S173" i="1" s="1"/>
  <c r="W193" i="1"/>
  <c r="W237" i="1"/>
  <c r="AI14" i="1"/>
  <c r="U14" i="1"/>
  <c r="S14" i="1" s="1"/>
  <c r="AI37" i="1"/>
  <c r="U37" i="1"/>
  <c r="S37" i="1" s="1"/>
  <c r="W14" i="1"/>
  <c r="W18" i="1"/>
  <c r="AI22" i="1"/>
  <c r="U22" i="1"/>
  <c r="S22" i="1" s="1"/>
  <c r="AI41" i="1"/>
  <c r="U41" i="1"/>
  <c r="S41" i="1" s="1"/>
  <c r="W22" i="1"/>
  <c r="AI64" i="1"/>
  <c r="U64" i="1"/>
  <c r="S64" i="1" s="1"/>
  <c r="AI94" i="1"/>
  <c r="U94" i="1"/>
  <c r="S94" i="1" s="1"/>
  <c r="W72" i="1"/>
  <c r="U19" i="1"/>
  <c r="S19" i="1" s="1"/>
  <c r="AI19" i="1"/>
  <c r="U27" i="1"/>
  <c r="S27" i="1" s="1"/>
  <c r="AI27" i="1"/>
  <c r="AI26" i="1"/>
  <c r="U26" i="1"/>
  <c r="S26" i="1" s="1"/>
  <c r="AI45" i="1"/>
  <c r="U45" i="1"/>
  <c r="S45" i="1" s="1"/>
  <c r="W26" i="1"/>
  <c r="W41" i="1"/>
  <c r="AI81" i="1"/>
  <c r="U81" i="1"/>
  <c r="S81" i="1" s="1"/>
  <c r="U85" i="1"/>
  <c r="S85" i="1" s="1"/>
  <c r="W85" i="1"/>
  <c r="AI85" i="1"/>
  <c r="AI60" i="1"/>
  <c r="U60" i="1"/>
  <c r="S60" i="1" s="1"/>
  <c r="AI76" i="1"/>
  <c r="U76" i="1"/>
  <c r="S76" i="1" s="1"/>
  <c r="W52" i="1"/>
  <c r="W81" i="1"/>
  <c r="U122" i="1"/>
  <c r="S122" i="1" s="1"/>
  <c r="AI122" i="1"/>
  <c r="U128" i="1"/>
  <c r="S128" i="1" s="1"/>
  <c r="AI128" i="1"/>
  <c r="U136" i="1"/>
  <c r="S136" i="1" s="1"/>
  <c r="AI136" i="1"/>
  <c r="U207" i="1"/>
  <c r="S207" i="1" s="1"/>
  <c r="AI160" i="1"/>
  <c r="U221" i="1"/>
  <c r="S221" i="1" s="1"/>
  <c r="AI168" i="1"/>
  <c r="W229" i="1"/>
  <c r="AI200" i="1"/>
  <c r="U177" i="1"/>
  <c r="S177" i="1" s="1"/>
  <c r="U181" i="1"/>
  <c r="S181" i="1" s="1"/>
  <c r="AI207" i="1"/>
  <c r="U185" i="1"/>
  <c r="S185" i="1" s="1"/>
  <c r="AI211" i="1"/>
  <c r="U189" i="1"/>
  <c r="S189" i="1" s="1"/>
  <c r="AI219" i="1"/>
  <c r="U197" i="1"/>
  <c r="S197" i="1" s="1"/>
  <c r="AI227" i="1"/>
  <c r="U233" i="1"/>
  <c r="S233" i="1" s="1"/>
  <c r="AI235" i="1"/>
  <c r="U241" i="1"/>
  <c r="S241" i="1" s="1"/>
  <c r="W173" i="1"/>
  <c r="W233" i="1"/>
  <c r="W241" i="1"/>
  <c r="W23" i="1"/>
  <c r="AI56" i="1"/>
  <c r="U56" i="1"/>
  <c r="S56" i="1" s="1"/>
  <c r="AI68" i="1"/>
  <c r="U68" i="1"/>
  <c r="S68" i="1" s="1"/>
  <c r="AI80" i="1"/>
  <c r="U80" i="1"/>
  <c r="S80" i="1" s="1"/>
  <c r="AI90" i="1"/>
  <c r="U90" i="1"/>
  <c r="S90" i="1" s="1"/>
  <c r="AI89" i="1"/>
  <c r="U89" i="1"/>
  <c r="S89" i="1" s="1"/>
  <c r="W90" i="1"/>
  <c r="U124" i="1"/>
  <c r="S124" i="1" s="1"/>
  <c r="AI124" i="1"/>
  <c r="U225" i="1"/>
  <c r="S225" i="1" s="1"/>
  <c r="AI172" i="1"/>
  <c r="W89" i="1"/>
  <c r="W94" i="1"/>
  <c r="W122" i="1"/>
  <c r="W157" i="1"/>
  <c r="W124" i="1"/>
  <c r="W185" i="1"/>
  <c r="W177" i="1"/>
  <c r="W197" i="1"/>
  <c r="R14" i="3"/>
  <c r="R9" i="3"/>
  <c r="R19" i="3"/>
  <c r="S14" i="3"/>
  <c r="S9" i="3"/>
  <c r="S19" i="3"/>
  <c r="AG13" i="1"/>
  <c r="M37" i="3"/>
  <c r="R37" i="3"/>
  <c r="U37" i="3"/>
  <c r="V37" i="3"/>
  <c r="W37" i="3"/>
  <c r="X37" i="3"/>
  <c r="AC37" i="3" l="1"/>
  <c r="AD37" i="3"/>
  <c r="AE37" i="3"/>
  <c r="Y37" i="3"/>
  <c r="U13" i="1"/>
  <c r="S13" i="1" s="1"/>
  <c r="AI13" i="1"/>
  <c r="W13" i="1"/>
  <c r="S37" i="3"/>
  <c r="AE7" i="3"/>
  <c r="T37" i="3"/>
  <c r="AD7" i="3"/>
  <c r="B58" i="9"/>
  <c r="B59" i="9"/>
  <c r="C59" i="9" s="1"/>
  <c r="B60" i="9"/>
  <c r="C60" i="9" s="1"/>
  <c r="B61" i="9"/>
  <c r="C61" i="9" s="1"/>
  <c r="M23" i="5" l="1"/>
  <c r="M28" i="5" l="1"/>
  <c r="B31" i="9" l="1"/>
  <c r="B32" i="9"/>
  <c r="B33" i="9"/>
  <c r="B34" i="9"/>
  <c r="C34" i="9" s="1"/>
  <c r="B35" i="9"/>
  <c r="B36" i="9"/>
  <c r="B37" i="9"/>
  <c r="B38" i="9"/>
  <c r="C39" i="9" s="1"/>
  <c r="B39" i="9"/>
  <c r="B40" i="9"/>
  <c r="B41" i="9"/>
  <c r="B42" i="9"/>
  <c r="C42" i="9" s="1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C58" i="9" s="1"/>
  <c r="C50" i="9" l="1"/>
  <c r="C32" i="9"/>
  <c r="C57" i="9"/>
  <c r="C41" i="9"/>
  <c r="C55" i="9"/>
  <c r="C47" i="9"/>
  <c r="C49" i="9"/>
  <c r="C56" i="9"/>
  <c r="C44" i="9"/>
  <c r="C40" i="9"/>
  <c r="C52" i="9"/>
  <c r="C48" i="9"/>
  <c r="C54" i="9"/>
  <c r="C53" i="9"/>
  <c r="C46" i="9"/>
  <c r="C45" i="9"/>
  <c r="C38" i="9"/>
  <c r="C37" i="9"/>
  <c r="C33" i="9"/>
  <c r="C51" i="9"/>
  <c r="C43" i="9"/>
  <c r="C36" i="9"/>
  <c r="C35" i="9"/>
  <c r="B3" i="6" l="1"/>
  <c r="I3" i="6" s="1"/>
  <c r="G3" i="6" l="1"/>
  <c r="J3" i="6"/>
  <c r="F3" i="6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N38" i="3" s="1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N40" i="3" s="1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N20" i="3" s="1"/>
  <c r="G59" i="4"/>
  <c r="G60" i="4"/>
  <c r="G61" i="4"/>
  <c r="N21" i="3" s="1"/>
  <c r="G62" i="4"/>
  <c r="G63" i="4"/>
  <c r="G64" i="4"/>
  <c r="G65" i="4"/>
  <c r="G66" i="4"/>
  <c r="G67" i="4"/>
  <c r="G68" i="4"/>
  <c r="N11" i="3" s="1"/>
  <c r="G69" i="4"/>
  <c r="G70" i="4"/>
  <c r="G71" i="4"/>
  <c r="G72" i="4"/>
  <c r="G73" i="4"/>
  <c r="N7" i="3" s="1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N12" i="3" s="1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N33" i="3" s="1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N26" i="3" s="1"/>
  <c r="G117" i="4"/>
  <c r="G118" i="4"/>
  <c r="G119" i="4"/>
  <c r="G120" i="4"/>
  <c r="G121" i="4"/>
  <c r="G122" i="4"/>
  <c r="N13" i="3" s="1"/>
  <c r="G123" i="4"/>
  <c r="G124" i="4"/>
  <c r="G125" i="4"/>
  <c r="N16" i="3" s="1"/>
  <c r="G126" i="4"/>
  <c r="G127" i="4"/>
  <c r="G128" i="4"/>
  <c r="G129" i="4"/>
  <c r="G130" i="4"/>
  <c r="G131" i="4"/>
  <c r="G132" i="4"/>
  <c r="G133" i="4"/>
  <c r="G134" i="4"/>
  <c r="G135" i="4"/>
  <c r="G136" i="4"/>
  <c r="N22" i="3" s="1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N34" i="3" s="1"/>
  <c r="G163" i="4"/>
  <c r="G164" i="4"/>
  <c r="G165" i="4"/>
  <c r="G166" i="4"/>
  <c r="G167" i="4"/>
  <c r="N30" i="3" s="1"/>
  <c r="G168" i="4"/>
  <c r="G169" i="4"/>
  <c r="G170" i="4"/>
  <c r="G171" i="4"/>
  <c r="N27" i="3" s="1"/>
  <c r="G172" i="4"/>
  <c r="G173" i="4"/>
  <c r="G174" i="4"/>
  <c r="N23" i="3" s="1"/>
  <c r="G175" i="4"/>
  <c r="G176" i="4"/>
  <c r="G177" i="4"/>
  <c r="G178" i="4"/>
  <c r="G179" i="4"/>
  <c r="G180" i="4"/>
  <c r="N24" i="3" s="1"/>
  <c r="G181" i="4"/>
  <c r="G182" i="4"/>
  <c r="G183" i="4"/>
  <c r="G184" i="4"/>
  <c r="N39" i="3" s="1"/>
  <c r="G185" i="4"/>
  <c r="N28" i="3" s="1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N29" i="3" s="1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N25" i="3" s="1"/>
  <c r="G228" i="4"/>
  <c r="G229" i="4"/>
  <c r="G230" i="4"/>
  <c r="G231" i="4"/>
  <c r="G232" i="4"/>
  <c r="G233" i="4"/>
  <c r="H3" i="6" s="1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8" i="3" l="1"/>
  <c r="N17" i="3"/>
  <c r="N10" i="3"/>
  <c r="N8" i="3"/>
  <c r="N32" i="3"/>
  <c r="N31" i="3"/>
  <c r="N35" i="3"/>
  <c r="N36" i="3"/>
  <c r="N15" i="3"/>
  <c r="N19" i="3"/>
  <c r="N14" i="3"/>
  <c r="N9" i="3"/>
  <c r="N37" i="3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4" i="6" l="1"/>
  <c r="I4" i="6" s="1"/>
  <c r="B5" i="6" l="1"/>
  <c r="I5" i="6" s="1"/>
  <c r="J4" i="6"/>
  <c r="G4" i="6"/>
  <c r="F4" i="6"/>
  <c r="H4" i="6"/>
  <c r="F5" i="6" l="1"/>
  <c r="H5" i="6"/>
  <c r="J5" i="6"/>
  <c r="G5" i="6"/>
  <c r="B6" i="6"/>
  <c r="I6" i="6" s="1"/>
  <c r="B7" i="6" l="1"/>
  <c r="I7" i="6" s="1"/>
  <c r="F6" i="6"/>
  <c r="G6" i="6"/>
  <c r="J6" i="6"/>
  <c r="H6" i="6"/>
  <c r="G7" i="6" l="1"/>
  <c r="F7" i="6"/>
  <c r="H7" i="6"/>
  <c r="J7" i="6"/>
  <c r="B8" i="6"/>
  <c r="I8" i="6" s="1"/>
  <c r="F8" i="6" l="1"/>
  <c r="J8" i="6"/>
  <c r="G8" i="6"/>
  <c r="H8" i="6"/>
  <c r="B9" i="6"/>
  <c r="I9" i="6" s="1"/>
  <c r="G9" i="6" l="1"/>
  <c r="H9" i="6"/>
  <c r="J9" i="6"/>
  <c r="F9" i="6"/>
  <c r="B10" i="6"/>
  <c r="I10" i="6" s="1"/>
  <c r="B11" i="6" l="1"/>
  <c r="I11" i="6" s="1"/>
  <c r="J10" i="6"/>
  <c r="H10" i="6"/>
  <c r="F10" i="6"/>
  <c r="G10" i="6"/>
  <c r="J11" i="6" l="1"/>
  <c r="G11" i="6"/>
  <c r="F11" i="6"/>
  <c r="H11" i="6"/>
  <c r="B12" i="6"/>
  <c r="I12" i="6" s="1"/>
  <c r="B13" i="6" l="1"/>
  <c r="I13" i="6" s="1"/>
  <c r="G12" i="6"/>
  <c r="J12" i="6"/>
  <c r="F12" i="6"/>
  <c r="H12" i="6"/>
  <c r="F13" i="6" l="1"/>
  <c r="G13" i="6"/>
  <c r="J13" i="6"/>
  <c r="H13" i="6"/>
  <c r="B14" i="6"/>
  <c r="I14" i="6" s="1"/>
  <c r="B15" i="6" l="1"/>
  <c r="I15" i="6" s="1"/>
  <c r="F14" i="6"/>
  <c r="G14" i="6"/>
  <c r="J14" i="6"/>
  <c r="H14" i="6"/>
  <c r="G15" i="6" l="1"/>
  <c r="H15" i="6"/>
  <c r="J15" i="6"/>
  <c r="F15" i="6"/>
  <c r="B16" i="6"/>
  <c r="I16" i="6" s="1"/>
  <c r="B17" i="6" l="1"/>
  <c r="I17" i="6" s="1"/>
  <c r="G16" i="6"/>
  <c r="H16" i="6"/>
  <c r="J16" i="6"/>
  <c r="F16" i="6"/>
  <c r="F17" i="6" l="1"/>
  <c r="G17" i="6"/>
  <c r="H17" i="6"/>
  <c r="J17" i="6"/>
  <c r="B18" i="6"/>
  <c r="I18" i="6" s="1"/>
  <c r="G18" i="6" l="1"/>
  <c r="F18" i="6"/>
  <c r="H18" i="6"/>
  <c r="J18" i="6"/>
  <c r="B19" i="6"/>
  <c r="I19" i="6" s="1"/>
  <c r="B20" i="6" l="1"/>
  <c r="I20" i="6" s="1"/>
  <c r="J19" i="6"/>
  <c r="G19" i="6"/>
  <c r="F19" i="6"/>
  <c r="H19" i="6"/>
  <c r="B21" i="6" l="1"/>
  <c r="I21" i="6" s="1"/>
  <c r="J20" i="6"/>
  <c r="G20" i="6"/>
  <c r="F20" i="6"/>
  <c r="H20" i="6"/>
  <c r="H21" i="6" l="1"/>
  <c r="F21" i="6"/>
  <c r="G21" i="6"/>
  <c r="J21" i="6"/>
  <c r="B22" i="6"/>
  <c r="I22" i="6" s="1"/>
  <c r="B23" i="6" l="1"/>
  <c r="I23" i="6" s="1"/>
  <c r="F22" i="6"/>
  <c r="G22" i="6"/>
  <c r="J22" i="6"/>
  <c r="H22" i="6"/>
  <c r="B24" i="6" l="1"/>
  <c r="I24" i="6" s="1"/>
  <c r="J23" i="6"/>
  <c r="F23" i="6"/>
  <c r="G23" i="6"/>
  <c r="H23" i="6"/>
  <c r="F24" i="6" l="1"/>
  <c r="J24" i="6"/>
  <c r="G24" i="6"/>
  <c r="H24" i="6"/>
  <c r="B25" i="6"/>
  <c r="I25" i="6" s="1"/>
  <c r="H25" i="6" l="1"/>
  <c r="J25" i="6"/>
  <c r="G25" i="6"/>
  <c r="F25" i="6"/>
  <c r="B26" i="6"/>
  <c r="I26" i="6" s="1"/>
  <c r="B27" i="6" l="1"/>
  <c r="I27" i="6" s="1"/>
  <c r="J26" i="6"/>
  <c r="H26" i="6"/>
  <c r="F26" i="6"/>
  <c r="G26" i="6"/>
  <c r="J27" i="6" l="1"/>
  <c r="G27" i="6"/>
  <c r="F27" i="6"/>
  <c r="H27" i="6"/>
  <c r="B28" i="6"/>
  <c r="I28" i="6" s="1"/>
  <c r="G28" i="6" l="1"/>
  <c r="H28" i="6"/>
  <c r="J28" i="6"/>
  <c r="F28" i="6"/>
  <c r="B29" i="6"/>
  <c r="I29" i="6" s="1"/>
  <c r="G29" i="6" l="1"/>
  <c r="F29" i="6"/>
  <c r="H29" i="6"/>
  <c r="J29" i="6"/>
  <c r="B30" i="6"/>
  <c r="I30" i="6" s="1"/>
  <c r="B31" i="6" l="1"/>
  <c r="I31" i="6" s="1"/>
  <c r="J30" i="6"/>
  <c r="F30" i="6"/>
  <c r="H30" i="6"/>
  <c r="G30" i="6"/>
  <c r="B32" i="6" l="1"/>
  <c r="I32" i="6" s="1"/>
  <c r="J31" i="6"/>
  <c r="F31" i="6"/>
  <c r="G31" i="6"/>
  <c r="H31" i="6"/>
  <c r="H32" i="6" l="1"/>
  <c r="G32" i="6"/>
  <c r="F32" i="6"/>
  <c r="J32" i="6"/>
  <c r="B33" i="6"/>
  <c r="I33" i="6" s="1"/>
  <c r="G33" i="6" l="1"/>
  <c r="H33" i="6"/>
  <c r="J33" i="6"/>
  <c r="F33" i="6"/>
  <c r="B34" i="6"/>
  <c r="I34" i="6" s="1"/>
  <c r="B35" i="6" l="1"/>
  <c r="I35" i="6" s="1"/>
  <c r="J34" i="6"/>
  <c r="F34" i="6"/>
  <c r="H34" i="6"/>
  <c r="G34" i="6"/>
  <c r="B36" i="6" l="1"/>
  <c r="I36" i="6" s="1"/>
  <c r="J35" i="6"/>
  <c r="F35" i="6"/>
  <c r="G35" i="6"/>
  <c r="H35" i="6"/>
  <c r="B37" i="6" l="1"/>
  <c r="I37" i="6" s="1"/>
  <c r="J36" i="6"/>
  <c r="F36" i="6"/>
  <c r="G36" i="6"/>
  <c r="H36" i="6"/>
  <c r="J37" i="6" l="1"/>
  <c r="F37" i="6"/>
  <c r="H37" i="6"/>
  <c r="G37" i="6"/>
  <c r="B38" i="6"/>
  <c r="I38" i="6" s="1"/>
  <c r="F38" i="6" l="1"/>
  <c r="J38" i="6"/>
  <c r="H38" i="6"/>
  <c r="G38" i="6"/>
  <c r="B39" i="6"/>
  <c r="I39" i="6" s="1"/>
  <c r="J39" i="6" l="1"/>
  <c r="G39" i="6"/>
  <c r="F39" i="6"/>
  <c r="H39" i="6"/>
  <c r="B40" i="6"/>
  <c r="I40" i="6" s="1"/>
  <c r="B41" i="6" l="1"/>
  <c r="I41" i="6" s="1"/>
  <c r="F40" i="6"/>
  <c r="G40" i="6"/>
  <c r="H40" i="6"/>
  <c r="J40" i="6"/>
  <c r="F41" i="6" l="1"/>
  <c r="G41" i="6"/>
  <c r="H41" i="6"/>
  <c r="J41" i="6"/>
  <c r="B42" i="6"/>
  <c r="I42" i="6" s="1"/>
  <c r="B43" i="6" l="1"/>
  <c r="I43" i="6" s="1"/>
  <c r="J42" i="6"/>
  <c r="F42" i="6"/>
  <c r="G42" i="6"/>
  <c r="H42" i="6"/>
  <c r="F43" i="6" l="1"/>
  <c r="H43" i="6"/>
  <c r="G43" i="6"/>
  <c r="J43" i="6"/>
  <c r="B44" i="6"/>
  <c r="I44" i="6" s="1"/>
  <c r="B45" i="6" l="1"/>
  <c r="I45" i="6" s="1"/>
  <c r="H44" i="6"/>
  <c r="G44" i="6"/>
  <c r="F44" i="6"/>
  <c r="J44" i="6"/>
  <c r="B46" i="6" l="1"/>
  <c r="I46" i="6" s="1"/>
  <c r="J45" i="6"/>
  <c r="H45" i="6"/>
  <c r="F45" i="6"/>
  <c r="G45" i="6"/>
  <c r="J46" i="6" l="1"/>
  <c r="H46" i="6"/>
  <c r="F46" i="6"/>
  <c r="G46" i="6"/>
  <c r="B47" i="6"/>
  <c r="I47" i="6" s="1"/>
  <c r="J47" i="6" l="1"/>
  <c r="F47" i="6"/>
  <c r="H47" i="6"/>
  <c r="G47" i="6"/>
  <c r="B48" i="6"/>
  <c r="I48" i="6" s="1"/>
  <c r="B49" i="6" l="1"/>
  <c r="I49" i="6" s="1"/>
  <c r="F48" i="6"/>
  <c r="J48" i="6"/>
  <c r="G48" i="6"/>
  <c r="H48" i="6"/>
  <c r="B50" i="6" l="1"/>
  <c r="I50" i="6" s="1"/>
  <c r="F49" i="6"/>
  <c r="G49" i="6"/>
  <c r="H49" i="6"/>
  <c r="J49" i="6"/>
  <c r="B51" i="6" l="1"/>
  <c r="I51" i="6" s="1"/>
  <c r="J50" i="6"/>
  <c r="H50" i="6"/>
  <c r="G50" i="6"/>
  <c r="F50" i="6"/>
  <c r="B52" i="6" l="1"/>
  <c r="I52" i="6" s="1"/>
  <c r="H51" i="6"/>
  <c r="J51" i="6"/>
  <c r="F51" i="6"/>
  <c r="G51" i="6"/>
  <c r="G52" i="6" l="1"/>
  <c r="H52" i="6"/>
  <c r="J52" i="6"/>
  <c r="F52" i="6"/>
  <c r="B53" i="6"/>
  <c r="I53" i="6" s="1"/>
  <c r="B54" i="6" l="1"/>
  <c r="I54" i="6" s="1"/>
  <c r="G53" i="6"/>
  <c r="J53" i="6"/>
  <c r="H53" i="6"/>
  <c r="F53" i="6"/>
  <c r="F54" i="6" l="1"/>
  <c r="H54" i="6"/>
  <c r="J54" i="6"/>
  <c r="G54" i="6"/>
  <c r="B55" i="6"/>
  <c r="I55" i="6" s="1"/>
  <c r="H55" i="6" l="1"/>
  <c r="F55" i="6"/>
  <c r="G55" i="6"/>
  <c r="J55" i="6"/>
  <c r="B56" i="6"/>
  <c r="I56" i="6" s="1"/>
  <c r="H56" i="6" l="1"/>
  <c r="G56" i="6"/>
  <c r="F56" i="6"/>
  <c r="J56" i="6"/>
  <c r="B57" i="6"/>
  <c r="I57" i="6" s="1"/>
  <c r="H57" i="6" l="1"/>
  <c r="J57" i="6"/>
  <c r="G57" i="6"/>
  <c r="F57" i="6"/>
  <c r="B58" i="6"/>
  <c r="I58" i="6" s="1"/>
  <c r="J58" i="6" l="1"/>
  <c r="G58" i="6"/>
  <c r="F58" i="6"/>
  <c r="H58" i="6"/>
  <c r="B59" i="6"/>
  <c r="I59" i="6" s="1"/>
  <c r="J59" i="6" l="1"/>
  <c r="F59" i="6"/>
  <c r="H59" i="6"/>
  <c r="G59" i="6"/>
  <c r="B60" i="6"/>
  <c r="I60" i="6" s="1"/>
  <c r="G60" i="6" l="1"/>
  <c r="H60" i="6"/>
  <c r="F60" i="6"/>
  <c r="J60" i="6"/>
  <c r="B61" i="6"/>
  <c r="I61" i="6" s="1"/>
  <c r="B62" i="6" l="1"/>
  <c r="I62" i="6" s="1"/>
  <c r="J61" i="6"/>
  <c r="G61" i="6"/>
  <c r="H61" i="6"/>
  <c r="F61" i="6"/>
  <c r="J62" i="6" l="1"/>
  <c r="F62" i="6"/>
  <c r="H62" i="6"/>
  <c r="G62" i="6"/>
  <c r="B63" i="6"/>
  <c r="I63" i="6" s="1"/>
  <c r="B64" i="6" l="1"/>
  <c r="I64" i="6" s="1"/>
  <c r="J63" i="6"/>
  <c r="G63" i="6"/>
  <c r="H63" i="6"/>
  <c r="F63" i="6"/>
  <c r="B65" i="6" l="1"/>
  <c r="I65" i="6" s="1"/>
  <c r="F64" i="6"/>
  <c r="H64" i="6"/>
  <c r="G64" i="6"/>
  <c r="J64" i="6"/>
  <c r="B66" i="6" l="1"/>
  <c r="I66" i="6" s="1"/>
  <c r="J65" i="6"/>
  <c r="F65" i="6"/>
  <c r="G65" i="6"/>
  <c r="H65" i="6"/>
  <c r="B67" i="6" l="1"/>
  <c r="I67" i="6" s="1"/>
  <c r="J66" i="6"/>
  <c r="H66" i="6"/>
  <c r="G66" i="6"/>
  <c r="F66" i="6"/>
  <c r="G67" i="6" l="1"/>
  <c r="H67" i="6"/>
  <c r="J67" i="6"/>
  <c r="F67" i="6"/>
  <c r="B68" i="6"/>
  <c r="I68" i="6" s="1"/>
  <c r="B69" i="6" l="1"/>
  <c r="I69" i="6" s="1"/>
  <c r="J68" i="6"/>
  <c r="F68" i="6"/>
  <c r="G68" i="6"/>
  <c r="H68" i="6"/>
  <c r="F69" i="6" l="1"/>
  <c r="G69" i="6"/>
  <c r="H69" i="6"/>
  <c r="J69" i="6"/>
  <c r="B70" i="6"/>
  <c r="I70" i="6" s="1"/>
  <c r="F70" i="6" l="1"/>
  <c r="H70" i="6"/>
  <c r="G70" i="6"/>
  <c r="J70" i="6"/>
  <c r="B71" i="6"/>
  <c r="I71" i="6" s="1"/>
  <c r="J71" i="6" l="1"/>
  <c r="H71" i="6"/>
  <c r="F71" i="6"/>
  <c r="G71" i="6"/>
  <c r="B72" i="6"/>
  <c r="I72" i="6" s="1"/>
  <c r="F72" i="6" l="1"/>
  <c r="H72" i="6"/>
  <c r="G72" i="6"/>
  <c r="J72" i="6"/>
  <c r="B73" i="6"/>
  <c r="I73" i="6" s="1"/>
  <c r="F73" i="6" l="1"/>
  <c r="H73" i="6"/>
  <c r="G73" i="6"/>
  <c r="J73" i="6"/>
  <c r="B74" i="6"/>
  <c r="I74" i="6" s="1"/>
  <c r="J74" i="6" l="1"/>
  <c r="F74" i="6"/>
  <c r="G74" i="6"/>
  <c r="H74" i="6"/>
  <c r="B75" i="6"/>
  <c r="I75" i="6" s="1"/>
  <c r="G75" i="6" l="1"/>
  <c r="H75" i="6"/>
  <c r="J75" i="6"/>
  <c r="F75" i="6"/>
  <c r="B76" i="6"/>
  <c r="I76" i="6" s="1"/>
  <c r="B77" i="6" l="1"/>
  <c r="I77" i="6" s="1"/>
  <c r="H76" i="6"/>
  <c r="G76" i="6"/>
  <c r="J76" i="6"/>
  <c r="F76" i="6"/>
  <c r="B78" i="6" l="1"/>
  <c r="I78" i="6" s="1"/>
  <c r="J77" i="6"/>
  <c r="G77" i="6"/>
  <c r="H77" i="6"/>
  <c r="F77" i="6"/>
  <c r="H78" i="6" l="1"/>
  <c r="F78" i="6"/>
  <c r="G78" i="6"/>
  <c r="J78" i="6"/>
  <c r="B79" i="6"/>
  <c r="I79" i="6" s="1"/>
  <c r="F79" i="6" l="1"/>
  <c r="H79" i="6"/>
  <c r="J79" i="6"/>
  <c r="G79" i="6"/>
  <c r="B80" i="6"/>
  <c r="I80" i="6" s="1"/>
  <c r="F80" i="6" l="1"/>
  <c r="G80" i="6"/>
  <c r="J80" i="6"/>
  <c r="H80" i="6"/>
  <c r="B81" i="6"/>
  <c r="I81" i="6" s="1"/>
  <c r="B82" i="6" l="1"/>
  <c r="I82" i="6" s="1"/>
  <c r="H81" i="6"/>
  <c r="J81" i="6"/>
  <c r="F81" i="6"/>
  <c r="G81" i="6"/>
  <c r="B83" i="6" l="1"/>
  <c r="I83" i="6" s="1"/>
  <c r="J82" i="6"/>
  <c r="H82" i="6"/>
  <c r="G82" i="6"/>
  <c r="F82" i="6"/>
  <c r="B85" i="6" l="1"/>
  <c r="I85" i="6" s="1"/>
  <c r="B84" i="6"/>
  <c r="I84" i="6" s="1"/>
  <c r="F83" i="6"/>
  <c r="G83" i="6"/>
  <c r="H83" i="6"/>
  <c r="J83" i="6"/>
  <c r="G84" i="6" l="1"/>
  <c r="H84" i="6"/>
  <c r="J84" i="6"/>
  <c r="F84" i="6"/>
  <c r="J85" i="6"/>
  <c r="F85" i="6"/>
  <c r="G85" i="6"/>
  <c r="H85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<sst xmlns="http://schemas.openxmlformats.org/spreadsheetml/2006/main" count="2628" uniqueCount="898">
  <si>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</si>
  <si>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</si>
  <si>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</si>
  <si>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</si>
  <si>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</si>
  <si>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</si>
  <si>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</si>
  <si>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</si>
  <si>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</si>
  <si>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</si>
  <si>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</si>
  <si>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</si>
  <si>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</si>
  <si>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</si>
  <si>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</si>
  <si>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</si>
  <si>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</si>
  <si>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</si>
  <si>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</si>
  <si>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</si>
  <si>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</si>
  <si>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</si>
  <si>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</si>
  <si>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</si>
  <si>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</si>
  <si>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</si>
  <si>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</si>
  <si>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</si>
  <si>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</si>
  <si>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</si>
  <si>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</si>
  <si>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</si>
  <si>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</si>
  <si>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</si>
  <si>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</si>
  <si>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</si>
  <si>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</si>
  <si>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</si>
  <si>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</si>
  <si>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</si>
  <si>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</si>
  <si>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</si>
  <si>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</si>
  <si>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</si>
  <si>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</si>
  <si>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</si>
  <si>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</si>
  <si>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</si>
  <si>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</si>
  <si>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</si>
  <si>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</si>
  <si>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</si>
  <si>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</si>
  <si>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</si>
  <si>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</si>
  <si>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</si>
  <si>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</si>
  <si>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</si>
  <si>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</si>
  <si>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</si>
  <si>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</si>
  <si>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</si>
  <si>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</si>
  <si>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</si>
  <si>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</si>
  <si>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</si>
  <si>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</si>
  <si>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</si>
  <si>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</si>
  <si>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</si>
  <si>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</si>
  <si>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</si>
  <si>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</si>
  <si>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</si>
  <si>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</si>
  <si>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</si>
  <si>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</si>
  <si>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</si>
  <si>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</si>
  <si>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</si>
  <si>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</si>
  <si>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</si>
  <si>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</si>
  <si>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</si>
  <si>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</si>
  <si>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</si>
  <si>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</si>
  <si>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</si>
  <si>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</si>
  <si>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</si>
  <si>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</si>
  <si>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</si>
  <si>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</si>
  <si>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</si>
  <si>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</si>
  <si>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</si>
  <si>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</si>
  <si>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</si>
  <si>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</si>
  <si>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</si>
  <si>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</si>
  <si>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</si>
  <si>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</si>
  <si>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</si>
  <si>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</si>
  <si>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</si>
  <si>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</si>
  <si>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</si>
  <si>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</si>
  <si>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</si>
  <si>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</si>
  <si>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</si>
  <si>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</si>
  <si>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</si>
  <si>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</si>
  <si>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</si>
  <si>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</si>
  <si>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</si>
  <si>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</si>
  <si>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</si>
  <si>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</si>
  <si>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</si>
  <si>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</si>
  <si>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</si>
  <si>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</si>
  <si>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</si>
  <si>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</si>
  <si>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</si>
  <si>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</si>
  <si>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</si>
  <si>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</si>
  <si>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</si>
  <si>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</si>
  <si>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</si>
  <si>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</si>
  <si>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</si>
  <si>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</si>
  <si>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</si>
  <si>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</si>
  <si>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</si>
  <si>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</si>
  <si>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</si>
  <si>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</si>
  <si>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</si>
  <si>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</si>
  <si>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</si>
  <si>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</si>
  <si>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</si>
  <si>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</si>
  <si>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</si>
  <si>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</si>
  <si>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</si>
  <si>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</si>
  <si>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</si>
  <si>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</si>
  <si>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</si>
  <si>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</si>
  <si>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</si>
  <si>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</si>
  <si>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</si>
  <si>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</si>
  <si>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</si>
  <si>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</si>
  <si>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</si>
  <si>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</si>
  <si>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</si>
  <si>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</si>
  <si>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</si>
  <si>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</si>
  <si>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</si>
  <si>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</si>
  <si>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</si>
  <si>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</si>
  <si>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</si>
  <si>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</si>
  <si>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</si>
  <si>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</si>
  <si>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</si>
  <si>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</si>
  <si>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</si>
  <si>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</si>
  <si>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</si>
  <si>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</si>
  <si>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</si>
  <si>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</si>
  <si>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</si>
  <si>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</si>
  <si>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204:447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</si>
  <si>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</si>
  <si>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</si>
  <si>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</si>
  <si>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</si>
  <si>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</si>
  <si>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</si>
  <si>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</si>
  <si>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</si>
  <si>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</si>
  <si>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rtdc.l.rtdc.4040:itc</t>
  </si>
  <si>
    <t>Human Factors</t>
  </si>
  <si>
    <t>rtdc.l.rtdc.4012:itc</t>
  </si>
  <si>
    <t>204:150</t>
  </si>
  <si>
    <t>rtdc.l.rtdc.4022:itc</t>
  </si>
  <si>
    <t>rtdc.l.rtdc.4038:itc</t>
  </si>
  <si>
    <t>rtdc.l.rtdc.4037:itc</t>
  </si>
  <si>
    <t>CLI Grep2 (for slice disagreement)</t>
  </si>
  <si>
    <t>204:455</t>
  </si>
  <si>
    <t>204:145</t>
  </si>
  <si>
    <t>CHANDLER</t>
  </si>
  <si>
    <t>GRADE CROSSING</t>
  </si>
  <si>
    <t>Bulletin (2)</t>
  </si>
  <si>
    <t>JAMES</t>
  </si>
  <si>
    <t>Last + First</t>
  </si>
  <si>
    <t>Employee First Name</t>
  </si>
  <si>
    <t>KELVIN</t>
  </si>
  <si>
    <t>204:147</t>
  </si>
  <si>
    <t>204:139</t>
  </si>
  <si>
    <t>MICHAEL</t>
  </si>
  <si>
    <t>204:232977</t>
  </si>
  <si>
    <t>204:160</t>
  </si>
  <si>
    <t>204:462</t>
  </si>
  <si>
    <t>rtdc.l.rtdc.4003:itc</t>
  </si>
  <si>
    <t>204:233289</t>
  </si>
  <si>
    <t>204:232986</t>
  </si>
  <si>
    <t>NEWELL</t>
  </si>
  <si>
    <t>204:449</t>
  </si>
  <si>
    <t>204:152</t>
  </si>
  <si>
    <t>204:158</t>
  </si>
  <si>
    <t>204:156</t>
  </si>
  <si>
    <t>rtdc.l.rtdc.4030:itc</t>
  </si>
  <si>
    <t>AWS CP Parallel</t>
  </si>
  <si>
    <t>DownloadS3Logs</t>
  </si>
  <si>
    <t>%USERPROFILE%\Documents\GitHub\eaglep3\Utilities\DownloadLogsFromS3.py</t>
  </si>
  <si>
    <t>:.+((SYSTEM_STATE.+slice.+state.+changed )|(ment ac)|(multiple cpu faults)|(system.+state.+changed )|(\[timeout)|(PRM\|1\|D)|(kpr)|(kdp)|(\|lc)|(penalty))</t>
  </si>
  <si>
    <t>204:232983</t>
  </si>
  <si>
    <t>204:233298</t>
  </si>
  <si>
    <t>204:446</t>
  </si>
  <si>
    <t>PERMANENT SPEED RESTRICTION</t>
  </si>
  <si>
    <t>Speed (6)</t>
  </si>
  <si>
    <t>Y</t>
  </si>
  <si>
    <t>204:469</t>
  </si>
  <si>
    <t>rtdc.l.rtdc.4001:itc</t>
  </si>
  <si>
    <t>204:232987</t>
  </si>
  <si>
    <t>204:233301</t>
  </si>
  <si>
    <t>204:233299</t>
  </si>
  <si>
    <t>rtdc.l.rtdc.4020:itc</t>
  </si>
  <si>
    <t>204:233293</t>
  </si>
  <si>
    <t>204:232969</t>
  </si>
  <si>
    <t>204:232984</t>
  </si>
  <si>
    <t>rtdc.l.rtdc.4026:itc</t>
  </si>
  <si>
    <t>204:138</t>
  </si>
  <si>
    <t>204:233304</t>
  </si>
  <si>
    <t>204:163</t>
  </si>
  <si>
    <t>204:154</t>
  </si>
  <si>
    <t>204:233297</t>
  </si>
  <si>
    <t>204:233312</t>
  </si>
  <si>
    <t>204:442</t>
  </si>
  <si>
    <t>204:458</t>
  </si>
  <si>
    <t>204:232991</t>
  </si>
  <si>
    <t>rtdc.l.rtdc.4008:itc</t>
  </si>
  <si>
    <t>HILLS</t>
  </si>
  <si>
    <t>DUSTIN</t>
  </si>
  <si>
    <t>rtdc.l.rtdc.4046:itc</t>
  </si>
  <si>
    <t>rtdc.l.rtdc.4045:itc</t>
  </si>
  <si>
    <t>204:232967</t>
  </si>
  <si>
    <t>rtdc.l.rtdc.4021:itc</t>
  </si>
  <si>
    <t>Uncaught Wi-MAX GREP</t>
  </si>
  <si>
    <t>rtdc.l.rtdc.4028:itc</t>
  </si>
  <si>
    <t>rtdc.l.rtdc.4027:itc</t>
  </si>
  <si>
    <t>DAVID</t>
  </si>
  <si>
    <t>MCREYNOLDS</t>
  </si>
  <si>
    <t>KYLE</t>
  </si>
  <si>
    <t>204:143</t>
  </si>
  <si>
    <t>204:466</t>
  </si>
  <si>
    <t>204:233295</t>
  </si>
  <si>
    <t>204:132</t>
  </si>
  <si>
    <t>204:233302</t>
  </si>
  <si>
    <t>204:232990</t>
  </si>
  <si>
    <t>204:233311</t>
  </si>
  <si>
    <t>rtdc.l.rtdc.4015:itc</t>
  </si>
  <si>
    <t>rtdc.l.rtdc.4016:itc</t>
  </si>
  <si>
    <t>rtdc.l.rtdc.4029:itc</t>
  </si>
  <si>
    <t>204:232982</t>
  </si>
  <si>
    <t>204:232978</t>
  </si>
  <si>
    <t>300:58935</t>
  </si>
  <si>
    <t>204:451</t>
  </si>
  <si>
    <t>204:233308</t>
  </si>
  <si>
    <t>204:457</t>
  </si>
  <si>
    <t>STARKS</t>
  </si>
  <si>
    <t>ANGELINA</t>
  </si>
  <si>
    <t>SWANSON</t>
  </si>
  <si>
    <t>BRYCE</t>
  </si>
  <si>
    <t>CRAYTON</t>
  </si>
  <si>
    <t>QUNTRELL</t>
  </si>
  <si>
    <t>YORK</t>
  </si>
  <si>
    <t>EDGAR</t>
  </si>
  <si>
    <t>STORY</t>
  </si>
  <si>
    <t>SAMANTHA</t>
  </si>
  <si>
    <t>204:460</t>
  </si>
  <si>
    <t>204:233303</t>
  </si>
  <si>
    <t>204:233013</t>
  </si>
  <si>
    <t>204:232996</t>
  </si>
  <si>
    <t>204:467</t>
  </si>
  <si>
    <t>204:165</t>
  </si>
  <si>
    <t>204:232975</t>
  </si>
  <si>
    <t>204:233307</t>
  </si>
  <si>
    <t>204:233315</t>
  </si>
  <si>
    <t>204:232993</t>
  </si>
  <si>
    <t>204:161</t>
  </si>
  <si>
    <t>204:232998</t>
  </si>
  <si>
    <t>204:671</t>
  </si>
  <si>
    <t>204:957</t>
  </si>
  <si>
    <t>rtdc.l.rtdc.4018:itc</t>
  </si>
  <si>
    <t>rtdc.l.rtdc.4039:itc</t>
  </si>
  <si>
    <t>rtdc.l.rtdc.4019:itc</t>
  </si>
  <si>
    <t>rtdc.l.rtdc.4007:itc</t>
  </si>
  <si>
    <t>COOLAHAN</t>
  </si>
  <si>
    <t>JOHN</t>
  </si>
  <si>
    <t>LOZA</t>
  </si>
  <si>
    <t>FIDEL</t>
  </si>
  <si>
    <t>BROWN</t>
  </si>
  <si>
    <t>JACOB</t>
  </si>
  <si>
    <t>clear-night</t>
  </si>
  <si>
    <t>Clear</t>
  </si>
  <si>
    <t>clear-day</t>
  </si>
  <si>
    <t>204:232980</t>
  </si>
  <si>
    <t>204:136</t>
  </si>
  <si>
    <t>204:444</t>
  </si>
  <si>
    <t>204:233288</t>
  </si>
  <si>
    <t>204:232972</t>
  </si>
  <si>
    <t>300:23308</t>
  </si>
  <si>
    <t>204:958</t>
  </si>
  <si>
    <t>300:23302</t>
  </si>
  <si>
    <t>300:58971</t>
  </si>
  <si>
    <t>204:691</t>
  </si>
  <si>
    <t>204:967</t>
  </si>
  <si>
    <t>rtdc.l.rtdc.4004:itc</t>
  </si>
  <si>
    <t>rtdc.l.rtdc.4025:itc</t>
  </si>
  <si>
    <t>STRICKLAND</t>
  </si>
  <si>
    <t>EVAN</t>
  </si>
  <si>
    <t>MOSES</t>
  </si>
  <si>
    <t>BRADLEY</t>
  </si>
  <si>
    <t>LEVERE</t>
  </si>
  <si>
    <t>CRAIG</t>
  </si>
  <si>
    <t>HELVIE</t>
  </si>
  <si>
    <t>ADAM</t>
  </si>
  <si>
    <t>HAITHCOX</t>
  </si>
  <si>
    <t>BRANDNER</t>
  </si>
  <si>
    <t>MELINDA</t>
  </si>
  <si>
    <t>78-18</t>
  </si>
  <si>
    <t>NELSON</t>
  </si>
  <si>
    <t>ARIANE</t>
  </si>
  <si>
    <t>80-18</t>
  </si>
  <si>
    <t>81-18</t>
  </si>
  <si>
    <t>77-18</t>
  </si>
  <si>
    <t>rtdc.l.rtdc.4054:itc</t>
  </si>
  <si>
    <t>85-18</t>
  </si>
  <si>
    <t>COMELLA</t>
  </si>
  <si>
    <t>JUSTIN</t>
  </si>
  <si>
    <t>86-18</t>
  </si>
  <si>
    <t>rtdc.l.rtdc.4053:itc</t>
  </si>
  <si>
    <t>309-18</t>
  </si>
  <si>
    <t>242-18</t>
  </si>
  <si>
    <t>244-18</t>
  </si>
  <si>
    <t>313-18</t>
  </si>
  <si>
    <t>315-18</t>
  </si>
  <si>
    <t>204:141</t>
  </si>
  <si>
    <t>204:754</t>
  </si>
  <si>
    <t>204:176</t>
  </si>
  <si>
    <t>204:464</t>
  </si>
  <si>
    <t>204:232981</t>
  </si>
  <si>
    <t>204:415</t>
  </si>
  <si>
    <t>204:167</t>
  </si>
  <si>
    <t>204:232961</t>
  </si>
  <si>
    <t>204:233284</t>
  </si>
  <si>
    <t>204:482</t>
  </si>
  <si>
    <t>204:233023</t>
  </si>
  <si>
    <t>204:112</t>
  </si>
  <si>
    <t>204:498</t>
  </si>
  <si>
    <t>204:233019</t>
  </si>
  <si>
    <t>204:437</t>
  </si>
  <si>
    <t>204:438</t>
  </si>
  <si>
    <t>204:232985</t>
  </si>
  <si>
    <t>204:233282</t>
  </si>
  <si>
    <t>204:965</t>
  </si>
  <si>
    <t>204:178</t>
  </si>
  <si>
    <t>204:233310</t>
  </si>
  <si>
    <t>204:435</t>
  </si>
  <si>
    <t>204:1272</t>
  </si>
  <si>
    <t>204:712</t>
  </si>
  <si>
    <t>204:1028</t>
  </si>
  <si>
    <t>204:745</t>
  </si>
  <si>
    <t>204:1046</t>
  </si>
  <si>
    <t>204:955</t>
  </si>
  <si>
    <t>300:58651</t>
  </si>
  <si>
    <t>300:58978</t>
  </si>
  <si>
    <t>300:58943</t>
  </si>
  <si>
    <t>204:717</t>
  </si>
  <si>
    <t>204:677</t>
  </si>
  <si>
    <t>204:976</t>
  </si>
  <si>
    <t>204:766</t>
  </si>
  <si>
    <t>204:685</t>
  </si>
  <si>
    <t>300:58623</t>
  </si>
  <si>
    <t>204:960</t>
  </si>
  <si>
    <t>204:979</t>
  </si>
  <si>
    <t>DE.1.0.9.0</t>
  </si>
  <si>
    <t>204:1477</t>
  </si>
  <si>
    <t>300:23362</t>
  </si>
  <si>
    <t>start /low /b %USERPROFILE%\Documents\GitHub\eaglep3\Utilities\DownloadLogsFromS3.py --loco 4019 --day 2017-01-19</t>
  </si>
  <si>
    <t>start /low /b %USERPROFILE%\Documents\GitHub\eaglep3\Utilities\DownloadLogsFromS3.py --loco 4040 --day 2017-01-19</t>
  </si>
  <si>
    <t>Form C</t>
  </si>
  <si>
    <t>Early arrival</t>
  </si>
  <si>
    <t>SYS :2017/01/18 09:58:52.675:ENFORCEMENT:Predictive Enforcement Action:  Target Number: 00001001  Target Speed:   0.0  Current Speed:   1.4</t>
  </si>
  <si>
    <t>SYS :2017/01/18 09:58:52.816:ENFORCEMENT:Predictive Enforcement Action:  Target Number: 00001001  Target Speed:   0.0  Current Speed:   1.4</t>
  </si>
  <si>
    <t>SYS :2017/01/18 09:58:53.243:ENFORCEMENT:Predictive Enforcement Action:  Target Number: 00001001  Target Speed:   0.0  Current Speed:   1.4</t>
  </si>
  <si>
    <t>SYS :2017/01/18 11:15:25.888:ENFORCEMENT:Reactive Enforcement Action:  Target Number: 00006015  Target Speed:   0.0  Current Speed:   8.6</t>
  </si>
  <si>
    <t>SYS :2017/01/18 11:15:26.270:ENFORCEMENT:Reactive Enforcement Action:  Target Number: 00006015  Target Speed:   0.0  Current Speed:   8.5</t>
  </si>
  <si>
    <t>SYS :2017/01/18 11:15:26.441:ENFORCEMENT:Reactive Enforcement Action:  Target Number: 00006015  Target Speed:   0.0  Current Speed:   8.5</t>
  </si>
  <si>
    <t>SYS :2017/01/18 13:52:30.507:ENFORCEMENT:Predictive Enforcement Action:  Target Number: 00001005  Target Speed:   0.0  Current Speed:  14.7</t>
  </si>
  <si>
    <t>SYS :2017/01/18 13:52:30.738:ENFORCEMENT:Predictive Enforcement Action:  Target Number: 00001005  Target Speed:   0.0  Current Speed:  14.7</t>
  </si>
  <si>
    <t>SYS :2017/01/18 13:53:06.738:ENFORCEMENT:Predictive Enforcement Action:  Target Number: 00001005  Target Speed:   0.0  Current Speed:   6.8</t>
  </si>
  <si>
    <t>SYS :2017/01/18 13:53:09.506:ENFORCEMENT:Predictive Enforcement Action:  Target Number: 00001005  Target Speed:   0.0  Current Speed:   7.2</t>
  </si>
  <si>
    <t>SYS :2017/01/18 15:19:28.712:ENFORCEMENT:Predictive Enforcement Action:  Target Number: 00001004  Target Speed:   0.0  Current Speed:   5.5</t>
  </si>
  <si>
    <t>SYS :2017/01/18 15:19:28.747:ENFORCEMENT:Predictive Enforcement Action:  Target Number: 00001005  Target Speed:   0.0  Current Speed:   5.5</t>
  </si>
  <si>
    <t>SYS :2017/01/18 15:34:57.876:ENFORCEMENT:Predictive Enforcement Action:  Target Number: 0001007C  Target Speed:  40.0  Current Speed:  72.0</t>
  </si>
  <si>
    <t>SYS :2017/01/18 15:34:58.083:ENFORCEMENT:Predictive Enforcement Action:  Target Number: 0001007D  Target Speed:  40.0  Current Speed:  72.0</t>
  </si>
  <si>
    <t>SYS :2017/01/18 15:34:58.903:ENFORCEMENT:Predictive Enforcement Action:  Target Number: 0001007B  Target Speed:  40.0  Current Speed:  72.0</t>
  </si>
  <si>
    <t>SYS :2017/01/18 15:36:44.136:ENFORCEMENT:Reactive Enforcement Action:  Target Number: 00006092  Target Speed:  20.0  Current Speed:  26.6</t>
  </si>
  <si>
    <t>SYS :2017/01/18 15:36:44.551:ENFORCEMENT:Reactive Enforcement Action:  Target Number: 0000609F  Target Speed:  20.0  Current Speed:  26.6</t>
  </si>
  <si>
    <t>SYS :2017/01/18 15:36:45.566:ENFORCEMENT:Reactive Enforcement Action:  Target Number: 000060A4  Target Speed:  20.0  Current Speed:  26.6</t>
  </si>
  <si>
    <t>SYS :2017/01/18 16:40:12.999:ENFORCEMENT:Predictive Enforcement Action:  Target Number: 00017048  Target Speed:  47.0  Current Speed:  54.0</t>
  </si>
  <si>
    <t>SYS :2017/01/18 16:40:13.709:ENFORCEMENT:Predictive Enforcement Action:  Target Number: 00017048  Target Speed:  47.0  Current Speed:  54.0</t>
  </si>
  <si>
    <t>SYS :2017/01/18 17:02:18.713:ENFORCEMENT:Predictive Enforcement Action:  Target Number: 000100D4  Target Speed:  55.0  Current Speed:  60.2</t>
  </si>
  <si>
    <t>SYS :2017/01/18 17:02:18.994:ENFORCEMENT:Predictive Enforcement Action:  Target Number: 000100D4  Target Speed:  55.0  Current Speed:  60.2</t>
  </si>
  <si>
    <t>SYS :2017/01/18 17:13:56.683:ENFORCEMENT:Predictive Enforcement Action:  Target Number: 00010071  Target Speed:  20.0  Current Speed:  26.0</t>
  </si>
  <si>
    <t>SYS :2017/01/18 17:13:56.828:ENFORCEMENT:Predictive Enforcement Action:  Target Number: 00010071  Target Speed:  20.0  Current Speed:  26.0</t>
  </si>
  <si>
    <t>SYS :2017/01/18 17:13:57.273:ENFORCEMENT:Predictive Enforcement Action:  Target Number: 00010071  Target Speed:  20.0  Current Speed:  26.0</t>
  </si>
  <si>
    <t>SYS :2017/01/18 18:19:52.883:ENFORCEMENT:Predictive Enforcement Action:  Target Number: 0000100C  Target Speed:   0.0  Current Speed:   4.8</t>
  </si>
  <si>
    <t>SYS :2017/01/18 18:19:53.267:ENFORCEMENT:Predictive Enforcement Action:  Target Number: 0000100C  Target Speed:   0.0  Current Speed:   4.8</t>
  </si>
  <si>
    <t>SYS :2017/01/18 18:19:53.456:ENFORCEMENT:Predictive Enforcement Action:  Target Number: 0000100C  Target Speed:   0.0  Current Speed:   4.8</t>
  </si>
  <si>
    <t>SYS :2017/01/18 18:42:43.694:ENFORCEMENT:Predictive Enforcement Action:  Target Number: 00010091  Target Speed:  40.0  Current Speed:  55.9</t>
  </si>
  <si>
    <t>SYS :2017/01/18 19:59:43.722:ENFORCEMENT:Reactive Enforcement Action:  Target Number: 0001009C  Target Speed:  55.0  Current Speed:  60.6</t>
  </si>
  <si>
    <t>SYS :2017/01/18 21:03:50.214:ENFORCEMENT:Reactive Enforcement Action:  Target Number: 00010094  Target Speed:  60.0  Current Speed:  65.3</t>
  </si>
  <si>
    <t>SYS :2017/01/18 21:03:50.440:ENFORCEMENT:Reactive Enforcement Action:  Target Number: 00010094  Target Speed:  60.0  Current Speed:  65.3</t>
  </si>
  <si>
    <t>SYS :2017/01/18 21:03:51.158:ENFORCEMENT:Reactive Enforcement Action:  Target Number: 00010094  Target Speed:  60.0  Current Speed:  65.3</t>
  </si>
  <si>
    <t>SYS :2017/01/18 21:51:20.275:ENFORCEMENT:Predictive Enforcement Action:  Target Number: 00001012  Target Speed:   0.0  Current Speed:   5.5</t>
  </si>
  <si>
    <t>SYS :2017/01/18 21:51:20.449:ENFORCEMENT:Predictive Enforcement Action:  Target Number: 00001012  Target Speed:   0.0  Current Speed:   5.4</t>
  </si>
  <si>
    <t>SYS :2017/01/18 22:33:29.836:ENFORCEMENT:Predictive Enforcement Action:  Target Number: 00001011  Target Speed:   0.0  Current Speed:   2.2</t>
  </si>
  <si>
    <t>SYS :2017/01/18 22:38:44.814:ENFORCEMENT:Predictive Enforcement Action:  Target Number: 00001010  Target Speed:   0.0  Current Speed:   3.9</t>
  </si>
  <si>
    <t>SYS :2017/01/18 22:38:45.246:ENFORCEMENT:Predictive Enforcement Action:  Target Number: 00001010  Target Speed:   0.0  Current Speed:   3.9</t>
  </si>
  <si>
    <t>SYS :2017/01/18 23:26:51.844:ENFORCEMENT:Predictive Enforcement Action:  Target Number: 00001014  Target Speed:   0.0  Current Speed:   4.4</t>
  </si>
  <si>
    <t>SYS :2017/01/18 23:26:51.959:ENFORCEMENT:Predictive Enforcement Action:  Target Number: 00001014  Target Speed:   0.0  Current Speed:   4.4</t>
  </si>
  <si>
    <t>SYS :2017/01/18 23:26:52.628:ENFORCEMENT:Predictive Enforcement Action:  Target Number: 00001014  Target Speed:   0.0  Current Speed:   4.4</t>
  </si>
  <si>
    <t>SYS :2017/01/19 00:20:12.823:ENFORCEMENT:Predictive Enforcement Action:  Target Number: 00001011  Target Speed:   0.0  Current Speed:   3.2</t>
  </si>
  <si>
    <t>SYS :2017/01/19 00:20:13.244:ENFORCEMENT:Predictive Enforcement Action:  Target Number: 00001011  Target Speed:   0.0  Current Speed:   3.2</t>
  </si>
  <si>
    <t>SYS :2017/01/19 00:51:07.407:ENFORCEMENT:Predictive Enforcement Action:  Target Number: 0000100D  Target Speed:   0.0  Current Speed:   2.6</t>
  </si>
  <si>
    <t>SYS :2017/01/19 00:51:07.545:ENFORCEMENT:Predictive Enforcement Action:  Target Number: 00001017  Target Speed:   0.0  Current Speed:   2.6</t>
  </si>
  <si>
    <t>SYS :2017/01/19 01:06:26.274:ENFORCEMENT:Predictive Enforcement Action:  Target Number: 00001016  Target Speed:   0.0  Current Speed:   4.3</t>
  </si>
  <si>
    <t>SYS :2017/01/19 01:06:26.611:ENFORCEMENT:Predictive Enforcement Action:  Target Number: 00001016  Target Speed:   0.0  Current Speed:   4.3</t>
  </si>
  <si>
    <t>SYS :2017/01/19 01:21:04.823:ENFORCEMENT:Predictive Enforcement Action:  Target Number: 00001011  Target Speed:   0.0  Current Speed:   4.3</t>
  </si>
  <si>
    <t>SYS :2017/01/19 01:21:04.998:ENFORCEMENT:Predictive Enforcement Action:  Target Number: 00001014  Target Speed:   0.0  Current Speed:   4.2</t>
  </si>
  <si>
    <t>SYS :2017/01/19 01:21:05.269:ENFORCEMENT:Predictive Enforcement Action:  Target Number: 00001007  Target Speed:   0.0  Current Speed:   4.2</t>
  </si>
  <si>
    <t>SYS :2017/01/19 01:34:45.581:ENFORCEMENT:Predictive Enforcement Action:  Target Number: 0000101A  Target Speed:   0.0  Current Speed:   3.9</t>
  </si>
  <si>
    <t>SYS :2017/01/19 01:34:45.892:ENFORCEMENT:Predictive Enforcement Action:  Target Number: 0000101A  Target Speed:   0.0  Current Speed:   3.9</t>
  </si>
  <si>
    <t>SYS :2017/01/19 01:34:45.968:ENFORCEMENT:Predictive Enforcement Action:  Target Number: 00001019  Target Speed:   0.0  Current Speed:   3.9</t>
  </si>
  <si>
    <t>SYS :2017/01/19 02:19:01.191:ENFORCEMENT:Predictive Enforcement Action:  Target Number: 00001011  Target Speed:   0.0  Current Speed:   8.5</t>
  </si>
  <si>
    <t>SYS :2017/01/19 02:19:01.196:ENFORCEMENT:Predictive Enforcement Action:  Target Number: 00001011  Target Speed:   0.0  Current Speed:   8.5</t>
  </si>
  <si>
    <t>SYS :2017/01/19 02:35:31.541:ENFORCEMENT:Predictive Enforcement Action:  Target Number: 00001019  Target Speed:   0.0  Current Speed:   5.8</t>
  </si>
  <si>
    <t>SYS :2017/01/19 02:35:33.421:ENFORCEMENT:Predictive Enforcement Action:  Target Number: 0000100F  Target Speed:   0.0  Current Speed:   5.7</t>
  </si>
  <si>
    <t>SYS :2017/01/19 03:06:10.269:ENFORCEMENT:Predictive Enforcement Action:  Target Number: 00001009  Target Speed:   0.0  Current Speed:   4.2</t>
  </si>
  <si>
    <t>SYS :2017/01/19 03:06:10.829:ENFORCEMENT:Predictive Enforcement Action:  Target Number: 00001013  Target Speed:   0.0  Current Speed:   4.2</t>
  </si>
  <si>
    <t>SYS :2017/01/19 05:00:20.003:ENFORCEMENT:Predictive Enforcement Action:  Target Number: 000062C3  Target Speed:   0.0  Current Speed:  11.8</t>
  </si>
  <si>
    <t>SYS :2017/01/19 05:00:20.713:ENFORCEMENT:Predictive Enforcement Action:  Target Number: 000062D8  Target Speed:   0.0  Current Speed:  11.8</t>
  </si>
  <si>
    <t>rtdc.l.rtdc.4041:itc</t>
  </si>
  <si>
    <t>302-19</t>
  </si>
  <si>
    <t>rtdc.l.rtdc.4044:itc</t>
  </si>
  <si>
    <t>101-19</t>
  </si>
  <si>
    <t>102-19</t>
  </si>
  <si>
    <t>901-19</t>
  </si>
  <si>
    <t>113-19</t>
  </si>
  <si>
    <t>116-19</t>
  </si>
  <si>
    <t>129-19</t>
  </si>
  <si>
    <t>118-19</t>
  </si>
  <si>
    <t>rtdc.l.rtdc.4032:itc</t>
  </si>
  <si>
    <t>126-19</t>
  </si>
  <si>
    <t>136-19</t>
  </si>
  <si>
    <t>815-19</t>
  </si>
  <si>
    <t>51-19</t>
  </si>
  <si>
    <t>158-19</t>
  </si>
  <si>
    <t>rtdc.l.rtdc.4042:itc</t>
  </si>
  <si>
    <t>163-19</t>
  </si>
  <si>
    <t>rtdc.l.rtdc.4031:itc</t>
  </si>
  <si>
    <t>167-19</t>
  </si>
  <si>
    <t>168-19</t>
  </si>
  <si>
    <t>904-19</t>
  </si>
  <si>
    <t>827-19</t>
  </si>
  <si>
    <t>828-19</t>
  </si>
  <si>
    <t>831-19</t>
  </si>
  <si>
    <t>196-19</t>
  </si>
  <si>
    <t>74-19</t>
  </si>
  <si>
    <t>832-19</t>
  </si>
  <si>
    <t>200-19</t>
  </si>
  <si>
    <t>836-19</t>
  </si>
  <si>
    <t>220-19</t>
  </si>
  <si>
    <t>224-19</t>
  </si>
  <si>
    <t>CUSHING</t>
  </si>
  <si>
    <t>HARRY</t>
  </si>
  <si>
    <t>304-19</t>
  </si>
  <si>
    <t>ACKERMAN</t>
  </si>
  <si>
    <t>JARED</t>
  </si>
  <si>
    <t>103-19</t>
  </si>
  <si>
    <t>306-19</t>
  </si>
  <si>
    <t>ROBINSON</t>
  </si>
  <si>
    <t>KADDIBA</t>
  </si>
  <si>
    <t>308-19</t>
  </si>
  <si>
    <t>BEAM</t>
  </si>
  <si>
    <t>ROSS</t>
  </si>
  <si>
    <t>105-19</t>
  </si>
  <si>
    <t>310-19</t>
  </si>
  <si>
    <t>107-19</t>
  </si>
  <si>
    <t>104-19</t>
  </si>
  <si>
    <t>109-19</t>
  </si>
  <si>
    <t>rtdc.l.rtdc.4002:itc</t>
  </si>
  <si>
    <t>111-19</t>
  </si>
  <si>
    <t>SHOOK</t>
  </si>
  <si>
    <t>106-19</t>
  </si>
  <si>
    <t>800-19</t>
  </si>
  <si>
    <t>108-19</t>
  </si>
  <si>
    <t>110-19</t>
  </si>
  <si>
    <t>115-19</t>
  </si>
  <si>
    <t>801-19</t>
  </si>
  <si>
    <t>117-19</t>
  </si>
  <si>
    <t>112-19</t>
  </si>
  <si>
    <t>902-19</t>
  </si>
  <si>
    <t>119-19</t>
  </si>
  <si>
    <t>rtdc.l.rtdc.4043:itc</t>
  </si>
  <si>
    <t>114-19</t>
  </si>
  <si>
    <t>802-19</t>
  </si>
  <si>
    <t>121-19</t>
  </si>
  <si>
    <t>803-19</t>
  </si>
  <si>
    <t>123-19</t>
  </si>
  <si>
    <t>805-19</t>
  </si>
  <si>
    <t>804-19</t>
  </si>
  <si>
    <t>125-19</t>
  </si>
  <si>
    <t>120-19</t>
  </si>
  <si>
    <t>127-19</t>
  </si>
  <si>
    <t>122-19</t>
  </si>
  <si>
    <t>806-19</t>
  </si>
  <si>
    <t>124-19</t>
  </si>
  <si>
    <t>807-19</t>
  </si>
  <si>
    <t>131-19</t>
  </si>
  <si>
    <t>809-19</t>
  </si>
  <si>
    <t>808-19</t>
  </si>
  <si>
    <t>133-19</t>
  </si>
  <si>
    <t>128-19</t>
  </si>
  <si>
    <t>135-19</t>
  </si>
  <si>
    <t>811-19</t>
  </si>
  <si>
    <t>137-19</t>
  </si>
  <si>
    <t>810-19</t>
  </si>
  <si>
    <t>130-19</t>
  </si>
  <si>
    <t>132-19</t>
  </si>
  <si>
    <t>139-19</t>
  </si>
  <si>
    <t>903-19</t>
  </si>
  <si>
    <t>134-19</t>
  </si>
  <si>
    <t>812-19</t>
  </si>
  <si>
    <t>141-19</t>
  </si>
  <si>
    <t>143-19</t>
  </si>
  <si>
    <t>138-19</t>
  </si>
  <si>
    <t>140-19</t>
  </si>
  <si>
    <t>813-19</t>
  </si>
  <si>
    <t>145-19</t>
  </si>
  <si>
    <t>147-19</t>
  </si>
  <si>
    <t>142-19</t>
  </si>
  <si>
    <t>814-19</t>
  </si>
  <si>
    <t>149-19</t>
  </si>
  <si>
    <t>151-19</t>
  </si>
  <si>
    <t>144-19</t>
  </si>
  <si>
    <t>146-19</t>
  </si>
  <si>
    <t>153-19</t>
  </si>
  <si>
    <t>148-19</t>
  </si>
  <si>
    <t>155-19</t>
  </si>
  <si>
    <t>150-19</t>
  </si>
  <si>
    <t>816-19</t>
  </si>
  <si>
    <t>157-19</t>
  </si>
  <si>
    <t>152-19</t>
  </si>
  <si>
    <t>154-19</t>
  </si>
  <si>
    <t>50-19</t>
  </si>
  <si>
    <t>159-19</t>
  </si>
  <si>
    <t>DE LA ROSA</t>
  </si>
  <si>
    <t>ALEX</t>
  </si>
  <si>
    <t>161-19</t>
  </si>
  <si>
    <t>KILLION</t>
  </si>
  <si>
    <t>817-19</t>
  </si>
  <si>
    <t>156-19</t>
  </si>
  <si>
    <t>BRUDER</t>
  </si>
  <si>
    <t>RICHARD</t>
  </si>
  <si>
    <t>52-19</t>
  </si>
  <si>
    <t>818-19</t>
  </si>
  <si>
    <t>165-19</t>
  </si>
  <si>
    <t>SMITH</t>
  </si>
  <si>
    <t>160-19</t>
  </si>
  <si>
    <t>162-19</t>
  </si>
  <si>
    <t>53-19</t>
  </si>
  <si>
    <t>169-19</t>
  </si>
  <si>
    <t>819-19</t>
  </si>
  <si>
    <t>164-19</t>
  </si>
  <si>
    <t>171-19</t>
  </si>
  <si>
    <t>166-19</t>
  </si>
  <si>
    <t>820-19</t>
  </si>
  <si>
    <t>173-19</t>
  </si>
  <si>
    <t>175-19</t>
  </si>
  <si>
    <t>821-19</t>
  </si>
  <si>
    <t>170-19</t>
  </si>
  <si>
    <t>177-19</t>
  </si>
  <si>
    <t>172-19</t>
  </si>
  <si>
    <t>179-19</t>
  </si>
  <si>
    <t>174-19</t>
  </si>
  <si>
    <t>822-19</t>
  </si>
  <si>
    <t>181-19</t>
  </si>
  <si>
    <t>176-19</t>
  </si>
  <si>
    <t>183-19</t>
  </si>
  <si>
    <t>178-19</t>
  </si>
  <si>
    <t>823-19</t>
  </si>
  <si>
    <t>185-19</t>
  </si>
  <si>
    <t>180-19</t>
  </si>
  <si>
    <t>187-19</t>
  </si>
  <si>
    <t>182-19</t>
  </si>
  <si>
    <t>824-19</t>
  </si>
  <si>
    <t>189-19</t>
  </si>
  <si>
    <t>191-19</t>
  </si>
  <si>
    <t>184-19</t>
  </si>
  <si>
    <t>186-19</t>
  </si>
  <si>
    <t>193-19</t>
  </si>
  <si>
    <t>825-19</t>
  </si>
  <si>
    <t>188-19</t>
  </si>
  <si>
    <t>195-19</t>
  </si>
  <si>
    <t>190-19</t>
  </si>
  <si>
    <t>826-19</t>
  </si>
  <si>
    <t>197-19</t>
  </si>
  <si>
    <t>192-19</t>
  </si>
  <si>
    <t>199-19</t>
  </si>
  <si>
    <t>194-19</t>
  </si>
  <si>
    <t>201-19</t>
  </si>
  <si>
    <t>829-19</t>
  </si>
  <si>
    <t>203-19</t>
  </si>
  <si>
    <t>205-19</t>
  </si>
  <si>
    <t>198-19</t>
  </si>
  <si>
    <t>830-19</t>
  </si>
  <si>
    <t>207-19</t>
  </si>
  <si>
    <t>202-19</t>
  </si>
  <si>
    <t>833-19</t>
  </si>
  <si>
    <t>209-19</t>
  </si>
  <si>
    <t>204-19</t>
  </si>
  <si>
    <t>211-19</t>
  </si>
  <si>
    <t>206-19</t>
  </si>
  <si>
    <t>834-19</t>
  </si>
  <si>
    <t>213-19</t>
  </si>
  <si>
    <t>208-19</t>
  </si>
  <si>
    <t>76-19</t>
  </si>
  <si>
    <t>MACDONALD</t>
  </si>
  <si>
    <t>THOMAS</t>
  </si>
  <si>
    <t>835-19</t>
  </si>
  <si>
    <t>71-19</t>
  </si>
  <si>
    <t>73-19</t>
  </si>
  <si>
    <t>64-19</t>
  </si>
  <si>
    <t>215-19</t>
  </si>
  <si>
    <t>75-19</t>
  </si>
  <si>
    <t>210-19</t>
  </si>
  <si>
    <t>217-19</t>
  </si>
  <si>
    <t>77-19</t>
  </si>
  <si>
    <t>837-19</t>
  </si>
  <si>
    <t>212-19</t>
  </si>
  <si>
    <t>219-19</t>
  </si>
  <si>
    <t>214-19</t>
  </si>
  <si>
    <t>838-19</t>
  </si>
  <si>
    <t>216-19</t>
  </si>
  <si>
    <t>303-19</t>
  </si>
  <si>
    <t>839-19</t>
  </si>
  <si>
    <t>221-19</t>
  </si>
  <si>
    <t>218-19</t>
  </si>
  <si>
    <t>906-19</t>
  </si>
  <si>
    <t>841-19</t>
  </si>
  <si>
    <t>305-19</t>
  </si>
  <si>
    <t>223-19</t>
  </si>
  <si>
    <t>840-19</t>
  </si>
  <si>
    <t>307-19</t>
  </si>
  <si>
    <t>222-19</t>
  </si>
  <si>
    <t>225-19</t>
  </si>
  <si>
    <t>843-19</t>
  </si>
  <si>
    <t>227-19</t>
  </si>
  <si>
    <t>842-19</t>
  </si>
  <si>
    <t>226-19</t>
  </si>
  <si>
    <t>229-19</t>
  </si>
  <si>
    <t>845-19</t>
  </si>
  <si>
    <t>847-19</t>
  </si>
  <si>
    <t>844-19</t>
  </si>
  <si>
    <t>908-19</t>
  </si>
  <si>
    <t>88-19</t>
  </si>
  <si>
    <t>55-19</t>
  </si>
  <si>
    <t>PERKINS</t>
  </si>
  <si>
    <t>DARREN</t>
  </si>
  <si>
    <t>56-19</t>
  </si>
  <si>
    <t>87-19</t>
  </si>
  <si>
    <t>precipAccumulation</t>
  </si>
  <si>
    <t>precipType</t>
  </si>
  <si>
    <t>partly-cloudy-night</t>
  </si>
  <si>
    <t>Partly Cloudy</t>
  </si>
  <si>
    <t>partly-cloudy-day</t>
  </si>
  <si>
    <t>Mostly Cloudy</t>
  </si>
  <si>
    <t>snow</t>
  </si>
  <si>
    <t>Flurries</t>
  </si>
  <si>
    <t>Light Snow</t>
  </si>
  <si>
    <t>204:779</t>
  </si>
  <si>
    <t>204:197856</t>
  </si>
  <si>
    <t>204:232648</t>
  </si>
  <si>
    <t>204:145959</t>
  </si>
  <si>
    <t>204:739</t>
  </si>
  <si>
    <t>204:233368</t>
  </si>
  <si>
    <t>204:232736</t>
  </si>
  <si>
    <t>204:730</t>
  </si>
  <si>
    <t>204:233328</t>
  </si>
  <si>
    <t>204:232681</t>
  </si>
  <si>
    <t>204:453</t>
  </si>
  <si>
    <t>204:471</t>
  </si>
  <si>
    <t>204:233291</t>
  </si>
  <si>
    <t>204:1162</t>
  </si>
  <si>
    <t>204:1622</t>
  </si>
  <si>
    <t>204:233280</t>
  </si>
  <si>
    <t>204:774</t>
  </si>
  <si>
    <t>204:752</t>
  </si>
  <si>
    <t>204:775</t>
  </si>
  <si>
    <t>204:232994</t>
  </si>
  <si>
    <t>204:502</t>
  </si>
  <si>
    <t>204:232973</t>
  </si>
  <si>
    <t>204:233317</t>
  </si>
  <si>
    <t>204:232989</t>
  </si>
  <si>
    <t>204:427</t>
  </si>
  <si>
    <t>204:233319</t>
  </si>
  <si>
    <t>204:233306</t>
  </si>
  <si>
    <t>204:19118</t>
  </si>
  <si>
    <t>204:1185</t>
  </si>
  <si>
    <t>204:233278</t>
  </si>
  <si>
    <t>204:233008</t>
  </si>
  <si>
    <t>204:232971</t>
  </si>
  <si>
    <t>204:229</t>
  </si>
  <si>
    <t>204:233006</t>
  </si>
  <si>
    <t>204:232988</t>
  </si>
  <si>
    <t>204:542</t>
  </si>
  <si>
    <t>204:233337</t>
  </si>
  <si>
    <t>204:247</t>
  </si>
  <si>
    <t>204:473</t>
  </si>
  <si>
    <t>204:233305</t>
  </si>
  <si>
    <t>204:568</t>
  </si>
  <si>
    <t>204:232965</t>
  </si>
  <si>
    <t>204:233430</t>
  </si>
  <si>
    <t>204:233097</t>
  </si>
  <si>
    <t>204:475</t>
  </si>
  <si>
    <t>204:212</t>
  </si>
  <si>
    <t>204:228530</t>
  </si>
  <si>
    <t>204:233408</t>
  </si>
  <si>
    <t>300:22357</t>
  </si>
  <si>
    <t>204:114</t>
  </si>
  <si>
    <t>204:484</t>
  </si>
  <si>
    <t>300:22166</t>
  </si>
  <si>
    <t>300:31216</t>
  </si>
  <si>
    <t>300:19406</t>
  </si>
  <si>
    <t>300:23483</t>
  </si>
  <si>
    <t>300:22337</t>
  </si>
  <si>
    <t>204:345</t>
  </si>
  <si>
    <t>300:5642</t>
  </si>
  <si>
    <t>300:21755</t>
  </si>
  <si>
    <t>300:24258</t>
  </si>
  <si>
    <t>204:9459</t>
  </si>
  <si>
    <t>204:107628</t>
  </si>
  <si>
    <t>204:9736</t>
  </si>
  <si>
    <t>204:107564</t>
  </si>
  <si>
    <t>204:9947</t>
  </si>
  <si>
    <t>204:107543</t>
  </si>
  <si>
    <t>204:106850</t>
  </si>
  <si>
    <t>204:9636</t>
  </si>
  <si>
    <t>204:107214</t>
  </si>
  <si>
    <t>204:9426</t>
  </si>
  <si>
    <t>204:107538</t>
  </si>
  <si>
    <t>300:23360</t>
  </si>
  <si>
    <t>204:120</t>
  </si>
  <si>
    <t>300:31396</t>
  </si>
  <si>
    <t>204:1165</t>
  </si>
  <si>
    <t>300:30998</t>
  </si>
  <si>
    <t>300:23054</t>
  </si>
  <si>
    <t>204:874</t>
  </si>
  <si>
    <t>300:21788</t>
  </si>
  <si>
    <t>204:1518</t>
  </si>
  <si>
    <t>204:412</t>
  </si>
  <si>
    <t>300:23297</t>
  </si>
  <si>
    <t>300:58625</t>
  </si>
  <si>
    <t>300:58969</t>
  </si>
  <si>
    <t>300:58662</t>
  </si>
  <si>
    <t>300:58653</t>
  </si>
  <si>
    <t>204:1011</t>
  </si>
  <si>
    <t>300:58982</t>
  </si>
  <si>
    <t>300:58664</t>
  </si>
  <si>
    <t>300:58986</t>
  </si>
  <si>
    <t>300:58668</t>
  </si>
  <si>
    <t>204:1021</t>
  </si>
  <si>
    <t>300:58672</t>
  </si>
  <si>
    <t>204:166</t>
  </si>
  <si>
    <t>300:58674</t>
  </si>
  <si>
    <t>204:668</t>
  </si>
  <si>
    <t>300:58657</t>
  </si>
  <si>
    <t>204:673</t>
  </si>
  <si>
    <t>300:58973</t>
  </si>
  <si>
    <t>300:58659</t>
  </si>
  <si>
    <t>204:663</t>
  </si>
  <si>
    <t>300:58961</t>
  </si>
  <si>
    <t>300:58643</t>
  </si>
  <si>
    <t>300:58958</t>
  </si>
  <si>
    <t>300:58645</t>
  </si>
  <si>
    <t>204:692</t>
  </si>
  <si>
    <t>204:978</t>
  </si>
  <si>
    <t>300:58956</t>
  </si>
  <si>
    <t>300:58647</t>
  </si>
  <si>
    <t>204:971</t>
  </si>
  <si>
    <t>300:58642</t>
  </si>
  <si>
    <t>204:932</t>
  </si>
  <si>
    <t>300:58960</t>
  </si>
  <si>
    <t>300:58638</t>
  </si>
  <si>
    <t>300:58641</t>
  </si>
  <si>
    <t>204:678</t>
  </si>
  <si>
    <t>204:1000</t>
  </si>
  <si>
    <t>204:628</t>
  </si>
  <si>
    <t>300:58952</t>
  </si>
  <si>
    <t>300:58632</t>
  </si>
  <si>
    <t>204:148</t>
  </si>
  <si>
    <t>204:908</t>
  </si>
  <si>
    <t>204:694</t>
  </si>
  <si>
    <t>204:981</t>
  </si>
  <si>
    <t>300:5351</t>
  </si>
  <si>
    <t>300:58611</t>
  </si>
  <si>
    <t>204:157</t>
  </si>
  <si>
    <t>300:58630</t>
  </si>
  <si>
    <t>204:164</t>
  </si>
  <si>
    <t>204:9593</t>
  </si>
  <si>
    <t>204:107125</t>
  </si>
  <si>
    <t>204:9656</t>
  </si>
  <si>
    <t>204:107001</t>
  </si>
  <si>
    <t>204:106676</t>
  </si>
  <si>
    <t>204:104802</t>
  </si>
  <si>
    <t>204:106796</t>
  </si>
  <si>
    <t>204:9337</t>
  </si>
  <si>
    <t>204:127866</t>
  </si>
  <si>
    <t>204:9262</t>
  </si>
  <si>
    <t>300:29970</t>
  </si>
  <si>
    <t>300:24203</t>
  </si>
  <si>
    <t>300:23226</t>
  </si>
  <si>
    <t>204:654</t>
  </si>
  <si>
    <t>300:21570</t>
  </si>
  <si>
    <t>300:39347</t>
  </si>
  <si>
    <t>start /low /b %USERPROFILE%\Documents\GitHub\eaglep3\Utilities\DownloadLogsFromS3.py --loco 4044 --day 2017-01-19</t>
  </si>
  <si>
    <t>start /low /b %USERPROFILE%\Documents\GitHub\eaglep3\Utilities\DownloadLogsFromS3.py --loco 4041 --day 2017-01-19</t>
  </si>
  <si>
    <t>start /low /b %USERPROFILE%\Documents\GitHub\eaglep3\Utilities\DownloadLogsFromS3.py --loco 4031 --day 2017-01-19</t>
  </si>
  <si>
    <t>start /low /b %USERPROFILE%\Documents\GitHub\eaglep3\Utilities\DownloadLogsFromS3.py --loco 4011 --day 2017-01-19</t>
  </si>
  <si>
    <t>start /low /b %USERPROFILE%\Documents\GitHub\eaglep3\Utilities\DownloadLogsFromS3.py --loco 4021 --day 1969-12-31</t>
  </si>
  <si>
    <t>start /low /b %USERPROFILE%\Documents\GitHub\eaglep3\Utilities\DownloadLogsFromS3.py --loco 4032 --day 2017-01-19</t>
  </si>
  <si>
    <t>start /low /b %USERPROFILE%\Documents\GitHub\eaglep3\Utilities\DownloadLogsFromS3.py --loco 4041 --day 2017-01-20</t>
  </si>
  <si>
    <t>start /low /b %USERPROFILE%\Documents\GitHub\eaglep3\Utilities\DownloadLogsFromS3.py --loco 4020 --day 2017-01-19</t>
  </si>
  <si>
    <t>start /low /b %USERPROFILE%\Documents\GitHub\eaglep3\Utilities\DownloadLogsFromS3.py --loco 4015 --day 2017-01-19</t>
  </si>
  <si>
    <t>start /low /b %USERPROFILE%\Documents\GitHub\eaglep3\Utilities\DownloadLogsFromS3.py --loco 4032 --day 2017-01-20</t>
  </si>
  <si>
    <t>start /low /b %USERPROFILE%\Documents\GitHub\eaglep3\Utilities\DownloadLogsFromS3.py --loco 4019 --day 2017-01-20</t>
  </si>
  <si>
    <t>start /low /b %USERPROFILE%\Documents\GitHub\eaglep3\Utilities\DownloadLogsFromS3.py --loco 4042 --day 2017-01-19</t>
  </si>
  <si>
    <t>start /low /b %USERPROFILE%\Documents\GitHub\eaglep3\Utilities\DownloadLogsFromS3.py --loco 4037 --day 2017-01-19</t>
  </si>
  <si>
    <t>start /low /b %USERPROFILE%\Documents\GitHub\eaglep3\Utilities\DownloadLogsFromS3.py --loco 4037 --day 2017-01-20</t>
  </si>
  <si>
    <t>start /low /b %USERPROFILE%\Documents\GitHub\eaglep3\Utilities\DownloadLogsFromS3.py --loco 4038 --day 2017-01-19</t>
  </si>
  <si>
    <t>start /low /b %USERPROFILE%\Documents\GitHub\eaglep3\Utilities\DownloadLogsFromS3.py --loco 4038 --day 2017-01-20</t>
  </si>
  <si>
    <t>Wi-MAX data drop</t>
  </si>
  <si>
    <t>Cancelled - decoupling issues</t>
  </si>
  <si>
    <t>DUS 2N/20N STOP</t>
  </si>
  <si>
    <t>Onboard in-route failure</t>
  </si>
  <si>
    <t>228-19</t>
  </si>
  <si>
    <t>230-19</t>
  </si>
  <si>
    <t>231-19</t>
  </si>
  <si>
    <t>232-19</t>
  </si>
  <si>
    <t>233-19</t>
  </si>
  <si>
    <t>234-19</t>
  </si>
  <si>
    <t>235-19</t>
  </si>
  <si>
    <t>236-19</t>
  </si>
  <si>
    <t>237-19</t>
  </si>
  <si>
    <t>238-19</t>
  </si>
  <si>
    <t>239-19</t>
  </si>
  <si>
    <t>240-19</t>
  </si>
  <si>
    <t>241-19</t>
  </si>
  <si>
    <t>242-19</t>
  </si>
  <si>
    <t>243-19</t>
  </si>
  <si>
    <t>244-19</t>
  </si>
  <si>
    <t>Planned maintenance (EC 84 cutover)</t>
  </si>
  <si>
    <t>Premature downgrade at EC0816RH 75-1T 1N</t>
  </si>
  <si>
    <t>At 05:33:00, EC0816RH 75-1T 1N downgraded from 270 to STOP &amp; PROCEED. Do logs tell of any issues at the time?</t>
  </si>
  <si>
    <t>RESTRICTED aspect</t>
  </si>
  <si>
    <t>Wi-MAX data drop, 4 car consist (correlation not causation, but still suspicious)</t>
  </si>
  <si>
    <t>DUS SW 7 out of correspondence (switch failure)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</si>
</sst>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0" fontId="8" fillId="4" borderId="9" xfId="1" applyNumberFormat="1" applyFont="1" applyFill="1" applyBorder="1" applyAlignment="1">
      <alignment horizontal="center"/>
    </xf>
    <xf numFmtId="0" fontId="8" fillId="4" borderId="0" xfId="1" applyNumberFormat="1" applyFont="1" applyFill="1" applyBorder="1" applyAlignment="1">
      <alignment horizontal="center"/>
    </xf>
    <xf numFmtId="0" fontId="8" fillId="0" borderId="10" xfId="1" applyNumberFormat="1" applyFont="1" applyFill="1" applyBorder="1" applyAlignment="1">
      <alignment wrapText="1"/>
    </xf>
    <xf numFmtId="0" fontId="8" fillId="0" borderId="10" xfId="1" applyNumberFormat="1" applyFont="1" applyFill="1" applyBorder="1" applyAlignment="1">
      <alignment horizontal="right" wrapText="1"/>
    </xf>
    <xf numFmtId="0" fontId="0" fillId="0" borderId="0" xfId="0" applyNumberFormat="1" applyFill="1" applyBorder="1"/>
    <xf numFmtId="169" fontId="9" fillId="0" borderId="0" xfId="0" applyFont="1"/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78"/>
  <sheetViews>
    <sheetView tabSelected="1" workbookViewId="0"/>
  </sheetViews>
  <sheetFormatPr defaultRowHeight="15" x14ac:dyDescent="0.25"/>
  <cols>
    <col min="1" max="1" width="8" style="36" customWidth="1"/>
    <col min="2" max="2" width="6.140625" style="38" customWidth="1"/>
    <col min="3" max="3" width="13.5703125" style="28" hidden="1" customWidth="1"/>
    <col min="4" max="4" width="16.140625" style="28" hidden="1" customWidth="1"/>
    <col min="5" max="5" width="19.5703125" style="35" hidden="1" customWidth="1"/>
    <col min="6" max="6" width="18.28515625" style="35" customWidth="1"/>
    <col min="7" max="7" width="4.85546875" style="38" hidden="1" customWidth="1"/>
    <col min="8" max="8" width="22.140625" style="35" hidden="1" customWidth="1"/>
    <col min="9" max="9" width="18.5703125" style="35" customWidth="1"/>
    <col min="10" max="10" width="7.28515625" style="38" customWidth="1"/>
    <col min="11" max="11" width="10.42578125" style="28" customWidth="1"/>
    <col min="12" max="12" width="11.5703125" style="28" customWidth="1"/>
    <col min="13" max="13" width="7.42578125" style="37" customWidth="1"/>
    <col min="14" max="14" width="3.28515625" style="38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2" customWidth="1"/>
    <col min="22" max="22" width="5.7109375" style="92" customWidth="1"/>
    <col min="23" max="23" width="3.85546875" style="20" customWidth="1"/>
    <col min="24" max="24" width="6.5703125" style="168" customWidth="1"/>
    <col min="25" max="25" width="11.5703125" style="62" bestFit="1" customWidth="1"/>
    <col min="26" max="26" width="7.28515625" style="62" customWidth="1"/>
    <col min="27" max="27" width="9.140625" style="62"/>
    <col min="28" max="28" width="10.7109375" style="59" hidden="1" customWidth="1"/>
    <col min="29" max="29" width="9.42578125" style="53" hidden="1" customWidth="1"/>
    <col min="30" max="30" width="7.85546875" style="54" customWidth="1"/>
    <col min="31" max="31" width="4.5703125" style="85" customWidth="1"/>
    <col min="32" max="32" width="6.28515625" style="82" customWidth="1"/>
    <col min="33" max="33" width="5.42578125" customWidth="1"/>
    <col min="34" max="34" width="5" style="88" customWidth="1"/>
    <col min="35" max="35" width="5.7109375" style="107" customWidth="1"/>
    <col min="36" max="36" width="9.85546875" customWidth="1"/>
    <col min="37" max="37" width="7.7109375" customWidth="1"/>
    <col min="38" max="38" width="7.85546875" customWidth="1"/>
    <col min="39" max="39" width="9.140625" style="177"/>
  </cols>
  <sheetData>
    <row r="1" spans="1:91" s="21" customFormat="1" ht="15.75" thickBot="1" x14ac:dyDescent="0.3">
      <c r="A1" s="36"/>
      <c r="B1" s="38"/>
      <c r="C1" s="28"/>
      <c r="D1" s="28"/>
      <c r="E1" s="35"/>
      <c r="F1" s="35"/>
      <c r="G1" s="38"/>
      <c r="H1" s="35"/>
      <c r="I1" s="35" t="s">
        <v>105</v>
      </c>
      <c r="J1" s="38"/>
      <c r="K1" s="28"/>
      <c r="L1" s="28"/>
      <c r="M1" s="37"/>
      <c r="N1" s="38"/>
      <c r="O1" s="2"/>
      <c r="P1" s="2"/>
      <c r="R1" s="35" t="s">
        <v>106</v>
      </c>
      <c r="S1" s="38"/>
      <c r="T1" s="28"/>
      <c r="U1" s="158"/>
      <c r="V1" s="37"/>
      <c r="W1" s="38"/>
      <c r="X1" s="162"/>
      <c r="Y1" s="62"/>
      <c r="Z1" s="62"/>
      <c r="AA1" s="62"/>
      <c r="AB1" s="59"/>
      <c r="AC1" s="53"/>
      <c r="AD1" s="54"/>
      <c r="AE1" s="1"/>
      <c r="AF1" s="1"/>
      <c r="AG1" s="1"/>
      <c r="AH1" s="50"/>
      <c r="AI1" s="1"/>
      <c r="AM1" s="177"/>
    </row>
    <row r="2" spans="1:91" s="21" customFormat="1" ht="15.75" thickBot="1" x14ac:dyDescent="0.3">
      <c r="A2" s="36"/>
      <c r="B2" s="38"/>
      <c r="C2" s="28"/>
      <c r="D2" s="28"/>
      <c r="E2" s="35"/>
      <c r="F2" s="35"/>
      <c r="G2" s="38"/>
      <c r="H2" s="35"/>
      <c r="I2" s="67">
        <f>Variables!$A$2</f>
        <v>42754</v>
      </c>
      <c r="J2" s="68"/>
      <c r="K2" s="69"/>
      <c r="L2" s="69"/>
      <c r="M2" s="70" t="s">
        <v>8</v>
      </c>
      <c r="N2" s="71"/>
      <c r="O2" s="72"/>
      <c r="P2" s="2"/>
      <c r="R2" s="67">
        <f>Variables!$A$2</f>
        <v>42754</v>
      </c>
      <c r="S2" s="68"/>
      <c r="T2" s="69"/>
      <c r="U2" s="159"/>
      <c r="V2" s="90" t="s">
        <v>8</v>
      </c>
      <c r="W2" s="71"/>
      <c r="X2" s="165"/>
      <c r="Y2" s="62"/>
      <c r="Z2" s="62"/>
      <c r="AA2" s="62"/>
      <c r="AB2" s="59"/>
      <c r="AC2" s="53"/>
      <c r="AD2" s="54"/>
      <c r="AE2" s="1"/>
      <c r="AF2" s="1"/>
      <c r="AG2" s="1"/>
      <c r="AH2" s="50"/>
      <c r="AI2" s="1"/>
      <c r="AM2" s="177"/>
    </row>
    <row r="3" spans="1:91" s="21" customFormat="1" ht="15.75" thickBot="1" x14ac:dyDescent="0.3">
      <c r="A3" s="36"/>
      <c r="B3" s="38"/>
      <c r="C3" s="28"/>
      <c r="D3" s="28"/>
      <c r="E3" s="35"/>
      <c r="F3" s="35"/>
      <c r="G3" s="38"/>
      <c r="H3" s="35"/>
      <c r="I3" s="73" t="s">
        <v>10</v>
      </c>
      <c r="J3" s="74"/>
      <c r="K3" s="75"/>
      <c r="L3" s="75"/>
      <c r="M3" s="39" t="s">
        <v>11</v>
      </c>
      <c r="N3" s="40" t="s">
        <v>12</v>
      </c>
      <c r="O3" s="3" t="s">
        <v>13</v>
      </c>
      <c r="P3" s="2"/>
      <c r="R3" s="73" t="s">
        <v>10</v>
      </c>
      <c r="S3" s="74"/>
      <c r="T3" s="75"/>
      <c r="U3" s="160"/>
      <c r="V3" s="39" t="s">
        <v>11</v>
      </c>
      <c r="W3" s="40" t="s">
        <v>12</v>
      </c>
      <c r="X3" s="166" t="s">
        <v>13</v>
      </c>
      <c r="Y3" s="62"/>
      <c r="Z3" s="62"/>
      <c r="AA3" s="62"/>
      <c r="AB3" s="59"/>
      <c r="AC3" s="53"/>
      <c r="AD3" s="54"/>
      <c r="AE3" s="1"/>
      <c r="AF3" s="1"/>
      <c r="AG3" s="1"/>
      <c r="AH3" s="50"/>
      <c r="AI3" s="1"/>
      <c r="AM3" s="177"/>
    </row>
    <row r="4" spans="1:91" s="21" customFormat="1" ht="15.75" thickBot="1" x14ac:dyDescent="0.3">
      <c r="A4" s="36"/>
      <c r="B4" s="38"/>
      <c r="C4" s="28"/>
      <c r="D4" s="28"/>
      <c r="E4" s="35"/>
      <c r="F4" s="35"/>
      <c r="G4" s="38"/>
      <c r="H4" s="35"/>
      <c r="I4" s="76" t="s">
        <v>14</v>
      </c>
      <c r="J4" s="52">
        <f>SUM(J5:J7)</f>
        <v>143</v>
      </c>
      <c r="K4" s="41"/>
      <c r="L4" s="41"/>
      <c r="M4" s="42" t="s">
        <v>15</v>
      </c>
      <c r="N4" s="40" t="s">
        <v>15</v>
      </c>
      <c r="O4" s="3" t="s">
        <v>15</v>
      </c>
      <c r="P4" s="2"/>
      <c r="R4" s="76" t="s">
        <v>14</v>
      </c>
      <c r="S4" s="52">
        <f>SUM(S5:S7)</f>
        <v>47</v>
      </c>
      <c r="T4" s="41"/>
      <c r="U4" s="161"/>
      <c r="V4" s="42" t="s">
        <v>15</v>
      </c>
      <c r="W4" s="40" t="s">
        <v>15</v>
      </c>
      <c r="X4" s="166" t="s">
        <v>15</v>
      </c>
      <c r="Y4" s="62"/>
      <c r="Z4" s="62"/>
      <c r="AA4" s="62"/>
      <c r="AB4" s="59"/>
      <c r="AC4" s="53"/>
      <c r="AD4" s="54"/>
      <c r="AE4" s="1"/>
      <c r="AF4" s="1"/>
      <c r="AG4" s="1"/>
      <c r="AH4" s="50"/>
      <c r="AI4" s="1"/>
      <c r="AM4" s="177"/>
    </row>
    <row r="5" spans="1:91" s="21" customFormat="1" ht="15.75" thickBot="1" x14ac:dyDescent="0.3">
      <c r="A5" s="36"/>
      <c r="B5" s="38"/>
      <c r="C5" s="28"/>
      <c r="D5" s="28"/>
      <c r="E5" s="35"/>
      <c r="F5" s="35"/>
      <c r="G5" s="38"/>
      <c r="H5" s="35"/>
      <c r="I5" s="76" t="s">
        <v>17</v>
      </c>
      <c r="J5" s="52">
        <f>COUNTIFS($N$13:$N$9389,"&gt;0",$AG$13:$AG$9389,I1)</f>
        <v>123</v>
      </c>
      <c r="K5" s="41"/>
      <c r="L5" s="41"/>
      <c r="M5" s="42">
        <f>AVERAGEIFS($N$13:$N$9389,$AG$13:$AG$9389,I1)</f>
        <v>38.15271002694783</v>
      </c>
      <c r="N5" s="40">
        <f t="array" ref="N5">MIN(IF($AG$13:$AG$9389=I1,IF(ISNUMBER($N$13:$N$9389),IF($N$13:$N$9389&gt;0,$N$13:$N$9389))))</f>
        <v>34.233333331067115</v>
      </c>
      <c r="O5" s="3">
        <f t="array" ref="O5">MAX(IF($AG$13:$AG$9389=I1,IF(ISNUMBER($N$13:$N$9389),IF($N$13:$N$9389&gt;0,$N$13:$N$9389))))</f>
        <v>46.099999995203689</v>
      </c>
      <c r="P5" s="2"/>
      <c r="R5" s="76" t="s">
        <v>17</v>
      </c>
      <c r="S5" s="52">
        <f>COUNTIFS($N$13:$N$9389,"&gt;0",$AG$13:$AG$9389,R1)</f>
        <v>47</v>
      </c>
      <c r="T5" s="41"/>
      <c r="U5" s="161"/>
      <c r="V5" s="42">
        <f>AVERAGEIFS($N$13:$N$9389,$AG$13:$AG$9389,R1)</f>
        <v>15.995035460491248</v>
      </c>
      <c r="W5" s="40">
        <f t="array" ref="W5">MIN(IF($AG$13:$AG$9389=R1,IF(ISNUMBER($N$13:$N$9389),IF($N$13:$N$9389&gt;0,$N$13:$N$9389))))</f>
        <v>13.099999992409721</v>
      </c>
      <c r="X5" s="166">
        <f t="array" ref="X5">MAX(IF($AG$13:$AG$9389=R1,IF(ISNUMBER($N$13:$N$9389),IF($N$13:$N$9389&gt;0,$N$13:$N$9389))))</f>
        <v>20.866666662041098</v>
      </c>
      <c r="Y5" s="62"/>
      <c r="Z5" s="62"/>
      <c r="AA5" s="62"/>
      <c r="AB5" s="59"/>
      <c r="AC5" s="53"/>
      <c r="AD5" s="54"/>
      <c r="AE5" s="1"/>
      <c r="AF5" s="1"/>
      <c r="AG5" s="1"/>
      <c r="AH5" s="50"/>
      <c r="AI5" s="1"/>
      <c r="AM5" s="177"/>
    </row>
    <row r="6" spans="1:91" s="21" customFormat="1" ht="15.75" thickBot="1" x14ac:dyDescent="0.3">
      <c r="A6" s="36"/>
      <c r="B6" s="38"/>
      <c r="C6" s="28"/>
      <c r="D6" s="28"/>
      <c r="E6" s="35"/>
      <c r="F6" s="35"/>
      <c r="G6" s="38"/>
      <c r="H6" s="35"/>
      <c r="I6" s="77" t="s">
        <v>43</v>
      </c>
      <c r="J6" s="52">
        <f>COUNT($O$13:$O$127)</f>
        <v>0</v>
      </c>
      <c r="K6" s="41"/>
      <c r="L6" s="41"/>
      <c r="M6" s="42">
        <f>IFERROR(AVERAGE($O$13:$O$127),0)</f>
        <v>0</v>
      </c>
      <c r="N6" s="40">
        <f>MIN($O$13:$O$127)</f>
        <v>0</v>
      </c>
      <c r="O6" s="3">
        <f>MAX($O$13:$O$127)</f>
        <v>0</v>
      </c>
      <c r="P6" s="2"/>
      <c r="R6" s="77" t="s">
        <v>43</v>
      </c>
      <c r="S6" s="52">
        <f>COUNT($O$13:$O$127)</f>
        <v>0</v>
      </c>
      <c r="T6" s="41"/>
      <c r="U6" s="161"/>
      <c r="V6" s="42">
        <f>IFERROR(AVERAGE($O$13:$O$127),0)</f>
        <v>0</v>
      </c>
      <c r="W6" s="40">
        <f>MIN($O$13:$O$127)</f>
        <v>0</v>
      </c>
      <c r="X6" s="166">
        <f>MAX($O$13:$O$127)</f>
        <v>0</v>
      </c>
      <c r="Y6" s="62"/>
      <c r="Z6" s="62"/>
      <c r="AA6" s="62"/>
      <c r="AB6" s="59"/>
      <c r="AC6" s="53"/>
      <c r="AD6" s="54"/>
      <c r="AE6" s="1"/>
      <c r="AF6" s="1"/>
      <c r="AG6" s="1"/>
      <c r="AH6" s="50"/>
      <c r="AI6" s="1"/>
      <c r="AM6" s="177"/>
    </row>
    <row r="7" spans="1:91" s="21" customFormat="1" ht="15.75" thickBot="1" x14ac:dyDescent="0.3">
      <c r="A7" s="36"/>
      <c r="B7" s="38"/>
      <c r="C7" s="28"/>
      <c r="D7" s="28"/>
      <c r="E7" s="35"/>
      <c r="F7" s="35"/>
      <c r="G7" s="38"/>
      <c r="H7" s="35"/>
      <c r="I7" s="78" t="s">
        <v>9</v>
      </c>
      <c r="J7" s="52">
        <f>COUNTIFS($P$13:$P$9389,"&gt;0",$AG$13:$AG$9389,I1)</f>
        <v>20</v>
      </c>
      <c r="K7" s="41"/>
      <c r="L7" s="41"/>
      <c r="M7" s="40" t="s">
        <v>15</v>
      </c>
      <c r="N7" s="40" t="s">
        <v>15</v>
      </c>
      <c r="O7" s="3" t="s">
        <v>15</v>
      </c>
      <c r="P7" s="2"/>
      <c r="R7" s="78" t="s">
        <v>9</v>
      </c>
      <c r="S7" s="52">
        <f>COUNTIFS($P$13:$P$9389,"&gt;0",$AG$13:$AG$9389,R1)</f>
        <v>0</v>
      </c>
      <c r="T7" s="41"/>
      <c r="U7" s="161"/>
      <c r="V7" s="42" t="s">
        <v>15</v>
      </c>
      <c r="W7" s="40" t="s">
        <v>15</v>
      </c>
      <c r="X7" s="166" t="s">
        <v>15</v>
      </c>
      <c r="Y7" s="62"/>
      <c r="Z7" s="62"/>
      <c r="AA7" s="62"/>
      <c r="AB7" s="59"/>
      <c r="AC7" s="53"/>
      <c r="AD7" s="54"/>
      <c r="AE7" s="1"/>
      <c r="AF7" s="1"/>
      <c r="AG7" s="1"/>
      <c r="AH7" s="50"/>
      <c r="AI7" s="1"/>
      <c r="AM7" s="177"/>
    </row>
    <row r="8" spans="1:91" s="21" customFormat="1" ht="15.75" thickBot="1" x14ac:dyDescent="0.3">
      <c r="A8" s="36"/>
      <c r="B8" s="38"/>
      <c r="C8" s="28"/>
      <c r="D8" s="28"/>
      <c r="E8" s="35"/>
      <c r="F8" s="35"/>
      <c r="G8" s="38"/>
      <c r="H8" s="35"/>
      <c r="I8" s="76" t="s">
        <v>16</v>
      </c>
      <c r="J8" s="52">
        <f>J5</f>
        <v>123</v>
      </c>
      <c r="K8" s="41"/>
      <c r="L8" s="41"/>
      <c r="M8" s="42">
        <f>M5</f>
        <v>38.15271002694783</v>
      </c>
      <c r="N8" s="40">
        <f>N5</f>
        <v>34.233333331067115</v>
      </c>
      <c r="O8" s="3">
        <f>O5</f>
        <v>46.099999995203689</v>
      </c>
      <c r="P8" s="2"/>
      <c r="R8" s="76" t="s">
        <v>16</v>
      </c>
      <c r="S8" s="52">
        <f>S5</f>
        <v>47</v>
      </c>
      <c r="T8" s="41"/>
      <c r="U8" s="161"/>
      <c r="V8" s="42">
        <f>V5</f>
        <v>15.995035460491248</v>
      </c>
      <c r="W8" s="40">
        <f>W5</f>
        <v>13.099999992409721</v>
      </c>
      <c r="X8" s="166">
        <f>X5</f>
        <v>20.866666662041098</v>
      </c>
      <c r="Y8" s="62"/>
      <c r="Z8" s="62"/>
      <c r="AA8" s="62"/>
      <c r="AB8" s="59"/>
      <c r="AC8" s="53"/>
      <c r="AD8" s="54"/>
      <c r="AE8" s="1"/>
      <c r="AF8" s="1"/>
      <c r="AG8" s="1"/>
      <c r="AH8" s="50"/>
      <c r="AI8" s="1"/>
      <c r="AM8" s="177"/>
    </row>
    <row r="9" spans="1:91" s="21" customFormat="1" ht="15.75" thickBot="1" x14ac:dyDescent="0.3">
      <c r="A9" s="36"/>
      <c r="B9" s="38"/>
      <c r="C9" s="28"/>
      <c r="D9" s="28"/>
      <c r="E9" s="35"/>
      <c r="F9" s="35"/>
      <c r="G9" s="38"/>
      <c r="H9" s="35"/>
      <c r="I9" s="76" t="s">
        <v>19</v>
      </c>
      <c r="J9" s="142">
        <f>J8/J4</f>
        <v>0.8601398601398601</v>
      </c>
      <c r="K9" s="43"/>
      <c r="L9" s="43"/>
      <c r="M9" s="79"/>
      <c r="N9" s="38"/>
      <c r="O9" s="80"/>
      <c r="P9" s="2"/>
      <c r="R9" s="76" t="s">
        <v>19</v>
      </c>
      <c r="S9" s="142">
        <f>S8/S4</f>
        <v>1</v>
      </c>
      <c r="T9" s="43"/>
      <c r="U9" s="158"/>
      <c r="V9" s="79"/>
      <c r="W9" s="38"/>
      <c r="X9" s="167"/>
      <c r="Y9" s="62"/>
      <c r="Z9" s="62"/>
      <c r="AA9" s="62"/>
      <c r="AB9" s="59"/>
      <c r="AC9" s="53"/>
      <c r="AD9" s="54"/>
      <c r="AE9" s="1"/>
      <c r="AF9" s="1"/>
      <c r="AG9" s="1"/>
      <c r="AH9" s="50"/>
      <c r="AI9" s="1"/>
      <c r="AM9" s="177"/>
    </row>
    <row r="10" spans="1:91" s="21" customFormat="1" x14ac:dyDescent="0.25">
      <c r="A10" s="36"/>
      <c r="B10" s="38"/>
      <c r="C10" s="28"/>
      <c r="D10" s="28"/>
      <c r="E10" s="35"/>
      <c r="F10" s="35"/>
      <c r="G10" s="38"/>
      <c r="H10" s="35"/>
      <c r="I10" s="35"/>
      <c r="J10" s="38"/>
      <c r="K10" s="28"/>
      <c r="L10" s="28"/>
      <c r="M10" s="37"/>
      <c r="N10" s="38"/>
      <c r="O10" s="2"/>
      <c r="P10" s="2"/>
      <c r="U10" s="162"/>
      <c r="V10" s="91"/>
      <c r="W10" s="20"/>
      <c r="X10" s="168"/>
      <c r="Y10" s="62"/>
      <c r="Z10" s="62"/>
      <c r="AA10" s="62"/>
      <c r="AB10" s="59"/>
      <c r="AC10" s="53"/>
      <c r="AD10" s="54"/>
      <c r="AE10" s="1"/>
      <c r="AF10" s="1"/>
      <c r="AG10" s="1"/>
      <c r="AH10" s="50"/>
      <c r="AI10" s="1"/>
      <c r="AM10" s="177"/>
    </row>
    <row r="11" spans="1:91" ht="16.5" thickBot="1" x14ac:dyDescent="0.3">
      <c r="A11" s="189" t="str">
        <f>"Eagle P3 System Performance - "&amp;TEXT(Variables!A2,"yyyy-mm-dd")</f>
        <v>Eagle P3 System Performance - 2017-01-19</v>
      </c>
      <c r="B11" s="189"/>
      <c r="C11" s="189"/>
      <c r="D11" s="189"/>
      <c r="E11" s="189"/>
      <c r="F11" s="189"/>
      <c r="G11" s="189"/>
      <c r="H11" s="189"/>
      <c r="I11" s="189"/>
      <c r="J11" s="189"/>
      <c r="K11" s="189"/>
      <c r="L11" s="189"/>
      <c r="M11" s="189"/>
      <c r="N11" s="189"/>
      <c r="O11" s="189"/>
      <c r="P11" s="189"/>
      <c r="S11" s="66">
        <f>AVERAGE(S13:S91)</f>
        <v>0.97468354430379744</v>
      </c>
      <c r="V11" s="91"/>
      <c r="AE11" s="1"/>
      <c r="AF11" s="1"/>
      <c r="AG11" s="1"/>
      <c r="AH11" s="50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1" t="s">
        <v>64</v>
      </c>
      <c r="U12" s="163" t="s">
        <v>65</v>
      </c>
      <c r="V12" s="93" t="s">
        <v>45</v>
      </c>
      <c r="W12" s="48" t="s">
        <v>23</v>
      </c>
      <c r="X12" s="169" t="s">
        <v>48</v>
      </c>
      <c r="Y12" s="63" t="s">
        <v>20</v>
      </c>
      <c r="Z12" s="63" t="s">
        <v>21</v>
      </c>
      <c r="AA12" s="63" t="s">
        <v>22</v>
      </c>
      <c r="AB12" s="60" t="s">
        <v>39</v>
      </c>
      <c r="AC12" s="56" t="s">
        <v>40</v>
      </c>
      <c r="AD12" s="55" t="s">
        <v>82</v>
      </c>
      <c r="AE12" s="86" t="s">
        <v>89</v>
      </c>
      <c r="AF12" s="83" t="s">
        <v>94</v>
      </c>
      <c r="AG12" s="4" t="s">
        <v>107</v>
      </c>
      <c r="AH12" s="89" t="s">
        <v>109</v>
      </c>
      <c r="AI12" s="114" t="s">
        <v>147</v>
      </c>
      <c r="AJ12" s="48" t="s">
        <v>148</v>
      </c>
      <c r="AK12" s="48" t="s">
        <v>121</v>
      </c>
      <c r="AL12" s="48" t="s">
        <v>149</v>
      </c>
      <c r="AM12" s="178" t="s">
        <v>229</v>
      </c>
      <c r="AN12" s="48" t="s">
        <v>265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4" t="s">
        <v>475</v>
      </c>
      <c r="B13" s="7">
        <v>4044</v>
      </c>
      <c r="C13" s="22" t="s">
        <v>196</v>
      </c>
      <c r="D13" s="22" t="s">
        <v>711</v>
      </c>
      <c r="E13" s="13">
        <v>42754.137708333335</v>
      </c>
      <c r="F13" s="13">
        <v>42754.139317129629</v>
      </c>
      <c r="G13" s="7">
        <v>1</v>
      </c>
      <c r="H13" s="22" t="s">
        <v>712</v>
      </c>
      <c r="I13" s="13">
        <v>42754.164768518516</v>
      </c>
      <c r="J13" s="7">
        <v>5</v>
      </c>
      <c r="K13" s="105" t="str">
        <f t="shared" ref="K13:K44" si="0">IF(ISEVEN(B13),(B13-1)&amp;"/"&amp;B13,B13&amp;"/"&amp;(B13+1))</f>
        <v>4043/4044</v>
      </c>
      <c r="L13" s="22" t="str">
        <f>VLOOKUP(A13,'Trips&amp;Operators'!$C$1:$G$99999,5,FALSE)</f>
        <v>CUSHING HARRY</v>
      </c>
      <c r="M13" s="6">
        <f t="shared" ref="M13:M44" si="1">I13-F13</f>
        <v>2.545138888672227E-2</v>
      </c>
      <c r="N13" s="7"/>
      <c r="O13" s="7"/>
      <c r="P13" s="7">
        <f>24*60*SUM($M13:$M13)</f>
        <v>36.649999996880069</v>
      </c>
      <c r="Q13" s="23"/>
      <c r="R13" s="23" t="s">
        <v>896</v>
      </c>
      <c r="S13" s="32">
        <f t="shared" ref="S13:S44" si="2">SUM(U13:U13)/IF(AG13="EC",12,1)</f>
        <v>1</v>
      </c>
      <c r="T13" s="47" t="str">
        <f t="shared" ref="T13:T44" si="3">IF(ISEVEN(LEFT(AD13,4)),"Southbound","NorthBound")</f>
        <v>NorthBound</v>
      </c>
      <c r="U13" s="164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4" t="str">
        <f t="shared" ref="V13:V76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-01-19T02:18:18-0700',mode:absolute,to:'2017-01-19T04:57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" s="49" t="str">
        <f t="shared" ref="W13:W44" si="5">IF(AA13&lt;IF(AG13="EC",23,5.65),"Y","N")</f>
        <v>Y</v>
      </c>
      <c r="X13" s="170" t="e">
        <f>VALUE(LEFT(AD13,4))-VALUE(LEFT(AD12,4))</f>
        <v>#VALUE!</v>
      </c>
      <c r="Y13" s="64">
        <f t="shared" ref="Y13:Y44" si="6">RIGHT(D13,LEN(D13)-4)/10000</f>
        <v>7.7899999999999997E-2</v>
      </c>
      <c r="Z13" s="64">
        <f t="shared" ref="Z13:Z44" si="7">RIGHT(H13,LEN(H13)-4)/10000</f>
        <v>19.785599999999999</v>
      </c>
      <c r="AA13" s="64">
        <f t="shared" ref="AA13:AA44" si="8">ABS(Z13-Y13)</f>
        <v>19.707699999999999</v>
      </c>
      <c r="AB13" s="61" t="str">
        <f>VLOOKUP(A13,Enforcements!$C$7:$K$15,8,0)</f>
        <v>Bulletin (2)</v>
      </c>
      <c r="AC13" s="57" t="str">
        <f>VLOOKUP(A13,Enforcements!$C$7:$E$15,3,0)</f>
        <v>GRADE CROSSING</v>
      </c>
      <c r="AD13" s="58" t="str">
        <f t="shared" ref="AD13:AD44" si="9">IF(LEN(A13)=6,"0"&amp;A13,A13)</f>
        <v>0101-19</v>
      </c>
      <c r="AE13" s="87" t="str">
        <f t="shared" ref="AE13:AE76" si="10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s3://rtdc.mdm.uploadarchive.raw/RTDC4044/ "%USERPROFILE%\AppData\Local\Temp\OnboardLogs"\RTDC4044\2017-01-19 --exclude "*" --recursive --include "*20170119*" &amp; "%USERPROFILE%\Documents\GitHub\mrs-test-scripts\Headless Mode &amp; Sideloading\WalkAndUnGZ.bat" "%USERPROFILE%\AppData\Local\Temp\OnboardLogs"\RTDC4044\2017-01-19 &amp; aws s3 cp s3://rtdc.mdm.uploadarchive.raw/RTDC4044/ "%USERPROFILE%\AppData\Local\Temp\OnboardLogs"\RTDC4044\2017-01-20 --exclude "*" --recursive --include "*20170120*" &amp; "%USERPROFILE%\Documents\GitHub\mrs-test-scripts\Headless Mode &amp; Sideloading\WalkAndUnGZ.bat" "%USERPROFILE%\AppData\Local\Temp\OnboardLogs"\RTDC4044\2017-01-20</v>
      </c>
      <c r="AF13" s="84" t="str">
        <f t="shared" ref="AF13:AF76" si="11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/stypes="app*4044*20170119*" /stext=" 10:.+((SYSTEM_STATE.+slice.+state.+changed )|(ment ac)|(multiple cpu faults)|(system.+state.+changed )|(\[timeout)|(PRM\|1\|D)|(kpr)|(kdp)|(\|lc)|(penalty))" /e /r /s</v>
      </c>
      <c r="AG13" s="1" t="str">
        <f t="shared" ref="AG13:AG44" si="12">IFERROR(IF(VALUE(LEFT(AD13,2))&lt;=2,"EC",IF(OR(VALUE(LEFT(AD13,2))=8,VALUE(LEFT(AD13,2))=18),"NW","Other")),"Other")</f>
        <v>EC</v>
      </c>
      <c r="AH13" s="88" t="str">
        <f t="shared" ref="AH13" si="13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101-19 --locoid 4044 --swversion DE.1.0.8.0 --startMP 204:779 --initTime 2017-01-19T03:18:18 --startdatetime 2017-01-19T03:20:37 --delay 1 --endMP 204:197856 --enddatetime 2017-01-19T03:57:16 --enforcementcount 5 &gt;&gt;C:\Users\stu\Documents\GitHub\eaglep3-reporting\EC\2017-01-19-refined-times.txt</v>
      </c>
      <c r="AI13" s="115" t="str">
        <f t="shared" ref="AI13" si="14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{"issue":{"subject":"Wi-MAX data drop, 4 car consist (correlation not causation, but still suspicious)","project_id":79,"tracker_id":40,"status_id":1,"priority_id":2,"assigned_to_id":23,"start_date":"2017-01-19","description":"","custom_fields":[{"id":1,"name":"Subdivision","value":"EC"},{"id":4,"name":"Milepost","value":"19.7856"},{"id":17,"name":"Train ID","value":"101-19"},{"id":16,"name":"Locomotive ID","value":"4044"},{"id":130,"name":"Impact","value":""},{"id":150,"name":"Time of Event (Mountain Time)","value":"03:57:16"},{"id":151,"name":"Denver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0"/>
      <c r="AK13" s="50"/>
      <c r="AL13" s="50"/>
      <c r="AM13" s="177" t="str">
        <f t="shared" ref="AM13" si="15">"start /low /b "&amp;dls3logs&amp;" --loco "&amp;B13&amp;" --day "&amp;TEXT(F13,"YYYY-MM-DD")</f>
        <v>start /low /b %USERPROFILE%\Documents\GitHub\eaglep3\Utilities\DownloadLogsFromS3.py --loco 4044 --day 2017-01-19</v>
      </c>
      <c r="AN13" s="186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"%USERPROFILE%\AppData\Local\Temp\OnboardLogs"\RTDC4044\*4044*20170119* | grep -SE "(Enforcement Action)|(\[TIMEOUT)|(CHR.+\|PRM\|1\|D.+(SWITCH|SIGNAL).+UNKNOWN)" - &gt;&gt; 2017-01-19-UncaughtWiMAX.txt</v>
      </c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1"/>
      <c r="BI13" s="21"/>
      <c r="BJ13" s="21"/>
      <c r="BK13" s="21"/>
      <c r="BL13" s="21"/>
      <c r="BM13" s="21"/>
      <c r="BN13" s="21"/>
      <c r="BO13" s="21"/>
      <c r="BP13" s="21"/>
      <c r="BQ13" s="21"/>
      <c r="BR13" s="21"/>
      <c r="BS13" s="21"/>
      <c r="BT13" s="21"/>
      <c r="BU13" s="21"/>
      <c r="BV13" s="21"/>
      <c r="BW13" s="21"/>
      <c r="BX13" s="21"/>
      <c r="BY13" s="21"/>
      <c r="BZ13" s="21"/>
      <c r="CA13" s="21"/>
      <c r="CB13" s="21"/>
      <c r="CC13" s="21"/>
      <c r="CD13" s="21"/>
      <c r="CE13" s="21"/>
      <c r="CF13" s="21"/>
      <c r="CG13" s="21"/>
      <c r="CH13" s="21"/>
      <c r="CI13" s="21"/>
      <c r="CJ13" s="21"/>
      <c r="CK13" s="21"/>
      <c r="CL13" s="21"/>
      <c r="CM13" s="21"/>
    </row>
    <row r="14" spans="1:91" s="1" customFormat="1" x14ac:dyDescent="0.25">
      <c r="A14" s="34" t="s">
        <v>476</v>
      </c>
      <c r="B14" s="7">
        <v>4041</v>
      </c>
      <c r="C14" s="22" t="s">
        <v>196</v>
      </c>
      <c r="D14" s="22" t="s">
        <v>713</v>
      </c>
      <c r="E14" s="13">
        <v>42754.175266203703</v>
      </c>
      <c r="F14" s="13">
        <v>42754.177581018521</v>
      </c>
      <c r="G14" s="7">
        <v>2</v>
      </c>
      <c r="H14" s="22" t="s">
        <v>714</v>
      </c>
      <c r="I14" s="13">
        <v>42754.186076388891</v>
      </c>
      <c r="J14" s="7">
        <v>5</v>
      </c>
      <c r="K14" s="105" t="str">
        <f t="shared" si="0"/>
        <v>4041/4042</v>
      </c>
      <c r="L14" s="22" t="str">
        <f>VLOOKUP(A14,'Trips&amp;Operators'!$C$1:$G$99999,5,FALSE)</f>
        <v>CUSHING HARRY</v>
      </c>
      <c r="M14" s="6">
        <f t="shared" si="1"/>
        <v>8.4953703699284233E-3</v>
      </c>
      <c r="N14" s="7"/>
      <c r="O14" s="7"/>
      <c r="P14" s="7">
        <f>24*60*SUM($M14:$M14)</f>
        <v>12.23333333269693</v>
      </c>
      <c r="Q14" s="23"/>
      <c r="R14" s="23" t="s">
        <v>896</v>
      </c>
      <c r="S14" s="32">
        <f t="shared" si="2"/>
        <v>0</v>
      </c>
      <c r="T14" s="47" t="str">
        <f t="shared" si="3"/>
        <v>Southbound</v>
      </c>
      <c r="U14" s="164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0</v>
      </c>
      <c r="V14" s="94" t="str">
        <f t="shared" si="4"/>
        <v>https://d0f6bd738d7f1b3e5a7ca70fe4ff75f0.us-east-1.aws.found.io/app/kibana#/discover/Steve-Slow-Train-Analysis-(2080s-and-2083s)?_g=(refreshInterval:(display:Off,pause:!f,section:0,value:0),time:(from:'2017-01-19T03:12:23-0700',mode:absolute,to:'2017-01-19T05:27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" s="49" t="str">
        <f t="shared" si="5"/>
        <v>Y</v>
      </c>
      <c r="X14" s="170">
        <f>VALUE(LEFT(AD14,4))-VALUE(LEFT(AD13,4))</f>
        <v>1</v>
      </c>
      <c r="Y14" s="64">
        <f t="shared" si="6"/>
        <v>23.264800000000001</v>
      </c>
      <c r="Z14" s="64">
        <f t="shared" si="7"/>
        <v>14.5959</v>
      </c>
      <c r="AA14" s="64">
        <f t="shared" si="8"/>
        <v>8.6689000000000007</v>
      </c>
      <c r="AB14" s="61" t="e">
        <f>VLOOKUP(A14,Enforcements!$C$7:$K$15,8,0)</f>
        <v>#N/A</v>
      </c>
      <c r="AC14" s="57" t="e">
        <f>VLOOKUP(A14,Enforcements!$C$7:$E$15,3,0)</f>
        <v>#N/A</v>
      </c>
      <c r="AD14" s="58" t="str">
        <f t="shared" si="9"/>
        <v>0102-19</v>
      </c>
      <c r="AE14" s="87" t="str">
        <f t="shared" si="10"/>
        <v>aws s3 cp s3://rtdc.mdm.uploadarchive.raw/RTDC4041/ "%USERPROFILE%\AppData\Local\Temp\OnboardLogs"\RTDC4041\2017-01-19 --exclude "*" --recursive --include "*20170119*" &amp; "%USERPROFILE%\Documents\GitHub\mrs-test-scripts\Headless Mode &amp; Sideloading\WalkAndUnGZ.bat" "%USERPROFILE%\AppData\Local\Temp\OnboardLogs"\RTDC4041\2017-01-19 &amp; aws s3 cp s3://rtdc.mdm.uploadarchive.raw/RTDC4041/ "%USERPROFILE%\AppData\Local\Temp\OnboardLogs"\RTDC4041\2017-01-20 --exclude "*" --recursive --include "*20170120*" &amp; "%USERPROFILE%\Documents\GitHub\mrs-test-scripts\Headless Mode &amp; Sideloading\WalkAndUnGZ.bat" "%USERPROFILE%\AppData\Local\Temp\OnboardLogs"\RTDC4041\2017-01-20</v>
      </c>
      <c r="AF14" s="84" t="str">
        <f t="shared" si="11"/>
        <v>"C:\Program Files (x86)\AstroGrep\AstroGrep.exe" /spath="%USERPROFILE%\AppData\Local\Temp\OnboardLogs" /stypes="app*4041*20170119*" /stext=" 11:.+((SYSTEM_STATE.+slice.+state.+changed )|(ment ac)|(multiple cpu faults)|(system.+state.+changed )|(\[timeout)|(PRM\|1\|D)|(kpr)|(kdp)|(\|lc)|(penalty))" /e /r /s</v>
      </c>
      <c r="AG14" s="1" t="str">
        <f t="shared" si="12"/>
        <v>EC</v>
      </c>
      <c r="AH14" s="88" t="str">
        <f t="shared" ref="AH14:AH76" si="16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102-19 --locoid 4041 --swversion DE.1.0.8.0 --startMP 204:232648 --initTime 2017-01-19T04:12:23 --startdatetime 2017-01-19T04:15:43 --delay 2 --endMP 204:145959 --enddatetime 2017-01-19T04:27:57 --enforcementcount 5 &gt;&gt;C:\Users\stu\Documents\GitHub\eaglep3-reporting\EC\2017-01-19-refined-times.txt</v>
      </c>
      <c r="AI14" s="115" t="str">
        <f t="shared" ref="AI14:AI76" si="17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{"issue":{"subject":"Wi-MAX data drop, 4 car consist (correlation not causation, but still suspicious)","project_id":79,"tracker_id":40,"status_id":1,"priority_id":2,"assigned_to_id":23,"start_date":"2017-01-19","description":"","custom_fields":[{"id":1,"name":"Subdivision","value":"EC"},{"id":4,"name":"Milepost","value":"14.5959"},{"id":17,"name":"Train ID","value":"102-19"},{"id":16,"name":"Locomotive ID","value":"4041"},{"id":130,"name":"Impact","value":""},{"id":150,"name":"Time of Event (Mountain Time)","value":"04:27:57"},{"id":151,"name":"Denver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0"/>
      <c r="AK14" s="50"/>
      <c r="AL14" s="50"/>
      <c r="AM14" s="177" t="str">
        <f t="shared" ref="AM14:AM76" si="18">"start /low /b "&amp;dls3logs&amp;" --loco "&amp;B14&amp;" --day "&amp;TEXT(F14,"YYYY-MM-DD")</f>
        <v>start /low /b %USERPROFILE%\Documents\GitHub\eaglep3\Utilities\DownloadLogsFromS3.py --loco 4041 --day 2017-01-19</v>
      </c>
      <c r="AN14" s="186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"%USERPROFILE%\AppData\Local\Temp\OnboardLogs"\RTDC4041\*4041*20170119* | grep -SE "(Enforcement Action)|(\[TIMEOUT)|(CHR.+\|PRM\|1\|D.+(SWITCH|SIGNAL).+UNKNOWN)" - &gt;&gt; 2017-01-19-UncaughtWiMAX.txt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4" t="s">
        <v>509</v>
      </c>
      <c r="B15" s="7">
        <v>4020</v>
      </c>
      <c r="C15" s="22" t="s">
        <v>196</v>
      </c>
      <c r="D15" s="22" t="s">
        <v>715</v>
      </c>
      <c r="E15" s="13">
        <v>42754.152881944443</v>
      </c>
      <c r="F15" s="13">
        <v>42754.156469907408</v>
      </c>
      <c r="G15" s="7">
        <v>2</v>
      </c>
      <c r="H15" s="22" t="s">
        <v>716</v>
      </c>
      <c r="I15" s="13">
        <v>42754.182638888888</v>
      </c>
      <c r="J15" s="7">
        <v>5</v>
      </c>
      <c r="K15" s="105" t="str">
        <f t="shared" si="0"/>
        <v>4019/4020</v>
      </c>
      <c r="L15" s="22" t="str">
        <f>VLOOKUP(A15,'Trips&amp;Operators'!$C$1:$G$99999,5,FALSE)</f>
        <v>ACKERMAN JARED</v>
      </c>
      <c r="M15" s="6">
        <f t="shared" si="1"/>
        <v>2.6168981479713693E-2</v>
      </c>
      <c r="N15" s="7">
        <f t="shared" ref="N15:N61" si="19">24*60*SUM($M15:$M15)</f>
        <v>37.683333330787718</v>
      </c>
      <c r="O15" s="7"/>
      <c r="P15" s="7"/>
      <c r="Q15" s="23"/>
      <c r="R15" s="23"/>
      <c r="S15" s="32">
        <f t="shared" si="2"/>
        <v>1</v>
      </c>
      <c r="T15" s="47" t="str">
        <f t="shared" si="3"/>
        <v>NorthBound</v>
      </c>
      <c r="U15" s="164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4" t="str">
        <f t="shared" si="4"/>
        <v>https://d0f6bd738d7f1b3e5a7ca70fe4ff75f0.us-east-1.aws.found.io/app/kibana#/discover/Steve-Slow-Train-Analysis-(2080s-and-2083s)?_g=(refreshInterval:(display:Off,pause:!f,section:0,value:0),time:(from:'2017-01-19T02:40:09-0700',mode:absolute,to:'2017-01-19T05:23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" s="49" t="str">
        <f t="shared" si="5"/>
        <v>N</v>
      </c>
      <c r="X15" s="170">
        <f t="shared" ref="X15:X77" si="20">VALUE(LEFT(AD15,4))-VALUE(LEFT(AD14,4))</f>
        <v>1</v>
      </c>
      <c r="Y15" s="64">
        <f t="shared" si="6"/>
        <v>7.3899999999999993E-2</v>
      </c>
      <c r="Z15" s="64">
        <f t="shared" si="7"/>
        <v>23.3368</v>
      </c>
      <c r="AA15" s="64">
        <f t="shared" si="8"/>
        <v>23.262900000000002</v>
      </c>
      <c r="AB15" s="61" t="e">
        <f>VLOOKUP(A15,Enforcements!$C$7:$K$15,8,0)</f>
        <v>#N/A</v>
      </c>
      <c r="AC15" s="57" t="e">
        <f>VLOOKUP(A15,Enforcements!$C$7:$E$15,3,0)</f>
        <v>#N/A</v>
      </c>
      <c r="AD15" s="58" t="str">
        <f t="shared" si="9"/>
        <v>0103-19</v>
      </c>
      <c r="AE15" s="87" t="str">
        <f t="shared" si="10"/>
        <v>aws s3 cp s3://rtdc.mdm.uploadarchive.raw/RTDC4020/ "%USERPROFILE%\AppData\Local\Temp\OnboardLogs"\RTDC4020\2017-01-19 --exclude "*" --recursive --include "*20170119*" &amp; "%USERPROFILE%\Documents\GitHub\mrs-test-scripts\Headless Mode &amp; Sideloading\WalkAndUnGZ.bat" "%USERPROFILE%\AppData\Local\Temp\OnboardLogs"\RTDC4020\2017-01-19 &amp; aws s3 cp s3://rtdc.mdm.uploadarchive.raw/RTDC4020/ "%USERPROFILE%\AppData\Local\Temp\OnboardLogs"\RTDC4020\2017-01-20 --exclude "*" --recursive --include "*20170120*" &amp; "%USERPROFILE%\Documents\GitHub\mrs-test-scripts\Headless Mode &amp; Sideloading\WalkAndUnGZ.bat" "%USERPROFILE%\AppData\Local\Temp\OnboardLogs"\RTDC4020\2017-01-20</v>
      </c>
      <c r="AF15" s="84" t="str">
        <f t="shared" si="11"/>
        <v>"C:\Program Files (x86)\AstroGrep\AstroGrep.exe" /spath="%USERPROFILE%\AppData\Local\Temp\OnboardLogs" /stypes="app*4020*20170119*" /stext=" 11:.+((SYSTEM_STATE.+slice.+state.+changed )|(ment ac)|(multiple cpu faults)|(system.+state.+changed )|(\[timeout)|(PRM\|1\|D)|(kpr)|(kdp)|(\|lc)|(penalty))" /e /r /s</v>
      </c>
      <c r="AG15" s="1" t="str">
        <f t="shared" si="12"/>
        <v>EC</v>
      </c>
      <c r="AH15" s="88" t="str">
        <f t="shared" si="16"/>
        <v>"%USERPROFILE%\Documents\GitHub\eaglep3\Utilities\RefineRTDCRunTimes.py" --tripid 103-19 --locoid 4020 --swversion DE.1.0.8.0 --startMP 204:739 --initTime 2017-01-19T03:40:09 --startdatetime 2017-01-19T03:45:19 --delay 2 --endMP 204:233368 --enddatetime 2017-01-19T04:23:00 --enforcementcount 5 &gt;&gt;C:\Users\stu\Documents\GitHub\eaglep3-reporting\EC\2017-01-19-refined-times.txt</v>
      </c>
      <c r="AI15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{"issue":{"subject":"","project_id":79,"tracker_id":40,"status_id":1,"priority_id":2,"assigned_to_id":23,"start_date":"2017-01-19","description":"","custom_fields":[{"id":1,"name":"Subdivision","value":"EC"},{"id":4,"name":"Milepost","value":"23.3368"},{"id":17,"name":"Train ID","value":"103-19"},{"id":16,"name":"Locomotive ID","value":"4020"},{"id":130,"name":"Impact","value":""},{"id":150,"name":"Time of Event (Mountain Time)","value":"04:23:00"},{"id":151,"name":"Denver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0"/>
      <c r="AK15" s="50"/>
      <c r="AL15" s="50"/>
      <c r="AM15" s="177" t="str">
        <f t="shared" si="18"/>
        <v>start /low /b %USERPROFILE%\Documents\GitHub\eaglep3\Utilities\DownloadLogsFromS3.py --loco 4020 --day 2017-01-19</v>
      </c>
      <c r="AN15" s="186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"%USERPROFILE%\AppData\Local\Temp\OnboardLogs"\RTDC4020\*4020*20170119* | grep -SE "(Enforcement Action)|(\[TIMEOUT)|(CHR.+\|PRM\|1\|D.+(SWITCH|SIGNAL).+UNKNOWN)" - &gt;&gt; 2017-01-19-UncaughtWiMAX.txt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4" t="s">
        <v>519</v>
      </c>
      <c r="B16" s="7">
        <v>4015</v>
      </c>
      <c r="C16" s="22" t="s">
        <v>196</v>
      </c>
      <c r="D16" s="22" t="s">
        <v>717</v>
      </c>
      <c r="E16" s="13">
        <v>42754.189016203702</v>
      </c>
      <c r="F16" s="13">
        <v>42754.195370370369</v>
      </c>
      <c r="G16" s="7">
        <v>1</v>
      </c>
      <c r="H16" s="22" t="s">
        <v>186</v>
      </c>
      <c r="I16" s="13">
        <v>42754.223090277781</v>
      </c>
      <c r="J16" s="7">
        <v>5</v>
      </c>
      <c r="K16" s="105" t="str">
        <f t="shared" si="0"/>
        <v>4015/4016</v>
      </c>
      <c r="L16" s="22" t="str">
        <f>VLOOKUP(A16,'Trips&amp;Operators'!$C$1:$G$99999,5,FALSE)</f>
        <v>ACKERMAN JARED</v>
      </c>
      <c r="M16" s="6">
        <f t="shared" si="1"/>
        <v>2.771990741166519E-2</v>
      </c>
      <c r="N16" s="7">
        <f t="shared" si="19"/>
        <v>39.916666672797874</v>
      </c>
      <c r="O16" s="7"/>
      <c r="P16" s="7"/>
      <c r="Q16" s="23"/>
      <c r="R16" s="23"/>
      <c r="S16" s="32">
        <f t="shared" si="2"/>
        <v>1</v>
      </c>
      <c r="T16" s="47" t="str">
        <f t="shared" si="3"/>
        <v>Southbound</v>
      </c>
      <c r="U16" s="164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4" t="str">
        <f t="shared" si="4"/>
        <v>https://d0f6bd738d7f1b3e5a7ca70fe4ff75f0.us-east-1.aws.found.io/app/kibana#/discover/Steve-Slow-Train-Analysis-(2080s-and-2083s)?_g=(refreshInterval:(display:Off,pause:!f,section:0,value:0),time:(from:'2017-01-19T03:32:11-0700',mode:absolute,to:'2017-01-19T06:21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" s="49" t="str">
        <f t="shared" si="5"/>
        <v>N</v>
      </c>
      <c r="X16" s="170">
        <f t="shared" si="20"/>
        <v>1</v>
      </c>
      <c r="Y16" s="64">
        <f t="shared" si="6"/>
        <v>23.273599999999998</v>
      </c>
      <c r="Z16" s="64">
        <f t="shared" si="7"/>
        <v>1.49E-2</v>
      </c>
      <c r="AA16" s="64">
        <f t="shared" si="8"/>
        <v>23.258699999999997</v>
      </c>
      <c r="AB16" s="61" t="e">
        <f>VLOOKUP(A16,Enforcements!$C$7:$K$15,8,0)</f>
        <v>#N/A</v>
      </c>
      <c r="AC16" s="57" t="e">
        <f>VLOOKUP(A16,Enforcements!$C$7:$E$15,3,0)</f>
        <v>#N/A</v>
      </c>
      <c r="AD16" s="58" t="str">
        <f t="shared" si="9"/>
        <v>0104-19</v>
      </c>
      <c r="AE16" s="87" t="str">
        <f t="shared" si="10"/>
        <v>aws s3 cp s3://rtdc.mdm.uploadarchive.raw/RTDC4015/ "%USERPROFILE%\AppData\Local\Temp\OnboardLogs"\RTDC4015\2017-01-19 --exclude "*" --recursive --include "*20170119*" &amp; "%USERPROFILE%\Documents\GitHub\mrs-test-scripts\Headless Mode &amp; Sideloading\WalkAndUnGZ.bat" "%USERPROFILE%\AppData\Local\Temp\OnboardLogs"\RTDC4015\2017-01-19 &amp; aws s3 cp s3://rtdc.mdm.uploadarchive.raw/RTDC4015/ "%USERPROFILE%\AppData\Local\Temp\OnboardLogs"\RTDC4015\2017-01-20 --exclude "*" --recursive --include "*20170120*" &amp; "%USERPROFILE%\Documents\GitHub\mrs-test-scripts\Headless Mode &amp; Sideloading\WalkAndUnGZ.bat" "%USERPROFILE%\AppData\Local\Temp\OnboardLogs"\RTDC4015\2017-01-20</v>
      </c>
      <c r="AF16" s="84" t="str">
        <f t="shared" si="11"/>
        <v>"C:\Program Files (x86)\AstroGrep\AstroGrep.exe" /spath="%USERPROFILE%\AppData\Local\Temp\OnboardLogs" /stypes="app*4015*20170119*" /stext=" 12:.+((SYSTEM_STATE.+slice.+state.+changed )|(ment ac)|(multiple cpu faults)|(system.+state.+changed )|(\[timeout)|(PRM\|1\|D)|(kpr)|(kdp)|(\|lc)|(penalty))" /e /r /s</v>
      </c>
      <c r="AG16" s="1" t="str">
        <f t="shared" si="12"/>
        <v>EC</v>
      </c>
      <c r="AH16" s="88" t="str">
        <f t="shared" si="16"/>
        <v>"%USERPROFILE%\Documents\GitHub\eaglep3\Utilities\RefineRTDCRunTimes.py" --tripid 104-19 --locoid 4015 --swversion DE.1.0.8.0 --startMP 204:232736 --initTime 2017-01-19T04:32:11 --startdatetime 2017-01-19T04:41:20 --delay 1 --endMP 204:149 --enddatetime 2017-01-19T05:21:15 --enforcementcount 5 &gt;&gt;C:\Users\stu\Documents\GitHub\eaglep3-reporting\EC\2017-01-19-refined-times.txt</v>
      </c>
      <c r="AI16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{"issue":{"subject":"","project_id":79,"tracker_id":40,"status_id":1,"priority_id":2,"assigned_to_id":23,"start_date":"2017-01-19","description":"","custom_fields":[{"id":1,"name":"Subdivision","value":"EC"},{"id":4,"name":"Milepost","value":"0.0149"},{"id":17,"name":"Train ID","value":"104-19"},{"id":16,"name":"Locomotive ID","value":"4015"},{"id":130,"name":"Impact","value":""},{"id":150,"name":"Time of Event (Mountain Time)","value":"05:21:15"},{"id":151,"name":"Denver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0"/>
      <c r="AK16" s="50"/>
      <c r="AL16" s="50"/>
      <c r="AM16" s="177" t="str">
        <f t="shared" si="18"/>
        <v>start /low /b %USERPROFILE%\Documents\GitHub\eaglep3\Utilities\DownloadLogsFromS3.py --loco 4015 --day 2017-01-19</v>
      </c>
      <c r="AN16" s="186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"%USERPROFILE%\AppData\Local\Temp\OnboardLogs"\RTDC4015\*4015*20170119* | grep -SE "(Enforcement Action)|(\[TIMEOUT)|(CHR.+\|PRM\|1\|D.+(SWITCH|SIGNAL).+UNKNOWN)" - &gt;&gt; 2017-01-19-UncaughtWiMAX.txt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4" t="s">
        <v>516</v>
      </c>
      <c r="B17" s="7">
        <v>4031</v>
      </c>
      <c r="C17" s="22" t="s">
        <v>196</v>
      </c>
      <c r="D17" s="22" t="s">
        <v>718</v>
      </c>
      <c r="E17" s="13">
        <v>42754.171307870369</v>
      </c>
      <c r="F17" s="13">
        <v>42754.177245370367</v>
      </c>
      <c r="G17" s="7">
        <v>1</v>
      </c>
      <c r="H17" s="22" t="s">
        <v>719</v>
      </c>
      <c r="I17" s="13">
        <v>42754.203773148147</v>
      </c>
      <c r="J17" s="7">
        <v>5</v>
      </c>
      <c r="K17" s="105" t="str">
        <f t="shared" si="0"/>
        <v>4031/4032</v>
      </c>
      <c r="L17" s="22" t="str">
        <f>VLOOKUP(A17,'Trips&amp;Operators'!$C$1:$G$99999,5,FALSE)</f>
        <v>ROBINSON KADDIBA</v>
      </c>
      <c r="M17" s="6">
        <f t="shared" si="1"/>
        <v>2.6527777779847383E-2</v>
      </c>
      <c r="N17" s="7">
        <f t="shared" si="19"/>
        <v>38.200000002980232</v>
      </c>
      <c r="O17" s="7"/>
      <c r="P17" s="7"/>
      <c r="Q17" s="23"/>
      <c r="R17" s="23"/>
      <c r="S17" s="32">
        <f t="shared" si="2"/>
        <v>1</v>
      </c>
      <c r="T17" s="47" t="str">
        <f t="shared" si="3"/>
        <v>NorthBound</v>
      </c>
      <c r="U17" s="164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4" t="str">
        <f t="shared" si="4"/>
        <v>https://d0f6bd738d7f1b3e5a7ca70fe4ff75f0.us-east-1.aws.found.io/app/kibana#/discover/Steve-Slow-Train-Analysis-(2080s-and-2083s)?_g=(refreshInterval:(display:Off,pause:!f,section:0,value:0),time:(from:'2017-01-19T03:06:41-0700',mode:absolute,to:'2017-01-19T05:53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" s="49" t="str">
        <f t="shared" si="5"/>
        <v>N</v>
      </c>
      <c r="X17" s="170">
        <f t="shared" si="20"/>
        <v>1</v>
      </c>
      <c r="Y17" s="64">
        <f t="shared" si="6"/>
        <v>7.2999999999999995E-2</v>
      </c>
      <c r="Z17" s="64">
        <f t="shared" si="7"/>
        <v>23.332799999999999</v>
      </c>
      <c r="AA17" s="64">
        <f t="shared" si="8"/>
        <v>23.259799999999998</v>
      </c>
      <c r="AB17" s="61" t="e">
        <f>VLOOKUP(A17,Enforcements!$C$7:$K$15,8,0)</f>
        <v>#N/A</v>
      </c>
      <c r="AC17" s="57" t="e">
        <f>VLOOKUP(A17,Enforcements!$C$7:$E$15,3,0)</f>
        <v>#N/A</v>
      </c>
      <c r="AD17" s="58" t="str">
        <f t="shared" si="9"/>
        <v>0105-19</v>
      </c>
      <c r="AE17" s="87" t="str">
        <f t="shared" si="10"/>
        <v>aws s3 cp s3://rtdc.mdm.uploadarchive.raw/RTDC4031/ "%USERPROFILE%\AppData\Local\Temp\OnboardLogs"\RTDC4031\2017-01-19 --exclude "*" --recursive --include "*20170119*" &amp; "%USERPROFILE%\Documents\GitHub\mrs-test-scripts\Headless Mode &amp; Sideloading\WalkAndUnGZ.bat" "%USERPROFILE%\AppData\Local\Temp\OnboardLogs"\RTDC4031\2017-01-19 &amp; aws s3 cp s3://rtdc.mdm.uploadarchive.raw/RTDC4031/ "%USERPROFILE%\AppData\Local\Temp\OnboardLogs"\RTDC4031\2017-01-20 --exclude "*" --recursive --include "*20170120*" &amp; "%USERPROFILE%\Documents\GitHub\mrs-test-scripts\Headless Mode &amp; Sideloading\WalkAndUnGZ.bat" "%USERPROFILE%\AppData\Local\Temp\OnboardLogs"\RTDC4031\2017-01-20</v>
      </c>
      <c r="AF17" s="84" t="str">
        <f t="shared" si="11"/>
        <v>"C:\Program Files (x86)\AstroGrep\AstroGrep.exe" /spath="%USERPROFILE%\AppData\Local\Temp\OnboardLogs" /stypes="app*4031*20170119*" /stext=" 11:.+((SYSTEM_STATE.+slice.+state.+changed )|(ment ac)|(multiple cpu faults)|(system.+state.+changed )|(\[timeout)|(PRM\|1\|D)|(kpr)|(kdp)|(\|lc)|(penalty))" /e /r /s</v>
      </c>
      <c r="AG17" s="1" t="str">
        <f t="shared" si="12"/>
        <v>EC</v>
      </c>
      <c r="AH17" s="88" t="str">
        <f t="shared" si="16"/>
        <v>"%USERPROFILE%\Documents\GitHub\eaglep3\Utilities\RefineRTDCRunTimes.py" --tripid 105-19 --locoid 4031 --swversion DE.1.0.8.0 --startMP 204:730 --initTime 2017-01-19T04:06:41 --startdatetime 2017-01-19T04:15:14 --delay 1 --endMP 204:233328 --enddatetime 2017-01-19T04:53:26 --enforcementcount 5 &gt;&gt;C:\Users\stu\Documents\GitHub\eaglep3-reporting\EC\2017-01-19-refined-times.txt</v>
      </c>
      <c r="AI17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{"issue":{"subject":"","project_id":79,"tracker_id":40,"status_id":1,"priority_id":2,"assigned_to_id":23,"start_date":"2017-01-19","description":"","custom_fields":[{"id":1,"name":"Subdivision","value":"EC"},{"id":4,"name":"Milepost","value":"23.3328"},{"id":17,"name":"Train ID","value":"105-19"},{"id":16,"name":"Locomotive ID","value":"4031"},{"id":130,"name":"Impact","value":""},{"id":150,"name":"Time of Event (Mountain Time)","value":"04:53:26"},{"id":151,"name":"Denver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0"/>
      <c r="AK17" s="50"/>
      <c r="AL17" s="50"/>
      <c r="AM17" s="177" t="str">
        <f t="shared" si="18"/>
        <v>start /low /b %USERPROFILE%\Documents\GitHub\eaglep3\Utilities\DownloadLogsFromS3.py --loco 4031 --day 2017-01-19</v>
      </c>
      <c r="AN17" s="186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"%USERPROFILE%\AppData\Local\Temp\OnboardLogs"\RTDC4031\*4031*20170119* | grep -SE "(Enforcement Action)|(\[TIMEOUT)|(CHR.+\|PRM\|1\|D.+(SWITCH|SIGNAL).+UNKNOWN)" - &gt;&gt; 2017-01-19-UncaughtWiMAX.txt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4" t="s">
        <v>524</v>
      </c>
      <c r="B18" s="7">
        <v>4030</v>
      </c>
      <c r="C18" s="22" t="s">
        <v>196</v>
      </c>
      <c r="D18" s="22" t="s">
        <v>720</v>
      </c>
      <c r="E18" s="13">
        <v>42754.210266203707</v>
      </c>
      <c r="F18" s="13">
        <v>42754.216134259259</v>
      </c>
      <c r="G18" s="7">
        <v>1</v>
      </c>
      <c r="H18" s="22" t="s">
        <v>252</v>
      </c>
      <c r="I18" s="13">
        <v>42754.243391203701</v>
      </c>
      <c r="J18" s="7">
        <v>5</v>
      </c>
      <c r="K18" s="105" t="str">
        <f t="shared" si="0"/>
        <v>4029/4030</v>
      </c>
      <c r="L18" s="22" t="str">
        <f>VLOOKUP(A18,'Trips&amp;Operators'!$C$1:$G$99999,5,FALSE)</f>
        <v>ROBINSON KADDIBA</v>
      </c>
      <c r="M18" s="6">
        <f t="shared" si="1"/>
        <v>2.7256944442342501E-2</v>
      </c>
      <c r="N18" s="7">
        <f t="shared" si="19"/>
        <v>39.249999996973202</v>
      </c>
      <c r="O18" s="7"/>
      <c r="P18" s="7"/>
      <c r="Q18" s="23"/>
      <c r="R18" s="23"/>
      <c r="S18" s="32">
        <f t="shared" si="2"/>
        <v>1</v>
      </c>
      <c r="T18" s="47" t="str">
        <f t="shared" si="3"/>
        <v>Southbound</v>
      </c>
      <c r="U18" s="164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4" t="str">
        <f t="shared" si="4"/>
        <v>https://d0f6bd738d7f1b3e5a7ca70fe4ff75f0.us-east-1.aws.found.io/app/kibana#/discover/Steve-Slow-Train-Analysis-(2080s-and-2083s)?_g=(refreshInterval:(display:Off,pause:!f,section:0,value:0),time:(from:'2017-01-19T04:02:47-0700',mode:absolute,to:'2017-01-19T06:50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" s="49" t="str">
        <f t="shared" si="5"/>
        <v>N</v>
      </c>
      <c r="X18" s="170">
        <f t="shared" si="20"/>
        <v>1</v>
      </c>
      <c r="Y18" s="64">
        <f t="shared" si="6"/>
        <v>23.2681</v>
      </c>
      <c r="Z18" s="64">
        <f t="shared" si="7"/>
        <v>1.54E-2</v>
      </c>
      <c r="AA18" s="64">
        <f t="shared" si="8"/>
        <v>23.252700000000001</v>
      </c>
      <c r="AB18" s="61" t="e">
        <f>VLOOKUP(A18,Enforcements!$C$7:$K$15,8,0)</f>
        <v>#N/A</v>
      </c>
      <c r="AC18" s="57" t="e">
        <f>VLOOKUP(A18,Enforcements!$C$7:$E$15,3,0)</f>
        <v>#N/A</v>
      </c>
      <c r="AD18" s="58" t="str">
        <f t="shared" si="9"/>
        <v>0106-19</v>
      </c>
      <c r="AE18" s="87" t="str">
        <f t="shared" si="10"/>
        <v>aws s3 cp s3://rtdc.mdm.uploadarchive.raw/RTDC4030/ "%USERPROFILE%\AppData\Local\Temp\OnboardLogs"\RTDC4030\2017-01-19 --exclude "*" --recursive --include "*20170119*" &amp; "%USERPROFILE%\Documents\GitHub\mrs-test-scripts\Headless Mode &amp; Sideloading\WalkAndUnGZ.bat" "%USERPROFILE%\AppData\Local\Temp\OnboardLogs"\RTDC4030\2017-01-19 &amp; aws s3 cp s3://rtdc.mdm.uploadarchive.raw/RTDC4030/ "%USERPROFILE%\AppData\Local\Temp\OnboardLogs"\RTDC4030\2017-01-20 --exclude "*" --recursive --include "*20170120*" &amp; "%USERPROFILE%\Documents\GitHub\mrs-test-scripts\Headless Mode &amp; Sideloading\WalkAndUnGZ.bat" "%USERPROFILE%\AppData\Local\Temp\OnboardLogs"\RTDC4030\2017-01-20</v>
      </c>
      <c r="AF18" s="84" t="str">
        <f t="shared" si="11"/>
        <v>"C:\Program Files (x86)\AstroGrep\AstroGrep.exe" /spath="%USERPROFILE%\AppData\Local\Temp\OnboardLogs" /stypes="app*4030*20170119*" /stext=" 12:.+((SYSTEM_STATE.+slice.+state.+changed )|(ment ac)|(multiple cpu faults)|(system.+state.+changed )|(\[timeout)|(PRM\|1\|D)|(kpr)|(kdp)|(\|lc)|(penalty))" /e /r /s</v>
      </c>
      <c r="AG18" s="1" t="str">
        <f t="shared" si="12"/>
        <v>EC</v>
      </c>
      <c r="AH18" s="88" t="str">
        <f t="shared" si="16"/>
        <v>"%USERPROFILE%\Documents\GitHub\eaglep3\Utilities\RefineRTDCRunTimes.py" --tripid 106-19 --locoid 4030 --swversion DE.1.0.8.0 --startMP 204:232681 --initTime 2017-01-19T05:02:47 --startdatetime 2017-01-19T05:11:14 --delay 1 --endMP 204:154 --enddatetime 2017-01-19T05:50:29 --enforcementcount 5 &gt;&gt;C:\Users\stu\Documents\GitHub\eaglep3-reporting\EC\2017-01-19-refined-times.txt</v>
      </c>
      <c r="AI18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{"issue":{"subject":"","project_id":79,"tracker_id":40,"status_id":1,"priority_id":2,"assigned_to_id":23,"start_date":"2017-01-19","description":"","custom_fields":[{"id":1,"name":"Subdivision","value":"EC"},{"id":4,"name":"Milepost","value":"0.0154"},{"id":17,"name":"Train ID","value":"106-19"},{"id":16,"name":"Locomotive ID","value":"4030"},{"id":130,"name":"Impact","value":""},{"id":150,"name":"Time of Event (Mountain Time)","value":"05:50:29"},{"id":151,"name":"Denver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0"/>
      <c r="AK18" s="50"/>
      <c r="AL18" s="50"/>
      <c r="AM18" s="177" t="str">
        <f t="shared" si="18"/>
        <v>start /low /b %USERPROFILE%\Documents\GitHub\eaglep3\Utilities\DownloadLogsFromS3.py --loco 4030 --day 2017-01-19</v>
      </c>
      <c r="AN18" s="186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"%USERPROFILE%\AppData\Local\Temp\OnboardLogs"\RTDC4030\*4030*20170119* | grep -SE "(Enforcement Action)|(\[TIMEOUT)|(CHR.+\|PRM\|1\|D.+(SWITCH|SIGNAL).+UNKNOWN)" - &gt;&gt; 2017-01-19-UncaughtWiMAX.txt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4" t="s">
        <v>518</v>
      </c>
      <c r="B19" s="7">
        <v>4022</v>
      </c>
      <c r="C19" s="22" t="s">
        <v>196</v>
      </c>
      <c r="D19" s="22" t="s">
        <v>721</v>
      </c>
      <c r="E19" s="13">
        <v>42754.183263888888</v>
      </c>
      <c r="F19" s="13">
        <v>42754.187743055554</v>
      </c>
      <c r="G19" s="7">
        <v>1</v>
      </c>
      <c r="H19" s="22" t="s">
        <v>285</v>
      </c>
      <c r="I19" s="13">
        <v>42754.212222222224</v>
      </c>
      <c r="J19" s="7">
        <v>5</v>
      </c>
      <c r="K19" s="105" t="str">
        <f t="shared" si="0"/>
        <v>4021/4022</v>
      </c>
      <c r="L19" s="22" t="str">
        <f>VLOOKUP(A19,'Trips&amp;Operators'!$C$1:$G$99999,5,FALSE)</f>
        <v>BEAM ROSS</v>
      </c>
      <c r="M19" s="6">
        <f t="shared" si="1"/>
        <v>2.4479166670062114E-2</v>
      </c>
      <c r="N19" s="7">
        <f t="shared" si="19"/>
        <v>35.250000004889444</v>
      </c>
      <c r="O19" s="7"/>
      <c r="P19" s="7"/>
      <c r="Q19" s="23"/>
      <c r="R19" s="23"/>
      <c r="S19" s="32">
        <f t="shared" si="2"/>
        <v>1</v>
      </c>
      <c r="T19" s="47" t="str">
        <f t="shared" si="3"/>
        <v>NorthBound</v>
      </c>
      <c r="U19" s="164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4" t="str">
        <f t="shared" si="4"/>
        <v>https://d0f6bd738d7f1b3e5a7ca70fe4ff75f0.us-east-1.aws.found.io/app/kibana#/discover/Steve-Slow-Train-Analysis-(2080s-and-2083s)?_g=(refreshInterval:(display:Off,pause:!f,section:0,value:0),time:(from:'2017-01-19T03:23:54-0700',mode:absolute,to:'2017-01-19T06:05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" s="49" t="str">
        <f t="shared" si="5"/>
        <v>N</v>
      </c>
      <c r="X19" s="170">
        <f t="shared" si="20"/>
        <v>1</v>
      </c>
      <c r="Y19" s="64">
        <f t="shared" si="6"/>
        <v>4.53E-2</v>
      </c>
      <c r="Z19" s="64">
        <f t="shared" si="7"/>
        <v>23.3308</v>
      </c>
      <c r="AA19" s="64">
        <f t="shared" si="8"/>
        <v>23.285499999999999</v>
      </c>
      <c r="AB19" s="61" t="e">
        <f>VLOOKUP(A19,Enforcements!$C$7:$K$15,8,0)</f>
        <v>#N/A</v>
      </c>
      <c r="AC19" s="57" t="e">
        <f>VLOOKUP(A19,Enforcements!$C$7:$E$15,3,0)</f>
        <v>#N/A</v>
      </c>
      <c r="AD19" s="58" t="str">
        <f t="shared" si="9"/>
        <v>0107-19</v>
      </c>
      <c r="AE19" s="87" t="str">
        <f t="shared" si="10"/>
        <v>aws s3 cp s3://rtdc.mdm.uploadarchive.raw/RTDC4022/ "%USERPROFILE%\AppData\Local\Temp\OnboardLogs"\RTDC4022\2017-01-19 --exclude "*" --recursive --include "*20170119*" &amp; "%USERPROFILE%\Documents\GitHub\mrs-test-scripts\Headless Mode &amp; Sideloading\WalkAndUnGZ.bat" "%USERPROFILE%\AppData\Local\Temp\OnboardLogs"\RTDC4022\2017-01-19 &amp; aws s3 cp s3://rtdc.mdm.uploadarchive.raw/RTDC4022/ "%USERPROFILE%\AppData\Local\Temp\OnboardLogs"\RTDC4022\2017-01-20 --exclude "*" --recursive --include "*20170120*" &amp; "%USERPROFILE%\Documents\GitHub\mrs-test-scripts\Headless Mode &amp; Sideloading\WalkAndUnGZ.bat" "%USERPROFILE%\AppData\Local\Temp\OnboardLogs"\RTDC4022\2017-01-20</v>
      </c>
      <c r="AF19" s="84" t="str">
        <f t="shared" si="11"/>
        <v>"C:\Program Files (x86)\AstroGrep\AstroGrep.exe" /spath="%USERPROFILE%\AppData\Local\Temp\OnboardLogs" /stypes="app*4022*20170119*" /stext=" 12:.+((SYSTEM_STATE.+slice.+state.+changed )|(ment ac)|(multiple cpu faults)|(system.+state.+changed )|(\[timeout)|(PRM\|1\|D)|(kpr)|(kdp)|(\|lc)|(penalty))" /e /r /s</v>
      </c>
      <c r="AG19" s="1" t="str">
        <f t="shared" si="12"/>
        <v>EC</v>
      </c>
      <c r="AH19" s="88" t="str">
        <f t="shared" si="16"/>
        <v>"%USERPROFILE%\Documents\GitHub\eaglep3\Utilities\RefineRTDCRunTimes.py" --tripid 107-19 --locoid 4022 --swversion DE.1.0.8.0 --startMP 204:453 --initTime 2017-01-19T04:23:54 --startdatetime 2017-01-19T04:30:21 --delay 1 --endMP 204:233308 --enddatetime 2017-01-19T05:05:36 --enforcementcount 5 &gt;&gt;C:\Users\stu\Documents\GitHub\eaglep3-reporting\EC\2017-01-19-refined-times.txt</v>
      </c>
      <c r="AI19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{"issue":{"subject":"","project_id":79,"tracker_id":40,"status_id":1,"priority_id":2,"assigned_to_id":23,"start_date":"2017-01-19","description":"","custom_fields":[{"id":1,"name":"Subdivision","value":"EC"},{"id":4,"name":"Milepost","value":"23.3308"},{"id":17,"name":"Train ID","value":"107-19"},{"id":16,"name":"Locomotive ID","value":"4022"},{"id":130,"name":"Impact","value":""},{"id":150,"name":"Time of Event (Mountain Time)","value":"05:05:36"},{"id":151,"name":"Denver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0"/>
      <c r="AK19" s="50"/>
      <c r="AL19" s="50"/>
      <c r="AM19" s="177" t="str">
        <f t="shared" si="18"/>
        <v>start /low /b %USERPROFILE%\Documents\GitHub\eaglep3\Utilities\DownloadLogsFromS3.py --loco 4022 --day 2017-01-19</v>
      </c>
      <c r="AN19" s="186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"%USERPROFILE%\AppData\Local\Temp\OnboardLogs"\RTDC4022\*4022*20170119* | grep -SE "(Enforcement Action)|(\[TIMEOUT)|(CHR.+\|PRM\|1\|D.+(SWITCH|SIGNAL).+UNKNOWN)" - &gt;&gt; 2017-01-19-UncaughtWiMAX.txt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4" t="s">
        <v>526</v>
      </c>
      <c r="B20" s="7">
        <v>4021</v>
      </c>
      <c r="C20" s="22" t="s">
        <v>196</v>
      </c>
      <c r="D20" s="22" t="s">
        <v>300</v>
      </c>
      <c r="E20" s="13">
        <v>42754.221446759257</v>
      </c>
      <c r="F20" s="13">
        <v>42754.226550925923</v>
      </c>
      <c r="G20" s="7">
        <v>1</v>
      </c>
      <c r="H20" s="22" t="s">
        <v>215</v>
      </c>
      <c r="I20" s="13">
        <v>42754.254513888889</v>
      </c>
      <c r="J20" s="7">
        <v>5</v>
      </c>
      <c r="K20" s="105" t="str">
        <f t="shared" si="0"/>
        <v>4021/4022</v>
      </c>
      <c r="L20" s="22" t="str">
        <f>VLOOKUP(A20,'Trips&amp;Operators'!$C$1:$G$99999,5,FALSE)</f>
        <v>BEAM ROSS</v>
      </c>
      <c r="M20" s="6">
        <f t="shared" si="1"/>
        <v>2.7962962965830229E-2</v>
      </c>
      <c r="N20" s="7">
        <f t="shared" si="19"/>
        <v>40.26666667079553</v>
      </c>
      <c r="O20" s="7"/>
      <c r="P20" s="7"/>
      <c r="Q20" s="23"/>
      <c r="R20" s="23"/>
      <c r="S20" s="32">
        <f t="shared" si="2"/>
        <v>1</v>
      </c>
      <c r="T20" s="47" t="str">
        <f t="shared" si="3"/>
        <v>Southbound</v>
      </c>
      <c r="U20" s="164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4" t="str">
        <f t="shared" si="4"/>
        <v>https://d0f6bd738d7f1b3e5a7ca70fe4ff75f0.us-east-1.aws.found.io/app/kibana#/discover/Steve-Slow-Train-Analysis-(2080s-and-2083s)?_g=(refreshInterval:(display:Off,pause:!f,section:0,value:0),time:(from:'2017-01-19T04:18:53-0700',mode:absolute,to:'2017-01-19T07:06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" s="49" t="str">
        <f t="shared" si="5"/>
        <v>N</v>
      </c>
      <c r="X20" s="170">
        <f t="shared" si="20"/>
        <v>1</v>
      </c>
      <c r="Y20" s="64">
        <f t="shared" si="6"/>
        <v>23.299600000000002</v>
      </c>
      <c r="Z20" s="64">
        <f t="shared" si="7"/>
        <v>1.3899999999999999E-2</v>
      </c>
      <c r="AA20" s="64">
        <f t="shared" si="8"/>
        <v>23.285700000000002</v>
      </c>
      <c r="AB20" s="61" t="e">
        <f>VLOOKUP(A20,Enforcements!$C$7:$K$15,8,0)</f>
        <v>#N/A</v>
      </c>
      <c r="AC20" s="57" t="e">
        <f>VLOOKUP(A20,Enforcements!$C$7:$E$15,3,0)</f>
        <v>#N/A</v>
      </c>
      <c r="AD20" s="58" t="str">
        <f t="shared" si="9"/>
        <v>0108-19</v>
      </c>
      <c r="AE20" s="87" t="str">
        <f t="shared" si="10"/>
        <v>aws s3 cp s3://rtdc.mdm.uploadarchive.raw/RTDC4021/ "%USERPROFILE%\AppData\Local\Temp\OnboardLogs"\RTDC4021\2017-01-19 --exclude "*" --recursive --include "*20170119*" &amp; "%USERPROFILE%\Documents\GitHub\mrs-test-scripts\Headless Mode &amp; Sideloading\WalkAndUnGZ.bat" "%USERPROFILE%\AppData\Local\Temp\OnboardLogs"\RTDC4021\2017-01-19 &amp; aws s3 cp s3://rtdc.mdm.uploadarchive.raw/RTDC4021/ "%USERPROFILE%\AppData\Local\Temp\OnboardLogs"\RTDC4021\2017-01-20 --exclude "*" --recursive --include "*20170120*" &amp; "%USERPROFILE%\Documents\GitHub\mrs-test-scripts\Headless Mode &amp; Sideloading\WalkAndUnGZ.bat" "%USERPROFILE%\AppData\Local\Temp\OnboardLogs"\RTDC4021\2017-01-20</v>
      </c>
      <c r="AF20" s="84" t="str">
        <f t="shared" si="11"/>
        <v>"C:\Program Files (x86)\AstroGrep\AstroGrep.exe" /spath="%USERPROFILE%\AppData\Local\Temp\OnboardLogs" /stypes="app*4021*20170119*" /stext=" 13:.+((SYSTEM_STATE.+slice.+state.+changed )|(ment ac)|(multiple cpu faults)|(system.+state.+changed )|(\[timeout)|(PRM\|1\|D)|(kpr)|(kdp)|(\|lc)|(penalty))" /e /r /s</v>
      </c>
      <c r="AG20" s="1" t="str">
        <f t="shared" si="12"/>
        <v>EC</v>
      </c>
      <c r="AH20" s="88" t="str">
        <f t="shared" si="16"/>
        <v>"%USERPROFILE%\Documents\GitHub\eaglep3\Utilities\RefineRTDCRunTimes.py" --tripid 108-19 --locoid 4021 --swversion DE.1.0.8.0 --startMP 204:232996 --initTime 2017-01-19T05:18:53 --startdatetime 2017-01-19T05:26:14 --delay 1 --endMP 204:139 --enddatetime 2017-01-19T06:06:30 --enforcementcount 5 &gt;&gt;C:\Users\stu\Documents\GitHub\eaglep3-reporting\EC\2017-01-19-refined-times.txt</v>
      </c>
      <c r="AI20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{"issue":{"subject":"","project_id":79,"tracker_id":40,"status_id":1,"priority_id":2,"assigned_to_id":23,"start_date":"2017-01-19","description":"","custom_fields":[{"id":1,"name":"Subdivision","value":"EC"},{"id":4,"name":"Milepost","value":"0.0139"},{"id":17,"name":"Train ID","value":"108-19"},{"id":16,"name":"Locomotive ID","value":"4021"},{"id":130,"name":"Impact","value":""},{"id":150,"name":"Time of Event (Mountain Time)","value":"06:06:30"},{"id":151,"name":"Denver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0"/>
      <c r="AK20" s="50"/>
      <c r="AL20" s="50"/>
      <c r="AM20" s="177" t="str">
        <f t="shared" si="18"/>
        <v>start /low /b %USERPROFILE%\Documents\GitHub\eaglep3\Utilities\DownloadLogsFromS3.py --loco 4021 --day 2017-01-19</v>
      </c>
      <c r="AN20" s="186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"%USERPROFILE%\AppData\Local\Temp\OnboardLogs"\RTDC4021\*4021*20170119* | grep -SE "(Enforcement Action)|(\[TIMEOUT)|(CHR.+\|PRM\|1\|D.+(SWITCH|SIGNAL).+UNKNOWN)" - &gt;&gt; 2017-01-19-UncaughtWiMAX.txt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4" t="s">
        <v>520</v>
      </c>
      <c r="B21" s="7">
        <v>4011</v>
      </c>
      <c r="C21" s="22" t="s">
        <v>196</v>
      </c>
      <c r="D21" s="22" t="s">
        <v>722</v>
      </c>
      <c r="E21" s="13">
        <v>42754.193090277775</v>
      </c>
      <c r="F21" s="13">
        <v>42754.198194444441</v>
      </c>
      <c r="G21" s="7">
        <v>1</v>
      </c>
      <c r="H21" s="22" t="s">
        <v>723</v>
      </c>
      <c r="I21" s="13">
        <v>42754.22451388889</v>
      </c>
      <c r="J21" s="7">
        <v>5</v>
      </c>
      <c r="K21" s="105" t="str">
        <f t="shared" si="0"/>
        <v>4011/4012</v>
      </c>
      <c r="L21" s="22" t="str">
        <f>VLOOKUP(A21,'Trips&amp;Operators'!$C$1:$G$99999,5,FALSE)</f>
        <v>STRICKLAND EVAN</v>
      </c>
      <c r="M21" s="6">
        <f t="shared" si="1"/>
        <v>2.6319444448745344E-2</v>
      </c>
      <c r="N21" s="7">
        <f t="shared" si="19"/>
        <v>37.900000006193295</v>
      </c>
      <c r="O21" s="7"/>
      <c r="P21" s="7"/>
      <c r="Q21" s="23"/>
      <c r="R21" s="23"/>
      <c r="S21" s="32">
        <f t="shared" si="2"/>
        <v>1</v>
      </c>
      <c r="T21" s="47" t="str">
        <f t="shared" si="3"/>
        <v>NorthBound</v>
      </c>
      <c r="U21" s="164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4" t="str">
        <f t="shared" si="4"/>
        <v>https://d0f6bd738d7f1b3e5a7ca70fe4ff75f0.us-east-1.aws.found.io/app/kibana#/discover/Steve-Slow-Train-Analysis-(2080s-and-2083s)?_g=(refreshInterval:(display:Off,pause:!f,section:0,value:0),time:(from:'2017-01-19T03:38:03-0700',mode:absolute,to:'2017-01-19T06:23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" s="49" t="str">
        <f t="shared" si="5"/>
        <v>N</v>
      </c>
      <c r="X21" s="170">
        <f t="shared" si="20"/>
        <v>1</v>
      </c>
      <c r="Y21" s="64">
        <f t="shared" si="6"/>
        <v>4.7100000000000003E-2</v>
      </c>
      <c r="Z21" s="64">
        <f t="shared" si="7"/>
        <v>23.3291</v>
      </c>
      <c r="AA21" s="64">
        <f t="shared" si="8"/>
        <v>23.282</v>
      </c>
      <c r="AB21" s="61" t="e">
        <f>VLOOKUP(A21,Enforcements!$C$7:$K$15,8,0)</f>
        <v>#N/A</v>
      </c>
      <c r="AC21" s="57" t="e">
        <f>VLOOKUP(A21,Enforcements!$C$7:$E$15,3,0)</f>
        <v>#N/A</v>
      </c>
      <c r="AD21" s="58" t="str">
        <f t="shared" si="9"/>
        <v>0109-19</v>
      </c>
      <c r="AE21" s="87" t="str">
        <f t="shared" si="10"/>
        <v>aws s3 cp s3://rtdc.mdm.uploadarchive.raw/RTDC4011/ "%USERPROFILE%\AppData\Local\Temp\OnboardLogs"\RTDC4011\2017-01-19 --exclude "*" --recursive --include "*20170119*" &amp; "%USERPROFILE%\Documents\GitHub\mrs-test-scripts\Headless Mode &amp; Sideloading\WalkAndUnGZ.bat" "%USERPROFILE%\AppData\Local\Temp\OnboardLogs"\RTDC4011\2017-01-19 &amp; aws s3 cp s3://rtdc.mdm.uploadarchive.raw/RTDC4011/ "%USERPROFILE%\AppData\Local\Temp\OnboardLogs"\RTDC4011\2017-01-20 --exclude "*" --recursive --include "*20170120*" &amp; "%USERPROFILE%\Documents\GitHub\mrs-test-scripts\Headless Mode &amp; Sideloading\WalkAndUnGZ.bat" "%USERPROFILE%\AppData\Local\Temp\OnboardLogs"\RTDC4011\2017-01-20</v>
      </c>
      <c r="AF21" s="84" t="str">
        <f t="shared" si="11"/>
        <v>"C:\Program Files (x86)\AstroGrep\AstroGrep.exe" /spath="%USERPROFILE%\AppData\Local\Temp\OnboardLogs" /stypes="app*4011*20170119*" /stext=" 12:.+((SYSTEM_STATE.+slice.+state.+changed )|(ment ac)|(multiple cpu faults)|(system.+state.+changed )|(\[timeout)|(PRM\|1\|D)|(kpr)|(kdp)|(\|lc)|(penalty))" /e /r /s</v>
      </c>
      <c r="AG21" s="1" t="str">
        <f t="shared" si="12"/>
        <v>EC</v>
      </c>
      <c r="AH21" s="88" t="str">
        <f t="shared" si="16"/>
        <v>"%USERPROFILE%\Documents\GitHub\eaglep3\Utilities\RefineRTDCRunTimes.py" --tripid 109-19 --locoid 4011 --swversion DE.1.0.8.0 --startMP 204:471 --initTime 2017-01-19T04:38:03 --startdatetime 2017-01-19T04:45:24 --delay 1 --endMP 204:233291 --enddatetime 2017-01-19T05:23:18 --enforcementcount 5 &gt;&gt;C:\Users\stu\Documents\GitHub\eaglep3-reporting\EC\2017-01-19-refined-times.txt</v>
      </c>
      <c r="AI21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{"issue":{"subject":"","project_id":79,"tracker_id":40,"status_id":1,"priority_id":2,"assigned_to_id":23,"start_date":"2017-01-19","description":"","custom_fields":[{"id":1,"name":"Subdivision","value":"EC"},{"id":4,"name":"Milepost","value":"23.3291"},{"id":17,"name":"Train ID","value":"109-19"},{"id":16,"name":"Locomotive ID","value":"4011"},{"id":130,"name":"Impact","value":""},{"id":150,"name":"Time of Event (Mountain Time)","value":"05:23:18"},{"id":151,"name":"Denver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0"/>
      <c r="AK21" s="50"/>
      <c r="AL21" s="50"/>
      <c r="AM21" s="177" t="str">
        <f t="shared" si="18"/>
        <v>start /low /b %USERPROFILE%\Documents\GitHub\eaglep3\Utilities\DownloadLogsFromS3.py --loco 4011 --day 2017-01-19</v>
      </c>
      <c r="AN21" s="186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"%USERPROFILE%\AppData\Local\Temp\OnboardLogs"\RTDC4011\*4011*20170119* | grep -SE "(Enforcement Action)|(\[TIMEOUT)|(CHR.+\|PRM\|1\|D.+(SWITCH|SIGNAL).+UNKNOWN)" - &gt;&gt; 2017-01-19-UncaughtWiMAX.txt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4" t="s">
        <v>527</v>
      </c>
      <c r="B22" s="7">
        <v>4012</v>
      </c>
      <c r="C22" s="22" t="s">
        <v>196</v>
      </c>
      <c r="D22" s="22" t="s">
        <v>222</v>
      </c>
      <c r="E22" s="13">
        <v>42754.226307870369</v>
      </c>
      <c r="F22" s="13">
        <v>42754.237025462964</v>
      </c>
      <c r="G22" s="7">
        <v>1</v>
      </c>
      <c r="H22" s="22" t="s">
        <v>252</v>
      </c>
      <c r="I22" s="13">
        <v>42754.26903935185</v>
      </c>
      <c r="J22" s="7">
        <v>5</v>
      </c>
      <c r="K22" s="105" t="str">
        <f t="shared" si="0"/>
        <v>4011/4012</v>
      </c>
      <c r="L22" s="22" t="str">
        <f>VLOOKUP(A22,'Trips&amp;Operators'!$C$1:$G$99999,5,FALSE)</f>
        <v>STRICKLAND EVAN</v>
      </c>
      <c r="M22" s="6">
        <f t="shared" si="1"/>
        <v>3.2013888885558117E-2</v>
      </c>
      <c r="N22" s="7">
        <f t="shared" si="19"/>
        <v>46.099999995203689</v>
      </c>
      <c r="O22" s="7"/>
      <c r="P22" s="7"/>
      <c r="Q22" s="23"/>
      <c r="R22" s="23"/>
      <c r="S22" s="32">
        <f t="shared" si="2"/>
        <v>1</v>
      </c>
      <c r="T22" s="47" t="str">
        <f t="shared" si="3"/>
        <v>Southbound</v>
      </c>
      <c r="U22" s="164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4" t="str">
        <f t="shared" si="4"/>
        <v>https://d0f6bd738d7f1b3e5a7ca70fe4ff75f0.us-east-1.aws.found.io/app/kibana#/discover/Steve-Slow-Train-Analysis-(2080s-and-2083s)?_g=(refreshInterval:(display:Off,pause:!f,section:0,value:0),time:(from:'2017-01-19T04:25:53-0700',mode:absolute,to:'2017-01-19T07:27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2" s="49" t="str">
        <f t="shared" si="5"/>
        <v>N</v>
      </c>
      <c r="X22" s="170">
        <f t="shared" si="20"/>
        <v>1</v>
      </c>
      <c r="Y22" s="64">
        <f t="shared" si="6"/>
        <v>23.2986</v>
      </c>
      <c r="Z22" s="64">
        <f t="shared" si="7"/>
        <v>1.54E-2</v>
      </c>
      <c r="AA22" s="64">
        <f t="shared" si="8"/>
        <v>23.283200000000001</v>
      </c>
      <c r="AB22" s="61" t="e">
        <f>VLOOKUP(A22,Enforcements!$C$7:$K$15,8,0)</f>
        <v>#N/A</v>
      </c>
      <c r="AC22" s="57" t="e">
        <f>VLOOKUP(A22,Enforcements!$C$7:$E$15,3,0)</f>
        <v>#N/A</v>
      </c>
      <c r="AD22" s="58" t="str">
        <f t="shared" si="9"/>
        <v>0110-19</v>
      </c>
      <c r="AE22" s="87" t="str">
        <f t="shared" si="10"/>
        <v>aws s3 cp s3://rtdc.mdm.uploadarchive.raw/RTDC4012/ "%USERPROFILE%\AppData\Local\Temp\OnboardLogs"\RTDC4012\2017-01-19 --exclude "*" --recursive --include "*20170119*" &amp; "%USERPROFILE%\Documents\GitHub\mrs-test-scripts\Headless Mode &amp; Sideloading\WalkAndUnGZ.bat" "%USERPROFILE%\AppData\Local\Temp\OnboardLogs"\RTDC4012\2017-01-19 &amp; aws s3 cp s3://rtdc.mdm.uploadarchive.raw/RTDC4012/ "%USERPROFILE%\AppData\Local\Temp\OnboardLogs"\RTDC4012\2017-01-20 --exclude "*" --recursive --include "*20170120*" &amp; "%USERPROFILE%\Documents\GitHub\mrs-test-scripts\Headless Mode &amp; Sideloading\WalkAndUnGZ.bat" "%USERPROFILE%\AppData\Local\Temp\OnboardLogs"\RTDC4012\2017-01-20</v>
      </c>
      <c r="AF22" s="84" t="str">
        <f t="shared" si="11"/>
        <v>"C:\Program Files (x86)\AstroGrep\AstroGrep.exe" /spath="%USERPROFILE%\AppData\Local\Temp\OnboardLogs" /stypes="app*4012*20170119*" /stext=" 13:.+((SYSTEM_STATE.+slice.+state.+changed )|(ment ac)|(multiple cpu faults)|(system.+state.+changed )|(\[timeout)|(PRM\|1\|D)|(kpr)|(kdp)|(\|lc)|(penalty))" /e /r /s</v>
      </c>
      <c r="AG22" s="1" t="str">
        <f t="shared" si="12"/>
        <v>EC</v>
      </c>
      <c r="AH22" s="88" t="str">
        <f t="shared" si="16"/>
        <v>"%USERPROFILE%\Documents\GitHub\eaglep3\Utilities\RefineRTDCRunTimes.py" --tripid 110-19 --locoid 4012 --swversion DE.1.0.8.0 --startMP 204:232986 --initTime 2017-01-19T05:25:53 --startdatetime 2017-01-19T05:41:19 --delay 1 --endMP 204:154 --enddatetime 2017-01-19T06:27:25 --enforcementcount 5 &gt;&gt;C:\Users\stu\Documents\GitHub\eaglep3-reporting\EC\2017-01-19-refined-times.txt</v>
      </c>
      <c r="AI22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{"issue":{"subject":"","project_id":79,"tracker_id":40,"status_id":1,"priority_id":2,"assigned_to_id":23,"start_date":"2017-01-19","description":"","custom_fields":[{"id":1,"name":"Subdivision","value":"EC"},{"id":4,"name":"Milepost","value":"0.0154"},{"id":17,"name":"Train ID","value":"110-19"},{"id":16,"name":"Locomotive ID","value":"4012"},{"id":130,"name":"Impact","value":""},{"id":150,"name":"Time of Event (Mountain Time)","value":"06:27:25"},{"id":151,"name":"Denver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0"/>
      <c r="AK22" s="50"/>
      <c r="AL22" s="50"/>
      <c r="AM22" s="177" t="str">
        <f t="shared" si="18"/>
        <v>start /low /b %USERPROFILE%\Documents\GitHub\eaglep3\Utilities\DownloadLogsFromS3.py --loco 4012 --day 2017-01-19</v>
      </c>
      <c r="AN22" s="186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"%USERPROFILE%\AppData\Local\Temp\OnboardLogs"\RTDC4012\*4012*20170119* | grep -SE "(Enforcement Action)|(\[TIMEOUT)|(CHR.+\|PRM\|1\|D.+(SWITCH|SIGNAL).+UNKNOWN)" - &gt;&gt; 2017-01-19-UncaughtWiMAX.txt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4" t="s">
        <v>522</v>
      </c>
      <c r="B23" s="7">
        <v>4002</v>
      </c>
      <c r="C23" s="22" t="s">
        <v>196</v>
      </c>
      <c r="D23" s="22" t="s">
        <v>724</v>
      </c>
      <c r="E23" s="13">
        <v>42754.204282407409</v>
      </c>
      <c r="F23" s="13">
        <v>42754.208518518521</v>
      </c>
      <c r="G23" s="7">
        <v>1</v>
      </c>
      <c r="H23" s="22" t="s">
        <v>723</v>
      </c>
      <c r="I23" s="13">
        <v>42754.233101851853</v>
      </c>
      <c r="J23" s="7">
        <v>5</v>
      </c>
      <c r="K23" s="105" t="str">
        <f t="shared" si="0"/>
        <v>4001/4002</v>
      </c>
      <c r="L23" s="22" t="str">
        <f>VLOOKUP(A23,'Trips&amp;Operators'!$C$1:$G$99999,5,FALSE)</f>
        <v>YORK EDGAR</v>
      </c>
      <c r="M23" s="6">
        <f t="shared" si="1"/>
        <v>2.4583333331975155E-2</v>
      </c>
      <c r="N23" s="7">
        <f t="shared" si="19"/>
        <v>35.399999998044223</v>
      </c>
      <c r="O23" s="7"/>
      <c r="P23" s="7"/>
      <c r="Q23" s="23"/>
      <c r="R23" s="23"/>
      <c r="S23" s="32">
        <f t="shared" si="2"/>
        <v>1</v>
      </c>
      <c r="T23" s="47" t="str">
        <f t="shared" si="3"/>
        <v>NorthBound</v>
      </c>
      <c r="U23" s="164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4" t="str">
        <f t="shared" si="4"/>
        <v>https://d0f6bd738d7f1b3e5a7ca70fe4ff75f0.us-east-1.aws.found.io/app/kibana#/discover/Steve-Slow-Train-Analysis-(2080s-and-2083s)?_g=(refreshInterval:(display:Off,pause:!f,section:0,value:0),time:(from:'2017-01-19T03:54:10-0700',mode:absolute,to:'2017-01-19T06:35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3" s="49" t="str">
        <f t="shared" si="5"/>
        <v>N</v>
      </c>
      <c r="X23" s="170">
        <f t="shared" si="20"/>
        <v>1</v>
      </c>
      <c r="Y23" s="64">
        <f t="shared" si="6"/>
        <v>0.1162</v>
      </c>
      <c r="Z23" s="64">
        <f t="shared" si="7"/>
        <v>23.3291</v>
      </c>
      <c r="AA23" s="64">
        <f t="shared" si="8"/>
        <v>23.212900000000001</v>
      </c>
      <c r="AB23" s="61" t="e">
        <f>VLOOKUP(A23,Enforcements!$C$7:$K$15,8,0)</f>
        <v>#N/A</v>
      </c>
      <c r="AC23" s="57" t="e">
        <f>VLOOKUP(A23,Enforcements!$C$7:$E$15,3,0)</f>
        <v>#N/A</v>
      </c>
      <c r="AD23" s="58" t="str">
        <f t="shared" si="9"/>
        <v>0111-19</v>
      </c>
      <c r="AE23" s="87" t="str">
        <f t="shared" si="10"/>
        <v>aws s3 cp s3://rtdc.mdm.uploadarchive.raw/RTDC4002/ "%USERPROFILE%\AppData\Local\Temp\OnboardLogs"\RTDC4002\2017-01-19 --exclude "*" --recursive --include "*20170119*" &amp; "%USERPROFILE%\Documents\GitHub\mrs-test-scripts\Headless Mode &amp; Sideloading\WalkAndUnGZ.bat" "%USERPROFILE%\AppData\Local\Temp\OnboardLogs"\RTDC4002\2017-01-19 &amp; aws s3 cp s3://rtdc.mdm.uploadarchive.raw/RTDC4002/ "%USERPROFILE%\AppData\Local\Temp\OnboardLogs"\RTDC4002\2017-01-20 --exclude "*" --recursive --include "*20170120*" &amp; "%USERPROFILE%\Documents\GitHub\mrs-test-scripts\Headless Mode &amp; Sideloading\WalkAndUnGZ.bat" "%USERPROFILE%\AppData\Local\Temp\OnboardLogs"\RTDC4002\2017-01-20</v>
      </c>
      <c r="AF23" s="84" t="str">
        <f t="shared" si="11"/>
        <v>"C:\Program Files (x86)\AstroGrep\AstroGrep.exe" /spath="%USERPROFILE%\AppData\Local\Temp\OnboardLogs" /stypes="app*4002*20170119*" /stext=" 12:.+((SYSTEM_STATE.+slice.+state.+changed )|(ment ac)|(multiple cpu faults)|(system.+state.+changed )|(\[timeout)|(PRM\|1\|D)|(kpr)|(kdp)|(\|lc)|(penalty))" /e /r /s</v>
      </c>
      <c r="AG23" s="1" t="str">
        <f t="shared" si="12"/>
        <v>EC</v>
      </c>
      <c r="AH23" s="88" t="str">
        <f t="shared" si="16"/>
        <v>"%USERPROFILE%\Documents\GitHub\eaglep3\Utilities\RefineRTDCRunTimes.py" --tripid 111-19 --locoid 4002 --swversion DE.1.0.8.0 --startMP 204:1162 --initTime 2017-01-19T04:54:10 --startdatetime 2017-01-19T05:00:16 --delay 1 --endMP 204:233291 --enddatetime 2017-01-19T05:35:40 --enforcementcount 5 &gt;&gt;C:\Users\stu\Documents\GitHub\eaglep3-reporting\EC\2017-01-19-refined-times.txt</v>
      </c>
      <c r="AI23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{"issue":{"subject":"","project_id":79,"tracker_id":40,"status_id":1,"priority_id":2,"assigned_to_id":23,"start_date":"2017-01-19","description":"","custom_fields":[{"id":1,"name":"Subdivision","value":"EC"},{"id":4,"name":"Milepost","value":"23.3291"},{"id":17,"name":"Train ID","value":"111-19"},{"id":16,"name":"Locomotive ID","value":"4002"},{"id":130,"name":"Impact","value":""},{"id":150,"name":"Time of Event (Mountain Time)","value":"05:35:40"},{"id":151,"name":"Denver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0"/>
      <c r="AK23" s="50"/>
      <c r="AL23" s="50"/>
      <c r="AM23" s="177" t="str">
        <f t="shared" si="18"/>
        <v>start /low /b %USERPROFILE%\Documents\GitHub\eaglep3\Utilities\DownloadLogsFromS3.py --loco 4002 --day 2017-01-19</v>
      </c>
      <c r="AN23" s="186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"%USERPROFILE%\AppData\Local\Temp\OnboardLogs"\RTDC4002\*4002*20170119* | grep -SE "(Enforcement Action)|(\[TIMEOUT)|(CHR.+\|PRM\|1\|D.+(SWITCH|SIGNAL).+UNKNOWN)" - &gt;&gt; 2017-01-19-UncaughtWiMAX.txt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4" t="s">
        <v>531</v>
      </c>
      <c r="B24" s="7">
        <v>4001</v>
      </c>
      <c r="C24" s="22" t="s">
        <v>196</v>
      </c>
      <c r="D24" s="22" t="s">
        <v>217</v>
      </c>
      <c r="E24" s="13">
        <v>42754.234444444446</v>
      </c>
      <c r="F24" s="13">
        <v>42754.24759259259</v>
      </c>
      <c r="G24" s="7">
        <v>1</v>
      </c>
      <c r="H24" s="22" t="s">
        <v>725</v>
      </c>
      <c r="I24" s="13">
        <v>42754.273217592592</v>
      </c>
      <c r="J24" s="7">
        <v>5</v>
      </c>
      <c r="K24" s="105" t="str">
        <f t="shared" si="0"/>
        <v>4001/4002</v>
      </c>
      <c r="L24" s="22" t="str">
        <f>VLOOKUP(A24,'Trips&amp;Operators'!$C$1:$G$99999,5,FALSE)</f>
        <v>YORK EDGAR</v>
      </c>
      <c r="M24" s="6">
        <f t="shared" si="1"/>
        <v>2.5625000002037268E-2</v>
      </c>
      <c r="N24" s="7">
        <f t="shared" si="19"/>
        <v>36.900000002933666</v>
      </c>
      <c r="O24" s="7"/>
      <c r="P24" s="7"/>
      <c r="Q24" s="23"/>
      <c r="R24" s="23"/>
      <c r="S24" s="32">
        <f t="shared" si="2"/>
        <v>1</v>
      </c>
      <c r="T24" s="47" t="str">
        <f t="shared" si="3"/>
        <v>Southbound</v>
      </c>
      <c r="U24" s="164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4" t="str">
        <f t="shared" si="4"/>
        <v>https://d0f6bd738d7f1b3e5a7ca70fe4ff75f0.us-east-1.aws.found.io/app/kibana#/discover/Steve-Slow-Train-Analysis-(2080s-and-2083s)?_g=(refreshInterval:(display:Off,pause:!f,section:0,value:0),time:(from:'2017-01-19T04:37:36-0700',mode:absolute,to:'2017-01-19T07:33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4" s="49" t="str">
        <f t="shared" si="5"/>
        <v>N</v>
      </c>
      <c r="X24" s="170">
        <f t="shared" si="20"/>
        <v>1</v>
      </c>
      <c r="Y24" s="64">
        <f t="shared" si="6"/>
        <v>23.297699999999999</v>
      </c>
      <c r="Z24" s="64">
        <f t="shared" si="7"/>
        <v>0.16220000000000001</v>
      </c>
      <c r="AA24" s="64">
        <f t="shared" si="8"/>
        <v>23.1355</v>
      </c>
      <c r="AB24" s="61" t="e">
        <f>VLOOKUP(A24,Enforcements!$C$7:$K$15,8,0)</f>
        <v>#N/A</v>
      </c>
      <c r="AC24" s="57" t="e">
        <f>VLOOKUP(A24,Enforcements!$C$7:$E$15,3,0)</f>
        <v>#N/A</v>
      </c>
      <c r="AD24" s="58" t="str">
        <f t="shared" si="9"/>
        <v>0112-19</v>
      </c>
      <c r="AE24" s="87" t="str">
        <f t="shared" si="10"/>
        <v>aws s3 cp s3://rtdc.mdm.uploadarchive.raw/RTDC4001/ "%USERPROFILE%\AppData\Local\Temp\OnboardLogs"\RTDC4001\2017-01-19 --exclude "*" --recursive --include "*20170119*" &amp; "%USERPROFILE%\Documents\GitHub\mrs-test-scripts\Headless Mode &amp; Sideloading\WalkAndUnGZ.bat" "%USERPROFILE%\AppData\Local\Temp\OnboardLogs"\RTDC4001\2017-01-19 &amp; aws s3 cp s3://rtdc.mdm.uploadarchive.raw/RTDC4001/ "%USERPROFILE%\AppData\Local\Temp\OnboardLogs"\RTDC4001\2017-01-20 --exclude "*" --recursive --include "*20170120*" &amp; "%USERPROFILE%\Documents\GitHub\mrs-test-scripts\Headless Mode &amp; Sideloading\WalkAndUnGZ.bat" "%USERPROFILE%\AppData\Local\Temp\OnboardLogs"\RTDC4001\2017-01-20</v>
      </c>
      <c r="AF24" s="84" t="str">
        <f t="shared" si="11"/>
        <v>"C:\Program Files (x86)\AstroGrep\AstroGrep.exe" /spath="%USERPROFILE%\AppData\Local\Temp\OnboardLogs" /stypes="app*4001*20170119*" /stext=" 13:.+((SYSTEM_STATE.+slice.+state.+changed )|(ment ac)|(multiple cpu faults)|(system.+state.+changed )|(\[timeout)|(PRM\|1\|D)|(kpr)|(kdp)|(\|lc)|(penalty))" /e /r /s</v>
      </c>
      <c r="AG24" s="1" t="str">
        <f t="shared" si="12"/>
        <v>EC</v>
      </c>
      <c r="AH24" s="88" t="str">
        <f t="shared" si="16"/>
        <v>"%USERPROFILE%\Documents\GitHub\eaglep3\Utilities\RefineRTDCRunTimes.py" --tripid 112-19 --locoid 4001 --swversion DE.1.0.8.0 --startMP 204:232977 --initTime 2017-01-19T05:37:36 --startdatetime 2017-01-19T05:56:32 --delay 1 --endMP 204:1622 --enddatetime 2017-01-19T06:33:26 --enforcementcount 5 &gt;&gt;C:\Users\stu\Documents\GitHub\eaglep3-reporting\EC\2017-01-19-refined-times.txt</v>
      </c>
      <c r="AI24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{"issue":{"subject":"","project_id":79,"tracker_id":40,"status_id":1,"priority_id":2,"assigned_to_id":23,"start_date":"2017-01-19","description":"","custom_fields":[{"id":1,"name":"Subdivision","value":"EC"},{"id":4,"name":"Milepost","value":"0.1622"},{"id":17,"name":"Train ID","value":"112-19"},{"id":16,"name":"Locomotive ID","value":"4001"},{"id":130,"name":"Impact","value":""},{"id":150,"name":"Time of Event (Mountain Time)","value":"06:33:26"},{"id":151,"name":"Denver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0"/>
      <c r="AK24" s="50"/>
      <c r="AL24" s="50"/>
      <c r="AM24" s="177" t="str">
        <f t="shared" si="18"/>
        <v>start /low /b %USERPROFILE%\Documents\GitHub\eaglep3\Utilities\DownloadLogsFromS3.py --loco 4001 --day 2017-01-19</v>
      </c>
      <c r="AN24" s="186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"%USERPROFILE%\AppData\Local\Temp\OnboardLogs"\RTDC4001\*4001*20170119* | grep -SE "(Enforcement Action)|(\[TIMEOUT)|(CHR.+\|PRM\|1\|D.+(SWITCH|SIGNAL).+UNKNOWN)" - &gt;&gt; 2017-01-19-UncaughtWiMAX.txt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4" t="s">
        <v>478</v>
      </c>
      <c r="B25" s="7">
        <v>4044</v>
      </c>
      <c r="C25" s="22" t="s">
        <v>196</v>
      </c>
      <c r="D25" s="22" t="s">
        <v>399</v>
      </c>
      <c r="E25" s="13">
        <v>42754.218645833331</v>
      </c>
      <c r="F25" s="13">
        <v>42754.219965277778</v>
      </c>
      <c r="G25" s="7">
        <v>1</v>
      </c>
      <c r="H25" s="22" t="s">
        <v>726</v>
      </c>
      <c r="I25" s="13">
        <v>42754.24827546296</v>
      </c>
      <c r="J25" s="7">
        <v>5</v>
      </c>
      <c r="K25" s="105" t="str">
        <f t="shared" si="0"/>
        <v>4043/4044</v>
      </c>
      <c r="L25" s="22" t="str">
        <f>VLOOKUP(A25,'Trips&amp;Operators'!$C$1:$G$99999,5,FALSE)</f>
        <v>CUSHING HARRY</v>
      </c>
      <c r="M25" s="6">
        <f t="shared" si="1"/>
        <v>2.8310185181908309E-2</v>
      </c>
      <c r="N25" s="7">
        <f t="shared" si="19"/>
        <v>40.766666661947966</v>
      </c>
      <c r="O25" s="7"/>
      <c r="P25" s="7"/>
      <c r="Q25" s="23"/>
      <c r="R25" s="23"/>
      <c r="S25" s="32">
        <f t="shared" si="2"/>
        <v>1</v>
      </c>
      <c r="T25" s="47" t="str">
        <f t="shared" si="3"/>
        <v>NorthBound</v>
      </c>
      <c r="U25" s="164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4" t="str">
        <f t="shared" si="4"/>
        <v>https://d0f6bd738d7f1b3e5a7ca70fe4ff75f0.us-east-1.aws.found.io/app/kibana#/discover/Steve-Slow-Train-Analysis-(2080s-and-2083s)?_g=(refreshInterval:(display:Off,pause:!f,section:0,value:0),time:(from:'2017-01-19T04:14:51-0700',mode:absolute,to:'2017-01-19T06:57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5" s="49" t="str">
        <f t="shared" si="5"/>
        <v>N</v>
      </c>
      <c r="X25" s="170">
        <f t="shared" si="20"/>
        <v>1</v>
      </c>
      <c r="Y25" s="64">
        <f t="shared" si="6"/>
        <v>7.6600000000000001E-2</v>
      </c>
      <c r="Z25" s="64">
        <f t="shared" si="7"/>
        <v>23.327999999999999</v>
      </c>
      <c r="AA25" s="64">
        <f t="shared" si="8"/>
        <v>23.2514</v>
      </c>
      <c r="AB25" s="61" t="str">
        <f>VLOOKUP(A25,Enforcements!$C$7:$K$15,8,0)</f>
        <v>Signal based authority (5)</v>
      </c>
      <c r="AC25" s="57" t="str">
        <f>VLOOKUP(A25,Enforcements!$C$7:$E$15,3,0)</f>
        <v>SIGNAL</v>
      </c>
      <c r="AD25" s="58" t="str">
        <f t="shared" si="9"/>
        <v>0113-19</v>
      </c>
      <c r="AE25" s="87" t="str">
        <f t="shared" si="10"/>
        <v>aws s3 cp s3://rtdc.mdm.uploadarchive.raw/RTDC4044/ "%USERPROFILE%\AppData\Local\Temp\OnboardLogs"\RTDC4044\2017-01-19 --exclude "*" --recursive --include "*20170119*" &amp; "%USERPROFILE%\Documents\GitHub\mrs-test-scripts\Headless Mode &amp; Sideloading\WalkAndUnGZ.bat" "%USERPROFILE%\AppData\Local\Temp\OnboardLogs"\RTDC4044\2017-01-19 &amp; aws s3 cp s3://rtdc.mdm.uploadarchive.raw/RTDC4044/ "%USERPROFILE%\AppData\Local\Temp\OnboardLogs"\RTDC4044\2017-01-20 --exclude "*" --recursive --include "*20170120*" &amp; "%USERPROFILE%\Documents\GitHub\mrs-test-scripts\Headless Mode &amp; Sideloading\WalkAndUnGZ.bat" "%USERPROFILE%\AppData\Local\Temp\OnboardLogs"\RTDC4044\2017-01-20</v>
      </c>
      <c r="AF25" s="84" t="str">
        <f t="shared" si="11"/>
        <v>"C:\Program Files (x86)\AstroGrep\AstroGrep.exe" /spath="%USERPROFILE%\AppData\Local\Temp\OnboardLogs" /stypes="app*4044*20170119*" /stext=" 12:.+((SYSTEM_STATE.+slice.+state.+changed )|(ment ac)|(multiple cpu faults)|(system.+state.+changed )|(\[timeout)|(PRM\|1\|D)|(kpr)|(kdp)|(\|lc)|(penalty))" /e /r /s</v>
      </c>
      <c r="AG25" s="1" t="str">
        <f t="shared" si="12"/>
        <v>EC</v>
      </c>
      <c r="AH25" s="88" t="str">
        <f t="shared" si="16"/>
        <v>"%USERPROFILE%\Documents\GitHub\eaglep3\Utilities\RefineRTDCRunTimes.py" --tripid 113-19 --locoid 4044 --swversion DE.1.0.8.0 --startMP 204:766 --initTime 2017-01-19T05:14:51 --startdatetime 2017-01-19T05:16:45 --delay 1 --endMP 204:233280 --enddatetime 2017-01-19T05:57:31 --enforcementcount 5 &gt;&gt;C:\Users\stu\Documents\GitHub\eaglep3-reporting\EC\2017-01-19-refined-times.txt</v>
      </c>
      <c r="AI25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{"issue":{"subject":"","project_id":79,"tracker_id":40,"status_id":1,"priority_id":2,"assigned_to_id":23,"start_date":"2017-01-19","description":"","custom_fields":[{"id":1,"name":"Subdivision","value":"EC"},{"id":4,"name":"Milepost","value":"23.328"},{"id":17,"name":"Train ID","value":"113-19"},{"id":16,"name":"Locomotive ID","value":"4044"},{"id":130,"name":"Impact","value":""},{"id":150,"name":"Time of Event (Mountain Time)","value":"05:57:31"},{"id":151,"name":"Denver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0"/>
      <c r="AK25" s="50"/>
      <c r="AL25" s="50"/>
      <c r="AM25" s="177" t="str">
        <f t="shared" si="18"/>
        <v>start /low /b %USERPROFILE%\Documents\GitHub\eaglep3\Utilities\DownloadLogsFromS3.py --loco 4044 --day 2017-01-19</v>
      </c>
      <c r="AN25" s="186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"%USERPROFILE%\AppData\Local\Temp\OnboardLogs"\RTDC4044\*4044*20170119* | grep -SE "(Enforcement Action)|(\[TIMEOUT)|(CHR.+\|PRM\|1\|D.+(SWITCH|SIGNAL).+UNKNOWN)" - &gt;&gt; 2017-01-19-UncaughtWiMAX.txt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4" t="s">
        <v>535</v>
      </c>
      <c r="B26" s="7">
        <v>4043</v>
      </c>
      <c r="C26" s="22" t="s">
        <v>196</v>
      </c>
      <c r="D26" s="22" t="s">
        <v>246</v>
      </c>
      <c r="E26" s="13">
        <v>42754.253923611112</v>
      </c>
      <c r="F26" s="13">
        <v>42754.258344907408</v>
      </c>
      <c r="G26" s="7">
        <v>1</v>
      </c>
      <c r="H26" s="22" t="s">
        <v>218</v>
      </c>
      <c r="I26" s="13">
        <v>42754.287673611114</v>
      </c>
      <c r="J26" s="7">
        <v>5</v>
      </c>
      <c r="K26" s="105" t="str">
        <f t="shared" si="0"/>
        <v>4043/4044</v>
      </c>
      <c r="L26" s="22" t="str">
        <f>VLOOKUP(A26,'Trips&amp;Operators'!$C$1:$G$99999,5,FALSE)</f>
        <v>CUSHING HARRY</v>
      </c>
      <c r="M26" s="6">
        <f t="shared" si="1"/>
        <v>2.9328703705687076E-2</v>
      </c>
      <c r="N26" s="7">
        <f t="shared" si="19"/>
        <v>42.233333336189389</v>
      </c>
      <c r="O26" s="7"/>
      <c r="P26" s="7"/>
      <c r="Q26" s="23"/>
      <c r="R26" s="23"/>
      <c r="S26" s="32">
        <f t="shared" si="2"/>
        <v>1</v>
      </c>
      <c r="T26" s="47" t="str">
        <f t="shared" si="3"/>
        <v>Southbound</v>
      </c>
      <c r="U26" s="164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4" t="str">
        <f t="shared" si="4"/>
        <v>https://d0f6bd738d7f1b3e5a7ca70fe4ff75f0.us-east-1.aws.found.io/app/kibana#/discover/Steve-Slow-Train-Analysis-(2080s-and-2083s)?_g=(refreshInterval:(display:Off,pause:!f,section:0,value:0),time:(from:'2017-01-19T05:05:39-0700',mode:absolute,to:'2017-01-19T07:54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6" s="49" t="str">
        <f t="shared" si="5"/>
        <v>N</v>
      </c>
      <c r="X26" s="170">
        <f t="shared" si="20"/>
        <v>1</v>
      </c>
      <c r="Y26" s="64">
        <f t="shared" si="6"/>
        <v>23.296900000000001</v>
      </c>
      <c r="Z26" s="64">
        <f t="shared" si="7"/>
        <v>1.6E-2</v>
      </c>
      <c r="AA26" s="64">
        <f t="shared" si="8"/>
        <v>23.280900000000003</v>
      </c>
      <c r="AB26" s="61" t="e">
        <f>VLOOKUP(A26,Enforcements!$C$7:$K$15,8,0)</f>
        <v>#N/A</v>
      </c>
      <c r="AC26" s="57" t="e">
        <f>VLOOKUP(A26,Enforcements!$C$7:$E$15,3,0)</f>
        <v>#N/A</v>
      </c>
      <c r="AD26" s="58" t="str">
        <f t="shared" si="9"/>
        <v>0114-19</v>
      </c>
      <c r="AE26" s="87" t="str">
        <f t="shared" si="10"/>
        <v>aws s3 cp s3://rtdc.mdm.uploadarchive.raw/RTDC4043/ "%USERPROFILE%\AppData\Local\Temp\OnboardLogs"\RTDC4043\2017-01-19 --exclude "*" --recursive --include "*20170119*" &amp; "%USERPROFILE%\Documents\GitHub\mrs-test-scripts\Headless Mode &amp; Sideloading\WalkAndUnGZ.bat" "%USERPROFILE%\AppData\Local\Temp\OnboardLogs"\RTDC4043\2017-01-19 &amp; aws s3 cp s3://rtdc.mdm.uploadarchive.raw/RTDC4043/ "%USERPROFILE%\AppData\Local\Temp\OnboardLogs"\RTDC4043\2017-01-20 --exclude "*" --recursive --include "*20170120*" &amp; "%USERPROFILE%\Documents\GitHub\mrs-test-scripts\Headless Mode &amp; Sideloading\WalkAndUnGZ.bat" "%USERPROFILE%\AppData\Local\Temp\OnboardLogs"\RTDC4043\2017-01-20</v>
      </c>
      <c r="AF26" s="84" t="str">
        <f t="shared" si="11"/>
        <v>"C:\Program Files (x86)\AstroGrep\AstroGrep.exe" /spath="%USERPROFILE%\AppData\Local\Temp\OnboardLogs" /stypes="app*4043*20170119*" /stext=" 13:.+((SYSTEM_STATE.+slice.+state.+changed )|(ment ac)|(multiple cpu faults)|(system.+state.+changed )|(\[timeout)|(PRM\|1\|D)|(kpr)|(kdp)|(\|lc)|(penalty))" /e /r /s</v>
      </c>
      <c r="AG26" s="1" t="str">
        <f t="shared" si="12"/>
        <v>EC</v>
      </c>
      <c r="AH26" s="88" t="str">
        <f t="shared" si="16"/>
        <v>"%USERPROFILE%\Documents\GitHub\eaglep3\Utilities\RefineRTDCRunTimes.py" --tripid 114-19 --locoid 4043 --swversion DE.1.0.8.0 --startMP 204:232969 --initTime 2017-01-19T06:05:39 --startdatetime 2017-01-19T06:12:01 --delay 1 --endMP 204:160 --enddatetime 2017-01-19T06:54:15 --enforcementcount 5 &gt;&gt;C:\Users\stu\Documents\GitHub\eaglep3-reporting\EC\2017-01-19-refined-times.txt</v>
      </c>
      <c r="AI26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{"issue":{"subject":"","project_id":79,"tracker_id":40,"status_id":1,"priority_id":2,"assigned_to_id":23,"start_date":"2017-01-19","description":"","custom_fields":[{"id":1,"name":"Subdivision","value":"EC"},{"id":4,"name":"Milepost","value":"0.016"},{"id":17,"name":"Train ID","value":"114-19"},{"id":16,"name":"Locomotive ID","value":"4043"},{"id":130,"name":"Impact","value":""},{"id":150,"name":"Time of Event (Mountain Time)","value":"06:54:15"},{"id":151,"name":"Denver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0"/>
      <c r="AK26" s="50"/>
      <c r="AL26" s="50"/>
      <c r="AM26" s="177" t="str">
        <f t="shared" si="18"/>
        <v>start /low /b %USERPROFILE%\Documents\GitHub\eaglep3\Utilities\DownloadLogsFromS3.py --loco 4043 --day 2017-01-19</v>
      </c>
      <c r="AN26" s="186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"%USERPROFILE%\AppData\Local\Temp\OnboardLogs"\RTDC4043\*4043*20170119* | grep -SE "(Enforcement Action)|(\[TIMEOUT)|(CHR.+\|PRM\|1\|D.+(SWITCH|SIGNAL).+UNKNOWN)" - &gt;&gt; 2017-01-19-UncaughtWiMAX.txt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4" t="s">
        <v>528</v>
      </c>
      <c r="B27" s="7">
        <v>4020</v>
      </c>
      <c r="C27" s="22" t="s">
        <v>196</v>
      </c>
      <c r="D27" s="22" t="s">
        <v>727</v>
      </c>
      <c r="E27" s="13">
        <v>42754.226539351854</v>
      </c>
      <c r="F27" s="13">
        <v>42754.22934027778</v>
      </c>
      <c r="G27" s="7">
        <v>1</v>
      </c>
      <c r="H27" s="22" t="s">
        <v>275</v>
      </c>
      <c r="I27" s="13">
        <v>42754.255335648151</v>
      </c>
      <c r="J27" s="7">
        <v>5</v>
      </c>
      <c r="K27" s="105" t="str">
        <f t="shared" si="0"/>
        <v>4019/4020</v>
      </c>
      <c r="L27" s="22" t="str">
        <f>VLOOKUP(A27,'Trips&amp;Operators'!$C$1:$G$99999,5,FALSE)</f>
        <v>STARKS ANGELINA</v>
      </c>
      <c r="M27" s="6">
        <f t="shared" si="1"/>
        <v>2.5995370371674653E-2</v>
      </c>
      <c r="N27" s="7">
        <f t="shared" si="19"/>
        <v>37.433333335211501</v>
      </c>
      <c r="O27" s="7"/>
      <c r="P27" s="7"/>
      <c r="Q27" s="23"/>
      <c r="R27" s="23"/>
      <c r="S27" s="32">
        <f t="shared" si="2"/>
        <v>1</v>
      </c>
      <c r="T27" s="47" t="str">
        <f t="shared" si="3"/>
        <v>NorthBound</v>
      </c>
      <c r="U27" s="164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4" t="str">
        <f t="shared" si="4"/>
        <v>https://d0f6bd738d7f1b3e5a7ca70fe4ff75f0.us-east-1.aws.found.io/app/kibana#/discover/Steve-Slow-Train-Analysis-(2080s-and-2083s)?_g=(refreshInterval:(display:Off,pause:!f,section:0,value:0),time:(from:'2017-01-19T04:26:13-0700',mode:absolute,to:'2017-01-19T07:07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7" s="49" t="str">
        <f t="shared" si="5"/>
        <v>N</v>
      </c>
      <c r="X27" s="170">
        <f t="shared" si="20"/>
        <v>1</v>
      </c>
      <c r="Y27" s="64">
        <f t="shared" si="6"/>
        <v>7.7399999999999997E-2</v>
      </c>
      <c r="Z27" s="64">
        <f t="shared" si="7"/>
        <v>23.330200000000001</v>
      </c>
      <c r="AA27" s="64">
        <f t="shared" si="8"/>
        <v>23.252800000000001</v>
      </c>
      <c r="AB27" s="61" t="e">
        <f>VLOOKUP(A27,Enforcements!$C$7:$K$15,8,0)</f>
        <v>#N/A</v>
      </c>
      <c r="AC27" s="57" t="e">
        <f>VLOOKUP(A27,Enforcements!$C$7:$E$15,3,0)</f>
        <v>#N/A</v>
      </c>
      <c r="AD27" s="58" t="str">
        <f t="shared" si="9"/>
        <v>0115-19</v>
      </c>
      <c r="AE27" s="87" t="str">
        <f t="shared" si="10"/>
        <v>aws s3 cp s3://rtdc.mdm.uploadarchive.raw/RTDC4020/ "%USERPROFILE%\AppData\Local\Temp\OnboardLogs"\RTDC4020\2017-01-19 --exclude "*" --recursive --include "*20170119*" &amp; "%USERPROFILE%\Documents\GitHub\mrs-test-scripts\Headless Mode &amp; Sideloading\WalkAndUnGZ.bat" "%USERPROFILE%\AppData\Local\Temp\OnboardLogs"\RTDC4020\2017-01-19 &amp; aws s3 cp s3://rtdc.mdm.uploadarchive.raw/RTDC4020/ "%USERPROFILE%\AppData\Local\Temp\OnboardLogs"\RTDC4020\2017-01-20 --exclude "*" --recursive --include "*20170120*" &amp; "%USERPROFILE%\Documents\GitHub\mrs-test-scripts\Headless Mode &amp; Sideloading\WalkAndUnGZ.bat" "%USERPROFILE%\AppData\Local\Temp\OnboardLogs"\RTDC4020\2017-01-20</v>
      </c>
      <c r="AF27" s="84" t="str">
        <f t="shared" si="11"/>
        <v>"C:\Program Files (x86)\AstroGrep\AstroGrep.exe" /spath="%USERPROFILE%\AppData\Local\Temp\OnboardLogs" /stypes="app*4020*20170119*" /stext=" 13:.+((SYSTEM_STATE.+slice.+state.+changed )|(ment ac)|(multiple cpu faults)|(system.+state.+changed )|(\[timeout)|(PRM\|1\|D)|(kpr)|(kdp)|(\|lc)|(penalty))" /e /r /s</v>
      </c>
      <c r="AG27" s="1" t="str">
        <f t="shared" si="12"/>
        <v>EC</v>
      </c>
      <c r="AH27" s="88" t="str">
        <f t="shared" si="16"/>
        <v>"%USERPROFILE%\Documents\GitHub\eaglep3\Utilities\RefineRTDCRunTimes.py" --tripid 115-19 --locoid 4020 --swversion DE.1.0.8.0 --startMP 204:774 --initTime 2017-01-19T05:26:13 --startdatetime 2017-01-19T05:30:15 --delay 1 --endMP 204:233302 --enddatetime 2017-01-19T06:07:41 --enforcementcount 5 &gt;&gt;C:\Users\stu\Documents\GitHub\eaglep3-reporting\EC\2017-01-19-refined-times.txt</v>
      </c>
      <c r="AI27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{"issue":{"subject":"","project_id":79,"tracker_id":40,"status_id":1,"priority_id":2,"assigned_to_id":23,"start_date":"2017-01-19","description":"","custom_fields":[{"id":1,"name":"Subdivision","value":"EC"},{"id":4,"name":"Milepost","value":"23.3302"},{"id":17,"name":"Train ID","value":"115-19"},{"id":16,"name":"Locomotive ID","value":"4020"},{"id":130,"name":"Impact","value":""},{"id":150,"name":"Time of Event (Mountain Time)","value":"06:07:41"},{"id":151,"name":"Denver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0"/>
      <c r="AK27" s="50"/>
      <c r="AL27" s="50"/>
      <c r="AM27" s="177" t="str">
        <f t="shared" si="18"/>
        <v>start /low /b %USERPROFILE%\Documents\GitHub\eaglep3\Utilities\DownloadLogsFromS3.py --loco 4020 --day 2017-01-19</v>
      </c>
      <c r="AN27" s="186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"%USERPROFILE%\AppData\Local\Temp\OnboardLogs"\RTDC4020\*4020*20170119* | grep -SE "(Enforcement Action)|(\[TIMEOUT)|(CHR.+\|PRM\|1\|D.+(SWITCH|SIGNAL).+UNKNOWN)" - &gt;&gt; 2017-01-19-UncaughtWiMAX.txt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4" t="s">
        <v>479</v>
      </c>
      <c r="B28" s="7">
        <v>4019</v>
      </c>
      <c r="C28" s="22" t="s">
        <v>196</v>
      </c>
      <c r="D28" s="22" t="s">
        <v>308</v>
      </c>
      <c r="E28" s="13">
        <v>42754.266886574071</v>
      </c>
      <c r="F28" s="13">
        <v>42754.268530092595</v>
      </c>
      <c r="G28" s="7">
        <v>1</v>
      </c>
      <c r="H28" s="22" t="s">
        <v>206</v>
      </c>
      <c r="I28" s="13">
        <v>42754.296122685184</v>
      </c>
      <c r="J28" s="7">
        <v>5</v>
      </c>
      <c r="K28" s="105" t="str">
        <f t="shared" si="0"/>
        <v>4019/4020</v>
      </c>
      <c r="L28" s="22" t="str">
        <f>VLOOKUP(A28,'Trips&amp;Operators'!$C$1:$G$99999,5,FALSE)</f>
        <v>STARKS ANGELINA</v>
      </c>
      <c r="M28" s="6">
        <f t="shared" si="1"/>
        <v>2.7592592588916887E-2</v>
      </c>
      <c r="N28" s="7">
        <f t="shared" si="19"/>
        <v>39.733333328040317</v>
      </c>
      <c r="O28" s="7"/>
      <c r="P28" s="7"/>
      <c r="Q28" s="23"/>
      <c r="R28" s="23"/>
      <c r="S28" s="32">
        <f t="shared" si="2"/>
        <v>1</v>
      </c>
      <c r="T28" s="47" t="str">
        <f t="shared" si="3"/>
        <v>Southbound</v>
      </c>
      <c r="U28" s="164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4" t="str">
        <f t="shared" si="4"/>
        <v>https://d0f6bd738d7f1b3e5a7ca70fe4ff75f0.us-east-1.aws.found.io/app/kibana#/discover/Steve-Slow-Train-Analysis-(2080s-and-2083s)?_g=(refreshInterval:(display:Off,pause:!f,section:0,value:0),time:(from:'2017-01-19T05:24:19-0700',mode:absolute,to:'2017-01-19T08:06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8" s="49" t="str">
        <f t="shared" si="5"/>
        <v>N</v>
      </c>
      <c r="X28" s="170">
        <f t="shared" si="20"/>
        <v>1</v>
      </c>
      <c r="Y28" s="64">
        <f t="shared" si="6"/>
        <v>23.299800000000001</v>
      </c>
      <c r="Z28" s="64">
        <f t="shared" si="7"/>
        <v>1.4500000000000001E-2</v>
      </c>
      <c r="AA28" s="64">
        <f t="shared" si="8"/>
        <v>23.285299999999999</v>
      </c>
      <c r="AB28" s="61" t="e">
        <f>VLOOKUP(A28,Enforcements!$C$7:$K$15,8,0)</f>
        <v>#N/A</v>
      </c>
      <c r="AC28" s="57" t="e">
        <f>VLOOKUP(A28,Enforcements!$C$7:$E$15,3,0)</f>
        <v>#N/A</v>
      </c>
      <c r="AD28" s="58" t="str">
        <f t="shared" si="9"/>
        <v>0116-19</v>
      </c>
      <c r="AE28" s="87" t="str">
        <f t="shared" si="10"/>
        <v>aws s3 cp s3://rtdc.mdm.uploadarchive.raw/RTDC4019/ "%USERPROFILE%\AppData\Local\Temp\OnboardLogs"\RTDC4019\2017-01-19 --exclude "*" --recursive --include "*20170119*" &amp; "%USERPROFILE%\Documents\GitHub\mrs-test-scripts\Headless Mode &amp; Sideloading\WalkAndUnGZ.bat" "%USERPROFILE%\AppData\Local\Temp\OnboardLogs"\RTDC4019\2017-01-19 &amp; aws s3 cp s3://rtdc.mdm.uploadarchive.raw/RTDC4019/ "%USERPROFILE%\AppData\Local\Temp\OnboardLogs"\RTDC4019\2017-01-20 --exclude "*" --recursive --include "*20170120*" &amp; "%USERPROFILE%\Documents\GitHub\mrs-test-scripts\Headless Mode &amp; Sideloading\WalkAndUnGZ.bat" "%USERPROFILE%\AppData\Local\Temp\OnboardLogs"\RTDC4019\2017-01-20</v>
      </c>
      <c r="AF28" s="84" t="str">
        <f t="shared" si="11"/>
        <v>"C:\Program Files (x86)\AstroGrep\AstroGrep.exe" /spath="%USERPROFILE%\AppData\Local\Temp\OnboardLogs" /stypes="app*4019*20170119*" /stext=" 14:.+((SYSTEM_STATE.+slice.+state.+changed )|(ment ac)|(multiple cpu faults)|(system.+state.+changed )|(\[timeout)|(PRM\|1\|D)|(kpr)|(kdp)|(\|lc)|(penalty))" /e /r /s</v>
      </c>
      <c r="AG28" s="1" t="str">
        <f t="shared" si="12"/>
        <v>EC</v>
      </c>
      <c r="AH28" s="88" t="str">
        <f t="shared" si="16"/>
        <v>"%USERPROFILE%\Documents\GitHub\eaglep3\Utilities\RefineRTDCRunTimes.py" --tripid 116-19 --locoid 4019 --swversion DE.1.0.8.0 --startMP 204:232998 --initTime 2017-01-19T06:24:19 --startdatetime 2017-01-19T06:26:41 --delay 1 --endMP 204:145 --enddatetime 2017-01-19T07:06:25 --enforcementcount 5 &gt;&gt;C:\Users\stu\Documents\GitHub\eaglep3-reporting\EC\2017-01-19-refined-times.txt</v>
      </c>
      <c r="AI28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{"issue":{"subject":"","project_id":79,"tracker_id":40,"status_id":1,"priority_id":2,"assigned_to_id":23,"start_date":"2017-01-19","description":"","custom_fields":[{"id":1,"name":"Subdivision","value":"EC"},{"id":4,"name":"Milepost","value":"0.0145"},{"id":17,"name":"Train ID","value":"116-19"},{"id":16,"name":"Locomotive ID","value":"4019"},{"id":130,"name":"Impact","value":""},{"id":150,"name":"Time of Event (Mountain Time)","value":"07:06:25"},{"id":151,"name":"Denver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0"/>
      <c r="AK28" s="50"/>
      <c r="AL28" s="50"/>
      <c r="AM28" s="177" t="str">
        <f t="shared" si="18"/>
        <v>start /low /b %USERPROFILE%\Documents\GitHub\eaglep3\Utilities\DownloadLogsFromS3.py --loco 4019 --day 2017-01-19</v>
      </c>
      <c r="AN28" s="186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"%USERPROFILE%\AppData\Local\Temp\OnboardLogs"\RTDC4019\*4019*20170119* | grep -SE "(Enforcement Action)|(\[TIMEOUT)|(CHR.+\|PRM\|1\|D.+(SWITCH|SIGNAL).+UNKNOWN)" - &gt;&gt; 2017-01-19-UncaughtWiMAX.txt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4" t="s">
        <v>530</v>
      </c>
      <c r="B29" s="7">
        <v>4016</v>
      </c>
      <c r="C29" s="22" t="s">
        <v>196</v>
      </c>
      <c r="D29" s="22" t="s">
        <v>239</v>
      </c>
      <c r="E29" s="13">
        <v>42754.233182870368</v>
      </c>
      <c r="F29" s="13">
        <v>42754.23978009259</v>
      </c>
      <c r="G29" s="7">
        <v>2</v>
      </c>
      <c r="H29" s="22" t="s">
        <v>304</v>
      </c>
      <c r="I29" s="13">
        <v>42754.265405092592</v>
      </c>
      <c r="J29" s="7">
        <v>5</v>
      </c>
      <c r="K29" s="105" t="str">
        <f t="shared" si="0"/>
        <v>4015/4016</v>
      </c>
      <c r="L29" s="22" t="str">
        <f>VLOOKUP(A29,'Trips&amp;Operators'!$C$1:$G$99999,5,FALSE)</f>
        <v>ACKERMAN JARED</v>
      </c>
      <c r="M29" s="6">
        <f t="shared" si="1"/>
        <v>2.5625000002037268E-2</v>
      </c>
      <c r="N29" s="7">
        <f t="shared" si="19"/>
        <v>36.900000002933666</v>
      </c>
      <c r="O29" s="7"/>
      <c r="P29" s="7"/>
      <c r="Q29" s="23"/>
      <c r="R29" s="23"/>
      <c r="S29" s="32">
        <f t="shared" si="2"/>
        <v>1</v>
      </c>
      <c r="T29" s="47" t="str">
        <f t="shared" si="3"/>
        <v>NorthBound</v>
      </c>
      <c r="U29" s="164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4" t="str">
        <f t="shared" si="4"/>
        <v>https://d0f6bd738d7f1b3e5a7ca70fe4ff75f0.us-east-1.aws.found.io/app/kibana#/discover/Steve-Slow-Train-Analysis-(2080s-and-2083s)?_g=(refreshInterval:(display:Off,pause:!f,section:0,value:0),time:(from:'2017-01-19T04:35:47-0700',mode:absolute,to:'2017-01-19T07:22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9" s="49" t="str">
        <f t="shared" si="5"/>
        <v>N</v>
      </c>
      <c r="X29" s="170">
        <f t="shared" si="20"/>
        <v>1</v>
      </c>
      <c r="Y29" s="64">
        <f t="shared" si="6"/>
        <v>4.6899999999999997E-2</v>
      </c>
      <c r="Z29" s="64">
        <f t="shared" si="7"/>
        <v>23.3307</v>
      </c>
      <c r="AA29" s="64">
        <f t="shared" si="8"/>
        <v>23.283799999999999</v>
      </c>
      <c r="AB29" s="61" t="e">
        <f>VLOOKUP(A29,Enforcements!$C$7:$K$15,8,0)</f>
        <v>#N/A</v>
      </c>
      <c r="AC29" s="57" t="e">
        <f>VLOOKUP(A29,Enforcements!$C$7:$E$15,3,0)</f>
        <v>#N/A</v>
      </c>
      <c r="AD29" s="58" t="str">
        <f t="shared" si="9"/>
        <v>0117-19</v>
      </c>
      <c r="AE29" s="87" t="str">
        <f t="shared" si="10"/>
        <v>aws s3 cp s3://rtdc.mdm.uploadarchive.raw/RTDC4016/ "%USERPROFILE%\AppData\Local\Temp\OnboardLogs"\RTDC4016\2017-01-19 --exclude "*" --recursive --include "*20170119*" &amp; "%USERPROFILE%\Documents\GitHub\mrs-test-scripts\Headless Mode &amp; Sideloading\WalkAndUnGZ.bat" "%USERPROFILE%\AppData\Local\Temp\OnboardLogs"\RTDC4016\2017-01-19 &amp; aws s3 cp s3://rtdc.mdm.uploadarchive.raw/RTDC4016/ "%USERPROFILE%\AppData\Local\Temp\OnboardLogs"\RTDC4016\2017-01-20 --exclude "*" --recursive --include "*20170120*" &amp; "%USERPROFILE%\Documents\GitHub\mrs-test-scripts\Headless Mode &amp; Sideloading\WalkAndUnGZ.bat" "%USERPROFILE%\AppData\Local\Temp\OnboardLogs"\RTDC4016\2017-01-20</v>
      </c>
      <c r="AF29" s="84" t="str">
        <f t="shared" si="11"/>
        <v>"C:\Program Files (x86)\AstroGrep\AstroGrep.exe" /spath="%USERPROFILE%\AppData\Local\Temp\OnboardLogs" /stypes="app*4016*20170119*" /stext=" 13:.+((SYSTEM_STATE.+slice.+state.+changed )|(ment ac)|(multiple cpu faults)|(system.+state.+changed )|(\[timeout)|(PRM\|1\|D)|(kpr)|(kdp)|(\|lc)|(penalty))" /e /r /s</v>
      </c>
      <c r="AG29" s="1" t="str">
        <f t="shared" si="12"/>
        <v>EC</v>
      </c>
      <c r="AH29" s="88" t="str">
        <f t="shared" si="16"/>
        <v>"%USERPROFILE%\Documents\GitHub\eaglep3\Utilities\RefineRTDCRunTimes.py" --tripid 117-19 --locoid 4016 --swversion DE.1.0.8.0 --startMP 204:469 --initTime 2017-01-19T05:35:47 --startdatetime 2017-01-19T05:45:17 --delay 2 --endMP 204:233307 --enddatetime 2017-01-19T06:22:11 --enforcementcount 5 &gt;&gt;C:\Users\stu\Documents\GitHub\eaglep3-reporting\EC\2017-01-19-refined-times.txt</v>
      </c>
      <c r="AI29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{"issue":{"subject":"","project_id":79,"tracker_id":40,"status_id":1,"priority_id":2,"assigned_to_id":23,"start_date":"2017-01-19","description":"","custom_fields":[{"id":1,"name":"Subdivision","value":"EC"},{"id":4,"name":"Milepost","value":"23.3307"},{"id":17,"name":"Train ID","value":"117-19"},{"id":16,"name":"Locomotive ID","value":"4016"},{"id":130,"name":"Impact","value":""},{"id":150,"name":"Time of Event (Mountain Time)","value":"06:22:11"},{"id":151,"name":"Denver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0"/>
      <c r="AK29" s="50"/>
      <c r="AL29" s="50"/>
      <c r="AM29" s="177" t="str">
        <f t="shared" si="18"/>
        <v>start /low /b %USERPROFILE%\Documents\GitHub\eaglep3\Utilities\DownloadLogsFromS3.py --loco 4016 --day 2017-01-19</v>
      </c>
      <c r="AN29" s="186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"%USERPROFILE%\AppData\Local\Temp\OnboardLogs"\RTDC4016\*4016*20170119* | grep -SE "(Enforcement Action)|(\[TIMEOUT)|(CHR.+\|PRM\|1\|D.+(SWITCH|SIGNAL).+UNKNOWN)" - &gt;&gt; 2017-01-19-UncaughtWiMAX.txt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4" t="s">
        <v>481</v>
      </c>
      <c r="B30" s="7">
        <v>4015</v>
      </c>
      <c r="C30" s="22" t="s">
        <v>196</v>
      </c>
      <c r="D30" s="22" t="s">
        <v>324</v>
      </c>
      <c r="E30" s="13">
        <v>42754.272141203706</v>
      </c>
      <c r="F30" s="13">
        <v>42754.278657407405</v>
      </c>
      <c r="G30" s="7">
        <v>2</v>
      </c>
      <c r="H30" s="22" t="s">
        <v>206</v>
      </c>
      <c r="I30" s="13">
        <v>42754.306377314817</v>
      </c>
      <c r="J30" s="7">
        <v>5</v>
      </c>
      <c r="K30" s="105" t="str">
        <f t="shared" si="0"/>
        <v>4015/4016</v>
      </c>
      <c r="L30" s="22" t="str">
        <f>VLOOKUP(A30,'Trips&amp;Operators'!$C$1:$G$99999,5,FALSE)</f>
        <v>ACKERMAN JARED</v>
      </c>
      <c r="M30" s="6">
        <f t="shared" si="1"/>
        <v>2.771990741166519E-2</v>
      </c>
      <c r="N30" s="7">
        <f t="shared" si="19"/>
        <v>39.916666672797874</v>
      </c>
      <c r="O30" s="7"/>
      <c r="P30" s="7"/>
      <c r="Q30" s="23"/>
      <c r="R30" s="23"/>
      <c r="S30" s="32">
        <f t="shared" si="2"/>
        <v>1</v>
      </c>
      <c r="T30" s="47" t="str">
        <f t="shared" si="3"/>
        <v>Southbound</v>
      </c>
      <c r="U30" s="164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4" t="str">
        <f t="shared" si="4"/>
        <v>https://d0f6bd738d7f1b3e5a7ca70fe4ff75f0.us-east-1.aws.found.io/app/kibana#/discover/Steve-Slow-Train-Analysis-(2080s-and-2083s)?_g=(refreshInterval:(display:Off,pause:!f,section:0,value:0),time:(from:'2017-01-19T05:31:53-0700',mode:absolute,to:'2017-01-19T08:21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0" s="49" t="str">
        <f t="shared" si="5"/>
        <v>N</v>
      </c>
      <c r="X30" s="170">
        <f t="shared" si="20"/>
        <v>1</v>
      </c>
      <c r="Y30" s="64">
        <f t="shared" si="6"/>
        <v>23.297999999999998</v>
      </c>
      <c r="Z30" s="64">
        <f t="shared" si="7"/>
        <v>1.4500000000000001E-2</v>
      </c>
      <c r="AA30" s="64">
        <f t="shared" si="8"/>
        <v>23.283499999999997</v>
      </c>
      <c r="AB30" s="61" t="e">
        <f>VLOOKUP(A30,Enforcements!$C$7:$K$15,8,0)</f>
        <v>#N/A</v>
      </c>
      <c r="AC30" s="57" t="e">
        <f>VLOOKUP(A30,Enforcements!$C$7:$E$15,3,0)</f>
        <v>#N/A</v>
      </c>
      <c r="AD30" s="58" t="str">
        <f t="shared" si="9"/>
        <v>0118-19</v>
      </c>
      <c r="AE30" s="87" t="str">
        <f t="shared" si="10"/>
        <v>aws s3 cp s3://rtdc.mdm.uploadarchive.raw/RTDC4015/ "%USERPROFILE%\AppData\Local\Temp\OnboardLogs"\RTDC4015\2017-01-19 --exclude "*" --recursive --include "*20170119*" &amp; "%USERPROFILE%\Documents\GitHub\mrs-test-scripts\Headless Mode &amp; Sideloading\WalkAndUnGZ.bat" "%USERPROFILE%\AppData\Local\Temp\OnboardLogs"\RTDC4015\2017-01-19 &amp; aws s3 cp s3://rtdc.mdm.uploadarchive.raw/RTDC4015/ "%USERPROFILE%\AppData\Local\Temp\OnboardLogs"\RTDC4015\2017-01-20 --exclude "*" --recursive --include "*20170120*" &amp; "%USERPROFILE%\Documents\GitHub\mrs-test-scripts\Headless Mode &amp; Sideloading\WalkAndUnGZ.bat" "%USERPROFILE%\AppData\Local\Temp\OnboardLogs"\RTDC4015\2017-01-20</v>
      </c>
      <c r="AF30" s="84" t="str">
        <f t="shared" si="11"/>
        <v>"C:\Program Files (x86)\AstroGrep\AstroGrep.exe" /spath="%USERPROFILE%\AppData\Local\Temp\OnboardLogs" /stypes="app*4015*20170119*" /stext=" 14:.+((SYSTEM_STATE.+slice.+state.+changed )|(ment ac)|(multiple cpu faults)|(system.+state.+changed )|(\[timeout)|(PRM\|1\|D)|(kpr)|(kdp)|(\|lc)|(penalty))" /e /r /s</v>
      </c>
      <c r="AG30" s="1" t="str">
        <f t="shared" si="12"/>
        <v>EC</v>
      </c>
      <c r="AH30" s="88" t="str">
        <f t="shared" si="16"/>
        <v>"%USERPROFILE%\Documents\GitHub\eaglep3\Utilities\RefineRTDCRunTimes.py" --tripid 118-19 --locoid 4015 --swversion DE.1.0.8.0 --startMP 204:232980 --initTime 2017-01-19T06:31:53 --startdatetime 2017-01-19T06:41:16 --delay 2 --endMP 204:145 --enddatetime 2017-01-19T07:21:11 --enforcementcount 5 &gt;&gt;C:\Users\stu\Documents\GitHub\eaglep3-reporting\EC\2017-01-19-refined-times.txt</v>
      </c>
      <c r="AI30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{"issue":{"subject":"","project_id":79,"tracker_id":40,"status_id":1,"priority_id":2,"assigned_to_id":23,"start_date":"2017-01-19","description":"","custom_fields":[{"id":1,"name":"Subdivision","value":"EC"},{"id":4,"name":"Milepost","value":"0.0145"},{"id":17,"name":"Train ID","value":"118-19"},{"id":16,"name":"Locomotive ID","value":"4015"},{"id":130,"name":"Impact","value":""},{"id":150,"name":"Time of Event (Mountain Time)","value":"07:21:11"},{"id":151,"name":"Denver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0"/>
      <c r="AK30" s="50"/>
      <c r="AL30" s="50"/>
      <c r="AM30" s="177" t="str">
        <f t="shared" si="18"/>
        <v>start /low /b %USERPROFILE%\Documents\GitHub\eaglep3\Utilities\DownloadLogsFromS3.py --loco 4015 --day 2017-01-19</v>
      </c>
      <c r="AN30" s="186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"%USERPROFILE%\AppData\Local\Temp\OnboardLogs"\RTDC4015\*4015*20170119* | grep -SE "(Enforcement Action)|(\[TIMEOUT)|(CHR.+\|PRM\|1\|D.+(SWITCH|SIGNAL).+UNKNOWN)" - &gt;&gt; 2017-01-19-UncaughtWiMAX.txt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4" t="s">
        <v>543</v>
      </c>
      <c r="B31" s="7">
        <v>4021</v>
      </c>
      <c r="C31" s="22" t="s">
        <v>196</v>
      </c>
      <c r="D31" s="22" t="s">
        <v>247</v>
      </c>
      <c r="E31" s="13">
        <v>42754.287962962961</v>
      </c>
      <c r="F31" s="13">
        <v>42754.289386574077</v>
      </c>
      <c r="G31" s="7">
        <v>1</v>
      </c>
      <c r="H31" s="22" t="s">
        <v>218</v>
      </c>
      <c r="I31" s="13">
        <v>42754.315358796295</v>
      </c>
      <c r="J31" s="7">
        <v>5</v>
      </c>
      <c r="K31" s="105" t="str">
        <f t="shared" si="0"/>
        <v>4021/4022</v>
      </c>
      <c r="L31" s="22" t="str">
        <f>VLOOKUP(A31,'Trips&amp;Operators'!$C$1:$G$99999,5,FALSE)</f>
        <v>BEAM ROSS</v>
      </c>
      <c r="M31" s="6">
        <f t="shared" si="1"/>
        <v>2.5972222218115348E-2</v>
      </c>
      <c r="N31" s="7">
        <f t="shared" si="19"/>
        <v>37.399999994086102</v>
      </c>
      <c r="O31" s="7"/>
      <c r="P31" s="7"/>
      <c r="Q31" s="23"/>
      <c r="R31" s="23"/>
      <c r="S31" s="32">
        <f t="shared" si="2"/>
        <v>1</v>
      </c>
      <c r="T31" s="47" t="str">
        <f t="shared" si="3"/>
        <v>Southbound</v>
      </c>
      <c r="U31" s="164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4" t="str">
        <f t="shared" si="4"/>
        <v>https://d0f6bd738d7f1b3e5a7ca70fe4ff75f0.us-east-1.aws.found.io/app/kibana#/discover/Steve-Slow-Train-Analysis-(2080s-and-2083s)?_g=(refreshInterval:(display:Off,pause:!f,section:0,value:0),time:(from:'2017-01-19T05:54:40-0700',mode:absolute,to:'2017-01-19T08:34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31" s="49" t="str">
        <f t="shared" si="5"/>
        <v>N</v>
      </c>
      <c r="X31" s="170">
        <f t="shared" si="20"/>
        <v>2</v>
      </c>
      <c r="Y31" s="64">
        <f t="shared" si="6"/>
        <v>23.298400000000001</v>
      </c>
      <c r="Z31" s="64">
        <f t="shared" si="7"/>
        <v>1.6E-2</v>
      </c>
      <c r="AA31" s="64">
        <f t="shared" si="8"/>
        <v>23.282400000000003</v>
      </c>
      <c r="AB31" s="61" t="e">
        <f>VLOOKUP(A31,Enforcements!$C$7:$K$15,8,0)</f>
        <v>#N/A</v>
      </c>
      <c r="AC31" s="57" t="e">
        <f>VLOOKUP(A31,Enforcements!$C$7:$E$15,3,0)</f>
        <v>#N/A</v>
      </c>
      <c r="AD31" s="58" t="str">
        <f t="shared" si="9"/>
        <v>0120-19</v>
      </c>
      <c r="AE31" s="87" t="str">
        <f t="shared" si="10"/>
        <v>aws s3 cp s3://rtdc.mdm.uploadarchive.raw/RTDC4021/ "%USERPROFILE%\AppData\Local\Temp\OnboardLogs"\RTDC4021\2017-01-19 --exclude "*" --recursive --include "*20170119*" &amp; "%USERPROFILE%\Documents\GitHub\mrs-test-scripts\Headless Mode &amp; Sideloading\WalkAndUnGZ.bat" "%USERPROFILE%\AppData\Local\Temp\OnboardLogs"\RTDC4021\2017-01-19 &amp; aws s3 cp s3://rtdc.mdm.uploadarchive.raw/RTDC4021/ "%USERPROFILE%\AppData\Local\Temp\OnboardLogs"\RTDC4021\2017-01-20 --exclude "*" --recursive --include "*20170120*" &amp; "%USERPROFILE%\Documents\GitHub\mrs-test-scripts\Headless Mode &amp; Sideloading\WalkAndUnGZ.bat" "%USERPROFILE%\AppData\Local\Temp\OnboardLogs"\RTDC4021\2017-01-20</v>
      </c>
      <c r="AF31" s="84" t="str">
        <f t="shared" si="11"/>
        <v>"C:\Program Files (x86)\AstroGrep\AstroGrep.exe" /spath="%USERPROFILE%\AppData\Local\Temp\OnboardLogs" /stypes="app*4021*20170119*" /stext=" 14:.+((SYSTEM_STATE.+slice.+state.+changed )|(ment ac)|(multiple cpu faults)|(system.+state.+changed )|(\[timeout)|(PRM\|1\|D)|(kpr)|(kdp)|(\|lc)|(penalty))" /e /r /s</v>
      </c>
      <c r="AG31" s="1" t="str">
        <f t="shared" si="12"/>
        <v>EC</v>
      </c>
      <c r="AH31" s="88" t="str">
        <f t="shared" si="16"/>
        <v>"%USERPROFILE%\Documents\GitHub\eaglep3\Utilities\RefineRTDCRunTimes.py" --tripid 120-19 --locoid 4021 --swversion DE.1.0.8.0 --startMP 204:232984 --initTime 2017-01-19T06:54:40 --startdatetime 2017-01-19T06:56:43 --delay 1 --endMP 204:160 --enddatetime 2017-01-19T07:34:07 --enforcementcount 5 &gt;&gt;C:\Users\stu\Documents\GitHub\eaglep3-reporting\EC\2017-01-19-refined-times.txt</v>
      </c>
      <c r="AI31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{"issue":{"subject":"","project_id":79,"tracker_id":40,"status_id":1,"priority_id":2,"assigned_to_id":23,"start_date":"2017-01-19","description":"","custom_fields":[{"id":1,"name":"Subdivision","value":"EC"},{"id":4,"name":"Milepost","value":"0.016"},{"id":17,"name":"Train ID","value":"120-19"},{"id":16,"name":"Locomotive ID","value":"4021"},{"id":130,"name":"Impact","value":""},{"id":150,"name":"Time of Event (Mountain Time)","value":"07:34:07"},{"id":151,"name":"Denver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0"/>
      <c r="AK31" s="50"/>
      <c r="AL31" s="50"/>
      <c r="AM31" s="177" t="str">
        <f t="shared" si="18"/>
        <v>start /low /b %USERPROFILE%\Documents\GitHub\eaglep3\Utilities\DownloadLogsFromS3.py --loco 4021 --day 2017-01-19</v>
      </c>
      <c r="AN31" s="186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"%USERPROFILE%\AppData\Local\Temp\OnboardLogs"\RTDC4021\*4021*20170119* | grep -SE "(Enforcement Action)|(\[TIMEOUT)|(CHR.+\|PRM\|1\|D.+(SWITCH|SIGNAL).+UNKNOWN)" - &gt;&gt; 2017-01-19-UncaughtWiMAX.txt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4" t="s">
        <v>537</v>
      </c>
      <c r="B32" s="7">
        <v>4022</v>
      </c>
      <c r="C32" s="22" t="s">
        <v>196</v>
      </c>
      <c r="D32" s="22" t="s">
        <v>286</v>
      </c>
      <c r="E32" s="13">
        <v>42754.25677083333</v>
      </c>
      <c r="F32" s="13">
        <v>42754.262557870374</v>
      </c>
      <c r="G32" s="7">
        <v>1</v>
      </c>
      <c r="H32" s="22" t="s">
        <v>243</v>
      </c>
      <c r="I32" s="13">
        <v>42754.28633101852</v>
      </c>
      <c r="J32" s="7">
        <v>5</v>
      </c>
      <c r="K32" s="105" t="str">
        <f t="shared" si="0"/>
        <v>4021/4022</v>
      </c>
      <c r="L32" s="22" t="str">
        <f>VLOOKUP(A32,'Trips&amp;Operators'!$C$1:$G$99999,5,FALSE)</f>
        <v>BEAM ROSS</v>
      </c>
      <c r="M32" s="6">
        <f t="shared" si="1"/>
        <v>2.3773148146574385E-2</v>
      </c>
      <c r="N32" s="7">
        <f t="shared" si="19"/>
        <v>34.233333331067115</v>
      </c>
      <c r="O32" s="7"/>
      <c r="P32" s="7"/>
      <c r="Q32" s="23"/>
      <c r="R32" s="23"/>
      <c r="S32" s="32">
        <f t="shared" si="2"/>
        <v>1</v>
      </c>
      <c r="T32" s="47" t="str">
        <f t="shared" si="3"/>
        <v>NorthBound</v>
      </c>
      <c r="U32" s="164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4" t="str">
        <f t="shared" si="4"/>
        <v>https://d0f6bd738d7f1b3e5a7ca70fe4ff75f0.us-east-1.aws.found.io/app/kibana#/discover/Steve-Slow-Train-Analysis-(2080s-and-2083s)?_g=(refreshInterval:(display:Off,pause:!f,section:0,value:0),time:(from:'2017-01-19T05:09:45-0700',mode:absolute,to:'2017-01-19T07:52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2" s="49" t="str">
        <f t="shared" si="5"/>
        <v>N</v>
      </c>
      <c r="X32" s="170">
        <f t="shared" si="20"/>
        <v>1</v>
      </c>
      <c r="Y32" s="64">
        <f t="shared" si="6"/>
        <v>4.5699999999999998E-2</v>
      </c>
      <c r="Z32" s="64">
        <f t="shared" si="7"/>
        <v>23.329899999999999</v>
      </c>
      <c r="AA32" s="64">
        <f t="shared" si="8"/>
        <v>23.284199999999998</v>
      </c>
      <c r="AB32" s="61" t="e">
        <f>VLOOKUP(A32,Enforcements!$C$7:$K$15,8,0)</f>
        <v>#N/A</v>
      </c>
      <c r="AC32" s="57" t="e">
        <f>VLOOKUP(A32,Enforcements!$C$7:$E$15,3,0)</f>
        <v>#N/A</v>
      </c>
      <c r="AD32" s="58" t="str">
        <f t="shared" si="9"/>
        <v>0121-19</v>
      </c>
      <c r="AE32" s="87" t="str">
        <f t="shared" si="10"/>
        <v>aws s3 cp s3://rtdc.mdm.uploadarchive.raw/RTDC4022/ "%USERPROFILE%\AppData\Local\Temp\OnboardLogs"\RTDC4022\2017-01-19 --exclude "*" --recursive --include "*20170119*" &amp; "%USERPROFILE%\Documents\GitHub\mrs-test-scripts\Headless Mode &amp; Sideloading\WalkAndUnGZ.bat" "%USERPROFILE%\AppData\Local\Temp\OnboardLogs"\RTDC4022\2017-01-19 &amp; aws s3 cp s3://rtdc.mdm.uploadarchive.raw/RTDC4022/ "%USERPROFILE%\AppData\Local\Temp\OnboardLogs"\RTDC4022\2017-01-20 --exclude "*" --recursive --include "*20170120*" &amp; "%USERPROFILE%\Documents\GitHub\mrs-test-scripts\Headless Mode &amp; Sideloading\WalkAndUnGZ.bat" "%USERPROFILE%\AppData\Local\Temp\OnboardLogs"\RTDC4022\2017-01-20</v>
      </c>
      <c r="AF32" s="84" t="str">
        <f t="shared" si="11"/>
        <v>"C:\Program Files (x86)\AstroGrep\AstroGrep.exe" /spath="%USERPROFILE%\AppData\Local\Temp\OnboardLogs" /stypes="app*4022*20170119*" /stext=" 13:.+((SYSTEM_STATE.+slice.+state.+changed )|(ment ac)|(multiple cpu faults)|(system.+state.+changed )|(\[timeout)|(PRM\|1\|D)|(kpr)|(kdp)|(\|lc)|(penalty))" /e /r /s</v>
      </c>
      <c r="AG32" s="1" t="str">
        <f t="shared" si="12"/>
        <v>EC</v>
      </c>
      <c r="AH32" s="88" t="str">
        <f t="shared" si="16"/>
        <v>"%USERPROFILE%\Documents\GitHub\eaglep3\Utilities\RefineRTDCRunTimes.py" --tripid 121-19 --locoid 4022 --swversion DE.1.0.8.0 --startMP 204:457 --initTime 2017-01-19T06:09:45 --startdatetime 2017-01-19T06:18:05 --delay 1 --endMP 204:233299 --enddatetime 2017-01-19T06:52:19 --enforcementcount 5 &gt;&gt;C:\Users\stu\Documents\GitHub\eaglep3-reporting\EC\2017-01-19-refined-times.txt</v>
      </c>
      <c r="AI32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{"issue":{"subject":"","project_id":79,"tracker_id":40,"status_id":1,"priority_id":2,"assigned_to_id":23,"start_date":"2017-01-19","description":"","custom_fields":[{"id":1,"name":"Subdivision","value":"EC"},{"id":4,"name":"Milepost","value":"23.3299"},{"id":17,"name":"Train ID","value":"121-19"},{"id":16,"name":"Locomotive ID","value":"4022"},{"id":130,"name":"Impact","value":""},{"id":150,"name":"Time of Event (Mountain Time)","value":"06:52:19"},{"id":151,"name":"Denver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0"/>
      <c r="AK32" s="50"/>
      <c r="AL32" s="50"/>
      <c r="AM32" s="177" t="str">
        <f t="shared" si="18"/>
        <v>start /low /b %USERPROFILE%\Documents\GitHub\eaglep3\Utilities\DownloadLogsFromS3.py --loco 4022 --day 2017-01-19</v>
      </c>
      <c r="AN32" s="186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"%USERPROFILE%\AppData\Local\Temp\OnboardLogs"\RTDC4022\*4022*20170119* | grep -SE "(Enforcement Action)|(\[TIMEOUT)|(CHR.+\|PRM\|1\|D.+(SWITCH|SIGNAL).+UNKNOWN)" - &gt;&gt; 2017-01-19-UncaughtWiMAX.txt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4" t="s">
        <v>545</v>
      </c>
      <c r="B33" s="7">
        <v>4041</v>
      </c>
      <c r="C33" s="22" t="s">
        <v>196</v>
      </c>
      <c r="D33" s="22" t="s">
        <v>375</v>
      </c>
      <c r="E33" s="13">
        <v>42754.296851851854</v>
      </c>
      <c r="F33" s="13">
        <v>42754.299699074072</v>
      </c>
      <c r="G33" s="7">
        <v>2</v>
      </c>
      <c r="H33" s="22" t="s">
        <v>214</v>
      </c>
      <c r="I33" s="13">
        <v>42754.326782407406</v>
      </c>
      <c r="J33" s="7">
        <v>5</v>
      </c>
      <c r="K33" s="105" t="str">
        <f t="shared" si="0"/>
        <v>4041/4042</v>
      </c>
      <c r="L33" s="22" t="str">
        <f>VLOOKUP(A33,'Trips&amp;Operators'!$C$1:$G$99999,5,FALSE)</f>
        <v>COOLAHAN JOHN</v>
      </c>
      <c r="M33" s="6">
        <f t="shared" si="1"/>
        <v>2.7083333334303461E-2</v>
      </c>
      <c r="N33" s="7">
        <f t="shared" si="19"/>
        <v>39.000000001396984</v>
      </c>
      <c r="O33" s="7"/>
      <c r="P33" s="7"/>
      <c r="Q33" s="23"/>
      <c r="R33" s="23"/>
      <c r="S33" s="32">
        <f t="shared" si="2"/>
        <v>1</v>
      </c>
      <c r="T33" s="47" t="str">
        <f t="shared" si="3"/>
        <v>Southbound</v>
      </c>
      <c r="U33" s="164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4" t="str">
        <f t="shared" si="4"/>
        <v>https://d0f6bd738d7f1b3e5a7ca70fe4ff75f0.us-east-1.aws.found.io/app/kibana#/discover/Steve-Slow-Train-Analysis-(2080s-and-2083s)?_g=(refreshInterval:(display:Off,pause:!f,section:0,value:0),time:(from:'2017-01-19T06:07:28-0700',mode:absolute,to:'2017-01-19T08:50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3" s="49" t="str">
        <f t="shared" si="5"/>
        <v>N</v>
      </c>
      <c r="X33" s="170">
        <f t="shared" si="20"/>
        <v>1</v>
      </c>
      <c r="Y33" s="64">
        <f t="shared" si="6"/>
        <v>23.302299999999999</v>
      </c>
      <c r="Z33" s="64">
        <f t="shared" si="7"/>
        <v>1.47E-2</v>
      </c>
      <c r="AA33" s="64">
        <f t="shared" si="8"/>
        <v>23.287599999999998</v>
      </c>
      <c r="AB33" s="61" t="e">
        <f>VLOOKUP(A33,Enforcements!$C$7:$K$15,8,0)</f>
        <v>#N/A</v>
      </c>
      <c r="AC33" s="57" t="e">
        <f>VLOOKUP(A33,Enforcements!$C$7:$E$15,3,0)</f>
        <v>#N/A</v>
      </c>
      <c r="AD33" s="58" t="str">
        <f t="shared" si="9"/>
        <v>0122-19</v>
      </c>
      <c r="AE33" s="87" t="str">
        <f t="shared" si="10"/>
        <v>aws s3 cp s3://rtdc.mdm.uploadarchive.raw/RTDC4041/ "%USERPROFILE%\AppData\Local\Temp\OnboardLogs"\RTDC4041\2017-01-19 --exclude "*" --recursive --include "*20170119*" &amp; "%USERPROFILE%\Documents\GitHub\mrs-test-scripts\Headless Mode &amp; Sideloading\WalkAndUnGZ.bat" "%USERPROFILE%\AppData\Local\Temp\OnboardLogs"\RTDC4041\2017-01-19 &amp; aws s3 cp s3://rtdc.mdm.uploadarchive.raw/RTDC4041/ "%USERPROFILE%\AppData\Local\Temp\OnboardLogs"\RTDC4041\2017-01-20 --exclude "*" --recursive --include "*20170120*" &amp; "%USERPROFILE%\Documents\GitHub\mrs-test-scripts\Headless Mode &amp; Sideloading\WalkAndUnGZ.bat" "%USERPROFILE%\AppData\Local\Temp\OnboardLogs"\RTDC4041\2017-01-20</v>
      </c>
      <c r="AF33" s="84" t="str">
        <f t="shared" si="11"/>
        <v>"C:\Program Files (x86)\AstroGrep\AstroGrep.exe" /spath="%USERPROFILE%\AppData\Local\Temp\OnboardLogs" /stypes="app*4041*20170119*" /stext=" 14:.+((SYSTEM_STATE.+slice.+state.+changed )|(ment ac)|(multiple cpu faults)|(system.+state.+changed )|(\[timeout)|(PRM\|1\|D)|(kpr)|(kdp)|(\|lc)|(penalty))" /e /r /s</v>
      </c>
      <c r="AG33" s="1" t="str">
        <f t="shared" si="12"/>
        <v>EC</v>
      </c>
      <c r="AH33" s="88" t="str">
        <f t="shared" si="16"/>
        <v>"%USERPROFILE%\Documents\GitHub\eaglep3\Utilities\RefineRTDCRunTimes.py" --tripid 122-19 --locoid 4041 --swversion DE.1.0.8.0 --startMP 204:233023 --initTime 2017-01-19T07:07:28 --startdatetime 2017-01-19T07:11:34 --delay 2 --endMP 204:147 --enddatetime 2017-01-19T07:50:34 --enforcementcount 5 &gt;&gt;C:\Users\stu\Documents\GitHub\eaglep3-reporting\EC\2017-01-19-refined-times.txt</v>
      </c>
      <c r="AI33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{"issue":{"subject":"","project_id":79,"tracker_id":40,"status_id":1,"priority_id":2,"assigned_to_id":23,"start_date":"2017-01-19","description":"","custom_fields":[{"id":1,"name":"Subdivision","value":"EC"},{"id":4,"name":"Milepost","value":"0.0147"},{"id":17,"name":"Train ID","value":"122-19"},{"id":16,"name":"Locomotive ID","value":"4041"},{"id":130,"name":"Impact","value":""},{"id":150,"name":"Time of Event (Mountain Time)","value":"07:50:34"},{"id":151,"name":"Denver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0"/>
      <c r="AK33" s="50"/>
      <c r="AL33" s="50"/>
      <c r="AM33" s="177" t="str">
        <f t="shared" si="18"/>
        <v>start /low /b %USERPROFILE%\Documents\GitHub\eaglep3\Utilities\DownloadLogsFromS3.py --loco 4041 --day 2017-01-19</v>
      </c>
      <c r="AN33" s="186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"%USERPROFILE%\AppData\Local\Temp\OnboardLogs"\RTDC4041\*4041*20170119* | grep -SE "(Enforcement Action)|(\[TIMEOUT)|(CHR.+\|PRM\|1\|D.+(SWITCH|SIGNAL).+UNKNOWN)" - &gt;&gt; 2017-01-19-UncaughtWiMAX.txt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4" t="s">
        <v>539</v>
      </c>
      <c r="B34" s="7">
        <v>4011</v>
      </c>
      <c r="C34" s="22" t="s">
        <v>196</v>
      </c>
      <c r="D34" s="22" t="s">
        <v>286</v>
      </c>
      <c r="E34" s="13">
        <v>42754.27003472222</v>
      </c>
      <c r="F34" s="13">
        <v>42754.271493055552</v>
      </c>
      <c r="G34" s="7">
        <v>1</v>
      </c>
      <c r="H34" s="22" t="s">
        <v>277</v>
      </c>
      <c r="I34" s="13">
        <v>42754.29724537037</v>
      </c>
      <c r="J34" s="7">
        <v>5</v>
      </c>
      <c r="K34" s="105" t="str">
        <f t="shared" si="0"/>
        <v>4011/4012</v>
      </c>
      <c r="L34" s="22" t="str">
        <f>VLOOKUP(A34,'Trips&amp;Operators'!$C$1:$G$99999,5,FALSE)</f>
        <v>STRICKLAND EVAN</v>
      </c>
      <c r="M34" s="6">
        <f t="shared" si="1"/>
        <v>2.5752314817509614E-2</v>
      </c>
      <c r="N34" s="7">
        <f t="shared" si="19"/>
        <v>37.083333337213844</v>
      </c>
      <c r="O34" s="7"/>
      <c r="P34" s="7"/>
      <c r="Q34" s="23"/>
      <c r="R34" s="23"/>
      <c r="S34" s="32">
        <f t="shared" si="2"/>
        <v>1</v>
      </c>
      <c r="T34" s="47" t="str">
        <f t="shared" si="3"/>
        <v>NorthBound</v>
      </c>
      <c r="U34" s="164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4" t="str">
        <f t="shared" si="4"/>
        <v>https://d0f6bd738d7f1b3e5a7ca70fe4ff75f0.us-east-1.aws.found.io/app/kibana#/discover/Steve-Slow-Train-Analysis-(2080s-and-2083s)?_g=(refreshInterval:(display:Off,pause:!f,section:0,value:0),time:(from:'2017-01-19T05:28:51-0700',mode:absolute,to:'2017-01-19T08:08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4" s="49" t="str">
        <f t="shared" si="5"/>
        <v>N</v>
      </c>
      <c r="X34" s="170">
        <f t="shared" si="20"/>
        <v>1</v>
      </c>
      <c r="Y34" s="64">
        <f t="shared" si="6"/>
        <v>4.5699999999999998E-2</v>
      </c>
      <c r="Z34" s="64">
        <f t="shared" si="7"/>
        <v>23.331099999999999</v>
      </c>
      <c r="AA34" s="64">
        <f t="shared" si="8"/>
        <v>23.285399999999999</v>
      </c>
      <c r="AB34" s="61" t="e">
        <f>VLOOKUP(A34,Enforcements!$C$7:$K$15,8,0)</f>
        <v>#N/A</v>
      </c>
      <c r="AC34" s="57" t="e">
        <f>VLOOKUP(A34,Enforcements!$C$7:$E$15,3,0)</f>
        <v>#N/A</v>
      </c>
      <c r="AD34" s="58" t="str">
        <f t="shared" si="9"/>
        <v>0123-19</v>
      </c>
      <c r="AE34" s="87" t="str">
        <f t="shared" si="10"/>
        <v>aws s3 cp s3://rtdc.mdm.uploadarchive.raw/RTDC4011/ "%USERPROFILE%\AppData\Local\Temp\OnboardLogs"\RTDC4011\2017-01-19 --exclude "*" --recursive --include "*20170119*" &amp; "%USERPROFILE%\Documents\GitHub\mrs-test-scripts\Headless Mode &amp; Sideloading\WalkAndUnGZ.bat" "%USERPROFILE%\AppData\Local\Temp\OnboardLogs"\RTDC4011\2017-01-19 &amp; aws s3 cp s3://rtdc.mdm.uploadarchive.raw/RTDC4011/ "%USERPROFILE%\AppData\Local\Temp\OnboardLogs"\RTDC4011\2017-01-20 --exclude "*" --recursive --include "*20170120*" &amp; "%USERPROFILE%\Documents\GitHub\mrs-test-scripts\Headless Mode &amp; Sideloading\WalkAndUnGZ.bat" "%USERPROFILE%\AppData\Local\Temp\OnboardLogs"\RTDC4011\2017-01-20</v>
      </c>
      <c r="AF34" s="84" t="str">
        <f t="shared" si="11"/>
        <v>"C:\Program Files (x86)\AstroGrep\AstroGrep.exe" /spath="%USERPROFILE%\AppData\Local\Temp\OnboardLogs" /stypes="app*4011*20170119*" /stext=" 14:.+((SYSTEM_STATE.+slice.+state.+changed )|(ment ac)|(multiple cpu faults)|(system.+state.+changed )|(\[timeout)|(PRM\|1\|D)|(kpr)|(kdp)|(\|lc)|(penalty))" /e /r /s</v>
      </c>
      <c r="AG34" s="1" t="str">
        <f t="shared" si="12"/>
        <v>EC</v>
      </c>
      <c r="AH34" s="88" t="str">
        <f t="shared" si="16"/>
        <v>"%USERPROFILE%\Documents\GitHub\eaglep3\Utilities\RefineRTDCRunTimes.py" --tripid 123-19 --locoid 4011 --swversion DE.1.0.8.0 --startMP 204:457 --initTime 2017-01-19T06:28:51 --startdatetime 2017-01-19T06:30:57 --delay 1 --endMP 204:233311 --enddatetime 2017-01-19T07:08:02 --enforcementcount 5 &gt;&gt;C:\Users\stu\Documents\GitHub\eaglep3-reporting\EC\2017-01-19-refined-times.txt</v>
      </c>
      <c r="AI34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{"issue":{"subject":"","project_id":79,"tracker_id":40,"status_id":1,"priority_id":2,"assigned_to_id":23,"start_date":"2017-01-19","description":"","custom_fields":[{"id":1,"name":"Subdivision","value":"EC"},{"id":4,"name":"Milepost","value":"23.3311"},{"id":17,"name":"Train ID","value":"123-19"},{"id":16,"name":"Locomotive ID","value":"4011"},{"id":130,"name":"Impact","value":""},{"id":150,"name":"Time of Event (Mountain Time)","value":"07:08:02"},{"id":151,"name":"Denver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0"/>
      <c r="AK34" s="50"/>
      <c r="AL34" s="50"/>
      <c r="AM34" s="177" t="str">
        <f t="shared" si="18"/>
        <v>start /low /b %USERPROFILE%\Documents\GitHub\eaglep3\Utilities\DownloadLogsFromS3.py --loco 4011 --day 2017-01-19</v>
      </c>
      <c r="AN34" s="186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"%USERPROFILE%\AppData\Local\Temp\OnboardLogs"\RTDC4011\*4011*20170119* | grep -SE "(Enforcement Action)|(\[TIMEOUT)|(CHR.+\|PRM\|1\|D.+(SWITCH|SIGNAL).+UNKNOWN)" - &gt;&gt; 2017-01-19-UncaughtWiMAX.txt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4" t="s">
        <v>547</v>
      </c>
      <c r="B35" s="7">
        <v>4012</v>
      </c>
      <c r="C35" s="22" t="s">
        <v>196</v>
      </c>
      <c r="D35" s="22" t="s">
        <v>378</v>
      </c>
      <c r="E35" s="13">
        <v>42754.298738425925</v>
      </c>
      <c r="F35" s="13">
        <v>42754.309930555559</v>
      </c>
      <c r="G35" s="7">
        <v>1</v>
      </c>
      <c r="H35" s="22" t="s">
        <v>186</v>
      </c>
      <c r="I35" s="13">
        <v>42754.337442129632</v>
      </c>
      <c r="J35" s="7">
        <v>5</v>
      </c>
      <c r="K35" s="105" t="str">
        <f t="shared" si="0"/>
        <v>4011/4012</v>
      </c>
      <c r="L35" s="22" t="str">
        <f>VLOOKUP(A35,'Trips&amp;Operators'!$C$1:$G$99999,5,FALSE)</f>
        <v>STRICKLAND EVAN</v>
      </c>
      <c r="M35" s="6">
        <f t="shared" si="1"/>
        <v>2.7511574073287193E-2</v>
      </c>
      <c r="N35" s="7">
        <f t="shared" si="19"/>
        <v>39.616666665533558</v>
      </c>
      <c r="O35" s="7"/>
      <c r="P35" s="7"/>
      <c r="Q35" s="23"/>
      <c r="R35" s="23"/>
      <c r="S35" s="32">
        <f t="shared" si="2"/>
        <v>1</v>
      </c>
      <c r="T35" s="47" t="str">
        <f t="shared" si="3"/>
        <v>Southbound</v>
      </c>
      <c r="U35" s="164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4" t="str">
        <f t="shared" si="4"/>
        <v>https://d0f6bd738d7f1b3e5a7ca70fe4ff75f0.us-east-1.aws.found.io/app/kibana#/discover/Steve-Slow-Train-Analysis-(2080s-and-2083s)?_g=(refreshInterval:(display:Off,pause:!f,section:0,value:0),time:(from:'2017-01-19T06:10:11-0700',mode:absolute,to:'2017-01-19T09:05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5" s="49" t="str">
        <f t="shared" si="5"/>
        <v>N</v>
      </c>
      <c r="X35" s="170">
        <f t="shared" si="20"/>
        <v>1</v>
      </c>
      <c r="Y35" s="64">
        <f t="shared" si="6"/>
        <v>23.3019</v>
      </c>
      <c r="Z35" s="64">
        <f t="shared" si="7"/>
        <v>1.49E-2</v>
      </c>
      <c r="AA35" s="64">
        <f t="shared" si="8"/>
        <v>23.286999999999999</v>
      </c>
      <c r="AB35" s="61" t="e">
        <f>VLOOKUP(A35,Enforcements!$C$7:$K$15,8,0)</f>
        <v>#N/A</v>
      </c>
      <c r="AC35" s="57" t="e">
        <f>VLOOKUP(A35,Enforcements!$C$7:$E$15,3,0)</f>
        <v>#N/A</v>
      </c>
      <c r="AD35" s="58" t="str">
        <f t="shared" si="9"/>
        <v>0124-19</v>
      </c>
      <c r="AE35" s="87" t="str">
        <f t="shared" si="10"/>
        <v>aws s3 cp s3://rtdc.mdm.uploadarchive.raw/RTDC4012/ "%USERPROFILE%\AppData\Local\Temp\OnboardLogs"\RTDC4012\2017-01-19 --exclude "*" --recursive --include "*20170119*" &amp; "%USERPROFILE%\Documents\GitHub\mrs-test-scripts\Headless Mode &amp; Sideloading\WalkAndUnGZ.bat" "%USERPROFILE%\AppData\Local\Temp\OnboardLogs"\RTDC4012\2017-01-19 &amp; aws s3 cp s3://rtdc.mdm.uploadarchive.raw/RTDC4012/ "%USERPROFILE%\AppData\Local\Temp\OnboardLogs"\RTDC4012\2017-01-20 --exclude "*" --recursive --include "*20170120*" &amp; "%USERPROFILE%\Documents\GitHub\mrs-test-scripts\Headless Mode &amp; Sideloading\WalkAndUnGZ.bat" "%USERPROFILE%\AppData\Local\Temp\OnboardLogs"\RTDC4012\2017-01-20</v>
      </c>
      <c r="AF35" s="84" t="str">
        <f t="shared" si="11"/>
        <v>"C:\Program Files (x86)\AstroGrep\AstroGrep.exe" /spath="%USERPROFILE%\AppData\Local\Temp\OnboardLogs" /stypes="app*4012*20170119*" /stext=" 15:.+((SYSTEM_STATE.+slice.+state.+changed )|(ment ac)|(multiple cpu faults)|(system.+state.+changed )|(\[timeout)|(PRM\|1\|D)|(kpr)|(kdp)|(\|lc)|(penalty))" /e /r /s</v>
      </c>
      <c r="AG35" s="1" t="str">
        <f t="shared" si="12"/>
        <v>EC</v>
      </c>
      <c r="AH35" s="88" t="str">
        <f t="shared" si="16"/>
        <v>"%USERPROFILE%\Documents\GitHub\eaglep3\Utilities\RefineRTDCRunTimes.py" --tripid 124-19 --locoid 4012 --swversion DE.1.0.8.0 --startMP 204:233019 --initTime 2017-01-19T07:10:11 --startdatetime 2017-01-19T07:26:18 --delay 1 --endMP 204:149 --enddatetime 2017-01-19T08:05:55 --enforcementcount 5 &gt;&gt;C:\Users\stu\Documents\GitHub\eaglep3-reporting\EC\2017-01-19-refined-times.txt</v>
      </c>
      <c r="AI35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{"issue":{"subject":"","project_id":79,"tracker_id":40,"status_id":1,"priority_id":2,"assigned_to_id":23,"start_date":"2017-01-19","description":"","custom_fields":[{"id":1,"name":"Subdivision","value":"EC"},{"id":4,"name":"Milepost","value":"0.0149"},{"id":17,"name":"Train ID","value":"124-19"},{"id":16,"name":"Locomotive ID","value":"4012"},{"id":130,"name":"Impact","value":""},{"id":150,"name":"Time of Event (Mountain Time)","value":"08:05:55"},{"id":151,"name":"Denver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0"/>
      <c r="AK35" s="50"/>
      <c r="AL35" s="50"/>
      <c r="AM35" s="177" t="str">
        <f t="shared" si="18"/>
        <v>start /low /b %USERPROFILE%\Documents\GitHub\eaglep3\Utilities\DownloadLogsFromS3.py --loco 4012 --day 2017-01-19</v>
      </c>
      <c r="AN35" s="186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"%USERPROFILE%\AppData\Local\Temp\OnboardLogs"\RTDC4012\*4012*20170119* | grep -SE "(Enforcement Action)|(\[TIMEOUT)|(CHR.+\|PRM\|1\|D.+(SWITCH|SIGNAL).+UNKNOWN)" - &gt;&gt; 2017-01-19-UncaughtWiMAX.txt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4" t="s">
        <v>542</v>
      </c>
      <c r="B36" s="7">
        <v>4031</v>
      </c>
      <c r="C36" s="22" t="s">
        <v>196</v>
      </c>
      <c r="D36" s="22" t="s">
        <v>729</v>
      </c>
      <c r="E36" s="13">
        <v>42754.276134259257</v>
      </c>
      <c r="F36" s="13">
        <v>42754.281898148147</v>
      </c>
      <c r="G36" s="7">
        <v>1</v>
      </c>
      <c r="H36" s="22" t="s">
        <v>234</v>
      </c>
      <c r="I36" s="13">
        <v>42754.306018518517</v>
      </c>
      <c r="J36" s="7">
        <v>5</v>
      </c>
      <c r="K36" s="105" t="str">
        <f t="shared" si="0"/>
        <v>4031/4032</v>
      </c>
      <c r="L36" s="22" t="str">
        <f>VLOOKUP(A36,'Trips&amp;Operators'!$C$1:$G$99999,5,FALSE)</f>
        <v>YORK EDGAR</v>
      </c>
      <c r="M36" s="6">
        <f t="shared" si="1"/>
        <v>2.4120370369928423E-2</v>
      </c>
      <c r="N36" s="7">
        <f t="shared" si="19"/>
        <v>34.73333333269693</v>
      </c>
      <c r="O36" s="7"/>
      <c r="P36" s="7"/>
      <c r="Q36" s="23"/>
      <c r="R36" s="23"/>
      <c r="S36" s="32">
        <f t="shared" si="2"/>
        <v>1</v>
      </c>
      <c r="T36" s="47" t="str">
        <f t="shared" si="3"/>
        <v>NorthBound</v>
      </c>
      <c r="U36" s="164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4" t="str">
        <f t="shared" si="4"/>
        <v>https://d0f6bd738d7f1b3e5a7ca70fe4ff75f0.us-east-1.aws.found.io/app/kibana#/discover/Steve-Slow-Train-Analysis-(2080s-and-2083s)?_g=(refreshInterval:(display:Off,pause:!f,section:0,value:0),time:(from:'2017-01-19T05:37:38-0700',mode:absolute,to:'2017-01-19T08:20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6" s="49" t="str">
        <f t="shared" si="5"/>
        <v>N</v>
      </c>
      <c r="X36" s="170">
        <f t="shared" si="20"/>
        <v>1</v>
      </c>
      <c r="Y36" s="64">
        <f t="shared" si="6"/>
        <v>7.7499999999999999E-2</v>
      </c>
      <c r="Z36" s="64">
        <f t="shared" si="7"/>
        <v>23.329799999999999</v>
      </c>
      <c r="AA36" s="64">
        <f t="shared" si="8"/>
        <v>23.252299999999998</v>
      </c>
      <c r="AB36" s="61" t="e">
        <f>VLOOKUP(A36,Enforcements!$C$7:$K$15,8,0)</f>
        <v>#N/A</v>
      </c>
      <c r="AC36" s="57" t="e">
        <f>VLOOKUP(A36,Enforcements!$C$7:$E$15,3,0)</f>
        <v>#N/A</v>
      </c>
      <c r="AD36" s="58" t="str">
        <f t="shared" si="9"/>
        <v>0125-19</v>
      </c>
      <c r="AE36" s="87" t="str">
        <f t="shared" si="10"/>
        <v>aws s3 cp s3://rtdc.mdm.uploadarchive.raw/RTDC4031/ "%USERPROFILE%\AppData\Local\Temp\OnboardLogs"\RTDC4031\2017-01-19 --exclude "*" --recursive --include "*20170119*" &amp; "%USERPROFILE%\Documents\GitHub\mrs-test-scripts\Headless Mode &amp; Sideloading\WalkAndUnGZ.bat" "%USERPROFILE%\AppData\Local\Temp\OnboardLogs"\RTDC4031\2017-01-19 &amp; aws s3 cp s3://rtdc.mdm.uploadarchive.raw/RTDC4031/ "%USERPROFILE%\AppData\Local\Temp\OnboardLogs"\RTDC4031\2017-01-20 --exclude "*" --recursive --include "*20170120*" &amp; "%USERPROFILE%\Documents\GitHub\mrs-test-scripts\Headless Mode &amp; Sideloading\WalkAndUnGZ.bat" "%USERPROFILE%\AppData\Local\Temp\OnboardLogs"\RTDC4031\2017-01-20</v>
      </c>
      <c r="AF36" s="84" t="str">
        <f t="shared" si="11"/>
        <v>"C:\Program Files (x86)\AstroGrep\AstroGrep.exe" /spath="%USERPROFILE%\AppData\Local\Temp\OnboardLogs" /stypes="app*4031*20170119*" /stext=" 14:.+((SYSTEM_STATE.+slice.+state.+changed )|(ment ac)|(multiple cpu faults)|(system.+state.+changed )|(\[timeout)|(PRM\|1\|D)|(kpr)|(kdp)|(\|lc)|(penalty))" /e /r /s</v>
      </c>
      <c r="AG36" s="1" t="str">
        <f t="shared" si="12"/>
        <v>EC</v>
      </c>
      <c r="AH36" s="88" t="str">
        <f t="shared" si="16"/>
        <v>"%USERPROFILE%\Documents\GitHub\eaglep3\Utilities\RefineRTDCRunTimes.py" --tripid 125-19 --locoid 4031 --swversion DE.1.0.8.0 --startMP 204:775 --initTime 2017-01-19T06:37:38 --startdatetime 2017-01-19T06:45:56 --delay 1 --endMP 204:233298 --enddatetime 2017-01-19T07:20:40 --enforcementcount 5 &gt;&gt;C:\Users\stu\Documents\GitHub\eaglep3-reporting\EC\2017-01-19-refined-times.txt</v>
      </c>
      <c r="AI36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{"issue":{"subject":"","project_id":79,"tracker_id":40,"status_id":1,"priority_id":2,"assigned_to_id":23,"start_date":"2017-01-19","description":"","custom_fields":[{"id":1,"name":"Subdivision","value":"EC"},{"id":4,"name":"Milepost","value":"23.3298"},{"id":17,"name":"Train ID","value":"125-19"},{"id":16,"name":"Locomotive ID","value":"4031"},{"id":130,"name":"Impact","value":""},{"id":150,"name":"Time of Event (Mountain Time)","value":"07:20:40"},{"id":151,"name":"Denver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0"/>
      <c r="AK36" s="50"/>
      <c r="AL36" s="50"/>
      <c r="AM36" s="177" t="str">
        <f t="shared" si="18"/>
        <v>start /low /b %USERPROFILE%\Documents\GitHub\eaglep3\Utilities\DownloadLogsFromS3.py --loco 4031 --day 2017-01-19</v>
      </c>
      <c r="AN36" s="186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"%USERPROFILE%\AppData\Local\Temp\OnboardLogs"\RTDC4031\*4031*20170119* | grep -SE "(Enforcement Action)|(\[TIMEOUT)|(CHR.+\|PRM\|1\|D.+(SWITCH|SIGNAL).+UNKNOWN)" - &gt;&gt; 2017-01-19-UncaughtWiMAX.txt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4" t="s">
        <v>483</v>
      </c>
      <c r="B37" s="7">
        <v>4032</v>
      </c>
      <c r="C37" s="22" t="s">
        <v>196</v>
      </c>
      <c r="D37" s="22" t="s">
        <v>241</v>
      </c>
      <c r="E37" s="13">
        <v>42754.313981481479</v>
      </c>
      <c r="F37" s="13">
        <v>42754.320601851854</v>
      </c>
      <c r="G37" s="7">
        <v>1</v>
      </c>
      <c r="H37" s="22" t="s">
        <v>271</v>
      </c>
      <c r="I37" s="13">
        <v>42754.346331018518</v>
      </c>
      <c r="J37" s="7">
        <v>5</v>
      </c>
      <c r="K37" s="105" t="str">
        <f t="shared" si="0"/>
        <v>4031/4032</v>
      </c>
      <c r="L37" s="22" t="str">
        <f>VLOOKUP(A37,'Trips&amp;Operators'!$C$1:$G$99999,5,FALSE)</f>
        <v>YORK EDGAR</v>
      </c>
      <c r="M37" s="6">
        <f t="shared" si="1"/>
        <v>2.5729166663950309E-2</v>
      </c>
      <c r="N37" s="7">
        <f t="shared" si="19"/>
        <v>37.049999996088445</v>
      </c>
      <c r="O37" s="7"/>
      <c r="P37" s="7"/>
      <c r="Q37" s="23"/>
      <c r="R37" s="23"/>
      <c r="S37" s="32">
        <f t="shared" si="2"/>
        <v>1</v>
      </c>
      <c r="T37" s="47" t="str">
        <f t="shared" si="3"/>
        <v>Southbound</v>
      </c>
      <c r="U37" s="164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4" t="str">
        <f t="shared" si="4"/>
        <v>https://d0f6bd738d7f1b3e5a7ca70fe4ff75f0.us-east-1.aws.found.io/app/kibana#/discover/Steve-Slow-Train-Analysis-(2080s-and-2083s)?_g=(refreshInterval:(display:Off,pause:!f,section:0,value:0),time:(from:'2017-01-19T06:32:08-0700',mode:absolute,to:'2017-01-19T09:18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7" s="49" t="str">
        <f t="shared" si="5"/>
        <v>N</v>
      </c>
      <c r="X37" s="170">
        <f t="shared" si="20"/>
        <v>1</v>
      </c>
      <c r="Y37" s="64">
        <f t="shared" si="6"/>
        <v>23.2987</v>
      </c>
      <c r="Z37" s="64">
        <f t="shared" si="7"/>
        <v>1.43E-2</v>
      </c>
      <c r="AA37" s="64">
        <f t="shared" si="8"/>
        <v>23.284400000000002</v>
      </c>
      <c r="AB37" s="61" t="str">
        <f>VLOOKUP(A37,Enforcements!$C$7:$K$15,8,0)</f>
        <v>Bulletin (2)</v>
      </c>
      <c r="AC37" s="57" t="str">
        <f>VLOOKUP(A37,Enforcements!$C$7:$E$15,3,0)</f>
        <v>GRADE CROSSING</v>
      </c>
      <c r="AD37" s="58" t="str">
        <f t="shared" si="9"/>
        <v>0126-19</v>
      </c>
      <c r="AE37" s="87" t="str">
        <f t="shared" si="10"/>
        <v>aws s3 cp s3://rtdc.mdm.uploadarchive.raw/RTDC4032/ "%USERPROFILE%\AppData\Local\Temp\OnboardLogs"\RTDC4032\2017-01-19 --exclude "*" --recursive --include "*20170119*" &amp; "%USERPROFILE%\Documents\GitHub\mrs-test-scripts\Headless Mode &amp; Sideloading\WalkAndUnGZ.bat" "%USERPROFILE%\AppData\Local\Temp\OnboardLogs"\RTDC4032\2017-01-19 &amp; aws s3 cp s3://rtdc.mdm.uploadarchive.raw/RTDC4032/ "%USERPROFILE%\AppData\Local\Temp\OnboardLogs"\RTDC4032\2017-01-20 --exclude "*" --recursive --include "*20170120*" &amp; "%USERPROFILE%\Documents\GitHub\mrs-test-scripts\Headless Mode &amp; Sideloading\WalkAndUnGZ.bat" "%USERPROFILE%\AppData\Local\Temp\OnboardLogs"\RTDC4032\2017-01-20</v>
      </c>
      <c r="AF37" s="84" t="str">
        <f t="shared" si="11"/>
        <v>"C:\Program Files (x86)\AstroGrep\AstroGrep.exe" /spath="%USERPROFILE%\AppData\Local\Temp\OnboardLogs" /stypes="app*4032*20170119*" /stext=" 15:.+((SYSTEM_STATE.+slice.+state.+changed )|(ment ac)|(multiple cpu faults)|(system.+state.+changed )|(\[timeout)|(PRM\|1\|D)|(kpr)|(kdp)|(\|lc)|(penalty))" /e /r /s</v>
      </c>
      <c r="AG37" s="1" t="str">
        <f t="shared" si="12"/>
        <v>EC</v>
      </c>
      <c r="AH37" s="88" t="str">
        <f t="shared" si="16"/>
        <v>"%USERPROFILE%\Documents\GitHub\eaglep3\Utilities\RefineRTDCRunTimes.py" --tripid 126-19 --locoid 4032 --swversion DE.1.0.8.0 --startMP 204:232987 --initTime 2017-01-19T07:32:08 --startdatetime 2017-01-19T07:41:40 --delay 1 --endMP 204:143 --enddatetime 2017-01-19T08:18:43 --enforcementcount 5 &gt;&gt;C:\Users\stu\Documents\GitHub\eaglep3-reporting\EC\2017-01-19-refined-times.txt</v>
      </c>
      <c r="AI37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{"issue":{"subject":"","project_id":79,"tracker_id":40,"status_id":1,"priority_id":2,"assigned_to_id":23,"start_date":"2017-01-19","description":"","custom_fields":[{"id":1,"name":"Subdivision","value":"EC"},{"id":4,"name":"Milepost","value":"0.0143"},{"id":17,"name":"Train ID","value":"126-19"},{"id":16,"name":"Locomotive ID","value":"4032"},{"id":130,"name":"Impact","value":""},{"id":150,"name":"Time of Event (Mountain Time)","value":"08:18:43"},{"id":151,"name":"Denver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0"/>
      <c r="AK37" s="50"/>
      <c r="AL37" s="50"/>
      <c r="AM37" s="177" t="str">
        <f t="shared" si="18"/>
        <v>start /low /b %USERPROFILE%\Documents\GitHub\eaglep3\Utilities\DownloadLogsFromS3.py --loco 4032 --day 2017-01-19</v>
      </c>
      <c r="AN37" s="186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"%USERPROFILE%\AppData\Local\Temp\OnboardLogs"\RTDC4032\*4032*20170119* | grep -SE "(Enforcement Action)|(\[TIMEOUT)|(CHR.+\|PRM\|1\|D.+(SWITCH|SIGNAL).+UNKNOWN)" - &gt;&gt; 2017-01-19-UncaughtWiMAX.txt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4" t="s">
        <v>544</v>
      </c>
      <c r="B38" s="7">
        <v>4044</v>
      </c>
      <c r="C38" s="22" t="s">
        <v>196</v>
      </c>
      <c r="D38" s="22" t="s">
        <v>219</v>
      </c>
      <c r="E38" s="13">
        <v>42754.290254629632</v>
      </c>
      <c r="F38" s="13">
        <v>42754.291956018518</v>
      </c>
      <c r="G38" s="7">
        <v>1</v>
      </c>
      <c r="H38" s="22" t="s">
        <v>245</v>
      </c>
      <c r="I38" s="13">
        <v>42754.317129629628</v>
      </c>
      <c r="J38" s="7">
        <v>5</v>
      </c>
      <c r="K38" s="105" t="str">
        <f t="shared" si="0"/>
        <v>4043/4044</v>
      </c>
      <c r="L38" s="22" t="str">
        <f>VLOOKUP(A38,'Trips&amp;Operators'!$C$1:$G$99999,5,FALSE)</f>
        <v>CUSHING HARRY</v>
      </c>
      <c r="M38" s="6">
        <f t="shared" si="1"/>
        <v>2.5173611109494232E-2</v>
      </c>
      <c r="N38" s="7">
        <f t="shared" si="19"/>
        <v>36.249999997671694</v>
      </c>
      <c r="O38" s="7"/>
      <c r="P38" s="7"/>
      <c r="Q38" s="23"/>
      <c r="R38" s="23"/>
      <c r="S38" s="32">
        <f t="shared" si="2"/>
        <v>1</v>
      </c>
      <c r="T38" s="47" t="str">
        <f t="shared" si="3"/>
        <v>NorthBound</v>
      </c>
      <c r="U38" s="164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4" t="str">
        <f t="shared" si="4"/>
        <v>https://d0f6bd738d7f1b3e5a7ca70fe4ff75f0.us-east-1.aws.found.io/app/kibana#/discover/Steve-Slow-Train-Analysis-(2080s-and-2083s)?_g=(refreshInterval:(display:Off,pause:!f,section:0,value:0),time:(from:'2017-01-19T05:57:58-0700',mode:absolute,to:'2017-01-19T08:36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8" s="49" t="str">
        <f t="shared" si="5"/>
        <v>N</v>
      </c>
      <c r="X38" s="170">
        <f t="shared" si="20"/>
        <v>1</v>
      </c>
      <c r="Y38" s="64">
        <f t="shared" si="6"/>
        <v>4.6199999999999998E-2</v>
      </c>
      <c r="Z38" s="64">
        <f t="shared" si="7"/>
        <v>23.3293</v>
      </c>
      <c r="AA38" s="64">
        <f t="shared" si="8"/>
        <v>23.283100000000001</v>
      </c>
      <c r="AB38" s="61" t="e">
        <f>VLOOKUP(A38,Enforcements!$C$7:$K$15,8,0)</f>
        <v>#N/A</v>
      </c>
      <c r="AC38" s="57" t="e">
        <f>VLOOKUP(A38,Enforcements!$C$7:$E$15,3,0)</f>
        <v>#N/A</v>
      </c>
      <c r="AD38" s="58" t="str">
        <f t="shared" si="9"/>
        <v>0127-19</v>
      </c>
      <c r="AE38" s="87" t="str">
        <f t="shared" si="10"/>
        <v>aws s3 cp s3://rtdc.mdm.uploadarchive.raw/RTDC4044/ "%USERPROFILE%\AppData\Local\Temp\OnboardLogs"\RTDC4044\2017-01-19 --exclude "*" --recursive --include "*20170119*" &amp; "%USERPROFILE%\Documents\GitHub\mrs-test-scripts\Headless Mode &amp; Sideloading\WalkAndUnGZ.bat" "%USERPROFILE%\AppData\Local\Temp\OnboardLogs"\RTDC4044\2017-01-19 &amp; aws s3 cp s3://rtdc.mdm.uploadarchive.raw/RTDC4044/ "%USERPROFILE%\AppData\Local\Temp\OnboardLogs"\RTDC4044\2017-01-20 --exclude "*" --recursive --include "*20170120*" &amp; "%USERPROFILE%\Documents\GitHub\mrs-test-scripts\Headless Mode &amp; Sideloading\WalkAndUnGZ.bat" "%USERPROFILE%\AppData\Local\Temp\OnboardLogs"\RTDC4044\2017-01-20</v>
      </c>
      <c r="AF38" s="84" t="str">
        <f t="shared" si="11"/>
        <v>"C:\Program Files (x86)\AstroGrep\AstroGrep.exe" /spath="%USERPROFILE%\AppData\Local\Temp\OnboardLogs" /stypes="app*4044*20170119*" /stext=" 14:.+((SYSTEM_STATE.+slice.+state.+changed )|(ment ac)|(multiple cpu faults)|(system.+state.+changed )|(\[timeout)|(PRM\|1\|D)|(kpr)|(kdp)|(\|lc)|(penalty))" /e /r /s</v>
      </c>
      <c r="AG38" s="1" t="str">
        <f t="shared" si="12"/>
        <v>EC</v>
      </c>
      <c r="AH38" s="88" t="str">
        <f t="shared" si="16"/>
        <v>"%USERPROFILE%\Documents\GitHub\eaglep3\Utilities\RefineRTDCRunTimes.py" --tripid 127-19 --locoid 4044 --swversion DE.1.0.8.0 --startMP 204:462 --initTime 2017-01-19T06:57:58 --startdatetime 2017-01-19T07:00:25 --delay 1 --endMP 204:233293 --enddatetime 2017-01-19T07:36:40 --enforcementcount 5 &gt;&gt;C:\Users\stu\Documents\GitHub\eaglep3-reporting\EC\2017-01-19-refined-times.txt</v>
      </c>
      <c r="AI38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{"issue":{"subject":"","project_id":79,"tracker_id":40,"status_id":1,"priority_id":2,"assigned_to_id":23,"start_date":"2017-01-19","description":"","custom_fields":[{"id":1,"name":"Subdivision","value":"EC"},{"id":4,"name":"Milepost","value":"23.3293"},{"id":17,"name":"Train ID","value":"127-19"},{"id":16,"name":"Locomotive ID","value":"4044"},{"id":130,"name":"Impact","value":""},{"id":150,"name":"Time of Event (Mountain Time)","value":"07:36:40"},{"id":151,"name":"Denver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0"/>
      <c r="AK38" s="50"/>
      <c r="AL38" s="50"/>
      <c r="AM38" s="177" t="str">
        <f t="shared" si="18"/>
        <v>start /low /b %USERPROFILE%\Documents\GitHub\eaglep3\Utilities\DownloadLogsFromS3.py --loco 4044 --day 2017-01-19</v>
      </c>
      <c r="AN38" s="186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"%USERPROFILE%\AppData\Local\Temp\OnboardLogs"\RTDC4044\*4044*20170119* | grep -SE "(Enforcement Action)|(\[TIMEOUT)|(CHR.+\|PRM\|1\|D.+(SWITCH|SIGNAL).+UNKNOWN)" - &gt;&gt; 2017-01-19-UncaughtWiMAX.txt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4" t="s">
        <v>553</v>
      </c>
      <c r="B39" s="7">
        <v>4043</v>
      </c>
      <c r="C39" s="22" t="s">
        <v>196</v>
      </c>
      <c r="D39" s="22" t="s">
        <v>303</v>
      </c>
      <c r="E39" s="13">
        <v>42754.326226851852</v>
      </c>
      <c r="F39" s="13">
        <v>42754.330937500003</v>
      </c>
      <c r="G39" s="7">
        <v>1</v>
      </c>
      <c r="H39" s="22" t="s">
        <v>186</v>
      </c>
      <c r="I39" s="13">
        <v>42754.358263888891</v>
      </c>
      <c r="J39" s="7">
        <v>5</v>
      </c>
      <c r="K39" s="105" t="str">
        <f t="shared" si="0"/>
        <v>4043/4044</v>
      </c>
      <c r="L39" s="22" t="str">
        <f>VLOOKUP(A39,'Trips&amp;Operators'!$C$1:$G$99999,5,FALSE)</f>
        <v>CUSHING HARRY</v>
      </c>
      <c r="M39" s="6">
        <f t="shared" si="1"/>
        <v>2.73263888884685E-2</v>
      </c>
      <c r="N39" s="7">
        <f t="shared" si="19"/>
        <v>39.34999999939464</v>
      </c>
      <c r="O39" s="7"/>
      <c r="P39" s="7"/>
      <c r="Q39" s="23"/>
      <c r="R39" s="23"/>
      <c r="S39" s="32">
        <f t="shared" si="2"/>
        <v>1</v>
      </c>
      <c r="T39" s="47" t="str">
        <f t="shared" si="3"/>
        <v>Southbound</v>
      </c>
      <c r="U39" s="164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4" t="str">
        <f t="shared" si="4"/>
        <v>https://d0f6bd738d7f1b3e5a7ca70fe4ff75f0.us-east-1.aws.found.io/app/kibana#/discover/Steve-Slow-Train-Analysis-(2080s-and-2083s)?_g=(refreshInterval:(display:Off,pause:!f,section:0,value:0),time:(from:'2017-01-19T06:49:46-0700',mode:absolute,to:'2017-01-19T09:35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9" s="49" t="str">
        <f t="shared" si="5"/>
        <v>N</v>
      </c>
      <c r="X39" s="170">
        <f t="shared" si="20"/>
        <v>1</v>
      </c>
      <c r="Y39" s="64">
        <f t="shared" si="6"/>
        <v>23.297499999999999</v>
      </c>
      <c r="Z39" s="64">
        <f t="shared" si="7"/>
        <v>1.49E-2</v>
      </c>
      <c r="AA39" s="64">
        <f t="shared" si="8"/>
        <v>23.282599999999999</v>
      </c>
      <c r="AB39" s="61" t="e">
        <f>VLOOKUP(A39,Enforcements!$C$7:$K$15,8,0)</f>
        <v>#N/A</v>
      </c>
      <c r="AC39" s="57" t="e">
        <f>VLOOKUP(A39,Enforcements!$C$7:$E$15,3,0)</f>
        <v>#N/A</v>
      </c>
      <c r="AD39" s="58" t="str">
        <f t="shared" si="9"/>
        <v>0128-19</v>
      </c>
      <c r="AE39" s="87" t="str">
        <f t="shared" si="10"/>
        <v>aws s3 cp s3://rtdc.mdm.uploadarchive.raw/RTDC4043/ "%USERPROFILE%\AppData\Local\Temp\OnboardLogs"\RTDC4043\2017-01-19 --exclude "*" --recursive --include "*20170119*" &amp; "%USERPROFILE%\Documents\GitHub\mrs-test-scripts\Headless Mode &amp; Sideloading\WalkAndUnGZ.bat" "%USERPROFILE%\AppData\Local\Temp\OnboardLogs"\RTDC4043\2017-01-19 &amp; aws s3 cp s3://rtdc.mdm.uploadarchive.raw/RTDC4043/ "%USERPROFILE%\AppData\Local\Temp\OnboardLogs"\RTDC4043\2017-01-20 --exclude "*" --recursive --include "*20170120*" &amp; "%USERPROFILE%\Documents\GitHub\mrs-test-scripts\Headless Mode &amp; Sideloading\WalkAndUnGZ.bat" "%USERPROFILE%\AppData\Local\Temp\OnboardLogs"\RTDC4043\2017-01-20</v>
      </c>
      <c r="AF39" s="84" t="str">
        <f t="shared" si="11"/>
        <v>"C:\Program Files (x86)\AstroGrep\AstroGrep.exe" /spath="%USERPROFILE%\AppData\Local\Temp\OnboardLogs" /stypes="app*4043*20170119*" /stext=" 15:.+((SYSTEM_STATE.+slice.+state.+changed )|(ment ac)|(multiple cpu faults)|(system.+state.+changed )|(\[timeout)|(PRM\|1\|D)|(kpr)|(kdp)|(\|lc)|(penalty))" /e /r /s</v>
      </c>
      <c r="AG39" s="1" t="str">
        <f t="shared" si="12"/>
        <v>EC</v>
      </c>
      <c r="AH39" s="88" t="str">
        <f t="shared" si="16"/>
        <v>"%USERPROFILE%\Documents\GitHub\eaglep3\Utilities\RefineRTDCRunTimes.py" --tripid 128-19 --locoid 4043 --swversion DE.1.0.8.0 --startMP 204:232975 --initTime 2017-01-19T07:49:46 --startdatetime 2017-01-19T07:56:33 --delay 1 --endMP 204:149 --enddatetime 2017-01-19T08:35:54 --enforcementcount 5 &gt;&gt;C:\Users\stu\Documents\GitHub\eaglep3-reporting\EC\2017-01-19-refined-times.txt</v>
      </c>
      <c r="AI39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{"issue":{"subject":"","project_id":79,"tracker_id":40,"status_id":1,"priority_id":2,"assigned_to_id":23,"start_date":"2017-01-19","description":"","custom_fields":[{"id":1,"name":"Subdivision","value":"EC"},{"id":4,"name":"Milepost","value":"0.0149"},{"id":17,"name":"Train ID","value":"128-19"},{"id":16,"name":"Locomotive ID","value":"4043"},{"id":130,"name":"Impact","value":""},{"id":150,"name":"Time of Event (Mountain Time)","value":"08:35:54"},{"id":151,"name":"Denver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0"/>
      <c r="AK39" s="50"/>
      <c r="AL39" s="50"/>
      <c r="AM39" s="177" t="str">
        <f t="shared" si="18"/>
        <v>start /low /b %USERPROFILE%\Documents\GitHub\eaglep3\Utilities\DownloadLogsFromS3.py --loco 4043 --day 2017-01-19</v>
      </c>
      <c r="AN39" s="186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"%USERPROFILE%\AppData\Local\Temp\OnboardLogs"\RTDC4043\*4043*20170119* | grep -SE "(Enforcement Action)|(\[TIMEOUT)|(CHR.+\|PRM\|1\|D.+(SWITCH|SIGNAL).+UNKNOWN)" - &gt;&gt; 2017-01-19-UncaughtWiMAX.txt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4" t="s">
        <v>480</v>
      </c>
      <c r="B40" s="7">
        <v>4020</v>
      </c>
      <c r="C40" s="22" t="s">
        <v>196</v>
      </c>
      <c r="D40" s="22" t="s">
        <v>286</v>
      </c>
      <c r="E40" s="13">
        <v>42754.298506944448</v>
      </c>
      <c r="F40" s="13">
        <v>42754.302256944444</v>
      </c>
      <c r="G40" s="7">
        <v>1</v>
      </c>
      <c r="H40" s="22" t="s">
        <v>305</v>
      </c>
      <c r="I40" s="13">
        <v>42754.327673611115</v>
      </c>
      <c r="J40" s="7">
        <v>5</v>
      </c>
      <c r="K40" s="105" t="str">
        <f t="shared" si="0"/>
        <v>4019/4020</v>
      </c>
      <c r="L40" s="22" t="str">
        <f>VLOOKUP(A40,'Trips&amp;Operators'!$C$1:$G$99999,5,FALSE)</f>
        <v>STARKS ANGELINA</v>
      </c>
      <c r="M40" s="6">
        <f t="shared" si="1"/>
        <v>2.5416666670935228E-2</v>
      </c>
      <c r="N40" s="7">
        <f t="shared" si="19"/>
        <v>36.600000006146729</v>
      </c>
      <c r="O40" s="7"/>
      <c r="P40" s="7"/>
      <c r="Q40" s="23"/>
      <c r="R40" s="23"/>
      <c r="S40" s="32">
        <f t="shared" si="2"/>
        <v>1</v>
      </c>
      <c r="T40" s="47" t="str">
        <f t="shared" si="3"/>
        <v>NorthBound</v>
      </c>
      <c r="U40" s="164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4" t="str">
        <f t="shared" si="4"/>
        <v>https://d0f6bd738d7f1b3e5a7ca70fe4ff75f0.us-east-1.aws.found.io/app/kibana#/discover/Steve-Slow-Train-Analysis-(2080s-and-2083s)?_g=(refreshInterval:(display:Off,pause:!f,section:0,value:0),time:(from:'2017-01-19T06:09:51-0700',mode:absolute,to:'2017-01-19T08:51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0" s="49" t="str">
        <f t="shared" si="5"/>
        <v>N</v>
      </c>
      <c r="X40" s="170">
        <f t="shared" si="20"/>
        <v>1</v>
      </c>
      <c r="Y40" s="64">
        <f t="shared" si="6"/>
        <v>4.5699999999999998E-2</v>
      </c>
      <c r="Z40" s="64">
        <f t="shared" si="7"/>
        <v>23.331499999999998</v>
      </c>
      <c r="AA40" s="64">
        <f t="shared" si="8"/>
        <v>23.285799999999998</v>
      </c>
      <c r="AB40" s="61" t="str">
        <f>VLOOKUP(A40,Enforcements!$C$7:$K$15,8,0)</f>
        <v>Speed (6)</v>
      </c>
      <c r="AC40" s="57" t="str">
        <f>VLOOKUP(A40,Enforcements!$C$7:$E$15,3,0)</f>
        <v>PERMANENT SPEED RESTRICTION</v>
      </c>
      <c r="AD40" s="58" t="str">
        <f t="shared" si="9"/>
        <v>0129-19</v>
      </c>
      <c r="AE40" s="87" t="str">
        <f t="shared" si="10"/>
        <v>aws s3 cp s3://rtdc.mdm.uploadarchive.raw/RTDC4020/ "%USERPROFILE%\AppData\Local\Temp\OnboardLogs"\RTDC4020\2017-01-19 --exclude "*" --recursive --include "*20170119*" &amp; "%USERPROFILE%\Documents\GitHub\mrs-test-scripts\Headless Mode &amp; Sideloading\WalkAndUnGZ.bat" "%USERPROFILE%\AppData\Local\Temp\OnboardLogs"\RTDC4020\2017-01-19 &amp; aws s3 cp s3://rtdc.mdm.uploadarchive.raw/RTDC4020/ "%USERPROFILE%\AppData\Local\Temp\OnboardLogs"\RTDC4020\2017-01-20 --exclude "*" --recursive --include "*20170120*" &amp; "%USERPROFILE%\Documents\GitHub\mrs-test-scripts\Headless Mode &amp; Sideloading\WalkAndUnGZ.bat" "%USERPROFILE%\AppData\Local\Temp\OnboardLogs"\RTDC4020\2017-01-20</v>
      </c>
      <c r="AF40" s="84" t="str">
        <f t="shared" si="11"/>
        <v>"C:\Program Files (x86)\AstroGrep\AstroGrep.exe" /spath="%USERPROFILE%\AppData\Local\Temp\OnboardLogs" /stypes="app*4020*20170119*" /stext=" 14:.+((SYSTEM_STATE.+slice.+state.+changed )|(ment ac)|(multiple cpu faults)|(system.+state.+changed )|(\[timeout)|(PRM\|1\|D)|(kpr)|(kdp)|(\|lc)|(penalty))" /e /r /s</v>
      </c>
      <c r="AG40" s="1" t="str">
        <f t="shared" si="12"/>
        <v>EC</v>
      </c>
      <c r="AH40" s="88" t="str">
        <f t="shared" si="16"/>
        <v>"%USERPROFILE%\Documents\GitHub\eaglep3\Utilities\RefineRTDCRunTimes.py" --tripid 129-19 --locoid 4020 --swversion DE.1.0.8.0 --startMP 204:457 --initTime 2017-01-19T07:09:51 --startdatetime 2017-01-19T07:15:15 --delay 1 --endMP 204:233315 --enddatetime 2017-01-19T07:51:51 --enforcementcount 5 &gt;&gt;C:\Users\stu\Documents\GitHub\eaglep3-reporting\EC\2017-01-19-refined-times.txt</v>
      </c>
      <c r="AI40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{"issue":{"subject":"","project_id":79,"tracker_id":40,"status_id":1,"priority_id":2,"assigned_to_id":23,"start_date":"2017-01-19","description":"","custom_fields":[{"id":1,"name":"Subdivision","value":"EC"},{"id":4,"name":"Milepost","value":"23.3315"},{"id":17,"name":"Train ID","value":"129-19"},{"id":16,"name":"Locomotive ID","value":"4020"},{"id":130,"name":"Impact","value":""},{"id":150,"name":"Time of Event (Mountain Time)","value":"07:51:51"},{"id":151,"name":"Denver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0"/>
      <c r="AK40" s="50"/>
      <c r="AL40" s="50"/>
      <c r="AM40" s="177" t="str">
        <f t="shared" si="18"/>
        <v>start /low /b %USERPROFILE%\Documents\GitHub\eaglep3\Utilities\DownloadLogsFromS3.py --loco 4020 --day 2017-01-19</v>
      </c>
      <c r="AN40" s="186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"%USERPROFILE%\AppData\Local\Temp\OnboardLogs"\RTDC4020\*4020*20170119* | grep -SE "(Enforcement Action)|(\[TIMEOUT)|(CHR.+\|PRM\|1\|D.+(SWITCH|SIGNAL).+UNKNOWN)" - &gt;&gt; 2017-01-19-UncaughtWiMAX.txt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4" t="s">
        <v>558</v>
      </c>
      <c r="B41" s="7">
        <v>4019</v>
      </c>
      <c r="C41" s="22" t="s">
        <v>196</v>
      </c>
      <c r="D41" s="22" t="s">
        <v>299</v>
      </c>
      <c r="E41" s="13">
        <v>42754.339930555558</v>
      </c>
      <c r="F41" s="13">
        <v>42754.341145833336</v>
      </c>
      <c r="G41" s="7">
        <v>1</v>
      </c>
      <c r="H41" s="22" t="s">
        <v>365</v>
      </c>
      <c r="I41" s="13">
        <v>42754.367546296293</v>
      </c>
      <c r="J41" s="7">
        <v>5</v>
      </c>
      <c r="K41" s="105" t="str">
        <f t="shared" si="0"/>
        <v>4019/4020</v>
      </c>
      <c r="L41" s="22" t="str">
        <f>VLOOKUP(A41,'Trips&amp;Operators'!$C$1:$G$99999,5,FALSE)</f>
        <v>STARKS ANGELINA</v>
      </c>
      <c r="M41" s="6">
        <f t="shared" si="1"/>
        <v>2.640046295709908E-2</v>
      </c>
      <c r="N41" s="7">
        <f t="shared" si="19"/>
        <v>38.016666658222675</v>
      </c>
      <c r="O41" s="7"/>
      <c r="P41" s="7"/>
      <c r="Q41" s="23"/>
      <c r="R41" s="23"/>
      <c r="S41" s="32">
        <f t="shared" si="2"/>
        <v>1</v>
      </c>
      <c r="T41" s="47" t="str">
        <f t="shared" si="3"/>
        <v>Southbound</v>
      </c>
      <c r="U41" s="164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4" t="str">
        <f t="shared" si="4"/>
        <v>https://d0f6bd738d7f1b3e5a7ca70fe4ff75f0.us-east-1.aws.found.io/app/kibana#/discover/Steve-Slow-Train-Analysis-(2080s-and-2083s)?_g=(refreshInterval:(display:Off,pause:!f,section:0,value:0),time:(from:'2017-01-19T07:09:30-0700',mode:absolute,to:'2017-01-19T09:49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1" s="49" t="str">
        <f t="shared" si="5"/>
        <v>N</v>
      </c>
      <c r="X41" s="170">
        <f t="shared" si="20"/>
        <v>1</v>
      </c>
      <c r="Y41" s="64">
        <f t="shared" si="6"/>
        <v>23.301300000000001</v>
      </c>
      <c r="Z41" s="64">
        <f t="shared" si="7"/>
        <v>1.41E-2</v>
      </c>
      <c r="AA41" s="64">
        <f t="shared" si="8"/>
        <v>23.287200000000002</v>
      </c>
      <c r="AB41" s="61" t="e">
        <f>VLOOKUP(A41,Enforcements!$C$7:$K$15,8,0)</f>
        <v>#N/A</v>
      </c>
      <c r="AC41" s="57" t="e">
        <f>VLOOKUP(A41,Enforcements!$C$7:$E$15,3,0)</f>
        <v>#N/A</v>
      </c>
      <c r="AD41" s="58" t="str">
        <f t="shared" si="9"/>
        <v>0130-19</v>
      </c>
      <c r="AE41" s="87" t="str">
        <f t="shared" si="10"/>
        <v>aws s3 cp s3://rtdc.mdm.uploadarchive.raw/RTDC4019/ "%USERPROFILE%\AppData\Local\Temp\OnboardLogs"\RTDC4019\2017-01-19 --exclude "*" --recursive --include "*20170119*" &amp; "%USERPROFILE%\Documents\GitHub\mrs-test-scripts\Headless Mode &amp; Sideloading\WalkAndUnGZ.bat" "%USERPROFILE%\AppData\Local\Temp\OnboardLogs"\RTDC4019\2017-01-19 &amp; aws s3 cp s3://rtdc.mdm.uploadarchive.raw/RTDC4019/ "%USERPROFILE%\AppData\Local\Temp\OnboardLogs"\RTDC4019\2017-01-20 --exclude "*" --recursive --include "*20170120*" &amp; "%USERPROFILE%\Documents\GitHub\mrs-test-scripts\Headless Mode &amp; Sideloading\WalkAndUnGZ.bat" "%USERPROFILE%\AppData\Local\Temp\OnboardLogs"\RTDC4019\2017-01-20</v>
      </c>
      <c r="AF41" s="84" t="str">
        <f t="shared" si="11"/>
        <v>"C:\Program Files (x86)\AstroGrep\AstroGrep.exe" /spath="%USERPROFILE%\AppData\Local\Temp\OnboardLogs" /stypes="app*4019*20170119*" /stext=" 15:.+((SYSTEM_STATE.+slice.+state.+changed )|(ment ac)|(multiple cpu faults)|(system.+state.+changed )|(\[timeout)|(PRM\|1\|D)|(kpr)|(kdp)|(\|lc)|(penalty))" /e /r /s</v>
      </c>
      <c r="AG41" s="1" t="str">
        <f t="shared" si="12"/>
        <v>EC</v>
      </c>
      <c r="AH41" s="88" t="str">
        <f t="shared" si="16"/>
        <v>"%USERPROFILE%\Documents\GitHub\eaglep3\Utilities\RefineRTDCRunTimes.py" --tripid 130-19 --locoid 4019 --swversion DE.1.0.8.0 --startMP 204:233013 --initTime 2017-01-19T08:09:30 --startdatetime 2017-01-19T08:11:15 --delay 1 --endMP 204:141 --enddatetime 2017-01-19T08:49:16 --enforcementcount 5 &gt;&gt;C:\Users\stu\Documents\GitHub\eaglep3-reporting\EC\2017-01-19-refined-times.txt</v>
      </c>
      <c r="AI41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{"issue":{"subject":"","project_id":79,"tracker_id":40,"status_id":1,"priority_id":2,"assigned_to_id":23,"start_date":"2017-01-19","description":"","custom_fields":[{"id":1,"name":"Subdivision","value":"EC"},{"id":4,"name":"Milepost","value":"0.0141"},{"id":17,"name":"Train ID","value":"130-19"},{"id":16,"name":"Locomotive ID","value":"4019"},{"id":130,"name":"Impact","value":""},{"id":150,"name":"Time of Event (Mountain Time)","value":"08:49:16"},{"id":151,"name":"Denver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0"/>
      <c r="AK41" s="50"/>
      <c r="AL41" s="50"/>
      <c r="AM41" s="177" t="str">
        <f t="shared" si="18"/>
        <v>start /low /b %USERPROFILE%\Documents\GitHub\eaglep3\Utilities\DownloadLogsFromS3.py --loco 4019 --day 2017-01-19</v>
      </c>
      <c r="AN41" s="186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"%USERPROFILE%\AppData\Local\Temp\OnboardLogs"\RTDC4019\*4019*20170119* | grep -SE "(Enforcement Action)|(\[TIMEOUT)|(CHR.+\|PRM\|1\|D.+(SWITCH|SIGNAL).+UNKNOWN)" - &gt;&gt; 2017-01-19-UncaughtWiMAX.txt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4" t="s">
        <v>549</v>
      </c>
      <c r="B42" s="7">
        <v>4016</v>
      </c>
      <c r="C42" s="22" t="s">
        <v>196</v>
      </c>
      <c r="D42" s="22" t="s">
        <v>377</v>
      </c>
      <c r="E42" s="13">
        <v>42754.308738425927</v>
      </c>
      <c r="F42" s="13">
        <v>42754.312858796293</v>
      </c>
      <c r="G42" s="7">
        <v>2</v>
      </c>
      <c r="H42" s="22" t="s">
        <v>242</v>
      </c>
      <c r="I42" s="13">
        <v>42754.337604166663</v>
      </c>
      <c r="J42" s="7">
        <v>5</v>
      </c>
      <c r="K42" s="105" t="str">
        <f t="shared" si="0"/>
        <v>4015/4016</v>
      </c>
      <c r="L42" s="22" t="str">
        <f>VLOOKUP(A42,'Trips&amp;Operators'!$C$1:$G$99999,5,FALSE)</f>
        <v>ACKERMAN JARED</v>
      </c>
      <c r="M42" s="6">
        <f t="shared" si="1"/>
        <v>2.47453703705105E-2</v>
      </c>
      <c r="N42" s="7">
        <f t="shared" si="19"/>
        <v>35.63333333353512</v>
      </c>
      <c r="O42" s="7"/>
      <c r="P42" s="7"/>
      <c r="Q42" s="23"/>
      <c r="R42" s="23"/>
      <c r="S42" s="32">
        <f t="shared" si="2"/>
        <v>1</v>
      </c>
      <c r="T42" s="47" t="str">
        <f t="shared" si="3"/>
        <v>NorthBound</v>
      </c>
      <c r="U42" s="164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4" t="str">
        <f t="shared" si="4"/>
        <v>https://d0f6bd738d7f1b3e5a7ca70fe4ff75f0.us-east-1.aws.found.io/app/kibana#/discover/Steve-Slow-Train-Analysis-(2080s-and-2083s)?_g=(refreshInterval:(display:Off,pause:!f,section:0,value:0),time:(from:'2017-01-19T06:24:35-0700',mode:absolute,to:'2017-01-19T09:06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2" s="49" t="str">
        <f t="shared" si="5"/>
        <v>N</v>
      </c>
      <c r="X42" s="170">
        <f t="shared" si="20"/>
        <v>1</v>
      </c>
      <c r="Y42" s="64">
        <f t="shared" si="6"/>
        <v>4.9799999999999997E-2</v>
      </c>
      <c r="Z42" s="64">
        <f t="shared" si="7"/>
        <v>23.330100000000002</v>
      </c>
      <c r="AA42" s="64">
        <f t="shared" si="8"/>
        <v>23.2803</v>
      </c>
      <c r="AB42" s="61" t="e">
        <f>VLOOKUP(A42,Enforcements!$C$7:$K$15,8,0)</f>
        <v>#N/A</v>
      </c>
      <c r="AC42" s="57" t="e">
        <f>VLOOKUP(A42,Enforcements!$C$7:$E$15,3,0)</f>
        <v>#N/A</v>
      </c>
      <c r="AD42" s="58" t="str">
        <f t="shared" si="9"/>
        <v>0131-19</v>
      </c>
      <c r="AE42" s="87" t="str">
        <f t="shared" si="10"/>
        <v>aws s3 cp s3://rtdc.mdm.uploadarchive.raw/RTDC4016/ "%USERPROFILE%\AppData\Local\Temp\OnboardLogs"\RTDC4016\2017-01-19 --exclude "*" --recursive --include "*20170119*" &amp; "%USERPROFILE%\Documents\GitHub\mrs-test-scripts\Headless Mode &amp; Sideloading\WalkAndUnGZ.bat" "%USERPROFILE%\AppData\Local\Temp\OnboardLogs"\RTDC4016\2017-01-19 &amp; aws s3 cp s3://rtdc.mdm.uploadarchive.raw/RTDC4016/ "%USERPROFILE%\AppData\Local\Temp\OnboardLogs"\RTDC4016\2017-01-20 --exclude "*" --recursive --include "*20170120*" &amp; "%USERPROFILE%\Documents\GitHub\mrs-test-scripts\Headless Mode &amp; Sideloading\WalkAndUnGZ.bat" "%USERPROFILE%\AppData\Local\Temp\OnboardLogs"\RTDC4016\2017-01-20</v>
      </c>
      <c r="AF42" s="84" t="str">
        <f t="shared" si="11"/>
        <v>"C:\Program Files (x86)\AstroGrep\AstroGrep.exe" /spath="%USERPROFILE%\AppData\Local\Temp\OnboardLogs" /stypes="app*4016*20170119*" /stext=" 15:.+((SYSTEM_STATE.+slice.+state.+changed )|(ment ac)|(multiple cpu faults)|(system.+state.+changed )|(\[timeout)|(PRM\|1\|D)|(kpr)|(kdp)|(\|lc)|(penalty))" /e /r /s</v>
      </c>
      <c r="AG42" s="1" t="str">
        <f t="shared" si="12"/>
        <v>EC</v>
      </c>
      <c r="AH42" s="88" t="str">
        <f t="shared" si="16"/>
        <v>"%USERPROFILE%\Documents\GitHub\eaglep3\Utilities\RefineRTDCRunTimes.py" --tripid 131-19 --locoid 4016 --swversion DE.1.0.8.0 --startMP 204:498 --initTime 2017-01-19T07:24:35 --startdatetime 2017-01-19T07:30:31 --delay 2 --endMP 204:233301 --enddatetime 2017-01-19T08:06:09 --enforcementcount 5 &gt;&gt;C:\Users\stu\Documents\GitHub\eaglep3-reporting\EC\2017-01-19-refined-times.txt</v>
      </c>
      <c r="AI42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{"issue":{"subject":"","project_id":79,"tracker_id":40,"status_id":1,"priority_id":2,"assigned_to_id":23,"start_date":"2017-01-19","description":"","custom_fields":[{"id":1,"name":"Subdivision","value":"EC"},{"id":4,"name":"Milepost","value":"23.3301"},{"id":17,"name":"Train ID","value":"131-19"},{"id":16,"name":"Locomotive ID","value":"4016"},{"id":130,"name":"Impact","value":""},{"id":150,"name":"Time of Event (Mountain Time)","value":"08:06:09"},{"id":151,"name":"Denver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0"/>
      <c r="AK42" s="50"/>
      <c r="AL42" s="50"/>
      <c r="AM42" s="177" t="str">
        <f t="shared" si="18"/>
        <v>start /low /b %USERPROFILE%\Documents\GitHub\eaglep3\Utilities\DownloadLogsFromS3.py --loco 4016 --day 2017-01-19</v>
      </c>
      <c r="AN42" s="186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"%USERPROFILE%\AppData\Local\Temp\OnboardLogs"\RTDC4016\*4016*20170119* | grep -SE "(Enforcement Action)|(\[TIMEOUT)|(CHR.+\|PRM\|1\|D.+(SWITCH|SIGNAL).+UNKNOWN)" - &gt;&gt; 2017-01-19-UncaughtWiMAX.txt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4" t="s">
        <v>559</v>
      </c>
      <c r="B43" s="7">
        <v>4015</v>
      </c>
      <c r="C43" s="22" t="s">
        <v>196</v>
      </c>
      <c r="D43" s="22" t="s">
        <v>730</v>
      </c>
      <c r="E43" s="13">
        <v>42754.344571759262</v>
      </c>
      <c r="F43" s="13">
        <v>42754.351620370369</v>
      </c>
      <c r="G43" s="7">
        <v>2</v>
      </c>
      <c r="H43" s="22" t="s">
        <v>206</v>
      </c>
      <c r="I43" s="13">
        <v>42754.379317129627</v>
      </c>
      <c r="J43" s="7">
        <v>5</v>
      </c>
      <c r="K43" s="105" t="str">
        <f t="shared" si="0"/>
        <v>4015/4016</v>
      </c>
      <c r="L43" s="22" t="str">
        <f>VLOOKUP(A43,'Trips&amp;Operators'!$C$1:$G$99999,5,FALSE)</f>
        <v>ACKERMAN JARED</v>
      </c>
      <c r="M43" s="6">
        <f t="shared" si="1"/>
        <v>2.7696759258105885E-2</v>
      </c>
      <c r="N43" s="7">
        <f t="shared" si="19"/>
        <v>39.883333331672475</v>
      </c>
      <c r="O43" s="7"/>
      <c r="P43" s="7"/>
      <c r="Q43" s="23"/>
      <c r="R43" s="23"/>
      <c r="S43" s="32">
        <f t="shared" si="2"/>
        <v>1</v>
      </c>
      <c r="T43" s="47" t="str">
        <f t="shared" si="3"/>
        <v>Southbound</v>
      </c>
      <c r="U43" s="164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4" t="str">
        <f t="shared" si="4"/>
        <v>https://d0f6bd738d7f1b3e5a7ca70fe4ff75f0.us-east-1.aws.found.io/app/kibana#/discover/Steve-Slow-Train-Analysis-(2080s-and-2083s)?_g=(refreshInterval:(display:Off,pause:!f,section:0,value:0),time:(from:'2017-01-19T07:16:11-0700',mode:absolute,to:'2017-01-19T10:06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3" s="49" t="str">
        <f t="shared" si="5"/>
        <v>N</v>
      </c>
      <c r="X43" s="170">
        <f t="shared" si="20"/>
        <v>1</v>
      </c>
      <c r="Y43" s="64">
        <f t="shared" si="6"/>
        <v>23.299399999999999</v>
      </c>
      <c r="Z43" s="64">
        <f t="shared" si="7"/>
        <v>1.4500000000000001E-2</v>
      </c>
      <c r="AA43" s="64">
        <f t="shared" si="8"/>
        <v>23.284899999999997</v>
      </c>
      <c r="AB43" s="61" t="e">
        <f>VLOOKUP(A43,Enforcements!$C$7:$K$15,8,0)</f>
        <v>#N/A</v>
      </c>
      <c r="AC43" s="57" t="e">
        <f>VLOOKUP(A43,Enforcements!$C$7:$E$15,3,0)</f>
        <v>#N/A</v>
      </c>
      <c r="AD43" s="58" t="str">
        <f t="shared" si="9"/>
        <v>0132-19</v>
      </c>
      <c r="AE43" s="87" t="str">
        <f t="shared" si="10"/>
        <v>aws s3 cp s3://rtdc.mdm.uploadarchive.raw/RTDC4015/ "%USERPROFILE%\AppData\Local\Temp\OnboardLogs"\RTDC4015\2017-01-19 --exclude "*" --recursive --include "*20170119*" &amp; "%USERPROFILE%\Documents\GitHub\mrs-test-scripts\Headless Mode &amp; Sideloading\WalkAndUnGZ.bat" "%USERPROFILE%\AppData\Local\Temp\OnboardLogs"\RTDC4015\2017-01-19 &amp; aws s3 cp s3://rtdc.mdm.uploadarchive.raw/RTDC4015/ "%USERPROFILE%\AppData\Local\Temp\OnboardLogs"\RTDC4015\2017-01-20 --exclude "*" --recursive --include "*20170120*" &amp; "%USERPROFILE%\Documents\GitHub\mrs-test-scripts\Headless Mode &amp; Sideloading\WalkAndUnGZ.bat" "%USERPROFILE%\AppData\Local\Temp\OnboardLogs"\RTDC4015\2017-01-20</v>
      </c>
      <c r="AF43" s="84" t="str">
        <f t="shared" si="11"/>
        <v>"C:\Program Files (x86)\AstroGrep\AstroGrep.exe" /spath="%USERPROFILE%\AppData\Local\Temp\OnboardLogs" /stypes="app*4015*20170119*" /stext=" 16:.+((SYSTEM_STATE.+slice.+state.+changed )|(ment ac)|(multiple cpu faults)|(system.+state.+changed )|(\[timeout)|(PRM\|1\|D)|(kpr)|(kdp)|(\|lc)|(penalty))" /e /r /s</v>
      </c>
      <c r="AG43" s="1" t="str">
        <f t="shared" si="12"/>
        <v>EC</v>
      </c>
      <c r="AH43" s="88" t="str">
        <f t="shared" si="16"/>
        <v>"%USERPROFILE%\Documents\GitHub\eaglep3\Utilities\RefineRTDCRunTimes.py" --tripid 132-19 --locoid 4015 --swversion DE.1.0.8.0 --startMP 204:232994 --initTime 2017-01-19T08:16:11 --startdatetime 2017-01-19T08:26:20 --delay 2 --endMP 204:145 --enddatetime 2017-01-19T09:06:13 --enforcementcount 5 &gt;&gt;C:\Users\stu\Documents\GitHub\eaglep3-reporting\EC\2017-01-19-refined-times.txt</v>
      </c>
      <c r="AI43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{"issue":{"subject":"","project_id":79,"tracker_id":40,"status_id":1,"priority_id":2,"assigned_to_id":23,"start_date":"2017-01-19","description":"","custom_fields":[{"id":1,"name":"Subdivision","value":"EC"},{"id":4,"name":"Milepost","value":"0.0145"},{"id":17,"name":"Train ID","value":"132-19"},{"id":16,"name":"Locomotive ID","value":"4015"},{"id":130,"name":"Impact","value":""},{"id":150,"name":"Time of Event (Mountain Time)","value":"09:06:13"},{"id":151,"name":"Denver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0"/>
      <c r="AK43" s="50"/>
      <c r="AL43" s="50"/>
      <c r="AM43" s="177" t="str">
        <f t="shared" si="18"/>
        <v>start /low /b %USERPROFILE%\Documents\GitHub\eaglep3\Utilities\DownloadLogsFromS3.py --loco 4015 --day 2017-01-19</v>
      </c>
      <c r="AN43" s="186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"%USERPROFILE%\AppData\Local\Temp\OnboardLogs"\RTDC4015\*4015*20170119* | grep -SE "(Enforcement Action)|(\[TIMEOUT)|(CHR.+\|PRM\|1\|D.+(SWITCH|SIGNAL).+UNKNOWN)" - &gt;&gt; 2017-01-19-UncaughtWiMAX.txt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4" t="s">
        <v>552</v>
      </c>
      <c r="B44" s="7">
        <v>4022</v>
      </c>
      <c r="C44" s="22" t="s">
        <v>196</v>
      </c>
      <c r="D44" s="22" t="s">
        <v>731</v>
      </c>
      <c r="E44" s="13">
        <v>42754.318877314814</v>
      </c>
      <c r="F44" s="13">
        <v>42754.323171296295</v>
      </c>
      <c r="G44" s="7">
        <v>1</v>
      </c>
      <c r="H44" s="22" t="s">
        <v>250</v>
      </c>
      <c r="I44" s="13">
        <v>42754.347500000003</v>
      </c>
      <c r="J44" s="7">
        <v>5</v>
      </c>
      <c r="K44" s="105" t="str">
        <f t="shared" si="0"/>
        <v>4021/4022</v>
      </c>
      <c r="L44" s="22" t="str">
        <f>VLOOKUP(A44,'Trips&amp;Operators'!$C$1:$G$99999,5,FALSE)</f>
        <v>BEAM ROSS</v>
      </c>
      <c r="M44" s="6">
        <f t="shared" si="1"/>
        <v>2.4328703708306421E-2</v>
      </c>
      <c r="N44" s="7">
        <f t="shared" si="19"/>
        <v>35.033333339961246</v>
      </c>
      <c r="O44" s="7"/>
      <c r="P44" s="7"/>
      <c r="Q44" s="23"/>
      <c r="R44" s="23"/>
      <c r="S44" s="32">
        <f t="shared" si="2"/>
        <v>1</v>
      </c>
      <c r="T44" s="47" t="str">
        <f t="shared" si="3"/>
        <v>NorthBound</v>
      </c>
      <c r="U44" s="164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4" t="str">
        <f t="shared" si="4"/>
        <v>https://d0f6bd738d7f1b3e5a7ca70fe4ff75f0.us-east-1.aws.found.io/app/kibana#/discover/Steve-Slow-Train-Analysis-(2080s-and-2083s)?_g=(refreshInterval:(display:Off,pause:!f,section:0,value:0),time:(from:'2017-01-19T06:39:11-0700',mode:absolute,to:'2017-01-19T09:20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44" s="49" t="str">
        <f t="shared" si="5"/>
        <v>N</v>
      </c>
      <c r="X44" s="170">
        <f t="shared" si="20"/>
        <v>1</v>
      </c>
      <c r="Y44" s="64">
        <f t="shared" si="6"/>
        <v>5.0200000000000002E-2</v>
      </c>
      <c r="Z44" s="64">
        <f t="shared" si="7"/>
        <v>23.330400000000001</v>
      </c>
      <c r="AA44" s="64">
        <f t="shared" si="8"/>
        <v>23.280200000000001</v>
      </c>
      <c r="AB44" s="61" t="e">
        <f>VLOOKUP(A44,Enforcements!$C$7:$K$15,8,0)</f>
        <v>#N/A</v>
      </c>
      <c r="AC44" s="57" t="e">
        <f>VLOOKUP(A44,Enforcements!$C$7:$E$15,3,0)</f>
        <v>#N/A</v>
      </c>
      <c r="AD44" s="58" t="str">
        <f t="shared" si="9"/>
        <v>0133-19</v>
      </c>
      <c r="AE44" s="87" t="str">
        <f t="shared" si="10"/>
        <v>aws s3 cp s3://rtdc.mdm.uploadarchive.raw/RTDC4022/ "%USERPROFILE%\AppData\Local\Temp\OnboardLogs"\RTDC4022\2017-01-19 --exclude "*" --recursive --include "*20170119*" &amp; "%USERPROFILE%\Documents\GitHub\mrs-test-scripts\Headless Mode &amp; Sideloading\WalkAndUnGZ.bat" "%USERPROFILE%\AppData\Local\Temp\OnboardLogs"\RTDC4022\2017-01-19 &amp; aws s3 cp s3://rtdc.mdm.uploadarchive.raw/RTDC4022/ "%USERPROFILE%\AppData\Local\Temp\OnboardLogs"\RTDC4022\2017-01-20 --exclude "*" --recursive --include "*20170120*" &amp; "%USERPROFILE%\Documents\GitHub\mrs-test-scripts\Headless Mode &amp; Sideloading\WalkAndUnGZ.bat" "%USERPROFILE%\AppData\Local\Temp\OnboardLogs"\RTDC4022\2017-01-20</v>
      </c>
      <c r="AF44" s="84" t="str">
        <f t="shared" si="11"/>
        <v>"C:\Program Files (x86)\AstroGrep\AstroGrep.exe" /spath="%USERPROFILE%\AppData\Local\Temp\OnboardLogs" /stypes="app*4022*20170119*" /stext=" 15:.+((SYSTEM_STATE.+slice.+state.+changed )|(ment ac)|(multiple cpu faults)|(system.+state.+changed )|(\[timeout)|(PRM\|1\|D)|(kpr)|(kdp)|(\|lc)|(penalty))" /e /r /s</v>
      </c>
      <c r="AG44" s="1" t="str">
        <f t="shared" si="12"/>
        <v>EC</v>
      </c>
      <c r="AH44" s="88" t="str">
        <f t="shared" si="16"/>
        <v>"%USERPROFILE%\Documents\GitHub\eaglep3\Utilities\RefineRTDCRunTimes.py" --tripid 133-19 --locoid 4022 --swversion DE.1.0.8.0 --startMP 204:502 --initTime 2017-01-19T07:39:11 --startdatetime 2017-01-19T07:45:22 --delay 1 --endMP 204:233304 --enddatetime 2017-01-19T08:20:24 --enforcementcount 5 &gt;&gt;C:\Users\stu\Documents\GitHub\eaglep3-reporting\EC\2017-01-19-refined-times.txt</v>
      </c>
      <c r="AI44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{"issue":{"subject":"","project_id":79,"tracker_id":40,"status_id":1,"priority_id":2,"assigned_to_id":23,"start_date":"2017-01-19","description":"","custom_fields":[{"id":1,"name":"Subdivision","value":"EC"},{"id":4,"name":"Milepost","value":"23.3304"},{"id":17,"name":"Train ID","value":"133-19"},{"id":16,"name":"Locomotive ID","value":"4022"},{"id":130,"name":"Impact","value":""},{"id":150,"name":"Time of Event (Mountain Time)","value":"08:20:24"},{"id":151,"name":"Denver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0"/>
      <c r="AK44" s="50"/>
      <c r="AL44" s="50"/>
      <c r="AM44" s="177" t="str">
        <f t="shared" si="18"/>
        <v>start /low /b %USERPROFILE%\Documents\GitHub\eaglep3\Utilities\DownloadLogsFromS3.py --loco 4022 --day 2017-01-19</v>
      </c>
      <c r="AN44" s="186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"%USERPROFILE%\AppData\Local\Temp\OnboardLogs"\RTDC4022\*4022*20170119* | grep -SE "(Enforcement Action)|(\[TIMEOUT)|(CHR.+\|PRM\|1\|D.+(SWITCH|SIGNAL).+UNKNOWN)" - &gt;&gt; 2017-01-19-UncaughtWiMAX.txt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4" t="s">
        <v>562</v>
      </c>
      <c r="B45" s="7">
        <v>4021</v>
      </c>
      <c r="C45" s="22" t="s">
        <v>196</v>
      </c>
      <c r="D45" s="22" t="s">
        <v>730</v>
      </c>
      <c r="E45" s="13">
        <v>42754.356400462966</v>
      </c>
      <c r="F45" s="13">
        <v>42754.362025462964</v>
      </c>
      <c r="G45" s="7">
        <v>1</v>
      </c>
      <c r="H45" s="22" t="s">
        <v>252</v>
      </c>
      <c r="I45" s="13">
        <v>42754.389537037037</v>
      </c>
      <c r="J45" s="7">
        <v>5</v>
      </c>
      <c r="K45" s="105" t="str">
        <f t="shared" ref="K45:K76" si="21">IF(ISEVEN(B45),(B45-1)&amp;"/"&amp;B45,B45&amp;"/"&amp;(B45+1))</f>
        <v>4021/4022</v>
      </c>
      <c r="L45" s="22" t="str">
        <f>VLOOKUP(A45,'Trips&amp;Operators'!$C$1:$G$99999,5,FALSE)</f>
        <v>BEAM ROSS</v>
      </c>
      <c r="M45" s="6">
        <f t="shared" ref="M45:M76" si="22">I45-F45</f>
        <v>2.7511574073287193E-2</v>
      </c>
      <c r="N45" s="7">
        <f t="shared" si="19"/>
        <v>39.616666665533558</v>
      </c>
      <c r="O45" s="7"/>
      <c r="P45" s="7"/>
      <c r="Q45" s="23"/>
      <c r="R45" s="23"/>
      <c r="S45" s="32">
        <f t="shared" ref="S45:S76" si="23">SUM(U45:U45)/IF(AG45="EC",12,1)</f>
        <v>1</v>
      </c>
      <c r="T45" s="47" t="str">
        <f t="shared" ref="T45:T76" si="24">IF(ISEVEN(LEFT(AD45,4)),"Southbound","NorthBound")</f>
        <v>Southbound</v>
      </c>
      <c r="U45" s="164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4" t="str">
        <f t="shared" si="4"/>
        <v>https://d0f6bd738d7f1b3e5a7ca70fe4ff75f0.us-east-1.aws.found.io/app/kibana#/discover/Steve-Slow-Train-Analysis-(2080s-and-2083s)?_g=(refreshInterval:(display:Off,pause:!f,section:0,value:0),time:(from:'2017-01-19T07:33:13-0700',mode:absolute,to:'2017-01-19T10:20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5" s="49" t="str">
        <f t="shared" ref="W45:W76" si="25">IF(AA45&lt;IF(AG45="EC",23,5.65),"Y","N")</f>
        <v>N</v>
      </c>
      <c r="X45" s="170">
        <f t="shared" si="20"/>
        <v>1</v>
      </c>
      <c r="Y45" s="64">
        <f t="shared" ref="Y45:Y76" si="26">RIGHT(D45,LEN(D45)-4)/10000</f>
        <v>23.299399999999999</v>
      </c>
      <c r="Z45" s="64">
        <f t="shared" ref="Z45:Z76" si="27">RIGHT(H45,LEN(H45)-4)/10000</f>
        <v>1.54E-2</v>
      </c>
      <c r="AA45" s="64">
        <f t="shared" ref="AA45:AA76" si="28">ABS(Z45-Y45)</f>
        <v>23.283999999999999</v>
      </c>
      <c r="AB45" s="61" t="e">
        <f>VLOOKUP(A45,Enforcements!$C$7:$K$15,8,0)</f>
        <v>#N/A</v>
      </c>
      <c r="AC45" s="57" t="e">
        <f>VLOOKUP(A45,Enforcements!$C$7:$E$15,3,0)</f>
        <v>#N/A</v>
      </c>
      <c r="AD45" s="58" t="str">
        <f t="shared" ref="AD45:AD76" si="29">IF(LEN(A45)=6,"0"&amp;A45,A45)</f>
        <v>0134-19</v>
      </c>
      <c r="AE45" s="87" t="str">
        <f t="shared" si="10"/>
        <v>aws s3 cp s3://rtdc.mdm.uploadarchive.raw/RTDC4021/ "%USERPROFILE%\AppData\Local\Temp\OnboardLogs"\RTDC4021\2017-01-19 --exclude "*" --recursive --include "*20170119*" &amp; "%USERPROFILE%\Documents\GitHub\mrs-test-scripts\Headless Mode &amp; Sideloading\WalkAndUnGZ.bat" "%USERPROFILE%\AppData\Local\Temp\OnboardLogs"\RTDC4021\2017-01-19 &amp; aws s3 cp s3://rtdc.mdm.uploadarchive.raw/RTDC4021/ "%USERPROFILE%\AppData\Local\Temp\OnboardLogs"\RTDC4021\2017-01-20 --exclude "*" --recursive --include "*20170120*" &amp; "%USERPROFILE%\Documents\GitHub\mrs-test-scripts\Headless Mode &amp; Sideloading\WalkAndUnGZ.bat" "%USERPROFILE%\AppData\Local\Temp\OnboardLogs"\RTDC4021\2017-01-20</v>
      </c>
      <c r="AF45" s="84" t="str">
        <f t="shared" si="11"/>
        <v>"C:\Program Files (x86)\AstroGrep\AstroGrep.exe" /spath="%USERPROFILE%\AppData\Local\Temp\OnboardLogs" /stypes="app*4021*20170119*" /stext=" 16:.+((SYSTEM_STATE.+slice.+state.+changed )|(ment ac)|(multiple cpu faults)|(system.+state.+changed )|(\[timeout)|(PRM\|1\|D)|(kpr)|(kdp)|(\|lc)|(penalty))" /e /r /s</v>
      </c>
      <c r="AG45" s="1" t="str">
        <f t="shared" ref="AG45:AG76" si="30">IFERROR(IF(VALUE(LEFT(AD45,2))&lt;=2,"EC",IF(OR(VALUE(LEFT(AD45,2))=8,VALUE(LEFT(AD45,2))=18),"NW","Other")),"Other")</f>
        <v>EC</v>
      </c>
      <c r="AH45" s="88" t="str">
        <f t="shared" si="16"/>
        <v>"%USERPROFILE%\Documents\GitHub\eaglep3\Utilities\RefineRTDCRunTimes.py" --tripid 134-19 --locoid 4021 --swversion DE.1.0.8.0 --startMP 204:232994 --initTime 2017-01-19T08:33:13 --startdatetime 2017-01-19T08:41:19 --delay 1 --endMP 204:154 --enddatetime 2017-01-19T09:20:56 --enforcementcount 5 &gt;&gt;C:\Users\stu\Documents\GitHub\eaglep3-reporting\EC\2017-01-19-refined-times.txt</v>
      </c>
      <c r="AI45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{"issue":{"subject":"","project_id":79,"tracker_id":40,"status_id":1,"priority_id":2,"assigned_to_id":23,"start_date":"2017-01-19","description":"","custom_fields":[{"id":1,"name":"Subdivision","value":"EC"},{"id":4,"name":"Milepost","value":"0.0154"},{"id":17,"name":"Train ID","value":"134-19"},{"id":16,"name":"Locomotive ID","value":"4021"},{"id":130,"name":"Impact","value":""},{"id":150,"name":"Time of Event (Mountain Time)","value":"09:20:56"},{"id":151,"name":"Denver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0"/>
      <c r="AK45" s="50"/>
      <c r="AL45" s="50"/>
      <c r="AM45" s="177" t="str">
        <f t="shared" si="18"/>
        <v>start /low /b %USERPROFILE%\Documents\GitHub\eaglep3\Utilities\DownloadLogsFromS3.py --loco 4021 --day 2017-01-19</v>
      </c>
      <c r="AN45" s="186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"%USERPROFILE%\AppData\Local\Temp\OnboardLogs"\RTDC4021\*4021*20170119* | grep -SE "(Enforcement Action)|(\[TIMEOUT)|(CHR.+\|PRM\|1\|D.+(SWITCH|SIGNAL).+UNKNOWN)" - &gt;&gt; 2017-01-19-UncaughtWiMAX.txt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4" t="s">
        <v>554</v>
      </c>
      <c r="B46" s="7">
        <v>4042</v>
      </c>
      <c r="C46" s="22" t="s">
        <v>196</v>
      </c>
      <c r="D46" s="22" t="s">
        <v>326</v>
      </c>
      <c r="E46" s="13">
        <v>42754.328287037039</v>
      </c>
      <c r="F46" s="13">
        <v>42754.333564814813</v>
      </c>
      <c r="G46" s="7">
        <v>2</v>
      </c>
      <c r="H46" s="22" t="s">
        <v>277</v>
      </c>
      <c r="I46" s="13">
        <v>42754.358483796299</v>
      </c>
      <c r="J46" s="7">
        <v>5</v>
      </c>
      <c r="K46" s="105" t="str">
        <f t="shared" si="21"/>
        <v>4041/4042</v>
      </c>
      <c r="L46" s="22" t="str">
        <f>VLOOKUP(A46,'Trips&amp;Operators'!$C$1:$G$99999,5,FALSE)</f>
        <v>ROBINSON KADDIBA</v>
      </c>
      <c r="M46" s="6">
        <f t="shared" si="22"/>
        <v>2.4918981485825498E-2</v>
      </c>
      <c r="N46" s="7">
        <f t="shared" si="19"/>
        <v>35.883333339588717</v>
      </c>
      <c r="O46" s="7"/>
      <c r="P46" s="7"/>
      <c r="Q46" s="23"/>
      <c r="R46" s="23"/>
      <c r="S46" s="32">
        <f t="shared" si="23"/>
        <v>1</v>
      </c>
      <c r="T46" s="47" t="str">
        <f t="shared" si="24"/>
        <v>NorthBound</v>
      </c>
      <c r="U46" s="164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4" t="str">
        <f t="shared" si="4"/>
        <v>https://d0f6bd738d7f1b3e5a7ca70fe4ff75f0.us-east-1.aws.found.io/app/kibana#/discover/Steve-Slow-Train-Analysis-(2080s-and-2083s)?_g=(refreshInterval:(display:Off,pause:!f,section:0,value:0),time:(from:'2017-01-19T06:52:44-0700',mode:absolute,to:'2017-01-19T09:36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6" s="49" t="str">
        <f t="shared" si="25"/>
        <v>N</v>
      </c>
      <c r="X46" s="170">
        <f t="shared" si="20"/>
        <v>1</v>
      </c>
      <c r="Y46" s="64">
        <f t="shared" si="26"/>
        <v>4.4400000000000002E-2</v>
      </c>
      <c r="Z46" s="64">
        <f t="shared" si="27"/>
        <v>23.331099999999999</v>
      </c>
      <c r="AA46" s="64">
        <f t="shared" si="28"/>
        <v>23.2867</v>
      </c>
      <c r="AB46" s="61" t="e">
        <f>VLOOKUP(A46,Enforcements!$C$7:$K$15,8,0)</f>
        <v>#N/A</v>
      </c>
      <c r="AC46" s="57" t="e">
        <f>VLOOKUP(A46,Enforcements!$C$7:$E$15,3,0)</f>
        <v>#N/A</v>
      </c>
      <c r="AD46" s="58" t="str">
        <f t="shared" si="29"/>
        <v>0135-19</v>
      </c>
      <c r="AE46" s="87" t="str">
        <f t="shared" si="10"/>
        <v>aws s3 cp s3://rtdc.mdm.uploadarchive.raw/RTDC4042/ "%USERPROFILE%\AppData\Local\Temp\OnboardLogs"\RTDC4042\2017-01-19 --exclude "*" --recursive --include "*20170119*" &amp; "%USERPROFILE%\Documents\GitHub\mrs-test-scripts\Headless Mode &amp; Sideloading\WalkAndUnGZ.bat" "%USERPROFILE%\AppData\Local\Temp\OnboardLogs"\RTDC4042\2017-01-19 &amp; aws s3 cp s3://rtdc.mdm.uploadarchive.raw/RTDC4042/ "%USERPROFILE%\AppData\Local\Temp\OnboardLogs"\RTDC4042\2017-01-20 --exclude "*" --recursive --include "*20170120*" &amp; "%USERPROFILE%\Documents\GitHub\mrs-test-scripts\Headless Mode &amp; Sideloading\WalkAndUnGZ.bat" "%USERPROFILE%\AppData\Local\Temp\OnboardLogs"\RTDC4042\2017-01-20</v>
      </c>
      <c r="AF46" s="84" t="str">
        <f t="shared" si="11"/>
        <v>"C:\Program Files (x86)\AstroGrep\AstroGrep.exe" /spath="%USERPROFILE%\AppData\Local\Temp\OnboardLogs" /stypes="app*4042*20170119*" /stext=" 15:.+((SYSTEM_STATE.+slice.+state.+changed )|(ment ac)|(multiple cpu faults)|(system.+state.+changed )|(\[timeout)|(PRM\|1\|D)|(kpr)|(kdp)|(\|lc)|(penalty))" /e /r /s</v>
      </c>
      <c r="AG46" s="1" t="str">
        <f t="shared" si="30"/>
        <v>EC</v>
      </c>
      <c r="AH46" s="88" t="str">
        <f t="shared" si="16"/>
        <v>"%USERPROFILE%\Documents\GitHub\eaglep3\Utilities\RefineRTDCRunTimes.py" --tripid 135-19 --locoid 4042 --swversion DE.1.0.8.0 --startMP 204:444 --initTime 2017-01-19T07:52:44 --startdatetime 2017-01-19T08:00:20 --delay 2 --endMP 204:233311 --enddatetime 2017-01-19T08:36:13 --enforcementcount 5 &gt;&gt;C:\Users\stu\Documents\GitHub\eaglep3-reporting\EC\2017-01-19-refined-times.txt</v>
      </c>
      <c r="AI46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{"issue":{"subject":"","project_id":79,"tracker_id":40,"status_id":1,"priority_id":2,"assigned_to_id":23,"start_date":"2017-01-19","description":"","custom_fields":[{"id":1,"name":"Subdivision","value":"EC"},{"id":4,"name":"Milepost","value":"23.3311"},{"id":17,"name":"Train ID","value":"135-19"},{"id":16,"name":"Locomotive ID","value":"4042"},{"id":130,"name":"Impact","value":""},{"id":150,"name":"Time of Event (Mountain Time)","value":"08:36:13"},{"id":151,"name":"Denver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0"/>
      <c r="AK46" s="50"/>
      <c r="AL46" s="50"/>
      <c r="AM46" s="177" t="str">
        <f t="shared" si="18"/>
        <v>start /low /b %USERPROFILE%\Documents\GitHub\eaglep3\Utilities\DownloadLogsFromS3.py --loco 4042 --day 2017-01-19</v>
      </c>
      <c r="AN46" s="186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"%USERPROFILE%\AppData\Local\Temp\OnboardLogs"\RTDC4042\*4042*20170119* | grep -SE "(Enforcement Action)|(\[TIMEOUT)|(CHR.+\|PRM\|1\|D.+(SWITCH|SIGNAL).+UNKNOWN)" - &gt;&gt; 2017-01-19-UncaughtWiMAX.txt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4" t="s">
        <v>484</v>
      </c>
      <c r="B47" s="7">
        <v>4041</v>
      </c>
      <c r="C47" s="22" t="s">
        <v>196</v>
      </c>
      <c r="D47" s="22" t="s">
        <v>303</v>
      </c>
      <c r="E47" s="13">
        <v>42754.365104166667</v>
      </c>
      <c r="F47" s="13">
        <v>42754.372361111113</v>
      </c>
      <c r="G47" s="7">
        <v>1</v>
      </c>
      <c r="H47" s="22" t="s">
        <v>200</v>
      </c>
      <c r="I47" s="13">
        <v>42754.399444444447</v>
      </c>
      <c r="J47" s="7">
        <v>5</v>
      </c>
      <c r="K47" s="105" t="str">
        <f t="shared" si="21"/>
        <v>4041/4042</v>
      </c>
      <c r="L47" s="22" t="str">
        <f>VLOOKUP(A47,'Trips&amp;Operators'!$C$1:$G$99999,5,FALSE)</f>
        <v>COOLAHAN JOHN</v>
      </c>
      <c r="M47" s="6">
        <f t="shared" si="22"/>
        <v>2.7083333334303461E-2</v>
      </c>
      <c r="N47" s="7">
        <f t="shared" si="19"/>
        <v>39.000000001396984</v>
      </c>
      <c r="O47" s="7"/>
      <c r="P47" s="7"/>
      <c r="Q47" s="23"/>
      <c r="R47" s="23"/>
      <c r="S47" s="32">
        <f t="shared" si="23"/>
        <v>1</v>
      </c>
      <c r="T47" s="47" t="str">
        <f t="shared" si="24"/>
        <v>Southbound</v>
      </c>
      <c r="U47" s="164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4" t="str">
        <f t="shared" si="4"/>
        <v>https://d0f6bd738d7f1b3e5a7ca70fe4ff75f0.us-east-1.aws.found.io/app/kibana#/discover/Steve-Slow-Train-Analysis-(2080s-and-2083s)?_g=(refreshInterval:(display:Off,pause:!f,section:0,value:0),time:(from:'2017-01-19T07:45:45-0700',mode:absolute,to:'2017-01-19T10:35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7" s="49" t="str">
        <f t="shared" si="25"/>
        <v>N</v>
      </c>
      <c r="X47" s="170">
        <f t="shared" si="20"/>
        <v>1</v>
      </c>
      <c r="Y47" s="64">
        <f t="shared" si="26"/>
        <v>23.297499999999999</v>
      </c>
      <c r="Z47" s="64">
        <f t="shared" si="27"/>
        <v>1.4999999999999999E-2</v>
      </c>
      <c r="AA47" s="64">
        <f t="shared" si="28"/>
        <v>23.282499999999999</v>
      </c>
      <c r="AB47" s="61" t="str">
        <f>VLOOKUP(A47,Enforcements!$C$7:$K$15,8,0)</f>
        <v>Speed (6)</v>
      </c>
      <c r="AC47" s="57" t="str">
        <f>VLOOKUP(A47,Enforcements!$C$7:$E$15,3,0)</f>
        <v>PERMANENT SPEED RESTRICTION</v>
      </c>
      <c r="AD47" s="58" t="str">
        <f t="shared" si="29"/>
        <v>0136-19</v>
      </c>
      <c r="AE47" s="87" t="str">
        <f t="shared" si="10"/>
        <v>aws s3 cp s3://rtdc.mdm.uploadarchive.raw/RTDC4041/ "%USERPROFILE%\AppData\Local\Temp\OnboardLogs"\RTDC4041\2017-01-19 --exclude "*" --recursive --include "*20170119*" &amp; "%USERPROFILE%\Documents\GitHub\mrs-test-scripts\Headless Mode &amp; Sideloading\WalkAndUnGZ.bat" "%USERPROFILE%\AppData\Local\Temp\OnboardLogs"\RTDC4041\2017-01-19 &amp; aws s3 cp s3://rtdc.mdm.uploadarchive.raw/RTDC4041/ "%USERPROFILE%\AppData\Local\Temp\OnboardLogs"\RTDC4041\2017-01-20 --exclude "*" --recursive --include "*20170120*" &amp; "%USERPROFILE%\Documents\GitHub\mrs-test-scripts\Headless Mode &amp; Sideloading\WalkAndUnGZ.bat" "%USERPROFILE%\AppData\Local\Temp\OnboardLogs"\RTDC4041\2017-01-20</v>
      </c>
      <c r="AF47" s="84" t="str">
        <f t="shared" si="11"/>
        <v>"C:\Program Files (x86)\AstroGrep\AstroGrep.exe" /spath="%USERPROFILE%\AppData\Local\Temp\OnboardLogs" /stypes="app*4041*20170119*" /stext=" 16:.+((SYSTEM_STATE.+slice.+state.+changed )|(ment ac)|(multiple cpu faults)|(system.+state.+changed )|(\[timeout)|(PRM\|1\|D)|(kpr)|(kdp)|(\|lc)|(penalty))" /e /r /s</v>
      </c>
      <c r="AG47" s="1" t="str">
        <f t="shared" si="30"/>
        <v>EC</v>
      </c>
      <c r="AH47" s="88" t="str">
        <f t="shared" si="16"/>
        <v>"%USERPROFILE%\Documents\GitHub\eaglep3\Utilities\RefineRTDCRunTimes.py" --tripid 136-19 --locoid 4041 --swversion DE.1.0.8.0 --startMP 204:232975 --initTime 2017-01-19T08:45:45 --startdatetime 2017-01-19T08:56:12 --delay 1 --endMP 204:150 --enddatetime 2017-01-19T09:35:12 --enforcementcount 5 &gt;&gt;C:\Users\stu\Documents\GitHub\eaglep3-reporting\EC\2017-01-19-refined-times.txt</v>
      </c>
      <c r="AI47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{"issue":{"subject":"","project_id":79,"tracker_id":40,"status_id":1,"priority_id":2,"assigned_to_id":23,"start_date":"2017-01-19","description":"","custom_fields":[{"id":1,"name":"Subdivision","value":"EC"},{"id":4,"name":"Milepost","value":"0.015"},{"id":17,"name":"Train ID","value":"136-19"},{"id":16,"name":"Locomotive ID","value":"4041"},{"id":130,"name":"Impact","value":""},{"id":150,"name":"Time of Event (Mountain Time)","value":"09:35:12"},{"id":151,"name":"Denver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0"/>
      <c r="AK47" s="50"/>
      <c r="AL47" s="50"/>
      <c r="AM47" s="177" t="str">
        <f t="shared" si="18"/>
        <v>start /low /b %USERPROFILE%\Documents\GitHub\eaglep3\Utilities\DownloadLogsFromS3.py --loco 4041 --day 2017-01-19</v>
      </c>
      <c r="AN47" s="186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"%USERPROFILE%\AppData\Local\Temp\OnboardLogs"\RTDC4041\*4041*20170119* | grep -SE "(Enforcement Action)|(\[TIMEOUT)|(CHR.+\|PRM\|1\|D.+(SWITCH|SIGNAL).+UNKNOWN)" - &gt;&gt; 2017-01-19-UncaughtWiMAX.txt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4" t="s">
        <v>556</v>
      </c>
      <c r="B48" s="7">
        <v>4011</v>
      </c>
      <c r="C48" s="22" t="s">
        <v>196</v>
      </c>
      <c r="D48" s="22" t="s">
        <v>256</v>
      </c>
      <c r="E48" s="13">
        <v>42754.338912037034</v>
      </c>
      <c r="F48" s="13">
        <v>42754.3440625</v>
      </c>
      <c r="G48" s="7">
        <v>1</v>
      </c>
      <c r="H48" s="22" t="s">
        <v>305</v>
      </c>
      <c r="I48" s="13">
        <v>42754.370266203703</v>
      </c>
      <c r="J48" s="7">
        <v>5</v>
      </c>
      <c r="K48" s="105" t="str">
        <f t="shared" si="21"/>
        <v>4011/4012</v>
      </c>
      <c r="L48" s="22" t="str">
        <f>VLOOKUP(A48,'Trips&amp;Operators'!$C$1:$G$99999,5,FALSE)</f>
        <v>STRICKLAND EVAN</v>
      </c>
      <c r="M48" s="6">
        <f t="shared" si="22"/>
        <v>2.6203703702776693E-2</v>
      </c>
      <c r="N48" s="7">
        <f t="shared" si="19"/>
        <v>37.733333331998438</v>
      </c>
      <c r="O48" s="7"/>
      <c r="P48" s="7"/>
      <c r="Q48" s="23"/>
      <c r="R48" s="23"/>
      <c r="S48" s="32">
        <f t="shared" si="23"/>
        <v>1</v>
      </c>
      <c r="T48" s="47" t="str">
        <f t="shared" si="24"/>
        <v>NorthBound</v>
      </c>
      <c r="U48" s="164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4" t="str">
        <f t="shared" si="4"/>
        <v>https://d0f6bd738d7f1b3e5a7ca70fe4ff75f0.us-east-1.aws.found.io/app/kibana#/discover/Steve-Slow-Train-Analysis-(2080s-and-2083s)?_g=(refreshInterval:(display:Off,pause:!f,section:0,value:0),time:(from:'2017-01-19T07:08:02-0700',mode:absolute,to:'2017-01-19T09:53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8" s="49" t="str">
        <f t="shared" si="25"/>
        <v>N</v>
      </c>
      <c r="X48" s="170">
        <f t="shared" si="20"/>
        <v>1</v>
      </c>
      <c r="Y48" s="64">
        <f t="shared" si="26"/>
        <v>4.58E-2</v>
      </c>
      <c r="Z48" s="64">
        <f t="shared" si="27"/>
        <v>23.331499999999998</v>
      </c>
      <c r="AA48" s="64">
        <f t="shared" si="28"/>
        <v>23.285699999999999</v>
      </c>
      <c r="AB48" s="61" t="e">
        <f>VLOOKUP(A48,Enforcements!$C$7:$K$15,8,0)</f>
        <v>#N/A</v>
      </c>
      <c r="AC48" s="57" t="e">
        <f>VLOOKUP(A48,Enforcements!$C$7:$E$15,3,0)</f>
        <v>#N/A</v>
      </c>
      <c r="AD48" s="58" t="str">
        <f t="shared" si="29"/>
        <v>0137-19</v>
      </c>
      <c r="AE48" s="87" t="str">
        <f t="shared" si="10"/>
        <v>aws s3 cp s3://rtdc.mdm.uploadarchive.raw/RTDC4011/ "%USERPROFILE%\AppData\Local\Temp\OnboardLogs"\RTDC4011\2017-01-19 --exclude "*" --recursive --include "*20170119*" &amp; "%USERPROFILE%\Documents\GitHub\mrs-test-scripts\Headless Mode &amp; Sideloading\WalkAndUnGZ.bat" "%USERPROFILE%\AppData\Local\Temp\OnboardLogs"\RTDC4011\2017-01-19 &amp; aws s3 cp s3://rtdc.mdm.uploadarchive.raw/RTDC4011/ "%USERPROFILE%\AppData\Local\Temp\OnboardLogs"\RTDC4011\2017-01-20 --exclude "*" --recursive --include "*20170120*" &amp; "%USERPROFILE%\Documents\GitHub\mrs-test-scripts\Headless Mode &amp; Sideloading\WalkAndUnGZ.bat" "%USERPROFILE%\AppData\Local\Temp\OnboardLogs"\RTDC4011\2017-01-20</v>
      </c>
      <c r="AF48" s="84" t="str">
        <f t="shared" si="11"/>
        <v>"C:\Program Files (x86)\AstroGrep\AstroGrep.exe" /spath="%USERPROFILE%\AppData\Local\Temp\OnboardLogs" /stypes="app*4011*20170119*" /stext=" 15:.+((SYSTEM_STATE.+slice.+state.+changed )|(ment ac)|(multiple cpu faults)|(system.+state.+changed )|(\[timeout)|(PRM\|1\|D)|(kpr)|(kdp)|(\|lc)|(penalty))" /e /r /s</v>
      </c>
      <c r="AG48" s="1" t="str">
        <f t="shared" si="30"/>
        <v>EC</v>
      </c>
      <c r="AH48" s="88" t="str">
        <f t="shared" si="16"/>
        <v>"%USERPROFILE%\Documents\GitHub\eaglep3\Utilities\RefineRTDCRunTimes.py" --tripid 137-19 --locoid 4011 --swversion DE.1.0.8.0 --startMP 204:458 --initTime 2017-01-19T08:08:02 --startdatetime 2017-01-19T08:15:27 --delay 1 --endMP 204:233315 --enddatetime 2017-01-19T08:53:11 --enforcementcount 5 &gt;&gt;C:\Users\stu\Documents\GitHub\eaglep3-reporting\EC\2017-01-19-refined-times.txt</v>
      </c>
      <c r="AI48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{"issue":{"subject":"","project_id":79,"tracker_id":40,"status_id":1,"priority_id":2,"assigned_to_id":23,"start_date":"2017-01-19","description":"","custom_fields":[{"id":1,"name":"Subdivision","value":"EC"},{"id":4,"name":"Milepost","value":"23.3315"},{"id":17,"name":"Train ID","value":"137-19"},{"id":16,"name":"Locomotive ID","value":"4011"},{"id":130,"name":"Impact","value":""},{"id":150,"name":"Time of Event (Mountain Time)","value":"08:53:11"},{"id":151,"name":"Denver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0"/>
      <c r="AK48" s="50"/>
      <c r="AL48" s="50"/>
      <c r="AM48" s="177" t="str">
        <f t="shared" si="18"/>
        <v>start /low /b %USERPROFILE%\Documents\GitHub\eaglep3\Utilities\DownloadLogsFromS3.py --loco 4011 --day 2017-01-19</v>
      </c>
      <c r="AN48" s="186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"%USERPROFILE%\AppData\Local\Temp\OnboardLogs"\RTDC4011\*4011*20170119* | grep -SE "(Enforcement Action)|(\[TIMEOUT)|(CHR.+\|PRM\|1\|D.+(SWITCH|SIGNAL).+UNKNOWN)" - &gt;&gt; 2017-01-19-UncaughtWiMAX.txt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4" t="s">
        <v>566</v>
      </c>
      <c r="B49" s="7">
        <v>4012</v>
      </c>
      <c r="C49" s="22" t="s">
        <v>196</v>
      </c>
      <c r="D49" s="22" t="s">
        <v>730</v>
      </c>
      <c r="E49" s="13">
        <v>42754.372245370374</v>
      </c>
      <c r="F49" s="13">
        <v>42754.383090277777</v>
      </c>
      <c r="G49" s="7">
        <v>1</v>
      </c>
      <c r="H49" s="22" t="s">
        <v>200</v>
      </c>
      <c r="I49" s="13">
        <v>42754.409907407404</v>
      </c>
      <c r="J49" s="7">
        <v>5</v>
      </c>
      <c r="K49" s="105" t="str">
        <f t="shared" si="21"/>
        <v>4011/4012</v>
      </c>
      <c r="L49" s="22" t="str">
        <f>VLOOKUP(A49,'Trips&amp;Operators'!$C$1:$G$99999,5,FALSE)</f>
        <v>STRICKLAND EVAN</v>
      </c>
      <c r="M49" s="6">
        <f t="shared" si="22"/>
        <v>2.6817129626579117E-2</v>
      </c>
      <c r="N49" s="7">
        <f t="shared" si="19"/>
        <v>38.616666662273929</v>
      </c>
      <c r="O49" s="7"/>
      <c r="P49" s="7"/>
      <c r="Q49" s="23"/>
      <c r="R49" s="23"/>
      <c r="S49" s="32">
        <f t="shared" si="23"/>
        <v>1</v>
      </c>
      <c r="T49" s="47" t="str">
        <f t="shared" si="24"/>
        <v>Southbound</v>
      </c>
      <c r="U49" s="164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4" t="str">
        <f t="shared" si="4"/>
        <v>https://d0f6bd738d7f1b3e5a7ca70fe4ff75f0.us-east-1.aws.found.io/app/kibana#/discover/Steve-Slow-Train-Analysis-(2080s-and-2083s)?_g=(refreshInterval:(display:Off,pause:!f,section:0,value:0),time:(from:'2017-01-19T07:56:02-0700',mode:absolute,to:'2017-01-19T10:50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9" s="49" t="str">
        <f t="shared" si="25"/>
        <v>N</v>
      </c>
      <c r="X49" s="170">
        <f t="shared" si="20"/>
        <v>1</v>
      </c>
      <c r="Y49" s="64">
        <f t="shared" si="26"/>
        <v>23.299399999999999</v>
      </c>
      <c r="Z49" s="64">
        <f t="shared" si="27"/>
        <v>1.4999999999999999E-2</v>
      </c>
      <c r="AA49" s="64">
        <f t="shared" si="28"/>
        <v>23.284399999999998</v>
      </c>
      <c r="AB49" s="61" t="e">
        <f>VLOOKUP(A49,Enforcements!$C$7:$K$15,8,0)</f>
        <v>#N/A</v>
      </c>
      <c r="AC49" s="57" t="e">
        <f>VLOOKUP(A49,Enforcements!$C$7:$E$15,3,0)</f>
        <v>#N/A</v>
      </c>
      <c r="AD49" s="58" t="str">
        <f t="shared" si="29"/>
        <v>0138-19</v>
      </c>
      <c r="AE49" s="87" t="str">
        <f t="shared" si="10"/>
        <v>aws s3 cp s3://rtdc.mdm.uploadarchive.raw/RTDC4012/ "%USERPROFILE%\AppData\Local\Temp\OnboardLogs"\RTDC4012\2017-01-19 --exclude "*" --recursive --include "*20170119*" &amp; "%USERPROFILE%\Documents\GitHub\mrs-test-scripts\Headless Mode &amp; Sideloading\WalkAndUnGZ.bat" "%USERPROFILE%\AppData\Local\Temp\OnboardLogs"\RTDC4012\2017-01-19 &amp; aws s3 cp s3://rtdc.mdm.uploadarchive.raw/RTDC4012/ "%USERPROFILE%\AppData\Local\Temp\OnboardLogs"\RTDC4012\2017-01-20 --exclude "*" --recursive --include "*20170120*" &amp; "%USERPROFILE%\Documents\GitHub\mrs-test-scripts\Headless Mode &amp; Sideloading\WalkAndUnGZ.bat" "%USERPROFILE%\AppData\Local\Temp\OnboardLogs"\RTDC4012\2017-01-20</v>
      </c>
      <c r="AF49" s="84" t="str">
        <f t="shared" si="11"/>
        <v>"C:\Program Files (x86)\AstroGrep\AstroGrep.exe" /spath="%USERPROFILE%\AppData\Local\Temp\OnboardLogs" /stypes="app*4012*20170119*" /stext=" 16:.+((SYSTEM_STATE.+slice.+state.+changed )|(ment ac)|(multiple cpu faults)|(system.+state.+changed )|(\[timeout)|(PRM\|1\|D)|(kpr)|(kdp)|(\|lc)|(penalty))" /e /r /s</v>
      </c>
      <c r="AG49" s="1" t="str">
        <f t="shared" si="30"/>
        <v>EC</v>
      </c>
      <c r="AH49" s="88" t="str">
        <f t="shared" si="16"/>
        <v>"%USERPROFILE%\Documents\GitHub\eaglep3\Utilities\RefineRTDCRunTimes.py" --tripid 138-19 --locoid 4012 --swversion DE.1.0.8.0 --startMP 204:232994 --initTime 2017-01-19T08:56:02 --startdatetime 2017-01-19T09:11:39 --delay 1 --endMP 204:150 --enddatetime 2017-01-19T09:50:16 --enforcementcount 5 &gt;&gt;C:\Users\stu\Documents\GitHub\eaglep3-reporting\EC\2017-01-19-refined-times.txt</v>
      </c>
      <c r="AI49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{"issue":{"subject":"","project_id":79,"tracker_id":40,"status_id":1,"priority_id":2,"assigned_to_id":23,"start_date":"2017-01-19","description":"","custom_fields":[{"id":1,"name":"Subdivision","value":"EC"},{"id":4,"name":"Milepost","value":"0.015"},{"id":17,"name":"Train ID","value":"138-19"},{"id":16,"name":"Locomotive ID","value":"4012"},{"id":130,"name":"Impact","value":""},{"id":150,"name":"Time of Event (Mountain Time)","value":"09:50:16"},{"id":151,"name":"Denver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0"/>
      <c r="AK49" s="50"/>
      <c r="AL49" s="50"/>
      <c r="AM49" s="177" t="str">
        <f t="shared" si="18"/>
        <v>start /low /b %USERPROFILE%\Documents\GitHub\eaglep3\Utilities\DownloadLogsFromS3.py --loco 4012 --day 2017-01-19</v>
      </c>
      <c r="AN49" s="186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"%USERPROFILE%\AppData\Local\Temp\OnboardLogs"\RTDC4012\*4012*20170119* | grep -SE "(Enforcement Action)|(\[TIMEOUT)|(CHR.+\|PRM\|1\|D.+(SWITCH|SIGNAL).+UNKNOWN)" - &gt;&gt; 2017-01-19-UncaughtWiMAX.txt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4" t="s">
        <v>560</v>
      </c>
      <c r="B50" s="7">
        <v>4031</v>
      </c>
      <c r="C50" s="22" t="s">
        <v>196</v>
      </c>
      <c r="D50" s="22" t="s">
        <v>368</v>
      </c>
      <c r="E50" s="13">
        <v>42754.347500000003</v>
      </c>
      <c r="F50" s="13">
        <v>42754.354490740741</v>
      </c>
      <c r="G50" s="7">
        <v>1</v>
      </c>
      <c r="H50" s="22" t="s">
        <v>304</v>
      </c>
      <c r="I50" s="13">
        <v>42754.378506944442</v>
      </c>
      <c r="J50" s="7">
        <v>5</v>
      </c>
      <c r="K50" s="105" t="str">
        <f t="shared" si="21"/>
        <v>4031/4032</v>
      </c>
      <c r="L50" s="22" t="str">
        <f>VLOOKUP(A50,'Trips&amp;Operators'!$C$1:$G$99999,5,FALSE)</f>
        <v>YORK EDGAR</v>
      </c>
      <c r="M50" s="6">
        <f t="shared" si="22"/>
        <v>2.4016203700739425E-2</v>
      </c>
      <c r="N50" s="7">
        <f t="shared" si="19"/>
        <v>34.583333329064772</v>
      </c>
      <c r="O50" s="7"/>
      <c r="P50" s="7"/>
      <c r="Q50" s="23"/>
      <c r="R50" s="23"/>
      <c r="S50" s="32">
        <f t="shared" si="23"/>
        <v>1</v>
      </c>
      <c r="T50" s="47" t="str">
        <f t="shared" si="24"/>
        <v>NorthBound</v>
      </c>
      <c r="U50" s="164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4" t="str">
        <f t="shared" si="4"/>
        <v>https://d0f6bd738d7f1b3e5a7ca70fe4ff75f0.us-east-1.aws.found.io/app/kibana#/discover/Steve-Slow-Train-Analysis-(2080s-and-2083s)?_g=(refreshInterval:(display:Off,pause:!f,section:0,value:0),time:(from:'2017-01-19T07:20:24-0700',mode:absolute,to:'2017-01-19T10:05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0" s="49" t="str">
        <f t="shared" si="25"/>
        <v>N</v>
      </c>
      <c r="X50" s="170">
        <f t="shared" si="20"/>
        <v>1</v>
      </c>
      <c r="Y50" s="64">
        <f t="shared" si="26"/>
        <v>4.6399999999999997E-2</v>
      </c>
      <c r="Z50" s="64">
        <f t="shared" si="27"/>
        <v>23.3307</v>
      </c>
      <c r="AA50" s="64">
        <f t="shared" si="28"/>
        <v>23.284300000000002</v>
      </c>
      <c r="AB50" s="61" t="e">
        <f>VLOOKUP(A50,Enforcements!$C$7:$K$15,8,0)</f>
        <v>#N/A</v>
      </c>
      <c r="AC50" s="57" t="e">
        <f>VLOOKUP(A50,Enforcements!$C$7:$E$15,3,0)</f>
        <v>#N/A</v>
      </c>
      <c r="AD50" s="58" t="str">
        <f t="shared" si="29"/>
        <v>0139-19</v>
      </c>
      <c r="AE50" s="87" t="str">
        <f t="shared" si="10"/>
        <v>aws s3 cp s3://rtdc.mdm.uploadarchive.raw/RTDC4031/ "%USERPROFILE%\AppData\Local\Temp\OnboardLogs"\RTDC4031\2017-01-19 --exclude "*" --recursive --include "*20170119*" &amp; "%USERPROFILE%\Documents\GitHub\mrs-test-scripts\Headless Mode &amp; Sideloading\WalkAndUnGZ.bat" "%USERPROFILE%\AppData\Local\Temp\OnboardLogs"\RTDC4031\2017-01-19 &amp; aws s3 cp s3://rtdc.mdm.uploadarchive.raw/RTDC4031/ "%USERPROFILE%\AppData\Local\Temp\OnboardLogs"\RTDC4031\2017-01-20 --exclude "*" --recursive --include "*20170120*" &amp; "%USERPROFILE%\Documents\GitHub\mrs-test-scripts\Headless Mode &amp; Sideloading\WalkAndUnGZ.bat" "%USERPROFILE%\AppData\Local\Temp\OnboardLogs"\RTDC4031\2017-01-20</v>
      </c>
      <c r="AF50" s="84" t="str">
        <f t="shared" si="11"/>
        <v>"C:\Program Files (x86)\AstroGrep\AstroGrep.exe" /spath="%USERPROFILE%\AppData\Local\Temp\OnboardLogs" /stypes="app*4031*20170119*" /stext=" 16:.+((SYSTEM_STATE.+slice.+state.+changed )|(ment ac)|(multiple cpu faults)|(system.+state.+changed )|(\[timeout)|(PRM\|1\|D)|(kpr)|(kdp)|(\|lc)|(penalty))" /e /r /s</v>
      </c>
      <c r="AG50" s="1" t="str">
        <f t="shared" si="30"/>
        <v>EC</v>
      </c>
      <c r="AH50" s="88" t="str">
        <f t="shared" si="16"/>
        <v>"%USERPROFILE%\Documents\GitHub\eaglep3\Utilities\RefineRTDCRunTimes.py" --tripid 139-19 --locoid 4031 --swversion DE.1.0.8.0 --startMP 204:464 --initTime 2017-01-19T08:20:24 --startdatetime 2017-01-19T08:30:28 --delay 1 --endMP 204:233307 --enddatetime 2017-01-19T09:05:03 --enforcementcount 5 &gt;&gt;C:\Users\stu\Documents\GitHub\eaglep3-reporting\EC\2017-01-19-refined-times.txt</v>
      </c>
      <c r="AI50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{"issue":{"subject":"","project_id":79,"tracker_id":40,"status_id":1,"priority_id":2,"assigned_to_id":23,"start_date":"2017-01-19","description":"","custom_fields":[{"id":1,"name":"Subdivision","value":"EC"},{"id":4,"name":"Milepost","value":"23.3307"},{"id":17,"name":"Train ID","value":"139-19"},{"id":16,"name":"Locomotive ID","value":"4031"},{"id":130,"name":"Impact","value":""},{"id":150,"name":"Time of Event (Mountain Time)","value":"09:05:03"},{"id":151,"name":"Denver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0"/>
      <c r="AK50" s="50"/>
      <c r="AL50" s="50"/>
      <c r="AM50" s="177" t="str">
        <f t="shared" si="18"/>
        <v>start /low /b %USERPROFILE%\Documents\GitHub\eaglep3\Utilities\DownloadLogsFromS3.py --loco 4031 --day 2017-01-19</v>
      </c>
      <c r="AN50" s="186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"%USERPROFILE%\AppData\Local\Temp\OnboardLogs"\RTDC4031\*4031*20170119* | grep -SE "(Enforcement Action)|(\[TIMEOUT)|(CHR.+\|PRM\|1\|D.+(SWITCH|SIGNAL).+UNKNOWN)" - &gt;&gt; 2017-01-19-UncaughtWiMAX.txt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4" t="s">
        <v>567</v>
      </c>
      <c r="B51" s="7">
        <v>4032</v>
      </c>
      <c r="C51" s="22" t="s">
        <v>196</v>
      </c>
      <c r="D51" s="22" t="s">
        <v>732</v>
      </c>
      <c r="E51" s="13">
        <v>42754.379490740743</v>
      </c>
      <c r="F51" s="13">
        <v>42754.393287037034</v>
      </c>
      <c r="G51" s="7">
        <v>0</v>
      </c>
      <c r="H51" s="22" t="s">
        <v>186</v>
      </c>
      <c r="I51" s="13">
        <v>42754.418923611112</v>
      </c>
      <c r="J51" s="7">
        <v>5</v>
      </c>
      <c r="K51" s="105" t="str">
        <f t="shared" si="21"/>
        <v>4031/4032</v>
      </c>
      <c r="L51" s="22" t="str">
        <f>VLOOKUP(A51,'Trips&amp;Operators'!$C$1:$G$99999,5,FALSE)</f>
        <v>YORK EDGAR</v>
      </c>
      <c r="M51" s="6">
        <f t="shared" si="22"/>
        <v>2.5636574078816921E-2</v>
      </c>
      <c r="N51" s="7">
        <f t="shared" si="19"/>
        <v>36.916666673496366</v>
      </c>
      <c r="O51" s="7"/>
      <c r="P51" s="7"/>
      <c r="Q51" s="23"/>
      <c r="R51" s="23"/>
      <c r="S51" s="32">
        <f t="shared" si="23"/>
        <v>1</v>
      </c>
      <c r="T51" s="47" t="str">
        <f t="shared" si="24"/>
        <v>Southbound</v>
      </c>
      <c r="U51" s="164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4" t="str">
        <f t="shared" si="4"/>
        <v>https://d0f6bd738d7f1b3e5a7ca70fe4ff75f0.us-east-1.aws.found.io/app/kibana#/discover/Steve-Slow-Train-Analysis-(2080s-and-2083s)?_g=(refreshInterval:(display:Off,pause:!f,section:0,value:0),time:(from:'2017-01-19T08:06:28-0700',mode:absolute,to:'2017-01-19T11:03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1" s="49" t="str">
        <f t="shared" si="25"/>
        <v>N</v>
      </c>
      <c r="X51" s="170">
        <f t="shared" si="20"/>
        <v>1</v>
      </c>
      <c r="Y51" s="64">
        <f t="shared" si="26"/>
        <v>23.2973</v>
      </c>
      <c r="Z51" s="64">
        <f t="shared" si="27"/>
        <v>1.49E-2</v>
      </c>
      <c r="AA51" s="64">
        <f t="shared" si="28"/>
        <v>23.282399999999999</v>
      </c>
      <c r="AB51" s="61" t="e">
        <f>VLOOKUP(A51,Enforcements!$C$7:$K$15,8,0)</f>
        <v>#N/A</v>
      </c>
      <c r="AC51" s="57" t="e">
        <f>VLOOKUP(A51,Enforcements!$C$7:$E$15,3,0)</f>
        <v>#N/A</v>
      </c>
      <c r="AD51" s="58" t="str">
        <f t="shared" si="29"/>
        <v>0140-19</v>
      </c>
      <c r="AE51" s="87" t="str">
        <f t="shared" si="10"/>
        <v>aws s3 cp s3://rtdc.mdm.uploadarchive.raw/RTDC4032/ "%USERPROFILE%\AppData\Local\Temp\OnboardLogs"\RTDC4032\2017-01-19 --exclude "*" --recursive --include "*20170119*" &amp; "%USERPROFILE%\Documents\GitHub\mrs-test-scripts\Headless Mode &amp; Sideloading\WalkAndUnGZ.bat" "%USERPROFILE%\AppData\Local\Temp\OnboardLogs"\RTDC4032\2017-01-19 &amp; aws s3 cp s3://rtdc.mdm.uploadarchive.raw/RTDC4032/ "%USERPROFILE%\AppData\Local\Temp\OnboardLogs"\RTDC4032\2017-01-20 --exclude "*" --recursive --include "*20170120*" &amp; "%USERPROFILE%\Documents\GitHub\mrs-test-scripts\Headless Mode &amp; Sideloading\WalkAndUnGZ.bat" "%USERPROFILE%\AppData\Local\Temp\OnboardLogs"\RTDC4032\2017-01-20</v>
      </c>
      <c r="AF51" s="84" t="str">
        <f t="shared" si="11"/>
        <v>"C:\Program Files (x86)\AstroGrep\AstroGrep.exe" /spath="%USERPROFILE%\AppData\Local\Temp\OnboardLogs" /stypes="app*4032*20170119*" /stext=" 17:.+((SYSTEM_STATE.+slice.+state.+changed )|(ment ac)|(multiple cpu faults)|(system.+state.+changed )|(\[timeout)|(PRM\|1\|D)|(kpr)|(kdp)|(\|lc)|(penalty))" /e /r /s</v>
      </c>
      <c r="AG51" s="1" t="str">
        <f t="shared" si="30"/>
        <v>EC</v>
      </c>
      <c r="AH51" s="88" t="str">
        <f t="shared" si="16"/>
        <v>"%USERPROFILE%\Documents\GitHub\eaglep3\Utilities\RefineRTDCRunTimes.py" --tripid 140-19 --locoid 4032 --swversion DE.1.0.8.0 --startMP 204:232973 --initTime 2017-01-19T09:06:28 --startdatetime 2017-01-19T09:26:20 --delay 0 --endMP 204:149 --enddatetime 2017-01-19T10:03:15 --enforcementcount 5 &gt;&gt;C:\Users\stu\Documents\GitHub\eaglep3-reporting\EC\2017-01-19-refined-times.txt</v>
      </c>
      <c r="AI51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{"issue":{"subject":"","project_id":79,"tracker_id":40,"status_id":1,"priority_id":2,"assigned_to_id":23,"start_date":"2017-01-19","description":"","custom_fields":[{"id":1,"name":"Subdivision","value":"EC"},{"id":4,"name":"Milepost","value":"0.0149"},{"id":17,"name":"Train ID","value":"140-19"},{"id":16,"name":"Locomotive ID","value":"4032"},{"id":130,"name":"Impact","value":""},{"id":150,"name":"Time of Event (Mountain Time)","value":"10:03:15"},{"id":151,"name":"Denver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0"/>
      <c r="AK51" s="50"/>
      <c r="AL51" s="50"/>
      <c r="AM51" s="177" t="str">
        <f t="shared" si="18"/>
        <v>start /low /b %USERPROFILE%\Documents\GitHub\eaglep3\Utilities\DownloadLogsFromS3.py --loco 4032 --day 2017-01-19</v>
      </c>
      <c r="AN51" s="186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"%USERPROFILE%\AppData\Local\Temp\OnboardLogs"\RTDC4032\*4032*20170119* | grep -SE "(Enforcement Action)|(\[TIMEOUT)|(CHR.+\|PRM\|1\|D.+(SWITCH|SIGNAL).+UNKNOWN)" - &gt;&gt; 2017-01-19-UncaughtWiMAX.txt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4" t="s">
        <v>564</v>
      </c>
      <c r="B52" s="7">
        <v>4044</v>
      </c>
      <c r="C52" s="22" t="s">
        <v>196</v>
      </c>
      <c r="D52" s="22" t="s">
        <v>255</v>
      </c>
      <c r="E52" s="13">
        <v>42754.362476851849</v>
      </c>
      <c r="F52" s="13">
        <v>42754.364791666667</v>
      </c>
      <c r="G52" s="7">
        <v>1</v>
      </c>
      <c r="H52" s="22" t="s">
        <v>733</v>
      </c>
      <c r="I52" s="13">
        <v>42754.390370370369</v>
      </c>
      <c r="J52" s="7">
        <v>5</v>
      </c>
      <c r="K52" s="105" t="str">
        <f t="shared" si="21"/>
        <v>4043/4044</v>
      </c>
      <c r="L52" s="22" t="str">
        <f>VLOOKUP(A52,'Trips&amp;Operators'!$C$1:$G$99999,5,FALSE)</f>
        <v>CUSHING HARRY</v>
      </c>
      <c r="M52" s="6">
        <f t="shared" si="22"/>
        <v>2.5578703702194616E-2</v>
      </c>
      <c r="N52" s="7">
        <f t="shared" si="19"/>
        <v>36.833333331160247</v>
      </c>
      <c r="O52" s="7"/>
      <c r="P52" s="7"/>
      <c r="Q52" s="23"/>
      <c r="R52" s="23"/>
      <c r="S52" s="32">
        <f t="shared" si="23"/>
        <v>1</v>
      </c>
      <c r="T52" s="47" t="str">
        <f t="shared" si="24"/>
        <v>NorthBound</v>
      </c>
      <c r="U52" s="164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4" t="str">
        <f t="shared" si="4"/>
        <v>https://d0f6bd738d7f1b3e5a7ca70fe4ff75f0.us-east-1.aws.found.io/app/kibana#/discover/Steve-Slow-Train-Analysis-(2080s-and-2083s)?_g=(refreshInterval:(display:Off,pause:!f,section:0,value:0),time:(from:'2017-01-19T07:41:58-0700',mode:absolute,to:'2017-01-19T10:22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2" s="49" t="str">
        <f t="shared" si="25"/>
        <v>N</v>
      </c>
      <c r="X52" s="170">
        <f t="shared" si="20"/>
        <v>1</v>
      </c>
      <c r="Y52" s="64">
        <f t="shared" si="26"/>
        <v>4.4200000000000003E-2</v>
      </c>
      <c r="Z52" s="64">
        <f t="shared" si="27"/>
        <v>23.331700000000001</v>
      </c>
      <c r="AA52" s="64">
        <f t="shared" si="28"/>
        <v>23.287500000000001</v>
      </c>
      <c r="AB52" s="61" t="e">
        <f>VLOOKUP(A52,Enforcements!$C$7:$K$15,8,0)</f>
        <v>#N/A</v>
      </c>
      <c r="AC52" s="57" t="e">
        <f>VLOOKUP(A52,Enforcements!$C$7:$E$15,3,0)</f>
        <v>#N/A</v>
      </c>
      <c r="AD52" s="58" t="str">
        <f t="shared" si="29"/>
        <v>0141-19</v>
      </c>
      <c r="AE52" s="87" t="str">
        <f t="shared" si="10"/>
        <v>aws s3 cp s3://rtdc.mdm.uploadarchive.raw/RTDC4044/ "%USERPROFILE%\AppData\Local\Temp\OnboardLogs"\RTDC4044\2017-01-19 --exclude "*" --recursive --include "*20170119*" &amp; "%USERPROFILE%\Documents\GitHub\mrs-test-scripts\Headless Mode &amp; Sideloading\WalkAndUnGZ.bat" "%USERPROFILE%\AppData\Local\Temp\OnboardLogs"\RTDC4044\2017-01-19 &amp; aws s3 cp s3://rtdc.mdm.uploadarchive.raw/RTDC4044/ "%USERPROFILE%\AppData\Local\Temp\OnboardLogs"\RTDC4044\2017-01-20 --exclude "*" --recursive --include "*20170120*" &amp; "%USERPROFILE%\Documents\GitHub\mrs-test-scripts\Headless Mode &amp; Sideloading\WalkAndUnGZ.bat" "%USERPROFILE%\AppData\Local\Temp\OnboardLogs"\RTDC4044\2017-01-20</v>
      </c>
      <c r="AF52" s="84" t="str">
        <f t="shared" si="11"/>
        <v>"C:\Program Files (x86)\AstroGrep\AstroGrep.exe" /spath="%USERPROFILE%\AppData\Local\Temp\OnboardLogs" /stypes="app*4044*20170119*" /stext=" 16:.+((SYSTEM_STATE.+slice.+state.+changed )|(ment ac)|(multiple cpu faults)|(system.+state.+changed )|(\[timeout)|(PRM\|1\|D)|(kpr)|(kdp)|(\|lc)|(penalty))" /e /r /s</v>
      </c>
      <c r="AG52" s="1" t="str">
        <f t="shared" si="30"/>
        <v>EC</v>
      </c>
      <c r="AH52" s="88" t="str">
        <f t="shared" si="16"/>
        <v>"%USERPROFILE%\Documents\GitHub\eaglep3\Utilities\RefineRTDCRunTimes.py" --tripid 141-19 --locoid 4044 --swversion DE.1.0.8.0 --startMP 204:442 --initTime 2017-01-19T08:41:58 --startdatetime 2017-01-19T08:45:18 --delay 1 --endMP 204:233317 --enddatetime 2017-01-19T09:22:08 --enforcementcount 5 &gt;&gt;C:\Users\stu\Documents\GitHub\eaglep3-reporting\EC\2017-01-19-refined-times.txt</v>
      </c>
      <c r="AI52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{"issue":{"subject":"","project_id":79,"tracker_id":40,"status_id":1,"priority_id":2,"assigned_to_id":23,"start_date":"2017-01-19","description":"","custom_fields":[{"id":1,"name":"Subdivision","value":"EC"},{"id":4,"name":"Milepost","value":"23.3317"},{"id":17,"name":"Train ID","value":"141-19"},{"id":16,"name":"Locomotive ID","value":"4044"},{"id":130,"name":"Impact","value":""},{"id":150,"name":"Time of Event (Mountain Time)","value":"09:22:08"},{"id":151,"name":"Denver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0"/>
      <c r="AK52" s="50"/>
      <c r="AL52" s="50"/>
      <c r="AM52" s="177" t="str">
        <f t="shared" si="18"/>
        <v>start /low /b %USERPROFILE%\Documents\GitHub\eaglep3\Utilities\DownloadLogsFromS3.py --loco 4044 --day 2017-01-19</v>
      </c>
      <c r="AN52" s="186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"%USERPROFILE%\AppData\Local\Temp\OnboardLogs"\RTDC4044\*4044*20170119* | grep -SE "(Enforcement Action)|(\[TIMEOUT)|(CHR.+\|PRM\|1\|D.+(SWITCH|SIGNAL).+UNKNOWN)" - &gt;&gt; 2017-01-19-UncaughtWiMAX.txt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4" t="s">
        <v>571</v>
      </c>
      <c r="B53" s="7">
        <v>4043</v>
      </c>
      <c r="C53" s="22" t="s">
        <v>196</v>
      </c>
      <c r="D53" s="22" t="s">
        <v>734</v>
      </c>
      <c r="E53" s="13">
        <v>42754.396666666667</v>
      </c>
      <c r="F53" s="13">
        <v>42754.403900462959</v>
      </c>
      <c r="G53" s="7">
        <v>1</v>
      </c>
      <c r="H53" s="22" t="s">
        <v>227</v>
      </c>
      <c r="I53" s="13">
        <v>42754.431168981479</v>
      </c>
      <c r="J53" s="7">
        <v>5</v>
      </c>
      <c r="K53" s="105" t="str">
        <f t="shared" si="21"/>
        <v>4043/4044</v>
      </c>
      <c r="L53" s="22" t="str">
        <f>VLOOKUP(A53,'Trips&amp;Operators'!$C$1:$G$99999,5,FALSE)</f>
        <v>CUSHING HARRY</v>
      </c>
      <c r="M53" s="6">
        <f t="shared" si="22"/>
        <v>2.7268518519122154E-2</v>
      </c>
      <c r="N53" s="7">
        <f t="shared" si="19"/>
        <v>39.266666667535901</v>
      </c>
      <c r="O53" s="7"/>
      <c r="P53" s="7"/>
      <c r="Q53" s="23"/>
      <c r="R53" s="23"/>
      <c r="S53" s="32">
        <f t="shared" si="23"/>
        <v>1</v>
      </c>
      <c r="T53" s="47" t="str">
        <f t="shared" si="24"/>
        <v>Southbound</v>
      </c>
      <c r="U53" s="164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4" t="str">
        <f t="shared" si="4"/>
        <v>https://d0f6bd738d7f1b3e5a7ca70fe4ff75f0.us-east-1.aws.found.io/app/kibana#/discover/Steve-Slow-Train-Analysis-(2080s-and-2083s)?_g=(refreshInterval:(display:Off,pause:!f,section:0,value:0),time:(from:'2017-01-19T08:31:12-0700',mode:absolute,to:'2017-01-19T11:20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3" s="49" t="str">
        <f t="shared" si="25"/>
        <v>N</v>
      </c>
      <c r="X53" s="170">
        <f t="shared" si="20"/>
        <v>1</v>
      </c>
      <c r="Y53" s="64">
        <f t="shared" si="26"/>
        <v>23.2989</v>
      </c>
      <c r="Z53" s="64">
        <f t="shared" si="27"/>
        <v>1.5599999999999999E-2</v>
      </c>
      <c r="AA53" s="64">
        <f t="shared" si="28"/>
        <v>23.283300000000001</v>
      </c>
      <c r="AB53" s="61" t="e">
        <f>VLOOKUP(A53,Enforcements!$C$7:$K$15,8,0)</f>
        <v>#N/A</v>
      </c>
      <c r="AC53" s="57" t="e">
        <f>VLOOKUP(A53,Enforcements!$C$7:$E$15,3,0)</f>
        <v>#N/A</v>
      </c>
      <c r="AD53" s="58" t="str">
        <f t="shared" si="29"/>
        <v>0142-19</v>
      </c>
      <c r="AE53" s="87" t="str">
        <f t="shared" si="10"/>
        <v>aws s3 cp s3://rtdc.mdm.uploadarchive.raw/RTDC4043/ "%USERPROFILE%\AppData\Local\Temp\OnboardLogs"\RTDC4043\2017-01-19 --exclude "*" --recursive --include "*20170119*" &amp; "%USERPROFILE%\Documents\GitHub\mrs-test-scripts\Headless Mode &amp; Sideloading\WalkAndUnGZ.bat" "%USERPROFILE%\AppData\Local\Temp\OnboardLogs"\RTDC4043\2017-01-19 &amp; aws s3 cp s3://rtdc.mdm.uploadarchive.raw/RTDC4043/ "%USERPROFILE%\AppData\Local\Temp\OnboardLogs"\RTDC4043\2017-01-20 --exclude "*" --recursive --include "*20170120*" &amp; "%USERPROFILE%\Documents\GitHub\mrs-test-scripts\Headless Mode &amp; Sideloading\WalkAndUnGZ.bat" "%USERPROFILE%\AppData\Local\Temp\OnboardLogs"\RTDC4043\2017-01-20</v>
      </c>
      <c r="AF53" s="84" t="str">
        <f t="shared" si="11"/>
        <v>"C:\Program Files (x86)\AstroGrep\AstroGrep.exe" /spath="%USERPROFILE%\AppData\Local\Temp\OnboardLogs" /stypes="app*4043*20170119*" /stext=" 17:.+((SYSTEM_STATE.+slice.+state.+changed )|(ment ac)|(multiple cpu faults)|(system.+state.+changed )|(\[timeout)|(PRM\|1\|D)|(kpr)|(kdp)|(\|lc)|(penalty))" /e /r /s</v>
      </c>
      <c r="AG53" s="1" t="str">
        <f t="shared" si="30"/>
        <v>EC</v>
      </c>
      <c r="AH53" s="88" t="str">
        <f t="shared" si="16"/>
        <v>"%USERPROFILE%\Documents\GitHub\eaglep3\Utilities\RefineRTDCRunTimes.py" --tripid 142-19 --locoid 4043 --swversion DE.1.0.8.0 --startMP 204:232989 --initTime 2017-01-19T09:31:12 --startdatetime 2017-01-19T09:41:37 --delay 1 --endMP 204:156 --enddatetime 2017-01-19T10:20:53 --enforcementcount 5 &gt;&gt;C:\Users\stu\Documents\GitHub\eaglep3-reporting\EC\2017-01-19-refined-times.txt</v>
      </c>
      <c r="AI53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{"issue":{"subject":"","project_id":79,"tracker_id":40,"status_id":1,"priority_id":2,"assigned_to_id":23,"start_date":"2017-01-19","description":"","custom_fields":[{"id":1,"name":"Subdivision","value":"EC"},{"id":4,"name":"Milepost","value":"0.0156"},{"id":17,"name":"Train ID","value":"142-19"},{"id":16,"name":"Locomotive ID","value":"4043"},{"id":130,"name":"Impact","value":""},{"id":150,"name":"Time of Event (Mountain Time)","value":"10:20:53"},{"id":151,"name":"Denver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0"/>
      <c r="AK53" s="50"/>
      <c r="AL53" s="50"/>
      <c r="AM53" s="177" t="str">
        <f t="shared" si="18"/>
        <v>start /low /b %USERPROFILE%\Documents\GitHub\eaglep3\Utilities\DownloadLogsFromS3.py --loco 4043 --day 2017-01-19</v>
      </c>
      <c r="AN53" s="186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"%USERPROFILE%\AppData\Local\Temp\OnboardLogs"\RTDC4043\*4043*20170119* | grep -SE "(Enforcement Action)|(\[TIMEOUT)|(CHR.+\|PRM\|1\|D.+(SWITCH|SIGNAL).+UNKNOWN)" - &gt;&gt; 2017-01-19-UncaughtWiMAX.txt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4" t="s">
        <v>565</v>
      </c>
      <c r="B54" s="7">
        <v>4020</v>
      </c>
      <c r="C54" s="22" t="s">
        <v>196</v>
      </c>
      <c r="D54" s="22" t="s">
        <v>284</v>
      </c>
      <c r="E54" s="13">
        <v>42754.372256944444</v>
      </c>
      <c r="F54" s="13">
        <v>42754.375335648147</v>
      </c>
      <c r="G54" s="7">
        <v>1</v>
      </c>
      <c r="H54" s="22" t="s">
        <v>726</v>
      </c>
      <c r="I54" s="13">
        <v>42754.400081018517</v>
      </c>
      <c r="J54" s="7">
        <v>5</v>
      </c>
      <c r="K54" s="105" t="str">
        <f t="shared" si="21"/>
        <v>4019/4020</v>
      </c>
      <c r="L54" s="22" t="str">
        <f>VLOOKUP(A54,'Trips&amp;Operators'!$C$1:$G$99999,5,FALSE)</f>
        <v>STARKS ANGELINA</v>
      </c>
      <c r="M54" s="6">
        <f t="shared" si="22"/>
        <v>2.47453703705105E-2</v>
      </c>
      <c r="N54" s="7">
        <f t="shared" si="19"/>
        <v>35.63333333353512</v>
      </c>
      <c r="O54" s="7"/>
      <c r="P54" s="7"/>
      <c r="Q54" s="23"/>
      <c r="R54" s="23"/>
      <c r="S54" s="32">
        <f t="shared" si="23"/>
        <v>1</v>
      </c>
      <c r="T54" s="47" t="str">
        <f t="shared" si="24"/>
        <v>NorthBound</v>
      </c>
      <c r="U54" s="164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4" t="str">
        <f t="shared" si="4"/>
        <v>https://d0f6bd738d7f1b3e5a7ca70fe4ff75f0.us-east-1.aws.found.io/app/kibana#/discover/Steve-Slow-Train-Analysis-(2080s-and-2083s)?_g=(refreshInterval:(display:Off,pause:!f,section:0,value:0),time:(from:'2017-01-19T07:56:03-0700',mode:absolute,to:'2017-01-19T10:36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4" s="49" t="str">
        <f t="shared" si="25"/>
        <v>N</v>
      </c>
      <c r="X54" s="170">
        <f t="shared" si="20"/>
        <v>1</v>
      </c>
      <c r="Y54" s="64">
        <f t="shared" si="26"/>
        <v>4.5100000000000001E-2</v>
      </c>
      <c r="Z54" s="64">
        <f t="shared" si="27"/>
        <v>23.327999999999999</v>
      </c>
      <c r="AA54" s="64">
        <f t="shared" si="28"/>
        <v>23.282899999999998</v>
      </c>
      <c r="AB54" s="61" t="e">
        <f>VLOOKUP(A54,Enforcements!$C$7:$K$15,8,0)</f>
        <v>#N/A</v>
      </c>
      <c r="AC54" s="57" t="e">
        <f>VLOOKUP(A54,Enforcements!$C$7:$E$15,3,0)</f>
        <v>#N/A</v>
      </c>
      <c r="AD54" s="58" t="str">
        <f t="shared" si="29"/>
        <v>0143-19</v>
      </c>
      <c r="AE54" s="87" t="str">
        <f t="shared" si="10"/>
        <v>aws s3 cp s3://rtdc.mdm.uploadarchive.raw/RTDC4020/ "%USERPROFILE%\AppData\Local\Temp\OnboardLogs"\RTDC4020\2017-01-19 --exclude "*" --recursive --include "*20170119*" &amp; "%USERPROFILE%\Documents\GitHub\mrs-test-scripts\Headless Mode &amp; Sideloading\WalkAndUnGZ.bat" "%USERPROFILE%\AppData\Local\Temp\OnboardLogs"\RTDC4020\2017-01-19 &amp; aws s3 cp s3://rtdc.mdm.uploadarchive.raw/RTDC4020/ "%USERPROFILE%\AppData\Local\Temp\OnboardLogs"\RTDC4020\2017-01-20 --exclude "*" --recursive --include "*20170120*" &amp; "%USERPROFILE%\Documents\GitHub\mrs-test-scripts\Headless Mode &amp; Sideloading\WalkAndUnGZ.bat" "%USERPROFILE%\AppData\Local\Temp\OnboardLogs"\RTDC4020\2017-01-20</v>
      </c>
      <c r="AF54" s="84" t="str">
        <f t="shared" si="11"/>
        <v>"C:\Program Files (x86)\AstroGrep\AstroGrep.exe" /spath="%USERPROFILE%\AppData\Local\Temp\OnboardLogs" /stypes="app*4020*20170119*" /stext=" 16:.+((SYSTEM_STATE.+slice.+state.+changed )|(ment ac)|(multiple cpu faults)|(system.+state.+changed )|(\[timeout)|(PRM\|1\|D)|(kpr)|(kdp)|(\|lc)|(penalty))" /e /r /s</v>
      </c>
      <c r="AG54" s="1" t="str">
        <f t="shared" si="30"/>
        <v>EC</v>
      </c>
      <c r="AH54" s="88" t="str">
        <f t="shared" si="16"/>
        <v>"%USERPROFILE%\Documents\GitHub\eaglep3\Utilities\RefineRTDCRunTimes.py" --tripid 143-19 --locoid 4020 --swversion DE.1.0.8.0 --startMP 204:451 --initTime 2017-01-19T08:56:03 --startdatetime 2017-01-19T09:00:29 --delay 1 --endMP 204:233280 --enddatetime 2017-01-19T09:36:07 --enforcementcount 5 &gt;&gt;C:\Users\stu\Documents\GitHub\eaglep3-reporting\EC\2017-01-19-refined-times.txt</v>
      </c>
      <c r="AI54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{"issue":{"subject":"","project_id":79,"tracker_id":40,"status_id":1,"priority_id":2,"assigned_to_id":23,"start_date":"2017-01-19","description":"","custom_fields":[{"id":1,"name":"Subdivision","value":"EC"},{"id":4,"name":"Milepost","value":"23.328"},{"id":17,"name":"Train ID","value":"143-19"},{"id":16,"name":"Locomotive ID","value":"4020"},{"id":130,"name":"Impact","value":""},{"id":150,"name":"Time of Event (Mountain Time)","value":"09:36:07"},{"id":151,"name":"Denver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0"/>
      <c r="AK54" s="50"/>
      <c r="AL54" s="50"/>
      <c r="AM54" s="177" t="str">
        <f t="shared" si="18"/>
        <v>start /low /b %USERPROFILE%\Documents\GitHub\eaglep3\Utilities\DownloadLogsFromS3.py --loco 4020 --day 2017-01-19</v>
      </c>
      <c r="AN54" s="186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"%USERPROFILE%\AppData\Local\Temp\OnboardLogs"\RTDC4020\*4020*20170119* | grep -SE "(Enforcement Action)|(\[TIMEOUT)|(CHR.+\|PRM\|1\|D.+(SWITCH|SIGNAL).+UNKNOWN)" - &gt;&gt; 2017-01-19-UncaughtWiMAX.txt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4" t="s">
        <v>575</v>
      </c>
      <c r="B55" s="7">
        <v>4019</v>
      </c>
      <c r="C55" s="22" t="s">
        <v>196</v>
      </c>
      <c r="D55" s="22" t="s">
        <v>263</v>
      </c>
      <c r="E55" s="13">
        <v>42754.41306712963</v>
      </c>
      <c r="F55" s="13">
        <v>42754.414212962962</v>
      </c>
      <c r="G55" s="7">
        <v>1</v>
      </c>
      <c r="H55" s="22" t="s">
        <v>302</v>
      </c>
      <c r="I55" s="13">
        <v>42754.441041666665</v>
      </c>
      <c r="J55" s="7">
        <v>5</v>
      </c>
      <c r="K55" s="105" t="str">
        <f t="shared" si="21"/>
        <v>4019/4020</v>
      </c>
      <c r="L55" s="22" t="str">
        <f>VLOOKUP(A55,'Trips&amp;Operators'!$C$1:$G$99999,5,FALSE)</f>
        <v>STARKS ANGELINA</v>
      </c>
      <c r="M55" s="6">
        <f t="shared" si="22"/>
        <v>2.6828703703358769E-2</v>
      </c>
      <c r="N55" s="7">
        <f t="shared" si="19"/>
        <v>38.633333332836628</v>
      </c>
      <c r="O55" s="7"/>
      <c r="P55" s="7"/>
      <c r="Q55" s="23"/>
      <c r="R55" s="23"/>
      <c r="S55" s="32">
        <f t="shared" si="23"/>
        <v>1</v>
      </c>
      <c r="T55" s="47" t="str">
        <f t="shared" si="24"/>
        <v>Southbound</v>
      </c>
      <c r="U55" s="164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4" t="str">
        <f t="shared" si="4"/>
        <v>https://d0f6bd738d7f1b3e5a7ca70fe4ff75f0.us-east-1.aws.found.io/app/kibana#/discover/Steve-Slow-Train-Analysis-(2080s-and-2083s)?_g=(refreshInterval:(display:Off,pause:!f,section:0,value:0),time:(from:'2017-01-19T08:54:49-0700',mode:absolute,to:'2017-01-19T11:35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5" s="49" t="str">
        <f t="shared" si="25"/>
        <v>N</v>
      </c>
      <c r="X55" s="170">
        <f t="shared" si="20"/>
        <v>1</v>
      </c>
      <c r="Y55" s="64">
        <f t="shared" si="26"/>
        <v>23.296700000000001</v>
      </c>
      <c r="Z55" s="64">
        <f t="shared" si="27"/>
        <v>1.6500000000000001E-2</v>
      </c>
      <c r="AA55" s="64">
        <f t="shared" si="28"/>
        <v>23.280200000000001</v>
      </c>
      <c r="AB55" s="61" t="e">
        <f>VLOOKUP(A55,Enforcements!$C$7:$K$15,8,0)</f>
        <v>#N/A</v>
      </c>
      <c r="AC55" s="57" t="e">
        <f>VLOOKUP(A55,Enforcements!$C$7:$E$15,3,0)</f>
        <v>#N/A</v>
      </c>
      <c r="AD55" s="58" t="str">
        <f t="shared" si="29"/>
        <v>0144-19</v>
      </c>
      <c r="AE55" s="87" t="str">
        <f t="shared" si="10"/>
        <v>aws s3 cp s3://rtdc.mdm.uploadarchive.raw/RTDC4019/ "%USERPROFILE%\AppData\Local\Temp\OnboardLogs"\RTDC4019\2017-01-19 --exclude "*" --recursive --include "*20170119*" &amp; "%USERPROFILE%\Documents\GitHub\mrs-test-scripts\Headless Mode &amp; Sideloading\WalkAndUnGZ.bat" "%USERPROFILE%\AppData\Local\Temp\OnboardLogs"\RTDC4019\2017-01-19 &amp; aws s3 cp s3://rtdc.mdm.uploadarchive.raw/RTDC4019/ "%USERPROFILE%\AppData\Local\Temp\OnboardLogs"\RTDC4019\2017-01-20 --exclude "*" --recursive --include "*20170120*" &amp; "%USERPROFILE%\Documents\GitHub\mrs-test-scripts\Headless Mode &amp; Sideloading\WalkAndUnGZ.bat" "%USERPROFILE%\AppData\Local\Temp\OnboardLogs"\RTDC4019\2017-01-20</v>
      </c>
      <c r="AF55" s="84" t="str">
        <f t="shared" si="11"/>
        <v>"C:\Program Files (x86)\AstroGrep\AstroGrep.exe" /spath="%USERPROFILE%\AppData\Local\Temp\OnboardLogs" /stypes="app*4019*20170119*" /stext=" 17:.+((SYSTEM_STATE.+slice.+state.+changed )|(ment ac)|(multiple cpu faults)|(system.+state.+changed )|(\[timeout)|(PRM\|1\|D)|(kpr)|(kdp)|(\|lc)|(penalty))" /e /r /s</v>
      </c>
      <c r="AG55" s="1" t="str">
        <f t="shared" si="30"/>
        <v>EC</v>
      </c>
      <c r="AH55" s="88" t="str">
        <f t="shared" si="16"/>
        <v>"%USERPROFILE%\Documents\GitHub\eaglep3\Utilities\RefineRTDCRunTimes.py" --tripid 144-19 --locoid 4019 --swversion DE.1.0.8.0 --startMP 204:232967 --initTime 2017-01-19T09:54:49 --startdatetime 2017-01-19T09:56:28 --delay 1 --endMP 204:165 --enddatetime 2017-01-19T10:35:06 --enforcementcount 5 &gt;&gt;C:\Users\stu\Documents\GitHub\eaglep3-reporting\EC\2017-01-19-refined-times.txt</v>
      </c>
      <c r="AI55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{"issue":{"subject":"","project_id":79,"tracker_id":40,"status_id":1,"priority_id":2,"assigned_to_id":23,"start_date":"2017-01-19","description":"","custom_fields":[{"id":1,"name":"Subdivision","value":"EC"},{"id":4,"name":"Milepost","value":"0.0165"},{"id":17,"name":"Train ID","value":"144-19"},{"id":16,"name":"Locomotive ID","value":"4019"},{"id":130,"name":"Impact","value":""},{"id":150,"name":"Time of Event (Mountain Time)","value":"10:35:06"},{"id":151,"name":"Denver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0"/>
      <c r="AK55" s="50"/>
      <c r="AL55" s="50"/>
      <c r="AM55" s="177" t="str">
        <f t="shared" si="18"/>
        <v>start /low /b %USERPROFILE%\Documents\GitHub\eaglep3\Utilities\DownloadLogsFromS3.py --loco 4019 --day 2017-01-19</v>
      </c>
      <c r="AN55" s="186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"%USERPROFILE%\AppData\Local\Temp\OnboardLogs"\RTDC4019\*4019*20170119* | grep -SE "(Enforcement Action)|(\[TIMEOUT)|(CHR.+\|PRM\|1\|D.+(SWITCH|SIGNAL).+UNKNOWN)" - &gt;&gt; 2017-01-19-UncaughtWiMAX.txt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4" t="s">
        <v>569</v>
      </c>
      <c r="B56" s="7">
        <v>4016</v>
      </c>
      <c r="C56" s="22" t="s">
        <v>196</v>
      </c>
      <c r="D56" s="22" t="s">
        <v>735</v>
      </c>
      <c r="E56" s="13">
        <v>42754.381423611114</v>
      </c>
      <c r="F56" s="13">
        <v>42754.385613425926</v>
      </c>
      <c r="G56" s="7">
        <v>1</v>
      </c>
      <c r="H56" s="22" t="s">
        <v>736</v>
      </c>
      <c r="I56" s="13">
        <v>42754.410717592589</v>
      </c>
      <c r="J56" s="7">
        <v>5</v>
      </c>
      <c r="K56" s="105" t="str">
        <f t="shared" si="21"/>
        <v>4015/4016</v>
      </c>
      <c r="L56" s="22" t="str">
        <f>VLOOKUP(A56,'Trips&amp;Operators'!$C$1:$G$99999,5,FALSE)</f>
        <v>ACKERMAN JARED</v>
      </c>
      <c r="M56" s="6">
        <f t="shared" si="22"/>
        <v>2.5104166663368233E-2</v>
      </c>
      <c r="N56" s="7">
        <f t="shared" si="19"/>
        <v>36.149999995250255</v>
      </c>
      <c r="O56" s="7"/>
      <c r="P56" s="7"/>
      <c r="Q56" s="23"/>
      <c r="R56" s="23"/>
      <c r="S56" s="32">
        <f t="shared" si="23"/>
        <v>1</v>
      </c>
      <c r="T56" s="47" t="str">
        <f t="shared" si="24"/>
        <v>NorthBound</v>
      </c>
      <c r="U56" s="164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4" t="str">
        <f t="shared" si="4"/>
        <v>https://d0f6bd738d7f1b3e5a7ca70fe4ff75f0.us-east-1.aws.found.io/app/kibana#/discover/Steve-Slow-Train-Analysis-(2080s-and-2083s)?_g=(refreshInterval:(display:Off,pause:!f,section:0,value:0),time:(from:'2017-01-19T08:09:15-0700',mode:absolute,to:'2017-01-19T10:51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6" s="49" t="str">
        <f t="shared" si="25"/>
        <v>N</v>
      </c>
      <c r="X56" s="170">
        <f t="shared" si="20"/>
        <v>1</v>
      </c>
      <c r="Y56" s="64">
        <f t="shared" si="26"/>
        <v>4.2700000000000002E-2</v>
      </c>
      <c r="Z56" s="64">
        <f t="shared" si="27"/>
        <v>23.331900000000001</v>
      </c>
      <c r="AA56" s="64">
        <f t="shared" si="28"/>
        <v>23.289200000000001</v>
      </c>
      <c r="AB56" s="61" t="e">
        <f>VLOOKUP(A56,Enforcements!$C$7:$K$15,8,0)</f>
        <v>#N/A</v>
      </c>
      <c r="AC56" s="57" t="e">
        <f>VLOOKUP(A56,Enforcements!$C$7:$E$15,3,0)</f>
        <v>#N/A</v>
      </c>
      <c r="AD56" s="58" t="str">
        <f t="shared" si="29"/>
        <v>0145-19</v>
      </c>
      <c r="AE56" s="87" t="str">
        <f t="shared" si="10"/>
        <v>aws s3 cp s3://rtdc.mdm.uploadarchive.raw/RTDC4016/ "%USERPROFILE%\AppData\Local\Temp\OnboardLogs"\RTDC4016\2017-01-19 --exclude "*" --recursive --include "*20170119*" &amp; "%USERPROFILE%\Documents\GitHub\mrs-test-scripts\Headless Mode &amp; Sideloading\WalkAndUnGZ.bat" "%USERPROFILE%\AppData\Local\Temp\OnboardLogs"\RTDC4016\2017-01-19 &amp; aws s3 cp s3://rtdc.mdm.uploadarchive.raw/RTDC4016/ "%USERPROFILE%\AppData\Local\Temp\OnboardLogs"\RTDC4016\2017-01-20 --exclude "*" --recursive --include "*20170120*" &amp; "%USERPROFILE%\Documents\GitHub\mrs-test-scripts\Headless Mode &amp; Sideloading\WalkAndUnGZ.bat" "%USERPROFILE%\AppData\Local\Temp\OnboardLogs"\RTDC4016\2017-01-20</v>
      </c>
      <c r="AF56" s="84" t="str">
        <f t="shared" si="11"/>
        <v>"C:\Program Files (x86)\AstroGrep\AstroGrep.exe" /spath="%USERPROFILE%\AppData\Local\Temp\OnboardLogs" /stypes="app*4016*20170119*" /stext=" 16:.+((SYSTEM_STATE.+slice.+state.+changed )|(ment ac)|(multiple cpu faults)|(system.+state.+changed )|(\[timeout)|(PRM\|1\|D)|(kpr)|(kdp)|(\|lc)|(penalty))" /e /r /s</v>
      </c>
      <c r="AG56" s="1" t="str">
        <f t="shared" si="30"/>
        <v>EC</v>
      </c>
      <c r="AH56" s="88" t="str">
        <f t="shared" si="16"/>
        <v>"%USERPROFILE%\Documents\GitHub\eaglep3\Utilities\RefineRTDCRunTimes.py" --tripid 145-19 --locoid 4016 --swversion DE.1.0.8.0 --startMP 204:427 --initTime 2017-01-19T09:09:15 --startdatetime 2017-01-19T09:15:17 --delay 1 --endMP 204:233319 --enddatetime 2017-01-19T09:51:26 --enforcementcount 5 &gt;&gt;C:\Users\stu\Documents\GitHub\eaglep3-reporting\EC\2017-01-19-refined-times.txt</v>
      </c>
      <c r="AI56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{"issue":{"subject":"","project_id":79,"tracker_id":40,"status_id":1,"priority_id":2,"assigned_to_id":23,"start_date":"2017-01-19","description":"","custom_fields":[{"id":1,"name":"Subdivision","value":"EC"},{"id":4,"name":"Milepost","value":"23.3319"},{"id":17,"name":"Train ID","value":"145-19"},{"id":16,"name":"Locomotive ID","value":"4016"},{"id":130,"name":"Impact","value":""},{"id":150,"name":"Time of Event (Mountain Time)","value":"09:51:26"},{"id":151,"name":"Denver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0"/>
      <c r="AK56" s="50"/>
      <c r="AL56" s="50"/>
      <c r="AM56" s="177" t="str">
        <f t="shared" si="18"/>
        <v>start /low /b %USERPROFILE%\Documents\GitHub\eaglep3\Utilities\DownloadLogsFromS3.py --loco 4016 --day 2017-01-19</v>
      </c>
      <c r="AN56" s="186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"%USERPROFILE%\AppData\Local\Temp\OnboardLogs"\RTDC4016\*4016*20170119* | grep -SE "(Enforcement Action)|(\[TIMEOUT)|(CHR.+\|PRM\|1\|D.+(SWITCH|SIGNAL).+UNKNOWN)" - &gt;&gt; 2017-01-19-UncaughtWiMAX.txt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4" t="s">
        <v>576</v>
      </c>
      <c r="B57" s="7">
        <v>4015</v>
      </c>
      <c r="C57" s="22" t="s">
        <v>196</v>
      </c>
      <c r="D57" s="22" t="s">
        <v>308</v>
      </c>
      <c r="E57" s="13">
        <v>42754.416990740741</v>
      </c>
      <c r="F57" s="13">
        <v>42754.424803240741</v>
      </c>
      <c r="G57" s="7">
        <v>2</v>
      </c>
      <c r="H57" s="22" t="s">
        <v>252</v>
      </c>
      <c r="I57" s="13">
        <v>42754.452650462961</v>
      </c>
      <c r="J57" s="7">
        <v>5</v>
      </c>
      <c r="K57" s="105" t="str">
        <f t="shared" si="21"/>
        <v>4015/4016</v>
      </c>
      <c r="L57" s="22" t="str">
        <f>VLOOKUP(A57,'Trips&amp;Operators'!$C$1:$G$99999,5,FALSE)</f>
        <v>ACKERMAN JARED</v>
      </c>
      <c r="M57" s="6">
        <f t="shared" si="22"/>
        <v>2.7847222219861578E-2</v>
      </c>
      <c r="N57" s="7">
        <f t="shared" si="19"/>
        <v>40.099999996600673</v>
      </c>
      <c r="O57" s="7"/>
      <c r="P57" s="7"/>
      <c r="Q57" s="23"/>
      <c r="R57" s="23"/>
      <c r="S57" s="32">
        <f t="shared" si="23"/>
        <v>1</v>
      </c>
      <c r="T57" s="47" t="str">
        <f t="shared" si="24"/>
        <v>Southbound</v>
      </c>
      <c r="U57" s="164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4" t="str">
        <f t="shared" si="4"/>
        <v>https://d0f6bd738d7f1b3e5a7ca70fe4ff75f0.us-east-1.aws.found.io/app/kibana#/discover/Steve-Slow-Train-Analysis-(2080s-and-2083s)?_g=(refreshInterval:(display:Off,pause:!f,section:0,value:0),time:(from:'2017-01-19T09:00:28-0700',mode:absolute,to:'2017-01-19T11:51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7" s="49" t="str">
        <f t="shared" si="25"/>
        <v>N</v>
      </c>
      <c r="X57" s="170">
        <f t="shared" si="20"/>
        <v>1</v>
      </c>
      <c r="Y57" s="64">
        <f t="shared" si="26"/>
        <v>23.299800000000001</v>
      </c>
      <c r="Z57" s="64">
        <f t="shared" si="27"/>
        <v>1.54E-2</v>
      </c>
      <c r="AA57" s="64">
        <f t="shared" si="28"/>
        <v>23.284400000000002</v>
      </c>
      <c r="AB57" s="61" t="e">
        <f>VLOOKUP(A57,Enforcements!$C$7:$K$15,8,0)</f>
        <v>#N/A</v>
      </c>
      <c r="AC57" s="57" t="e">
        <f>VLOOKUP(A57,Enforcements!$C$7:$E$15,3,0)</f>
        <v>#N/A</v>
      </c>
      <c r="AD57" s="58" t="str">
        <f t="shared" si="29"/>
        <v>0146-19</v>
      </c>
      <c r="AE57" s="87" t="str">
        <f t="shared" si="10"/>
        <v>aws s3 cp s3://rtdc.mdm.uploadarchive.raw/RTDC4015/ "%USERPROFILE%\AppData\Local\Temp\OnboardLogs"\RTDC4015\2017-01-19 --exclude "*" --recursive --include "*20170119*" &amp; "%USERPROFILE%\Documents\GitHub\mrs-test-scripts\Headless Mode &amp; Sideloading\WalkAndUnGZ.bat" "%USERPROFILE%\AppData\Local\Temp\OnboardLogs"\RTDC4015\2017-01-19 &amp; aws s3 cp s3://rtdc.mdm.uploadarchive.raw/RTDC4015/ "%USERPROFILE%\AppData\Local\Temp\OnboardLogs"\RTDC4015\2017-01-20 --exclude "*" --recursive --include "*20170120*" &amp; "%USERPROFILE%\Documents\GitHub\mrs-test-scripts\Headless Mode &amp; Sideloading\WalkAndUnGZ.bat" "%USERPROFILE%\AppData\Local\Temp\OnboardLogs"\RTDC4015\2017-01-20</v>
      </c>
      <c r="AF57" s="84" t="str">
        <f t="shared" si="11"/>
        <v>"C:\Program Files (x86)\AstroGrep\AstroGrep.exe" /spath="%USERPROFILE%\AppData\Local\Temp\OnboardLogs" /stypes="app*4015*20170119*" /stext=" 17:.+((SYSTEM_STATE.+slice.+state.+changed )|(ment ac)|(multiple cpu faults)|(system.+state.+changed )|(\[timeout)|(PRM\|1\|D)|(kpr)|(kdp)|(\|lc)|(penalty))" /e /r /s</v>
      </c>
      <c r="AG57" s="1" t="str">
        <f t="shared" si="30"/>
        <v>EC</v>
      </c>
      <c r="AH57" s="88" t="str">
        <f t="shared" si="16"/>
        <v>"%USERPROFILE%\Documents\GitHub\eaglep3\Utilities\RefineRTDCRunTimes.py" --tripid 146-19 --locoid 4015 --swversion DE.1.0.8.0 --startMP 204:232998 --initTime 2017-01-19T10:00:28 --startdatetime 2017-01-19T10:11:43 --delay 2 --endMP 204:154 --enddatetime 2017-01-19T10:51:49 --enforcementcount 5 &gt;&gt;C:\Users\stu\Documents\GitHub\eaglep3-reporting\EC\2017-01-19-refined-times.txt</v>
      </c>
      <c r="AI57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{"issue":{"subject":"","project_id":79,"tracker_id":40,"status_id":1,"priority_id":2,"assigned_to_id":23,"start_date":"2017-01-19","description":"","custom_fields":[{"id":1,"name":"Subdivision","value":"EC"},{"id":4,"name":"Milepost","value":"0.0154"},{"id":17,"name":"Train ID","value":"146-19"},{"id":16,"name":"Locomotive ID","value":"4015"},{"id":130,"name":"Impact","value":""},{"id":150,"name":"Time of Event (Mountain Time)","value":"10:51:49"},{"id":151,"name":"Denver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0"/>
      <c r="AK57" s="50"/>
      <c r="AL57" s="50"/>
      <c r="AM57" s="177" t="str">
        <f t="shared" si="18"/>
        <v>start /low /b %USERPROFILE%\Documents\GitHub\eaglep3\Utilities\DownloadLogsFromS3.py --loco 4015 --day 2017-01-19</v>
      </c>
      <c r="AN57" s="186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"%USERPROFILE%\AppData\Local\Temp\OnboardLogs"\RTDC4015\*4015*20170119* | grep -SE "(Enforcement Action)|(\[TIMEOUT)|(CHR.+\|PRM\|1\|D.+(SWITCH|SIGNAL).+UNKNOWN)" - &gt;&gt; 2017-01-19-UncaughtWiMAX.txt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4" t="s">
        <v>570</v>
      </c>
      <c r="B58" s="7">
        <v>4022</v>
      </c>
      <c r="C58" s="22" t="s">
        <v>196</v>
      </c>
      <c r="D58" s="22" t="s">
        <v>297</v>
      </c>
      <c r="E58" s="13">
        <v>42754.391446759262</v>
      </c>
      <c r="F58" s="13">
        <v>42754.396006944444</v>
      </c>
      <c r="G58" s="7">
        <v>1</v>
      </c>
      <c r="H58" s="22" t="s">
        <v>298</v>
      </c>
      <c r="I58" s="13">
        <v>42754.420659722222</v>
      </c>
      <c r="J58" s="7">
        <v>5</v>
      </c>
      <c r="K58" s="105" t="str">
        <f t="shared" si="21"/>
        <v>4021/4022</v>
      </c>
      <c r="L58" s="22" t="str">
        <f>VLOOKUP(A58,'Trips&amp;Operators'!$C$1:$G$99999,5,FALSE)</f>
        <v>BEAM ROSS</v>
      </c>
      <c r="M58" s="6">
        <f t="shared" si="22"/>
        <v>2.4652777778101154E-2</v>
      </c>
      <c r="N58" s="7">
        <f t="shared" si="19"/>
        <v>35.500000000465661</v>
      </c>
      <c r="O58" s="7"/>
      <c r="P58" s="7"/>
      <c r="Q58" s="23"/>
      <c r="R58" s="23"/>
      <c r="S58" s="32">
        <f t="shared" si="23"/>
        <v>1</v>
      </c>
      <c r="T58" s="47" t="str">
        <f t="shared" si="24"/>
        <v>NorthBound</v>
      </c>
      <c r="U58" s="164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4" t="str">
        <f t="shared" si="4"/>
        <v>https://d0f6bd738d7f1b3e5a7ca70fe4ff75f0.us-east-1.aws.found.io/app/kibana#/discover/Steve-Slow-Train-Analysis-(2080s-and-2083s)?_g=(refreshInterval:(display:Off,pause:!f,section:0,value:0),time:(from:'2017-01-19T08:23:41-0700',mode:absolute,to:'2017-01-19T11:05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58" s="49" t="str">
        <f t="shared" si="25"/>
        <v>N</v>
      </c>
      <c r="X58" s="170">
        <f t="shared" si="20"/>
        <v>1</v>
      </c>
      <c r="Y58" s="64">
        <f t="shared" si="26"/>
        <v>4.5999999999999999E-2</v>
      </c>
      <c r="Z58" s="64">
        <f t="shared" si="27"/>
        <v>23.330300000000001</v>
      </c>
      <c r="AA58" s="64">
        <f t="shared" si="28"/>
        <v>23.284300000000002</v>
      </c>
      <c r="AB58" s="61" t="e">
        <f>VLOOKUP(A58,Enforcements!$C$7:$K$15,8,0)</f>
        <v>#N/A</v>
      </c>
      <c r="AC58" s="57" t="e">
        <f>VLOOKUP(A58,Enforcements!$C$7:$E$15,3,0)</f>
        <v>#N/A</v>
      </c>
      <c r="AD58" s="58" t="str">
        <f t="shared" si="29"/>
        <v>0147-19</v>
      </c>
      <c r="AE58" s="87" t="str">
        <f t="shared" si="10"/>
        <v>aws s3 cp s3://rtdc.mdm.uploadarchive.raw/RTDC4022/ "%USERPROFILE%\AppData\Local\Temp\OnboardLogs"\RTDC4022\2017-01-19 --exclude "*" --recursive --include "*20170119*" &amp; "%USERPROFILE%\Documents\GitHub\mrs-test-scripts\Headless Mode &amp; Sideloading\WalkAndUnGZ.bat" "%USERPROFILE%\AppData\Local\Temp\OnboardLogs"\RTDC4022\2017-01-19 &amp; aws s3 cp s3://rtdc.mdm.uploadarchive.raw/RTDC4022/ "%USERPROFILE%\AppData\Local\Temp\OnboardLogs"\RTDC4022\2017-01-20 --exclude "*" --recursive --include "*20170120*" &amp; "%USERPROFILE%\Documents\GitHub\mrs-test-scripts\Headless Mode &amp; Sideloading\WalkAndUnGZ.bat" "%USERPROFILE%\AppData\Local\Temp\OnboardLogs"\RTDC4022\2017-01-20</v>
      </c>
      <c r="AF58" s="84" t="str">
        <f t="shared" si="11"/>
        <v>"C:\Program Files (x86)\AstroGrep\AstroGrep.exe" /spath="%USERPROFILE%\AppData\Local\Temp\OnboardLogs" /stypes="app*4022*20170119*" /stext=" 17:.+((SYSTEM_STATE.+slice.+state.+changed )|(ment ac)|(multiple cpu faults)|(system.+state.+changed )|(\[timeout)|(PRM\|1\|D)|(kpr)|(kdp)|(\|lc)|(penalty))" /e /r /s</v>
      </c>
      <c r="AG58" s="1" t="str">
        <f t="shared" si="30"/>
        <v>EC</v>
      </c>
      <c r="AH58" s="88" t="str">
        <f t="shared" si="16"/>
        <v>"%USERPROFILE%\Documents\GitHub\eaglep3\Utilities\RefineRTDCRunTimes.py" --tripid 147-19 --locoid 4022 --swversion DE.1.0.8.0 --startMP 204:460 --initTime 2017-01-19T09:23:41 --startdatetime 2017-01-19T09:30:15 --delay 1 --endMP 204:233303 --enddatetime 2017-01-19T10:05:45 --enforcementcount 5 &gt;&gt;C:\Users\stu\Documents\GitHub\eaglep3-reporting\EC\2017-01-19-refined-times.txt</v>
      </c>
      <c r="AI58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{"issue":{"subject":"","project_id":79,"tracker_id":40,"status_id":1,"priority_id":2,"assigned_to_id":23,"start_date":"2017-01-19","description":"","custom_fields":[{"id":1,"name":"Subdivision","value":"EC"},{"id":4,"name":"Milepost","value":"23.3303"},{"id":17,"name":"Train ID","value":"147-19"},{"id":16,"name":"Locomotive ID","value":"4022"},{"id":130,"name":"Impact","value":""},{"id":150,"name":"Time of Event (Mountain Time)","value":"10:05:45"},{"id":151,"name":"Denver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0"/>
      <c r="AK58" s="50"/>
      <c r="AL58" s="50"/>
      <c r="AM58" s="177" t="str">
        <f t="shared" si="18"/>
        <v>start /low /b %USERPROFILE%\Documents\GitHub\eaglep3\Utilities\DownloadLogsFromS3.py --loco 4022 --day 2017-01-19</v>
      </c>
      <c r="AN58" s="186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"%USERPROFILE%\AppData\Local\Temp\OnboardLogs"\RTDC4022\*4022*20170119* | grep -SE "(Enforcement Action)|(\[TIMEOUT)|(CHR.+\|PRM\|1\|D.+(SWITCH|SIGNAL).+UNKNOWN)" - &gt;&gt; 2017-01-19-UncaughtWiMAX.txt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4" t="s">
        <v>578</v>
      </c>
      <c r="B59" s="7">
        <v>4021</v>
      </c>
      <c r="C59" s="22" t="s">
        <v>196</v>
      </c>
      <c r="D59" s="22" t="s">
        <v>281</v>
      </c>
      <c r="E59" s="13">
        <v>42754.430300925924</v>
      </c>
      <c r="F59" s="13">
        <v>42754.434907407405</v>
      </c>
      <c r="G59" s="7">
        <v>1</v>
      </c>
      <c r="H59" s="22" t="s">
        <v>218</v>
      </c>
      <c r="I59" s="13">
        <v>42754.464004629626</v>
      </c>
      <c r="J59" s="7">
        <v>5</v>
      </c>
      <c r="K59" s="105" t="str">
        <f t="shared" si="21"/>
        <v>4021/4022</v>
      </c>
      <c r="L59" s="22" t="str">
        <f>VLOOKUP(A59,'Trips&amp;Operators'!$C$1:$G$99999,5,FALSE)</f>
        <v>BEAM ROSS</v>
      </c>
      <c r="M59" s="6">
        <f t="shared" si="22"/>
        <v>2.9097222221025731E-2</v>
      </c>
      <c r="N59" s="7">
        <f t="shared" si="19"/>
        <v>41.899999998277053</v>
      </c>
      <c r="O59" s="7"/>
      <c r="P59" s="7"/>
      <c r="Q59" s="23"/>
      <c r="R59" s="23"/>
      <c r="S59" s="32">
        <f t="shared" si="23"/>
        <v>1</v>
      </c>
      <c r="T59" s="47" t="str">
        <f t="shared" si="24"/>
        <v>Southbound</v>
      </c>
      <c r="U59" s="164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4" t="str">
        <f t="shared" si="4"/>
        <v>https://d0f6bd738d7f1b3e5a7ca70fe4ff75f0.us-east-1.aws.found.io/app/kibana#/discover/Steve-Slow-Train-Analysis-(2080s-and-2083s)?_g=(refreshInterval:(display:Off,pause:!f,section:0,value:0),time:(from:'2017-01-19T09:19:38-0700',mode:absolute,to:'2017-01-19T12:08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59" s="49" t="str">
        <f t="shared" si="25"/>
        <v>N</v>
      </c>
      <c r="X59" s="170">
        <f t="shared" si="20"/>
        <v>1</v>
      </c>
      <c r="Y59" s="64">
        <f t="shared" si="26"/>
        <v>23.298200000000001</v>
      </c>
      <c r="Z59" s="64">
        <f t="shared" si="27"/>
        <v>1.6E-2</v>
      </c>
      <c r="AA59" s="64">
        <f t="shared" si="28"/>
        <v>23.282200000000003</v>
      </c>
      <c r="AB59" s="61" t="e">
        <f>VLOOKUP(A59,Enforcements!$C$7:$K$15,8,0)</f>
        <v>#N/A</v>
      </c>
      <c r="AC59" s="57" t="e">
        <f>VLOOKUP(A59,Enforcements!$C$7:$E$15,3,0)</f>
        <v>#N/A</v>
      </c>
      <c r="AD59" s="58" t="str">
        <f t="shared" si="29"/>
        <v>0148-19</v>
      </c>
      <c r="AE59" s="87" t="str">
        <f t="shared" si="10"/>
        <v>aws s3 cp s3://rtdc.mdm.uploadarchive.raw/RTDC4021/ "%USERPROFILE%\AppData\Local\Temp\OnboardLogs"\RTDC4021\2017-01-19 --exclude "*" --recursive --include "*20170119*" &amp; "%USERPROFILE%\Documents\GitHub\mrs-test-scripts\Headless Mode &amp; Sideloading\WalkAndUnGZ.bat" "%USERPROFILE%\AppData\Local\Temp\OnboardLogs"\RTDC4021\2017-01-19 &amp; aws s3 cp s3://rtdc.mdm.uploadarchive.raw/RTDC4021/ "%USERPROFILE%\AppData\Local\Temp\OnboardLogs"\RTDC4021\2017-01-20 --exclude "*" --recursive --include "*20170120*" &amp; "%USERPROFILE%\Documents\GitHub\mrs-test-scripts\Headless Mode &amp; Sideloading\WalkAndUnGZ.bat" "%USERPROFILE%\AppData\Local\Temp\OnboardLogs"\RTDC4021\2017-01-20</v>
      </c>
      <c r="AF59" s="84" t="str">
        <f t="shared" si="11"/>
        <v>"C:\Program Files (x86)\AstroGrep\AstroGrep.exe" /spath="%USERPROFILE%\AppData\Local\Temp\OnboardLogs" /stypes="app*4021*20170119*" /stext=" 18:.+((SYSTEM_STATE.+slice.+state.+changed )|(ment ac)|(multiple cpu faults)|(system.+state.+changed )|(\[timeout)|(PRM\|1\|D)|(kpr)|(kdp)|(\|lc)|(penalty))" /e /r /s</v>
      </c>
      <c r="AG59" s="1" t="str">
        <f t="shared" si="30"/>
        <v>EC</v>
      </c>
      <c r="AH59" s="88" t="str">
        <f t="shared" si="16"/>
        <v>"%USERPROFILE%\Documents\GitHub\eaglep3\Utilities\RefineRTDCRunTimes.py" --tripid 148-19 --locoid 4021 --swversion DE.1.0.8.0 --startMP 204:232982 --initTime 2017-01-19T10:19:38 --startdatetime 2017-01-19T10:26:16 --delay 1 --endMP 204:160 --enddatetime 2017-01-19T11:08:10 --enforcementcount 5 &gt;&gt;C:\Users\stu\Documents\GitHub\eaglep3-reporting\EC\2017-01-19-refined-times.txt</v>
      </c>
      <c r="AI59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{"issue":{"subject":"","project_id":79,"tracker_id":40,"status_id":1,"priority_id":2,"assigned_to_id":23,"start_date":"2017-01-19","description":"","custom_fields":[{"id":1,"name":"Subdivision","value":"EC"},{"id":4,"name":"Milepost","value":"0.016"},{"id":17,"name":"Train ID","value":"148-19"},{"id":16,"name":"Locomotive ID","value":"4021"},{"id":130,"name":"Impact","value":""},{"id":150,"name":"Time of Event (Mountain Time)","value":"11:08:10"},{"id":151,"name":"Denver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0"/>
      <c r="AK59" s="50"/>
      <c r="AL59" s="50"/>
      <c r="AM59" s="177" t="str">
        <f t="shared" si="18"/>
        <v>start /low /b %USERPROFILE%\Documents\GitHub\eaglep3\Utilities\DownloadLogsFromS3.py --loco 4021 --day 2017-01-19</v>
      </c>
      <c r="AN59" s="186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"%USERPROFILE%\AppData\Local\Temp\OnboardLogs"\RTDC4021\*4021*20170119* | grep -SE "(Enforcement Action)|(\[TIMEOUT)|(CHR.+\|PRM\|1\|D.+(SWITCH|SIGNAL).+UNKNOWN)" - &gt;&gt; 2017-01-19-UncaughtWiMAX.txt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4" t="s">
        <v>573</v>
      </c>
      <c r="B60" s="7">
        <v>4042</v>
      </c>
      <c r="C60" s="22" t="s">
        <v>196</v>
      </c>
      <c r="D60" s="22" t="s">
        <v>284</v>
      </c>
      <c r="E60" s="13">
        <v>42754.40185185185</v>
      </c>
      <c r="F60" s="13">
        <v>42754.406400462962</v>
      </c>
      <c r="G60" s="7">
        <v>1</v>
      </c>
      <c r="H60" s="22" t="s">
        <v>737</v>
      </c>
      <c r="I60" s="13">
        <v>42754.431122685186</v>
      </c>
      <c r="J60" s="7">
        <v>5</v>
      </c>
      <c r="K60" s="105" t="str">
        <f t="shared" si="21"/>
        <v>4041/4042</v>
      </c>
      <c r="L60" s="22" t="str">
        <f>VLOOKUP(A60,'Trips&amp;Operators'!$C$1:$G$99999,5,FALSE)</f>
        <v>ROBINSON KADDIBA</v>
      </c>
      <c r="M60" s="6">
        <f t="shared" si="22"/>
        <v>2.4722222224227153E-2</v>
      </c>
      <c r="N60" s="7">
        <f t="shared" si="19"/>
        <v>35.6000000028871</v>
      </c>
      <c r="O60" s="7"/>
      <c r="P60" s="7"/>
      <c r="Q60" s="23"/>
      <c r="R60" s="23"/>
      <c r="S60" s="32">
        <f t="shared" si="23"/>
        <v>1</v>
      </c>
      <c r="T60" s="47" t="str">
        <f t="shared" si="24"/>
        <v>NorthBound</v>
      </c>
      <c r="U60" s="164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4" t="str">
        <f t="shared" si="4"/>
        <v>https://d0f6bd738d7f1b3e5a7ca70fe4ff75f0.us-east-1.aws.found.io/app/kibana#/discover/Steve-Slow-Train-Analysis-(2080s-and-2083s)?_g=(refreshInterval:(display:Off,pause:!f,section:0,value:0),time:(from:'2017-01-19T08:38:40-0700',mode:absolute,to:'2017-01-19T11:20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0" s="49" t="str">
        <f t="shared" si="25"/>
        <v>N</v>
      </c>
      <c r="X60" s="170">
        <f t="shared" si="20"/>
        <v>1</v>
      </c>
      <c r="Y60" s="64">
        <f t="shared" si="26"/>
        <v>4.5100000000000001E-2</v>
      </c>
      <c r="Z60" s="64">
        <f t="shared" si="27"/>
        <v>23.3306</v>
      </c>
      <c r="AA60" s="64">
        <f t="shared" si="28"/>
        <v>23.285499999999999</v>
      </c>
      <c r="AB60" s="61" t="e">
        <f>VLOOKUP(A60,Enforcements!$C$7:$K$15,8,0)</f>
        <v>#N/A</v>
      </c>
      <c r="AC60" s="57" t="e">
        <f>VLOOKUP(A60,Enforcements!$C$7:$E$15,3,0)</f>
        <v>#N/A</v>
      </c>
      <c r="AD60" s="58" t="str">
        <f t="shared" si="29"/>
        <v>0149-19</v>
      </c>
      <c r="AE60" s="87" t="str">
        <f t="shared" si="10"/>
        <v>aws s3 cp s3://rtdc.mdm.uploadarchive.raw/RTDC4042/ "%USERPROFILE%\AppData\Local\Temp\OnboardLogs"\RTDC4042\2017-01-19 --exclude "*" --recursive --include "*20170119*" &amp; "%USERPROFILE%\Documents\GitHub\mrs-test-scripts\Headless Mode &amp; Sideloading\WalkAndUnGZ.bat" "%USERPROFILE%\AppData\Local\Temp\OnboardLogs"\RTDC4042\2017-01-19 &amp; aws s3 cp s3://rtdc.mdm.uploadarchive.raw/RTDC4042/ "%USERPROFILE%\AppData\Local\Temp\OnboardLogs"\RTDC4042\2017-01-20 --exclude "*" --recursive --include "*20170120*" &amp; "%USERPROFILE%\Documents\GitHub\mrs-test-scripts\Headless Mode &amp; Sideloading\WalkAndUnGZ.bat" "%USERPROFILE%\AppData\Local\Temp\OnboardLogs"\RTDC4042\2017-01-20</v>
      </c>
      <c r="AF60" s="84" t="str">
        <f t="shared" si="11"/>
        <v>"C:\Program Files (x86)\AstroGrep\AstroGrep.exe" /spath="%USERPROFILE%\AppData\Local\Temp\OnboardLogs" /stypes="app*4042*20170119*" /stext=" 17:.+((SYSTEM_STATE.+slice.+state.+changed )|(ment ac)|(multiple cpu faults)|(system.+state.+changed )|(\[timeout)|(PRM\|1\|D)|(kpr)|(kdp)|(\|lc)|(penalty))" /e /r /s</v>
      </c>
      <c r="AG60" s="1" t="str">
        <f t="shared" si="30"/>
        <v>EC</v>
      </c>
      <c r="AH60" s="88" t="str">
        <f t="shared" si="16"/>
        <v>"%USERPROFILE%\Documents\GitHub\eaglep3\Utilities\RefineRTDCRunTimes.py" --tripid 149-19 --locoid 4042 --swversion DE.1.0.8.0 --startMP 204:451 --initTime 2017-01-19T09:38:40 --startdatetime 2017-01-19T09:45:13 --delay 1 --endMP 204:233306 --enddatetime 2017-01-19T10:20:49 --enforcementcount 5 &gt;&gt;C:\Users\stu\Documents\GitHub\eaglep3-reporting\EC\2017-01-19-refined-times.txt</v>
      </c>
      <c r="AI60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{"issue":{"subject":"","project_id":79,"tracker_id":40,"status_id":1,"priority_id":2,"assigned_to_id":23,"start_date":"2017-01-19","description":"","custom_fields":[{"id":1,"name":"Subdivision","value":"EC"},{"id":4,"name":"Milepost","value":"23.3306"},{"id":17,"name":"Train ID","value":"149-19"},{"id":16,"name":"Locomotive ID","value":"4042"},{"id":130,"name":"Impact","value":""},{"id":150,"name":"Time of Event (Mountain Time)","value":"10:20:49"},{"id":151,"name":"Denver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0"/>
      <c r="AK60" s="50"/>
      <c r="AL60" s="50"/>
      <c r="AM60" s="177" t="str">
        <f t="shared" si="18"/>
        <v>start /low /b %USERPROFILE%\Documents\GitHub\eaglep3\Utilities\DownloadLogsFromS3.py --loco 4042 --day 2017-01-19</v>
      </c>
      <c r="AN60" s="186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"%USERPROFILE%\AppData\Local\Temp\OnboardLogs"\RTDC4042\*4042*20170119* | grep -SE "(Enforcement Action)|(\[TIMEOUT)|(CHR.+\|PRM\|1\|D.+(SWITCH|SIGNAL).+UNKNOWN)" - &gt;&gt; 2017-01-19-UncaughtWiMAX.txt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4" t="s">
        <v>580</v>
      </c>
      <c r="B61" s="7">
        <v>4041</v>
      </c>
      <c r="C61" s="22" t="s">
        <v>196</v>
      </c>
      <c r="D61" s="22" t="s">
        <v>308</v>
      </c>
      <c r="E61" s="13">
        <v>42754.44</v>
      </c>
      <c r="F61" s="13">
        <v>42754.4453587963</v>
      </c>
      <c r="G61" s="7">
        <v>1</v>
      </c>
      <c r="H61" s="22" t="s">
        <v>218</v>
      </c>
      <c r="I61" s="13">
        <v>42754.47314814815</v>
      </c>
      <c r="J61" s="7">
        <v>5</v>
      </c>
      <c r="K61" s="105" t="str">
        <f t="shared" si="21"/>
        <v>4041/4042</v>
      </c>
      <c r="L61" s="22" t="str">
        <f>VLOOKUP(A61,'Trips&amp;Operators'!$C$1:$G$99999,5,FALSE)</f>
        <v>COOLAHAN JOHN</v>
      </c>
      <c r="M61" s="6">
        <f t="shared" si="22"/>
        <v>2.7789351850515231E-2</v>
      </c>
      <c r="N61" s="7">
        <f t="shared" si="19"/>
        <v>40.016666664741933</v>
      </c>
      <c r="O61" s="7"/>
      <c r="P61" s="7"/>
      <c r="Q61" s="23"/>
      <c r="R61" s="23"/>
      <c r="S61" s="32">
        <f t="shared" si="23"/>
        <v>1</v>
      </c>
      <c r="T61" s="47" t="str">
        <f t="shared" si="24"/>
        <v>Southbound</v>
      </c>
      <c r="U61" s="164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4" t="str">
        <f t="shared" si="4"/>
        <v>https://d0f6bd738d7f1b3e5a7ca70fe4ff75f0.us-east-1.aws.found.io/app/kibana#/discover/Steve-Slow-Train-Analysis-(2080s-and-2083s)?_g=(refreshInterval:(display:Off,pause:!f,section:0,value:0),time:(from:'2017-01-19T09:33:36-0700',mode:absolute,to:'2017-01-19T12:21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1" s="49" t="str">
        <f t="shared" si="25"/>
        <v>N</v>
      </c>
      <c r="X61" s="170">
        <f t="shared" si="20"/>
        <v>1</v>
      </c>
      <c r="Y61" s="64">
        <f t="shared" si="26"/>
        <v>23.299800000000001</v>
      </c>
      <c r="Z61" s="64">
        <f t="shared" si="27"/>
        <v>1.6E-2</v>
      </c>
      <c r="AA61" s="64">
        <f t="shared" si="28"/>
        <v>23.283800000000003</v>
      </c>
      <c r="AB61" s="61" t="e">
        <f>VLOOKUP(A61,Enforcements!$C$7:$K$15,8,0)</f>
        <v>#N/A</v>
      </c>
      <c r="AC61" s="57" t="e">
        <f>VLOOKUP(A61,Enforcements!$C$7:$E$15,3,0)</f>
        <v>#N/A</v>
      </c>
      <c r="AD61" s="58" t="str">
        <f t="shared" si="29"/>
        <v>0150-19</v>
      </c>
      <c r="AE61" s="87" t="str">
        <f t="shared" si="10"/>
        <v>aws s3 cp s3://rtdc.mdm.uploadarchive.raw/RTDC4041/ "%USERPROFILE%\AppData\Local\Temp\OnboardLogs"\RTDC4041\2017-01-19 --exclude "*" --recursive --include "*20170119*" &amp; "%USERPROFILE%\Documents\GitHub\mrs-test-scripts\Headless Mode &amp; Sideloading\WalkAndUnGZ.bat" "%USERPROFILE%\AppData\Local\Temp\OnboardLogs"\RTDC4041\2017-01-19 &amp; aws s3 cp s3://rtdc.mdm.uploadarchive.raw/RTDC4041/ "%USERPROFILE%\AppData\Local\Temp\OnboardLogs"\RTDC4041\2017-01-20 --exclude "*" --recursive --include "*20170120*" &amp; "%USERPROFILE%\Documents\GitHub\mrs-test-scripts\Headless Mode &amp; Sideloading\WalkAndUnGZ.bat" "%USERPROFILE%\AppData\Local\Temp\OnboardLogs"\RTDC4041\2017-01-20</v>
      </c>
      <c r="AF61" s="84" t="str">
        <f t="shared" si="11"/>
        <v>"C:\Program Files (x86)\AstroGrep\AstroGrep.exe" /spath="%USERPROFILE%\AppData\Local\Temp\OnboardLogs" /stypes="app*4041*20170119*" /stext=" 18:.+((SYSTEM_STATE.+slice.+state.+changed )|(ment ac)|(multiple cpu faults)|(system.+state.+changed )|(\[timeout)|(PRM\|1\|D)|(kpr)|(kdp)|(\|lc)|(penalty))" /e /r /s</v>
      </c>
      <c r="AG61" s="1" t="str">
        <f t="shared" si="30"/>
        <v>EC</v>
      </c>
      <c r="AH61" s="88" t="str">
        <f t="shared" si="16"/>
        <v>"%USERPROFILE%\Documents\GitHub\eaglep3\Utilities\RefineRTDCRunTimes.py" --tripid 150-19 --locoid 4041 --swversion DE.1.0.8.0 --startMP 204:232998 --initTime 2017-01-19T10:33:36 --startdatetime 2017-01-19T10:41:19 --delay 1 --endMP 204:160 --enddatetime 2017-01-19T11:21:20 --enforcementcount 5 &gt;&gt;C:\Users\stu\Documents\GitHub\eaglep3-reporting\EC\2017-01-19-refined-times.txt</v>
      </c>
      <c r="AI61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{"issue":{"subject":"","project_id":79,"tracker_id":40,"status_id":1,"priority_id":2,"assigned_to_id":23,"start_date":"2017-01-19","description":"","custom_fields":[{"id":1,"name":"Subdivision","value":"EC"},{"id":4,"name":"Milepost","value":"0.016"},{"id":17,"name":"Train ID","value":"150-19"},{"id":16,"name":"Locomotive ID","value":"4041"},{"id":130,"name":"Impact","value":""},{"id":150,"name":"Time of Event (Mountain Time)","value":"11:21:20"},{"id":151,"name":"Denver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0"/>
      <c r="AK61" s="50"/>
      <c r="AL61" s="50"/>
      <c r="AM61" s="177" t="str">
        <f t="shared" si="18"/>
        <v>start /low /b %USERPROFILE%\Documents\GitHub\eaglep3\Utilities\DownloadLogsFromS3.py --loco 4041 --day 2017-01-19</v>
      </c>
      <c r="AN61" s="186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"%USERPROFILE%\AppData\Local\Temp\OnboardLogs"\RTDC4041\*4041*20170119* | grep -SE "(Enforcement Action)|(\[TIMEOUT)|(CHR.+\|PRM\|1\|D.+(SWITCH|SIGNAL).+UNKNOWN)" - &gt;&gt; 2017-01-19-UncaughtWiMAX.txt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4" t="s">
        <v>574</v>
      </c>
      <c r="B62" s="7">
        <v>4011</v>
      </c>
      <c r="C62" s="22" t="s">
        <v>196</v>
      </c>
      <c r="D62" s="22" t="s">
        <v>738</v>
      </c>
      <c r="E62" s="13">
        <v>42754.421620370369</v>
      </c>
      <c r="F62" s="13">
        <v>42754.422500000001</v>
      </c>
      <c r="G62" s="7">
        <v>1</v>
      </c>
      <c r="H62" s="22" t="s">
        <v>298</v>
      </c>
      <c r="I62" s="13">
        <v>42754.444988425923</v>
      </c>
      <c r="J62" s="7">
        <v>5</v>
      </c>
      <c r="K62" s="105" t="str">
        <f t="shared" si="21"/>
        <v>4011/4012</v>
      </c>
      <c r="L62" s="22" t="str">
        <f>VLOOKUP(A62,'Trips&amp;Operators'!$C$1:$G$99999,5,FALSE)</f>
        <v>STRICKLAND EVAN</v>
      </c>
      <c r="M62" s="6">
        <f t="shared" si="22"/>
        <v>2.2488425922347233E-2</v>
      </c>
      <c r="N62" s="7"/>
      <c r="O62" s="7"/>
      <c r="P62" s="7">
        <f>24*60*SUM($M62:$M62)</f>
        <v>32.383333328180015</v>
      </c>
      <c r="Q62" s="23"/>
      <c r="R62" s="23" t="s">
        <v>874</v>
      </c>
      <c r="S62" s="32">
        <f t="shared" si="23"/>
        <v>1</v>
      </c>
      <c r="T62" s="47" t="str">
        <f t="shared" si="24"/>
        <v>NorthBound</v>
      </c>
      <c r="U62" s="164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4" t="str">
        <f t="shared" si="4"/>
        <v>https://d0f6bd738d7f1b3e5a7ca70fe4ff75f0.us-east-1.aws.found.io/app/kibana#/discover/Steve-Slow-Train-Analysis-(2080s-and-2083s)?_g=(refreshInterval:(display:Off,pause:!f,section:0,value:0),time:(from:'2017-01-19T09:07:08-0700',mode:absolute,to:'2017-01-19T11:40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2" s="49" t="str">
        <f t="shared" si="25"/>
        <v>Y</v>
      </c>
      <c r="X62" s="170">
        <f t="shared" si="20"/>
        <v>1</v>
      </c>
      <c r="Y62" s="64">
        <f t="shared" si="26"/>
        <v>1.9117999999999999</v>
      </c>
      <c r="Z62" s="64">
        <f t="shared" si="27"/>
        <v>23.330300000000001</v>
      </c>
      <c r="AA62" s="64">
        <f t="shared" si="28"/>
        <v>21.418500000000002</v>
      </c>
      <c r="AB62" s="61" t="e">
        <f>VLOOKUP(A62,Enforcements!$C$7:$K$15,8,0)</f>
        <v>#N/A</v>
      </c>
      <c r="AC62" s="57" t="e">
        <f>VLOOKUP(A62,Enforcements!$C$7:$E$15,3,0)</f>
        <v>#N/A</v>
      </c>
      <c r="AD62" s="58" t="str">
        <f t="shared" si="29"/>
        <v>0151-19</v>
      </c>
      <c r="AE62" s="87" t="str">
        <f t="shared" si="10"/>
        <v>aws s3 cp s3://rtdc.mdm.uploadarchive.raw/RTDC4011/ "%USERPROFILE%\AppData\Local\Temp\OnboardLogs"\RTDC4011\2017-01-19 --exclude "*" --recursive --include "*20170119*" &amp; "%USERPROFILE%\Documents\GitHub\mrs-test-scripts\Headless Mode &amp; Sideloading\WalkAndUnGZ.bat" "%USERPROFILE%\AppData\Local\Temp\OnboardLogs"\RTDC4011\2017-01-19 &amp; aws s3 cp s3://rtdc.mdm.uploadarchive.raw/RTDC4011/ "%USERPROFILE%\AppData\Local\Temp\OnboardLogs"\RTDC4011\2017-01-20 --exclude "*" --recursive --include "*20170120*" &amp; "%USERPROFILE%\Documents\GitHub\mrs-test-scripts\Headless Mode &amp; Sideloading\WalkAndUnGZ.bat" "%USERPROFILE%\AppData\Local\Temp\OnboardLogs"\RTDC4011\2017-01-20</v>
      </c>
      <c r="AF62" s="84" t="str">
        <f t="shared" si="11"/>
        <v>"C:\Program Files (x86)\AstroGrep\AstroGrep.exe" /spath="%USERPROFILE%\AppData\Local\Temp\OnboardLogs" /stypes="app*4011*20170119*" /stext=" 17:.+((SYSTEM_STATE.+slice.+state.+changed )|(ment ac)|(multiple cpu faults)|(system.+state.+changed )|(\[timeout)|(PRM\|1\|D)|(kpr)|(kdp)|(\|lc)|(penalty))" /e /r /s</v>
      </c>
      <c r="AG62" s="1" t="str">
        <f t="shared" si="30"/>
        <v>EC</v>
      </c>
      <c r="AH62" s="88" t="str">
        <f t="shared" si="16"/>
        <v>"%USERPROFILE%\Documents\GitHub\eaglep3\Utilities\RefineRTDCRunTimes.py" --tripid 151-19 --locoid 4011 --swversion DE.1.0.8.0 --startMP 204:19118 --initTime 2017-01-19T10:07:08 --startdatetime 2017-01-19T10:08:24 --delay 1 --endMP 204:233303 --enddatetime 2017-01-19T10:40:47 --enforcementcount 5 &gt;&gt;C:\Users\stu\Documents\GitHub\eaglep3-reporting\EC\2017-01-19-refined-times.txt</v>
      </c>
      <c r="AI62" s="115" t="str">
        <f t="shared" si="17"/>
        <v>echo {"issue":{"subject":"DUS 2N/20N STOP","project_id":79,"tracker_id":40,"status_id":1,"priority_id":2,"assigned_to_id":23,"start_date":"2017-01-19","description":"","custom_fields":[{"id":1,"name":"Subdivision","value":"EC"},{"id":4,"name":"Milepost","value":"23.3303"},{"id":17,"name":"Train ID","value":"151-19"},{"id":16,"name":"Locomotive ID","value":"4011"},{"id":130,"name":"Impact","value":""},{"id":150,"name":"Time of Event (Mountain Time)","value":"10:40:47"},{"id":151,"name":"Denver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0"/>
      <c r="AK62" s="50"/>
      <c r="AL62" s="50"/>
      <c r="AM62" s="177" t="str">
        <f t="shared" si="18"/>
        <v>start /low /b %USERPROFILE%\Documents\GitHub\eaglep3\Utilities\DownloadLogsFromS3.py --loco 4011 --day 2017-01-19</v>
      </c>
      <c r="AN62" s="186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"%USERPROFILE%\AppData\Local\Temp\OnboardLogs"\RTDC4011\*4011*20170119* | grep -SE "(Enforcement Action)|(\[TIMEOUT)|(CHR.+\|PRM\|1\|D.+(SWITCH|SIGNAL).+UNKNOWN)" - &gt;&gt; 2017-01-19-UncaughtWiMAX.txt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4" t="s">
        <v>574</v>
      </c>
      <c r="B63" s="7">
        <v>4011</v>
      </c>
      <c r="C63" s="22" t="s">
        <v>196</v>
      </c>
      <c r="D63" s="22" t="s">
        <v>205</v>
      </c>
      <c r="E63" s="13">
        <v>42754.411412037036</v>
      </c>
      <c r="F63" s="13">
        <v>42754.422500000001</v>
      </c>
      <c r="G63" s="7">
        <v>1</v>
      </c>
      <c r="H63" s="22" t="s">
        <v>739</v>
      </c>
      <c r="I63" s="13">
        <v>42754.444988425923</v>
      </c>
      <c r="J63" s="7">
        <v>5</v>
      </c>
      <c r="K63" s="105" t="str">
        <f t="shared" si="21"/>
        <v>4011/4012</v>
      </c>
      <c r="L63" s="22" t="str">
        <f>VLOOKUP(A63,'Trips&amp;Operators'!$C$1:$G$99999,5,FALSE)</f>
        <v>STRICKLAND EVAN</v>
      </c>
      <c r="M63" s="6">
        <f t="shared" si="22"/>
        <v>2.2488425922347233E-2</v>
      </c>
      <c r="N63" s="7"/>
      <c r="O63" s="7"/>
      <c r="P63" s="7"/>
      <c r="Q63" s="23"/>
      <c r="R63" s="23"/>
      <c r="S63" s="32">
        <f t="shared" si="23"/>
        <v>0</v>
      </c>
      <c r="T63" s="47" t="str">
        <f t="shared" si="24"/>
        <v>NorthBound</v>
      </c>
      <c r="U63" s="164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0</v>
      </c>
      <c r="V63" s="94" t="str">
        <f t="shared" si="4"/>
        <v>https://d0f6bd738d7f1b3e5a7ca70fe4ff75f0.us-east-1.aws.found.io/app/kibana#/discover/Steve-Slow-Train-Analysis-(2080s-and-2083s)?_g=(refreshInterval:(display:Off,pause:!f,section:0,value:0),time:(from:'2017-01-19T08:52:26-0700',mode:absolute,to:'2017-01-19T11:40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3" s="49" t="str">
        <f t="shared" si="25"/>
        <v>Y</v>
      </c>
      <c r="X63" s="170">
        <f t="shared" si="20"/>
        <v>0</v>
      </c>
      <c r="Y63" s="64">
        <f t="shared" si="26"/>
        <v>4.5499999999999999E-2</v>
      </c>
      <c r="Z63" s="64">
        <f t="shared" si="27"/>
        <v>0.11849999999999999</v>
      </c>
      <c r="AA63" s="64">
        <f t="shared" si="28"/>
        <v>7.2999999999999995E-2</v>
      </c>
      <c r="AB63" s="61" t="e">
        <f>VLOOKUP(A63,Enforcements!$C$7:$K$15,8,0)</f>
        <v>#N/A</v>
      </c>
      <c r="AC63" s="57" t="e">
        <f>VLOOKUP(A63,Enforcements!$C$7:$E$15,3,0)</f>
        <v>#N/A</v>
      </c>
      <c r="AD63" s="58" t="str">
        <f t="shared" si="29"/>
        <v>0151-19</v>
      </c>
      <c r="AE63" s="87" t="str">
        <f t="shared" si="10"/>
        <v>aws s3 cp s3://rtdc.mdm.uploadarchive.raw/RTDC4011/ "%USERPROFILE%\AppData\Local\Temp\OnboardLogs"\RTDC4011\2017-01-19 --exclude "*" --recursive --include "*20170119*" &amp; "%USERPROFILE%\Documents\GitHub\mrs-test-scripts\Headless Mode &amp; Sideloading\WalkAndUnGZ.bat" "%USERPROFILE%\AppData\Local\Temp\OnboardLogs"\RTDC4011\2017-01-19 &amp; aws s3 cp s3://rtdc.mdm.uploadarchive.raw/RTDC4011/ "%USERPROFILE%\AppData\Local\Temp\OnboardLogs"\RTDC4011\2017-01-20 --exclude "*" --recursive --include "*20170120*" &amp; "%USERPROFILE%\Documents\GitHub\mrs-test-scripts\Headless Mode &amp; Sideloading\WalkAndUnGZ.bat" "%USERPROFILE%\AppData\Local\Temp\OnboardLogs"\RTDC4011\2017-01-20</v>
      </c>
      <c r="AF63" s="84" t="str">
        <f t="shared" si="11"/>
        <v>"C:\Program Files (x86)\AstroGrep\AstroGrep.exe" /spath="%USERPROFILE%\AppData\Local\Temp\OnboardLogs" /stypes="app*4011*20170119*" /stext=" 17:.+((SYSTEM_STATE.+slice.+state.+changed )|(ment ac)|(multiple cpu faults)|(system.+state.+changed )|(\[timeout)|(PRM\|1\|D)|(kpr)|(kdp)|(\|lc)|(penalty))" /e /r /s</v>
      </c>
      <c r="AG63" s="1" t="str">
        <f t="shared" si="30"/>
        <v>EC</v>
      </c>
      <c r="AH63" s="88" t="str">
        <f t="shared" si="16"/>
        <v>"%USERPROFILE%\Documents\GitHub\eaglep3\Utilities\RefineRTDCRunTimes.py" --tripid 151-19 --locoid 4011 --swversion DE.1.0.8.0 --startMP 204:455 --initTime 2017-01-19T09:52:26 --startdatetime 2017-01-19T10:08:24 --delay 1 --endMP 204:1185 --enddatetime 2017-01-19T10:40:47 --enforcementcount 5 &gt;&gt;C:\Users\stu\Documents\GitHub\eaglep3-reporting\EC\2017-01-19-refined-times.txt</v>
      </c>
      <c r="AI63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{"issue":{"subject":"","project_id":79,"tracker_id":40,"status_id":1,"priority_id":2,"assigned_to_id":23,"start_date":"2017-01-19","description":"","custom_fields":[{"id":1,"name":"Subdivision","value":"EC"},{"id":4,"name":"Milepost","value":"0.1185"},{"id":17,"name":"Train ID","value":"151-19"},{"id":16,"name":"Locomotive ID","value":"4011"},{"id":130,"name":"Impact","value":""},{"id":150,"name":"Time of Event (Mountain Time)","value":"10:40:47"},{"id":151,"name":"Denver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0"/>
      <c r="AK63" s="50"/>
      <c r="AL63" s="50"/>
      <c r="AM63" s="177" t="str">
        <f t="shared" si="18"/>
        <v>start /low /b %USERPROFILE%\Documents\GitHub\eaglep3\Utilities\DownloadLogsFromS3.py --loco 4011 --day 2017-01-19</v>
      </c>
      <c r="AN63" s="186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"%USERPROFILE%\AppData\Local\Temp\OnboardLogs"\RTDC4011\*4011*20170119* | grep -SE "(Enforcement Action)|(\[TIMEOUT)|(CHR.+\|PRM\|1\|D.+(SWITCH|SIGNAL).+UNKNOWN)" - &gt;&gt; 2017-01-19-UncaughtWiMAX.txt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4" t="s">
        <v>583</v>
      </c>
      <c r="B64" s="7">
        <v>4012</v>
      </c>
      <c r="C64" s="22" t="s">
        <v>196</v>
      </c>
      <c r="D64" s="22" t="s">
        <v>281</v>
      </c>
      <c r="E64" s="13">
        <v>42754.446180555555</v>
      </c>
      <c r="F64" s="13">
        <v>42754.455775462964</v>
      </c>
      <c r="G64" s="7">
        <v>1</v>
      </c>
      <c r="H64" s="22" t="s">
        <v>252</v>
      </c>
      <c r="I64" s="13">
        <v>42754.485682870371</v>
      </c>
      <c r="J64" s="7">
        <v>5</v>
      </c>
      <c r="K64" s="105" t="str">
        <f t="shared" si="21"/>
        <v>4011/4012</v>
      </c>
      <c r="L64" s="22" t="str">
        <f>VLOOKUP(A64,'Trips&amp;Operators'!$C$1:$G$99999,5,FALSE)</f>
        <v>STRICKLAND EVAN</v>
      </c>
      <c r="M64" s="6">
        <f t="shared" si="22"/>
        <v>2.9907407406426501E-2</v>
      </c>
      <c r="N64" s="7">
        <f t="shared" ref="N64:N95" si="31">24*60*SUM($M64:$M64)</f>
        <v>43.066666665254161</v>
      </c>
      <c r="O64" s="7"/>
      <c r="P64" s="7"/>
      <c r="Q64" s="23"/>
      <c r="R64" s="23"/>
      <c r="S64" s="32">
        <f t="shared" si="23"/>
        <v>1</v>
      </c>
      <c r="T64" s="47" t="str">
        <f t="shared" si="24"/>
        <v>Southbound</v>
      </c>
      <c r="U64" s="164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4" t="str">
        <f t="shared" si="4"/>
        <v>https://d0f6bd738d7f1b3e5a7ca70fe4ff75f0.us-east-1.aws.found.io/app/kibana#/discover/Steve-Slow-Train-Analysis-(2080s-and-2083s)?_g=(refreshInterval:(display:Off,pause:!f,section:0,value:0),time:(from:'2017-01-19T09:42:30-0700',mode:absolute,to:'2017-01-19T12:39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4" s="49" t="str">
        <f t="shared" si="25"/>
        <v>N</v>
      </c>
      <c r="X64" s="170">
        <f t="shared" si="20"/>
        <v>1</v>
      </c>
      <c r="Y64" s="64">
        <f t="shared" si="26"/>
        <v>23.298200000000001</v>
      </c>
      <c r="Z64" s="64">
        <f t="shared" si="27"/>
        <v>1.54E-2</v>
      </c>
      <c r="AA64" s="64">
        <f t="shared" si="28"/>
        <v>23.282800000000002</v>
      </c>
      <c r="AB64" s="61" t="e">
        <f>VLOOKUP(A64,Enforcements!$C$7:$K$15,8,0)</f>
        <v>#N/A</v>
      </c>
      <c r="AC64" s="57" t="e">
        <f>VLOOKUP(A64,Enforcements!$C$7:$E$15,3,0)</f>
        <v>#N/A</v>
      </c>
      <c r="AD64" s="58" t="str">
        <f t="shared" si="29"/>
        <v>0152-19</v>
      </c>
      <c r="AE64" s="87" t="str">
        <f t="shared" si="10"/>
        <v>aws s3 cp s3://rtdc.mdm.uploadarchive.raw/RTDC4012/ "%USERPROFILE%\AppData\Local\Temp\OnboardLogs"\RTDC4012\2017-01-19 --exclude "*" --recursive --include "*20170119*" &amp; "%USERPROFILE%\Documents\GitHub\mrs-test-scripts\Headless Mode &amp; Sideloading\WalkAndUnGZ.bat" "%USERPROFILE%\AppData\Local\Temp\OnboardLogs"\RTDC4012\2017-01-19 &amp; aws s3 cp s3://rtdc.mdm.uploadarchive.raw/RTDC4012/ "%USERPROFILE%\AppData\Local\Temp\OnboardLogs"\RTDC4012\2017-01-20 --exclude "*" --recursive --include "*20170120*" &amp; "%USERPROFILE%\Documents\GitHub\mrs-test-scripts\Headless Mode &amp; Sideloading\WalkAndUnGZ.bat" "%USERPROFILE%\AppData\Local\Temp\OnboardLogs"\RTDC4012\2017-01-20</v>
      </c>
      <c r="AF64" s="84" t="str">
        <f t="shared" si="11"/>
        <v>"C:\Program Files (x86)\AstroGrep\AstroGrep.exe" /spath="%USERPROFILE%\AppData\Local\Temp\OnboardLogs" /stypes="app*4012*20170119*" /stext=" 18:.+((SYSTEM_STATE.+slice.+state.+changed )|(ment ac)|(multiple cpu faults)|(system.+state.+changed )|(\[timeout)|(PRM\|1\|D)|(kpr)|(kdp)|(\|lc)|(penalty))" /e /r /s</v>
      </c>
      <c r="AG64" s="1" t="str">
        <f t="shared" si="30"/>
        <v>EC</v>
      </c>
      <c r="AH64" s="88" t="str">
        <f t="shared" si="16"/>
        <v>"%USERPROFILE%\Documents\GitHub\eaglep3\Utilities\RefineRTDCRunTimes.py" --tripid 152-19 --locoid 4012 --swversion DE.1.0.8.0 --startMP 204:232982 --initTime 2017-01-19T10:42:30 --startdatetime 2017-01-19T10:56:19 --delay 1 --endMP 204:154 --enddatetime 2017-01-19T11:39:23 --enforcementcount 5 &gt;&gt;C:\Users\stu\Documents\GitHub\eaglep3-reporting\EC\2017-01-19-refined-times.txt</v>
      </c>
      <c r="AI64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{"issue":{"subject":"","project_id":79,"tracker_id":40,"status_id":1,"priority_id":2,"assigned_to_id":23,"start_date":"2017-01-19","description":"","custom_fields":[{"id":1,"name":"Subdivision","value":"EC"},{"id":4,"name":"Milepost","value":"0.0154"},{"id":17,"name":"Train ID","value":"152-19"},{"id":16,"name":"Locomotive ID","value":"4012"},{"id":130,"name":"Impact","value":""},{"id":150,"name":"Time of Event (Mountain Time)","value":"11:39:23"},{"id":151,"name":"Denver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0"/>
      <c r="AK64" s="50"/>
      <c r="AL64" s="50"/>
      <c r="AM64" s="177" t="str">
        <f t="shared" si="18"/>
        <v>start /low /b %USERPROFILE%\Documents\GitHub\eaglep3\Utilities\DownloadLogsFromS3.py --loco 4012 --day 2017-01-19</v>
      </c>
      <c r="AN64" s="186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"%USERPROFILE%\AppData\Local\Temp\OnboardLogs"\RTDC4012\*4012*20170119* | grep -SE "(Enforcement Action)|(\[TIMEOUT)|(CHR.+\|PRM\|1\|D.+(SWITCH|SIGNAL).+UNKNOWN)" - &gt;&gt; 2017-01-19-UncaughtWiMAX.txt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4" t="s">
        <v>577</v>
      </c>
      <c r="B65" s="7">
        <v>4031</v>
      </c>
      <c r="C65" s="22" t="s">
        <v>196</v>
      </c>
      <c r="D65" s="22" t="s">
        <v>239</v>
      </c>
      <c r="E65" s="13">
        <v>42754.419988425929</v>
      </c>
      <c r="F65" s="13">
        <v>42754.42759259259</v>
      </c>
      <c r="G65" s="7">
        <v>1</v>
      </c>
      <c r="H65" s="22" t="s">
        <v>245</v>
      </c>
      <c r="I65" s="13">
        <v>42754.452233796299</v>
      </c>
      <c r="J65" s="7">
        <v>5</v>
      </c>
      <c r="K65" s="105" t="str">
        <f t="shared" si="21"/>
        <v>4031/4032</v>
      </c>
      <c r="L65" s="22" t="str">
        <f>VLOOKUP(A65,'Trips&amp;Operators'!$C$1:$G$99999,5,FALSE)</f>
        <v>YORK EDGAR</v>
      </c>
      <c r="M65" s="6">
        <f t="shared" si="22"/>
        <v>2.4641203708597459E-2</v>
      </c>
      <c r="N65" s="7">
        <f t="shared" si="31"/>
        <v>35.483333340380341</v>
      </c>
      <c r="O65" s="7"/>
      <c r="P65" s="7"/>
      <c r="Q65" s="23"/>
      <c r="R65" s="23"/>
      <c r="S65" s="32">
        <f t="shared" si="23"/>
        <v>1</v>
      </c>
      <c r="T65" s="47" t="str">
        <f t="shared" si="24"/>
        <v>NorthBound</v>
      </c>
      <c r="U65" s="164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4" t="str">
        <f t="shared" si="4"/>
        <v>https://d0f6bd738d7f1b3e5a7ca70fe4ff75f0.us-east-1.aws.found.io/app/kibana#/discover/Steve-Slow-Train-Analysis-(2080s-and-2083s)?_g=(refreshInterval:(display:Off,pause:!f,section:0,value:0),time:(from:'2017-01-19T09:04:47-0700',mode:absolute,to:'2017-01-19T11:51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5" s="49" t="str">
        <f t="shared" si="25"/>
        <v>N</v>
      </c>
      <c r="X65" s="170">
        <f t="shared" si="20"/>
        <v>1</v>
      </c>
      <c r="Y65" s="64">
        <f t="shared" si="26"/>
        <v>4.6899999999999997E-2</v>
      </c>
      <c r="Z65" s="64">
        <f t="shared" si="27"/>
        <v>23.3293</v>
      </c>
      <c r="AA65" s="64">
        <f t="shared" si="28"/>
        <v>23.282399999999999</v>
      </c>
      <c r="AB65" s="61" t="e">
        <f>VLOOKUP(A65,Enforcements!$C$7:$K$15,8,0)</f>
        <v>#N/A</v>
      </c>
      <c r="AC65" s="57" t="e">
        <f>VLOOKUP(A65,Enforcements!$C$7:$E$15,3,0)</f>
        <v>#N/A</v>
      </c>
      <c r="AD65" s="58" t="str">
        <f t="shared" si="29"/>
        <v>0153-19</v>
      </c>
      <c r="AE65" s="87" t="str">
        <f t="shared" si="10"/>
        <v>aws s3 cp s3://rtdc.mdm.uploadarchive.raw/RTDC4031/ "%USERPROFILE%\AppData\Local\Temp\OnboardLogs"\RTDC4031\2017-01-19 --exclude "*" --recursive --include "*20170119*" &amp; "%USERPROFILE%\Documents\GitHub\mrs-test-scripts\Headless Mode &amp; Sideloading\WalkAndUnGZ.bat" "%USERPROFILE%\AppData\Local\Temp\OnboardLogs"\RTDC4031\2017-01-19 &amp; aws s3 cp s3://rtdc.mdm.uploadarchive.raw/RTDC4031/ "%USERPROFILE%\AppData\Local\Temp\OnboardLogs"\RTDC4031\2017-01-20 --exclude "*" --recursive --include "*20170120*" &amp; "%USERPROFILE%\Documents\GitHub\mrs-test-scripts\Headless Mode &amp; Sideloading\WalkAndUnGZ.bat" "%USERPROFILE%\AppData\Local\Temp\OnboardLogs"\RTDC4031\2017-01-20</v>
      </c>
      <c r="AF65" s="84" t="str">
        <f t="shared" si="11"/>
        <v>"C:\Program Files (x86)\AstroGrep\AstroGrep.exe" /spath="%USERPROFILE%\AppData\Local\Temp\OnboardLogs" /stypes="app*4031*20170119*" /stext=" 17:.+((SYSTEM_STATE.+slice.+state.+changed )|(ment ac)|(multiple cpu faults)|(system.+state.+changed )|(\[timeout)|(PRM\|1\|D)|(kpr)|(kdp)|(\|lc)|(penalty))" /e /r /s</v>
      </c>
      <c r="AG65" s="1" t="str">
        <f t="shared" si="30"/>
        <v>EC</v>
      </c>
      <c r="AH65" s="88" t="str">
        <f t="shared" si="16"/>
        <v>"%USERPROFILE%\Documents\GitHub\eaglep3\Utilities\RefineRTDCRunTimes.py" --tripid 153-19 --locoid 4031 --swversion DE.1.0.8.0 --startMP 204:469 --initTime 2017-01-19T10:04:47 --startdatetime 2017-01-19T10:15:44 --delay 1 --endMP 204:233293 --enddatetime 2017-01-19T10:51:13 --enforcementcount 5 &gt;&gt;C:\Users\stu\Documents\GitHub\eaglep3-reporting\EC\2017-01-19-refined-times.txt</v>
      </c>
      <c r="AI65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{"issue":{"subject":"","project_id":79,"tracker_id":40,"status_id":1,"priority_id":2,"assigned_to_id":23,"start_date":"2017-01-19","description":"","custom_fields":[{"id":1,"name":"Subdivision","value":"EC"},{"id":4,"name":"Milepost","value":"23.3293"},{"id":17,"name":"Train ID","value":"153-19"},{"id":16,"name":"Locomotive ID","value":"4031"},{"id":130,"name":"Impact","value":""},{"id":150,"name":"Time of Event (Mountain Time)","value":"10:51:13"},{"id":151,"name":"Denver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0"/>
      <c r="AK65" s="50"/>
      <c r="AL65" s="50"/>
      <c r="AM65" s="177" t="str">
        <f t="shared" si="18"/>
        <v>start /low /b %USERPROFILE%\Documents\GitHub\eaglep3\Utilities\DownloadLogsFromS3.py --loco 4031 --day 2017-01-19</v>
      </c>
      <c r="AN65" s="186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"%USERPROFILE%\AppData\Local\Temp\OnboardLogs"\RTDC4031\*4031*20170119* | grep -SE "(Enforcement Action)|(\[TIMEOUT)|(CHR.+\|PRM\|1\|D.+(SWITCH|SIGNAL).+UNKNOWN)" - &gt;&gt; 2017-01-19-UncaughtWiMAX.txt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4" t="s">
        <v>584</v>
      </c>
      <c r="B66" s="7">
        <v>4032</v>
      </c>
      <c r="C66" s="22" t="s">
        <v>196</v>
      </c>
      <c r="D66" s="22" t="s">
        <v>328</v>
      </c>
      <c r="E66" s="13">
        <v>42754.453680555554</v>
      </c>
      <c r="F66" s="13">
        <v>42754.466249999998</v>
      </c>
      <c r="G66" s="7">
        <v>0</v>
      </c>
      <c r="H66" s="22" t="s">
        <v>206</v>
      </c>
      <c r="I66" s="13">
        <v>42754.491736111115</v>
      </c>
      <c r="J66" s="7">
        <v>5</v>
      </c>
      <c r="K66" s="105" t="str">
        <f t="shared" si="21"/>
        <v>4031/4032</v>
      </c>
      <c r="L66" s="22" t="str">
        <f>VLOOKUP(A66,'Trips&amp;Operators'!$C$1:$G$99999,5,FALSE)</f>
        <v>YORK EDGAR</v>
      </c>
      <c r="M66" s="6">
        <f t="shared" si="22"/>
        <v>2.5486111117061228E-2</v>
      </c>
      <c r="N66" s="7">
        <f t="shared" si="31"/>
        <v>36.700000008568168</v>
      </c>
      <c r="O66" s="7"/>
      <c r="P66" s="7"/>
      <c r="Q66" s="23"/>
      <c r="R66" s="23"/>
      <c r="S66" s="32">
        <f t="shared" si="23"/>
        <v>1</v>
      </c>
      <c r="T66" s="47" t="str">
        <f t="shared" si="24"/>
        <v>Southbound</v>
      </c>
      <c r="U66" s="164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4" t="str">
        <f t="shared" si="4"/>
        <v>https://d0f6bd738d7f1b3e5a7ca70fe4ff75f0.us-east-1.aws.found.io/app/kibana#/discover/Steve-Slow-Train-Analysis-(2080s-and-2083s)?_g=(refreshInterval:(display:Off,pause:!f,section:0,value:0),time:(from:'2017-01-19T09:53:18-0700',mode:absolute,to:'2017-01-19T12:48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6" s="49" t="str">
        <f t="shared" si="25"/>
        <v>N</v>
      </c>
      <c r="X66" s="170">
        <f t="shared" si="20"/>
        <v>1</v>
      </c>
      <c r="Y66" s="64">
        <f t="shared" si="26"/>
        <v>23.2972</v>
      </c>
      <c r="Z66" s="64">
        <f t="shared" si="27"/>
        <v>1.4500000000000001E-2</v>
      </c>
      <c r="AA66" s="64">
        <f t="shared" si="28"/>
        <v>23.282699999999998</v>
      </c>
      <c r="AB66" s="61" t="e">
        <f>VLOOKUP(A66,Enforcements!$C$7:$K$15,8,0)</f>
        <v>#N/A</v>
      </c>
      <c r="AC66" s="57" t="e">
        <f>VLOOKUP(A66,Enforcements!$C$7:$E$15,3,0)</f>
        <v>#N/A</v>
      </c>
      <c r="AD66" s="58" t="str">
        <f t="shared" si="29"/>
        <v>0154-19</v>
      </c>
      <c r="AE66" s="87" t="str">
        <f t="shared" si="10"/>
        <v>aws s3 cp s3://rtdc.mdm.uploadarchive.raw/RTDC4032/ "%USERPROFILE%\AppData\Local\Temp\OnboardLogs"\RTDC4032\2017-01-19 --exclude "*" --recursive --include "*20170119*" &amp; "%USERPROFILE%\Documents\GitHub\mrs-test-scripts\Headless Mode &amp; Sideloading\WalkAndUnGZ.bat" "%USERPROFILE%\AppData\Local\Temp\OnboardLogs"\RTDC4032\2017-01-19 &amp; aws s3 cp s3://rtdc.mdm.uploadarchive.raw/RTDC4032/ "%USERPROFILE%\AppData\Local\Temp\OnboardLogs"\RTDC4032\2017-01-20 --exclude "*" --recursive --include "*20170120*" &amp; "%USERPROFILE%\Documents\GitHub\mrs-test-scripts\Headless Mode &amp; Sideloading\WalkAndUnGZ.bat" "%USERPROFILE%\AppData\Local\Temp\OnboardLogs"\RTDC4032\2017-01-20</v>
      </c>
      <c r="AF66" s="84" t="str">
        <f t="shared" si="11"/>
        <v>"C:\Program Files (x86)\AstroGrep\AstroGrep.exe" /spath="%USERPROFILE%\AppData\Local\Temp\OnboardLogs" /stypes="app*4032*20170119*" /stext=" 18:.+((SYSTEM_STATE.+slice.+state.+changed )|(ment ac)|(multiple cpu faults)|(system.+state.+changed )|(\[timeout)|(PRM\|1\|D)|(kpr)|(kdp)|(\|lc)|(penalty))" /e /r /s</v>
      </c>
      <c r="AG66" s="1" t="str">
        <f t="shared" si="30"/>
        <v>EC</v>
      </c>
      <c r="AH66" s="88" t="str">
        <f t="shared" si="16"/>
        <v>"%USERPROFILE%\Documents\GitHub\eaglep3\Utilities\RefineRTDCRunTimes.py" --tripid 154-19 --locoid 4032 --swversion DE.1.0.8.0 --startMP 204:232972 --initTime 2017-01-19T10:53:18 --startdatetime 2017-01-19T11:11:24 --delay 0 --endMP 204:145 --enddatetime 2017-01-19T11:48:06 --enforcementcount 5 &gt;&gt;C:\Users\stu\Documents\GitHub\eaglep3-reporting\EC\2017-01-19-refined-times.txt</v>
      </c>
      <c r="AI66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{"issue":{"subject":"","project_id":79,"tracker_id":40,"status_id":1,"priority_id":2,"assigned_to_id":23,"start_date":"2017-01-19","description":"","custom_fields":[{"id":1,"name":"Subdivision","value":"EC"},{"id":4,"name":"Milepost","value":"0.0145"},{"id":17,"name":"Train ID","value":"154-19"},{"id":16,"name":"Locomotive ID","value":"4032"},{"id":130,"name":"Impact","value":""},{"id":150,"name":"Time of Event (Mountain Time)","value":"11:48:06"},{"id":151,"name":"Denver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0"/>
      <c r="AK66" s="50"/>
      <c r="AL66" s="50"/>
      <c r="AM66" s="177" t="str">
        <f t="shared" si="18"/>
        <v>start /low /b %USERPROFILE%\Documents\GitHub\eaglep3\Utilities\DownloadLogsFromS3.py --loco 4032 --day 2017-01-19</v>
      </c>
      <c r="AN66" s="186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"%USERPROFILE%\AppData\Local\Temp\OnboardLogs"\RTDC4032\*4032*20170119* | grep -SE "(Enforcement Action)|(\[TIMEOUT)|(CHR.+\|PRM\|1\|D.+(SWITCH|SIGNAL).+UNKNOWN)" - &gt;&gt; 2017-01-19-UncaughtWiMAX.txt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4" t="s">
        <v>579</v>
      </c>
      <c r="B67" s="7">
        <v>4044</v>
      </c>
      <c r="C67" s="22" t="s">
        <v>196</v>
      </c>
      <c r="D67" s="22" t="s">
        <v>297</v>
      </c>
      <c r="E67" s="13">
        <v>42754.433935185189</v>
      </c>
      <c r="F67" s="13">
        <v>42754.437743055554</v>
      </c>
      <c r="G67" s="7">
        <v>1</v>
      </c>
      <c r="H67" s="22" t="s">
        <v>740</v>
      </c>
      <c r="I67" s="13">
        <v>42754.465254629627</v>
      </c>
      <c r="J67" s="7">
        <v>5</v>
      </c>
      <c r="K67" s="105" t="str">
        <f t="shared" si="21"/>
        <v>4043/4044</v>
      </c>
      <c r="L67" s="22" t="str">
        <f>VLOOKUP(A67,'Trips&amp;Operators'!$C$1:$G$99999,5,FALSE)</f>
        <v>SHOOK JOHN</v>
      </c>
      <c r="M67" s="6">
        <f t="shared" si="22"/>
        <v>2.7511574073287193E-2</v>
      </c>
      <c r="N67" s="7">
        <f t="shared" si="31"/>
        <v>39.616666665533558</v>
      </c>
      <c r="O67" s="7"/>
      <c r="P67" s="7"/>
      <c r="Q67" s="23"/>
      <c r="R67" s="23"/>
      <c r="S67" s="32">
        <f t="shared" si="23"/>
        <v>1</v>
      </c>
      <c r="T67" s="47" t="str">
        <f t="shared" si="24"/>
        <v>NorthBound</v>
      </c>
      <c r="U67" s="164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4" t="str">
        <f t="shared" si="4"/>
        <v>https://d0f6bd738d7f1b3e5a7ca70fe4ff75f0.us-east-1.aws.found.io/app/kibana#/discover/Steve-Slow-Train-Analysis-(2080s-and-2083s)?_g=(refreshInterval:(display:Off,pause:!f,section:0,value:0),time:(from:'2017-01-19T09:24:52-0700',mode:absolute,to:'2017-01-19T12:09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7" s="49" t="str">
        <f t="shared" si="25"/>
        <v>N</v>
      </c>
      <c r="X67" s="170">
        <f t="shared" si="20"/>
        <v>1</v>
      </c>
      <c r="Y67" s="64">
        <f t="shared" si="26"/>
        <v>4.5999999999999999E-2</v>
      </c>
      <c r="Z67" s="64">
        <f t="shared" si="27"/>
        <v>23.3278</v>
      </c>
      <c r="AA67" s="64">
        <f t="shared" si="28"/>
        <v>23.2818</v>
      </c>
      <c r="AB67" s="61" t="e">
        <f>VLOOKUP(A67,Enforcements!$C$7:$K$15,8,0)</f>
        <v>#N/A</v>
      </c>
      <c r="AC67" s="57" t="e">
        <f>VLOOKUP(A67,Enforcements!$C$7:$E$15,3,0)</f>
        <v>#N/A</v>
      </c>
      <c r="AD67" s="58" t="str">
        <f t="shared" si="29"/>
        <v>0155-19</v>
      </c>
      <c r="AE67" s="87" t="str">
        <f t="shared" si="10"/>
        <v>aws s3 cp s3://rtdc.mdm.uploadarchive.raw/RTDC4044/ "%USERPROFILE%\AppData\Local\Temp\OnboardLogs"\RTDC4044\2017-01-19 --exclude "*" --recursive --include "*20170119*" &amp; "%USERPROFILE%\Documents\GitHub\mrs-test-scripts\Headless Mode &amp; Sideloading\WalkAndUnGZ.bat" "%USERPROFILE%\AppData\Local\Temp\OnboardLogs"\RTDC4044\2017-01-19 &amp; aws s3 cp s3://rtdc.mdm.uploadarchive.raw/RTDC4044/ "%USERPROFILE%\AppData\Local\Temp\OnboardLogs"\RTDC4044\2017-01-20 --exclude "*" --recursive --include "*20170120*" &amp; "%USERPROFILE%\Documents\GitHub\mrs-test-scripts\Headless Mode &amp; Sideloading\WalkAndUnGZ.bat" "%USERPROFILE%\AppData\Local\Temp\OnboardLogs"\RTDC4044\2017-01-20</v>
      </c>
      <c r="AF67" s="84" t="str">
        <f t="shared" si="11"/>
        <v>"C:\Program Files (x86)\AstroGrep\AstroGrep.exe" /spath="%USERPROFILE%\AppData\Local\Temp\OnboardLogs" /stypes="app*4044*20170119*" /stext=" 18:.+((SYSTEM_STATE.+slice.+state.+changed )|(ment ac)|(multiple cpu faults)|(system.+state.+changed )|(\[timeout)|(PRM\|1\|D)|(kpr)|(kdp)|(\|lc)|(penalty))" /e /r /s</v>
      </c>
      <c r="AG67" s="1" t="str">
        <f t="shared" si="30"/>
        <v>EC</v>
      </c>
      <c r="AH67" s="88" t="str">
        <f t="shared" si="16"/>
        <v>"%USERPROFILE%\Documents\GitHub\eaglep3\Utilities\RefineRTDCRunTimes.py" --tripid 155-19 --locoid 4044 --swversion DE.1.0.8.0 --startMP 204:460 --initTime 2017-01-19T10:24:52 --startdatetime 2017-01-19T10:30:21 --delay 1 --endMP 204:233278 --enddatetime 2017-01-19T11:09:58 --enforcementcount 5 &gt;&gt;C:\Users\stu\Documents\GitHub\eaglep3-reporting\EC\2017-01-19-refined-times.txt</v>
      </c>
      <c r="AI67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{"issue":{"subject":"","project_id":79,"tracker_id":40,"status_id":1,"priority_id":2,"assigned_to_id":23,"start_date":"2017-01-19","description":"","custom_fields":[{"id":1,"name":"Subdivision","value":"EC"},{"id":4,"name":"Milepost","value":"23.3278"},{"id":17,"name":"Train ID","value":"155-19"},{"id":16,"name":"Locomotive ID","value":"4044"},{"id":130,"name":"Impact","value":""},{"id":150,"name":"Time of Event (Mountain Time)","value":"11:09:58"},{"id":151,"name":"Denver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0"/>
      <c r="AK67" s="50"/>
      <c r="AL67" s="50"/>
      <c r="AM67" s="177" t="str">
        <f t="shared" si="18"/>
        <v>start /low /b %USERPROFILE%\Documents\GitHub\eaglep3\Utilities\DownloadLogsFromS3.py --loco 4044 --day 2017-01-19</v>
      </c>
      <c r="AN67" s="186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"%USERPROFILE%\AppData\Local\Temp\OnboardLogs"\RTDC4044\*4044*20170119* | grep -SE "(Enforcement Action)|(\[TIMEOUT)|(CHR.+\|PRM\|1\|D.+(SWITCH|SIGNAL).+UNKNOWN)" - &gt;&gt; 2017-01-19-UncaughtWiMAX.txt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4" t="s">
        <v>592</v>
      </c>
      <c r="B68" s="7">
        <v>4043</v>
      </c>
      <c r="C68" s="22" t="s">
        <v>196</v>
      </c>
      <c r="D68" s="22" t="s">
        <v>372</v>
      </c>
      <c r="E68" s="13">
        <v>42754.467083333337</v>
      </c>
      <c r="F68" s="13">
        <v>42754.476597222223</v>
      </c>
      <c r="G68" s="7">
        <v>1</v>
      </c>
      <c r="H68" s="22" t="s">
        <v>227</v>
      </c>
      <c r="I68" s="13">
        <v>42754.50513888889</v>
      </c>
      <c r="J68" s="7">
        <v>5</v>
      </c>
      <c r="K68" s="105" t="str">
        <f t="shared" si="21"/>
        <v>4043/4044</v>
      </c>
      <c r="L68" s="22" t="str">
        <f>VLOOKUP(A68,'Trips&amp;Operators'!$C$1:$G$99999,5,FALSE)</f>
        <v>SHOOK JOHN</v>
      </c>
      <c r="M68" s="6">
        <f t="shared" si="22"/>
        <v>2.8541666666569654E-2</v>
      </c>
      <c r="N68" s="7">
        <f t="shared" si="31"/>
        <v>41.099999999860302</v>
      </c>
      <c r="O68" s="7"/>
      <c r="P68" s="7"/>
      <c r="Q68" s="23"/>
      <c r="R68" s="23"/>
      <c r="S68" s="32">
        <f t="shared" si="23"/>
        <v>1</v>
      </c>
      <c r="T68" s="47" t="str">
        <f t="shared" si="24"/>
        <v>Southbound</v>
      </c>
      <c r="U68" s="164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4" t="str">
        <f t="shared" si="4"/>
        <v>https://d0f6bd738d7f1b3e5a7ca70fe4ff75f0.us-east-1.aws.found.io/app/kibana#/discover/Steve-Slow-Train-Analysis-(2080s-and-2083s)?_g=(refreshInterval:(display:Off,pause:!f,section:0,value:0),time:(from:'2017-01-19T10:12:36-0700',mode:absolute,to:'2017-01-19T13:07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8" s="49" t="str">
        <f t="shared" si="25"/>
        <v>N</v>
      </c>
      <c r="X68" s="170">
        <f t="shared" si="20"/>
        <v>1</v>
      </c>
      <c r="Y68" s="64">
        <f t="shared" si="26"/>
        <v>23.296099999999999</v>
      </c>
      <c r="Z68" s="64">
        <f t="shared" si="27"/>
        <v>1.5599999999999999E-2</v>
      </c>
      <c r="AA68" s="64">
        <f t="shared" si="28"/>
        <v>23.2805</v>
      </c>
      <c r="AB68" s="61" t="e">
        <f>VLOOKUP(A68,Enforcements!$C$7:$K$15,8,0)</f>
        <v>#N/A</v>
      </c>
      <c r="AC68" s="57" t="e">
        <f>VLOOKUP(A68,Enforcements!$C$7:$E$15,3,0)</f>
        <v>#N/A</v>
      </c>
      <c r="AD68" s="58" t="str">
        <f t="shared" si="29"/>
        <v>0156-19</v>
      </c>
      <c r="AE68" s="87" t="str">
        <f t="shared" si="10"/>
        <v>aws s3 cp s3://rtdc.mdm.uploadarchive.raw/RTDC4043/ "%USERPROFILE%\AppData\Local\Temp\OnboardLogs"\RTDC4043\2017-01-19 --exclude "*" --recursive --include "*20170119*" &amp; "%USERPROFILE%\Documents\GitHub\mrs-test-scripts\Headless Mode &amp; Sideloading\WalkAndUnGZ.bat" "%USERPROFILE%\AppData\Local\Temp\OnboardLogs"\RTDC4043\2017-01-19 &amp; aws s3 cp s3://rtdc.mdm.uploadarchive.raw/RTDC4043/ "%USERPROFILE%\AppData\Local\Temp\OnboardLogs"\RTDC4043\2017-01-20 --exclude "*" --recursive --include "*20170120*" &amp; "%USERPROFILE%\Documents\GitHub\mrs-test-scripts\Headless Mode &amp; Sideloading\WalkAndUnGZ.bat" "%USERPROFILE%\AppData\Local\Temp\OnboardLogs"\RTDC4043\2017-01-20</v>
      </c>
      <c r="AF68" s="84" t="str">
        <f t="shared" si="11"/>
        <v>"C:\Program Files (x86)\AstroGrep\AstroGrep.exe" /spath="%USERPROFILE%\AppData\Local\Temp\OnboardLogs" /stypes="app*4043*20170119*" /stext=" 19:.+((SYSTEM_STATE.+slice.+state.+changed )|(ment ac)|(multiple cpu faults)|(system.+state.+changed )|(\[timeout)|(PRM\|1\|D)|(kpr)|(kdp)|(\|lc)|(penalty))" /e /r /s</v>
      </c>
      <c r="AG68" s="1" t="str">
        <f t="shared" si="30"/>
        <v>EC</v>
      </c>
      <c r="AH68" s="88" t="str">
        <f t="shared" si="16"/>
        <v>"%USERPROFILE%\Documents\GitHub\eaglep3\Utilities\RefineRTDCRunTimes.py" --tripid 156-19 --locoid 4043 --swversion DE.1.0.8.0 --startMP 204:232961 --initTime 2017-01-19T11:12:36 --startdatetime 2017-01-19T11:26:18 --delay 1 --endMP 204:156 --enddatetime 2017-01-19T12:07:24 --enforcementcount 5 &gt;&gt;C:\Users\stu\Documents\GitHub\eaglep3-reporting\EC\2017-01-19-refined-times.txt</v>
      </c>
      <c r="AI68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{"issue":{"subject":"","project_id":79,"tracker_id":40,"status_id":1,"priority_id":2,"assigned_to_id":23,"start_date":"2017-01-19","description":"","custom_fields":[{"id":1,"name":"Subdivision","value":"EC"},{"id":4,"name":"Milepost","value":"0.0156"},{"id":17,"name":"Train ID","value":"156-19"},{"id":16,"name":"Locomotive ID","value":"4043"},{"id":130,"name":"Impact","value":""},{"id":150,"name":"Time of Event (Mountain Time)","value":"12:07:24"},{"id":151,"name":"Denver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0"/>
      <c r="AK68" s="50"/>
      <c r="AL68" s="50"/>
      <c r="AM68" s="177" t="str">
        <f t="shared" si="18"/>
        <v>start /low /b %USERPROFILE%\Documents\GitHub\eaglep3\Utilities\DownloadLogsFromS3.py --loco 4043 --day 2017-01-19</v>
      </c>
      <c r="AN68" s="186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"%USERPROFILE%\AppData\Local\Temp\OnboardLogs"\RTDC4043\*4043*20170119* | grep -SE "(Enforcement Action)|(\[TIMEOUT)|(CHR.+\|PRM\|1\|D.+(SWITCH|SIGNAL).+UNKNOWN)" - &gt;&gt; 2017-01-19-UncaughtWiMAX.txt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4" t="s">
        <v>582</v>
      </c>
      <c r="B69" s="7">
        <v>4020</v>
      </c>
      <c r="C69" s="22" t="s">
        <v>196</v>
      </c>
      <c r="D69" s="22" t="s">
        <v>187</v>
      </c>
      <c r="E69" s="13">
        <v>42754.445104166669</v>
      </c>
      <c r="F69" s="13">
        <v>42754.448148148149</v>
      </c>
      <c r="G69" s="7">
        <v>1</v>
      </c>
      <c r="H69" s="22" t="s">
        <v>285</v>
      </c>
      <c r="I69" s="13">
        <v>42754.473460648151</v>
      </c>
      <c r="J69" s="7">
        <v>5</v>
      </c>
      <c r="K69" s="105" t="str">
        <f t="shared" si="21"/>
        <v>4019/4020</v>
      </c>
      <c r="L69" s="22" t="str">
        <f>VLOOKUP(A69,'Trips&amp;Operators'!$C$1:$G$99999,5,FALSE)</f>
        <v>STARKS ANGELINA</v>
      </c>
      <c r="M69" s="6">
        <f t="shared" si="22"/>
        <v>2.531250000174623E-2</v>
      </c>
      <c r="N69" s="7">
        <f t="shared" si="31"/>
        <v>36.450000002514571</v>
      </c>
      <c r="O69" s="7"/>
      <c r="P69" s="7"/>
      <c r="Q69" s="23"/>
      <c r="R69" s="23"/>
      <c r="S69" s="32">
        <f t="shared" si="23"/>
        <v>1</v>
      </c>
      <c r="T69" s="47" t="str">
        <f t="shared" si="24"/>
        <v>NorthBound</v>
      </c>
      <c r="U69" s="164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4" t="str">
        <f t="shared" si="4"/>
        <v>https://d0f6bd738d7f1b3e5a7ca70fe4ff75f0.us-east-1.aws.found.io/app/kibana#/discover/Steve-Slow-Train-Analysis-(2080s-and-2083s)?_g=(refreshInterval:(display:Off,pause:!f,section:0,value:0),time:(from:'2017-01-19T09:40:57-0700',mode:absolute,to:'2017-01-19T12:21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69" s="49" t="str">
        <f t="shared" si="25"/>
        <v>N</v>
      </c>
      <c r="X69" s="170">
        <f t="shared" si="20"/>
        <v>1</v>
      </c>
      <c r="Y69" s="64">
        <f t="shared" si="26"/>
        <v>4.4699999999999997E-2</v>
      </c>
      <c r="Z69" s="64">
        <f t="shared" si="27"/>
        <v>23.3308</v>
      </c>
      <c r="AA69" s="64">
        <f t="shared" si="28"/>
        <v>23.286100000000001</v>
      </c>
      <c r="AB69" s="61" t="e">
        <f>VLOOKUP(A69,Enforcements!$C$7:$K$15,8,0)</f>
        <v>#N/A</v>
      </c>
      <c r="AC69" s="57" t="e">
        <f>VLOOKUP(A69,Enforcements!$C$7:$E$15,3,0)</f>
        <v>#N/A</v>
      </c>
      <c r="AD69" s="58" t="str">
        <f t="shared" si="29"/>
        <v>0157-19</v>
      </c>
      <c r="AE69" s="87" t="str">
        <f t="shared" si="10"/>
        <v>aws s3 cp s3://rtdc.mdm.uploadarchive.raw/RTDC4020/ "%USERPROFILE%\AppData\Local\Temp\OnboardLogs"\RTDC4020\2017-01-19 --exclude "*" --recursive --include "*20170119*" &amp; "%USERPROFILE%\Documents\GitHub\mrs-test-scripts\Headless Mode &amp; Sideloading\WalkAndUnGZ.bat" "%USERPROFILE%\AppData\Local\Temp\OnboardLogs"\RTDC4020\2017-01-19 &amp; aws s3 cp s3://rtdc.mdm.uploadarchive.raw/RTDC4020/ "%USERPROFILE%\AppData\Local\Temp\OnboardLogs"\RTDC4020\2017-01-20 --exclude "*" --recursive --include "*20170120*" &amp; "%USERPROFILE%\Documents\GitHub\mrs-test-scripts\Headless Mode &amp; Sideloading\WalkAndUnGZ.bat" "%USERPROFILE%\AppData\Local\Temp\OnboardLogs"\RTDC4020\2017-01-20</v>
      </c>
      <c r="AF69" s="84" t="str">
        <f t="shared" si="11"/>
        <v>"C:\Program Files (x86)\AstroGrep\AstroGrep.exe" /spath="%USERPROFILE%\AppData\Local\Temp\OnboardLogs" /stypes="app*4020*20170119*" /stext=" 18:.+((SYSTEM_STATE.+slice.+state.+changed )|(ment ac)|(multiple cpu faults)|(system.+state.+changed )|(\[timeout)|(PRM\|1\|D)|(kpr)|(kdp)|(\|lc)|(penalty))" /e /r /s</v>
      </c>
      <c r="AG69" s="1" t="str">
        <f t="shared" si="30"/>
        <v>EC</v>
      </c>
      <c r="AH69" s="88" t="str">
        <f t="shared" si="16"/>
        <v>"%USERPROFILE%\Documents\GitHub\eaglep3\Utilities\RefineRTDCRunTimes.py" --tripid 157-19 --locoid 4020 --swversion DE.1.0.8.0 --startMP 204:447 --initTime 2017-01-19T10:40:57 --startdatetime 2017-01-19T10:45:20 --delay 1 --endMP 204:233308 --enddatetime 2017-01-19T11:21:47 --enforcementcount 5 &gt;&gt;C:\Users\stu\Documents\GitHub\eaglep3-reporting\EC\2017-01-19-refined-times.txt</v>
      </c>
      <c r="AI69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{"issue":{"subject":"","project_id":79,"tracker_id":40,"status_id":1,"priority_id":2,"assigned_to_id":23,"start_date":"2017-01-19","description":"","custom_fields":[{"id":1,"name":"Subdivision","value":"EC"},{"id":4,"name":"Milepost","value":"23.3308"},{"id":17,"name":"Train ID","value":"157-19"},{"id":16,"name":"Locomotive ID","value":"4020"},{"id":130,"name":"Impact","value":""},{"id":150,"name":"Time of Event (Mountain Time)","value":"11:21:47"},{"id":151,"name":"Denver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0"/>
      <c r="AK69" s="50"/>
      <c r="AL69" s="50"/>
      <c r="AM69" s="177" t="str">
        <f t="shared" si="18"/>
        <v>start /low /b %USERPROFILE%\Documents\GitHub\eaglep3\Utilities\DownloadLogsFromS3.py --loco 4020 --day 2017-01-19</v>
      </c>
      <c r="AN69" s="186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"%USERPROFILE%\AppData\Local\Temp\OnboardLogs"\RTDC4020\*4020*20170119* | grep -SE "(Enforcement Action)|(\[TIMEOUT)|(CHR.+\|PRM\|1\|D.+(SWITCH|SIGNAL).+UNKNOWN)" - &gt;&gt; 2017-01-19-UncaughtWiMAX.txt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4" t="s">
        <v>487</v>
      </c>
      <c r="B70" s="7">
        <v>4019</v>
      </c>
      <c r="C70" s="22" t="s">
        <v>196</v>
      </c>
      <c r="D70" s="22" t="s">
        <v>734</v>
      </c>
      <c r="E70" s="13">
        <v>42754.485474537039</v>
      </c>
      <c r="F70" s="13">
        <v>42754.487442129626</v>
      </c>
      <c r="G70" s="7">
        <v>1</v>
      </c>
      <c r="H70" s="22" t="s">
        <v>200</v>
      </c>
      <c r="I70" s="13">
        <v>42754.514050925929</v>
      </c>
      <c r="J70" s="7">
        <v>5</v>
      </c>
      <c r="K70" s="105" t="str">
        <f t="shared" si="21"/>
        <v>4019/4020</v>
      </c>
      <c r="L70" s="22" t="str">
        <f>VLOOKUP(A70,'Trips&amp;Operators'!$C$1:$G$99999,5,FALSE)</f>
        <v>STARKS ANGELINA</v>
      </c>
      <c r="M70" s="6">
        <f t="shared" si="22"/>
        <v>2.6608796302753035E-2</v>
      </c>
      <c r="N70" s="7">
        <f t="shared" si="31"/>
        <v>38.31666667596437</v>
      </c>
      <c r="O70" s="7"/>
      <c r="P70" s="7"/>
      <c r="Q70" s="23"/>
      <c r="R70" s="23"/>
      <c r="S70" s="32">
        <f t="shared" si="23"/>
        <v>1</v>
      </c>
      <c r="T70" s="47" t="str">
        <f t="shared" si="24"/>
        <v>Southbound</v>
      </c>
      <c r="U70" s="164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4" t="str">
        <f t="shared" si="4"/>
        <v>https://d0f6bd738d7f1b3e5a7ca70fe4ff75f0.us-east-1.aws.found.io/app/kibana#/discover/Steve-Slow-Train-Analysis-(2080s-and-2083s)?_g=(refreshInterval:(display:Off,pause:!f,section:0,value:0),time:(from:'2017-01-19T10:39:05-0700',mode:absolute,to:'2017-01-19T13:20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0" s="49" t="str">
        <f t="shared" si="25"/>
        <v>N</v>
      </c>
      <c r="X70" s="170">
        <f t="shared" si="20"/>
        <v>1</v>
      </c>
      <c r="Y70" s="64">
        <f t="shared" si="26"/>
        <v>23.2989</v>
      </c>
      <c r="Z70" s="64">
        <f t="shared" si="27"/>
        <v>1.4999999999999999E-2</v>
      </c>
      <c r="AA70" s="64">
        <f t="shared" si="28"/>
        <v>23.283899999999999</v>
      </c>
      <c r="AB70" s="61" t="str">
        <f>VLOOKUP(A70,Enforcements!$C$7:$K$15,8,0)</f>
        <v>Speed (6)</v>
      </c>
      <c r="AC70" s="57" t="str">
        <f>VLOOKUP(A70,Enforcements!$C$7:$E$15,3,0)</f>
        <v>PERMANENT SPEED RESTRICTION</v>
      </c>
      <c r="AD70" s="58" t="str">
        <f t="shared" si="29"/>
        <v>0158-19</v>
      </c>
      <c r="AE70" s="87" t="str">
        <f t="shared" si="10"/>
        <v>aws s3 cp s3://rtdc.mdm.uploadarchive.raw/RTDC4019/ "%USERPROFILE%\AppData\Local\Temp\OnboardLogs"\RTDC4019\2017-01-19 --exclude "*" --recursive --include "*20170119*" &amp; "%USERPROFILE%\Documents\GitHub\mrs-test-scripts\Headless Mode &amp; Sideloading\WalkAndUnGZ.bat" "%USERPROFILE%\AppData\Local\Temp\OnboardLogs"\RTDC4019\2017-01-19 &amp; aws s3 cp s3://rtdc.mdm.uploadarchive.raw/RTDC4019/ "%USERPROFILE%\AppData\Local\Temp\OnboardLogs"\RTDC4019\2017-01-20 --exclude "*" --recursive --include "*20170120*" &amp; "%USERPROFILE%\Documents\GitHub\mrs-test-scripts\Headless Mode &amp; Sideloading\WalkAndUnGZ.bat" "%USERPROFILE%\AppData\Local\Temp\OnboardLogs"\RTDC4019\2017-01-20</v>
      </c>
      <c r="AF70" s="84" t="str">
        <f t="shared" si="11"/>
        <v>"C:\Program Files (x86)\AstroGrep\AstroGrep.exe" /spath="%USERPROFILE%\AppData\Local\Temp\OnboardLogs" /stypes="app*4019*20170119*" /stext=" 19:.+((SYSTEM_STATE.+slice.+state.+changed )|(ment ac)|(multiple cpu faults)|(system.+state.+changed )|(\[timeout)|(PRM\|1\|D)|(kpr)|(kdp)|(\|lc)|(penalty))" /e /r /s</v>
      </c>
      <c r="AG70" s="1" t="str">
        <f t="shared" si="30"/>
        <v>EC</v>
      </c>
      <c r="AH70" s="88" t="str">
        <f t="shared" si="16"/>
        <v>"%USERPROFILE%\Documents\GitHub\eaglep3\Utilities\RefineRTDCRunTimes.py" --tripid 158-19 --locoid 4019 --swversion DE.1.0.8.0 --startMP 204:232989 --initTime 2017-01-19T11:39:05 --startdatetime 2017-01-19T11:41:55 --delay 1 --endMP 204:150 --enddatetime 2017-01-19T12:20:14 --enforcementcount 5 &gt;&gt;C:\Users\stu\Documents\GitHub\eaglep3-reporting\EC\2017-01-19-refined-times.txt</v>
      </c>
      <c r="AI70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{"issue":{"subject":"","project_id":79,"tracker_id":40,"status_id":1,"priority_id":2,"assigned_to_id":23,"start_date":"2017-01-19","description":"","custom_fields":[{"id":1,"name":"Subdivision","value":"EC"},{"id":4,"name":"Milepost","value":"0.015"},{"id":17,"name":"Train ID","value":"158-19"},{"id":16,"name":"Locomotive ID","value":"4019"},{"id":130,"name":"Impact","value":""},{"id":150,"name":"Time of Event (Mountain Time)","value":"12:20:14"},{"id":151,"name":"Denver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0"/>
      <c r="AK70" s="50"/>
      <c r="AL70" s="50"/>
      <c r="AM70" s="177" t="str">
        <f t="shared" si="18"/>
        <v>start /low /b %USERPROFILE%\Documents\GitHub\eaglep3\Utilities\DownloadLogsFromS3.py --loco 4019 --day 2017-01-19</v>
      </c>
      <c r="AN70" s="186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"%USERPROFILE%\AppData\Local\Temp\OnboardLogs"\RTDC4019\*4019*20170119* | grep -SE "(Enforcement Action)|(\[TIMEOUT)|(CHR.+\|PRM\|1\|D.+(SWITCH|SIGNAL).+UNKNOWN)" - &gt;&gt; 2017-01-19-UncaughtWiMAX.txt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4" t="s">
        <v>586</v>
      </c>
      <c r="B71" s="7">
        <v>4016</v>
      </c>
      <c r="C71" s="22" t="s">
        <v>196</v>
      </c>
      <c r="D71" s="22" t="s">
        <v>255</v>
      </c>
      <c r="E71" s="13">
        <v>42754.455451388887</v>
      </c>
      <c r="F71" s="13">
        <v>42754.458668981482</v>
      </c>
      <c r="G71" s="7">
        <v>1</v>
      </c>
      <c r="H71" s="22" t="s">
        <v>304</v>
      </c>
      <c r="I71" s="13">
        <v>42754.483888888892</v>
      </c>
      <c r="J71" s="7">
        <v>5</v>
      </c>
      <c r="K71" s="105" t="str">
        <f t="shared" si="21"/>
        <v>4015/4016</v>
      </c>
      <c r="L71" s="22" t="str">
        <f>VLOOKUP(A71,'Trips&amp;Operators'!$C$1:$G$99999,5,FALSE)</f>
        <v>DE LA ROSA ALEX</v>
      </c>
      <c r="M71" s="6">
        <f t="shared" si="22"/>
        <v>2.5219907409336884E-2</v>
      </c>
      <c r="N71" s="7">
        <f t="shared" si="31"/>
        <v>36.316666669445112</v>
      </c>
      <c r="O71" s="7"/>
      <c r="P71" s="7"/>
      <c r="Q71" s="23"/>
      <c r="R71" s="23"/>
      <c r="S71" s="32">
        <f t="shared" si="23"/>
        <v>1</v>
      </c>
      <c r="T71" s="47" t="str">
        <f t="shared" si="24"/>
        <v>NorthBound</v>
      </c>
      <c r="U71" s="164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4" t="str">
        <f t="shared" si="4"/>
        <v>https://d0f6bd738d7f1b3e5a7ca70fe4ff75f0.us-east-1.aws.found.io/app/kibana#/discover/Steve-Slow-Train-Analysis-(2080s-and-2083s)?_g=(refreshInterval:(display:Off,pause:!f,section:0,value:0),time:(from:'2017-01-19T09:55:51-0700',mode:absolute,to:'2017-01-19T12:36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1" s="49" t="str">
        <f t="shared" si="25"/>
        <v>N</v>
      </c>
      <c r="X71" s="170">
        <f t="shared" si="20"/>
        <v>1</v>
      </c>
      <c r="Y71" s="64">
        <f t="shared" si="26"/>
        <v>4.4200000000000003E-2</v>
      </c>
      <c r="Z71" s="64">
        <f t="shared" si="27"/>
        <v>23.3307</v>
      </c>
      <c r="AA71" s="64">
        <f t="shared" si="28"/>
        <v>23.2865</v>
      </c>
      <c r="AB71" s="61" t="e">
        <f>VLOOKUP(A71,Enforcements!$C$7:$K$15,8,0)</f>
        <v>#N/A</v>
      </c>
      <c r="AC71" s="57" t="e">
        <f>VLOOKUP(A71,Enforcements!$C$7:$E$15,3,0)</f>
        <v>#N/A</v>
      </c>
      <c r="AD71" s="58" t="str">
        <f t="shared" si="29"/>
        <v>0159-19</v>
      </c>
      <c r="AE71" s="87" t="str">
        <f t="shared" si="10"/>
        <v>aws s3 cp s3://rtdc.mdm.uploadarchive.raw/RTDC4016/ "%USERPROFILE%\AppData\Local\Temp\OnboardLogs"\RTDC4016\2017-01-19 --exclude "*" --recursive --include "*20170119*" &amp; "%USERPROFILE%\Documents\GitHub\mrs-test-scripts\Headless Mode &amp; Sideloading\WalkAndUnGZ.bat" "%USERPROFILE%\AppData\Local\Temp\OnboardLogs"\RTDC4016\2017-01-19 &amp; aws s3 cp s3://rtdc.mdm.uploadarchive.raw/RTDC4016/ "%USERPROFILE%\AppData\Local\Temp\OnboardLogs"\RTDC4016\2017-01-20 --exclude "*" --recursive --include "*20170120*" &amp; "%USERPROFILE%\Documents\GitHub\mrs-test-scripts\Headless Mode &amp; Sideloading\WalkAndUnGZ.bat" "%USERPROFILE%\AppData\Local\Temp\OnboardLogs"\RTDC4016\2017-01-20</v>
      </c>
      <c r="AF71" s="84" t="str">
        <f t="shared" si="11"/>
        <v>"C:\Program Files (x86)\AstroGrep\AstroGrep.exe" /spath="%USERPROFILE%\AppData\Local\Temp\OnboardLogs" /stypes="app*4016*20170119*" /stext=" 18:.+((SYSTEM_STATE.+slice.+state.+changed )|(ment ac)|(multiple cpu faults)|(system.+state.+changed )|(\[timeout)|(PRM\|1\|D)|(kpr)|(kdp)|(\|lc)|(penalty))" /e /r /s</v>
      </c>
      <c r="AG71" s="1" t="str">
        <f t="shared" si="30"/>
        <v>EC</v>
      </c>
      <c r="AH71" s="88" t="str">
        <f t="shared" si="16"/>
        <v>"%USERPROFILE%\Documents\GitHub\eaglep3\Utilities\RefineRTDCRunTimes.py" --tripid 159-19 --locoid 4016 --swversion DE.1.0.8.0 --startMP 204:442 --initTime 2017-01-19T10:55:51 --startdatetime 2017-01-19T11:00:29 --delay 1 --endMP 204:233307 --enddatetime 2017-01-19T11:36:48 --enforcementcount 5 &gt;&gt;C:\Users\stu\Documents\GitHub\eaglep3-reporting\EC\2017-01-19-refined-times.txt</v>
      </c>
      <c r="AI71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{"issue":{"subject":"","project_id":79,"tracker_id":40,"status_id":1,"priority_id":2,"assigned_to_id":23,"start_date":"2017-01-19","description":"","custom_fields":[{"id":1,"name":"Subdivision","value":"EC"},{"id":4,"name":"Milepost","value":"23.3307"},{"id":17,"name":"Train ID","value":"159-19"},{"id":16,"name":"Locomotive ID","value":"4016"},{"id":130,"name":"Impact","value":""},{"id":150,"name":"Time of Event (Mountain Time)","value":"11:36:48"},{"id":151,"name":"Denver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0"/>
      <c r="AK71" s="50"/>
      <c r="AL71" s="50"/>
      <c r="AM71" s="177" t="str">
        <f t="shared" si="18"/>
        <v>start /low /b %USERPROFILE%\Documents\GitHub\eaglep3\Utilities\DownloadLogsFromS3.py --loco 4016 --day 2017-01-19</v>
      </c>
      <c r="AN71" s="186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"%USERPROFILE%\AppData\Local\Temp\OnboardLogs"\RTDC4016\*4016*20170119* | grep -SE "(Enforcement Action)|(\[TIMEOUT)|(CHR.+\|PRM\|1\|D.+(SWITCH|SIGNAL).+UNKNOWN)" - &gt;&gt; 2017-01-19-UncaughtWiMAX.txt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4" t="s">
        <v>599</v>
      </c>
      <c r="B72" s="7">
        <v>4015</v>
      </c>
      <c r="C72" s="22" t="s">
        <v>196</v>
      </c>
      <c r="D72" s="22" t="s">
        <v>222</v>
      </c>
      <c r="E72" s="13">
        <v>42754.490810185183</v>
      </c>
      <c r="F72" s="13">
        <v>42754.497453703705</v>
      </c>
      <c r="G72" s="7">
        <v>1</v>
      </c>
      <c r="H72" s="22" t="s">
        <v>186</v>
      </c>
      <c r="I72" s="13">
        <v>42754.524247685185</v>
      </c>
      <c r="J72" s="7">
        <v>5</v>
      </c>
      <c r="K72" s="105" t="str">
        <f t="shared" si="21"/>
        <v>4015/4016</v>
      </c>
      <c r="L72" s="22" t="str">
        <f>VLOOKUP(A72,'Trips&amp;Operators'!$C$1:$G$99999,5,FALSE)</f>
        <v>DE LA ROSA ALEX</v>
      </c>
      <c r="M72" s="6">
        <f t="shared" si="22"/>
        <v>2.679398148029577E-2</v>
      </c>
      <c r="N72" s="7">
        <f t="shared" si="31"/>
        <v>38.583333331625909</v>
      </c>
      <c r="O72" s="7"/>
      <c r="P72" s="7"/>
      <c r="Q72" s="23"/>
      <c r="R72" s="23"/>
      <c r="S72" s="32">
        <f t="shared" si="23"/>
        <v>1</v>
      </c>
      <c r="T72" s="47" t="str">
        <f t="shared" si="24"/>
        <v>Southbound</v>
      </c>
      <c r="U72" s="164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4" t="str">
        <f t="shared" si="4"/>
        <v>https://d0f6bd738d7f1b3e5a7ca70fe4ff75f0.us-east-1.aws.found.io/app/kibana#/discover/Steve-Slow-Train-Analysis-(2080s-and-2083s)?_g=(refreshInterval:(display:Off,pause:!f,section:0,value:0),time:(from:'2017-01-19T10:46:46-0700',mode:absolute,to:'2017-01-19T13:34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2" s="49" t="str">
        <f t="shared" si="25"/>
        <v>N</v>
      </c>
      <c r="X72" s="170">
        <f t="shared" si="20"/>
        <v>1</v>
      </c>
      <c r="Y72" s="64">
        <f t="shared" si="26"/>
        <v>23.2986</v>
      </c>
      <c r="Z72" s="64">
        <f t="shared" si="27"/>
        <v>1.49E-2</v>
      </c>
      <c r="AA72" s="64">
        <f t="shared" si="28"/>
        <v>23.2837</v>
      </c>
      <c r="AB72" s="61" t="e">
        <f>VLOOKUP(A72,Enforcements!$C$7:$K$15,8,0)</f>
        <v>#N/A</v>
      </c>
      <c r="AC72" s="57" t="e">
        <f>VLOOKUP(A72,Enforcements!$C$7:$E$15,3,0)</f>
        <v>#N/A</v>
      </c>
      <c r="AD72" s="58" t="str">
        <f t="shared" si="29"/>
        <v>0160-19</v>
      </c>
      <c r="AE72" s="87" t="str">
        <f t="shared" si="10"/>
        <v>aws s3 cp s3://rtdc.mdm.uploadarchive.raw/RTDC4015/ "%USERPROFILE%\AppData\Local\Temp\OnboardLogs"\RTDC4015\2017-01-19 --exclude "*" --recursive --include "*20170119*" &amp; "%USERPROFILE%\Documents\GitHub\mrs-test-scripts\Headless Mode &amp; Sideloading\WalkAndUnGZ.bat" "%USERPROFILE%\AppData\Local\Temp\OnboardLogs"\RTDC4015\2017-01-19 &amp; aws s3 cp s3://rtdc.mdm.uploadarchive.raw/RTDC4015/ "%USERPROFILE%\AppData\Local\Temp\OnboardLogs"\RTDC4015\2017-01-20 --exclude "*" --recursive --include "*20170120*" &amp; "%USERPROFILE%\Documents\GitHub\mrs-test-scripts\Headless Mode &amp; Sideloading\WalkAndUnGZ.bat" "%USERPROFILE%\AppData\Local\Temp\OnboardLogs"\RTDC4015\2017-01-20</v>
      </c>
      <c r="AF72" s="84" t="str">
        <f t="shared" si="11"/>
        <v>"C:\Program Files (x86)\AstroGrep\AstroGrep.exe" /spath="%USERPROFILE%\AppData\Local\Temp\OnboardLogs" /stypes="app*4015*20170119*" /stext=" 19:.+((SYSTEM_STATE.+slice.+state.+changed )|(ment ac)|(multiple cpu faults)|(system.+state.+changed )|(\[timeout)|(PRM\|1\|D)|(kpr)|(kdp)|(\|lc)|(penalty))" /e /r /s</v>
      </c>
      <c r="AG72" s="1" t="str">
        <f t="shared" si="30"/>
        <v>EC</v>
      </c>
      <c r="AH72" s="88" t="str">
        <f t="shared" si="16"/>
        <v>"%USERPROFILE%\Documents\GitHub\eaglep3\Utilities\RefineRTDCRunTimes.py" --tripid 160-19 --locoid 4015 --swversion DE.1.0.8.0 --startMP 204:232986 --initTime 2017-01-19T11:46:46 --startdatetime 2017-01-19T11:56:20 --delay 1 --endMP 204:149 --enddatetime 2017-01-19T12:34:55 --enforcementcount 5 &gt;&gt;C:\Users\stu\Documents\GitHub\eaglep3-reporting\EC\2017-01-19-refined-times.txt</v>
      </c>
      <c r="AI72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{"issue":{"subject":"","project_id":79,"tracker_id":40,"status_id":1,"priority_id":2,"assigned_to_id":23,"start_date":"2017-01-19","description":"","custom_fields":[{"id":1,"name":"Subdivision","value":"EC"},{"id":4,"name":"Milepost","value":"0.0149"},{"id":17,"name":"Train ID","value":"160-19"},{"id":16,"name":"Locomotive ID","value":"4015"},{"id":130,"name":"Impact","value":""},{"id":150,"name":"Time of Event (Mountain Time)","value":"12:34:55"},{"id":151,"name":"Denver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0"/>
      <c r="AK72" s="50"/>
      <c r="AL72" s="50"/>
      <c r="AM72" s="177" t="str">
        <f t="shared" si="18"/>
        <v>start /low /b %USERPROFILE%\Documents\GitHub\eaglep3\Utilities\DownloadLogsFromS3.py --loco 4015 --day 2017-01-19</v>
      </c>
      <c r="AN72" s="186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"%USERPROFILE%\AppData\Local\Temp\OnboardLogs"\RTDC4015\*4015*20170119* | grep -SE "(Enforcement Action)|(\[TIMEOUT)|(CHR.+\|PRM\|1\|D.+(SWITCH|SIGNAL).+UNKNOWN)" - &gt;&gt; 2017-01-19-UncaughtWiMAX.txt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4" t="s">
        <v>589</v>
      </c>
      <c r="B73" s="7">
        <v>4022</v>
      </c>
      <c r="C73" s="22" t="s">
        <v>196</v>
      </c>
      <c r="D73" s="22" t="s">
        <v>235</v>
      </c>
      <c r="E73" s="13">
        <v>42754.465254629627</v>
      </c>
      <c r="F73" s="13">
        <v>42754.468958333331</v>
      </c>
      <c r="G73" s="7">
        <v>1</v>
      </c>
      <c r="H73" s="22" t="s">
        <v>285</v>
      </c>
      <c r="I73" s="13">
        <v>42754.494050925925</v>
      </c>
      <c r="J73" s="7">
        <v>5</v>
      </c>
      <c r="K73" s="105" t="str">
        <f t="shared" si="21"/>
        <v>4021/4022</v>
      </c>
      <c r="L73" s="22" t="str">
        <f>VLOOKUP(A73,'Trips&amp;Operators'!$C$1:$G$99999,5,FALSE)</f>
        <v>KILLION DAVID</v>
      </c>
      <c r="M73" s="6">
        <f t="shared" si="22"/>
        <v>2.5092592593864538E-2</v>
      </c>
      <c r="N73" s="7">
        <f t="shared" si="31"/>
        <v>36.133333335164934</v>
      </c>
      <c r="O73" s="7"/>
      <c r="P73" s="7"/>
      <c r="Q73" s="23"/>
      <c r="R73" s="23"/>
      <c r="S73" s="32">
        <f t="shared" si="23"/>
        <v>1</v>
      </c>
      <c r="T73" s="47" t="str">
        <f t="shared" si="24"/>
        <v>NorthBound</v>
      </c>
      <c r="U73" s="164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4" t="str">
        <f t="shared" si="4"/>
        <v>https://d0f6bd738d7f1b3e5a7ca70fe4ff75f0.us-east-1.aws.found.io/app/kibana#/discover/Steve-Slow-Train-Analysis-(2080s-and-2083s)?_g=(refreshInterval:(display:Off,pause:!f,section:0,value:0),time:(from:'2017-01-19T10:09:58-0700',mode:absolute,to:'2017-01-19T12:51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73" s="49" t="str">
        <f t="shared" si="25"/>
        <v>N</v>
      </c>
      <c r="X73" s="170">
        <f t="shared" si="20"/>
        <v>1</v>
      </c>
      <c r="Y73" s="64">
        <f t="shared" si="26"/>
        <v>4.4600000000000001E-2</v>
      </c>
      <c r="Z73" s="64">
        <f t="shared" si="27"/>
        <v>23.3308</v>
      </c>
      <c r="AA73" s="64">
        <f t="shared" si="28"/>
        <v>23.286200000000001</v>
      </c>
      <c r="AB73" s="61" t="e">
        <f>VLOOKUP(A73,Enforcements!$C$7:$K$15,8,0)</f>
        <v>#N/A</v>
      </c>
      <c r="AC73" s="57" t="e">
        <f>VLOOKUP(A73,Enforcements!$C$7:$E$15,3,0)</f>
        <v>#N/A</v>
      </c>
      <c r="AD73" s="58" t="str">
        <f t="shared" si="29"/>
        <v>0161-19</v>
      </c>
      <c r="AE73" s="87" t="str">
        <f t="shared" si="10"/>
        <v>aws s3 cp s3://rtdc.mdm.uploadarchive.raw/RTDC4022/ "%USERPROFILE%\AppData\Local\Temp\OnboardLogs"\RTDC4022\2017-01-19 --exclude "*" --recursive --include "*20170119*" &amp; "%USERPROFILE%\Documents\GitHub\mrs-test-scripts\Headless Mode &amp; Sideloading\WalkAndUnGZ.bat" "%USERPROFILE%\AppData\Local\Temp\OnboardLogs"\RTDC4022\2017-01-19 &amp; aws s3 cp s3://rtdc.mdm.uploadarchive.raw/RTDC4022/ "%USERPROFILE%\AppData\Local\Temp\OnboardLogs"\RTDC4022\2017-01-20 --exclude "*" --recursive --include "*20170120*" &amp; "%USERPROFILE%\Documents\GitHub\mrs-test-scripts\Headless Mode &amp; Sideloading\WalkAndUnGZ.bat" "%USERPROFILE%\AppData\Local\Temp\OnboardLogs"\RTDC4022\2017-01-20</v>
      </c>
      <c r="AF73" s="84" t="str">
        <f t="shared" si="11"/>
        <v>"C:\Program Files (x86)\AstroGrep\AstroGrep.exe" /spath="%USERPROFILE%\AppData\Local\Temp\OnboardLogs" /stypes="app*4022*20170119*" /stext=" 18:.+((SYSTEM_STATE.+slice.+state.+changed )|(ment ac)|(multiple cpu faults)|(system.+state.+changed )|(\[timeout)|(PRM\|1\|D)|(kpr)|(kdp)|(\|lc)|(penalty))" /e /r /s</v>
      </c>
      <c r="AG73" s="1" t="str">
        <f t="shared" si="30"/>
        <v>EC</v>
      </c>
      <c r="AH73" s="88" t="str">
        <f t="shared" si="16"/>
        <v>"%USERPROFILE%\Documents\GitHub\eaglep3\Utilities\RefineRTDCRunTimes.py" --tripid 161-19 --locoid 4022 --swversion DE.1.0.8.0 --startMP 204:446 --initTime 2017-01-19T11:09:58 --startdatetime 2017-01-19T11:15:18 --delay 1 --endMP 204:233308 --enddatetime 2017-01-19T11:51:26 --enforcementcount 5 &gt;&gt;C:\Users\stu\Documents\GitHub\eaglep3-reporting\EC\2017-01-19-refined-times.txt</v>
      </c>
      <c r="AI73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{"issue":{"subject":"","project_id":79,"tracker_id":40,"status_id":1,"priority_id":2,"assigned_to_id":23,"start_date":"2017-01-19","description":"","custom_fields":[{"id":1,"name":"Subdivision","value":"EC"},{"id":4,"name":"Milepost","value":"23.3308"},{"id":17,"name":"Train ID","value":"161-19"},{"id":16,"name":"Locomotive ID","value":"4022"},{"id":130,"name":"Impact","value":""},{"id":150,"name":"Time of Event (Mountain Time)","value":"11:51:26"},{"id":151,"name":"Denver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0"/>
      <c r="AK73" s="50"/>
      <c r="AL73" s="50"/>
      <c r="AM73" s="177" t="str">
        <f t="shared" si="18"/>
        <v>start /low /b %USERPROFILE%\Documents\GitHub\eaglep3\Utilities\DownloadLogsFromS3.py --loco 4022 --day 2017-01-19</v>
      </c>
      <c r="AN73" s="186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"%USERPROFILE%\AppData\Local\Temp\OnboardLogs"\RTDC4022\*4022*20170119* | grep -SE "(Enforcement Action)|(\[TIMEOUT)|(CHR.+\|PRM\|1\|D.+(SWITCH|SIGNAL).+UNKNOWN)" - &gt;&gt; 2017-01-19-UncaughtWiMAX.txt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4" t="s">
        <v>600</v>
      </c>
      <c r="B74" s="7">
        <v>4021</v>
      </c>
      <c r="C74" s="22" t="s">
        <v>196</v>
      </c>
      <c r="D74" s="22" t="s">
        <v>381</v>
      </c>
      <c r="E74" s="13">
        <v>42754.499652777777</v>
      </c>
      <c r="F74" s="13">
        <v>42754.508101851854</v>
      </c>
      <c r="G74" s="7">
        <v>1</v>
      </c>
      <c r="H74" s="22" t="s">
        <v>227</v>
      </c>
      <c r="I74" s="13">
        <v>42754.534826388888</v>
      </c>
      <c r="J74" s="7">
        <v>5</v>
      </c>
      <c r="K74" s="105" t="str">
        <f t="shared" si="21"/>
        <v>4021/4022</v>
      </c>
      <c r="L74" s="22" t="str">
        <f>VLOOKUP(A74,'Trips&amp;Operators'!$C$1:$G$99999,5,FALSE)</f>
        <v>KILLION DAVID</v>
      </c>
      <c r="M74" s="6">
        <f t="shared" si="22"/>
        <v>2.6724537034169771E-2</v>
      </c>
      <c r="N74" s="7">
        <f t="shared" si="31"/>
        <v>38.48333332920447</v>
      </c>
      <c r="O74" s="7"/>
      <c r="P74" s="7"/>
      <c r="Q74" s="23"/>
      <c r="R74" s="23"/>
      <c r="S74" s="32">
        <f t="shared" si="23"/>
        <v>1</v>
      </c>
      <c r="T74" s="47" t="str">
        <f t="shared" si="24"/>
        <v>Southbound</v>
      </c>
      <c r="U74" s="164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4" t="str">
        <f t="shared" si="4"/>
        <v>https://d0f6bd738d7f1b3e5a7ca70fe4ff75f0.us-east-1.aws.found.io/app/kibana#/discover/Steve-Slow-Train-Analysis-(2080s-and-2083s)?_g=(refreshInterval:(display:Off,pause:!f,section:0,value:0),time:(from:'2017-01-19T10:59:30-0700',mode:absolute,to:'2017-01-19T13:50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74" s="49" t="str">
        <f t="shared" si="25"/>
        <v>N</v>
      </c>
      <c r="X74" s="170">
        <f t="shared" si="20"/>
        <v>1</v>
      </c>
      <c r="Y74" s="64">
        <f t="shared" si="26"/>
        <v>23.298500000000001</v>
      </c>
      <c r="Z74" s="64">
        <f t="shared" si="27"/>
        <v>1.5599999999999999E-2</v>
      </c>
      <c r="AA74" s="64">
        <f t="shared" si="28"/>
        <v>23.282900000000001</v>
      </c>
      <c r="AB74" s="61" t="e">
        <f>VLOOKUP(A74,Enforcements!$C$7:$K$15,8,0)</f>
        <v>#N/A</v>
      </c>
      <c r="AC74" s="57" t="e">
        <f>VLOOKUP(A74,Enforcements!$C$7:$E$15,3,0)</f>
        <v>#N/A</v>
      </c>
      <c r="AD74" s="58" t="str">
        <f t="shared" si="29"/>
        <v>0162-19</v>
      </c>
      <c r="AE74" s="87" t="str">
        <f t="shared" si="10"/>
        <v>aws s3 cp s3://rtdc.mdm.uploadarchive.raw/RTDC4021/ "%USERPROFILE%\AppData\Local\Temp\OnboardLogs"\RTDC4021\2017-01-19 --exclude "*" --recursive --include "*20170119*" &amp; "%USERPROFILE%\Documents\GitHub\mrs-test-scripts\Headless Mode &amp; Sideloading\WalkAndUnGZ.bat" "%USERPROFILE%\AppData\Local\Temp\OnboardLogs"\RTDC4021\2017-01-19 &amp; aws s3 cp s3://rtdc.mdm.uploadarchive.raw/RTDC4021/ "%USERPROFILE%\AppData\Local\Temp\OnboardLogs"\RTDC4021\2017-01-20 --exclude "*" --recursive --include "*20170120*" &amp; "%USERPROFILE%\Documents\GitHub\mrs-test-scripts\Headless Mode &amp; Sideloading\WalkAndUnGZ.bat" "%USERPROFILE%\AppData\Local\Temp\OnboardLogs"\RTDC4021\2017-01-20</v>
      </c>
      <c r="AF74" s="84" t="str">
        <f t="shared" si="11"/>
        <v>"C:\Program Files (x86)\AstroGrep\AstroGrep.exe" /spath="%USERPROFILE%\AppData\Local\Temp\OnboardLogs" /stypes="app*4021*20170119*" /stext=" 19:.+((SYSTEM_STATE.+slice.+state.+changed )|(ment ac)|(multiple cpu faults)|(system.+state.+changed )|(\[timeout)|(PRM\|1\|D)|(kpr)|(kdp)|(\|lc)|(penalty))" /e /r /s</v>
      </c>
      <c r="AG74" s="1" t="str">
        <f t="shared" si="30"/>
        <v>EC</v>
      </c>
      <c r="AH74" s="88" t="str">
        <f t="shared" si="16"/>
        <v>"%USERPROFILE%\Documents\GitHub\eaglep3\Utilities\RefineRTDCRunTimes.py" --tripid 162-19 --locoid 4021 --swversion DE.1.0.8.0 --startMP 204:232985 --initTime 2017-01-19T11:59:30 --startdatetime 2017-01-19T12:11:40 --delay 1 --endMP 204:156 --enddatetime 2017-01-19T12:50:09 --enforcementcount 5 &gt;&gt;C:\Users\stu\Documents\GitHub\eaglep3-reporting\EC\2017-01-19-refined-times.txt</v>
      </c>
      <c r="AI74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{"issue":{"subject":"","project_id":79,"tracker_id":40,"status_id":1,"priority_id":2,"assigned_to_id":23,"start_date":"2017-01-19","description":"","custom_fields":[{"id":1,"name":"Subdivision","value":"EC"},{"id":4,"name":"Milepost","value":"0.0156"},{"id":17,"name":"Train ID","value":"162-19"},{"id":16,"name":"Locomotive ID","value":"4021"},{"id":130,"name":"Impact","value":""},{"id":150,"name":"Time of Event (Mountain Time)","value":"12:50:09"},{"id":151,"name":"Denver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0"/>
      <c r="AK74" s="50"/>
      <c r="AL74" s="50"/>
      <c r="AM74" s="177" t="str">
        <f t="shared" si="18"/>
        <v>start /low /b %USERPROFILE%\Documents\GitHub\eaglep3\Utilities\DownloadLogsFromS3.py --loco 4021 --day 2017-01-19</v>
      </c>
      <c r="AN74" s="186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"%USERPROFILE%\AppData\Local\Temp\OnboardLogs"\RTDC4021\*4021*20170119* | grep -SE "(Enforcement Action)|(\[TIMEOUT)|(CHR.+\|PRM\|1\|D.+(SWITCH|SIGNAL).+UNKNOWN)" - &gt;&gt; 2017-01-19-UncaughtWiMAX.txt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4" t="s">
        <v>489</v>
      </c>
      <c r="B75" s="7">
        <v>4042</v>
      </c>
      <c r="C75" s="22" t="s">
        <v>196</v>
      </c>
      <c r="D75" s="22" t="s">
        <v>235</v>
      </c>
      <c r="E75" s="13">
        <v>42754.4765162037</v>
      </c>
      <c r="F75" s="13">
        <v>42754.479375000003</v>
      </c>
      <c r="G75" s="7">
        <v>1</v>
      </c>
      <c r="H75" s="22" t="s">
        <v>273</v>
      </c>
      <c r="I75" s="13">
        <v>42754.504004629627</v>
      </c>
      <c r="J75" s="7">
        <v>5</v>
      </c>
      <c r="K75" s="105" t="str">
        <f t="shared" si="21"/>
        <v>4041/4042</v>
      </c>
      <c r="L75" s="22" t="str">
        <f>VLOOKUP(A75,'Trips&amp;Operators'!$C$1:$G$99999,5,FALSE)</f>
        <v>BRUDER RICHARD</v>
      </c>
      <c r="M75" s="6">
        <f t="shared" si="22"/>
        <v>2.4629629624541849E-2</v>
      </c>
      <c r="N75" s="7">
        <f t="shared" si="31"/>
        <v>35.466666659340262</v>
      </c>
      <c r="O75" s="7"/>
      <c r="P75" s="7"/>
      <c r="Q75" s="23"/>
      <c r="R75" s="23"/>
      <c r="S75" s="32">
        <f t="shared" si="23"/>
        <v>1</v>
      </c>
      <c r="T75" s="47" t="str">
        <f t="shared" si="24"/>
        <v>NorthBound</v>
      </c>
      <c r="U75" s="164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4" t="str">
        <f t="shared" si="4"/>
        <v>https://d0f6bd738d7f1b3e5a7ca70fe4ff75f0.us-east-1.aws.found.io/app/kibana#/discover/Steve-Slow-Train-Analysis-(2080s-and-2083s)?_g=(refreshInterval:(display:Off,pause:!f,section:0,value:0),time:(from:'2017-01-19T10:26:11-0700',mode:absolute,to:'2017-01-19T13:05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5" s="49" t="str">
        <f t="shared" si="25"/>
        <v>N</v>
      </c>
      <c r="X75" s="170">
        <f t="shared" si="20"/>
        <v>1</v>
      </c>
      <c r="Y75" s="64">
        <f t="shared" si="26"/>
        <v>4.4600000000000001E-2</v>
      </c>
      <c r="Z75" s="64">
        <f t="shared" si="27"/>
        <v>23.329499999999999</v>
      </c>
      <c r="AA75" s="64">
        <f t="shared" si="28"/>
        <v>23.2849</v>
      </c>
      <c r="AB75" s="61" t="e">
        <f>VLOOKUP(A75,Enforcements!$C$7:$K$15,8,0)</f>
        <v>#N/A</v>
      </c>
      <c r="AC75" s="57" t="e">
        <f>VLOOKUP(A75,Enforcements!$C$7:$E$15,3,0)</f>
        <v>#N/A</v>
      </c>
      <c r="AD75" s="58" t="str">
        <f t="shared" si="29"/>
        <v>0163-19</v>
      </c>
      <c r="AE75" s="87" t="str">
        <f t="shared" si="10"/>
        <v>aws s3 cp s3://rtdc.mdm.uploadarchive.raw/RTDC4042/ "%USERPROFILE%\AppData\Local\Temp\OnboardLogs"\RTDC4042\2017-01-19 --exclude "*" --recursive --include "*20170119*" &amp; "%USERPROFILE%\Documents\GitHub\mrs-test-scripts\Headless Mode &amp; Sideloading\WalkAndUnGZ.bat" "%USERPROFILE%\AppData\Local\Temp\OnboardLogs"\RTDC4042\2017-01-19 &amp; aws s3 cp s3://rtdc.mdm.uploadarchive.raw/RTDC4042/ "%USERPROFILE%\AppData\Local\Temp\OnboardLogs"\RTDC4042\2017-01-20 --exclude "*" --recursive --include "*20170120*" &amp; "%USERPROFILE%\Documents\GitHub\mrs-test-scripts\Headless Mode &amp; Sideloading\WalkAndUnGZ.bat" "%USERPROFILE%\AppData\Local\Temp\OnboardLogs"\RTDC4042\2017-01-20</v>
      </c>
      <c r="AF75" s="84" t="str">
        <f t="shared" si="11"/>
        <v>"C:\Program Files (x86)\AstroGrep\AstroGrep.exe" /spath="%USERPROFILE%\AppData\Local\Temp\OnboardLogs" /stypes="app*4042*20170119*" /stext=" 19:.+((SYSTEM_STATE.+slice.+state.+changed )|(ment ac)|(multiple cpu faults)|(system.+state.+changed )|(\[timeout)|(PRM\|1\|D)|(kpr)|(kdp)|(\|lc)|(penalty))" /e /r /s</v>
      </c>
      <c r="AG75" s="1" t="str">
        <f t="shared" si="30"/>
        <v>EC</v>
      </c>
      <c r="AH75" s="88" t="str">
        <f t="shared" si="16"/>
        <v>"%USERPROFILE%\Documents\GitHub\eaglep3\Utilities\RefineRTDCRunTimes.py" --tripid 163-19 --locoid 4042 --swversion DE.1.0.8.0 --startMP 204:446 --initTime 2017-01-19T11:26:11 --startdatetime 2017-01-19T11:30:18 --delay 1 --endMP 204:233295 --enddatetime 2017-01-19T12:05:46 --enforcementcount 5 &gt;&gt;C:\Users\stu\Documents\GitHub\eaglep3-reporting\EC\2017-01-19-refined-times.txt</v>
      </c>
      <c r="AI75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{"issue":{"subject":"","project_id":79,"tracker_id":40,"status_id":1,"priority_id":2,"assigned_to_id":23,"start_date":"2017-01-19","description":"","custom_fields":[{"id":1,"name":"Subdivision","value":"EC"},{"id":4,"name":"Milepost","value":"23.3295"},{"id":17,"name":"Train ID","value":"163-19"},{"id":16,"name":"Locomotive ID","value":"4042"},{"id":130,"name":"Impact","value":""},{"id":150,"name":"Time of Event (Mountain Time)","value":"12:05:46"},{"id":151,"name":"Denver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0"/>
      <c r="AK75" s="50"/>
      <c r="AL75" s="50"/>
      <c r="AM75" s="177" t="str">
        <f t="shared" si="18"/>
        <v>start /low /b %USERPROFILE%\Documents\GitHub\eaglep3\Utilities\DownloadLogsFromS3.py --loco 4042 --day 2017-01-19</v>
      </c>
      <c r="AN75" s="186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"%USERPROFILE%\AppData\Local\Temp\OnboardLogs"\RTDC4042\*4042*20170119* | grep -SE "(Enforcement Action)|(\[TIMEOUT)|(CHR.+\|PRM\|1\|D.+(SWITCH|SIGNAL).+UNKNOWN)" - &gt;&gt; 2017-01-19-UncaughtWiMAX.txt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4" t="s">
        <v>604</v>
      </c>
      <c r="B76" s="7">
        <v>4041</v>
      </c>
      <c r="C76" s="22" t="s">
        <v>196</v>
      </c>
      <c r="D76" s="22" t="s">
        <v>303</v>
      </c>
      <c r="E76" s="13">
        <v>42754.513136574074</v>
      </c>
      <c r="F76" s="13">
        <v>42754.518229166664</v>
      </c>
      <c r="G76" s="7">
        <v>1</v>
      </c>
      <c r="H76" s="22" t="s">
        <v>186</v>
      </c>
      <c r="I76" s="13">
        <v>42754.547164351854</v>
      </c>
      <c r="J76" s="7">
        <v>5</v>
      </c>
      <c r="K76" s="105" t="str">
        <f t="shared" si="21"/>
        <v>4041/4042</v>
      </c>
      <c r="L76" s="22" t="str">
        <f>VLOOKUP(A76,'Trips&amp;Operators'!$C$1:$G$99999,5,FALSE)</f>
        <v>BRUDER RICHARD</v>
      </c>
      <c r="M76" s="6">
        <f t="shared" si="22"/>
        <v>2.8935185189766344E-2</v>
      </c>
      <c r="N76" s="7">
        <f t="shared" si="31"/>
        <v>41.666666673263535</v>
      </c>
      <c r="O76" s="7"/>
      <c r="P76" s="7"/>
      <c r="Q76" s="23"/>
      <c r="R76" s="23"/>
      <c r="S76" s="32">
        <f t="shared" si="23"/>
        <v>1</v>
      </c>
      <c r="T76" s="47" t="str">
        <f t="shared" si="24"/>
        <v>Southbound</v>
      </c>
      <c r="U76" s="164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4" t="str">
        <f t="shared" si="4"/>
        <v>https://d0f6bd738d7f1b3e5a7ca70fe4ff75f0.us-east-1.aws.found.io/app/kibana#/discover/Steve-Slow-Train-Analysis-(2080s-and-2083s)?_g=(refreshInterval:(display:Off,pause:!f,section:0,value:0),time:(from:'2017-01-19T11:18:55-0700',mode:absolute,to:'2017-01-19T14:07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6" s="49" t="str">
        <f t="shared" si="25"/>
        <v>N</v>
      </c>
      <c r="X76" s="170">
        <f t="shared" si="20"/>
        <v>1</v>
      </c>
      <c r="Y76" s="64">
        <f t="shared" si="26"/>
        <v>23.297499999999999</v>
      </c>
      <c r="Z76" s="64">
        <f t="shared" si="27"/>
        <v>1.49E-2</v>
      </c>
      <c r="AA76" s="64">
        <f t="shared" si="28"/>
        <v>23.282599999999999</v>
      </c>
      <c r="AB76" s="61" t="e">
        <f>VLOOKUP(A76,Enforcements!$C$7:$K$15,8,0)</f>
        <v>#N/A</v>
      </c>
      <c r="AC76" s="57" t="e">
        <f>VLOOKUP(A76,Enforcements!$C$7:$E$15,3,0)</f>
        <v>#N/A</v>
      </c>
      <c r="AD76" s="58" t="str">
        <f t="shared" si="29"/>
        <v>0164-19</v>
      </c>
      <c r="AE76" s="87" t="str">
        <f t="shared" si="10"/>
        <v>aws s3 cp s3://rtdc.mdm.uploadarchive.raw/RTDC4041/ "%USERPROFILE%\AppData\Local\Temp\OnboardLogs"\RTDC4041\2017-01-19 --exclude "*" --recursive --include "*20170119*" &amp; "%USERPROFILE%\Documents\GitHub\mrs-test-scripts\Headless Mode &amp; Sideloading\WalkAndUnGZ.bat" "%USERPROFILE%\AppData\Local\Temp\OnboardLogs"\RTDC4041\2017-01-19 &amp; aws s3 cp s3://rtdc.mdm.uploadarchive.raw/RTDC4041/ "%USERPROFILE%\AppData\Local\Temp\OnboardLogs"\RTDC4041\2017-01-20 --exclude "*" --recursive --include "*20170120*" &amp; "%USERPROFILE%\Documents\GitHub\mrs-test-scripts\Headless Mode &amp; Sideloading\WalkAndUnGZ.bat" "%USERPROFILE%\AppData\Local\Temp\OnboardLogs"\RTDC4041\2017-01-20</v>
      </c>
      <c r="AF76" s="84" t="str">
        <f t="shared" si="11"/>
        <v>"C:\Program Files (x86)\AstroGrep\AstroGrep.exe" /spath="%USERPROFILE%\AppData\Local\Temp\OnboardLogs" /stypes="app*4041*20170119*" /stext=" 20:.+((SYSTEM_STATE.+slice.+state.+changed )|(ment ac)|(multiple cpu faults)|(system.+state.+changed )|(\[timeout)|(PRM\|1\|D)|(kpr)|(kdp)|(\|lc)|(penalty))" /e /r /s</v>
      </c>
      <c r="AG76" s="1" t="str">
        <f t="shared" si="30"/>
        <v>EC</v>
      </c>
      <c r="AH76" s="88" t="str">
        <f t="shared" si="16"/>
        <v>"%USERPROFILE%\Documents\GitHub\eaglep3\Utilities\RefineRTDCRunTimes.py" --tripid 164-19 --locoid 4041 --swversion DE.1.0.8.0 --startMP 204:232975 --initTime 2017-01-19T12:18:55 --startdatetime 2017-01-19T12:26:15 --delay 1 --endMP 204:149 --enddatetime 2017-01-19T13:07:55 --enforcementcount 5 &gt;&gt;C:\Users\stu\Documents\GitHub\eaglep3-reporting\EC\2017-01-19-refined-times.txt</v>
      </c>
      <c r="AI76" s="115" t="str">
        <f t="shared" si="17"/>
        <v>echo {"issue":{"subject":"","project_id":79,"tracker_id":40,"status_id":1,"priority_id":2,"assigned_to_id":23,"start_date":"2017-01-19","description":"","custom_fields":[{"id":1,"name":"Subdivision","value":"EC"},{"id":4,"name":"Milepost","value":"0.0149"},{"id":17,"name":"Train ID","value":"164-19"},{"id":16,"name":"Locomotive ID","value":"4041"},{"id":130,"name":"Impact","value":""},{"id":150,"name":"Time of Event (Mountain Time)","value":"13:07:55"},{"id":151,"name":"Denver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0"/>
      <c r="AK76" s="50"/>
      <c r="AL76" s="50"/>
      <c r="AM76" s="177" t="str">
        <f t="shared" si="18"/>
        <v>start /low /b %USERPROFILE%\Documents\GitHub\eaglep3\Utilities\DownloadLogsFromS3.py --loco 4041 --day 2017-01-19</v>
      </c>
      <c r="AN76" s="186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"%USERPROFILE%\AppData\Local\Temp\OnboardLogs"\RTDC4041\*4041*20170119* | grep -SE "(Enforcement Action)|(\[TIMEOUT)|(CHR.+\|PRM\|1\|D.+(SWITCH|SIGNAL).+UNKNOWN)" - &gt;&gt; 2017-01-19-UncaughtWiMAX.txt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4" t="s">
        <v>597</v>
      </c>
      <c r="B77" s="7">
        <v>4011</v>
      </c>
      <c r="C77" s="22" t="s">
        <v>196</v>
      </c>
      <c r="D77" s="22" t="s">
        <v>297</v>
      </c>
      <c r="E77" s="13">
        <v>42754.486956018518</v>
      </c>
      <c r="F77" s="13">
        <v>42754.490069444444</v>
      </c>
      <c r="G77" s="7">
        <v>1</v>
      </c>
      <c r="H77" s="22" t="s">
        <v>254</v>
      </c>
      <c r="I77" s="13">
        <v>42754.51489583333</v>
      </c>
      <c r="J77" s="7">
        <v>5</v>
      </c>
      <c r="K77" s="105" t="str">
        <f t="shared" ref="K77:K108" si="32">IF(ISEVEN(B77),(B77-1)&amp;"/"&amp;B77,B77&amp;"/"&amp;(B77+1))</f>
        <v>4011/4012</v>
      </c>
      <c r="L77" s="22" t="str">
        <f>VLOOKUP(A77,'Trips&amp;Operators'!$C$1:$G$99999,5,FALSE)</f>
        <v>SMITH MICHAEL</v>
      </c>
      <c r="M77" s="6">
        <f t="shared" ref="M77:M108" si="33">I77-F77</f>
        <v>2.4826388886140194E-2</v>
      </c>
      <c r="N77" s="7">
        <f t="shared" si="31"/>
        <v>35.749999996041879</v>
      </c>
      <c r="O77" s="7"/>
      <c r="P77" s="7"/>
      <c r="Q77" s="23"/>
      <c r="R77" s="23"/>
      <c r="S77" s="32">
        <f t="shared" ref="S77:S108" si="34">SUM(U77:U77)/IF(AG77="EC",12,1)</f>
        <v>1</v>
      </c>
      <c r="T77" s="47" t="str">
        <f t="shared" ref="T77:T108" si="35">IF(ISEVEN(LEFT(AD77,4)),"Southbound","NorthBound")</f>
        <v>NorthBound</v>
      </c>
      <c r="U77" s="164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4" t="str">
        <f t="shared" ref="V77:V140" si="36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-01-19T10:41:13-0700',mode:absolute,to:'2017-01-19T13:21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7" s="49" t="str">
        <f t="shared" ref="W77:W108" si="37">IF(AA77&lt;IF(AG77="EC",23,5.65),"Y","N")</f>
        <v>N</v>
      </c>
      <c r="X77" s="170">
        <f t="shared" si="20"/>
        <v>1</v>
      </c>
      <c r="Y77" s="64">
        <f t="shared" ref="Y77:Y108" si="38">RIGHT(D77,LEN(D77)-4)/10000</f>
        <v>4.5999999999999999E-2</v>
      </c>
      <c r="Z77" s="64">
        <f t="shared" ref="Z77:Z108" si="39">RIGHT(H77,LEN(H77)-4)/10000</f>
        <v>23.331199999999999</v>
      </c>
      <c r="AA77" s="64">
        <f t="shared" ref="AA77:AA108" si="40">ABS(Z77-Y77)</f>
        <v>23.2852</v>
      </c>
      <c r="AB77" s="61" t="e">
        <f>VLOOKUP(A77,Enforcements!$C$7:$K$15,8,0)</f>
        <v>#N/A</v>
      </c>
      <c r="AC77" s="57" t="e">
        <f>VLOOKUP(A77,Enforcements!$C$7:$E$15,3,0)</f>
        <v>#N/A</v>
      </c>
      <c r="AD77" s="58" t="str">
        <f t="shared" ref="AD77:AD108" si="41">IF(LEN(A77)=6,"0"&amp;A77,A77)</f>
        <v>0165-19</v>
      </c>
      <c r="AE77" s="87" t="str">
        <f t="shared" ref="AE77:AE140" si="42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s3://rtdc.mdm.uploadarchive.raw/RTDC4011/ "%USERPROFILE%\AppData\Local\Temp\OnboardLogs"\RTDC4011\2017-01-19 --exclude "*" --recursive --include "*20170119*" &amp; "%USERPROFILE%\Documents\GitHub\mrs-test-scripts\Headless Mode &amp; Sideloading\WalkAndUnGZ.bat" "%USERPROFILE%\AppData\Local\Temp\OnboardLogs"\RTDC4011\2017-01-19 &amp; aws s3 cp s3://rtdc.mdm.uploadarchive.raw/RTDC4011/ "%USERPROFILE%\AppData\Local\Temp\OnboardLogs"\RTDC4011\2017-01-20 --exclude "*" --recursive --include "*20170120*" &amp; "%USERPROFILE%\Documents\GitHub\mrs-test-scripts\Headless Mode &amp; Sideloading\WalkAndUnGZ.bat" "%USERPROFILE%\AppData\Local\Temp\OnboardLogs"\RTDC4011\2017-01-20</v>
      </c>
      <c r="AF77" s="84" t="str">
        <f t="shared" ref="AF77:AF140" si="43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/stypes="app*4011*20170119*" /stext=" 19:.+((SYSTEM_STATE.+slice.+state.+changed )|(ment ac)|(multiple cpu faults)|(system.+state.+changed )|(\[timeout)|(PRM\|1\|D)|(kpr)|(kdp)|(\|lc)|(penalty))" /e /r /s</v>
      </c>
      <c r="AG77" s="1" t="str">
        <f t="shared" ref="AG77:AG108" si="44">IFERROR(IF(VALUE(LEFT(AD77,2))&lt;=2,"EC",IF(OR(VALUE(LEFT(AD77,2))=8,VALUE(LEFT(AD77,2))=18),"NW","Other")),"Other")</f>
        <v>EC</v>
      </c>
      <c r="AH77" s="88" t="str">
        <f t="shared" ref="AH77:AH141" si="45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165-19 --locoid 4011 --swversion DE.1.0.8.0 --startMP 204:460 --initTime 2017-01-19T11:41:13 --startdatetime 2017-01-19T11:45:42 --delay 1 --endMP 204:233312 --enddatetime 2017-01-19T12:21:27 --enforcementcount 5 &gt;&gt;C:\Users\stu\Documents\GitHub\eaglep3-reporting\EC\2017-01-19-refined-times.txt</v>
      </c>
      <c r="AI77" s="115" t="str">
        <f t="shared" ref="AI77:AI141" si="46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{"issue":{"subject":"","project_id":79,"tracker_id":40,"status_id":1,"priority_id":2,"assigned_to_id":23,"start_date":"2017-01-19","description":"","custom_fields":[{"id":1,"name":"Subdivision","value":"EC"},{"id":4,"name":"Milepost","value":"23.3312"},{"id":17,"name":"Train ID","value":"165-19"},{"id":16,"name":"Locomotive ID","value":"4011"},{"id":130,"name":"Impact","value":""},{"id":150,"name":"Time of Event (Mountain Time)","value":"12:21:27"},{"id":151,"name":"Denver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0"/>
      <c r="AK77" s="50"/>
      <c r="AL77" s="50"/>
      <c r="AM77" s="177" t="str">
        <f t="shared" ref="AM77:AM141" si="47">"start /low /b "&amp;dls3logs&amp;" --loco "&amp;B77&amp;" --day "&amp;TEXT(F77,"YYYY-MM-DD")</f>
        <v>start /low /b %USERPROFILE%\Documents\GitHub\eaglep3\Utilities\DownloadLogsFromS3.py --loco 4011 --day 2017-01-19</v>
      </c>
      <c r="AN77" s="186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"%USERPROFILE%\AppData\Local\Temp\OnboardLogs"\RTDC4011\*4011*20170119* | grep -SE "(Enforcement Action)|(\[TIMEOUT)|(CHR.+\|PRM\|1\|D.+(SWITCH|SIGNAL).+UNKNOWN)" - &gt;&gt; 2017-01-19-UncaughtWiMAX.txt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4" t="s">
        <v>606</v>
      </c>
      <c r="B78" s="7">
        <v>4012</v>
      </c>
      <c r="C78" s="22" t="s">
        <v>196</v>
      </c>
      <c r="D78" s="22" t="s">
        <v>741</v>
      </c>
      <c r="E78" s="13">
        <v>42754.517523148148</v>
      </c>
      <c r="F78" s="13">
        <v>42754.528668981482</v>
      </c>
      <c r="G78" s="7">
        <v>1</v>
      </c>
      <c r="H78" s="22" t="s">
        <v>307</v>
      </c>
      <c r="I78" s="13">
        <v>42754.555555555555</v>
      </c>
      <c r="J78" s="7">
        <v>5</v>
      </c>
      <c r="K78" s="105" t="str">
        <f t="shared" si="32"/>
        <v>4011/4012</v>
      </c>
      <c r="L78" s="22" t="str">
        <f>VLOOKUP(A78,'Trips&amp;Operators'!$C$1:$G$99999,5,FALSE)</f>
        <v>SMITH MICHAEL</v>
      </c>
      <c r="M78" s="6">
        <f t="shared" si="33"/>
        <v>2.6886574072705116E-2</v>
      </c>
      <c r="N78" s="7">
        <f t="shared" si="31"/>
        <v>38.716666664695367</v>
      </c>
      <c r="O78" s="7"/>
      <c r="P78" s="7"/>
      <c r="Q78" s="23"/>
      <c r="R78" s="23"/>
      <c r="S78" s="32">
        <f t="shared" si="34"/>
        <v>1</v>
      </c>
      <c r="T78" s="47" t="str">
        <f t="shared" si="35"/>
        <v>Southbound</v>
      </c>
      <c r="U78" s="164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4" t="str">
        <f t="shared" si="36"/>
        <v>https://d0f6bd738d7f1b3e5a7ca70fe4ff75f0.us-east-1.aws.found.io/app/kibana#/discover/Steve-Slow-Train-Analysis-(2080s-and-2083s)?_g=(refreshInterval:(display:Off,pause:!f,section:0,value:0),time:(from:'2017-01-19T11:25:14-0700',mode:absolute,to:'2017-01-19T14:20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8" s="49" t="str">
        <f t="shared" si="37"/>
        <v>N</v>
      </c>
      <c r="X78" s="170">
        <f t="shared" ref="X78:X139" si="48">VALUE(LEFT(AD78,4))-VALUE(LEFT(AD77,4))</f>
        <v>1</v>
      </c>
      <c r="Y78" s="64">
        <f t="shared" si="38"/>
        <v>23.300799999999999</v>
      </c>
      <c r="Z78" s="64">
        <f t="shared" si="39"/>
        <v>1.61E-2</v>
      </c>
      <c r="AA78" s="64">
        <f t="shared" si="40"/>
        <v>23.284699999999997</v>
      </c>
      <c r="AB78" s="61" t="e">
        <f>VLOOKUP(A78,Enforcements!$C$7:$K$15,8,0)</f>
        <v>#N/A</v>
      </c>
      <c r="AC78" s="57" t="e">
        <f>VLOOKUP(A78,Enforcements!$C$7:$E$15,3,0)</f>
        <v>#N/A</v>
      </c>
      <c r="AD78" s="58" t="str">
        <f t="shared" si="41"/>
        <v>0166-19</v>
      </c>
      <c r="AE78" s="87" t="str">
        <f t="shared" si="42"/>
        <v>aws s3 cp s3://rtdc.mdm.uploadarchive.raw/RTDC4012/ "%USERPROFILE%\AppData\Local\Temp\OnboardLogs"\RTDC4012\2017-01-19 --exclude "*" --recursive --include "*20170119*" &amp; "%USERPROFILE%\Documents\GitHub\mrs-test-scripts\Headless Mode &amp; Sideloading\WalkAndUnGZ.bat" "%USERPROFILE%\AppData\Local\Temp\OnboardLogs"\RTDC4012\2017-01-19 &amp; aws s3 cp s3://rtdc.mdm.uploadarchive.raw/RTDC4012/ "%USERPROFILE%\AppData\Local\Temp\OnboardLogs"\RTDC4012\2017-01-20 --exclude "*" --recursive --include "*20170120*" &amp; "%USERPROFILE%\Documents\GitHub\mrs-test-scripts\Headless Mode &amp; Sideloading\WalkAndUnGZ.bat" "%USERPROFILE%\AppData\Local\Temp\OnboardLogs"\RTDC4012\2017-01-20</v>
      </c>
      <c r="AF78" s="84" t="str">
        <f t="shared" si="43"/>
        <v>"C:\Program Files (x86)\AstroGrep\AstroGrep.exe" /spath="%USERPROFILE%\AppData\Local\Temp\OnboardLogs" /stypes="app*4012*20170119*" /stext=" 20:.+((SYSTEM_STATE.+slice.+state.+changed )|(ment ac)|(multiple cpu faults)|(system.+state.+changed )|(\[timeout)|(PRM\|1\|D)|(kpr)|(kdp)|(\|lc)|(penalty))" /e /r /s</v>
      </c>
      <c r="AG78" s="1" t="str">
        <f t="shared" si="44"/>
        <v>EC</v>
      </c>
      <c r="AH78" s="88" t="str">
        <f t="shared" si="45"/>
        <v>"%USERPROFILE%\Documents\GitHub\eaglep3\Utilities\RefineRTDCRunTimes.py" --tripid 166-19 --locoid 4012 --swversion DE.1.0.8.0 --startMP 204:233008 --initTime 2017-01-19T12:25:14 --startdatetime 2017-01-19T12:41:17 --delay 1 --endMP 204:161 --enddatetime 2017-01-19T13:20:00 --enforcementcount 5 &gt;&gt;C:\Users\stu\Documents\GitHub\eaglep3-reporting\EC\2017-01-19-refined-times.txt</v>
      </c>
      <c r="AI78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{"issue":{"subject":"","project_id":79,"tracker_id":40,"status_id":1,"priority_id":2,"assigned_to_id":23,"start_date":"2017-01-19","description":"","custom_fields":[{"id":1,"name":"Subdivision","value":"EC"},{"id":4,"name":"Milepost","value":"0.0161"},{"id":17,"name":"Train ID","value":"166-19"},{"id":16,"name":"Locomotive ID","value":"4012"},{"id":130,"name":"Impact","value":""},{"id":150,"name":"Time of Event (Mountain Time)","value":"13:20:00"},{"id":151,"name":"Denver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0"/>
      <c r="AK78" s="50"/>
      <c r="AL78" s="50"/>
      <c r="AM78" s="177" t="str">
        <f t="shared" si="47"/>
        <v>start /low /b %USERPROFILE%\Documents\GitHub\eaglep3\Utilities\DownloadLogsFromS3.py --loco 4012 --day 2017-01-19</v>
      </c>
      <c r="AN78" s="186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"%USERPROFILE%\AppData\Local\Temp\OnboardLogs"\RTDC4012\*4012*20170119* | grep -SE "(Enforcement Action)|(\[TIMEOUT)|(CHR.+\|PRM\|1\|D.+(SWITCH|SIGNAL).+UNKNOWN)" - &gt;&gt; 2017-01-19-UncaughtWiMAX.txt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4" t="s">
        <v>491</v>
      </c>
      <c r="B79" s="7">
        <v>4031</v>
      </c>
      <c r="C79" s="22" t="s">
        <v>196</v>
      </c>
      <c r="D79" s="22" t="s">
        <v>380</v>
      </c>
      <c r="E79" s="13">
        <v>42754.493634259263</v>
      </c>
      <c r="F79" s="13">
        <v>42754.500162037039</v>
      </c>
      <c r="G79" s="7">
        <v>1</v>
      </c>
      <c r="H79" s="22" t="s">
        <v>221</v>
      </c>
      <c r="I79" s="13">
        <v>42754.527418981481</v>
      </c>
      <c r="J79" s="7">
        <v>5</v>
      </c>
      <c r="K79" s="105" t="str">
        <f t="shared" si="32"/>
        <v>4031/4032</v>
      </c>
      <c r="L79" s="22" t="str">
        <f>VLOOKUP(A79,'Trips&amp;Operators'!$C$1:$G$99999,5,FALSE)</f>
        <v>CRAYTON QUNTRELL</v>
      </c>
      <c r="M79" s="6">
        <f t="shared" si="33"/>
        <v>2.7256944442342501E-2</v>
      </c>
      <c r="N79" s="7">
        <f t="shared" si="31"/>
        <v>39.249999996973202</v>
      </c>
      <c r="O79" s="7"/>
      <c r="P79" s="7"/>
      <c r="Q79" s="23"/>
      <c r="R79" s="23"/>
      <c r="S79" s="32">
        <f t="shared" si="34"/>
        <v>1</v>
      </c>
      <c r="T79" s="47" t="str">
        <f t="shared" si="35"/>
        <v>NorthBound</v>
      </c>
      <c r="U79" s="164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4" t="str">
        <f t="shared" si="36"/>
        <v>https://d0f6bd738d7f1b3e5a7ca70fe4ff75f0.us-east-1.aws.found.io/app/kibana#/discover/Steve-Slow-Train-Analysis-(2080s-and-2083s)?_g=(refreshInterval:(display:Off,pause:!f,section:0,value:0),time:(from:'2017-01-19T10:50:50-0700',mode:absolute,to:'2017-01-19T13:39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9" s="49" t="str">
        <f t="shared" si="37"/>
        <v>N</v>
      </c>
      <c r="X79" s="170">
        <f t="shared" si="48"/>
        <v>1</v>
      </c>
      <c r="Y79" s="64">
        <f t="shared" si="38"/>
        <v>4.3799999999999999E-2</v>
      </c>
      <c r="Z79" s="64">
        <f t="shared" si="39"/>
        <v>23.328900000000001</v>
      </c>
      <c r="AA79" s="64">
        <f t="shared" si="40"/>
        <v>23.2851</v>
      </c>
      <c r="AB79" s="61" t="e">
        <f>VLOOKUP(A79,Enforcements!$C$7:$K$15,8,0)</f>
        <v>#N/A</v>
      </c>
      <c r="AC79" s="57" t="e">
        <f>VLOOKUP(A79,Enforcements!$C$7:$E$15,3,0)</f>
        <v>#N/A</v>
      </c>
      <c r="AD79" s="58" t="str">
        <f t="shared" si="41"/>
        <v>0167-19</v>
      </c>
      <c r="AE79" s="87" t="str">
        <f t="shared" si="42"/>
        <v>aws s3 cp s3://rtdc.mdm.uploadarchive.raw/RTDC4031/ "%USERPROFILE%\AppData\Local\Temp\OnboardLogs"\RTDC4031\2017-01-19 --exclude "*" --recursive --include "*20170119*" &amp; "%USERPROFILE%\Documents\GitHub\mrs-test-scripts\Headless Mode &amp; Sideloading\WalkAndUnGZ.bat" "%USERPROFILE%\AppData\Local\Temp\OnboardLogs"\RTDC4031\2017-01-19 &amp; aws s3 cp s3://rtdc.mdm.uploadarchive.raw/RTDC4031/ "%USERPROFILE%\AppData\Local\Temp\OnboardLogs"\RTDC4031\2017-01-20 --exclude "*" --recursive --include "*20170120*" &amp; "%USERPROFILE%\Documents\GitHub\mrs-test-scripts\Headless Mode &amp; Sideloading\WalkAndUnGZ.bat" "%USERPROFILE%\AppData\Local\Temp\OnboardLogs"\RTDC4031\2017-01-20</v>
      </c>
      <c r="AF79" s="84" t="str">
        <f t="shared" si="43"/>
        <v>"C:\Program Files (x86)\AstroGrep\AstroGrep.exe" /spath="%USERPROFILE%\AppData\Local\Temp\OnboardLogs" /stypes="app*4031*20170119*" /stext=" 19:.+((SYSTEM_STATE.+slice.+state.+changed )|(ment ac)|(multiple cpu faults)|(system.+state.+changed )|(\[timeout)|(PRM\|1\|D)|(kpr)|(kdp)|(\|lc)|(penalty))" /e /r /s</v>
      </c>
      <c r="AG79" s="1" t="str">
        <f t="shared" si="44"/>
        <v>EC</v>
      </c>
      <c r="AH79" s="88" t="str">
        <f t="shared" si="45"/>
        <v>"%USERPROFILE%\Documents\GitHub\eaglep3\Utilities\RefineRTDCRunTimes.py" --tripid 167-19 --locoid 4031 --swversion DE.1.0.8.0 --startMP 204:438 --initTime 2017-01-19T11:50:50 --startdatetime 2017-01-19T12:00:14 --delay 1 --endMP 204:233289 --enddatetime 2017-01-19T12:39:29 --enforcementcount 5 &gt;&gt;C:\Users\stu\Documents\GitHub\eaglep3-reporting\EC\2017-01-19-refined-times.txt</v>
      </c>
      <c r="AI79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{"issue":{"subject":"","project_id":79,"tracker_id":40,"status_id":1,"priority_id":2,"assigned_to_id":23,"start_date":"2017-01-19","description":"","custom_fields":[{"id":1,"name":"Subdivision","value":"EC"},{"id":4,"name":"Milepost","value":"23.3289"},{"id":17,"name":"Train ID","value":"167-19"},{"id":16,"name":"Locomotive ID","value":"4031"},{"id":130,"name":"Impact","value":""},{"id":150,"name":"Time of Event (Mountain Time)","value":"12:39:29"},{"id":151,"name":"Denver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0"/>
      <c r="AK79" s="50"/>
      <c r="AL79" s="50"/>
      <c r="AM79" s="177" t="str">
        <f t="shared" si="47"/>
        <v>start /low /b %USERPROFILE%\Documents\GitHub\eaglep3\Utilities\DownloadLogsFromS3.py --loco 4031 --day 2017-01-19</v>
      </c>
      <c r="AN79" s="186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"%USERPROFILE%\AppData\Local\Temp\OnboardLogs"\RTDC4031\*4031*20170119* | grep -SE "(Enforcement Action)|(\[TIMEOUT)|(CHR.+\|PRM\|1\|D.+(SWITCH|SIGNAL).+UNKNOWN)" - &gt;&gt; 2017-01-19-UncaughtWiMAX.txt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4" t="s">
        <v>492</v>
      </c>
      <c r="B80" s="7">
        <v>4032</v>
      </c>
      <c r="C80" s="22" t="s">
        <v>196</v>
      </c>
      <c r="D80" s="22" t="s">
        <v>742</v>
      </c>
      <c r="E80" s="13">
        <v>42754.531967592593</v>
      </c>
      <c r="F80" s="13">
        <v>42754.5390625</v>
      </c>
      <c r="G80" s="7">
        <v>1</v>
      </c>
      <c r="H80" s="22" t="s">
        <v>743</v>
      </c>
      <c r="I80" s="13">
        <v>42754.565381944441</v>
      </c>
      <c r="J80" s="7">
        <v>5</v>
      </c>
      <c r="K80" s="105" t="str">
        <f t="shared" si="32"/>
        <v>4031/4032</v>
      </c>
      <c r="L80" s="22" t="str">
        <f>VLOOKUP(A80,'Trips&amp;Operators'!$C$1:$G$99999,5,FALSE)</f>
        <v>CRAYTON QUNTRELL</v>
      </c>
      <c r="M80" s="6">
        <f t="shared" si="33"/>
        <v>2.6319444441469386E-2</v>
      </c>
      <c r="N80" s="7">
        <f t="shared" si="31"/>
        <v>37.899999995715916</v>
      </c>
      <c r="O80" s="7"/>
      <c r="P80" s="7"/>
      <c r="Q80" s="23"/>
      <c r="R80" s="23"/>
      <c r="S80" s="32">
        <f t="shared" si="34"/>
        <v>1</v>
      </c>
      <c r="T80" s="47" t="str">
        <f t="shared" si="35"/>
        <v>Southbound</v>
      </c>
      <c r="U80" s="164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4" t="str">
        <f t="shared" si="36"/>
        <v>https://d0f6bd738d7f1b3e5a7ca70fe4ff75f0.us-east-1.aws.found.io/app/kibana#/discover/Steve-Slow-Train-Analysis-(2080s-and-2083s)?_g=(refreshInterval:(display:Off,pause:!f,section:0,value:0),time:(from:'2017-01-19T11:46:02-0700',mode:absolute,to:'2017-01-19T14:34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0" s="49" t="str">
        <f t="shared" si="37"/>
        <v>N</v>
      </c>
      <c r="X80" s="170">
        <f t="shared" si="48"/>
        <v>1</v>
      </c>
      <c r="Y80" s="64">
        <f t="shared" si="38"/>
        <v>23.2971</v>
      </c>
      <c r="Z80" s="64">
        <f t="shared" si="39"/>
        <v>2.29E-2</v>
      </c>
      <c r="AA80" s="64">
        <f t="shared" si="40"/>
        <v>23.2742</v>
      </c>
      <c r="AB80" s="61" t="e">
        <f>VLOOKUP(A80,Enforcements!$C$7:$K$15,8,0)</f>
        <v>#N/A</v>
      </c>
      <c r="AC80" s="57" t="e">
        <f>VLOOKUP(A80,Enforcements!$C$7:$E$15,3,0)</f>
        <v>#N/A</v>
      </c>
      <c r="AD80" s="58" t="str">
        <f t="shared" si="41"/>
        <v>0168-19</v>
      </c>
      <c r="AE80" s="87" t="str">
        <f t="shared" si="42"/>
        <v>aws s3 cp s3://rtdc.mdm.uploadarchive.raw/RTDC4032/ "%USERPROFILE%\AppData\Local\Temp\OnboardLogs"\RTDC4032\2017-01-19 --exclude "*" --recursive --include "*20170119*" &amp; "%USERPROFILE%\Documents\GitHub\mrs-test-scripts\Headless Mode &amp; Sideloading\WalkAndUnGZ.bat" "%USERPROFILE%\AppData\Local\Temp\OnboardLogs"\RTDC4032\2017-01-19 &amp; aws s3 cp s3://rtdc.mdm.uploadarchive.raw/RTDC4032/ "%USERPROFILE%\AppData\Local\Temp\OnboardLogs"\RTDC4032\2017-01-20 --exclude "*" --recursive --include "*20170120*" &amp; "%USERPROFILE%\Documents\GitHub\mrs-test-scripts\Headless Mode &amp; Sideloading\WalkAndUnGZ.bat" "%USERPROFILE%\AppData\Local\Temp\OnboardLogs"\RTDC4032\2017-01-20</v>
      </c>
      <c r="AF80" s="84" t="str">
        <f t="shared" si="43"/>
        <v>"C:\Program Files (x86)\AstroGrep\AstroGrep.exe" /spath="%USERPROFILE%\AppData\Local\Temp\OnboardLogs" /stypes="app*4032*20170119*" /stext=" 20:.+((SYSTEM_STATE.+slice.+state.+changed )|(ment ac)|(multiple cpu faults)|(system.+state.+changed )|(\[timeout)|(PRM\|1\|D)|(kpr)|(kdp)|(\|lc)|(penalty))" /e /r /s</v>
      </c>
      <c r="AG80" s="1" t="str">
        <f t="shared" si="44"/>
        <v>EC</v>
      </c>
      <c r="AH80" s="88" t="str">
        <f t="shared" si="45"/>
        <v>"%USERPROFILE%\Documents\GitHub\eaglep3\Utilities\RefineRTDCRunTimes.py" --tripid 168-19 --locoid 4032 --swversion DE.1.0.8.0 --startMP 204:232971 --initTime 2017-01-19T12:46:02 --startdatetime 2017-01-19T12:56:15 --delay 1 --endMP 204:229 --enddatetime 2017-01-19T13:34:09 --enforcementcount 5 &gt;&gt;C:\Users\stu\Documents\GitHub\eaglep3-reporting\EC\2017-01-19-refined-times.txt</v>
      </c>
      <c r="AI80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{"issue":{"subject":"","project_id":79,"tracker_id":40,"status_id":1,"priority_id":2,"assigned_to_id":23,"start_date":"2017-01-19","description":"","custom_fields":[{"id":1,"name":"Subdivision","value":"EC"},{"id":4,"name":"Milepost","value":"0.0229"},{"id":17,"name":"Train ID","value":"168-19"},{"id":16,"name":"Locomotive ID","value":"4032"},{"id":130,"name":"Impact","value":""},{"id":150,"name":"Time of Event (Mountain Time)","value":"13:34:09"},{"id":151,"name":"Denver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0"/>
      <c r="AK80" s="50"/>
      <c r="AL80" s="50"/>
      <c r="AM80" s="177" t="str">
        <f t="shared" si="47"/>
        <v>start /low /b %USERPROFILE%\Documents\GitHub\eaglep3\Utilities\DownloadLogsFromS3.py --loco 4032 --day 2017-01-19</v>
      </c>
      <c r="AN80" s="186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"%USERPROFILE%\AppData\Local\Temp\OnboardLogs"\RTDC4032\*4032*20170119* | grep -SE "(Enforcement Action)|(\[TIMEOUT)|(CHR.+\|PRM\|1\|D.+(SWITCH|SIGNAL).+UNKNOWN)" - &gt;&gt; 2017-01-19-UncaughtWiMAX.txt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4" t="s">
        <v>602</v>
      </c>
      <c r="B81" s="7">
        <v>4044</v>
      </c>
      <c r="C81" s="22" t="s">
        <v>196</v>
      </c>
      <c r="D81" s="22" t="s">
        <v>235</v>
      </c>
      <c r="E81" s="13">
        <v>42754.507395833331</v>
      </c>
      <c r="F81" s="13">
        <v>42754.510648148149</v>
      </c>
      <c r="G81" s="7">
        <v>1</v>
      </c>
      <c r="H81" s="22" t="s">
        <v>733</v>
      </c>
      <c r="I81" s="13">
        <v>42754.535601851851</v>
      </c>
      <c r="J81" s="7">
        <v>5</v>
      </c>
      <c r="K81" s="105" t="str">
        <f t="shared" si="32"/>
        <v>4043/4044</v>
      </c>
      <c r="L81" s="22" t="str">
        <f>VLOOKUP(A81,'Trips&amp;Operators'!$C$1:$G$99999,5,FALSE)</f>
        <v>HELVIE ADAM</v>
      </c>
      <c r="M81" s="6">
        <f t="shared" si="33"/>
        <v>2.495370370161254E-2</v>
      </c>
      <c r="N81" s="7">
        <f t="shared" si="31"/>
        <v>35.933333330322057</v>
      </c>
      <c r="O81" s="7"/>
      <c r="P81" s="7"/>
      <c r="Q81" s="23"/>
      <c r="R81" s="23"/>
      <c r="S81" s="32">
        <f t="shared" si="34"/>
        <v>1</v>
      </c>
      <c r="T81" s="47" t="str">
        <f t="shared" si="35"/>
        <v>NorthBound</v>
      </c>
      <c r="U81" s="164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4" t="str">
        <f t="shared" si="36"/>
        <v>https://d0f6bd738d7f1b3e5a7ca70fe4ff75f0.us-east-1.aws.found.io/app/kibana#/discover/Steve-Slow-Train-Analysis-(2080s-and-2083s)?_g=(refreshInterval:(display:Off,pause:!f,section:0,value:0),time:(from:'2017-01-19T11:10:39-0700',mode:absolute,to:'2017-01-19T13:51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1" s="49" t="str">
        <f t="shared" si="37"/>
        <v>N</v>
      </c>
      <c r="X81" s="170">
        <f t="shared" si="48"/>
        <v>1</v>
      </c>
      <c r="Y81" s="64">
        <f t="shared" si="38"/>
        <v>4.4600000000000001E-2</v>
      </c>
      <c r="Z81" s="64">
        <f t="shared" si="39"/>
        <v>23.331700000000001</v>
      </c>
      <c r="AA81" s="64">
        <f t="shared" si="40"/>
        <v>23.287100000000002</v>
      </c>
      <c r="AB81" s="61" t="e">
        <f>VLOOKUP(A81,Enforcements!$C$7:$K$15,8,0)</f>
        <v>#N/A</v>
      </c>
      <c r="AC81" s="57" t="e">
        <f>VLOOKUP(A81,Enforcements!$C$7:$E$15,3,0)</f>
        <v>#N/A</v>
      </c>
      <c r="AD81" s="58" t="str">
        <f t="shared" si="41"/>
        <v>0169-19</v>
      </c>
      <c r="AE81" s="87" t="str">
        <f t="shared" si="42"/>
        <v>aws s3 cp s3://rtdc.mdm.uploadarchive.raw/RTDC4044/ "%USERPROFILE%\AppData\Local\Temp\OnboardLogs"\RTDC4044\2017-01-19 --exclude "*" --recursive --include "*20170119*" &amp; "%USERPROFILE%\Documents\GitHub\mrs-test-scripts\Headless Mode &amp; Sideloading\WalkAndUnGZ.bat" "%USERPROFILE%\AppData\Local\Temp\OnboardLogs"\RTDC4044\2017-01-19 &amp; aws s3 cp s3://rtdc.mdm.uploadarchive.raw/RTDC4044/ "%USERPROFILE%\AppData\Local\Temp\OnboardLogs"\RTDC4044\2017-01-20 --exclude "*" --recursive --include "*20170120*" &amp; "%USERPROFILE%\Documents\GitHub\mrs-test-scripts\Headless Mode &amp; Sideloading\WalkAndUnGZ.bat" "%USERPROFILE%\AppData\Local\Temp\OnboardLogs"\RTDC4044\2017-01-20</v>
      </c>
      <c r="AF81" s="84" t="str">
        <f t="shared" si="43"/>
        <v>"C:\Program Files (x86)\AstroGrep\AstroGrep.exe" /spath="%USERPROFILE%\AppData\Local\Temp\OnboardLogs" /stypes="app*4044*20170119*" /stext=" 19:.+((SYSTEM_STATE.+slice.+state.+changed )|(ment ac)|(multiple cpu faults)|(system.+state.+changed )|(\[timeout)|(PRM\|1\|D)|(kpr)|(kdp)|(\|lc)|(penalty))" /e /r /s</v>
      </c>
      <c r="AG81" s="1" t="str">
        <f t="shared" si="44"/>
        <v>EC</v>
      </c>
      <c r="AH81" s="88" t="str">
        <f t="shared" si="45"/>
        <v>"%USERPROFILE%\Documents\GitHub\eaglep3\Utilities\RefineRTDCRunTimes.py" --tripid 169-19 --locoid 4044 --swversion DE.1.0.8.0 --startMP 204:446 --initTime 2017-01-19T12:10:39 --startdatetime 2017-01-19T12:15:20 --delay 1 --endMP 204:233317 --enddatetime 2017-01-19T12:51:16 --enforcementcount 5 &gt;&gt;C:\Users\stu\Documents\GitHub\eaglep3-reporting\EC\2017-01-19-refined-times.txt</v>
      </c>
      <c r="AI81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{"issue":{"subject":"","project_id":79,"tracker_id":40,"status_id":1,"priority_id":2,"assigned_to_id":23,"start_date":"2017-01-19","description":"","custom_fields":[{"id":1,"name":"Subdivision","value":"EC"},{"id":4,"name":"Milepost","value":"23.3317"},{"id":17,"name":"Train ID","value":"169-19"},{"id":16,"name":"Locomotive ID","value":"4044"},{"id":130,"name":"Impact","value":""},{"id":150,"name":"Time of Event (Mountain Time)","value":"12:51:16"},{"id":151,"name":"Denver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0"/>
      <c r="AK81" s="50"/>
      <c r="AL81" s="50"/>
      <c r="AM81" s="177" t="str">
        <f t="shared" si="47"/>
        <v>start /low /b %USERPROFILE%\Documents\GitHub\eaglep3\Utilities\DownloadLogsFromS3.py --loco 4044 --day 2017-01-19</v>
      </c>
      <c r="AN81" s="186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"%USERPROFILE%\AppData\Local\Temp\OnboardLogs"\RTDC4044\*4044*20170119* | grep -SE "(Enforcement Action)|(\[TIMEOUT)|(CHR.+\|PRM\|1\|D.+(SWITCH|SIGNAL).+UNKNOWN)" - &gt;&gt; 2017-01-19-UncaughtWiMAX.txt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4" t="s">
        <v>611</v>
      </c>
      <c r="B82" s="7">
        <v>4043</v>
      </c>
      <c r="C82" s="22" t="s">
        <v>196</v>
      </c>
      <c r="D82" s="22" t="s">
        <v>744</v>
      </c>
      <c r="E82" s="13">
        <v>42754.545868055553</v>
      </c>
      <c r="F82" s="13">
        <v>42754.54959490741</v>
      </c>
      <c r="G82" s="7">
        <v>1</v>
      </c>
      <c r="H82" s="22" t="s">
        <v>225</v>
      </c>
      <c r="I82" s="13">
        <v>42754.576990740738</v>
      </c>
      <c r="J82" s="7">
        <v>5</v>
      </c>
      <c r="K82" s="105" t="str">
        <f t="shared" si="32"/>
        <v>4043/4044</v>
      </c>
      <c r="L82" s="22" t="str">
        <f>VLOOKUP(A82,'Trips&amp;Operators'!$C$1:$G$99999,5,FALSE)</f>
        <v>HELVIE ADAM</v>
      </c>
      <c r="M82" s="6">
        <f t="shared" si="33"/>
        <v>2.7395833327318542E-2</v>
      </c>
      <c r="N82" s="7">
        <f t="shared" si="31"/>
        <v>39.4499999913387</v>
      </c>
      <c r="O82" s="7"/>
      <c r="P82" s="7"/>
      <c r="Q82" s="23"/>
      <c r="R82" s="23"/>
      <c r="S82" s="32">
        <f t="shared" si="34"/>
        <v>1</v>
      </c>
      <c r="T82" s="47" t="str">
        <f t="shared" si="35"/>
        <v>Southbound</v>
      </c>
      <c r="U82" s="164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4" t="str">
        <f t="shared" si="36"/>
        <v>https://d0f6bd738d7f1b3e5a7ca70fe4ff75f0.us-east-1.aws.found.io/app/kibana#/discover/Steve-Slow-Train-Analysis-(2080s-and-2083s)?_g=(refreshInterval:(display:Off,pause:!f,section:0,value:0),time:(from:'2017-01-19T12:06:03-0700',mode:absolute,to:'2017-01-19T14:50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2" s="49" t="str">
        <f t="shared" si="37"/>
        <v>N</v>
      </c>
      <c r="X82" s="170">
        <f t="shared" si="48"/>
        <v>1</v>
      </c>
      <c r="Y82" s="64">
        <f t="shared" si="38"/>
        <v>23.300599999999999</v>
      </c>
      <c r="Z82" s="64">
        <f t="shared" si="39"/>
        <v>1.52E-2</v>
      </c>
      <c r="AA82" s="64">
        <f t="shared" si="40"/>
        <v>23.285399999999999</v>
      </c>
      <c r="AB82" s="61" t="e">
        <f>VLOOKUP(A82,Enforcements!$C$7:$K$15,8,0)</f>
        <v>#N/A</v>
      </c>
      <c r="AC82" s="57" t="e">
        <f>VLOOKUP(A82,Enforcements!$C$7:$E$15,3,0)</f>
        <v>#N/A</v>
      </c>
      <c r="AD82" s="58" t="str">
        <f t="shared" si="41"/>
        <v>0170-19</v>
      </c>
      <c r="AE82" s="87" t="str">
        <f t="shared" si="42"/>
        <v>aws s3 cp s3://rtdc.mdm.uploadarchive.raw/RTDC4043/ "%USERPROFILE%\AppData\Local\Temp\OnboardLogs"\RTDC4043\2017-01-19 --exclude "*" --recursive --include "*20170119*" &amp; "%USERPROFILE%\Documents\GitHub\mrs-test-scripts\Headless Mode &amp; Sideloading\WalkAndUnGZ.bat" "%USERPROFILE%\AppData\Local\Temp\OnboardLogs"\RTDC4043\2017-01-19 &amp; aws s3 cp s3://rtdc.mdm.uploadarchive.raw/RTDC4043/ "%USERPROFILE%\AppData\Local\Temp\OnboardLogs"\RTDC4043\2017-01-20 --exclude "*" --recursive --include "*20170120*" &amp; "%USERPROFILE%\Documents\GitHub\mrs-test-scripts\Headless Mode &amp; Sideloading\WalkAndUnGZ.bat" "%USERPROFILE%\AppData\Local\Temp\OnboardLogs"\RTDC4043\2017-01-20</v>
      </c>
      <c r="AF82" s="84" t="str">
        <f t="shared" si="43"/>
        <v>"C:\Program Files (x86)\AstroGrep\AstroGrep.exe" /spath="%USERPROFILE%\AppData\Local\Temp\OnboardLogs" /stypes="app*4043*20170119*" /stext=" 20:.+((SYSTEM_STATE.+slice.+state.+changed )|(ment ac)|(multiple cpu faults)|(system.+state.+changed )|(\[timeout)|(PRM\|1\|D)|(kpr)|(kdp)|(\|lc)|(penalty))" /e /r /s</v>
      </c>
      <c r="AG82" s="1" t="str">
        <f t="shared" si="44"/>
        <v>EC</v>
      </c>
      <c r="AH82" s="88" t="str">
        <f t="shared" si="45"/>
        <v>"%USERPROFILE%\Documents\GitHub\eaglep3\Utilities\RefineRTDCRunTimes.py" --tripid 170-19 --locoid 4043 --swversion DE.1.0.8.0 --startMP 204:233006 --initTime 2017-01-19T13:06:03 --startdatetime 2017-01-19T13:11:25 --delay 1 --endMP 204:152 --enddatetime 2017-01-19T13:50:52 --enforcementcount 5 &gt;&gt;C:\Users\stu\Documents\GitHub\eaglep3-reporting\EC\2017-01-19-refined-times.txt</v>
      </c>
      <c r="AI82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{"issue":{"subject":"","project_id":79,"tracker_id":40,"status_id":1,"priority_id":2,"assigned_to_id":23,"start_date":"2017-01-19","description":"","custom_fields":[{"id":1,"name":"Subdivision","value":"EC"},{"id":4,"name":"Milepost","value":"0.0152"},{"id":17,"name":"Train ID","value":"170-19"},{"id":16,"name":"Locomotive ID","value":"4043"},{"id":130,"name":"Impact","value":""},{"id":150,"name":"Time of Event (Mountain Time)","value":"13:50:52"},{"id":151,"name":"Denver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0"/>
      <c r="AK82" s="50"/>
      <c r="AL82" s="50"/>
      <c r="AM82" s="177" t="str">
        <f t="shared" si="47"/>
        <v>start /low /b %USERPROFILE%\Documents\GitHub\eaglep3\Utilities\DownloadLogsFromS3.py --loco 4043 --day 2017-01-19</v>
      </c>
      <c r="AN82" s="186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"%USERPROFILE%\AppData\Local\Temp\OnboardLogs"\RTDC4043\*4043*20170119* | grep -SE "(Enforcement Action)|(\[TIMEOUT)|(CHR.+\|PRM\|1\|D.+(SWITCH|SIGNAL).+UNKNOWN)" - &gt;&gt; 2017-01-19-UncaughtWiMAX.txt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4" t="s">
        <v>605</v>
      </c>
      <c r="B83" s="7">
        <v>4020</v>
      </c>
      <c r="C83" s="22" t="s">
        <v>196</v>
      </c>
      <c r="D83" s="22" t="s">
        <v>224</v>
      </c>
      <c r="E83" s="13">
        <v>42754.516064814816</v>
      </c>
      <c r="F83" s="13">
        <v>42754.521099537036</v>
      </c>
      <c r="G83" s="7">
        <v>2</v>
      </c>
      <c r="H83" s="22" t="s">
        <v>298</v>
      </c>
      <c r="I83" s="13">
        <v>42754.546099537038</v>
      </c>
      <c r="J83" s="7">
        <v>5</v>
      </c>
      <c r="K83" s="105" t="str">
        <f t="shared" si="32"/>
        <v>4019/4020</v>
      </c>
      <c r="L83" s="22" t="str">
        <f>VLOOKUP(A83,'Trips&amp;Operators'!$C$1:$G$99999,5,FALSE)</f>
        <v>BRANDNER MELINDA</v>
      </c>
      <c r="M83" s="6">
        <f t="shared" si="33"/>
        <v>2.5000000001455192E-2</v>
      </c>
      <c r="N83" s="7">
        <f t="shared" si="31"/>
        <v>36.000000002095476</v>
      </c>
      <c r="O83" s="7"/>
      <c r="P83" s="7"/>
      <c r="Q83" s="23"/>
      <c r="R83" s="23"/>
      <c r="S83" s="32">
        <f t="shared" si="34"/>
        <v>1</v>
      </c>
      <c r="T83" s="47" t="str">
        <f t="shared" si="35"/>
        <v>NorthBound</v>
      </c>
      <c r="U83" s="164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4" t="str">
        <f t="shared" si="36"/>
        <v>https://d0f6bd738d7f1b3e5a7ca70fe4ff75f0.us-east-1.aws.found.io/app/kibana#/discover/Steve-Slow-Train-Analysis-(2080s-and-2083s)?_g=(refreshInterval:(display:Off,pause:!f,section:0,value:0),time:(from:'2017-01-19T11:23:08-0700',mode:absolute,to:'2017-01-19T14:06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3" s="49" t="str">
        <f t="shared" si="37"/>
        <v>N</v>
      </c>
      <c r="X83" s="170">
        <f t="shared" si="48"/>
        <v>1</v>
      </c>
      <c r="Y83" s="64">
        <f t="shared" si="38"/>
        <v>4.4900000000000002E-2</v>
      </c>
      <c r="Z83" s="64">
        <f t="shared" si="39"/>
        <v>23.330300000000001</v>
      </c>
      <c r="AA83" s="64">
        <f t="shared" si="40"/>
        <v>23.285400000000003</v>
      </c>
      <c r="AB83" s="61" t="e">
        <f>VLOOKUP(A83,Enforcements!$C$7:$K$15,8,0)</f>
        <v>#N/A</v>
      </c>
      <c r="AC83" s="57" t="e">
        <f>VLOOKUP(A83,Enforcements!$C$7:$E$15,3,0)</f>
        <v>#N/A</v>
      </c>
      <c r="AD83" s="58" t="str">
        <f t="shared" si="41"/>
        <v>0171-19</v>
      </c>
      <c r="AE83" s="87" t="str">
        <f t="shared" si="42"/>
        <v>aws s3 cp s3://rtdc.mdm.uploadarchive.raw/RTDC4020/ "%USERPROFILE%\AppData\Local\Temp\OnboardLogs"\RTDC4020\2017-01-19 --exclude "*" --recursive --include "*20170119*" &amp; "%USERPROFILE%\Documents\GitHub\mrs-test-scripts\Headless Mode &amp; Sideloading\WalkAndUnGZ.bat" "%USERPROFILE%\AppData\Local\Temp\OnboardLogs"\RTDC4020\2017-01-19 &amp; aws s3 cp s3://rtdc.mdm.uploadarchive.raw/RTDC4020/ "%USERPROFILE%\AppData\Local\Temp\OnboardLogs"\RTDC4020\2017-01-20 --exclude "*" --recursive --include "*20170120*" &amp; "%USERPROFILE%\Documents\GitHub\mrs-test-scripts\Headless Mode &amp; Sideloading\WalkAndUnGZ.bat" "%USERPROFILE%\AppData\Local\Temp\OnboardLogs"\RTDC4020\2017-01-20</v>
      </c>
      <c r="AF83" s="84" t="str">
        <f t="shared" si="43"/>
        <v>"C:\Program Files (x86)\AstroGrep\AstroGrep.exe" /spath="%USERPROFILE%\AppData\Local\Temp\OnboardLogs" /stypes="app*4020*20170119*" /stext=" 20:.+((SYSTEM_STATE.+slice.+state.+changed )|(ment ac)|(multiple cpu faults)|(system.+state.+changed )|(\[timeout)|(PRM\|1\|D)|(kpr)|(kdp)|(\|lc)|(penalty))" /e /r /s</v>
      </c>
      <c r="AG83" s="1" t="str">
        <f t="shared" si="44"/>
        <v>EC</v>
      </c>
      <c r="AH83" s="88" t="str">
        <f t="shared" si="45"/>
        <v>"%USERPROFILE%\Documents\GitHub\eaglep3\Utilities\RefineRTDCRunTimes.py" --tripid 171-19 --locoid 4020 --swversion DE.1.0.8.0 --startMP 204:449 --initTime 2017-01-19T12:23:08 --startdatetime 2017-01-19T12:30:23 --delay 2 --endMP 204:233303 --enddatetime 2017-01-19T13:06:23 --enforcementcount 5 &gt;&gt;C:\Users\stu\Documents\GitHub\eaglep3-reporting\EC\2017-01-19-refined-times.txt</v>
      </c>
      <c r="AI83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{"issue":{"subject":"","project_id":79,"tracker_id":40,"status_id":1,"priority_id":2,"assigned_to_id":23,"start_date":"2017-01-19","description":"","custom_fields":[{"id":1,"name":"Subdivision","value":"EC"},{"id":4,"name":"Milepost","value":"23.3303"},{"id":17,"name":"Train ID","value":"171-19"},{"id":16,"name":"Locomotive ID","value":"4020"},{"id":130,"name":"Impact","value":""},{"id":150,"name":"Time of Event (Mountain Time)","value":"13:06:23"},{"id":151,"name":"Denver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0"/>
      <c r="AK83" s="50"/>
      <c r="AL83" s="50"/>
      <c r="AM83" s="177" t="str">
        <f t="shared" si="47"/>
        <v>start /low /b %USERPROFILE%\Documents\GitHub\eaglep3\Utilities\DownloadLogsFromS3.py --loco 4020 --day 2017-01-19</v>
      </c>
      <c r="AN83" s="186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"%USERPROFILE%\AppData\Local\Temp\OnboardLogs"\RTDC4020\*4020*20170119* | grep -SE "(Enforcement Action)|(\[TIMEOUT)|(CHR.+\|PRM\|1\|D.+(SWITCH|SIGNAL).+UNKNOWN)" - &gt;&gt; 2017-01-19-UncaughtWiMAX.txt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1" customFormat="1" x14ac:dyDescent="0.25">
      <c r="A84" s="34" t="s">
        <v>613</v>
      </c>
      <c r="B84" s="7">
        <v>4019</v>
      </c>
      <c r="C84" s="22" t="s">
        <v>196</v>
      </c>
      <c r="D84" s="22" t="s">
        <v>282</v>
      </c>
      <c r="E84" s="13">
        <v>42754.554872685185</v>
      </c>
      <c r="F84" s="13">
        <v>42754.559942129628</v>
      </c>
      <c r="G84" s="7">
        <v>1</v>
      </c>
      <c r="H84" s="22" t="s">
        <v>271</v>
      </c>
      <c r="I84" s="13">
        <v>42754.588784722226</v>
      </c>
      <c r="J84" s="7">
        <v>5</v>
      </c>
      <c r="K84" s="105" t="str">
        <f t="shared" si="32"/>
        <v>4019/4020</v>
      </c>
      <c r="L84" s="22" t="str">
        <f>VLOOKUP(A84,'Trips&amp;Operators'!$C$1:$G$99999,5,FALSE)</f>
        <v>BRANDNER MELINDA</v>
      </c>
      <c r="M84" s="6">
        <f t="shared" si="33"/>
        <v>2.8842592597356997E-2</v>
      </c>
      <c r="N84" s="7">
        <f t="shared" si="31"/>
        <v>41.533333340194076</v>
      </c>
      <c r="O84" s="7"/>
      <c r="P84" s="7"/>
      <c r="Q84" s="23"/>
      <c r="R84" s="23"/>
      <c r="S84" s="32">
        <f t="shared" si="34"/>
        <v>1</v>
      </c>
      <c r="T84" s="47" t="str">
        <f t="shared" si="35"/>
        <v>Southbound</v>
      </c>
      <c r="U84" s="164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4" t="str">
        <f t="shared" si="36"/>
        <v>https://d0f6bd738d7f1b3e5a7ca70fe4ff75f0.us-east-1.aws.found.io/app/kibana#/discover/Steve-Slow-Train-Analysis-(2080s-and-2083s)?_g=(refreshInterval:(display:Off,pause:!f,section:0,value:0),time:(from:'2017-01-19T12:19:01-0700',mode:absolute,to:'2017-01-19T15:07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4" s="49" t="str">
        <f t="shared" si="37"/>
        <v>N</v>
      </c>
      <c r="X84" s="170">
        <f t="shared" si="48"/>
        <v>1</v>
      </c>
      <c r="Y84" s="64">
        <f t="shared" si="38"/>
        <v>23.297799999999999</v>
      </c>
      <c r="Z84" s="64">
        <f t="shared" si="39"/>
        <v>1.43E-2</v>
      </c>
      <c r="AA84" s="64">
        <f t="shared" si="40"/>
        <v>23.2835</v>
      </c>
      <c r="AB84" s="61" t="e">
        <f>VLOOKUP(A84,Enforcements!$C$7:$K$15,8,0)</f>
        <v>#N/A</v>
      </c>
      <c r="AC84" s="57" t="e">
        <f>VLOOKUP(A84,Enforcements!$C$7:$E$15,3,0)</f>
        <v>#N/A</v>
      </c>
      <c r="AD84" s="58" t="str">
        <f t="shared" si="41"/>
        <v>0172-19</v>
      </c>
      <c r="AE84" s="87" t="str">
        <f t="shared" si="42"/>
        <v>aws s3 cp s3://rtdc.mdm.uploadarchive.raw/RTDC4019/ "%USERPROFILE%\AppData\Local\Temp\OnboardLogs"\RTDC4019\2017-01-19 --exclude "*" --recursive --include "*20170119*" &amp; "%USERPROFILE%\Documents\GitHub\mrs-test-scripts\Headless Mode &amp; Sideloading\WalkAndUnGZ.bat" "%USERPROFILE%\AppData\Local\Temp\OnboardLogs"\RTDC4019\2017-01-19 &amp; aws s3 cp s3://rtdc.mdm.uploadarchive.raw/RTDC4019/ "%USERPROFILE%\AppData\Local\Temp\OnboardLogs"\RTDC4019\2017-01-20 --exclude "*" --recursive --include "*20170120*" &amp; "%USERPROFILE%\Documents\GitHub\mrs-test-scripts\Headless Mode &amp; Sideloading\WalkAndUnGZ.bat" "%USERPROFILE%\AppData\Local\Temp\OnboardLogs"\RTDC4019\2017-01-20</v>
      </c>
      <c r="AF84" s="84" t="str">
        <f t="shared" si="43"/>
        <v>"C:\Program Files (x86)\AstroGrep\AstroGrep.exe" /spath="%USERPROFILE%\AppData\Local\Temp\OnboardLogs" /stypes="app*4019*20170119*" /stext=" 21:.+((SYSTEM_STATE.+slice.+state.+changed )|(ment ac)|(multiple cpu faults)|(system.+state.+changed )|(\[timeout)|(PRM\|1\|D)|(kpr)|(kdp)|(\|lc)|(penalty))" /e /r /s</v>
      </c>
      <c r="AG84" s="1" t="str">
        <f t="shared" si="44"/>
        <v>EC</v>
      </c>
      <c r="AH84" s="88" t="str">
        <f t="shared" si="45"/>
        <v>"%USERPROFILE%\Documents\GitHub\eaglep3\Utilities\RefineRTDCRunTimes.py" --tripid 172-19 --locoid 4019 --swversion DE.1.0.8.0 --startMP 204:232978 --initTime 2017-01-19T13:19:01 --startdatetime 2017-01-19T13:26:19 --delay 1 --endMP 204:143 --enddatetime 2017-01-19T14:07:51 --enforcementcount 5 &gt;&gt;C:\Users\stu\Documents\GitHub\eaglep3-reporting\EC\2017-01-19-refined-times.txt</v>
      </c>
      <c r="AI84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{"issue":{"subject":"","project_id":79,"tracker_id":40,"status_id":1,"priority_id":2,"assigned_to_id":23,"start_date":"2017-01-19","description":"","custom_fields":[{"id":1,"name":"Subdivision","value":"EC"},{"id":4,"name":"Milepost","value":"0.0143"},{"id":17,"name":"Train ID","value":"172-19"},{"id":16,"name":"Locomotive ID","value":"4019"},{"id":130,"name":"Impact","value":""},{"id":150,"name":"Time of Event (Mountain Time)","value":"14:07:51"},{"id":151,"name":"Denver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0"/>
      <c r="AK84" s="50"/>
      <c r="AL84" s="50"/>
      <c r="AM84" s="177" t="str">
        <f t="shared" si="47"/>
        <v>start /low /b %USERPROFILE%\Documents\GitHub\eaglep3\Utilities\DownloadLogsFromS3.py --loco 4019 --day 2017-01-19</v>
      </c>
      <c r="AN84" s="186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"%USERPROFILE%\AppData\Local\Temp\OnboardLogs"\RTDC4019\*4019*20170119* | grep -SE "(Enforcement Action)|(\[TIMEOUT)|(CHR.+\|PRM\|1\|D.+(SWITCH|SIGNAL).+UNKNOWN)" - &gt;&gt; 2017-01-19-UncaughtWiMAX.txt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1" customFormat="1" x14ac:dyDescent="0.25">
      <c r="A85" s="34" t="s">
        <v>608</v>
      </c>
      <c r="B85" s="7">
        <v>4016</v>
      </c>
      <c r="C85" s="22" t="s">
        <v>196</v>
      </c>
      <c r="D85" s="22" t="s">
        <v>386</v>
      </c>
      <c r="E85" s="13">
        <v>42754.525717592594</v>
      </c>
      <c r="F85" s="13">
        <v>42754.531585648147</v>
      </c>
      <c r="G85" s="7">
        <v>1</v>
      </c>
      <c r="H85" s="22" t="s">
        <v>305</v>
      </c>
      <c r="I85" s="13">
        <v>42754.556562500002</v>
      </c>
      <c r="J85" s="7">
        <v>5</v>
      </c>
      <c r="K85" s="105" t="str">
        <f t="shared" si="32"/>
        <v>4015/4016</v>
      </c>
      <c r="L85" s="22" t="str">
        <f>VLOOKUP(A85,'Trips&amp;Operators'!$C$1:$G$99999,5,FALSE)</f>
        <v>DE LA ROSA ALEX</v>
      </c>
      <c r="M85" s="6">
        <f t="shared" si="33"/>
        <v>2.4976851855171844E-2</v>
      </c>
      <c r="N85" s="7">
        <f t="shared" si="31"/>
        <v>35.966666671447456</v>
      </c>
      <c r="O85" s="7"/>
      <c r="P85" s="7"/>
      <c r="Q85" s="23"/>
      <c r="R85" s="23"/>
      <c r="S85" s="32">
        <f t="shared" si="34"/>
        <v>1</v>
      </c>
      <c r="T85" s="47" t="str">
        <f t="shared" si="35"/>
        <v>NorthBound</v>
      </c>
      <c r="U85" s="164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4" t="str">
        <f t="shared" si="36"/>
        <v>https://d0f6bd738d7f1b3e5a7ca70fe4ff75f0.us-east-1.aws.found.io/app/kibana#/discover/Steve-Slow-Train-Analysis-(2080s-and-2083s)?_g=(refreshInterval:(display:Off,pause:!f,section:0,value:0),time:(from:'2017-01-19T11:37:02-0700',mode:absolute,to:'2017-01-19T14:21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5" s="49" t="str">
        <f t="shared" si="37"/>
        <v>N</v>
      </c>
      <c r="X85" s="170">
        <f t="shared" si="48"/>
        <v>1</v>
      </c>
      <c r="Y85" s="64">
        <f t="shared" si="38"/>
        <v>4.3499999999999997E-2</v>
      </c>
      <c r="Z85" s="64">
        <f t="shared" si="39"/>
        <v>23.331499999999998</v>
      </c>
      <c r="AA85" s="64">
        <f t="shared" si="40"/>
        <v>23.287999999999997</v>
      </c>
      <c r="AB85" s="61" t="e">
        <f>VLOOKUP(A85,Enforcements!$C$7:$K$15,8,0)</f>
        <v>#N/A</v>
      </c>
      <c r="AC85" s="57" t="e">
        <f>VLOOKUP(A85,Enforcements!$C$7:$E$15,3,0)</f>
        <v>#N/A</v>
      </c>
      <c r="AD85" s="58" t="str">
        <f t="shared" si="41"/>
        <v>0173-19</v>
      </c>
      <c r="AE85" s="87" t="str">
        <f t="shared" si="42"/>
        <v>aws s3 cp s3://rtdc.mdm.uploadarchive.raw/RTDC4016/ "%USERPROFILE%\AppData\Local\Temp\OnboardLogs"\RTDC4016\2017-01-19 --exclude "*" --recursive --include "*20170119*" &amp; "%USERPROFILE%\Documents\GitHub\mrs-test-scripts\Headless Mode &amp; Sideloading\WalkAndUnGZ.bat" "%USERPROFILE%\AppData\Local\Temp\OnboardLogs"\RTDC4016\2017-01-19 &amp; aws s3 cp s3://rtdc.mdm.uploadarchive.raw/RTDC4016/ "%USERPROFILE%\AppData\Local\Temp\OnboardLogs"\RTDC4016\2017-01-20 --exclude "*" --recursive --include "*20170120*" &amp; "%USERPROFILE%\Documents\GitHub\mrs-test-scripts\Headless Mode &amp; Sideloading\WalkAndUnGZ.bat" "%USERPROFILE%\AppData\Local\Temp\OnboardLogs"\RTDC4016\2017-01-20</v>
      </c>
      <c r="AF85" s="84" t="str">
        <f t="shared" si="43"/>
        <v>"C:\Program Files (x86)\AstroGrep\AstroGrep.exe" /spath="%USERPROFILE%\AppData\Local\Temp\OnboardLogs" /stypes="app*4016*20170119*" /stext=" 20:.+((SYSTEM_STATE.+slice.+state.+changed )|(ment ac)|(multiple cpu faults)|(system.+state.+changed )|(\[timeout)|(PRM\|1\|D)|(kpr)|(kdp)|(\|lc)|(penalty))" /e /r /s</v>
      </c>
      <c r="AG85" s="1" t="str">
        <f t="shared" si="44"/>
        <v>EC</v>
      </c>
      <c r="AH85" s="88" t="str">
        <f t="shared" si="45"/>
        <v>"%USERPROFILE%\Documents\GitHub\eaglep3\Utilities\RefineRTDCRunTimes.py" --tripid 173-19 --locoid 4016 --swversion DE.1.0.8.0 --startMP 204:435 --initTime 2017-01-19T12:37:02 --startdatetime 2017-01-19T12:45:29 --delay 1 --endMP 204:233315 --enddatetime 2017-01-19T13:21:27 --enforcementcount 5 &gt;&gt;C:\Users\stu\Documents\GitHub\eaglep3-reporting\EC\2017-01-19-refined-times.txt</v>
      </c>
      <c r="AI85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{"issue":{"subject":"","project_id":79,"tracker_id":40,"status_id":1,"priority_id":2,"assigned_to_id":23,"start_date":"2017-01-19","description":"","custom_fields":[{"id":1,"name":"Subdivision","value":"EC"},{"id":4,"name":"Milepost","value":"23.3315"},{"id":17,"name":"Train ID","value":"173-19"},{"id":16,"name":"Locomotive ID","value":"4016"},{"id":130,"name":"Impact","value":""},{"id":150,"name":"Time of Event (Mountain Time)","value":"13:21:27"},{"id":151,"name":"Denver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0"/>
      <c r="AK85" s="50"/>
      <c r="AL85" s="50"/>
      <c r="AM85" s="177" t="str">
        <f t="shared" si="47"/>
        <v>start /low /b %USERPROFILE%\Documents\GitHub\eaglep3\Utilities\DownloadLogsFromS3.py --loco 4016 --day 2017-01-19</v>
      </c>
      <c r="AN85" s="186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"%USERPROFILE%\AppData\Local\Temp\OnboardLogs"\RTDC4016\*4016*20170119* | grep -SE "(Enforcement Action)|(\[TIMEOUT)|(CHR.+\|PRM\|1\|D.+(SWITCH|SIGNAL).+UNKNOWN)" - &gt;&gt; 2017-01-19-UncaughtWiMAX.txt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1" customFormat="1" x14ac:dyDescent="0.25">
      <c r="A86" s="34" t="s">
        <v>615</v>
      </c>
      <c r="B86" s="7">
        <v>4015</v>
      </c>
      <c r="C86" s="22" t="s">
        <v>196</v>
      </c>
      <c r="D86" s="22" t="s">
        <v>730</v>
      </c>
      <c r="E86" s="13">
        <v>42754.565162037034</v>
      </c>
      <c r="F86" s="13">
        <v>42754.5703125</v>
      </c>
      <c r="G86" s="7">
        <v>1</v>
      </c>
      <c r="H86" s="22" t="s">
        <v>252</v>
      </c>
      <c r="I86" s="13">
        <v>42754.598969907405</v>
      </c>
      <c r="J86" s="7">
        <v>5</v>
      </c>
      <c r="K86" s="105" t="str">
        <f t="shared" si="32"/>
        <v>4015/4016</v>
      </c>
      <c r="L86" s="22" t="str">
        <f>VLOOKUP(A86,'Trips&amp;Operators'!$C$1:$G$99999,5,FALSE)</f>
        <v>DE LA ROSA ALEX</v>
      </c>
      <c r="M86" s="6">
        <f t="shared" si="33"/>
        <v>2.8657407405262347E-2</v>
      </c>
      <c r="N86" s="7">
        <f t="shared" si="31"/>
        <v>41.26666666357778</v>
      </c>
      <c r="O86" s="7"/>
      <c r="P86" s="7"/>
      <c r="Q86" s="23"/>
      <c r="R86" s="23"/>
      <c r="S86" s="32">
        <f t="shared" si="34"/>
        <v>1</v>
      </c>
      <c r="T86" s="47" t="str">
        <f t="shared" si="35"/>
        <v>Southbound</v>
      </c>
      <c r="U86" s="164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4" t="str">
        <f t="shared" si="36"/>
        <v>https://d0f6bd738d7f1b3e5a7ca70fe4ff75f0.us-east-1.aws.found.io/app/kibana#/discover/Steve-Slow-Train-Analysis-(2080s-and-2083s)?_g=(refreshInterval:(display:Off,pause:!f,section:0,value:0),time:(from:'2017-01-19T12:33:50-0700',mode:absolute,to:'2017-01-19T15:22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6" s="49" t="str">
        <f t="shared" si="37"/>
        <v>N</v>
      </c>
      <c r="X86" s="170">
        <f t="shared" si="48"/>
        <v>1</v>
      </c>
      <c r="Y86" s="64">
        <f t="shared" si="38"/>
        <v>23.299399999999999</v>
      </c>
      <c r="Z86" s="64">
        <f t="shared" si="39"/>
        <v>1.54E-2</v>
      </c>
      <c r="AA86" s="64">
        <f t="shared" si="40"/>
        <v>23.283999999999999</v>
      </c>
      <c r="AB86" s="61" t="e">
        <f>VLOOKUP(A86,Enforcements!$C$7:$K$15,8,0)</f>
        <v>#N/A</v>
      </c>
      <c r="AC86" s="57" t="e">
        <f>VLOOKUP(A86,Enforcements!$C$7:$E$15,3,0)</f>
        <v>#N/A</v>
      </c>
      <c r="AD86" s="58" t="str">
        <f t="shared" si="41"/>
        <v>0174-19</v>
      </c>
      <c r="AE86" s="87" t="str">
        <f t="shared" si="42"/>
        <v>aws s3 cp s3://rtdc.mdm.uploadarchive.raw/RTDC4015/ "%USERPROFILE%\AppData\Local\Temp\OnboardLogs"\RTDC4015\2017-01-19 --exclude "*" --recursive --include "*20170119*" &amp; "%USERPROFILE%\Documents\GitHub\mrs-test-scripts\Headless Mode &amp; Sideloading\WalkAndUnGZ.bat" "%USERPROFILE%\AppData\Local\Temp\OnboardLogs"\RTDC4015\2017-01-19 &amp; aws s3 cp s3://rtdc.mdm.uploadarchive.raw/RTDC4015/ "%USERPROFILE%\AppData\Local\Temp\OnboardLogs"\RTDC4015\2017-01-20 --exclude "*" --recursive --include "*20170120*" &amp; "%USERPROFILE%\Documents\GitHub\mrs-test-scripts\Headless Mode &amp; Sideloading\WalkAndUnGZ.bat" "%USERPROFILE%\AppData\Local\Temp\OnboardLogs"\RTDC4015\2017-01-20</v>
      </c>
      <c r="AF86" s="84" t="str">
        <f t="shared" si="43"/>
        <v>"C:\Program Files (x86)\AstroGrep\AstroGrep.exe" /spath="%USERPROFILE%\AppData\Local\Temp\OnboardLogs" /stypes="app*4015*20170119*" /stext=" 21:.+((SYSTEM_STATE.+slice.+state.+changed )|(ment ac)|(multiple cpu faults)|(system.+state.+changed )|(\[timeout)|(PRM\|1\|D)|(kpr)|(kdp)|(\|lc)|(penalty))" /e /r /s</v>
      </c>
      <c r="AG86" s="1" t="str">
        <f t="shared" si="44"/>
        <v>EC</v>
      </c>
      <c r="AH86" s="88" t="str">
        <f t="shared" si="45"/>
        <v>"%USERPROFILE%\Documents\GitHub\eaglep3\Utilities\RefineRTDCRunTimes.py" --tripid 174-19 --locoid 4015 --swversion DE.1.0.8.0 --startMP 204:232994 --initTime 2017-01-19T13:33:50 --startdatetime 2017-01-19T13:41:15 --delay 1 --endMP 204:154 --enddatetime 2017-01-19T14:22:31 --enforcementcount 5 &gt;&gt;C:\Users\stu\Documents\GitHub\eaglep3-reporting\EC\2017-01-19-refined-times.txt</v>
      </c>
      <c r="AI86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{"issue":{"subject":"","project_id":79,"tracker_id":40,"status_id":1,"priority_id":2,"assigned_to_id":23,"start_date":"2017-01-19","description":"","custom_fields":[{"id":1,"name":"Subdivision","value":"EC"},{"id":4,"name":"Milepost","value":"0.0154"},{"id":17,"name":"Train ID","value":"174-19"},{"id":16,"name":"Locomotive ID","value":"4015"},{"id":130,"name":"Impact","value":""},{"id":150,"name":"Time of Event (Mountain Time)","value":"14:22:31"},{"id":151,"name":"Denver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0"/>
      <c r="AK86" s="50"/>
      <c r="AL86" s="50"/>
      <c r="AM86" s="177" t="str">
        <f t="shared" si="47"/>
        <v>start /low /b %USERPROFILE%\Documents\GitHub\eaglep3\Utilities\DownloadLogsFromS3.py --loco 4015 --day 2017-01-19</v>
      </c>
      <c r="AN86" s="186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"%USERPROFILE%\AppData\Local\Temp\OnboardLogs"\RTDC4015\*4015*20170119* | grep -SE "(Enforcement Action)|(\[TIMEOUT)|(CHR.+\|PRM\|1\|D.+(SWITCH|SIGNAL).+UNKNOWN)" - &gt;&gt; 2017-01-19-UncaughtWiMAX.txt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1" customFormat="1" x14ac:dyDescent="0.25">
      <c r="A87" s="34" t="s">
        <v>609</v>
      </c>
      <c r="B87" s="7">
        <v>4022</v>
      </c>
      <c r="C87" s="22" t="s">
        <v>196</v>
      </c>
      <c r="D87" s="22" t="s">
        <v>301</v>
      </c>
      <c r="E87" s="13">
        <v>42754.536053240743</v>
      </c>
      <c r="F87" s="13">
        <v>42754.541979166665</v>
      </c>
      <c r="G87" s="7">
        <v>1</v>
      </c>
      <c r="H87" s="22" t="s">
        <v>245</v>
      </c>
      <c r="I87" s="13">
        <v>42754.568333333336</v>
      </c>
      <c r="J87" s="7">
        <v>5</v>
      </c>
      <c r="K87" s="105" t="str">
        <f t="shared" si="32"/>
        <v>4021/4022</v>
      </c>
      <c r="L87" s="22" t="str">
        <f>VLOOKUP(A87,'Trips&amp;Operators'!$C$1:$G$99999,5,FALSE)</f>
        <v>KILLION DAVID</v>
      </c>
      <c r="M87" s="6">
        <f t="shared" si="33"/>
        <v>2.6354166671808343E-2</v>
      </c>
      <c r="N87" s="7">
        <f t="shared" si="31"/>
        <v>37.950000007404014</v>
      </c>
      <c r="O87" s="7"/>
      <c r="P87" s="7"/>
      <c r="Q87" s="23"/>
      <c r="R87" s="23"/>
      <c r="S87" s="32">
        <f t="shared" si="34"/>
        <v>1</v>
      </c>
      <c r="T87" s="47" t="str">
        <f t="shared" si="35"/>
        <v>NorthBound</v>
      </c>
      <c r="U87" s="164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4" t="str">
        <f t="shared" si="36"/>
        <v>https://d0f6bd738d7f1b3e5a7ca70fe4ff75f0.us-east-1.aws.found.io/app/kibana#/discover/Steve-Slow-Train-Analysis-(2080s-and-2083s)?_g=(refreshInterval:(display:Off,pause:!f,section:0,value:0),time:(from:'2017-01-19T11:51:55-0700',mode:absolute,to:'2017-01-19T14:38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87" s="49" t="str">
        <f t="shared" si="37"/>
        <v>N</v>
      </c>
      <c r="X87" s="170">
        <f t="shared" si="48"/>
        <v>1</v>
      </c>
      <c r="Y87" s="64">
        <f t="shared" si="38"/>
        <v>4.6699999999999998E-2</v>
      </c>
      <c r="Z87" s="64">
        <f t="shared" si="39"/>
        <v>23.3293</v>
      </c>
      <c r="AA87" s="64">
        <f t="shared" si="40"/>
        <v>23.282599999999999</v>
      </c>
      <c r="AB87" s="61" t="e">
        <f>VLOOKUP(A87,Enforcements!$C$7:$K$15,8,0)</f>
        <v>#N/A</v>
      </c>
      <c r="AC87" s="57" t="e">
        <f>VLOOKUP(A87,Enforcements!$C$7:$E$15,3,0)</f>
        <v>#N/A</v>
      </c>
      <c r="AD87" s="58" t="str">
        <f t="shared" si="41"/>
        <v>0175-19</v>
      </c>
      <c r="AE87" s="87" t="str">
        <f t="shared" si="42"/>
        <v>aws s3 cp s3://rtdc.mdm.uploadarchive.raw/RTDC4022/ "%USERPROFILE%\AppData\Local\Temp\OnboardLogs"\RTDC4022\2017-01-19 --exclude "*" --recursive --include "*20170119*" &amp; "%USERPROFILE%\Documents\GitHub\mrs-test-scripts\Headless Mode &amp; Sideloading\WalkAndUnGZ.bat" "%USERPROFILE%\AppData\Local\Temp\OnboardLogs"\RTDC4022\2017-01-19 &amp; aws s3 cp s3://rtdc.mdm.uploadarchive.raw/RTDC4022/ "%USERPROFILE%\AppData\Local\Temp\OnboardLogs"\RTDC4022\2017-01-20 --exclude "*" --recursive --include "*20170120*" &amp; "%USERPROFILE%\Documents\GitHub\mrs-test-scripts\Headless Mode &amp; Sideloading\WalkAndUnGZ.bat" "%USERPROFILE%\AppData\Local\Temp\OnboardLogs"\RTDC4022\2017-01-20</v>
      </c>
      <c r="AF87" s="84" t="str">
        <f t="shared" si="43"/>
        <v>"C:\Program Files (x86)\AstroGrep\AstroGrep.exe" /spath="%USERPROFILE%\AppData\Local\Temp\OnboardLogs" /stypes="app*4022*20170119*" /stext=" 20:.+((SYSTEM_STATE.+slice.+state.+changed )|(ment ac)|(multiple cpu faults)|(system.+state.+changed )|(\[timeout)|(PRM\|1\|D)|(kpr)|(kdp)|(\|lc)|(penalty))" /e /r /s</v>
      </c>
      <c r="AG87" s="1" t="str">
        <f t="shared" si="44"/>
        <v>EC</v>
      </c>
      <c r="AH87" s="88" t="str">
        <f t="shared" si="45"/>
        <v>"%USERPROFILE%\Documents\GitHub\eaglep3\Utilities\RefineRTDCRunTimes.py" --tripid 175-19 --locoid 4022 --swversion DE.1.0.8.0 --startMP 204:467 --initTime 2017-01-19T12:51:55 --startdatetime 2017-01-19T13:00:27 --delay 1 --endMP 204:233293 --enddatetime 2017-01-19T13:38:24 --enforcementcount 5 &gt;&gt;C:\Users\stu\Documents\GitHub\eaglep3-reporting\EC\2017-01-19-refined-times.txt</v>
      </c>
      <c r="AI87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{"issue":{"subject":"","project_id":79,"tracker_id":40,"status_id":1,"priority_id":2,"assigned_to_id":23,"start_date":"2017-01-19","description":"","custom_fields":[{"id":1,"name":"Subdivision","value":"EC"},{"id":4,"name":"Milepost","value":"23.3293"},{"id":17,"name":"Train ID","value":"175-19"},{"id":16,"name":"Locomotive ID","value":"4022"},{"id":130,"name":"Impact","value":""},{"id":150,"name":"Time of Event (Mountain Time)","value":"13:38:24"},{"id":151,"name":"Denver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0"/>
      <c r="AK87" s="50"/>
      <c r="AL87" s="50"/>
      <c r="AM87" s="177" t="str">
        <f t="shared" si="47"/>
        <v>start /low /b %USERPROFILE%\Documents\GitHub\eaglep3\Utilities\DownloadLogsFromS3.py --loco 4022 --day 2017-01-19</v>
      </c>
      <c r="AN87" s="186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"%USERPROFILE%\AppData\Local\Temp\OnboardLogs"\RTDC4022\*4022*20170119* | grep -SE "(Enforcement Action)|(\[TIMEOUT)|(CHR.+\|PRM\|1\|D.+(SWITCH|SIGNAL).+UNKNOWN)" - &gt;&gt; 2017-01-19-UncaughtWiMAX.txt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x14ac:dyDescent="0.25">
      <c r="A88" s="34" t="s">
        <v>618</v>
      </c>
      <c r="B88" s="7">
        <v>4021</v>
      </c>
      <c r="C88" s="22" t="s">
        <v>196</v>
      </c>
      <c r="D88" s="22" t="s">
        <v>745</v>
      </c>
      <c r="E88" s="13">
        <v>42754.574305555558</v>
      </c>
      <c r="F88" s="13">
        <v>42754.581064814818</v>
      </c>
      <c r="G88" s="7">
        <v>1</v>
      </c>
      <c r="H88" s="22" t="s">
        <v>206</v>
      </c>
      <c r="I88" s="13">
        <v>42754.608773148146</v>
      </c>
      <c r="J88" s="7">
        <v>5</v>
      </c>
      <c r="K88" s="105" t="str">
        <f t="shared" si="32"/>
        <v>4021/4022</v>
      </c>
      <c r="L88" s="22" t="str">
        <f>VLOOKUP(A88,'Trips&amp;Operators'!$C$1:$G$99999,5,FALSE)</f>
        <v>KILLION DAVID</v>
      </c>
      <c r="M88" s="6">
        <f t="shared" si="33"/>
        <v>2.770833332760958E-2</v>
      </c>
      <c r="N88" s="7">
        <f t="shared" si="31"/>
        <v>39.899999991757795</v>
      </c>
      <c r="O88" s="7"/>
      <c r="P88" s="7"/>
      <c r="Q88" s="23"/>
      <c r="R88" s="23"/>
      <c r="S88" s="32">
        <f t="shared" si="34"/>
        <v>1</v>
      </c>
      <c r="T88" s="47" t="str">
        <f t="shared" si="35"/>
        <v>Southbound</v>
      </c>
      <c r="U88" s="164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4" t="str">
        <f t="shared" si="36"/>
        <v>https://d0f6bd738d7f1b3e5a7ca70fe4ff75f0.us-east-1.aws.found.io/app/kibana#/discover/Steve-Slow-Train-Analysis-(2080s-and-2083s)?_g=(refreshInterval:(display:Off,pause:!f,section:0,value:0),time:(from:'2017-01-19T12:47:00-0700',mode:absolute,to:'2017-01-19T15:36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88" s="49" t="str">
        <f t="shared" si="37"/>
        <v>N</v>
      </c>
      <c r="X88" s="170">
        <f t="shared" si="48"/>
        <v>1</v>
      </c>
      <c r="Y88" s="64">
        <f t="shared" si="38"/>
        <v>23.2988</v>
      </c>
      <c r="Z88" s="64">
        <f t="shared" si="39"/>
        <v>1.4500000000000001E-2</v>
      </c>
      <c r="AA88" s="64">
        <f t="shared" si="40"/>
        <v>23.284299999999998</v>
      </c>
      <c r="AB88" s="61" t="e">
        <f>VLOOKUP(A88,Enforcements!$C$7:$K$15,8,0)</f>
        <v>#N/A</v>
      </c>
      <c r="AC88" s="57" t="e">
        <f>VLOOKUP(A88,Enforcements!$C$7:$E$15,3,0)</f>
        <v>#N/A</v>
      </c>
      <c r="AD88" s="58" t="str">
        <f t="shared" si="41"/>
        <v>0176-19</v>
      </c>
      <c r="AE88" s="87" t="str">
        <f t="shared" si="42"/>
        <v>aws s3 cp s3://rtdc.mdm.uploadarchive.raw/RTDC4021/ "%USERPROFILE%\AppData\Local\Temp\OnboardLogs"\RTDC4021\2017-01-19 --exclude "*" --recursive --include "*20170119*" &amp; "%USERPROFILE%\Documents\GitHub\mrs-test-scripts\Headless Mode &amp; Sideloading\WalkAndUnGZ.bat" "%USERPROFILE%\AppData\Local\Temp\OnboardLogs"\RTDC4021\2017-01-19 &amp; aws s3 cp s3://rtdc.mdm.uploadarchive.raw/RTDC4021/ "%USERPROFILE%\AppData\Local\Temp\OnboardLogs"\RTDC4021\2017-01-20 --exclude "*" --recursive --include "*20170120*" &amp; "%USERPROFILE%\Documents\GitHub\mrs-test-scripts\Headless Mode &amp; Sideloading\WalkAndUnGZ.bat" "%USERPROFILE%\AppData\Local\Temp\OnboardLogs"\RTDC4021\2017-01-20</v>
      </c>
      <c r="AF88" s="84" t="str">
        <f t="shared" si="43"/>
        <v>"C:\Program Files (x86)\AstroGrep\AstroGrep.exe" /spath="%USERPROFILE%\AppData\Local\Temp\OnboardLogs" /stypes="app*4021*20170119*" /stext=" 21:.+((SYSTEM_STATE.+slice.+state.+changed )|(ment ac)|(multiple cpu faults)|(system.+state.+changed )|(\[timeout)|(PRM\|1\|D)|(kpr)|(kdp)|(\|lc)|(penalty))" /e /r /s</v>
      </c>
      <c r="AG88" s="1" t="str">
        <f t="shared" si="44"/>
        <v>EC</v>
      </c>
      <c r="AH88" s="88" t="str">
        <f t="shared" si="45"/>
        <v>"%USERPROFILE%\Documents\GitHub\eaglep3\Utilities\RefineRTDCRunTimes.py" --tripid 176-19 --locoid 4021 --swversion DE.1.0.8.0 --startMP 204:232988 --initTime 2017-01-19T13:47:00 --startdatetime 2017-01-19T13:56:44 --delay 1 --endMP 204:145 --enddatetime 2017-01-19T14:36:38 --enforcementcount 5 &gt;&gt;C:\Users\stu\Documents\GitHub\eaglep3-reporting\EC\2017-01-19-refined-times.txt</v>
      </c>
      <c r="AI88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{"issue":{"subject":"","project_id":79,"tracker_id":40,"status_id":1,"priority_id":2,"assigned_to_id":23,"start_date":"2017-01-19","description":"","custom_fields":[{"id":1,"name":"Subdivision","value":"EC"},{"id":4,"name":"Milepost","value":"0.0145"},{"id":17,"name":"Train ID","value":"176-19"},{"id":16,"name":"Locomotive ID","value":"4021"},{"id":130,"name":"Impact","value":""},{"id":150,"name":"Time of Event (Mountain Time)","value":"14:36:38"},{"id":151,"name":"Denver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0"/>
      <c r="AK88" s="50"/>
      <c r="AL88" s="50"/>
      <c r="AM88" s="177" t="str">
        <f t="shared" si="47"/>
        <v>start /low /b %USERPROFILE%\Documents\GitHub\eaglep3\Utilities\DownloadLogsFromS3.py --loco 4021 --day 2017-01-19</v>
      </c>
      <c r="AN88" s="186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"%USERPROFILE%\AppData\Local\Temp\OnboardLogs"\RTDC4021\*4021*20170119* | grep -SE "(Enforcement Action)|(\[TIMEOUT)|(CHR.+\|PRM\|1\|D.+(SWITCH|SIGNAL).+UNKNOWN)" - &gt;&gt; 2017-01-19-UncaughtWiMAX.txt</v>
      </c>
    </row>
    <row r="89" spans="1:91" x14ac:dyDescent="0.25">
      <c r="A89" s="34" t="s">
        <v>612</v>
      </c>
      <c r="B89" s="7">
        <v>4042</v>
      </c>
      <c r="C89" s="22" t="s">
        <v>196</v>
      </c>
      <c r="D89" s="22" t="s">
        <v>272</v>
      </c>
      <c r="E89" s="13">
        <v>42754.548842592594</v>
      </c>
      <c r="F89" s="13">
        <v>42754.552256944444</v>
      </c>
      <c r="G89" s="7">
        <v>1</v>
      </c>
      <c r="H89" s="22" t="s">
        <v>285</v>
      </c>
      <c r="I89" s="13">
        <v>42754.58011574074</v>
      </c>
      <c r="J89" s="7">
        <v>5</v>
      </c>
      <c r="K89" s="105" t="str">
        <f t="shared" si="32"/>
        <v>4041/4042</v>
      </c>
      <c r="L89" s="22" t="str">
        <f>VLOOKUP(A89,'Trips&amp;Operators'!$C$1:$G$99999,5,FALSE)</f>
        <v>BRUDER RICHARD</v>
      </c>
      <c r="M89" s="6">
        <f t="shared" si="33"/>
        <v>2.7858796296641231E-2</v>
      </c>
      <c r="N89" s="7">
        <f t="shared" si="31"/>
        <v>40.116666667163372</v>
      </c>
      <c r="O89" s="7"/>
      <c r="P89" s="7"/>
      <c r="Q89" s="23"/>
      <c r="R89" s="23"/>
      <c r="S89" s="32">
        <f t="shared" si="34"/>
        <v>1</v>
      </c>
      <c r="T89" s="47" t="str">
        <f t="shared" si="35"/>
        <v>NorthBound</v>
      </c>
      <c r="U89" s="164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4" t="str">
        <f t="shared" si="36"/>
        <v>https://d0f6bd738d7f1b3e5a7ca70fe4ff75f0.us-east-1.aws.found.io/app/kibana#/discover/Steve-Slow-Train-Analysis-(2080s-and-2083s)?_g=(refreshInterval:(display:Off,pause:!f,section:0,value:0),time:(from:'2017-01-19T12:10:20-0700',mode:absolute,to:'2017-01-19T14:55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9" s="49" t="str">
        <f t="shared" si="37"/>
        <v>N</v>
      </c>
      <c r="X89" s="170">
        <f t="shared" si="48"/>
        <v>1</v>
      </c>
      <c r="Y89" s="64">
        <f t="shared" si="38"/>
        <v>4.6600000000000003E-2</v>
      </c>
      <c r="Z89" s="64">
        <f t="shared" si="39"/>
        <v>23.3308</v>
      </c>
      <c r="AA89" s="64">
        <f t="shared" si="40"/>
        <v>23.284199999999998</v>
      </c>
      <c r="AB89" s="61" t="e">
        <f>VLOOKUP(A89,Enforcements!$C$7:$K$15,8,0)</f>
        <v>#N/A</v>
      </c>
      <c r="AC89" s="57" t="e">
        <f>VLOOKUP(A89,Enforcements!$C$7:$E$15,3,0)</f>
        <v>#N/A</v>
      </c>
      <c r="AD89" s="58" t="str">
        <f t="shared" si="41"/>
        <v>0177-19</v>
      </c>
      <c r="AE89" s="87" t="str">
        <f t="shared" si="42"/>
        <v>aws s3 cp s3://rtdc.mdm.uploadarchive.raw/RTDC4042/ "%USERPROFILE%\AppData\Local\Temp\OnboardLogs"\RTDC4042\2017-01-19 --exclude "*" --recursive --include "*20170119*" &amp; "%USERPROFILE%\Documents\GitHub\mrs-test-scripts\Headless Mode &amp; Sideloading\WalkAndUnGZ.bat" "%USERPROFILE%\AppData\Local\Temp\OnboardLogs"\RTDC4042\2017-01-19 &amp; aws s3 cp s3://rtdc.mdm.uploadarchive.raw/RTDC4042/ "%USERPROFILE%\AppData\Local\Temp\OnboardLogs"\RTDC4042\2017-01-20 --exclude "*" --recursive --include "*20170120*" &amp; "%USERPROFILE%\Documents\GitHub\mrs-test-scripts\Headless Mode &amp; Sideloading\WalkAndUnGZ.bat" "%USERPROFILE%\AppData\Local\Temp\OnboardLogs"\RTDC4042\2017-01-20</v>
      </c>
      <c r="AF89" s="84" t="str">
        <f t="shared" si="43"/>
        <v>"C:\Program Files (x86)\AstroGrep\AstroGrep.exe" /spath="%USERPROFILE%\AppData\Local\Temp\OnboardLogs" /stypes="app*4042*20170119*" /stext=" 20:.+((SYSTEM_STATE.+slice.+state.+changed )|(ment ac)|(multiple cpu faults)|(system.+state.+changed )|(\[timeout)|(PRM\|1\|D)|(kpr)|(kdp)|(\|lc)|(penalty))" /e /r /s</v>
      </c>
      <c r="AG89" s="1" t="str">
        <f t="shared" si="44"/>
        <v>EC</v>
      </c>
      <c r="AH89" s="88" t="str">
        <f t="shared" si="45"/>
        <v>"%USERPROFILE%\Documents\GitHub\eaglep3\Utilities\RefineRTDCRunTimes.py" --tripid 177-19 --locoid 4042 --swversion DE.1.0.8.0 --startMP 204:466 --initTime 2017-01-19T13:10:20 --startdatetime 2017-01-19T13:15:15 --delay 1 --endMP 204:233308 --enddatetime 2017-01-19T13:55:22 --enforcementcount 5 &gt;&gt;C:\Users\stu\Documents\GitHub\eaglep3-reporting\EC\2017-01-19-refined-times.txt</v>
      </c>
      <c r="AI89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{"issue":{"subject":"","project_id":79,"tracker_id":40,"status_id":1,"priority_id":2,"assigned_to_id":23,"start_date":"2017-01-19","description":"","custom_fields":[{"id":1,"name":"Subdivision","value":"EC"},{"id":4,"name":"Milepost","value":"23.3308"},{"id":17,"name":"Train ID","value":"177-19"},{"id":16,"name":"Locomotive ID","value":"4042"},{"id":130,"name":"Impact","value":""},{"id":150,"name":"Time of Event (Mountain Time)","value":"13:55:22"},{"id":151,"name":"Denver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0"/>
      <c r="AK89" s="50"/>
      <c r="AL89" s="50"/>
      <c r="AM89" s="177" t="str">
        <f t="shared" si="47"/>
        <v>start /low /b %USERPROFILE%\Documents\GitHub\eaglep3\Utilities\DownloadLogsFromS3.py --loco 4042 --day 2017-01-19</v>
      </c>
      <c r="AN89" s="186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"%USERPROFILE%\AppData\Local\Temp\OnboardLogs"\RTDC4042\*4042*20170119* | grep -SE "(Enforcement Action)|(\[TIMEOUT)|(CHR.+\|PRM\|1\|D.+(SWITCH|SIGNAL).+UNKNOWN)" - &gt;&gt; 2017-01-19-UncaughtWiMAX.txt</v>
      </c>
    </row>
    <row r="90" spans="1:91" s="21" customFormat="1" x14ac:dyDescent="0.25">
      <c r="A90" s="34" t="s">
        <v>620</v>
      </c>
      <c r="B90" s="7">
        <v>4041</v>
      </c>
      <c r="C90" s="22" t="s">
        <v>196</v>
      </c>
      <c r="D90" s="22" t="s">
        <v>381</v>
      </c>
      <c r="E90" s="13">
        <v>42754.582835648151</v>
      </c>
      <c r="F90" s="13">
        <v>42754.591145833336</v>
      </c>
      <c r="G90" s="7">
        <v>1</v>
      </c>
      <c r="H90" s="22" t="s">
        <v>325</v>
      </c>
      <c r="I90" s="13">
        <v>42754.617638888885</v>
      </c>
      <c r="J90" s="7">
        <v>5</v>
      </c>
      <c r="K90" s="105" t="str">
        <f t="shared" si="32"/>
        <v>4041/4042</v>
      </c>
      <c r="L90" s="22" t="str">
        <f>VLOOKUP(A90,'Trips&amp;Operators'!$C$1:$G$99999,5,FALSE)</f>
        <v>BRUDER RICHARD</v>
      </c>
      <c r="M90" s="6">
        <f t="shared" si="33"/>
        <v>2.6493055549508426E-2</v>
      </c>
      <c r="N90" s="7">
        <f t="shared" si="31"/>
        <v>38.149999991292134</v>
      </c>
      <c r="O90" s="7"/>
      <c r="P90" s="7"/>
      <c r="Q90" s="23"/>
      <c r="R90" s="23"/>
      <c r="S90" s="32">
        <f t="shared" si="34"/>
        <v>1</v>
      </c>
      <c r="T90" s="47" t="str">
        <f t="shared" si="35"/>
        <v>Southbound</v>
      </c>
      <c r="U90" s="164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4" t="str">
        <f t="shared" si="36"/>
        <v>https://d0f6bd738d7f1b3e5a7ca70fe4ff75f0.us-east-1.aws.found.io/app/kibana#/discover/Steve-Slow-Train-Analysis-(2080s-and-2083s)?_g=(refreshInterval:(display:Off,pause:!f,section:0,value:0),time:(from:'2017-01-19T12:59:17-0700',mode:absolute,to:'2017-01-19T15:49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0" s="49" t="str">
        <f t="shared" si="37"/>
        <v>N</v>
      </c>
      <c r="X90" s="170">
        <f t="shared" si="48"/>
        <v>1</v>
      </c>
      <c r="Y90" s="64">
        <f t="shared" si="38"/>
        <v>23.298500000000001</v>
      </c>
      <c r="Z90" s="64">
        <f t="shared" si="39"/>
        <v>1.3599999999999999E-2</v>
      </c>
      <c r="AA90" s="64">
        <f t="shared" si="40"/>
        <v>23.2849</v>
      </c>
      <c r="AB90" s="61" t="e">
        <f>VLOOKUP(A90,Enforcements!$C$7:$K$15,8,0)</f>
        <v>#N/A</v>
      </c>
      <c r="AC90" s="57" t="e">
        <f>VLOOKUP(A90,Enforcements!$C$7:$E$15,3,0)</f>
        <v>#N/A</v>
      </c>
      <c r="AD90" s="58" t="str">
        <f t="shared" si="41"/>
        <v>0178-19</v>
      </c>
      <c r="AE90" s="87" t="str">
        <f t="shared" si="42"/>
        <v>aws s3 cp s3://rtdc.mdm.uploadarchive.raw/RTDC4041/ "%USERPROFILE%\AppData\Local\Temp\OnboardLogs"\RTDC4041\2017-01-19 --exclude "*" --recursive --include "*20170119*" &amp; "%USERPROFILE%\Documents\GitHub\mrs-test-scripts\Headless Mode &amp; Sideloading\WalkAndUnGZ.bat" "%USERPROFILE%\AppData\Local\Temp\OnboardLogs"\RTDC4041\2017-01-19 &amp; aws s3 cp s3://rtdc.mdm.uploadarchive.raw/RTDC4041/ "%USERPROFILE%\AppData\Local\Temp\OnboardLogs"\RTDC4041\2017-01-20 --exclude "*" --recursive --include "*20170120*" &amp; "%USERPROFILE%\Documents\GitHub\mrs-test-scripts\Headless Mode &amp; Sideloading\WalkAndUnGZ.bat" "%USERPROFILE%\AppData\Local\Temp\OnboardLogs"\RTDC4041\2017-01-20</v>
      </c>
      <c r="AF90" s="84" t="str">
        <f t="shared" si="43"/>
        <v>"C:\Program Files (x86)\AstroGrep\AstroGrep.exe" /spath="%USERPROFILE%\AppData\Local\Temp\OnboardLogs" /stypes="app*4041*20170119*" /stext=" 21:.+((SYSTEM_STATE.+slice.+state.+changed )|(ment ac)|(multiple cpu faults)|(system.+state.+changed )|(\[timeout)|(PRM\|1\|D)|(kpr)|(kdp)|(\|lc)|(penalty))" /e /r /s</v>
      </c>
      <c r="AG90" s="1" t="str">
        <f t="shared" si="44"/>
        <v>EC</v>
      </c>
      <c r="AH90" s="88" t="str">
        <f t="shared" si="45"/>
        <v>"%USERPROFILE%\Documents\GitHub\eaglep3\Utilities\RefineRTDCRunTimes.py" --tripid 178-19 --locoid 4041 --swversion DE.1.0.8.0 --startMP 204:232985 --initTime 2017-01-19T13:59:17 --startdatetime 2017-01-19T14:11:15 --delay 1 --endMP 204:136 --enddatetime 2017-01-19T14:49:24 --enforcementcount 5 &gt;&gt;C:\Users\stu\Documents\GitHub\eaglep3-reporting\EC\2017-01-19-refined-times.txt</v>
      </c>
      <c r="AI90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{"issue":{"subject":"","project_id":79,"tracker_id":40,"status_id":1,"priority_id":2,"assigned_to_id":23,"start_date":"2017-01-19","description":"","custom_fields":[{"id":1,"name":"Subdivision","value":"EC"},{"id":4,"name":"Milepost","value":"0.0136"},{"id":17,"name":"Train ID","value":"178-19"},{"id":16,"name":"Locomotive ID","value":"4041"},{"id":130,"name":"Impact","value":""},{"id":150,"name":"Time of Event (Mountain Time)","value":"14:49:24"},{"id":151,"name":"Denver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0"/>
      <c r="AK90" s="50"/>
      <c r="AL90" s="50"/>
      <c r="AM90" s="177" t="str">
        <f t="shared" si="47"/>
        <v>start /low /b %USERPROFILE%\Documents\GitHub\eaglep3\Utilities\DownloadLogsFromS3.py --loco 4041 --day 2017-01-19</v>
      </c>
      <c r="AN90" s="186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"%USERPROFILE%\AppData\Local\Temp\OnboardLogs"\RTDC4041\*4041*20170119* | grep -SE "(Enforcement Action)|(\[TIMEOUT)|(CHR.+\|PRM\|1\|D.+(SWITCH|SIGNAL).+UNKNOWN)" - &gt;&gt; 2017-01-19-UncaughtWiMAX.txt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1" customFormat="1" x14ac:dyDescent="0.25">
      <c r="A91" s="34" t="s">
        <v>614</v>
      </c>
      <c r="B91" s="7">
        <v>4011</v>
      </c>
      <c r="C91" s="22" t="s">
        <v>196</v>
      </c>
      <c r="D91" s="22" t="s">
        <v>286</v>
      </c>
      <c r="E91" s="13">
        <v>42754.557187500002</v>
      </c>
      <c r="F91" s="13">
        <v>42754.562719907408</v>
      </c>
      <c r="G91" s="7">
        <v>1</v>
      </c>
      <c r="H91" s="22" t="s">
        <v>245</v>
      </c>
      <c r="I91" s="13">
        <v>42754.587962962964</v>
      </c>
      <c r="J91" s="7">
        <v>5</v>
      </c>
      <c r="K91" s="105" t="str">
        <f t="shared" si="32"/>
        <v>4011/4012</v>
      </c>
      <c r="L91" s="22" t="str">
        <f>VLOOKUP(A91,'Trips&amp;Operators'!$C$1:$G$99999,5,FALSE)</f>
        <v>SMITH MICHAEL</v>
      </c>
      <c r="M91" s="6">
        <f t="shared" si="33"/>
        <v>2.5243055555620231E-2</v>
      </c>
      <c r="N91" s="7">
        <f t="shared" si="31"/>
        <v>36.350000000093132</v>
      </c>
      <c r="O91" s="7"/>
      <c r="P91" s="7"/>
      <c r="Q91" s="23"/>
      <c r="R91" s="23"/>
      <c r="S91" s="32">
        <f t="shared" si="34"/>
        <v>1</v>
      </c>
      <c r="T91" s="47" t="str">
        <f t="shared" si="35"/>
        <v>NorthBound</v>
      </c>
      <c r="U91" s="164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4" t="str">
        <f t="shared" si="36"/>
        <v>https://d0f6bd738d7f1b3e5a7ca70fe4ff75f0.us-east-1.aws.found.io/app/kibana#/discover/Steve-Slow-Train-Analysis-(2080s-and-2083s)?_g=(refreshInterval:(display:Off,pause:!f,section:0,value:0),time:(from:'2017-01-19T12:22:21-0700',mode:absolute,to:'2017-01-19T15:06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1" s="49" t="str">
        <f t="shared" si="37"/>
        <v>N</v>
      </c>
      <c r="X91" s="170">
        <f t="shared" si="48"/>
        <v>1</v>
      </c>
      <c r="Y91" s="64">
        <f t="shared" si="38"/>
        <v>4.5699999999999998E-2</v>
      </c>
      <c r="Z91" s="64">
        <f t="shared" si="39"/>
        <v>23.3293</v>
      </c>
      <c r="AA91" s="64">
        <f t="shared" si="40"/>
        <v>23.2836</v>
      </c>
      <c r="AB91" s="61" t="e">
        <f>VLOOKUP(A91,Enforcements!$C$7:$K$15,8,0)</f>
        <v>#N/A</v>
      </c>
      <c r="AC91" s="57" t="e">
        <f>VLOOKUP(A91,Enforcements!$C$7:$E$15,3,0)</f>
        <v>#N/A</v>
      </c>
      <c r="AD91" s="58" t="str">
        <f t="shared" si="41"/>
        <v>0179-19</v>
      </c>
      <c r="AE91" s="87" t="str">
        <f t="shared" si="42"/>
        <v>aws s3 cp s3://rtdc.mdm.uploadarchive.raw/RTDC4011/ "%USERPROFILE%\AppData\Local\Temp\OnboardLogs"\RTDC4011\2017-01-19 --exclude "*" --recursive --include "*20170119*" &amp; "%USERPROFILE%\Documents\GitHub\mrs-test-scripts\Headless Mode &amp; Sideloading\WalkAndUnGZ.bat" "%USERPROFILE%\AppData\Local\Temp\OnboardLogs"\RTDC4011\2017-01-19 &amp; aws s3 cp s3://rtdc.mdm.uploadarchive.raw/RTDC4011/ "%USERPROFILE%\AppData\Local\Temp\OnboardLogs"\RTDC4011\2017-01-20 --exclude "*" --recursive --include "*20170120*" &amp; "%USERPROFILE%\Documents\GitHub\mrs-test-scripts\Headless Mode &amp; Sideloading\WalkAndUnGZ.bat" "%USERPROFILE%\AppData\Local\Temp\OnboardLogs"\RTDC4011\2017-01-20</v>
      </c>
      <c r="AF91" s="84" t="str">
        <f t="shared" si="43"/>
        <v>"C:\Program Files (x86)\AstroGrep\AstroGrep.exe" /spath="%USERPROFILE%\AppData\Local\Temp\OnboardLogs" /stypes="app*4011*20170119*" /stext=" 21:.+((SYSTEM_STATE.+slice.+state.+changed )|(ment ac)|(multiple cpu faults)|(system.+state.+changed )|(\[timeout)|(PRM\|1\|D)|(kpr)|(kdp)|(\|lc)|(penalty))" /e /r /s</v>
      </c>
      <c r="AG91" s="1" t="str">
        <f t="shared" si="44"/>
        <v>EC</v>
      </c>
      <c r="AH91" s="88" t="str">
        <f t="shared" si="45"/>
        <v>"%USERPROFILE%\Documents\GitHub\eaglep3\Utilities\RefineRTDCRunTimes.py" --tripid 179-19 --locoid 4011 --swversion DE.1.0.8.0 --startMP 204:457 --initTime 2017-01-19T13:22:21 --startdatetime 2017-01-19T13:30:19 --delay 1 --endMP 204:233293 --enddatetime 2017-01-19T14:06:40 --enforcementcount 5 &gt;&gt;C:\Users\stu\Documents\GitHub\eaglep3-reporting\EC\2017-01-19-refined-times.txt</v>
      </c>
      <c r="AI91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{"issue":{"subject":"","project_id":79,"tracker_id":40,"status_id":1,"priority_id":2,"assigned_to_id":23,"start_date":"2017-01-19","description":"","custom_fields":[{"id":1,"name":"Subdivision","value":"EC"},{"id":4,"name":"Milepost","value":"23.3293"},{"id":17,"name":"Train ID","value":"179-19"},{"id":16,"name":"Locomotive ID","value":"4011"},{"id":130,"name":"Impact","value":""},{"id":150,"name":"Time of Event (Mountain Time)","value":"14:06:40"},{"id":151,"name":"Denver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0"/>
      <c r="AK91" s="50"/>
      <c r="AL91" s="50"/>
      <c r="AM91" s="177" t="str">
        <f t="shared" si="47"/>
        <v>start /low /b %USERPROFILE%\Documents\GitHub\eaglep3\Utilities\DownloadLogsFromS3.py --loco 4011 --day 2017-01-19</v>
      </c>
      <c r="AN91" s="186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"%USERPROFILE%\AppData\Local\Temp\OnboardLogs"\RTDC4011\*4011*20170119* | grep -SE "(Enforcement Action)|(\[TIMEOUT)|(CHR.+\|PRM\|1\|D.+(SWITCH|SIGNAL).+UNKNOWN)" - &gt;&gt; 2017-01-19-UncaughtWiMAX.txt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1" customFormat="1" x14ac:dyDescent="0.25">
      <c r="A92" s="34" t="s">
        <v>623</v>
      </c>
      <c r="B92" s="7">
        <v>4012</v>
      </c>
      <c r="C92" s="22" t="s">
        <v>196</v>
      </c>
      <c r="D92" s="22" t="s">
        <v>732</v>
      </c>
      <c r="E92" s="13">
        <v>42754.592002314814</v>
      </c>
      <c r="F92" s="13">
        <v>42754.601793981485</v>
      </c>
      <c r="G92" s="7">
        <v>1</v>
      </c>
      <c r="H92" s="22" t="s">
        <v>251</v>
      </c>
      <c r="I92" s="13">
        <v>42754.628240740742</v>
      </c>
      <c r="J92" s="7">
        <v>5</v>
      </c>
      <c r="K92" s="105" t="str">
        <f t="shared" si="32"/>
        <v>4011/4012</v>
      </c>
      <c r="L92" s="22" t="str">
        <f>VLOOKUP(A92,'Trips&amp;Operators'!$C$1:$G$99999,5,FALSE)</f>
        <v>SMITH MICHAEL</v>
      </c>
      <c r="M92" s="6">
        <f t="shared" si="33"/>
        <v>2.6446759256941732E-2</v>
      </c>
      <c r="N92" s="7">
        <f t="shared" si="31"/>
        <v>38.083333329996094</v>
      </c>
      <c r="O92" s="7"/>
      <c r="P92" s="7"/>
      <c r="Q92" s="23"/>
      <c r="R92" s="23"/>
      <c r="S92" s="32">
        <f t="shared" si="34"/>
        <v>1</v>
      </c>
      <c r="T92" s="47" t="str">
        <f t="shared" si="35"/>
        <v>Southbound</v>
      </c>
      <c r="U92" s="164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4" t="str">
        <f t="shared" si="36"/>
        <v>https://d0f6bd738d7f1b3e5a7ca70fe4ff75f0.us-east-1.aws.found.io/app/kibana#/discover/Steve-Slow-Train-Analysis-(2080s-and-2083s)?_g=(refreshInterval:(display:Off,pause:!f,section:0,value:0),time:(from:'2017-01-19T13:12:29-0700',mode:absolute,to:'2017-01-19T16:04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2" s="49" t="str">
        <f t="shared" si="37"/>
        <v>N</v>
      </c>
      <c r="X92" s="170">
        <f t="shared" si="48"/>
        <v>1</v>
      </c>
      <c r="Y92" s="64">
        <f t="shared" si="38"/>
        <v>23.2973</v>
      </c>
      <c r="Z92" s="64">
        <f t="shared" si="39"/>
        <v>1.6299999999999999E-2</v>
      </c>
      <c r="AA92" s="64">
        <f t="shared" si="40"/>
        <v>23.280999999999999</v>
      </c>
      <c r="AB92" s="61" t="e">
        <f>VLOOKUP(A92,Enforcements!$C$7:$K$15,8,0)</f>
        <v>#N/A</v>
      </c>
      <c r="AC92" s="57" t="e">
        <f>VLOOKUP(A92,Enforcements!$C$7:$E$15,3,0)</f>
        <v>#N/A</v>
      </c>
      <c r="AD92" s="58" t="str">
        <f t="shared" si="41"/>
        <v>0180-19</v>
      </c>
      <c r="AE92" s="87" t="str">
        <f t="shared" si="42"/>
        <v>aws s3 cp s3://rtdc.mdm.uploadarchive.raw/RTDC4012/ "%USERPROFILE%\AppData\Local\Temp\OnboardLogs"\RTDC4012\2017-01-19 --exclude "*" --recursive --include "*20170119*" &amp; "%USERPROFILE%\Documents\GitHub\mrs-test-scripts\Headless Mode &amp; Sideloading\WalkAndUnGZ.bat" "%USERPROFILE%\AppData\Local\Temp\OnboardLogs"\RTDC4012\2017-01-19 &amp; aws s3 cp s3://rtdc.mdm.uploadarchive.raw/RTDC4012/ "%USERPROFILE%\AppData\Local\Temp\OnboardLogs"\RTDC4012\2017-01-20 --exclude "*" --recursive --include "*20170120*" &amp; "%USERPROFILE%\Documents\GitHub\mrs-test-scripts\Headless Mode &amp; Sideloading\WalkAndUnGZ.bat" "%USERPROFILE%\AppData\Local\Temp\OnboardLogs"\RTDC4012\2017-01-20</v>
      </c>
      <c r="AF92" s="84" t="str">
        <f t="shared" si="43"/>
        <v>"C:\Program Files (x86)\AstroGrep\AstroGrep.exe" /spath="%USERPROFILE%\AppData\Local\Temp\OnboardLogs" /stypes="app*4012*20170119*" /stext=" 22:.+((SYSTEM_STATE.+slice.+state.+changed )|(ment ac)|(multiple cpu faults)|(system.+state.+changed )|(\[timeout)|(PRM\|1\|D)|(kpr)|(kdp)|(\|lc)|(penalty))" /e /r /s</v>
      </c>
      <c r="AG92" s="1" t="str">
        <f t="shared" si="44"/>
        <v>EC</v>
      </c>
      <c r="AH92" s="88" t="str">
        <f t="shared" si="45"/>
        <v>"%USERPROFILE%\Documents\GitHub\eaglep3\Utilities\RefineRTDCRunTimes.py" --tripid 180-19 --locoid 4012 --swversion DE.1.0.8.0 --startMP 204:232973 --initTime 2017-01-19T14:12:29 --startdatetime 2017-01-19T14:26:35 --delay 1 --endMP 204:163 --enddatetime 2017-01-19T15:04:40 --enforcementcount 5 &gt;&gt;C:\Users\stu\Documents\GitHub\eaglep3-reporting\EC\2017-01-19-refined-times.txt</v>
      </c>
      <c r="AI92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{"issue":{"subject":"","project_id":79,"tracker_id":40,"status_id":1,"priority_id":2,"assigned_to_id":23,"start_date":"2017-01-19","description":"","custom_fields":[{"id":1,"name":"Subdivision","value":"EC"},{"id":4,"name":"Milepost","value":"0.0163"},{"id":17,"name":"Train ID","value":"180-19"},{"id":16,"name":"Locomotive ID","value":"4012"},{"id":130,"name":"Impact","value":""},{"id":150,"name":"Time of Event (Mountain Time)","value":"15:04:40"},{"id":151,"name":"Denver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0"/>
      <c r="AK92" s="50"/>
      <c r="AL92" s="50"/>
      <c r="AM92" s="177" t="str">
        <f t="shared" si="47"/>
        <v>start /low /b %USERPROFILE%\Documents\GitHub\eaglep3\Utilities\DownloadLogsFromS3.py --loco 4012 --day 2017-01-19</v>
      </c>
      <c r="AN92" s="186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"%USERPROFILE%\AppData\Local\Temp\OnboardLogs"\RTDC4012\*4012*20170119* | grep -SE "(Enforcement Action)|(\[TIMEOUT)|(CHR.+\|PRM\|1\|D.+(SWITCH|SIGNAL).+UNKNOWN)" - &gt;&gt; 2017-01-19-UncaughtWiMAX.txt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1" customFormat="1" x14ac:dyDescent="0.25">
      <c r="A93" s="34" t="s">
        <v>617</v>
      </c>
      <c r="B93" s="7">
        <v>4031</v>
      </c>
      <c r="C93" s="22" t="s">
        <v>196</v>
      </c>
      <c r="D93" s="22" t="s">
        <v>746</v>
      </c>
      <c r="E93" s="13">
        <v>42754.567708333336</v>
      </c>
      <c r="F93" s="13">
        <v>42754.573078703703</v>
      </c>
      <c r="G93" s="7">
        <v>1</v>
      </c>
      <c r="H93" s="22" t="s">
        <v>275</v>
      </c>
      <c r="I93" s="13">
        <v>42754.598611111112</v>
      </c>
      <c r="J93" s="7">
        <v>5</v>
      </c>
      <c r="K93" s="105" t="str">
        <f t="shared" si="32"/>
        <v>4031/4032</v>
      </c>
      <c r="L93" s="22" t="str">
        <f>VLOOKUP(A93,'Trips&amp;Operators'!$C$1:$G$99999,5,FALSE)</f>
        <v>CRAYTON QUNTRELL</v>
      </c>
      <c r="M93" s="6">
        <f t="shared" si="33"/>
        <v>2.5532407409627922E-2</v>
      </c>
      <c r="N93" s="7">
        <f t="shared" si="31"/>
        <v>36.766666669864208</v>
      </c>
      <c r="O93" s="7"/>
      <c r="P93" s="7"/>
      <c r="Q93" s="23"/>
      <c r="R93" s="23"/>
      <c r="S93" s="32">
        <f t="shared" si="34"/>
        <v>1</v>
      </c>
      <c r="T93" s="47" t="str">
        <f t="shared" si="35"/>
        <v>NorthBound</v>
      </c>
      <c r="U93" s="164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4" t="str">
        <f t="shared" si="36"/>
        <v>https://d0f6bd738d7f1b3e5a7ca70fe4ff75f0.us-east-1.aws.found.io/app/kibana#/discover/Steve-Slow-Train-Analysis-(2080s-and-2083s)?_g=(refreshInterval:(display:Off,pause:!f,section:0,value:0),time:(from:'2017-01-19T12:37:30-0700',mode:absolute,to:'2017-01-19T15:22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3" s="49" t="str">
        <f t="shared" si="37"/>
        <v>N</v>
      </c>
      <c r="X93" s="170">
        <f t="shared" si="48"/>
        <v>1</v>
      </c>
      <c r="Y93" s="64">
        <f t="shared" si="38"/>
        <v>5.4199999999999998E-2</v>
      </c>
      <c r="Z93" s="64">
        <f t="shared" si="39"/>
        <v>23.330200000000001</v>
      </c>
      <c r="AA93" s="64">
        <f t="shared" si="40"/>
        <v>23.276</v>
      </c>
      <c r="AB93" s="61" t="e">
        <f>VLOOKUP(A93,Enforcements!$C$7:$K$15,8,0)</f>
        <v>#N/A</v>
      </c>
      <c r="AC93" s="57" t="e">
        <f>VLOOKUP(A93,Enforcements!$C$7:$E$15,3,0)</f>
        <v>#N/A</v>
      </c>
      <c r="AD93" s="58" t="str">
        <f t="shared" si="41"/>
        <v>0181-19</v>
      </c>
      <c r="AE93" s="87" t="str">
        <f t="shared" si="42"/>
        <v>aws s3 cp s3://rtdc.mdm.uploadarchive.raw/RTDC4031/ "%USERPROFILE%\AppData\Local\Temp\OnboardLogs"\RTDC4031\2017-01-19 --exclude "*" --recursive --include "*20170119*" &amp; "%USERPROFILE%\Documents\GitHub\mrs-test-scripts\Headless Mode &amp; Sideloading\WalkAndUnGZ.bat" "%USERPROFILE%\AppData\Local\Temp\OnboardLogs"\RTDC4031\2017-01-19 &amp; aws s3 cp s3://rtdc.mdm.uploadarchive.raw/RTDC4031/ "%USERPROFILE%\AppData\Local\Temp\OnboardLogs"\RTDC4031\2017-01-20 --exclude "*" --recursive --include "*20170120*" &amp; "%USERPROFILE%\Documents\GitHub\mrs-test-scripts\Headless Mode &amp; Sideloading\WalkAndUnGZ.bat" "%USERPROFILE%\AppData\Local\Temp\OnboardLogs"\RTDC4031\2017-01-20</v>
      </c>
      <c r="AF93" s="84" t="str">
        <f t="shared" si="43"/>
        <v>"C:\Program Files (x86)\AstroGrep\AstroGrep.exe" /spath="%USERPROFILE%\AppData\Local\Temp\OnboardLogs" /stypes="app*4031*20170119*" /stext=" 21:.+((SYSTEM_STATE.+slice.+state.+changed )|(ment ac)|(multiple cpu faults)|(system.+state.+changed )|(\[timeout)|(PRM\|1\|D)|(kpr)|(kdp)|(\|lc)|(penalty))" /e /r /s</v>
      </c>
      <c r="AG93" s="1" t="str">
        <f t="shared" si="44"/>
        <v>EC</v>
      </c>
      <c r="AH93" s="88" t="str">
        <f t="shared" si="45"/>
        <v>"%USERPROFILE%\Documents\GitHub\eaglep3\Utilities\RefineRTDCRunTimes.py" --tripid 181-19 --locoid 4031 --swversion DE.1.0.8.0 --startMP 204:542 --initTime 2017-01-19T13:37:30 --startdatetime 2017-01-19T13:45:14 --delay 1 --endMP 204:233302 --enddatetime 2017-01-19T14:22:00 --enforcementcount 5 &gt;&gt;C:\Users\stu\Documents\GitHub\eaglep3-reporting\EC\2017-01-19-refined-times.txt</v>
      </c>
      <c r="AI93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{"issue":{"subject":"","project_id":79,"tracker_id":40,"status_id":1,"priority_id":2,"assigned_to_id":23,"start_date":"2017-01-19","description":"","custom_fields":[{"id":1,"name":"Subdivision","value":"EC"},{"id":4,"name":"Milepost","value":"23.3302"},{"id":17,"name":"Train ID","value":"181-19"},{"id":16,"name":"Locomotive ID","value":"4031"},{"id":130,"name":"Impact","value":""},{"id":150,"name":"Time of Event (Mountain Time)","value":"14:22:00"},{"id":151,"name":"Denver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0"/>
      <c r="AK93" s="50"/>
      <c r="AL93" s="50"/>
      <c r="AM93" s="177" t="str">
        <f t="shared" si="47"/>
        <v>start /low /b %USERPROFILE%\Documents\GitHub\eaglep3\Utilities\DownloadLogsFromS3.py --loco 4031 --day 2017-01-19</v>
      </c>
      <c r="AN93" s="186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"%USERPROFILE%\AppData\Local\Temp\OnboardLogs"\RTDC4031\*4031*20170119* | grep -SE "(Enforcement Action)|(\[TIMEOUT)|(CHR.+\|PRM\|1\|D.+(SWITCH|SIGNAL).+UNKNOWN)" - &gt;&gt; 2017-01-19-UncaughtWiMAX.txt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1" customFormat="1" x14ac:dyDescent="0.25">
      <c r="A94" s="34" t="s">
        <v>625</v>
      </c>
      <c r="B94" s="7">
        <v>4032</v>
      </c>
      <c r="C94" s="22" t="s">
        <v>196</v>
      </c>
      <c r="D94" s="22" t="s">
        <v>306</v>
      </c>
      <c r="E94" s="13">
        <v>42754.607812499999</v>
      </c>
      <c r="F94" s="13">
        <v>42754.611967592595</v>
      </c>
      <c r="G94" s="7">
        <v>1</v>
      </c>
      <c r="H94" s="22" t="s">
        <v>251</v>
      </c>
      <c r="I94" s="13">
        <v>42754.638969907406</v>
      </c>
      <c r="J94" s="7">
        <v>5</v>
      </c>
      <c r="K94" s="105" t="str">
        <f t="shared" si="32"/>
        <v>4031/4032</v>
      </c>
      <c r="L94" s="22" t="str">
        <f>VLOOKUP(A94,'Trips&amp;Operators'!$C$1:$G$99999,5,FALSE)</f>
        <v>CRAYTON QUNTRELL</v>
      </c>
      <c r="M94" s="6">
        <f t="shared" si="33"/>
        <v>2.700231481139781E-2</v>
      </c>
      <c r="N94" s="7">
        <f t="shared" si="31"/>
        <v>38.883333328412846</v>
      </c>
      <c r="O94" s="7"/>
      <c r="P94" s="7"/>
      <c r="Q94" s="23"/>
      <c r="R94" s="23"/>
      <c r="S94" s="32">
        <f t="shared" si="34"/>
        <v>1</v>
      </c>
      <c r="T94" s="47" t="str">
        <f t="shared" si="35"/>
        <v>Southbound</v>
      </c>
      <c r="U94" s="164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4" t="str">
        <f t="shared" si="36"/>
        <v>https://d0f6bd738d7f1b3e5a7ca70fe4ff75f0.us-east-1.aws.found.io/app/kibana#/discover/Steve-Slow-Train-Analysis-(2080s-and-2083s)?_g=(refreshInterval:(display:Off,pause:!f,section:0,value:0),time:(from:'2017-01-19T13:35:15-0700',mode:absolute,to:'2017-01-19T16:20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4" s="49" t="str">
        <f t="shared" si="37"/>
        <v>N</v>
      </c>
      <c r="X94" s="170">
        <f t="shared" si="48"/>
        <v>1</v>
      </c>
      <c r="Y94" s="64">
        <f t="shared" si="38"/>
        <v>23.299299999999999</v>
      </c>
      <c r="Z94" s="64">
        <f t="shared" si="39"/>
        <v>1.6299999999999999E-2</v>
      </c>
      <c r="AA94" s="64">
        <f t="shared" si="40"/>
        <v>23.282999999999998</v>
      </c>
      <c r="AB94" s="61" t="e">
        <f>VLOOKUP(A94,Enforcements!$C$7:$K$15,8,0)</f>
        <v>#N/A</v>
      </c>
      <c r="AC94" s="57" t="e">
        <f>VLOOKUP(A94,Enforcements!$C$7:$E$15,3,0)</f>
        <v>#N/A</v>
      </c>
      <c r="AD94" s="58" t="str">
        <f t="shared" si="41"/>
        <v>0182-19</v>
      </c>
      <c r="AE94" s="87" t="str">
        <f t="shared" si="42"/>
        <v>aws s3 cp s3://rtdc.mdm.uploadarchive.raw/RTDC4032/ "%USERPROFILE%\AppData\Local\Temp\OnboardLogs"\RTDC4032\2017-01-19 --exclude "*" --recursive --include "*20170119*" &amp; "%USERPROFILE%\Documents\GitHub\mrs-test-scripts\Headless Mode &amp; Sideloading\WalkAndUnGZ.bat" "%USERPROFILE%\AppData\Local\Temp\OnboardLogs"\RTDC4032\2017-01-19 &amp; aws s3 cp s3://rtdc.mdm.uploadarchive.raw/RTDC4032/ "%USERPROFILE%\AppData\Local\Temp\OnboardLogs"\RTDC4032\2017-01-20 --exclude "*" --recursive --include "*20170120*" &amp; "%USERPROFILE%\Documents\GitHub\mrs-test-scripts\Headless Mode &amp; Sideloading\WalkAndUnGZ.bat" "%USERPROFILE%\AppData\Local\Temp\OnboardLogs"\RTDC4032\2017-01-20</v>
      </c>
      <c r="AF94" s="84" t="str">
        <f t="shared" si="43"/>
        <v>"C:\Program Files (x86)\AstroGrep\AstroGrep.exe" /spath="%USERPROFILE%\AppData\Local\Temp\OnboardLogs" /stypes="app*4032*20170119*" /stext=" 22:.+((SYSTEM_STATE.+slice.+state.+changed )|(ment ac)|(multiple cpu faults)|(system.+state.+changed )|(\[timeout)|(PRM\|1\|D)|(kpr)|(kdp)|(\|lc)|(penalty))" /e /r /s</v>
      </c>
      <c r="AG94" s="1" t="str">
        <f t="shared" si="44"/>
        <v>EC</v>
      </c>
      <c r="AH94" s="88" t="str">
        <f t="shared" si="45"/>
        <v>"%USERPROFILE%\Documents\GitHub\eaglep3\Utilities\RefineRTDCRunTimes.py" --tripid 182-19 --locoid 4032 --swversion DE.1.0.8.0 --startMP 204:232993 --initTime 2017-01-19T14:35:15 --startdatetime 2017-01-19T14:41:14 --delay 1 --endMP 204:163 --enddatetime 2017-01-19T15:20:07 --enforcementcount 5 &gt;&gt;C:\Users\stu\Documents\GitHub\eaglep3-reporting\EC\2017-01-19-refined-times.txt</v>
      </c>
      <c r="AI94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{"issue":{"subject":"","project_id":79,"tracker_id":40,"status_id":1,"priority_id":2,"assigned_to_id":23,"start_date":"2017-01-19","description":"","custom_fields":[{"id":1,"name":"Subdivision","value":"EC"},{"id":4,"name":"Milepost","value":"0.0163"},{"id":17,"name":"Train ID","value":"182-19"},{"id":16,"name":"Locomotive ID","value":"4032"},{"id":130,"name":"Impact","value":""},{"id":150,"name":"Time of Event (Mountain Time)","value":"15:20:07"},{"id":151,"name":"Denver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0"/>
      <c r="AK94" s="50"/>
      <c r="AL94" s="50"/>
      <c r="AM94" s="177" t="str">
        <f t="shared" si="47"/>
        <v>start /low /b %USERPROFILE%\Documents\GitHub\eaglep3\Utilities\DownloadLogsFromS3.py --loco 4032 --day 2017-01-19</v>
      </c>
      <c r="AN94" s="186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"%USERPROFILE%\AppData\Local\Temp\OnboardLogs"\RTDC4032\*4032*20170119* | grep -SE "(Enforcement Action)|(\[TIMEOUT)|(CHR.+\|PRM\|1\|D.+(SWITCH|SIGNAL).+UNKNOWN)" - &gt;&gt; 2017-01-19-UncaughtWiMAX.txt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x14ac:dyDescent="0.25">
      <c r="A95" s="34" t="s">
        <v>619</v>
      </c>
      <c r="B95" s="7">
        <v>4044</v>
      </c>
      <c r="C95" s="22" t="s">
        <v>196</v>
      </c>
      <c r="D95" s="22" t="s">
        <v>297</v>
      </c>
      <c r="E95" s="13">
        <v>42754.58084490741</v>
      </c>
      <c r="F95" s="13">
        <v>42754.583668981482</v>
      </c>
      <c r="G95" s="7">
        <v>1</v>
      </c>
      <c r="H95" s="22" t="s">
        <v>382</v>
      </c>
      <c r="I95" s="13">
        <v>42754.608159722222</v>
      </c>
      <c r="J95" s="7">
        <v>5</v>
      </c>
      <c r="K95" s="105" t="str">
        <f t="shared" si="32"/>
        <v>4043/4044</v>
      </c>
      <c r="L95" s="22" t="str">
        <f>VLOOKUP(A95,'Trips&amp;Operators'!$C$1:$G$99999,5,FALSE)</f>
        <v>HELVIE ADAM</v>
      </c>
      <c r="M95" s="6">
        <f t="shared" si="33"/>
        <v>2.4490740739565808E-2</v>
      </c>
      <c r="N95" s="7">
        <f t="shared" si="31"/>
        <v>35.266666664974764</v>
      </c>
      <c r="O95" s="7"/>
      <c r="P95" s="7"/>
      <c r="Q95" s="23"/>
      <c r="R95" s="23"/>
      <c r="S95" s="32">
        <f t="shared" si="34"/>
        <v>1</v>
      </c>
      <c r="T95" s="47" t="str">
        <f t="shared" si="35"/>
        <v>NorthBound</v>
      </c>
      <c r="U95" s="164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4" t="str">
        <f t="shared" si="36"/>
        <v>https://d0f6bd738d7f1b3e5a7ca70fe4ff75f0.us-east-1.aws.found.io/app/kibana#/discover/Steve-Slow-Train-Analysis-(2080s-and-2083s)?_g=(refreshInterval:(display:Off,pause:!f,section:0,value:0),time:(from:'2017-01-19T12:56:25-0700',mode:absolute,to:'2017-01-19T15:35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5" s="49" t="str">
        <f t="shared" si="37"/>
        <v>N</v>
      </c>
      <c r="X95" s="170">
        <f t="shared" si="48"/>
        <v>1</v>
      </c>
      <c r="Y95" s="64">
        <f t="shared" si="38"/>
        <v>4.5999999999999999E-2</v>
      </c>
      <c r="Z95" s="64">
        <f t="shared" si="39"/>
        <v>23.328199999999999</v>
      </c>
      <c r="AA95" s="64">
        <f t="shared" si="40"/>
        <v>23.2822</v>
      </c>
      <c r="AB95" s="61" t="e">
        <f>VLOOKUP(A95,Enforcements!$C$7:$K$15,8,0)</f>
        <v>#N/A</v>
      </c>
      <c r="AC95" s="57" t="e">
        <f>VLOOKUP(A95,Enforcements!$C$7:$E$15,3,0)</f>
        <v>#N/A</v>
      </c>
      <c r="AD95" s="58" t="str">
        <f t="shared" si="41"/>
        <v>0183-19</v>
      </c>
      <c r="AE95" s="87" t="str">
        <f t="shared" si="42"/>
        <v>aws s3 cp s3://rtdc.mdm.uploadarchive.raw/RTDC4044/ "%USERPROFILE%\AppData\Local\Temp\OnboardLogs"\RTDC4044\2017-01-19 --exclude "*" --recursive --include "*20170119*" &amp; "%USERPROFILE%\Documents\GitHub\mrs-test-scripts\Headless Mode &amp; Sideloading\WalkAndUnGZ.bat" "%USERPROFILE%\AppData\Local\Temp\OnboardLogs"\RTDC4044\2017-01-19 &amp; aws s3 cp s3://rtdc.mdm.uploadarchive.raw/RTDC4044/ "%USERPROFILE%\AppData\Local\Temp\OnboardLogs"\RTDC4044\2017-01-20 --exclude "*" --recursive --include "*20170120*" &amp; "%USERPROFILE%\Documents\GitHub\mrs-test-scripts\Headless Mode &amp; Sideloading\WalkAndUnGZ.bat" "%USERPROFILE%\AppData\Local\Temp\OnboardLogs"\RTDC4044\2017-01-20</v>
      </c>
      <c r="AF95" s="84" t="str">
        <f t="shared" si="43"/>
        <v>"C:\Program Files (x86)\AstroGrep\AstroGrep.exe" /spath="%USERPROFILE%\AppData\Local\Temp\OnboardLogs" /stypes="app*4044*20170119*" /stext=" 21:.+((SYSTEM_STATE.+slice.+state.+changed )|(ment ac)|(multiple cpu faults)|(system.+state.+changed )|(\[timeout)|(PRM\|1\|D)|(kpr)|(kdp)|(\|lc)|(penalty))" /e /r /s</v>
      </c>
      <c r="AG95" s="1" t="str">
        <f t="shared" si="44"/>
        <v>EC</v>
      </c>
      <c r="AH95" s="88" t="str">
        <f t="shared" si="45"/>
        <v>"%USERPROFILE%\Documents\GitHub\eaglep3\Utilities\RefineRTDCRunTimes.py" --tripid 183-19 --locoid 4044 --swversion DE.1.0.8.0 --startMP 204:460 --initTime 2017-01-19T13:56:25 --startdatetime 2017-01-19T14:00:29 --delay 1 --endMP 204:233282 --enddatetime 2017-01-19T14:35:45 --enforcementcount 5 &gt;&gt;C:\Users\stu\Documents\GitHub\eaglep3-reporting\EC\2017-01-19-refined-times.txt</v>
      </c>
      <c r="AI95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{"issue":{"subject":"","project_id":79,"tracker_id":40,"status_id":1,"priority_id":2,"assigned_to_id":23,"start_date":"2017-01-19","description":"","custom_fields":[{"id":1,"name":"Subdivision","value":"EC"},{"id":4,"name":"Milepost","value":"23.3282"},{"id":17,"name":"Train ID","value":"183-19"},{"id":16,"name":"Locomotive ID","value":"4044"},{"id":130,"name":"Impact","value":""},{"id":150,"name":"Time of Event (Mountain Time)","value":"14:35:45"},{"id":151,"name":"Denver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0"/>
      <c r="AK95" s="50"/>
      <c r="AL95" s="50"/>
      <c r="AM95" s="177" t="str">
        <f t="shared" si="47"/>
        <v>start /low /b %USERPROFILE%\Documents\GitHub\eaglep3\Utilities\DownloadLogsFromS3.py --loco 4044 --day 2017-01-19</v>
      </c>
      <c r="AN95" s="186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"%USERPROFILE%\AppData\Local\Temp\OnboardLogs"\RTDC4044\*4044*20170119* | grep -SE "(Enforcement Action)|(\[TIMEOUT)|(CHR.+\|PRM\|1\|D.+(SWITCH|SIGNAL).+UNKNOWN)" - &gt;&gt; 2017-01-19-UncaughtWiMAX.txt</v>
      </c>
    </row>
    <row r="96" spans="1:91" s="21" customFormat="1" x14ac:dyDescent="0.25">
      <c r="A96" s="34" t="s">
        <v>629</v>
      </c>
      <c r="B96" s="7">
        <v>4043</v>
      </c>
      <c r="C96" s="22" t="s">
        <v>196</v>
      </c>
      <c r="D96" s="22" t="s">
        <v>308</v>
      </c>
      <c r="E96" s="13">
        <v>42754.620092592595</v>
      </c>
      <c r="F96" s="13">
        <v>42754.622418981482</v>
      </c>
      <c r="G96" s="7">
        <v>1</v>
      </c>
      <c r="H96" s="22" t="s">
        <v>252</v>
      </c>
      <c r="I96" s="13">
        <v>42754.649525462963</v>
      </c>
      <c r="J96" s="7">
        <v>5</v>
      </c>
      <c r="K96" s="105" t="str">
        <f t="shared" si="32"/>
        <v>4043/4044</v>
      </c>
      <c r="L96" s="22" t="str">
        <f>VLOOKUP(A96,'Trips&amp;Operators'!$C$1:$G$99999,5,FALSE)</f>
        <v>HELVIE ADAM</v>
      </c>
      <c r="M96" s="6">
        <f t="shared" si="33"/>
        <v>2.7106481480586808E-2</v>
      </c>
      <c r="N96" s="7">
        <f t="shared" ref="N96:N127" si="49">24*60*SUM($M96:$M96)</f>
        <v>39.033333332045004</v>
      </c>
      <c r="O96" s="7"/>
      <c r="P96" s="7"/>
      <c r="Q96" s="23"/>
      <c r="R96" s="23"/>
      <c r="S96" s="32">
        <f t="shared" si="34"/>
        <v>1</v>
      </c>
      <c r="T96" s="47" t="str">
        <f t="shared" si="35"/>
        <v>Southbound</v>
      </c>
      <c r="U96" s="164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4" t="str">
        <f t="shared" si="36"/>
        <v>https://d0f6bd738d7f1b3e5a7ca70fe4ff75f0.us-east-1.aws.found.io/app/kibana#/discover/Steve-Slow-Train-Analysis-(2080s-and-2083s)?_g=(refreshInterval:(display:Off,pause:!f,section:0,value:0),time:(from:'2017-01-19T13:52:56-0700',mode:absolute,to:'2017-01-19T16:35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6" s="49" t="str">
        <f t="shared" si="37"/>
        <v>N</v>
      </c>
      <c r="X96" s="170">
        <f t="shared" si="48"/>
        <v>1</v>
      </c>
      <c r="Y96" s="64">
        <f t="shared" si="38"/>
        <v>23.299800000000001</v>
      </c>
      <c r="Z96" s="64">
        <f t="shared" si="39"/>
        <v>1.54E-2</v>
      </c>
      <c r="AA96" s="64">
        <f t="shared" si="40"/>
        <v>23.284400000000002</v>
      </c>
      <c r="AB96" s="61" t="e">
        <f>VLOOKUP(A96,Enforcements!$C$7:$K$15,8,0)</f>
        <v>#N/A</v>
      </c>
      <c r="AC96" s="57" t="e">
        <f>VLOOKUP(A96,Enforcements!$C$7:$E$15,3,0)</f>
        <v>#N/A</v>
      </c>
      <c r="AD96" s="58" t="str">
        <f t="shared" si="41"/>
        <v>0184-19</v>
      </c>
      <c r="AE96" s="87" t="str">
        <f t="shared" si="42"/>
        <v>aws s3 cp s3://rtdc.mdm.uploadarchive.raw/RTDC4043/ "%USERPROFILE%\AppData\Local\Temp\OnboardLogs"\RTDC4043\2017-01-19 --exclude "*" --recursive --include "*20170119*" &amp; "%USERPROFILE%\Documents\GitHub\mrs-test-scripts\Headless Mode &amp; Sideloading\WalkAndUnGZ.bat" "%USERPROFILE%\AppData\Local\Temp\OnboardLogs"\RTDC4043\2017-01-19 &amp; aws s3 cp s3://rtdc.mdm.uploadarchive.raw/RTDC4043/ "%USERPROFILE%\AppData\Local\Temp\OnboardLogs"\RTDC4043\2017-01-20 --exclude "*" --recursive --include "*20170120*" &amp; "%USERPROFILE%\Documents\GitHub\mrs-test-scripts\Headless Mode &amp; Sideloading\WalkAndUnGZ.bat" "%USERPROFILE%\AppData\Local\Temp\OnboardLogs"\RTDC4043\2017-01-20</v>
      </c>
      <c r="AF96" s="84" t="str">
        <f t="shared" si="43"/>
        <v>"C:\Program Files (x86)\AstroGrep\AstroGrep.exe" /spath="%USERPROFILE%\AppData\Local\Temp\OnboardLogs" /stypes="app*4043*20170119*" /stext=" 22:.+((SYSTEM_STATE.+slice.+state.+changed )|(ment ac)|(multiple cpu faults)|(system.+state.+changed )|(\[timeout)|(PRM\|1\|D)|(kpr)|(kdp)|(\|lc)|(penalty))" /e /r /s</v>
      </c>
      <c r="AG96" s="1" t="str">
        <f t="shared" si="44"/>
        <v>EC</v>
      </c>
      <c r="AH96" s="88" t="str">
        <f t="shared" si="45"/>
        <v>"%USERPROFILE%\Documents\GitHub\eaglep3\Utilities\RefineRTDCRunTimes.py" --tripid 184-19 --locoid 4043 --swversion DE.1.0.8.0 --startMP 204:232998 --initTime 2017-01-19T14:52:56 --startdatetime 2017-01-19T14:56:17 --delay 1 --endMP 204:154 --enddatetime 2017-01-19T15:35:19 --enforcementcount 5 &gt;&gt;C:\Users\stu\Documents\GitHub\eaglep3-reporting\EC\2017-01-19-refined-times.txt</v>
      </c>
      <c r="AI96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{"issue":{"subject":"","project_id":79,"tracker_id":40,"status_id":1,"priority_id":2,"assigned_to_id":23,"start_date":"2017-01-19","description":"","custom_fields":[{"id":1,"name":"Subdivision","value":"EC"},{"id":4,"name":"Milepost","value":"0.0154"},{"id":17,"name":"Train ID","value":"184-19"},{"id":16,"name":"Locomotive ID","value":"4043"},{"id":130,"name":"Impact","value":""},{"id":150,"name":"Time of Event (Mountain Time)","value":"15:35:19"},{"id":151,"name":"Denver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0"/>
      <c r="AK96" s="50"/>
      <c r="AL96" s="50"/>
      <c r="AM96" s="177" t="str">
        <f t="shared" si="47"/>
        <v>start /low /b %USERPROFILE%\Documents\GitHub\eaglep3\Utilities\DownloadLogsFromS3.py --loco 4043 --day 2017-01-19</v>
      </c>
      <c r="AN96" s="186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"%USERPROFILE%\AppData\Local\Temp\OnboardLogs"\RTDC4043\*4043*20170119* | grep -SE "(Enforcement Action)|(\[TIMEOUT)|(CHR.+\|PRM\|1\|D.+(SWITCH|SIGNAL).+UNKNOWN)" - &gt;&gt; 2017-01-19-UncaughtWiMAX.txt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4" t="s">
        <v>622</v>
      </c>
      <c r="B97" s="7">
        <v>4020</v>
      </c>
      <c r="C97" s="22" t="s">
        <v>196</v>
      </c>
      <c r="D97" s="22" t="s">
        <v>721</v>
      </c>
      <c r="E97" s="13">
        <v>42754.591539351852</v>
      </c>
      <c r="F97" s="13">
        <v>42754.593912037039</v>
      </c>
      <c r="G97" s="7">
        <v>1</v>
      </c>
      <c r="H97" s="22" t="s">
        <v>254</v>
      </c>
      <c r="I97" s="13">
        <v>42754.619143518517</v>
      </c>
      <c r="J97" s="7">
        <v>5</v>
      </c>
      <c r="K97" s="105" t="str">
        <f t="shared" si="32"/>
        <v>4019/4020</v>
      </c>
      <c r="L97" s="22" t="str">
        <f>VLOOKUP(A97,'Trips&amp;Operators'!$C$1:$G$99999,5,FALSE)</f>
        <v>BRANDNER MELINDA</v>
      </c>
      <c r="M97" s="6">
        <f t="shared" si="33"/>
        <v>2.5231481478840578E-2</v>
      </c>
      <c r="N97" s="7">
        <f t="shared" si="49"/>
        <v>36.333333329530433</v>
      </c>
      <c r="O97" s="7"/>
      <c r="P97" s="7"/>
      <c r="Q97" s="23"/>
      <c r="R97" s="23"/>
      <c r="S97" s="32">
        <f t="shared" si="34"/>
        <v>1</v>
      </c>
      <c r="T97" s="47" t="str">
        <f t="shared" si="35"/>
        <v>NorthBound</v>
      </c>
      <c r="U97" s="164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4" t="str">
        <f t="shared" si="36"/>
        <v>https://d0f6bd738d7f1b3e5a7ca70fe4ff75f0.us-east-1.aws.found.io/app/kibana#/discover/Steve-Slow-Train-Analysis-(2080s-and-2083s)?_g=(refreshInterval:(display:Off,pause:!f,section:0,value:0),time:(from:'2017-01-19T13:11:49-0700',mode:absolute,to:'2017-01-19T15:51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7" s="49" t="str">
        <f t="shared" si="37"/>
        <v>N</v>
      </c>
      <c r="X97" s="170">
        <f t="shared" si="48"/>
        <v>1</v>
      </c>
      <c r="Y97" s="64">
        <f t="shared" si="38"/>
        <v>4.53E-2</v>
      </c>
      <c r="Z97" s="64">
        <f t="shared" si="39"/>
        <v>23.331199999999999</v>
      </c>
      <c r="AA97" s="64">
        <f t="shared" si="40"/>
        <v>23.285899999999998</v>
      </c>
      <c r="AB97" s="61" t="e">
        <f>VLOOKUP(A97,Enforcements!$C$7:$K$15,8,0)</f>
        <v>#N/A</v>
      </c>
      <c r="AC97" s="57" t="e">
        <f>VLOOKUP(A97,Enforcements!$C$7:$E$15,3,0)</f>
        <v>#N/A</v>
      </c>
      <c r="AD97" s="58" t="str">
        <f t="shared" si="41"/>
        <v>0185-19</v>
      </c>
      <c r="AE97" s="87" t="str">
        <f t="shared" si="42"/>
        <v>aws s3 cp s3://rtdc.mdm.uploadarchive.raw/RTDC4020/ "%USERPROFILE%\AppData\Local\Temp\OnboardLogs"\RTDC4020\2017-01-19 --exclude "*" --recursive --include "*20170119*" &amp; "%USERPROFILE%\Documents\GitHub\mrs-test-scripts\Headless Mode &amp; Sideloading\WalkAndUnGZ.bat" "%USERPROFILE%\AppData\Local\Temp\OnboardLogs"\RTDC4020\2017-01-19 &amp; aws s3 cp s3://rtdc.mdm.uploadarchive.raw/RTDC4020/ "%USERPROFILE%\AppData\Local\Temp\OnboardLogs"\RTDC4020\2017-01-20 --exclude "*" --recursive --include "*20170120*" &amp; "%USERPROFILE%\Documents\GitHub\mrs-test-scripts\Headless Mode &amp; Sideloading\WalkAndUnGZ.bat" "%USERPROFILE%\AppData\Local\Temp\OnboardLogs"\RTDC4020\2017-01-20</v>
      </c>
      <c r="AF97" s="84" t="str">
        <f t="shared" si="43"/>
        <v>"C:\Program Files (x86)\AstroGrep\AstroGrep.exe" /spath="%USERPROFILE%\AppData\Local\Temp\OnboardLogs" /stypes="app*4020*20170119*" /stext=" 21:.+((SYSTEM_STATE.+slice.+state.+changed )|(ment ac)|(multiple cpu faults)|(system.+state.+changed )|(\[timeout)|(PRM\|1\|D)|(kpr)|(kdp)|(\|lc)|(penalty))" /e /r /s</v>
      </c>
      <c r="AG97" s="1" t="str">
        <f t="shared" si="44"/>
        <v>EC</v>
      </c>
      <c r="AH97" s="88" t="str">
        <f t="shared" si="45"/>
        <v>"%USERPROFILE%\Documents\GitHub\eaglep3\Utilities\RefineRTDCRunTimes.py" --tripid 185-19 --locoid 4020 --swversion DE.1.0.8.0 --startMP 204:453 --initTime 2017-01-19T14:11:49 --startdatetime 2017-01-19T14:15:14 --delay 1 --endMP 204:233312 --enddatetime 2017-01-19T14:51:34 --enforcementcount 5 &gt;&gt;C:\Users\stu\Documents\GitHub\eaglep3-reporting\EC\2017-01-19-refined-times.txt</v>
      </c>
      <c r="AI97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{"issue":{"subject":"","project_id":79,"tracker_id":40,"status_id":1,"priority_id":2,"assigned_to_id":23,"start_date":"2017-01-19","description":"","custom_fields":[{"id":1,"name":"Subdivision","value":"EC"},{"id":4,"name":"Milepost","value":"23.3312"},{"id":17,"name":"Train ID","value":"185-19"},{"id":16,"name":"Locomotive ID","value":"4020"},{"id":130,"name":"Impact","value":""},{"id":150,"name":"Time of Event (Mountain Time)","value":"14:51:34"},{"id":151,"name":"Denver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0"/>
      <c r="AK97" s="50"/>
      <c r="AL97" s="50"/>
      <c r="AM97" s="177" t="str">
        <f t="shared" si="47"/>
        <v>start /low /b %USERPROFILE%\Documents\GitHub\eaglep3\Utilities\DownloadLogsFromS3.py --loco 4020 --day 2017-01-19</v>
      </c>
      <c r="AN97" s="186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"%USERPROFILE%\AppData\Local\Temp\OnboardLogs"\RTDC4020\*4020*20170119* | grep -SE "(Enforcement Action)|(\[TIMEOUT)|(CHR.+\|PRM\|1\|D.+(SWITCH|SIGNAL).+UNKNOWN)" - &gt;&gt; 2017-01-19-UncaughtWiMAX.txt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1" customFormat="1" x14ac:dyDescent="0.25">
      <c r="A98" s="34" t="s">
        <v>630</v>
      </c>
      <c r="B98" s="7">
        <v>4019</v>
      </c>
      <c r="C98" s="22" t="s">
        <v>196</v>
      </c>
      <c r="D98" s="22" t="s">
        <v>257</v>
      </c>
      <c r="E98" s="13">
        <v>42754.627384259256</v>
      </c>
      <c r="F98" s="13">
        <v>42754.632939814815</v>
      </c>
      <c r="G98" s="7">
        <v>1</v>
      </c>
      <c r="H98" s="22" t="s">
        <v>249</v>
      </c>
      <c r="I98" s="13">
        <v>42754.660173611112</v>
      </c>
      <c r="J98" s="7">
        <v>5</v>
      </c>
      <c r="K98" s="105" t="str">
        <f t="shared" si="32"/>
        <v>4019/4020</v>
      </c>
      <c r="L98" s="22" t="str">
        <f>VLOOKUP(A98,'Trips&amp;Operators'!$C$1:$G$99999,5,FALSE)</f>
        <v>BRANDNER MELINDA</v>
      </c>
      <c r="M98" s="6">
        <f t="shared" si="33"/>
        <v>2.7233796296059154E-2</v>
      </c>
      <c r="N98" s="7">
        <f t="shared" si="49"/>
        <v>39.216666666325182</v>
      </c>
      <c r="O98" s="7"/>
      <c r="P98" s="7"/>
      <c r="Q98" s="23"/>
      <c r="R98" s="23"/>
      <c r="S98" s="32">
        <f t="shared" si="34"/>
        <v>1</v>
      </c>
      <c r="T98" s="47" t="str">
        <f t="shared" si="35"/>
        <v>Southbound</v>
      </c>
      <c r="U98" s="164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4" t="str">
        <f t="shared" si="36"/>
        <v>https://d0f6bd738d7f1b3e5a7ca70fe4ff75f0.us-east-1.aws.found.io/app/kibana#/discover/Steve-Slow-Train-Analysis-(2080s-and-2083s)?_g=(refreshInterval:(display:Off,pause:!f,section:0,value:0),time:(from:'2017-01-19T14:03:26-0700',mode:absolute,to:'2017-01-19T16:50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8" s="49" t="str">
        <f t="shared" si="37"/>
        <v>N</v>
      </c>
      <c r="X98" s="170">
        <f t="shared" si="48"/>
        <v>1</v>
      </c>
      <c r="Y98" s="64">
        <f t="shared" si="38"/>
        <v>23.299099999999999</v>
      </c>
      <c r="Z98" s="64">
        <f t="shared" si="39"/>
        <v>1.38E-2</v>
      </c>
      <c r="AA98" s="64">
        <f t="shared" si="40"/>
        <v>23.285299999999999</v>
      </c>
      <c r="AB98" s="61" t="e">
        <f>VLOOKUP(A98,Enforcements!$C$7:$K$15,8,0)</f>
        <v>#N/A</v>
      </c>
      <c r="AC98" s="57" t="e">
        <f>VLOOKUP(A98,Enforcements!$C$7:$E$15,3,0)</f>
        <v>#N/A</v>
      </c>
      <c r="AD98" s="58" t="str">
        <f t="shared" si="41"/>
        <v>0186-19</v>
      </c>
      <c r="AE98" s="87" t="str">
        <f t="shared" si="42"/>
        <v>aws s3 cp s3://rtdc.mdm.uploadarchive.raw/RTDC4019/ "%USERPROFILE%\AppData\Local\Temp\OnboardLogs"\RTDC4019\2017-01-19 --exclude "*" --recursive --include "*20170119*" &amp; "%USERPROFILE%\Documents\GitHub\mrs-test-scripts\Headless Mode &amp; Sideloading\WalkAndUnGZ.bat" "%USERPROFILE%\AppData\Local\Temp\OnboardLogs"\RTDC4019\2017-01-19 &amp; aws s3 cp s3://rtdc.mdm.uploadarchive.raw/RTDC4019/ "%USERPROFILE%\AppData\Local\Temp\OnboardLogs"\RTDC4019\2017-01-20 --exclude "*" --recursive --include "*20170120*" &amp; "%USERPROFILE%\Documents\GitHub\mrs-test-scripts\Headless Mode &amp; Sideloading\WalkAndUnGZ.bat" "%USERPROFILE%\AppData\Local\Temp\OnboardLogs"\RTDC4019\2017-01-20</v>
      </c>
      <c r="AF98" s="84" t="str">
        <f t="shared" si="43"/>
        <v>"C:\Program Files (x86)\AstroGrep\AstroGrep.exe" /spath="%USERPROFILE%\AppData\Local\Temp\OnboardLogs" /stypes="app*4019*20170119*" /stext=" 22:.+((SYSTEM_STATE.+slice.+state.+changed )|(ment ac)|(multiple cpu faults)|(system.+state.+changed )|(\[timeout)|(PRM\|1\|D)|(kpr)|(kdp)|(\|lc)|(penalty))" /e /r /s</v>
      </c>
      <c r="AG98" s="1" t="str">
        <f t="shared" si="44"/>
        <v>EC</v>
      </c>
      <c r="AH98" s="88" t="str">
        <f t="shared" si="45"/>
        <v>"%USERPROFILE%\Documents\GitHub\eaglep3\Utilities\RefineRTDCRunTimes.py" --tripid 186-19 --locoid 4019 --swversion DE.1.0.8.0 --startMP 204:232991 --initTime 2017-01-19T15:03:26 --startdatetime 2017-01-19T15:11:26 --delay 1 --endMP 204:138 --enddatetime 2017-01-19T15:50:39 --enforcementcount 5 &gt;&gt;C:\Users\stu\Documents\GitHub\eaglep3-reporting\EC\2017-01-19-refined-times.txt</v>
      </c>
      <c r="AI98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{"issue":{"subject":"","project_id":79,"tracker_id":40,"status_id":1,"priority_id":2,"assigned_to_id":23,"start_date":"2017-01-19","description":"","custom_fields":[{"id":1,"name":"Subdivision","value":"EC"},{"id":4,"name":"Milepost","value":"0.0138"},{"id":17,"name":"Train ID","value":"186-19"},{"id":16,"name":"Locomotive ID","value":"4019"},{"id":130,"name":"Impact","value":""},{"id":150,"name":"Time of Event (Mountain Time)","value":"15:50:39"},{"id":151,"name":"Denver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0"/>
      <c r="AK98" s="50"/>
      <c r="AL98" s="50"/>
      <c r="AM98" s="177" t="str">
        <f t="shared" si="47"/>
        <v>start /low /b %USERPROFILE%\Documents\GitHub\eaglep3\Utilities\DownloadLogsFromS3.py --loco 4019 --day 2017-01-19</v>
      </c>
      <c r="AN98" s="186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"%USERPROFILE%\AppData\Local\Temp\OnboardLogs"\RTDC4019\*4019*20170119* | grep -SE "(Enforcement Action)|(\[TIMEOUT)|(CHR.+\|PRM\|1\|D.+(SWITCH|SIGNAL).+UNKNOWN)" - &gt;&gt; 2017-01-19-UncaughtWiMAX.txt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4" t="s">
        <v>624</v>
      </c>
      <c r="B99" s="7">
        <v>4016</v>
      </c>
      <c r="C99" s="22" t="s">
        <v>196</v>
      </c>
      <c r="D99" s="22" t="s">
        <v>284</v>
      </c>
      <c r="E99" s="13">
        <v>42754.600648148145</v>
      </c>
      <c r="F99" s="13">
        <v>42754.604583333334</v>
      </c>
      <c r="G99" s="7">
        <v>1</v>
      </c>
      <c r="H99" s="22" t="s">
        <v>747</v>
      </c>
      <c r="I99" s="13">
        <v>42754.629305555558</v>
      </c>
      <c r="J99" s="7">
        <v>5</v>
      </c>
      <c r="K99" s="105" t="str">
        <f t="shared" si="32"/>
        <v>4015/4016</v>
      </c>
      <c r="L99" s="22" t="str">
        <f>VLOOKUP(A99,'Trips&amp;Operators'!$C$1:$G$99999,5,FALSE)</f>
        <v>DE LA ROSA ALEX</v>
      </c>
      <c r="M99" s="6">
        <f t="shared" si="33"/>
        <v>2.4722222224227153E-2</v>
      </c>
      <c r="N99" s="7">
        <f t="shared" si="49"/>
        <v>35.6000000028871</v>
      </c>
      <c r="O99" s="7"/>
      <c r="P99" s="7"/>
      <c r="Q99" s="23"/>
      <c r="R99" s="23"/>
      <c r="S99" s="32">
        <f t="shared" si="34"/>
        <v>1</v>
      </c>
      <c r="T99" s="47" t="str">
        <f t="shared" si="35"/>
        <v>NorthBound</v>
      </c>
      <c r="U99" s="164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4" t="str">
        <f t="shared" si="36"/>
        <v>https://d0f6bd738d7f1b3e5a7ca70fe4ff75f0.us-east-1.aws.found.io/app/kibana#/discover/Steve-Slow-Train-Analysis-(2080s-and-2083s)?_g=(refreshInterval:(display:Off,pause:!f,section:0,value:0),time:(from:'2017-01-19T13:24:56-0700',mode:absolute,to:'2017-01-19T16:06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9" s="49" t="str">
        <f t="shared" si="37"/>
        <v>N</v>
      </c>
      <c r="X99" s="170">
        <f t="shared" si="48"/>
        <v>1</v>
      </c>
      <c r="Y99" s="64">
        <f t="shared" si="38"/>
        <v>4.5100000000000001E-2</v>
      </c>
      <c r="Z99" s="64">
        <f t="shared" si="39"/>
        <v>23.3337</v>
      </c>
      <c r="AA99" s="64">
        <f t="shared" si="40"/>
        <v>23.288599999999999</v>
      </c>
      <c r="AB99" s="61" t="e">
        <f>VLOOKUP(A99,Enforcements!$C$7:$K$15,8,0)</f>
        <v>#N/A</v>
      </c>
      <c r="AC99" s="57" t="e">
        <f>VLOOKUP(A99,Enforcements!$C$7:$E$15,3,0)</f>
        <v>#N/A</v>
      </c>
      <c r="AD99" s="58" t="str">
        <f t="shared" si="41"/>
        <v>0187-19</v>
      </c>
      <c r="AE99" s="87" t="str">
        <f t="shared" si="42"/>
        <v>aws s3 cp s3://rtdc.mdm.uploadarchive.raw/RTDC4016/ "%USERPROFILE%\AppData\Local\Temp\OnboardLogs"\RTDC4016\2017-01-19 --exclude "*" --recursive --include "*20170119*" &amp; "%USERPROFILE%\Documents\GitHub\mrs-test-scripts\Headless Mode &amp; Sideloading\WalkAndUnGZ.bat" "%USERPROFILE%\AppData\Local\Temp\OnboardLogs"\RTDC4016\2017-01-19 &amp; aws s3 cp s3://rtdc.mdm.uploadarchive.raw/RTDC4016/ "%USERPROFILE%\AppData\Local\Temp\OnboardLogs"\RTDC4016\2017-01-20 --exclude "*" --recursive --include "*20170120*" &amp; "%USERPROFILE%\Documents\GitHub\mrs-test-scripts\Headless Mode &amp; Sideloading\WalkAndUnGZ.bat" "%USERPROFILE%\AppData\Local\Temp\OnboardLogs"\RTDC4016\2017-01-20</v>
      </c>
      <c r="AF99" s="84" t="str">
        <f t="shared" si="43"/>
        <v>"C:\Program Files (x86)\AstroGrep\AstroGrep.exe" /spath="%USERPROFILE%\AppData\Local\Temp\OnboardLogs" /stypes="app*4016*20170119*" /stext=" 22:.+((SYSTEM_STATE.+slice.+state.+changed )|(ment ac)|(multiple cpu faults)|(system.+state.+changed )|(\[timeout)|(PRM\|1\|D)|(kpr)|(kdp)|(\|lc)|(penalty))" /e /r /s</v>
      </c>
      <c r="AG99" s="1" t="str">
        <f t="shared" si="44"/>
        <v>EC</v>
      </c>
      <c r="AH99" s="88" t="str">
        <f t="shared" si="45"/>
        <v>"%USERPROFILE%\Documents\GitHub\eaglep3\Utilities\RefineRTDCRunTimes.py" --tripid 187-19 --locoid 4016 --swversion DE.1.0.8.0 --startMP 204:451 --initTime 2017-01-19T14:24:56 --startdatetime 2017-01-19T14:30:36 --delay 1 --endMP 204:233337 --enddatetime 2017-01-19T15:06:12 --enforcementcount 5 &gt;&gt;C:\Users\stu\Documents\GitHub\eaglep3-reporting\EC\2017-01-19-refined-times.txt</v>
      </c>
      <c r="AI99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{"issue":{"subject":"","project_id":79,"tracker_id":40,"status_id":1,"priority_id":2,"assigned_to_id":23,"start_date":"2017-01-19","description":"","custom_fields":[{"id":1,"name":"Subdivision","value":"EC"},{"id":4,"name":"Milepost","value":"23.3337"},{"id":17,"name":"Train ID","value":"187-19"},{"id":16,"name":"Locomotive ID","value":"4016"},{"id":130,"name":"Impact","value":""},{"id":150,"name":"Time of Event (Mountain Time)","value":"15:06:12"},{"id":151,"name":"Denver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0"/>
      <c r="AK99" s="50"/>
      <c r="AL99" s="50"/>
      <c r="AM99" s="177" t="str">
        <f t="shared" si="47"/>
        <v>start /low /b %USERPROFILE%\Documents\GitHub\eaglep3\Utilities\DownloadLogsFromS3.py --loco 4016 --day 2017-01-19</v>
      </c>
      <c r="AN99" s="186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"%USERPROFILE%\AppData\Local\Temp\OnboardLogs"\RTDC4016\*4016*20170119* | grep -SE "(Enforcement Action)|(\[TIMEOUT)|(CHR.+\|PRM\|1\|D.+(SWITCH|SIGNAL).+UNKNOWN)" - &gt;&gt; 2017-01-19-UncaughtWiMAX.txt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4" t="s">
        <v>633</v>
      </c>
      <c r="B100" s="7">
        <v>4015</v>
      </c>
      <c r="C100" s="22" t="s">
        <v>196</v>
      </c>
      <c r="D100" s="22" t="s">
        <v>276</v>
      </c>
      <c r="E100" s="13">
        <v>42754.637881944444</v>
      </c>
      <c r="F100" s="13">
        <v>42754.643391203703</v>
      </c>
      <c r="G100" s="7">
        <v>1</v>
      </c>
      <c r="H100" s="22" t="s">
        <v>200</v>
      </c>
      <c r="I100" s="13">
        <v>42754.670138888891</v>
      </c>
      <c r="J100" s="7">
        <v>5</v>
      </c>
      <c r="K100" s="105" t="str">
        <f t="shared" si="32"/>
        <v>4015/4016</v>
      </c>
      <c r="L100" s="22" t="str">
        <f>VLOOKUP(A100,'Trips&amp;Operators'!$C$1:$G$99999,5,FALSE)</f>
        <v>DE LA ROSA ALEX</v>
      </c>
      <c r="M100" s="6">
        <f t="shared" si="33"/>
        <v>2.6747685187729076E-2</v>
      </c>
      <c r="N100" s="7">
        <f t="shared" si="49"/>
        <v>38.516666670329869</v>
      </c>
      <c r="O100" s="7"/>
      <c r="P100" s="7"/>
      <c r="Q100" s="23"/>
      <c r="R100" s="23"/>
      <c r="S100" s="32">
        <f t="shared" si="34"/>
        <v>1</v>
      </c>
      <c r="T100" s="47" t="str">
        <f t="shared" si="35"/>
        <v>Southbound</v>
      </c>
      <c r="U100" s="164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4" t="str">
        <f t="shared" si="36"/>
        <v>https://d0f6bd738d7f1b3e5a7ca70fe4ff75f0.us-east-1.aws.found.io/app/kibana#/discover/Steve-Slow-Train-Analysis-(2080s-and-2083s)?_g=(refreshInterval:(display:Off,pause:!f,section:0,value:0),time:(from:'2017-01-19T14:18:33-0700',mode:absolute,to:'2017-01-19T17:05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0" s="49" t="str">
        <f t="shared" si="37"/>
        <v>N</v>
      </c>
      <c r="X100" s="170">
        <f t="shared" si="48"/>
        <v>1</v>
      </c>
      <c r="Y100" s="64">
        <f t="shared" si="38"/>
        <v>23.298999999999999</v>
      </c>
      <c r="Z100" s="64">
        <f t="shared" si="39"/>
        <v>1.4999999999999999E-2</v>
      </c>
      <c r="AA100" s="64">
        <f t="shared" si="40"/>
        <v>23.283999999999999</v>
      </c>
      <c r="AB100" s="61" t="e">
        <f>VLOOKUP(A100,Enforcements!$C$7:$K$15,8,0)</f>
        <v>#N/A</v>
      </c>
      <c r="AC100" s="57" t="e">
        <f>VLOOKUP(A100,Enforcements!$C$7:$E$15,3,0)</f>
        <v>#N/A</v>
      </c>
      <c r="AD100" s="58" t="str">
        <f t="shared" si="41"/>
        <v>0188-19</v>
      </c>
      <c r="AE100" s="87" t="str">
        <f t="shared" si="42"/>
        <v>aws s3 cp s3://rtdc.mdm.uploadarchive.raw/RTDC4015/ "%USERPROFILE%\AppData\Local\Temp\OnboardLogs"\RTDC4015\2017-01-19 --exclude "*" --recursive --include "*20170119*" &amp; "%USERPROFILE%\Documents\GitHub\mrs-test-scripts\Headless Mode &amp; Sideloading\WalkAndUnGZ.bat" "%USERPROFILE%\AppData\Local\Temp\OnboardLogs"\RTDC4015\2017-01-19 &amp; aws s3 cp s3://rtdc.mdm.uploadarchive.raw/RTDC4015/ "%USERPROFILE%\AppData\Local\Temp\OnboardLogs"\RTDC4015\2017-01-20 --exclude "*" --recursive --include "*20170120*" &amp; "%USERPROFILE%\Documents\GitHub\mrs-test-scripts\Headless Mode &amp; Sideloading\WalkAndUnGZ.bat" "%USERPROFILE%\AppData\Local\Temp\OnboardLogs"\RTDC4015\2017-01-20</v>
      </c>
      <c r="AF100" s="84" t="str">
        <f t="shared" si="43"/>
        <v>"C:\Program Files (x86)\AstroGrep\AstroGrep.exe" /spath="%USERPROFILE%\AppData\Local\Temp\OnboardLogs" /stypes="app*4015*20170119*" /stext=" 23:.+((SYSTEM_STATE.+slice.+state.+changed )|(ment ac)|(multiple cpu faults)|(system.+state.+changed )|(\[timeout)|(PRM\|1\|D)|(kpr)|(kdp)|(\|lc)|(penalty))" /e /r /s</v>
      </c>
      <c r="AG100" s="1" t="str">
        <f t="shared" si="44"/>
        <v>EC</v>
      </c>
      <c r="AH100" s="88" t="str">
        <f t="shared" si="45"/>
        <v>"%USERPROFILE%\Documents\GitHub\eaglep3\Utilities\RefineRTDCRunTimes.py" --tripid 188-19 --locoid 4015 --swversion DE.1.0.8.0 --startMP 204:232990 --initTime 2017-01-19T15:18:33 --startdatetime 2017-01-19T15:26:29 --delay 1 --endMP 204:150 --enddatetime 2017-01-19T16:05:00 --enforcementcount 5 &gt;&gt;C:\Users\stu\Documents\GitHub\eaglep3-reporting\EC\2017-01-19-refined-times.txt</v>
      </c>
      <c r="AI100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{"issue":{"subject":"","project_id":79,"tracker_id":40,"status_id":1,"priority_id":2,"assigned_to_id":23,"start_date":"2017-01-19","description":"","custom_fields":[{"id":1,"name":"Subdivision","value":"EC"},{"id":4,"name":"Milepost","value":"0.015"},{"id":17,"name":"Train ID","value":"188-19"},{"id":16,"name":"Locomotive ID","value":"4015"},{"id":130,"name":"Impact","value":""},{"id":150,"name":"Time of Event (Mountain Time)","value":"16:05:00"},{"id":151,"name":"Denver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0"/>
      <c r="AK100" s="50"/>
      <c r="AL100" s="50"/>
      <c r="AM100" s="177" t="str">
        <f t="shared" si="47"/>
        <v>start /low /b %USERPROFILE%\Documents\GitHub\eaglep3\Utilities\DownloadLogsFromS3.py --loco 4015 --day 2017-01-19</v>
      </c>
      <c r="AN100" s="186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"%USERPROFILE%\AppData\Local\Temp\OnboardLogs"\RTDC4015\*4015*20170119* | grep -SE "(Enforcement Action)|(\[TIMEOUT)|(CHR.+\|PRM\|1\|D.+(SWITCH|SIGNAL).+UNKNOWN)" - &gt;&gt; 2017-01-19-UncaughtWiMAX.txt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4" t="s">
        <v>627</v>
      </c>
      <c r="B101" s="7">
        <v>4022</v>
      </c>
      <c r="C101" s="22" t="s">
        <v>196</v>
      </c>
      <c r="D101" s="22" t="s">
        <v>205</v>
      </c>
      <c r="E101" s="13">
        <v>42754.611909722225</v>
      </c>
      <c r="F101" s="13">
        <v>42754.614837962959</v>
      </c>
      <c r="G101" s="7">
        <v>1</v>
      </c>
      <c r="H101" s="22" t="s">
        <v>253</v>
      </c>
      <c r="I101" s="13">
        <v>42754.640300925923</v>
      </c>
      <c r="J101" s="7">
        <v>5</v>
      </c>
      <c r="K101" s="105" t="str">
        <f t="shared" si="32"/>
        <v>4021/4022</v>
      </c>
      <c r="L101" s="22" t="str">
        <f>VLOOKUP(A101,'Trips&amp;Operators'!$C$1:$G$99999,5,FALSE)</f>
        <v>KILLION DAVID</v>
      </c>
      <c r="M101" s="6">
        <f t="shared" si="33"/>
        <v>2.5462962963501923E-2</v>
      </c>
      <c r="N101" s="7">
        <f t="shared" si="49"/>
        <v>36.666666667442769</v>
      </c>
      <c r="O101" s="7"/>
      <c r="P101" s="7"/>
      <c r="Q101" s="23"/>
      <c r="R101" s="23"/>
      <c r="S101" s="32">
        <f t="shared" si="34"/>
        <v>1</v>
      </c>
      <c r="T101" s="47" t="str">
        <f t="shared" si="35"/>
        <v>NorthBound</v>
      </c>
      <c r="U101" s="164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4" t="str">
        <f t="shared" si="36"/>
        <v>https://d0f6bd738d7f1b3e5a7ca70fe4ff75f0.us-east-1.aws.found.io/app/kibana#/discover/Steve-Slow-Train-Analysis-(2080s-and-2083s)?_g=(refreshInterval:(display:Off,pause:!f,section:0,value:0),time:(from:'2017-01-19T13:41:09-0700',mode:absolute,to:'2017-01-19T16:22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1" s="49" t="str">
        <f t="shared" si="37"/>
        <v>N</v>
      </c>
      <c r="X101" s="170">
        <f t="shared" si="48"/>
        <v>1</v>
      </c>
      <c r="Y101" s="64">
        <f t="shared" si="38"/>
        <v>4.5499999999999999E-2</v>
      </c>
      <c r="Z101" s="64">
        <f t="shared" si="39"/>
        <v>23.329699999999999</v>
      </c>
      <c r="AA101" s="64">
        <f t="shared" si="40"/>
        <v>23.284199999999998</v>
      </c>
      <c r="AB101" s="61" t="e">
        <f>VLOOKUP(A101,Enforcements!$C$7:$K$15,8,0)</f>
        <v>#N/A</v>
      </c>
      <c r="AC101" s="57" t="e">
        <f>VLOOKUP(A101,Enforcements!$C$7:$E$15,3,0)</f>
        <v>#N/A</v>
      </c>
      <c r="AD101" s="58" t="str">
        <f t="shared" si="41"/>
        <v>0189-19</v>
      </c>
      <c r="AE101" s="87" t="str">
        <f t="shared" si="42"/>
        <v>aws s3 cp s3://rtdc.mdm.uploadarchive.raw/RTDC4022/ "%USERPROFILE%\AppData\Local\Temp\OnboardLogs"\RTDC4022\2017-01-19 --exclude "*" --recursive --include "*20170119*" &amp; "%USERPROFILE%\Documents\GitHub\mrs-test-scripts\Headless Mode &amp; Sideloading\WalkAndUnGZ.bat" "%USERPROFILE%\AppData\Local\Temp\OnboardLogs"\RTDC4022\2017-01-19 &amp; aws s3 cp s3://rtdc.mdm.uploadarchive.raw/RTDC4022/ "%USERPROFILE%\AppData\Local\Temp\OnboardLogs"\RTDC4022\2017-01-20 --exclude "*" --recursive --include "*20170120*" &amp; "%USERPROFILE%\Documents\GitHub\mrs-test-scripts\Headless Mode &amp; Sideloading\WalkAndUnGZ.bat" "%USERPROFILE%\AppData\Local\Temp\OnboardLogs"\RTDC4022\2017-01-20</v>
      </c>
      <c r="AF101" s="84" t="str">
        <f t="shared" si="43"/>
        <v>"C:\Program Files (x86)\AstroGrep\AstroGrep.exe" /spath="%USERPROFILE%\AppData\Local\Temp\OnboardLogs" /stypes="app*4022*20170119*" /stext=" 22:.+((SYSTEM_STATE.+slice.+state.+changed )|(ment ac)|(multiple cpu faults)|(system.+state.+changed )|(\[timeout)|(PRM\|1\|D)|(kpr)|(kdp)|(\|lc)|(penalty))" /e /r /s</v>
      </c>
      <c r="AG101" s="1" t="str">
        <f t="shared" si="44"/>
        <v>EC</v>
      </c>
      <c r="AH101" s="88" t="str">
        <f t="shared" si="45"/>
        <v>"%USERPROFILE%\Documents\GitHub\eaglep3\Utilities\RefineRTDCRunTimes.py" --tripid 189-19 --locoid 4022 --swversion DE.1.0.8.0 --startMP 204:455 --initTime 2017-01-19T14:41:09 --startdatetime 2017-01-19T14:45:22 --delay 1 --endMP 204:233297 --enddatetime 2017-01-19T15:22:02 --enforcementcount 5 &gt;&gt;C:\Users\stu\Documents\GitHub\eaglep3-reporting\EC\2017-01-19-refined-times.txt</v>
      </c>
      <c r="AI101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{"issue":{"subject":"","project_id":79,"tracker_id":40,"status_id":1,"priority_id":2,"assigned_to_id":23,"start_date":"2017-01-19","description":"","custom_fields":[{"id":1,"name":"Subdivision","value":"EC"},{"id":4,"name":"Milepost","value":"23.3297"},{"id":17,"name":"Train ID","value":"189-19"},{"id":16,"name":"Locomotive ID","value":"4022"},{"id":130,"name":"Impact","value":""},{"id":150,"name":"Time of Event (Mountain Time)","value":"15:22:02"},{"id":151,"name":"Denver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0"/>
      <c r="AK101" s="50"/>
      <c r="AL101" s="50"/>
      <c r="AM101" s="177" t="str">
        <f t="shared" si="47"/>
        <v>start /low /b %USERPROFILE%\Documents\GitHub\eaglep3\Utilities\DownloadLogsFromS3.py --loco 4022 --day 2017-01-19</v>
      </c>
      <c r="AN101" s="186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"%USERPROFILE%\AppData\Local\Temp\OnboardLogs"\RTDC4022\*4022*20170119* | grep -SE "(Enforcement Action)|(\[TIMEOUT)|(CHR.+\|PRM\|1\|D.+(SWITCH|SIGNAL).+UNKNOWN)" - &gt;&gt; 2017-01-19-UncaughtWiMAX.txt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4" t="s">
        <v>635</v>
      </c>
      <c r="B102" s="7">
        <v>4021</v>
      </c>
      <c r="C102" s="22" t="s">
        <v>196</v>
      </c>
      <c r="D102" s="22" t="s">
        <v>257</v>
      </c>
      <c r="E102" s="13">
        <v>42754.646319444444</v>
      </c>
      <c r="F102" s="13">
        <v>42754.653657407405</v>
      </c>
      <c r="G102" s="7">
        <v>1</v>
      </c>
      <c r="H102" s="22" t="s">
        <v>186</v>
      </c>
      <c r="I102" s="13">
        <v>42754.680092592593</v>
      </c>
      <c r="J102" s="7">
        <v>5</v>
      </c>
      <c r="K102" s="105" t="str">
        <f t="shared" si="32"/>
        <v>4021/4022</v>
      </c>
      <c r="L102" s="22" t="str">
        <f>VLOOKUP(A102,'Trips&amp;Operators'!$C$1:$G$99999,5,FALSE)</f>
        <v>KILLION DAVID</v>
      </c>
      <c r="M102" s="6">
        <f t="shared" si="33"/>
        <v>2.6435185187438037E-2</v>
      </c>
      <c r="N102" s="7">
        <f t="shared" si="49"/>
        <v>38.066666669910774</v>
      </c>
      <c r="O102" s="7"/>
      <c r="P102" s="7"/>
      <c r="Q102" s="23"/>
      <c r="R102" s="23"/>
      <c r="S102" s="32">
        <f t="shared" si="34"/>
        <v>1</v>
      </c>
      <c r="T102" s="47" t="str">
        <f t="shared" si="35"/>
        <v>Southbound</v>
      </c>
      <c r="U102" s="164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4" t="str">
        <f t="shared" si="36"/>
        <v>https://d0f6bd738d7f1b3e5a7ca70fe4ff75f0.us-east-1.aws.found.io/app/kibana#/discover/Steve-Slow-Train-Analysis-(2080s-and-2083s)?_g=(refreshInterval:(display:Off,pause:!f,section:0,value:0),time:(from:'2017-01-19T14:30:42-0700',mode:absolute,to:'2017-01-19T17:19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02" s="49" t="str">
        <f t="shared" si="37"/>
        <v>N</v>
      </c>
      <c r="X102" s="170">
        <f t="shared" si="48"/>
        <v>1</v>
      </c>
      <c r="Y102" s="64">
        <f t="shared" si="38"/>
        <v>23.299099999999999</v>
      </c>
      <c r="Z102" s="64">
        <f t="shared" si="39"/>
        <v>1.49E-2</v>
      </c>
      <c r="AA102" s="64">
        <f t="shared" si="40"/>
        <v>23.284199999999998</v>
      </c>
      <c r="AB102" s="61" t="e">
        <f>VLOOKUP(A102,Enforcements!$C$7:$K$15,8,0)</f>
        <v>#N/A</v>
      </c>
      <c r="AC102" s="57" t="e">
        <f>VLOOKUP(A102,Enforcements!$C$7:$E$15,3,0)</f>
        <v>#N/A</v>
      </c>
      <c r="AD102" s="58" t="str">
        <f t="shared" si="41"/>
        <v>0190-19</v>
      </c>
      <c r="AE102" s="87" t="str">
        <f t="shared" si="42"/>
        <v>aws s3 cp s3://rtdc.mdm.uploadarchive.raw/RTDC4021/ "%USERPROFILE%\AppData\Local\Temp\OnboardLogs"\RTDC4021\2017-01-19 --exclude "*" --recursive --include "*20170119*" &amp; "%USERPROFILE%\Documents\GitHub\mrs-test-scripts\Headless Mode &amp; Sideloading\WalkAndUnGZ.bat" "%USERPROFILE%\AppData\Local\Temp\OnboardLogs"\RTDC4021\2017-01-19 &amp; aws s3 cp s3://rtdc.mdm.uploadarchive.raw/RTDC4021/ "%USERPROFILE%\AppData\Local\Temp\OnboardLogs"\RTDC4021\2017-01-20 --exclude "*" --recursive --include "*20170120*" &amp; "%USERPROFILE%\Documents\GitHub\mrs-test-scripts\Headless Mode &amp; Sideloading\WalkAndUnGZ.bat" "%USERPROFILE%\AppData\Local\Temp\OnboardLogs"\RTDC4021\2017-01-20</v>
      </c>
      <c r="AF102" s="84" t="str">
        <f t="shared" si="43"/>
        <v>"C:\Program Files (x86)\AstroGrep\AstroGrep.exe" /spath="%USERPROFILE%\AppData\Local\Temp\OnboardLogs" /stypes="app*4021*20170119*" /stext=" 23:.+((SYSTEM_STATE.+slice.+state.+changed )|(ment ac)|(multiple cpu faults)|(system.+state.+changed )|(\[timeout)|(PRM\|1\|D)|(kpr)|(kdp)|(\|lc)|(penalty))" /e /r /s</v>
      </c>
      <c r="AG102" s="1" t="str">
        <f t="shared" si="44"/>
        <v>EC</v>
      </c>
      <c r="AH102" s="88" t="str">
        <f t="shared" si="45"/>
        <v>"%USERPROFILE%\Documents\GitHub\eaglep3\Utilities\RefineRTDCRunTimes.py" --tripid 190-19 --locoid 4021 --swversion DE.1.0.8.0 --startMP 204:232991 --initTime 2017-01-19T15:30:42 --startdatetime 2017-01-19T15:41:16 --delay 1 --endMP 204:149 --enddatetime 2017-01-19T16:19:20 --enforcementcount 5 &gt;&gt;C:\Users\stu\Documents\GitHub\eaglep3-reporting\EC\2017-01-19-refined-times.txt</v>
      </c>
      <c r="AI102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{"issue":{"subject":"","project_id":79,"tracker_id":40,"status_id":1,"priority_id":2,"assigned_to_id":23,"start_date":"2017-01-19","description":"","custom_fields":[{"id":1,"name":"Subdivision","value":"EC"},{"id":4,"name":"Milepost","value":"0.0149"},{"id":17,"name":"Train ID","value":"190-19"},{"id":16,"name":"Locomotive ID","value":"4021"},{"id":130,"name":"Impact","value":""},{"id":150,"name":"Time of Event (Mountain Time)","value":"16:19:20"},{"id":151,"name":"Denver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0"/>
      <c r="AK102" s="50"/>
      <c r="AL102" s="50"/>
      <c r="AM102" s="177" t="str">
        <f t="shared" si="47"/>
        <v>start /low /b %USERPROFILE%\Documents\GitHub\eaglep3\Utilities\DownloadLogsFromS3.py --loco 4021 --day 2017-01-19</v>
      </c>
      <c r="AN102" s="186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"%USERPROFILE%\AppData\Local\Temp\OnboardLogs"\RTDC4021\*4021*20170119* | grep -SE "(Enforcement Action)|(\[TIMEOUT)|(CHR.+\|PRM\|1\|D.+(SWITCH|SIGNAL).+UNKNOWN)" - &gt;&gt; 2017-01-19-UncaughtWiMAX.txt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4" t="s">
        <v>628</v>
      </c>
      <c r="B103" s="7">
        <v>4042</v>
      </c>
      <c r="C103" s="22" t="s">
        <v>196</v>
      </c>
      <c r="D103" s="22" t="s">
        <v>239</v>
      </c>
      <c r="E103" s="13">
        <v>42754.619189814817</v>
      </c>
      <c r="F103" s="13">
        <v>42754.625173611108</v>
      </c>
      <c r="G103" s="7">
        <v>1</v>
      </c>
      <c r="H103" s="22" t="s">
        <v>253</v>
      </c>
      <c r="I103" s="13">
        <v>42754.649733796294</v>
      </c>
      <c r="J103" s="7">
        <v>5</v>
      </c>
      <c r="K103" s="105" t="str">
        <f t="shared" si="32"/>
        <v>4041/4042</v>
      </c>
      <c r="L103" s="22" t="str">
        <f>VLOOKUP(A103,'Trips&amp;Operators'!$C$1:$G$99999,5,FALSE)</f>
        <v>BRUDER RICHARD</v>
      </c>
      <c r="M103" s="6">
        <f t="shared" si="33"/>
        <v>2.4560185185691807E-2</v>
      </c>
      <c r="N103" s="7">
        <f t="shared" si="49"/>
        <v>35.366666667396203</v>
      </c>
      <c r="O103" s="7"/>
      <c r="P103" s="7"/>
      <c r="Q103" s="23"/>
      <c r="R103" s="23"/>
      <c r="S103" s="32">
        <f t="shared" si="34"/>
        <v>1</v>
      </c>
      <c r="T103" s="47" t="str">
        <f t="shared" si="35"/>
        <v>NorthBound</v>
      </c>
      <c r="U103" s="164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4" t="str">
        <f t="shared" si="36"/>
        <v>https://d0f6bd738d7f1b3e5a7ca70fe4ff75f0.us-east-1.aws.found.io/app/kibana#/discover/Steve-Slow-Train-Analysis-(2080s-and-2083s)?_g=(refreshInterval:(display:Off,pause:!f,section:0,value:0),time:(from:'2017-01-19T13:51:38-0700',mode:absolute,to:'2017-01-19T16:35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3" s="49" t="str">
        <f t="shared" si="37"/>
        <v>N</v>
      </c>
      <c r="X103" s="170">
        <f t="shared" si="48"/>
        <v>1</v>
      </c>
      <c r="Y103" s="64">
        <f t="shared" si="38"/>
        <v>4.6899999999999997E-2</v>
      </c>
      <c r="Z103" s="64">
        <f t="shared" si="39"/>
        <v>23.329699999999999</v>
      </c>
      <c r="AA103" s="64">
        <f t="shared" si="40"/>
        <v>23.282799999999998</v>
      </c>
      <c r="AB103" s="61" t="e">
        <f>VLOOKUP(A103,Enforcements!$C$7:$K$15,8,0)</f>
        <v>#N/A</v>
      </c>
      <c r="AC103" s="57" t="e">
        <f>VLOOKUP(A103,Enforcements!$C$7:$E$15,3,0)</f>
        <v>#N/A</v>
      </c>
      <c r="AD103" s="58" t="str">
        <f t="shared" si="41"/>
        <v>0191-19</v>
      </c>
      <c r="AE103" s="87" t="str">
        <f t="shared" si="42"/>
        <v>aws s3 cp s3://rtdc.mdm.uploadarchive.raw/RTDC4042/ "%USERPROFILE%\AppData\Local\Temp\OnboardLogs"\RTDC4042\2017-01-19 --exclude "*" --recursive --include "*20170119*" &amp; "%USERPROFILE%\Documents\GitHub\mrs-test-scripts\Headless Mode &amp; Sideloading\WalkAndUnGZ.bat" "%USERPROFILE%\AppData\Local\Temp\OnboardLogs"\RTDC4042\2017-01-19 &amp; aws s3 cp s3://rtdc.mdm.uploadarchive.raw/RTDC4042/ "%USERPROFILE%\AppData\Local\Temp\OnboardLogs"\RTDC4042\2017-01-20 --exclude "*" --recursive --include "*20170120*" &amp; "%USERPROFILE%\Documents\GitHub\mrs-test-scripts\Headless Mode &amp; Sideloading\WalkAndUnGZ.bat" "%USERPROFILE%\AppData\Local\Temp\OnboardLogs"\RTDC4042\2017-01-20</v>
      </c>
      <c r="AF103" s="84" t="str">
        <f t="shared" si="43"/>
        <v>"C:\Program Files (x86)\AstroGrep\AstroGrep.exe" /spath="%USERPROFILE%\AppData\Local\Temp\OnboardLogs" /stypes="app*4042*20170119*" /stext=" 22:.+((SYSTEM_STATE.+slice.+state.+changed )|(ment ac)|(multiple cpu faults)|(system.+state.+changed )|(\[timeout)|(PRM\|1\|D)|(kpr)|(kdp)|(\|lc)|(penalty))" /e /r /s</v>
      </c>
      <c r="AG103" s="1" t="str">
        <f t="shared" si="44"/>
        <v>EC</v>
      </c>
      <c r="AH103" s="88" t="str">
        <f t="shared" si="45"/>
        <v>"%USERPROFILE%\Documents\GitHub\eaglep3\Utilities\RefineRTDCRunTimes.py" --tripid 191-19 --locoid 4042 --swversion DE.1.0.8.0 --startMP 204:469 --initTime 2017-01-19T14:51:38 --startdatetime 2017-01-19T15:00:15 --delay 1 --endMP 204:233297 --enddatetime 2017-01-19T15:35:37 --enforcementcount 5 &gt;&gt;C:\Users\stu\Documents\GitHub\eaglep3-reporting\EC\2017-01-19-refined-times.txt</v>
      </c>
      <c r="AI103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{"issue":{"subject":"","project_id":79,"tracker_id":40,"status_id":1,"priority_id":2,"assigned_to_id":23,"start_date":"2017-01-19","description":"","custom_fields":[{"id":1,"name":"Subdivision","value":"EC"},{"id":4,"name":"Milepost","value":"23.3297"},{"id":17,"name":"Train ID","value":"191-19"},{"id":16,"name":"Locomotive ID","value":"4042"},{"id":130,"name":"Impact","value":""},{"id":150,"name":"Time of Event (Mountain Time)","value":"15:35:37"},{"id":151,"name":"Denver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0"/>
      <c r="AK103" s="50"/>
      <c r="AL103" s="50"/>
      <c r="AM103" s="177" t="str">
        <f t="shared" si="47"/>
        <v>start /low /b %USERPROFILE%\Documents\GitHub\eaglep3\Utilities\DownloadLogsFromS3.py --loco 4042 --day 2017-01-19</v>
      </c>
      <c r="AN103" s="186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"%USERPROFILE%\AppData\Local\Temp\OnboardLogs"\RTDC4042\*4042*20170119* | grep -SE "(Enforcement Action)|(\[TIMEOUT)|(CHR.+\|PRM\|1\|D.+(SWITCH|SIGNAL).+UNKNOWN)" - &gt;&gt; 2017-01-19-UncaughtWiMAX.txt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4" t="s">
        <v>638</v>
      </c>
      <c r="B104" s="7">
        <v>4041</v>
      </c>
      <c r="C104" s="22" t="s">
        <v>196</v>
      </c>
      <c r="D104" s="22" t="s">
        <v>281</v>
      </c>
      <c r="E104" s="13">
        <v>42754.657511574071</v>
      </c>
      <c r="F104" s="13">
        <v>42754.6640625</v>
      </c>
      <c r="G104" s="7">
        <v>1</v>
      </c>
      <c r="H104" s="22" t="s">
        <v>227</v>
      </c>
      <c r="I104" s="13">
        <v>42754.690740740742</v>
      </c>
      <c r="J104" s="7">
        <v>5</v>
      </c>
      <c r="K104" s="105" t="str">
        <f t="shared" si="32"/>
        <v>4041/4042</v>
      </c>
      <c r="L104" s="22" t="str">
        <f>VLOOKUP(A104,'Trips&amp;Operators'!$C$1:$G$99999,5,FALSE)</f>
        <v>BRUDER RICHARD</v>
      </c>
      <c r="M104" s="6">
        <f t="shared" si="33"/>
        <v>2.6678240741603076E-2</v>
      </c>
      <c r="N104" s="7">
        <f t="shared" si="49"/>
        <v>38.41666666790843</v>
      </c>
      <c r="O104" s="7"/>
      <c r="P104" s="7"/>
      <c r="Q104" s="23"/>
      <c r="R104" s="23"/>
      <c r="S104" s="32">
        <f t="shared" si="34"/>
        <v>1</v>
      </c>
      <c r="T104" s="47" t="str">
        <f t="shared" si="35"/>
        <v>Southbound</v>
      </c>
      <c r="U104" s="164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4" t="str">
        <f t="shared" si="36"/>
        <v>https://d0f6bd738d7f1b3e5a7ca70fe4ff75f0.us-east-1.aws.found.io/app/kibana#/discover/Steve-Slow-Train-Analysis-(2080s-and-2083s)?_g=(refreshInterval:(display:Off,pause:!f,section:0,value:0),time:(from:'2017-01-19T14:46:49-0700',mode:absolute,to:'2017-01-19T17:34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4" s="49" t="str">
        <f t="shared" si="37"/>
        <v>N</v>
      </c>
      <c r="X104" s="170">
        <f t="shared" si="48"/>
        <v>1</v>
      </c>
      <c r="Y104" s="64">
        <f t="shared" si="38"/>
        <v>23.298200000000001</v>
      </c>
      <c r="Z104" s="64">
        <f t="shared" si="39"/>
        <v>1.5599999999999999E-2</v>
      </c>
      <c r="AA104" s="64">
        <f t="shared" si="40"/>
        <v>23.282600000000002</v>
      </c>
      <c r="AB104" s="61" t="e">
        <f>VLOOKUP(A104,Enforcements!$C$7:$K$15,8,0)</f>
        <v>#N/A</v>
      </c>
      <c r="AC104" s="57" t="e">
        <f>VLOOKUP(A104,Enforcements!$C$7:$E$15,3,0)</f>
        <v>#N/A</v>
      </c>
      <c r="AD104" s="58" t="str">
        <f t="shared" si="41"/>
        <v>0192-19</v>
      </c>
      <c r="AE104" s="87" t="str">
        <f t="shared" si="42"/>
        <v>aws s3 cp s3://rtdc.mdm.uploadarchive.raw/RTDC4041/ "%USERPROFILE%\AppData\Local\Temp\OnboardLogs"\RTDC4041\2017-01-19 --exclude "*" --recursive --include "*20170119*" &amp; "%USERPROFILE%\Documents\GitHub\mrs-test-scripts\Headless Mode &amp; Sideloading\WalkAndUnGZ.bat" "%USERPROFILE%\AppData\Local\Temp\OnboardLogs"\RTDC4041\2017-01-19 &amp; aws s3 cp s3://rtdc.mdm.uploadarchive.raw/RTDC4041/ "%USERPROFILE%\AppData\Local\Temp\OnboardLogs"\RTDC4041\2017-01-20 --exclude "*" --recursive --include "*20170120*" &amp; "%USERPROFILE%\Documents\GitHub\mrs-test-scripts\Headless Mode &amp; Sideloading\WalkAndUnGZ.bat" "%USERPROFILE%\AppData\Local\Temp\OnboardLogs"\RTDC4041\2017-01-20</v>
      </c>
      <c r="AF104" s="84" t="str">
        <f t="shared" si="43"/>
        <v>"C:\Program Files (x86)\AstroGrep\AstroGrep.exe" /spath="%USERPROFILE%\AppData\Local\Temp\OnboardLogs" /stypes="app*4041*20170119*" /stext=" 23:.+((SYSTEM_STATE.+slice.+state.+changed )|(ment ac)|(multiple cpu faults)|(system.+state.+changed )|(\[timeout)|(PRM\|1\|D)|(kpr)|(kdp)|(\|lc)|(penalty))" /e /r /s</v>
      </c>
      <c r="AG104" s="1" t="str">
        <f t="shared" si="44"/>
        <v>EC</v>
      </c>
      <c r="AH104" s="88" t="str">
        <f t="shared" si="45"/>
        <v>"%USERPROFILE%\Documents\GitHub\eaglep3\Utilities\RefineRTDCRunTimes.py" --tripid 192-19 --locoid 4041 --swversion DE.1.0.8.0 --startMP 204:232982 --initTime 2017-01-19T15:46:49 --startdatetime 2017-01-19T15:56:15 --delay 1 --endMP 204:156 --enddatetime 2017-01-19T16:34:40 --enforcementcount 5 &gt;&gt;C:\Users\stu\Documents\GitHub\eaglep3-reporting\EC\2017-01-19-refined-times.txt</v>
      </c>
      <c r="AI104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{"issue":{"subject":"","project_id":79,"tracker_id":40,"status_id":1,"priority_id":2,"assigned_to_id":23,"start_date":"2017-01-19","description":"","custom_fields":[{"id":1,"name":"Subdivision","value":"EC"},{"id":4,"name":"Milepost","value":"0.0156"},{"id":17,"name":"Train ID","value":"192-19"},{"id":16,"name":"Locomotive ID","value":"4041"},{"id":130,"name":"Impact","value":""},{"id":150,"name":"Time of Event (Mountain Time)","value":"16:34:40"},{"id":151,"name":"Denver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0"/>
      <c r="AK104" s="50"/>
      <c r="AL104" s="50"/>
      <c r="AM104" s="177" t="str">
        <f t="shared" si="47"/>
        <v>start /low /b %USERPROFILE%\Documents\GitHub\eaglep3\Utilities\DownloadLogsFromS3.py --loco 4041 --day 2017-01-19</v>
      </c>
      <c r="AN104" s="186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"%USERPROFILE%\AppData\Local\Temp\OnboardLogs"\RTDC4041\*4041*20170119* | grep -SE "(Enforcement Action)|(\[TIMEOUT)|(CHR.+\|PRM\|1\|D.+(SWITCH|SIGNAL).+UNKNOWN)" - &gt;&gt; 2017-01-19-UncaughtWiMAX.txt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4" t="s">
        <v>631</v>
      </c>
      <c r="B105" s="7">
        <v>4011</v>
      </c>
      <c r="C105" s="22" t="s">
        <v>196</v>
      </c>
      <c r="D105" s="22" t="s">
        <v>301</v>
      </c>
      <c r="E105" s="13">
        <v>42754.63</v>
      </c>
      <c r="F105" s="13">
        <v>42754.635706018518</v>
      </c>
      <c r="G105" s="7">
        <v>1</v>
      </c>
      <c r="H105" s="22" t="s">
        <v>275</v>
      </c>
      <c r="I105" s="13">
        <v>42754.660879629628</v>
      </c>
      <c r="J105" s="7">
        <v>5</v>
      </c>
      <c r="K105" s="105" t="str">
        <f t="shared" si="32"/>
        <v>4011/4012</v>
      </c>
      <c r="L105" s="22" t="str">
        <f>VLOOKUP(A105,'Trips&amp;Operators'!$C$1:$G$99999,5,FALSE)</f>
        <v>SMITH MICHAEL</v>
      </c>
      <c r="M105" s="6">
        <f t="shared" si="33"/>
        <v>2.5173611109494232E-2</v>
      </c>
      <c r="N105" s="7">
        <f t="shared" si="49"/>
        <v>36.249999997671694</v>
      </c>
      <c r="O105" s="7"/>
      <c r="P105" s="7"/>
      <c r="Q105" s="23"/>
      <c r="R105" s="23"/>
      <c r="S105" s="32">
        <f t="shared" si="34"/>
        <v>1</v>
      </c>
      <c r="T105" s="47" t="str">
        <f t="shared" si="35"/>
        <v>NorthBound</v>
      </c>
      <c r="U105" s="164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4" t="str">
        <f t="shared" si="36"/>
        <v>https://d0f6bd738d7f1b3e5a7ca70fe4ff75f0.us-east-1.aws.found.io/app/kibana#/discover/Steve-Slow-Train-Analysis-(2080s-and-2083s)?_g=(refreshInterval:(display:Off,pause:!f,section:0,value:0),time:(from:'2017-01-19T14:07:12-0700',mode:absolute,to:'2017-01-19T16:51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5" s="49" t="str">
        <f t="shared" si="37"/>
        <v>N</v>
      </c>
      <c r="X105" s="170">
        <f t="shared" si="48"/>
        <v>1</v>
      </c>
      <c r="Y105" s="64">
        <f t="shared" si="38"/>
        <v>4.6699999999999998E-2</v>
      </c>
      <c r="Z105" s="64">
        <f t="shared" si="39"/>
        <v>23.330200000000001</v>
      </c>
      <c r="AA105" s="64">
        <f t="shared" si="40"/>
        <v>23.2835</v>
      </c>
      <c r="AB105" s="61" t="e">
        <f>VLOOKUP(A105,Enforcements!$C$7:$K$15,8,0)</f>
        <v>#N/A</v>
      </c>
      <c r="AC105" s="57" t="e">
        <f>VLOOKUP(A105,Enforcements!$C$7:$E$15,3,0)</f>
        <v>#N/A</v>
      </c>
      <c r="AD105" s="58" t="str">
        <f t="shared" si="41"/>
        <v>0193-19</v>
      </c>
      <c r="AE105" s="87" t="str">
        <f t="shared" si="42"/>
        <v>aws s3 cp s3://rtdc.mdm.uploadarchive.raw/RTDC4011/ "%USERPROFILE%\AppData\Local\Temp\OnboardLogs"\RTDC4011\2017-01-19 --exclude "*" --recursive --include "*20170119*" &amp; "%USERPROFILE%\Documents\GitHub\mrs-test-scripts\Headless Mode &amp; Sideloading\WalkAndUnGZ.bat" "%USERPROFILE%\AppData\Local\Temp\OnboardLogs"\RTDC4011\2017-01-19 &amp; aws s3 cp s3://rtdc.mdm.uploadarchive.raw/RTDC4011/ "%USERPROFILE%\AppData\Local\Temp\OnboardLogs"\RTDC4011\2017-01-20 --exclude "*" --recursive --include "*20170120*" &amp; "%USERPROFILE%\Documents\GitHub\mrs-test-scripts\Headless Mode &amp; Sideloading\WalkAndUnGZ.bat" "%USERPROFILE%\AppData\Local\Temp\OnboardLogs"\RTDC4011\2017-01-20</v>
      </c>
      <c r="AF105" s="84" t="str">
        <f t="shared" si="43"/>
        <v>"C:\Program Files (x86)\AstroGrep\AstroGrep.exe" /spath="%USERPROFILE%\AppData\Local\Temp\OnboardLogs" /stypes="app*4011*20170119*" /stext=" 22:.+((SYSTEM_STATE.+slice.+state.+changed )|(ment ac)|(multiple cpu faults)|(system.+state.+changed )|(\[timeout)|(PRM\|1\|D)|(kpr)|(kdp)|(\|lc)|(penalty))" /e /r /s</v>
      </c>
      <c r="AG105" s="1" t="str">
        <f t="shared" si="44"/>
        <v>EC</v>
      </c>
      <c r="AH105" s="88" t="str">
        <f t="shared" si="45"/>
        <v>"%USERPROFILE%\Documents\GitHub\eaglep3\Utilities\RefineRTDCRunTimes.py" --tripid 193-19 --locoid 4011 --swversion DE.1.0.8.0 --startMP 204:467 --initTime 2017-01-19T15:07:12 --startdatetime 2017-01-19T15:15:25 --delay 1 --endMP 204:233302 --enddatetime 2017-01-19T15:51:40 --enforcementcount 5 &gt;&gt;C:\Users\stu\Documents\GitHub\eaglep3-reporting\EC\2017-01-19-refined-times.txt</v>
      </c>
      <c r="AI105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{"issue":{"subject":"","project_id":79,"tracker_id":40,"status_id":1,"priority_id":2,"assigned_to_id":23,"start_date":"2017-01-19","description":"","custom_fields":[{"id":1,"name":"Subdivision","value":"EC"},{"id":4,"name":"Milepost","value":"23.3302"},{"id":17,"name":"Train ID","value":"193-19"},{"id":16,"name":"Locomotive ID","value":"4011"},{"id":130,"name":"Impact","value":""},{"id":150,"name":"Time of Event (Mountain Time)","value":"15:51:40"},{"id":151,"name":"Denver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0"/>
      <c r="AK105" s="50"/>
      <c r="AL105" s="50"/>
      <c r="AM105" s="177" t="str">
        <f t="shared" si="47"/>
        <v>start /low /b %USERPROFILE%\Documents\GitHub\eaglep3\Utilities\DownloadLogsFromS3.py --loco 4011 --day 2017-01-19</v>
      </c>
      <c r="AN105" s="186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"%USERPROFILE%\AppData\Local\Temp\OnboardLogs"\RTDC4011\*4011*20170119* | grep -SE "(Enforcement Action)|(\[TIMEOUT)|(CHR.+\|PRM\|1\|D.+(SWITCH|SIGNAL).+UNKNOWN)" - &gt;&gt; 2017-01-19-UncaughtWiMAX.txt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4" t="s">
        <v>640</v>
      </c>
      <c r="B106" s="7">
        <v>4012</v>
      </c>
      <c r="C106" s="22" t="s">
        <v>196</v>
      </c>
      <c r="D106" s="22" t="s">
        <v>233</v>
      </c>
      <c r="E106" s="13">
        <v>42754.666608796295</v>
      </c>
      <c r="F106" s="13">
        <v>42754.674583333333</v>
      </c>
      <c r="G106" s="7">
        <v>1</v>
      </c>
      <c r="H106" s="22" t="s">
        <v>225</v>
      </c>
      <c r="I106" s="13">
        <v>42754.701828703706</v>
      </c>
      <c r="J106" s="7">
        <v>5</v>
      </c>
      <c r="K106" s="105" t="str">
        <f t="shared" si="32"/>
        <v>4011/4012</v>
      </c>
      <c r="L106" s="22" t="str">
        <f>VLOOKUP(A106,'Trips&amp;Operators'!$C$1:$G$99999,5,FALSE)</f>
        <v>SMITH MICHAEL</v>
      </c>
      <c r="M106" s="6">
        <f t="shared" si="33"/>
        <v>2.7245370372838806E-2</v>
      </c>
      <c r="N106" s="7">
        <f t="shared" si="49"/>
        <v>39.233333336887881</v>
      </c>
      <c r="O106" s="7"/>
      <c r="P106" s="7"/>
      <c r="Q106" s="23"/>
      <c r="R106" s="23"/>
      <c r="S106" s="32">
        <f t="shared" si="34"/>
        <v>1</v>
      </c>
      <c r="T106" s="47" t="str">
        <f t="shared" si="35"/>
        <v>Southbound</v>
      </c>
      <c r="U106" s="164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4" t="str">
        <f t="shared" si="36"/>
        <v>https://d0f6bd738d7f1b3e5a7ca70fe4ff75f0.us-east-1.aws.found.io/app/kibana#/discover/Steve-Slow-Train-Analysis-(2080s-and-2083s)?_g=(refreshInterval:(display:Off,pause:!f,section:0,value:0),time:(from:'2017-01-19T14:59:55-0700',mode:absolute,to:'2017-01-19T17:50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6" s="49" t="str">
        <f t="shared" si="37"/>
        <v>N</v>
      </c>
      <c r="X106" s="170">
        <f t="shared" si="48"/>
        <v>1</v>
      </c>
      <c r="Y106" s="64">
        <f t="shared" si="38"/>
        <v>23.298300000000001</v>
      </c>
      <c r="Z106" s="64">
        <f t="shared" si="39"/>
        <v>1.52E-2</v>
      </c>
      <c r="AA106" s="64">
        <f t="shared" si="40"/>
        <v>23.283100000000001</v>
      </c>
      <c r="AB106" s="61" t="e">
        <f>VLOOKUP(A106,Enforcements!$C$7:$K$15,8,0)</f>
        <v>#N/A</v>
      </c>
      <c r="AC106" s="57" t="e">
        <f>VLOOKUP(A106,Enforcements!$C$7:$E$15,3,0)</f>
        <v>#N/A</v>
      </c>
      <c r="AD106" s="58" t="str">
        <f t="shared" si="41"/>
        <v>0194-19</v>
      </c>
      <c r="AE106" s="87" t="str">
        <f t="shared" si="42"/>
        <v>aws s3 cp s3://rtdc.mdm.uploadarchive.raw/RTDC4012/ "%USERPROFILE%\AppData\Local\Temp\OnboardLogs"\RTDC4012\2017-01-19 --exclude "*" --recursive --include "*20170119*" &amp; "%USERPROFILE%\Documents\GitHub\mrs-test-scripts\Headless Mode &amp; Sideloading\WalkAndUnGZ.bat" "%USERPROFILE%\AppData\Local\Temp\OnboardLogs"\RTDC4012\2017-01-19 &amp; aws s3 cp s3://rtdc.mdm.uploadarchive.raw/RTDC4012/ "%USERPROFILE%\AppData\Local\Temp\OnboardLogs"\RTDC4012\2017-01-20 --exclude "*" --recursive --include "*20170120*" &amp; "%USERPROFILE%\Documents\GitHub\mrs-test-scripts\Headless Mode &amp; Sideloading\WalkAndUnGZ.bat" "%USERPROFILE%\AppData\Local\Temp\OnboardLogs"\RTDC4012\2017-01-20</v>
      </c>
      <c r="AF106" s="84" t="str">
        <f t="shared" si="43"/>
        <v>"C:\Program Files (x86)\AstroGrep\AstroGrep.exe" /spath="%USERPROFILE%\AppData\Local\Temp\OnboardLogs" /stypes="app*4012*20170119*" /stext=" 23:.+((SYSTEM_STATE.+slice.+state.+changed )|(ment ac)|(multiple cpu faults)|(system.+state.+changed )|(\[timeout)|(PRM\|1\|D)|(kpr)|(kdp)|(\|lc)|(penalty))" /e /r /s</v>
      </c>
      <c r="AG106" s="1" t="str">
        <f t="shared" si="44"/>
        <v>EC</v>
      </c>
      <c r="AH106" s="88" t="str">
        <f t="shared" si="45"/>
        <v>"%USERPROFILE%\Documents\GitHub\eaglep3\Utilities\RefineRTDCRunTimes.py" --tripid 194-19 --locoid 4012 --swversion DE.1.0.8.0 --startMP 204:232983 --initTime 2017-01-19T15:59:55 --startdatetime 2017-01-19T16:11:24 --delay 1 --endMP 204:152 --enddatetime 2017-01-19T16:50:38 --enforcementcount 5 &gt;&gt;C:\Users\stu\Documents\GitHub\eaglep3-reporting\EC\2017-01-19-refined-times.txt</v>
      </c>
      <c r="AI106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{"issue":{"subject":"","project_id":79,"tracker_id":40,"status_id":1,"priority_id":2,"assigned_to_id":23,"start_date":"2017-01-19","description":"","custom_fields":[{"id":1,"name":"Subdivision","value":"EC"},{"id":4,"name":"Milepost","value":"0.0152"},{"id":17,"name":"Train ID","value":"194-19"},{"id":16,"name":"Locomotive ID","value":"4012"},{"id":130,"name":"Impact","value":""},{"id":150,"name":"Time of Event (Mountain Time)","value":"16:50:38"},{"id":151,"name":"Denver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0"/>
      <c r="AK106" s="50"/>
      <c r="AL106" s="50"/>
      <c r="AM106" s="177" t="str">
        <f t="shared" si="47"/>
        <v>start /low /b %USERPROFILE%\Documents\GitHub\eaglep3\Utilities\DownloadLogsFromS3.py --loco 4012 --day 2017-01-19</v>
      </c>
      <c r="AN106" s="186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"%USERPROFILE%\AppData\Local\Temp\OnboardLogs"\RTDC4012\*4012*20170119* | grep -SE "(Enforcement Action)|(\[TIMEOUT)|(CHR.+\|PRM\|1\|D.+(SWITCH|SIGNAL).+UNKNOWN)" - &gt;&gt; 2017-01-19-UncaughtWiMAX.txt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x14ac:dyDescent="0.25">
      <c r="A107" s="34" t="s">
        <v>634</v>
      </c>
      <c r="B107" s="7">
        <v>4031</v>
      </c>
      <c r="C107" s="22" t="s">
        <v>196</v>
      </c>
      <c r="D107" s="22" t="s">
        <v>297</v>
      </c>
      <c r="E107" s="13">
        <v>42754.641203703701</v>
      </c>
      <c r="F107" s="13">
        <v>42754.645949074074</v>
      </c>
      <c r="G107" s="7">
        <v>1</v>
      </c>
      <c r="H107" s="22" t="s">
        <v>242</v>
      </c>
      <c r="I107" s="13">
        <v>42754.670787037037</v>
      </c>
      <c r="J107" s="7">
        <v>5</v>
      </c>
      <c r="K107" s="105" t="str">
        <f t="shared" si="32"/>
        <v>4031/4032</v>
      </c>
      <c r="L107" s="22" t="str">
        <f>VLOOKUP(A107,'Trips&amp;Operators'!$C$1:$G$99999,5,FALSE)</f>
        <v>CRAYTON QUNTRELL</v>
      </c>
      <c r="M107" s="6">
        <f t="shared" si="33"/>
        <v>2.4837962962919846E-2</v>
      </c>
      <c r="N107" s="7">
        <f t="shared" si="49"/>
        <v>35.766666666604578</v>
      </c>
      <c r="O107" s="7"/>
      <c r="P107" s="7"/>
      <c r="Q107" s="23"/>
      <c r="R107" s="23"/>
      <c r="S107" s="32">
        <f t="shared" si="34"/>
        <v>1</v>
      </c>
      <c r="T107" s="47" t="str">
        <f t="shared" si="35"/>
        <v>NorthBound</v>
      </c>
      <c r="U107" s="164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4" t="str">
        <f t="shared" si="36"/>
        <v>https://d0f6bd738d7f1b3e5a7ca70fe4ff75f0.us-east-1.aws.found.io/app/kibana#/discover/Steve-Slow-Train-Analysis-(2080s-and-2083s)?_g=(refreshInterval:(display:Off,pause:!f,section:0,value:0),time:(from:'2017-01-19T14:23:20-0700',mode:absolute,to:'2017-01-19T17:05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7" s="49" t="str">
        <f t="shared" si="37"/>
        <v>N</v>
      </c>
      <c r="X107" s="170">
        <f t="shared" si="48"/>
        <v>1</v>
      </c>
      <c r="Y107" s="64">
        <f t="shared" si="38"/>
        <v>4.5999999999999999E-2</v>
      </c>
      <c r="Z107" s="64">
        <f t="shared" si="39"/>
        <v>23.330100000000002</v>
      </c>
      <c r="AA107" s="64">
        <f t="shared" si="40"/>
        <v>23.284100000000002</v>
      </c>
      <c r="AB107" s="61" t="e">
        <f>VLOOKUP(A107,Enforcements!$C$7:$K$15,8,0)</f>
        <v>#N/A</v>
      </c>
      <c r="AC107" s="57" t="e">
        <f>VLOOKUP(A107,Enforcements!$C$7:$E$15,3,0)</f>
        <v>#N/A</v>
      </c>
      <c r="AD107" s="58" t="str">
        <f t="shared" si="41"/>
        <v>0195-19</v>
      </c>
      <c r="AE107" s="87" t="str">
        <f t="shared" si="42"/>
        <v>aws s3 cp s3://rtdc.mdm.uploadarchive.raw/RTDC4031/ "%USERPROFILE%\AppData\Local\Temp\OnboardLogs"\RTDC4031\2017-01-19 --exclude "*" --recursive --include "*20170119*" &amp; "%USERPROFILE%\Documents\GitHub\mrs-test-scripts\Headless Mode &amp; Sideloading\WalkAndUnGZ.bat" "%USERPROFILE%\AppData\Local\Temp\OnboardLogs"\RTDC4031\2017-01-19 &amp; aws s3 cp s3://rtdc.mdm.uploadarchive.raw/RTDC4031/ "%USERPROFILE%\AppData\Local\Temp\OnboardLogs"\RTDC4031\2017-01-20 --exclude "*" --recursive --include "*20170120*" &amp; "%USERPROFILE%\Documents\GitHub\mrs-test-scripts\Headless Mode &amp; Sideloading\WalkAndUnGZ.bat" "%USERPROFILE%\AppData\Local\Temp\OnboardLogs"\RTDC4031\2017-01-20</v>
      </c>
      <c r="AF107" s="84" t="str">
        <f t="shared" si="43"/>
        <v>"C:\Program Files (x86)\AstroGrep\AstroGrep.exe" /spath="%USERPROFILE%\AppData\Local\Temp\OnboardLogs" /stypes="app*4031*20170119*" /stext=" 23:.+((SYSTEM_STATE.+slice.+state.+changed )|(ment ac)|(multiple cpu faults)|(system.+state.+changed )|(\[timeout)|(PRM\|1\|D)|(kpr)|(kdp)|(\|lc)|(penalty))" /e /r /s</v>
      </c>
      <c r="AG107" s="1" t="str">
        <f t="shared" si="44"/>
        <v>EC</v>
      </c>
      <c r="AH107" s="88" t="str">
        <f t="shared" si="45"/>
        <v>"%USERPROFILE%\Documents\GitHub\eaglep3\Utilities\RefineRTDCRunTimes.py" --tripid 195-19 --locoid 4031 --swversion DE.1.0.8.0 --startMP 204:460 --initTime 2017-01-19T15:23:20 --startdatetime 2017-01-19T15:30:10 --delay 1 --endMP 204:233301 --enddatetime 2017-01-19T16:05:56 --enforcementcount 5 &gt;&gt;C:\Users\stu\Documents\GitHub\eaglep3-reporting\EC\2017-01-19-refined-times.txt</v>
      </c>
      <c r="AI107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{"issue":{"subject":"","project_id":79,"tracker_id":40,"status_id":1,"priority_id":2,"assigned_to_id":23,"start_date":"2017-01-19","description":"","custom_fields":[{"id":1,"name":"Subdivision","value":"EC"},{"id":4,"name":"Milepost","value":"23.3301"},{"id":17,"name":"Train ID","value":"195-19"},{"id":16,"name":"Locomotive ID","value":"4031"},{"id":130,"name":"Impact","value":""},{"id":150,"name":"Time of Event (Mountain Time)","value":"16:05:56"},{"id":151,"name":"Denver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0"/>
      <c r="AK107" s="50"/>
      <c r="AL107" s="50"/>
      <c r="AM107" s="177" t="str">
        <f t="shared" si="47"/>
        <v>start /low /b %USERPROFILE%\Documents\GitHub\eaglep3\Utilities\DownloadLogsFromS3.py --loco 4031 --day 2017-01-19</v>
      </c>
      <c r="AN107" s="186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"%USERPROFILE%\AppData\Local\Temp\OnboardLogs"\RTDC4031\*4031*20170119* | grep -SE "(Enforcement Action)|(\[TIMEOUT)|(CHR.+\|PRM\|1\|D.+(SWITCH|SIGNAL).+UNKNOWN)" - &gt;&gt; 2017-01-19-UncaughtWiMAX.txt</v>
      </c>
    </row>
    <row r="108" spans="1:91" s="21" customFormat="1" x14ac:dyDescent="0.25">
      <c r="A108" s="34" t="s">
        <v>497</v>
      </c>
      <c r="B108" s="7">
        <v>4032</v>
      </c>
      <c r="C108" s="22" t="s">
        <v>196</v>
      </c>
      <c r="D108" s="22" t="s">
        <v>247</v>
      </c>
      <c r="E108" s="13">
        <v>42754.678506944445</v>
      </c>
      <c r="F108" s="13">
        <v>42754.685023148151</v>
      </c>
      <c r="G108" s="7">
        <v>1</v>
      </c>
      <c r="H108" s="22" t="s">
        <v>748</v>
      </c>
      <c r="I108" s="13">
        <v>42754.712731481479</v>
      </c>
      <c r="J108" s="7">
        <v>5</v>
      </c>
      <c r="K108" s="105" t="str">
        <f t="shared" si="32"/>
        <v>4031/4032</v>
      </c>
      <c r="L108" s="22" t="str">
        <f>VLOOKUP(A108,'Trips&amp;Operators'!$C$1:$G$99999,5,FALSE)</f>
        <v>CRAYTON QUNTRELL</v>
      </c>
      <c r="M108" s="6">
        <f t="shared" si="33"/>
        <v>2.770833332760958E-2</v>
      </c>
      <c r="N108" s="7">
        <f t="shared" si="49"/>
        <v>39.899999991757795</v>
      </c>
      <c r="O108" s="7"/>
      <c r="P108" s="7"/>
      <c r="Q108" s="23"/>
      <c r="R108" s="23"/>
      <c r="S108" s="32">
        <f t="shared" si="34"/>
        <v>1</v>
      </c>
      <c r="T108" s="47" t="str">
        <f t="shared" si="35"/>
        <v>Southbound</v>
      </c>
      <c r="U108" s="164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4" t="str">
        <f t="shared" si="36"/>
        <v>https://d0f6bd738d7f1b3e5a7ca70fe4ff75f0.us-east-1.aws.found.io/app/kibana#/discover/Steve-Slow-Train-Analysis-(2080s-and-2083s)?_g=(refreshInterval:(display:Off,pause:!f,section:0,value:0),time:(from:'2017-01-19T15:17:03-0700',mode:absolute,to:'2017-01-19T18:06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8" s="49" t="str">
        <f t="shared" si="37"/>
        <v>N</v>
      </c>
      <c r="X108" s="170">
        <f t="shared" si="48"/>
        <v>1</v>
      </c>
      <c r="Y108" s="64">
        <f t="shared" si="38"/>
        <v>23.298400000000001</v>
      </c>
      <c r="Z108" s="64">
        <f t="shared" si="39"/>
        <v>2.47E-2</v>
      </c>
      <c r="AA108" s="64">
        <f t="shared" si="40"/>
        <v>23.273700000000002</v>
      </c>
      <c r="AB108" s="61" t="e">
        <f>VLOOKUP(A108,Enforcements!$C$7:$K$15,8,0)</f>
        <v>#N/A</v>
      </c>
      <c r="AC108" s="57" t="e">
        <f>VLOOKUP(A108,Enforcements!$C$7:$E$15,3,0)</f>
        <v>#N/A</v>
      </c>
      <c r="AD108" s="58" t="str">
        <f t="shared" si="41"/>
        <v>0196-19</v>
      </c>
      <c r="AE108" s="87" t="str">
        <f t="shared" si="42"/>
        <v>aws s3 cp s3://rtdc.mdm.uploadarchive.raw/RTDC4032/ "%USERPROFILE%\AppData\Local\Temp\OnboardLogs"\RTDC4032\2017-01-19 --exclude "*" --recursive --include "*20170119*" &amp; "%USERPROFILE%\Documents\GitHub\mrs-test-scripts\Headless Mode &amp; Sideloading\WalkAndUnGZ.bat" "%USERPROFILE%\AppData\Local\Temp\OnboardLogs"\RTDC4032\2017-01-19 &amp; aws s3 cp s3://rtdc.mdm.uploadarchive.raw/RTDC4032/ "%USERPROFILE%\AppData\Local\Temp\OnboardLogs"\RTDC4032\2017-01-20 --exclude "*" --recursive --include "*20170120*" &amp; "%USERPROFILE%\Documents\GitHub\mrs-test-scripts\Headless Mode &amp; Sideloading\WalkAndUnGZ.bat" "%USERPROFILE%\AppData\Local\Temp\OnboardLogs"\RTDC4032\2017-01-20</v>
      </c>
      <c r="AF108" s="84" t="str">
        <f t="shared" si="43"/>
        <v>"C:\Program Files (x86)\AstroGrep\AstroGrep.exe" /spath="%USERPROFILE%\AppData\Local\Temp\OnboardLogs" /stypes="app*4032*20170120*" /stext=" 00:.+((SYSTEM_STATE.+slice.+state.+changed )|(ment ac)|(multiple cpu faults)|(system.+state.+changed )|(\[timeout)|(PRM\|1\|D)|(kpr)|(kdp)|(\|lc)|(penalty))" /e /r /s</v>
      </c>
      <c r="AG108" s="1" t="str">
        <f t="shared" si="44"/>
        <v>EC</v>
      </c>
      <c r="AH108" s="88" t="str">
        <f t="shared" si="45"/>
        <v>"%USERPROFILE%\Documents\GitHub\eaglep3\Utilities\RefineRTDCRunTimes.py" --tripid 196-19 --locoid 4032 --swversion DE.1.0.8.0 --startMP 204:232984 --initTime 2017-01-19T16:17:03 --startdatetime 2017-01-19T16:26:26 --delay 1 --endMP 204:247 --enddatetime 2017-01-19T17:06:20 --enforcementcount 5 &gt;&gt;C:\Users\stu\Documents\GitHub\eaglep3-reporting\EC\2017-01-19-refined-times.txt</v>
      </c>
      <c r="AI108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{"issue":{"subject":"","project_id":79,"tracker_id":40,"status_id":1,"priority_id":2,"assigned_to_id":23,"start_date":"2017-01-19","description":"","custom_fields":[{"id":1,"name":"Subdivision","value":"EC"},{"id":4,"name":"Milepost","value":"0.0247"},{"id":17,"name":"Train ID","value":"196-19"},{"id":16,"name":"Locomotive ID","value":"4032"},{"id":130,"name":"Impact","value":""},{"id":150,"name":"Time of Event (Mountain Time)","value":"17:06:20"},{"id":151,"name":"Denver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0"/>
      <c r="AK108" s="50"/>
      <c r="AL108" s="50"/>
      <c r="AM108" s="177" t="str">
        <f t="shared" si="47"/>
        <v>start /low /b %USERPROFILE%\Documents\GitHub\eaglep3\Utilities\DownloadLogsFromS3.py --loco 4032 --day 2017-01-19</v>
      </c>
      <c r="AN108" s="186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"%USERPROFILE%\AppData\Local\Temp\OnboardLogs"\RTDC4032\*4032*20170119* | grep -SE "(Enforcement Action)|(\[TIMEOUT)|(CHR.+\|PRM\|1\|D.+(SWITCH|SIGNAL).+UNKNOWN)" - &gt;&gt; 2017-01-19-UncaughtWiMAX.txt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4" t="s">
        <v>637</v>
      </c>
      <c r="B109" s="7">
        <v>4044</v>
      </c>
      <c r="C109" s="22" t="s">
        <v>196</v>
      </c>
      <c r="D109" s="22" t="s">
        <v>749</v>
      </c>
      <c r="E109" s="13">
        <v>42754.65384259259</v>
      </c>
      <c r="F109" s="13">
        <v>42754.656678240739</v>
      </c>
      <c r="G109" s="7">
        <v>1</v>
      </c>
      <c r="H109" s="22" t="s">
        <v>275</v>
      </c>
      <c r="I109" s="13">
        <v>42754.681585648148</v>
      </c>
      <c r="J109" s="7">
        <v>5</v>
      </c>
      <c r="K109" s="105" t="str">
        <f t="shared" ref="K109:K141" si="50">IF(ISEVEN(B109),(B109-1)&amp;"/"&amp;B109,B109&amp;"/"&amp;(B109+1))</f>
        <v>4043/4044</v>
      </c>
      <c r="L109" s="22" t="str">
        <f>VLOOKUP(A109,'Trips&amp;Operators'!$C$1:$G$99999,5,FALSE)</f>
        <v>HELVIE ADAM</v>
      </c>
      <c r="M109" s="6">
        <f t="shared" ref="M109:M141" si="51">I109-F109</f>
        <v>2.4907407409045845E-2</v>
      </c>
      <c r="N109" s="7">
        <f t="shared" si="49"/>
        <v>35.866666669026017</v>
      </c>
      <c r="O109" s="7"/>
      <c r="P109" s="7"/>
      <c r="Q109" s="23"/>
      <c r="R109" s="23"/>
      <c r="S109" s="32">
        <f t="shared" ref="S109:S141" si="52">SUM(U109:U109)/IF(AG109="EC",12,1)</f>
        <v>1</v>
      </c>
      <c r="T109" s="47" t="str">
        <f t="shared" ref="T109:T141" si="53">IF(ISEVEN(LEFT(AD109,4)),"Southbound","NorthBound")</f>
        <v>NorthBound</v>
      </c>
      <c r="U109" s="164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4" t="str">
        <f t="shared" si="36"/>
        <v>https://d0f6bd738d7f1b3e5a7ca70fe4ff75f0.us-east-1.aws.found.io/app/kibana#/discover/Steve-Slow-Train-Analysis-(2080s-and-2083s)?_g=(refreshInterval:(display:Off,pause:!f,section:0,value:0),time:(from:'2017-01-19T14:41:32-0700',mode:absolute,to:'2017-01-19T17:21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9" s="49" t="str">
        <f t="shared" ref="W109:W141" si="54">IF(AA109&lt;IF(AG109="EC",23,5.65),"Y","N")</f>
        <v>N</v>
      </c>
      <c r="X109" s="170">
        <f t="shared" si="48"/>
        <v>1</v>
      </c>
      <c r="Y109" s="64">
        <f t="shared" ref="Y109:Y141" si="55">RIGHT(D109,LEN(D109)-4)/10000</f>
        <v>4.7300000000000002E-2</v>
      </c>
      <c r="Z109" s="64">
        <f t="shared" ref="Z109:Z141" si="56">RIGHT(H109,LEN(H109)-4)/10000</f>
        <v>23.330200000000001</v>
      </c>
      <c r="AA109" s="64">
        <f t="shared" ref="AA109:AA140" si="57">ABS(Z109-Y109)</f>
        <v>23.282900000000001</v>
      </c>
      <c r="AB109" s="61" t="e">
        <f>VLOOKUP(A109,Enforcements!$C$7:$K$15,8,0)</f>
        <v>#N/A</v>
      </c>
      <c r="AC109" s="57" t="e">
        <f>VLOOKUP(A109,Enforcements!$C$7:$E$15,3,0)</f>
        <v>#N/A</v>
      </c>
      <c r="AD109" s="58" t="str">
        <f t="shared" ref="AD109:AD141" si="58">IF(LEN(A109)=6,"0"&amp;A109,A109)</f>
        <v>0197-19</v>
      </c>
      <c r="AE109" s="87" t="str">
        <f t="shared" si="42"/>
        <v>aws s3 cp s3://rtdc.mdm.uploadarchive.raw/RTDC4044/ "%USERPROFILE%\AppData\Local\Temp\OnboardLogs"\RTDC4044\2017-01-19 --exclude "*" --recursive --include "*20170119*" &amp; "%USERPROFILE%\Documents\GitHub\mrs-test-scripts\Headless Mode &amp; Sideloading\WalkAndUnGZ.bat" "%USERPROFILE%\AppData\Local\Temp\OnboardLogs"\RTDC4044\2017-01-19 &amp; aws s3 cp s3://rtdc.mdm.uploadarchive.raw/RTDC4044/ "%USERPROFILE%\AppData\Local\Temp\OnboardLogs"\RTDC4044\2017-01-20 --exclude "*" --recursive --include "*20170120*" &amp; "%USERPROFILE%\Documents\GitHub\mrs-test-scripts\Headless Mode &amp; Sideloading\WalkAndUnGZ.bat" "%USERPROFILE%\AppData\Local\Temp\OnboardLogs"\RTDC4044\2017-01-20</v>
      </c>
      <c r="AF109" s="84" t="str">
        <f t="shared" si="43"/>
        <v>"C:\Program Files (x86)\AstroGrep\AstroGrep.exe" /spath="%USERPROFILE%\AppData\Local\Temp\OnboardLogs" /stypes="app*4044*20170119*" /stext=" 23:.+((SYSTEM_STATE.+slice.+state.+changed )|(ment ac)|(multiple cpu faults)|(system.+state.+changed )|(\[timeout)|(PRM\|1\|D)|(kpr)|(kdp)|(\|lc)|(penalty))" /e /r /s</v>
      </c>
      <c r="AG109" s="1" t="str">
        <f t="shared" ref="AG109:AG141" si="59">IFERROR(IF(VALUE(LEFT(AD109,2))&lt;=2,"EC",IF(OR(VALUE(LEFT(AD109,2))=8,VALUE(LEFT(AD109,2))=18),"NW","Other")),"Other")</f>
        <v>EC</v>
      </c>
      <c r="AH109" s="88" t="str">
        <f t="shared" si="45"/>
        <v>"%USERPROFILE%\Documents\GitHub\eaglep3\Utilities\RefineRTDCRunTimes.py" --tripid 197-19 --locoid 4044 --swversion DE.1.0.8.0 --startMP 204:473 --initTime 2017-01-19T15:41:32 --startdatetime 2017-01-19T15:45:37 --delay 1 --endMP 204:233302 --enddatetime 2017-01-19T16:21:29 --enforcementcount 5 &gt;&gt;C:\Users\stu\Documents\GitHub\eaglep3-reporting\EC\2017-01-19-refined-times.txt</v>
      </c>
      <c r="AI109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{"issue":{"subject":"","project_id":79,"tracker_id":40,"status_id":1,"priority_id":2,"assigned_to_id":23,"start_date":"2017-01-19","description":"","custom_fields":[{"id":1,"name":"Subdivision","value":"EC"},{"id":4,"name":"Milepost","value":"23.3302"},{"id":17,"name":"Train ID","value":"197-19"},{"id":16,"name":"Locomotive ID","value":"4044"},{"id":130,"name":"Impact","value":""},{"id":150,"name":"Time of Event (Mountain Time)","value":"16:21:29"},{"id":151,"name":"Denver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0"/>
      <c r="AK109" s="50"/>
      <c r="AL109" s="50"/>
      <c r="AM109" s="177" t="str">
        <f t="shared" si="47"/>
        <v>start /low /b %USERPROFILE%\Documents\GitHub\eaglep3\Utilities\DownloadLogsFromS3.py --loco 4044 --day 2017-01-19</v>
      </c>
      <c r="AN109" s="186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"%USERPROFILE%\AppData\Local\Temp\OnboardLogs"\RTDC4044\*4044*20170119* | grep -SE "(Enforcement Action)|(\[TIMEOUT)|(CHR.+\|PRM\|1\|D.+(SWITCH|SIGNAL).+UNKNOWN)" - &gt;&gt; 2017-01-19-UncaughtWiMAX.txt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4" t="s">
        <v>645</v>
      </c>
      <c r="B110" s="7">
        <v>4043</v>
      </c>
      <c r="C110" s="22" t="s">
        <v>196</v>
      </c>
      <c r="D110" s="22" t="s">
        <v>369</v>
      </c>
      <c r="E110" s="13">
        <v>42754.692326388889</v>
      </c>
      <c r="F110" s="13">
        <v>42754.695740740739</v>
      </c>
      <c r="G110" s="7">
        <v>1</v>
      </c>
      <c r="H110" s="22" t="s">
        <v>226</v>
      </c>
      <c r="I110" s="13">
        <v>42754.722604166665</v>
      </c>
      <c r="J110" s="7">
        <v>5</v>
      </c>
      <c r="K110" s="105" t="str">
        <f t="shared" si="50"/>
        <v>4043/4044</v>
      </c>
      <c r="L110" s="22" t="str">
        <f>VLOOKUP(A110,'Trips&amp;Operators'!$C$1:$G$99999,5,FALSE)</f>
        <v>HELVIE ADAM</v>
      </c>
      <c r="M110" s="6">
        <f t="shared" si="51"/>
        <v>2.6863425926421769E-2</v>
      </c>
      <c r="N110" s="7">
        <f t="shared" si="49"/>
        <v>38.683333334047347</v>
      </c>
      <c r="O110" s="7"/>
      <c r="P110" s="7"/>
      <c r="Q110" s="23"/>
      <c r="R110" s="23"/>
      <c r="S110" s="32">
        <f t="shared" si="52"/>
        <v>1</v>
      </c>
      <c r="T110" s="47" t="str">
        <f t="shared" si="53"/>
        <v>Southbound</v>
      </c>
      <c r="U110" s="164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4" t="str">
        <f t="shared" si="36"/>
        <v>https://d0f6bd738d7f1b3e5a7ca70fe4ff75f0.us-east-1.aws.found.io/app/kibana#/discover/Steve-Slow-Train-Analysis-(2080s-and-2083s)?_g=(refreshInterval:(display:Off,pause:!f,section:0,value:0),time:(from:'2017-01-19T15:36:57-0700',mode:absolute,to:'2017-01-19T18:20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0" s="49" t="str">
        <f t="shared" si="54"/>
        <v>N</v>
      </c>
      <c r="X110" s="170">
        <f t="shared" si="48"/>
        <v>1</v>
      </c>
      <c r="Y110" s="64">
        <f t="shared" si="55"/>
        <v>23.298100000000002</v>
      </c>
      <c r="Z110" s="64">
        <f t="shared" si="56"/>
        <v>1.5800000000000002E-2</v>
      </c>
      <c r="AA110" s="64">
        <f t="shared" si="57"/>
        <v>23.282300000000003</v>
      </c>
      <c r="AB110" s="61" t="e">
        <f>VLOOKUP(A110,Enforcements!$C$7:$K$15,8,0)</f>
        <v>#N/A</v>
      </c>
      <c r="AC110" s="57" t="e">
        <f>VLOOKUP(A110,Enforcements!$C$7:$E$15,3,0)</f>
        <v>#N/A</v>
      </c>
      <c r="AD110" s="58" t="str">
        <f t="shared" si="58"/>
        <v>0198-19</v>
      </c>
      <c r="AE110" s="87" t="str">
        <f t="shared" si="42"/>
        <v>aws s3 cp s3://rtdc.mdm.uploadarchive.raw/RTDC4043/ "%USERPROFILE%\AppData\Local\Temp\OnboardLogs"\RTDC4043\2017-01-19 --exclude "*" --recursive --include "*20170119*" &amp; "%USERPROFILE%\Documents\GitHub\mrs-test-scripts\Headless Mode &amp; Sideloading\WalkAndUnGZ.bat" "%USERPROFILE%\AppData\Local\Temp\OnboardLogs"\RTDC4043\2017-01-19 &amp; aws s3 cp s3://rtdc.mdm.uploadarchive.raw/RTDC4043/ "%USERPROFILE%\AppData\Local\Temp\OnboardLogs"\RTDC4043\2017-01-20 --exclude "*" --recursive --include "*20170120*" &amp; "%USERPROFILE%\Documents\GitHub\mrs-test-scripts\Headless Mode &amp; Sideloading\WalkAndUnGZ.bat" "%USERPROFILE%\AppData\Local\Temp\OnboardLogs"\RTDC4043\2017-01-20</v>
      </c>
      <c r="AF110" s="84" t="str">
        <f t="shared" si="43"/>
        <v>"C:\Program Files (x86)\AstroGrep\AstroGrep.exe" /spath="%USERPROFILE%\AppData\Local\Temp\OnboardLogs" /stypes="app*4043*20170120*" /stext=" 00:.+((SYSTEM_STATE.+slice.+state.+changed )|(ment ac)|(multiple cpu faults)|(system.+state.+changed )|(\[timeout)|(PRM\|1\|D)|(kpr)|(kdp)|(\|lc)|(penalty))" /e /r /s</v>
      </c>
      <c r="AG110" s="1" t="str">
        <f t="shared" si="59"/>
        <v>EC</v>
      </c>
      <c r="AH110" s="88" t="str">
        <f t="shared" si="45"/>
        <v>"%USERPROFILE%\Documents\GitHub\eaglep3\Utilities\RefineRTDCRunTimes.py" --tripid 198-19 --locoid 4043 --swversion DE.1.0.8.0 --startMP 204:232981 --initTime 2017-01-19T16:36:57 --startdatetime 2017-01-19T16:41:52 --delay 1 --endMP 204:158 --enddatetime 2017-01-19T17:20:33 --enforcementcount 5 &gt;&gt;C:\Users\stu\Documents\GitHub\eaglep3-reporting\EC\2017-01-19-refined-times.txt</v>
      </c>
      <c r="AI110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{"issue":{"subject":"","project_id":79,"tracker_id":40,"status_id":1,"priority_id":2,"assigned_to_id":23,"start_date":"2017-01-19","description":"","custom_fields":[{"id":1,"name":"Subdivision","value":"EC"},{"id":4,"name":"Milepost","value":"0.0158"},{"id":17,"name":"Train ID","value":"198-19"},{"id":16,"name":"Locomotive ID","value":"4043"},{"id":130,"name":"Impact","value":""},{"id":150,"name":"Time of Event (Mountain Time)","value":"17:20:33"},{"id":151,"name":"Denver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0"/>
      <c r="AK110" s="50"/>
      <c r="AL110" s="50"/>
      <c r="AM110" s="177" t="str">
        <f t="shared" si="47"/>
        <v>start /low /b %USERPROFILE%\Documents\GitHub\eaglep3\Utilities\DownloadLogsFromS3.py --loco 4043 --day 2017-01-19</v>
      </c>
      <c r="AN110" s="186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"%USERPROFILE%\AppData\Local\Temp\OnboardLogs"\RTDC4043\*4043*20170120* | grep -SE "(Enforcement Action)|(\[TIMEOUT)|(CHR.+\|PRM\|1\|D.+(SWITCH|SIGNAL).+UNKNOWN)" - &gt;&gt; 2017-01-19-UncaughtWiMAX.txt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4" t="s">
        <v>639</v>
      </c>
      <c r="B111" s="7">
        <v>4020</v>
      </c>
      <c r="C111" s="22" t="s">
        <v>196</v>
      </c>
      <c r="D111" s="22" t="s">
        <v>224</v>
      </c>
      <c r="E111" s="13">
        <v>42754.662893518522</v>
      </c>
      <c r="F111" s="13">
        <v>42754.667916666665</v>
      </c>
      <c r="G111" s="7">
        <v>1</v>
      </c>
      <c r="H111" s="22" t="s">
        <v>298</v>
      </c>
      <c r="I111" s="13">
        <v>42754.693206018521</v>
      </c>
      <c r="J111" s="7">
        <v>5</v>
      </c>
      <c r="K111" s="105" t="str">
        <f t="shared" si="50"/>
        <v>4019/4020</v>
      </c>
      <c r="L111" s="22" t="str">
        <f>VLOOKUP(A111,'Trips&amp;Operators'!$C$1:$G$99999,5,FALSE)</f>
        <v>BRANDNER MELINDA</v>
      </c>
      <c r="M111" s="6">
        <f t="shared" si="51"/>
        <v>2.5289351855462883E-2</v>
      </c>
      <c r="N111" s="7">
        <f t="shared" si="49"/>
        <v>36.416666671866551</v>
      </c>
      <c r="O111" s="7"/>
      <c r="P111" s="7"/>
      <c r="Q111" s="23"/>
      <c r="R111" s="23"/>
      <c r="S111" s="32">
        <f t="shared" si="52"/>
        <v>1</v>
      </c>
      <c r="T111" s="47" t="str">
        <f t="shared" si="53"/>
        <v>NorthBound</v>
      </c>
      <c r="U111" s="164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4" t="str">
        <f t="shared" si="36"/>
        <v>https://d0f6bd738d7f1b3e5a7ca70fe4ff75f0.us-east-1.aws.found.io/app/kibana#/discover/Steve-Slow-Train-Analysis-(2080s-and-2083s)?_g=(refreshInterval:(display:Off,pause:!f,section:0,value:0),time:(from:'2017-01-19T14:54:34-0700',mode:absolute,to:'2017-01-19T17:38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1" s="49" t="str">
        <f t="shared" si="54"/>
        <v>N</v>
      </c>
      <c r="X111" s="170">
        <f t="shared" si="48"/>
        <v>1</v>
      </c>
      <c r="Y111" s="64">
        <f t="shared" si="55"/>
        <v>4.4900000000000002E-2</v>
      </c>
      <c r="Z111" s="64">
        <f t="shared" si="56"/>
        <v>23.330300000000001</v>
      </c>
      <c r="AA111" s="64">
        <f t="shared" si="57"/>
        <v>23.285400000000003</v>
      </c>
      <c r="AB111" s="61" t="e">
        <f>VLOOKUP(A111,Enforcements!$C$7:$K$15,8,0)</f>
        <v>#N/A</v>
      </c>
      <c r="AC111" s="57" t="e">
        <f>VLOOKUP(A111,Enforcements!$C$7:$E$15,3,0)</f>
        <v>#N/A</v>
      </c>
      <c r="AD111" s="58" t="str">
        <f t="shared" si="58"/>
        <v>0199-19</v>
      </c>
      <c r="AE111" s="87" t="str">
        <f t="shared" si="42"/>
        <v>aws s3 cp s3://rtdc.mdm.uploadarchive.raw/RTDC4020/ "%USERPROFILE%\AppData\Local\Temp\OnboardLogs"\RTDC4020\2017-01-19 --exclude "*" --recursive --include "*20170119*" &amp; "%USERPROFILE%\Documents\GitHub\mrs-test-scripts\Headless Mode &amp; Sideloading\WalkAndUnGZ.bat" "%USERPROFILE%\AppData\Local\Temp\OnboardLogs"\RTDC4020\2017-01-19 &amp; aws s3 cp s3://rtdc.mdm.uploadarchive.raw/RTDC4020/ "%USERPROFILE%\AppData\Local\Temp\OnboardLogs"\RTDC4020\2017-01-20 --exclude "*" --recursive --include "*20170120*" &amp; "%USERPROFILE%\Documents\GitHub\mrs-test-scripts\Headless Mode &amp; Sideloading\WalkAndUnGZ.bat" "%USERPROFILE%\AppData\Local\Temp\OnboardLogs"\RTDC4020\2017-01-20</v>
      </c>
      <c r="AF111" s="84" t="str">
        <f t="shared" si="43"/>
        <v>"C:\Program Files (x86)\AstroGrep\AstroGrep.exe" /spath="%USERPROFILE%\AppData\Local\Temp\OnboardLogs" /stypes="app*4020*20170119*" /stext=" 23:.+((SYSTEM_STATE.+slice.+state.+changed )|(ment ac)|(multiple cpu faults)|(system.+state.+changed )|(\[timeout)|(PRM\|1\|D)|(kpr)|(kdp)|(\|lc)|(penalty))" /e /r /s</v>
      </c>
      <c r="AG111" s="1" t="str">
        <f t="shared" si="59"/>
        <v>EC</v>
      </c>
      <c r="AH111" s="88" t="str">
        <f t="shared" si="45"/>
        <v>"%USERPROFILE%\Documents\GitHub\eaglep3\Utilities\RefineRTDCRunTimes.py" --tripid 199-19 --locoid 4020 --swversion DE.1.0.8.0 --startMP 204:449 --initTime 2017-01-19T15:54:34 --startdatetime 2017-01-19T16:01:48 --delay 1 --endMP 204:233303 --enddatetime 2017-01-19T16:38:13 --enforcementcount 5 &gt;&gt;C:\Users\stu\Documents\GitHub\eaglep3-reporting\EC\2017-01-19-refined-times.txt</v>
      </c>
      <c r="AI111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{"issue":{"subject":"","project_id":79,"tracker_id":40,"status_id":1,"priority_id":2,"assigned_to_id":23,"start_date":"2017-01-19","description":"","custom_fields":[{"id":1,"name":"Subdivision","value":"EC"},{"id":4,"name":"Milepost","value":"23.3303"},{"id":17,"name":"Train ID","value":"199-19"},{"id":16,"name":"Locomotive ID","value":"4020"},{"id":130,"name":"Impact","value":""},{"id":150,"name":"Time of Event (Mountain Time)","value":"16:38:13"},{"id":151,"name":"Denver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0"/>
      <c r="AK111" s="50"/>
      <c r="AL111" s="50"/>
      <c r="AM111" s="177" t="str">
        <f t="shared" si="47"/>
        <v>start /low /b %USERPROFILE%\Documents\GitHub\eaglep3\Utilities\DownloadLogsFromS3.py --loco 4020 --day 2017-01-19</v>
      </c>
      <c r="AN111" s="186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"%USERPROFILE%\AppData\Local\Temp\OnboardLogs"\RTDC4020\*4020*20170119* | grep -SE "(Enforcement Action)|(\[TIMEOUT)|(CHR.+\|PRM\|1\|D.+(SWITCH|SIGNAL).+UNKNOWN)" - &gt;&gt; 2017-01-19-UncaughtWiMAX.txt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4" t="s">
        <v>500</v>
      </c>
      <c r="B112" s="7">
        <v>4019</v>
      </c>
      <c r="C112" s="22" t="s">
        <v>196</v>
      </c>
      <c r="D112" s="22" t="s">
        <v>324</v>
      </c>
      <c r="E112" s="13">
        <v>42754.702291666668</v>
      </c>
      <c r="F112" s="13">
        <v>42754.705752314818</v>
      </c>
      <c r="G112" s="7">
        <v>1</v>
      </c>
      <c r="H112" s="22" t="s">
        <v>249</v>
      </c>
      <c r="I112" s="13">
        <v>42754.733900462961</v>
      </c>
      <c r="J112" s="7">
        <v>5</v>
      </c>
      <c r="K112" s="105" t="str">
        <f t="shared" si="50"/>
        <v>4019/4020</v>
      </c>
      <c r="L112" s="22" t="str">
        <f>VLOOKUP(A112,'Trips&amp;Operators'!$C$1:$G$99999,5,FALSE)</f>
        <v>BRANDNER MELINDA</v>
      </c>
      <c r="M112" s="6">
        <f t="shared" si="51"/>
        <v>2.8148148143372964E-2</v>
      </c>
      <c r="N112" s="7">
        <f t="shared" si="49"/>
        <v>40.533333326457068</v>
      </c>
      <c r="O112" s="7"/>
      <c r="P112" s="7"/>
      <c r="Q112" s="23"/>
      <c r="R112" s="23"/>
      <c r="S112" s="32">
        <f t="shared" si="52"/>
        <v>1</v>
      </c>
      <c r="T112" s="47" t="str">
        <f t="shared" si="53"/>
        <v>Southbound</v>
      </c>
      <c r="U112" s="164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4" t="str">
        <f t="shared" si="36"/>
        <v>https://d0f6bd738d7f1b3e5a7ca70fe4ff75f0.us-east-1.aws.found.io/app/kibana#/discover/Steve-Slow-Train-Analysis-(2080s-and-2083s)?_g=(refreshInterval:(display:Off,pause:!f,section:0,value:0),time:(from:'2017-01-19T15:51:18-0700',mode:absolute,to:'2017-01-19T18:36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2" s="49" t="str">
        <f t="shared" si="54"/>
        <v>N</v>
      </c>
      <c r="X112" s="170">
        <f t="shared" si="48"/>
        <v>1</v>
      </c>
      <c r="Y112" s="64">
        <f t="shared" si="55"/>
        <v>23.297999999999998</v>
      </c>
      <c r="Z112" s="64">
        <f t="shared" si="56"/>
        <v>1.38E-2</v>
      </c>
      <c r="AA112" s="64">
        <f t="shared" si="57"/>
        <v>23.284199999999998</v>
      </c>
      <c r="AB112" s="61" t="e">
        <f>VLOOKUP(A112,Enforcements!$C$7:$K$15,8,0)</f>
        <v>#N/A</v>
      </c>
      <c r="AC112" s="57" t="e">
        <f>VLOOKUP(A112,Enforcements!$C$7:$E$15,3,0)</f>
        <v>#N/A</v>
      </c>
      <c r="AD112" s="58" t="str">
        <f t="shared" si="58"/>
        <v>0200-19</v>
      </c>
      <c r="AE112" s="87" t="str">
        <f t="shared" si="42"/>
        <v>aws s3 cp s3://rtdc.mdm.uploadarchive.raw/RTDC4019/ "%USERPROFILE%\AppData\Local\Temp\OnboardLogs"\RTDC4019\2017-01-19 --exclude "*" --recursive --include "*20170119*" &amp; "%USERPROFILE%\Documents\GitHub\mrs-test-scripts\Headless Mode &amp; Sideloading\WalkAndUnGZ.bat" "%USERPROFILE%\AppData\Local\Temp\OnboardLogs"\RTDC4019\2017-01-19 &amp; aws s3 cp s3://rtdc.mdm.uploadarchive.raw/RTDC4019/ "%USERPROFILE%\AppData\Local\Temp\OnboardLogs"\RTDC4019\2017-01-20 --exclude "*" --recursive --include "*20170120*" &amp; "%USERPROFILE%\Documents\GitHub\mrs-test-scripts\Headless Mode &amp; Sideloading\WalkAndUnGZ.bat" "%USERPROFILE%\AppData\Local\Temp\OnboardLogs"\RTDC4019\2017-01-20</v>
      </c>
      <c r="AF112" s="84" t="str">
        <f t="shared" si="43"/>
        <v>"C:\Program Files (x86)\AstroGrep\AstroGrep.exe" /spath="%USERPROFILE%\AppData\Local\Temp\OnboardLogs" /stypes="app*4019*20170120*" /stext=" 00:.+((SYSTEM_STATE.+slice.+state.+changed )|(ment ac)|(multiple cpu faults)|(system.+state.+changed )|(\[timeout)|(PRM\|1\|D)|(kpr)|(kdp)|(\|lc)|(penalty))" /e /r /s</v>
      </c>
      <c r="AG112" s="1" t="str">
        <f t="shared" si="59"/>
        <v>EC</v>
      </c>
      <c r="AH112" s="88" t="str">
        <f t="shared" si="45"/>
        <v>"%USERPROFILE%\Documents\GitHub\eaglep3\Utilities\RefineRTDCRunTimes.py" --tripid 200-19 --locoid 4019 --swversion DE.1.0.8.0 --startMP 204:232980 --initTime 2017-01-19T16:51:18 --startdatetime 2017-01-19T16:56:17 --delay 1 --endMP 204:138 --enddatetime 2017-01-19T17:36:49 --enforcementcount 5 &gt;&gt;C:\Users\stu\Documents\GitHub\eaglep3-reporting\EC\2017-01-19-refined-times.txt</v>
      </c>
      <c r="AI112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{"issue":{"subject":"","project_id":79,"tracker_id":40,"status_id":1,"priority_id":2,"assigned_to_id":23,"start_date":"2017-01-19","description":"","custom_fields":[{"id":1,"name":"Subdivision","value":"EC"},{"id":4,"name":"Milepost","value":"0.0138"},{"id":17,"name":"Train ID","value":"200-19"},{"id":16,"name":"Locomotive ID","value":"4019"},{"id":130,"name":"Impact","value":""},{"id":150,"name":"Time of Event (Mountain Time)","value":"17:36:49"},{"id":151,"name":"Denver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0"/>
      <c r="AK112" s="50"/>
      <c r="AL112" s="50"/>
      <c r="AM112" s="177" t="str">
        <f t="shared" si="47"/>
        <v>start /low /b %USERPROFILE%\Documents\GitHub\eaglep3\Utilities\DownloadLogsFromS3.py --loco 4019 --day 2017-01-19</v>
      </c>
      <c r="AN112" s="186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"%USERPROFILE%\AppData\Local\Temp\OnboardLogs"\RTDC4019\*4019*20170120* | grep -SE "(Enforcement Action)|(\[TIMEOUT)|(CHR.+\|PRM\|1\|D.+(SWITCH|SIGNAL).+UNKNOWN)" - &gt;&gt; 2017-01-19-UncaughtWiMAX.txt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4" t="s">
        <v>641</v>
      </c>
      <c r="B113" s="7">
        <v>4016</v>
      </c>
      <c r="C113" s="22" t="s">
        <v>196</v>
      </c>
      <c r="D113" s="22" t="s">
        <v>374</v>
      </c>
      <c r="E113" s="13">
        <v>42754.672835648147</v>
      </c>
      <c r="F113" s="13">
        <v>42754.677291666667</v>
      </c>
      <c r="G113" s="7">
        <v>1</v>
      </c>
      <c r="H113" s="22" t="s">
        <v>285</v>
      </c>
      <c r="I113" s="13">
        <v>42754.702361111114</v>
      </c>
      <c r="J113" s="7">
        <v>5</v>
      </c>
      <c r="K113" s="105" t="str">
        <f t="shared" si="50"/>
        <v>4015/4016</v>
      </c>
      <c r="L113" s="22" t="str">
        <f>VLOOKUP(A113,'Trips&amp;Operators'!$C$1:$G$99999,5,FALSE)</f>
        <v>DE LA ROSA ALEX</v>
      </c>
      <c r="M113" s="6">
        <f t="shared" si="51"/>
        <v>2.5069444447581191E-2</v>
      </c>
      <c r="N113" s="7">
        <f t="shared" si="49"/>
        <v>36.100000004516914</v>
      </c>
      <c r="O113" s="7"/>
      <c r="P113" s="7"/>
      <c r="Q113" s="23"/>
      <c r="R113" s="23"/>
      <c r="S113" s="32">
        <f t="shared" si="52"/>
        <v>1</v>
      </c>
      <c r="T113" s="47" t="str">
        <f t="shared" si="53"/>
        <v>NorthBound</v>
      </c>
      <c r="U113" s="164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4" t="str">
        <f t="shared" si="36"/>
        <v>https://d0f6bd738d7f1b3e5a7ca70fe4ff75f0.us-east-1.aws.found.io/app/kibana#/discover/Steve-Slow-Train-Analysis-(2080s-and-2083s)?_g=(refreshInterval:(display:Off,pause:!f,section:0,value:0),time:(from:'2017-01-19T15:08:53-0700',mode:absolute,to:'2017-01-19T17:51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3" s="49" t="str">
        <f t="shared" si="54"/>
        <v>N</v>
      </c>
      <c r="X113" s="170">
        <f t="shared" si="48"/>
        <v>1</v>
      </c>
      <c r="Y113" s="64">
        <f t="shared" si="55"/>
        <v>4.82E-2</v>
      </c>
      <c r="Z113" s="64">
        <f t="shared" si="56"/>
        <v>23.3308</v>
      </c>
      <c r="AA113" s="64">
        <f t="shared" si="57"/>
        <v>23.282599999999999</v>
      </c>
      <c r="AB113" s="61" t="e">
        <f>VLOOKUP(A113,Enforcements!$C$7:$K$15,8,0)</f>
        <v>#N/A</v>
      </c>
      <c r="AC113" s="57" t="e">
        <f>VLOOKUP(A113,Enforcements!$C$7:$E$15,3,0)</f>
        <v>#N/A</v>
      </c>
      <c r="AD113" s="58" t="str">
        <f t="shared" si="58"/>
        <v>0201-19</v>
      </c>
      <c r="AE113" s="87" t="str">
        <f t="shared" si="42"/>
        <v>aws s3 cp s3://rtdc.mdm.uploadarchive.raw/RTDC4016/ "%USERPROFILE%\AppData\Local\Temp\OnboardLogs"\RTDC4016\2017-01-19 --exclude "*" --recursive --include "*20170119*" &amp; "%USERPROFILE%\Documents\GitHub\mrs-test-scripts\Headless Mode &amp; Sideloading\WalkAndUnGZ.bat" "%USERPROFILE%\AppData\Local\Temp\OnboardLogs"\RTDC4016\2017-01-19 &amp; aws s3 cp s3://rtdc.mdm.uploadarchive.raw/RTDC4016/ "%USERPROFILE%\AppData\Local\Temp\OnboardLogs"\RTDC4016\2017-01-20 --exclude "*" --recursive --include "*20170120*" &amp; "%USERPROFILE%\Documents\GitHub\mrs-test-scripts\Headless Mode &amp; Sideloading\WalkAndUnGZ.bat" "%USERPROFILE%\AppData\Local\Temp\OnboardLogs"\RTDC4016\2017-01-20</v>
      </c>
      <c r="AF113" s="84" t="str">
        <f t="shared" si="43"/>
        <v>"C:\Program Files (x86)\AstroGrep\AstroGrep.exe" /spath="%USERPROFILE%\AppData\Local\Temp\OnboardLogs" /stypes="app*4016*20170119*" /stext=" 23:.+((SYSTEM_STATE.+slice.+state.+changed )|(ment ac)|(multiple cpu faults)|(system.+state.+changed )|(\[timeout)|(PRM\|1\|D)|(kpr)|(kdp)|(\|lc)|(penalty))" /e /r /s</v>
      </c>
      <c r="AG113" s="1" t="str">
        <f t="shared" si="59"/>
        <v>EC</v>
      </c>
      <c r="AH113" s="88" t="str">
        <f t="shared" si="45"/>
        <v>"%USERPROFILE%\Documents\GitHub\eaglep3\Utilities\RefineRTDCRunTimes.py" --tripid 201-19 --locoid 4016 --swversion DE.1.0.8.0 --startMP 204:482 --initTime 2017-01-19T16:08:53 --startdatetime 2017-01-19T16:15:18 --delay 1 --endMP 204:233308 --enddatetime 2017-01-19T16:51:24 --enforcementcount 5 &gt;&gt;C:\Users\stu\Documents\GitHub\eaglep3-reporting\EC\2017-01-19-refined-times.txt</v>
      </c>
      <c r="AI113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{"issue":{"subject":"","project_id":79,"tracker_id":40,"status_id":1,"priority_id":2,"assigned_to_id":23,"start_date":"2017-01-19","description":"","custom_fields":[{"id":1,"name":"Subdivision","value":"EC"},{"id":4,"name":"Milepost","value":"23.3308"},{"id":17,"name":"Train ID","value":"201-19"},{"id":16,"name":"Locomotive ID","value":"4016"},{"id":130,"name":"Impact","value":""},{"id":150,"name":"Time of Event (Mountain Time)","value":"16:51:24"},{"id":151,"name":"Denver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0"/>
      <c r="AK113" s="50"/>
      <c r="AL113" s="50"/>
      <c r="AM113" s="177" t="str">
        <f t="shared" si="47"/>
        <v>start /low /b %USERPROFILE%\Documents\GitHub\eaglep3\Utilities\DownloadLogsFromS3.py --loco 4016 --day 2017-01-19</v>
      </c>
      <c r="AN113" s="186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"%USERPROFILE%\AppData\Local\Temp\OnboardLogs"\RTDC4016\*4016*20170119* | grep -SE "(Enforcement Action)|(\[TIMEOUT)|(CHR.+\|PRM\|1\|D.+(SWITCH|SIGNAL).+UNKNOWN)" - &gt;&gt; 2017-01-19-UncaughtWiMAX.txt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4" t="s">
        <v>648</v>
      </c>
      <c r="B114" s="7">
        <v>4015</v>
      </c>
      <c r="C114" s="22" t="s">
        <v>196</v>
      </c>
      <c r="D114" s="22" t="s">
        <v>306</v>
      </c>
      <c r="E114" s="13">
        <v>42754.712268518517</v>
      </c>
      <c r="F114" s="13">
        <v>42754.716215277775</v>
      </c>
      <c r="G114" s="7">
        <v>1</v>
      </c>
      <c r="H114" s="22" t="s">
        <v>249</v>
      </c>
      <c r="I114" s="13">
        <v>42754.74324074074</v>
      </c>
      <c r="J114" s="7">
        <v>5</v>
      </c>
      <c r="K114" s="105" t="str">
        <f t="shared" si="50"/>
        <v>4015/4016</v>
      </c>
      <c r="L114" s="22" t="str">
        <f>VLOOKUP(A114,'Trips&amp;Operators'!$C$1:$G$99999,5,FALSE)</f>
        <v>DE LA ROSA ALEX</v>
      </c>
      <c r="M114" s="6">
        <f t="shared" si="51"/>
        <v>2.7025462964957114E-2</v>
      </c>
      <c r="N114" s="7">
        <f t="shared" si="49"/>
        <v>38.916666669538245</v>
      </c>
      <c r="O114" s="7"/>
      <c r="P114" s="7"/>
      <c r="Q114" s="23"/>
      <c r="R114" s="23"/>
      <c r="S114" s="32">
        <f t="shared" si="52"/>
        <v>1</v>
      </c>
      <c r="T114" s="47" t="str">
        <f t="shared" si="53"/>
        <v>Southbound</v>
      </c>
      <c r="U114" s="164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4" t="str">
        <f t="shared" si="36"/>
        <v>https://d0f6bd738d7f1b3e5a7ca70fe4ff75f0.us-east-1.aws.found.io/app/kibana#/discover/Steve-Slow-Train-Analysis-(2080s-and-2083s)?_g=(refreshInterval:(display:Off,pause:!f,section:0,value:0),time:(from:'2017-01-19T16:05:40-0700',mode:absolute,to:'2017-01-19T18:50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4" s="49" t="str">
        <f t="shared" si="54"/>
        <v>N</v>
      </c>
      <c r="X114" s="170">
        <f t="shared" si="48"/>
        <v>1</v>
      </c>
      <c r="Y114" s="64">
        <f t="shared" si="55"/>
        <v>23.299299999999999</v>
      </c>
      <c r="Z114" s="64">
        <f t="shared" si="56"/>
        <v>1.38E-2</v>
      </c>
      <c r="AA114" s="64">
        <f t="shared" si="57"/>
        <v>23.285499999999999</v>
      </c>
      <c r="AB114" s="61" t="e">
        <f>VLOOKUP(A114,Enforcements!$C$7:$K$15,8,0)</f>
        <v>#N/A</v>
      </c>
      <c r="AC114" s="57" t="e">
        <f>VLOOKUP(A114,Enforcements!$C$7:$E$15,3,0)</f>
        <v>#N/A</v>
      </c>
      <c r="AD114" s="58" t="str">
        <f t="shared" si="58"/>
        <v>0202-19</v>
      </c>
      <c r="AE114" s="87" t="str">
        <f t="shared" si="42"/>
        <v>aws s3 cp s3://rtdc.mdm.uploadarchive.raw/RTDC4015/ "%USERPROFILE%\AppData\Local\Temp\OnboardLogs"\RTDC4015\2017-01-19 --exclude "*" --recursive --include "*20170119*" &amp; "%USERPROFILE%\Documents\GitHub\mrs-test-scripts\Headless Mode &amp; Sideloading\WalkAndUnGZ.bat" "%USERPROFILE%\AppData\Local\Temp\OnboardLogs"\RTDC4015\2017-01-19 &amp; aws s3 cp s3://rtdc.mdm.uploadarchive.raw/RTDC4015/ "%USERPROFILE%\AppData\Local\Temp\OnboardLogs"\RTDC4015\2017-01-20 --exclude "*" --recursive --include "*20170120*" &amp; "%USERPROFILE%\Documents\GitHub\mrs-test-scripts\Headless Mode &amp; Sideloading\WalkAndUnGZ.bat" "%USERPROFILE%\AppData\Local\Temp\OnboardLogs"\RTDC4015\2017-01-20</v>
      </c>
      <c r="AF114" s="84" t="str">
        <f t="shared" si="43"/>
        <v>"C:\Program Files (x86)\AstroGrep\AstroGrep.exe" /spath="%USERPROFILE%\AppData\Local\Temp\OnboardLogs" /stypes="app*4015*20170120*" /stext=" 00:.+((SYSTEM_STATE.+slice.+state.+changed )|(ment ac)|(multiple cpu faults)|(system.+state.+changed )|(\[timeout)|(PRM\|1\|D)|(kpr)|(kdp)|(\|lc)|(penalty))" /e /r /s</v>
      </c>
      <c r="AG114" s="1" t="str">
        <f t="shared" si="59"/>
        <v>EC</v>
      </c>
      <c r="AH114" s="88" t="str">
        <f t="shared" si="45"/>
        <v>"%USERPROFILE%\Documents\GitHub\eaglep3\Utilities\RefineRTDCRunTimes.py" --tripid 202-19 --locoid 4015 --swversion DE.1.0.8.0 --startMP 204:232993 --initTime 2017-01-19T17:05:40 --startdatetime 2017-01-19T17:11:21 --delay 1 --endMP 204:138 --enddatetime 2017-01-19T17:50:16 --enforcementcount 5 &gt;&gt;C:\Users\stu\Documents\GitHub\eaglep3-reporting\EC\2017-01-19-refined-times.txt</v>
      </c>
      <c r="AI114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{"issue":{"subject":"","project_id":79,"tracker_id":40,"status_id":1,"priority_id":2,"assigned_to_id":23,"start_date":"2017-01-19","description":"","custom_fields":[{"id":1,"name":"Subdivision","value":"EC"},{"id":4,"name":"Milepost","value":"0.0138"},{"id":17,"name":"Train ID","value":"202-19"},{"id":16,"name":"Locomotive ID","value":"4015"},{"id":130,"name":"Impact","value":""},{"id":150,"name":"Time of Event (Mountain Time)","value":"17:50:16"},{"id":151,"name":"Denver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0"/>
      <c r="AK114" s="50"/>
      <c r="AL114" s="50"/>
      <c r="AM114" s="177" t="str">
        <f t="shared" si="47"/>
        <v>start /low /b %USERPROFILE%\Documents\GitHub\eaglep3\Utilities\DownloadLogsFromS3.py --loco 4015 --day 2017-01-19</v>
      </c>
      <c r="AN114" s="186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"%USERPROFILE%\AppData\Local\Temp\OnboardLogs"\RTDC4015\*4015*20170120* | grep -SE "(Enforcement Action)|(\[TIMEOUT)|(CHR.+\|PRM\|1\|D.+(SWITCH|SIGNAL).+UNKNOWN)" - &gt;&gt; 2017-01-19-UncaughtWiMAX.txt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4" t="s">
        <v>643</v>
      </c>
      <c r="B115" s="7">
        <v>4022</v>
      </c>
      <c r="C115" s="22" t="s">
        <v>196</v>
      </c>
      <c r="D115" s="22" t="s">
        <v>239</v>
      </c>
      <c r="E115" s="13">
        <v>42754.681805555556</v>
      </c>
      <c r="F115" s="13">
        <v>42754.687800925924</v>
      </c>
      <c r="G115" s="7">
        <v>1</v>
      </c>
      <c r="H115" s="22" t="s">
        <v>327</v>
      </c>
      <c r="I115" s="13">
        <v>42754.713506944441</v>
      </c>
      <c r="J115" s="7">
        <v>5</v>
      </c>
      <c r="K115" s="105" t="str">
        <f t="shared" si="50"/>
        <v>4021/4022</v>
      </c>
      <c r="L115" s="22" t="str">
        <f>VLOOKUP(A115,'Trips&amp;Operators'!$C$1:$G$99999,5,FALSE)</f>
        <v>KILLION DAVID</v>
      </c>
      <c r="M115" s="6">
        <f t="shared" si="51"/>
        <v>2.5706018517666962E-2</v>
      </c>
      <c r="N115" s="7">
        <f t="shared" si="49"/>
        <v>37.016666665440425</v>
      </c>
      <c r="O115" s="7"/>
      <c r="P115" s="7"/>
      <c r="Q115" s="23"/>
      <c r="R115" s="23"/>
      <c r="S115" s="32">
        <f t="shared" si="52"/>
        <v>1</v>
      </c>
      <c r="T115" s="47" t="str">
        <f t="shared" si="53"/>
        <v>NorthBound</v>
      </c>
      <c r="U115" s="164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4" t="str">
        <f t="shared" si="36"/>
        <v>https://d0f6bd738d7f1b3e5a7ca70fe4ff75f0.us-east-1.aws.found.io/app/kibana#/discover/Steve-Slow-Train-Analysis-(2080s-and-2083s)?_g=(refreshInterval:(display:Off,pause:!f,section:0,value:0),time:(from:'2017-01-19T15:21:48-0700',mode:absolute,to:'2017-01-19T18:07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15" s="49" t="str">
        <f t="shared" si="54"/>
        <v>N</v>
      </c>
      <c r="X115" s="170">
        <f t="shared" si="48"/>
        <v>1</v>
      </c>
      <c r="Y115" s="64">
        <f t="shared" si="55"/>
        <v>4.6899999999999997E-2</v>
      </c>
      <c r="Z115" s="64">
        <f t="shared" si="56"/>
        <v>23.328800000000001</v>
      </c>
      <c r="AA115" s="64">
        <f t="shared" si="57"/>
        <v>23.2819</v>
      </c>
      <c r="AB115" s="61" t="e">
        <f>VLOOKUP(A115,Enforcements!$C$7:$K$15,8,0)</f>
        <v>#N/A</v>
      </c>
      <c r="AC115" s="57" t="e">
        <f>VLOOKUP(A115,Enforcements!$C$7:$E$15,3,0)</f>
        <v>#N/A</v>
      </c>
      <c r="AD115" s="58" t="str">
        <f t="shared" si="58"/>
        <v>0203-19</v>
      </c>
      <c r="AE115" s="87" t="str">
        <f t="shared" si="42"/>
        <v>aws s3 cp s3://rtdc.mdm.uploadarchive.raw/RTDC4022/ "%USERPROFILE%\AppData\Local\Temp\OnboardLogs"\RTDC4022\2017-01-19 --exclude "*" --recursive --include "*20170119*" &amp; "%USERPROFILE%\Documents\GitHub\mrs-test-scripts\Headless Mode &amp; Sideloading\WalkAndUnGZ.bat" "%USERPROFILE%\AppData\Local\Temp\OnboardLogs"\RTDC4022\2017-01-19 &amp; aws s3 cp s3://rtdc.mdm.uploadarchive.raw/RTDC4022/ "%USERPROFILE%\AppData\Local\Temp\OnboardLogs"\RTDC4022\2017-01-20 --exclude "*" --recursive --include "*20170120*" &amp; "%USERPROFILE%\Documents\GitHub\mrs-test-scripts\Headless Mode &amp; Sideloading\WalkAndUnGZ.bat" "%USERPROFILE%\AppData\Local\Temp\OnboardLogs"\RTDC4022\2017-01-20</v>
      </c>
      <c r="AF115" s="84" t="str">
        <f t="shared" si="43"/>
        <v>"C:\Program Files (x86)\AstroGrep\AstroGrep.exe" /spath="%USERPROFILE%\AppData\Local\Temp\OnboardLogs" /stypes="app*4022*20170120*" /stext=" 00:.+((SYSTEM_STATE.+slice.+state.+changed )|(ment ac)|(multiple cpu faults)|(system.+state.+changed )|(\[timeout)|(PRM\|1\|D)|(kpr)|(kdp)|(\|lc)|(penalty))" /e /r /s</v>
      </c>
      <c r="AG115" s="1" t="str">
        <f t="shared" si="59"/>
        <v>EC</v>
      </c>
      <c r="AH115" s="88" t="str">
        <f t="shared" si="45"/>
        <v>"%USERPROFILE%\Documents\GitHub\eaglep3\Utilities\RefineRTDCRunTimes.py" --tripid 203-19 --locoid 4022 --swversion DE.1.0.8.0 --startMP 204:469 --initTime 2017-01-19T16:21:48 --startdatetime 2017-01-19T16:30:26 --delay 1 --endMP 204:233288 --enddatetime 2017-01-19T17:07:27 --enforcementcount 5 &gt;&gt;C:\Users\stu\Documents\GitHub\eaglep3-reporting\EC\2017-01-19-refined-times.txt</v>
      </c>
      <c r="AI115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{"issue":{"subject":"","project_id":79,"tracker_id":40,"status_id":1,"priority_id":2,"assigned_to_id":23,"start_date":"2017-01-19","description":"","custom_fields":[{"id":1,"name":"Subdivision","value":"EC"},{"id":4,"name":"Milepost","value":"23.3288"},{"id":17,"name":"Train ID","value":"203-19"},{"id":16,"name":"Locomotive ID","value":"4022"},{"id":130,"name":"Impact","value":""},{"id":150,"name":"Time of Event (Mountain Time)","value":"17:07:27"},{"id":151,"name":"Denver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0"/>
      <c r="AK115" s="50"/>
      <c r="AL115" s="50"/>
      <c r="AM115" s="177" t="str">
        <f t="shared" si="47"/>
        <v>start /low /b %USERPROFILE%\Documents\GitHub\eaglep3\Utilities\DownloadLogsFromS3.py --loco 4022 --day 2017-01-19</v>
      </c>
      <c r="AN115" s="186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"%USERPROFILE%\AppData\Local\Temp\OnboardLogs"\RTDC4022\*4022*20170119* | grep -SE "(Enforcement Action)|(\[TIMEOUT)|(CHR.+\|PRM\|1\|D.+(SWITCH|SIGNAL).+UNKNOWN)" - &gt;&gt; 2017-01-19-UncaughtWiMAX.txt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4" t="s">
        <v>651</v>
      </c>
      <c r="B116" s="7">
        <v>4021</v>
      </c>
      <c r="C116" s="22" t="s">
        <v>196</v>
      </c>
      <c r="D116" s="22" t="s">
        <v>276</v>
      </c>
      <c r="E116" s="13">
        <v>42754.723692129628</v>
      </c>
      <c r="F116" s="13">
        <v>42754.7265625</v>
      </c>
      <c r="G116" s="7">
        <v>1</v>
      </c>
      <c r="H116" s="22" t="s">
        <v>371</v>
      </c>
      <c r="I116" s="13">
        <v>42754.753449074073</v>
      </c>
      <c r="J116" s="7">
        <v>5</v>
      </c>
      <c r="K116" s="105" t="str">
        <f t="shared" si="50"/>
        <v>4021/4022</v>
      </c>
      <c r="L116" s="22" t="str">
        <f>VLOOKUP(A116,'Trips&amp;Operators'!$C$1:$G$99999,5,FALSE)</f>
        <v>KILLION DAVID</v>
      </c>
      <c r="M116" s="6">
        <f t="shared" si="51"/>
        <v>2.6886574072705116E-2</v>
      </c>
      <c r="N116" s="7">
        <f t="shared" si="49"/>
        <v>38.716666664695367</v>
      </c>
      <c r="O116" s="7"/>
      <c r="P116" s="7"/>
      <c r="Q116" s="23"/>
      <c r="R116" s="23"/>
      <c r="S116" s="32">
        <f t="shared" si="52"/>
        <v>1</v>
      </c>
      <c r="T116" s="47" t="str">
        <f t="shared" si="53"/>
        <v>Southbound</v>
      </c>
      <c r="U116" s="164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4" t="str">
        <f t="shared" si="36"/>
        <v>https://d0f6bd738d7f1b3e5a7ca70fe4ff75f0.us-east-1.aws.found.io/app/kibana#/discover/Steve-Slow-Train-Analysis-(2080s-and-2083s)?_g=(refreshInterval:(display:Off,pause:!f,section:0,value:0),time:(from:'2017-01-19T16:22:07-0700',mode:absolute,to:'2017-01-19T19:04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16" s="49" t="str">
        <f t="shared" si="54"/>
        <v>N</v>
      </c>
      <c r="X116" s="170">
        <f t="shared" si="48"/>
        <v>1</v>
      </c>
      <c r="Y116" s="64">
        <f t="shared" si="55"/>
        <v>23.298999999999999</v>
      </c>
      <c r="Z116" s="64">
        <f t="shared" si="56"/>
        <v>1.67E-2</v>
      </c>
      <c r="AA116" s="64">
        <f t="shared" si="57"/>
        <v>23.282299999999999</v>
      </c>
      <c r="AB116" s="61" t="e">
        <f>VLOOKUP(A116,Enforcements!$C$7:$K$15,8,0)</f>
        <v>#N/A</v>
      </c>
      <c r="AC116" s="57" t="e">
        <f>VLOOKUP(A116,Enforcements!$C$7:$E$15,3,0)</f>
        <v>#N/A</v>
      </c>
      <c r="AD116" s="58" t="str">
        <f t="shared" si="58"/>
        <v>0204-19</v>
      </c>
      <c r="AE116" s="87" t="str">
        <f t="shared" si="42"/>
        <v>aws s3 cp s3://rtdc.mdm.uploadarchive.raw/RTDC4021/ "%USERPROFILE%\AppData\Local\Temp\OnboardLogs"\RTDC4021\2017-01-19 --exclude "*" --recursive --include "*20170119*" &amp; "%USERPROFILE%\Documents\GitHub\mrs-test-scripts\Headless Mode &amp; Sideloading\WalkAndUnGZ.bat" "%USERPROFILE%\AppData\Local\Temp\OnboardLogs"\RTDC4021\2017-01-19 &amp; aws s3 cp s3://rtdc.mdm.uploadarchive.raw/RTDC4021/ "%USERPROFILE%\AppData\Local\Temp\OnboardLogs"\RTDC4021\2017-01-20 --exclude "*" --recursive --include "*20170120*" &amp; "%USERPROFILE%\Documents\GitHub\mrs-test-scripts\Headless Mode &amp; Sideloading\WalkAndUnGZ.bat" "%USERPROFILE%\AppData\Local\Temp\OnboardLogs"\RTDC4021\2017-01-20</v>
      </c>
      <c r="AF116" s="84" t="str">
        <f t="shared" si="43"/>
        <v>"C:\Program Files (x86)\AstroGrep\AstroGrep.exe" /spath="%USERPROFILE%\AppData\Local\Temp\OnboardLogs" /stypes="app*4021*20170120*" /stext=" 01:.+((SYSTEM_STATE.+slice.+state.+changed )|(ment ac)|(multiple cpu faults)|(system.+state.+changed )|(\[timeout)|(PRM\|1\|D)|(kpr)|(kdp)|(\|lc)|(penalty))" /e /r /s</v>
      </c>
      <c r="AG116" s="1" t="str">
        <f t="shared" si="59"/>
        <v>EC</v>
      </c>
      <c r="AH116" s="88" t="str">
        <f t="shared" si="45"/>
        <v>"%USERPROFILE%\Documents\GitHub\eaglep3\Utilities\RefineRTDCRunTimes.py" --tripid 204-19 --locoid 4021 --swversion DE.1.0.8.0 --startMP 204:232990 --initTime 2017-01-19T17:22:07 --startdatetime 2017-01-19T17:26:15 --delay 1 --endMP 204:167 --enddatetime 2017-01-19T18:04:58 --enforcementcount 5 &gt;&gt;C:\Users\stu\Documents\GitHub\eaglep3-reporting\EC\2017-01-19-refined-times.txt</v>
      </c>
      <c r="AI116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{"issue":{"subject":"","project_id":79,"tracker_id":40,"status_id":1,"priority_id":2,"assigned_to_id":23,"start_date":"2017-01-19","description":"","custom_fields":[{"id":1,"name":"Subdivision","value":"EC"},{"id":4,"name":"Milepost","value":"0.0167"},{"id":17,"name":"Train ID","value":"204-19"},{"id":16,"name":"Locomotive ID","value":"4021"},{"id":130,"name":"Impact","value":""},{"id":150,"name":"Time of Event (Mountain Time)","value":"18:04:58"},{"id":151,"name":"Denver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0"/>
      <c r="AK116" s="50"/>
      <c r="AL116" s="50"/>
      <c r="AM116" s="177" t="str">
        <f t="shared" si="47"/>
        <v>start /low /b %USERPROFILE%\Documents\GitHub\eaglep3\Utilities\DownloadLogsFromS3.py --loco 4021 --day 2017-01-19</v>
      </c>
      <c r="AN116" s="186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"%USERPROFILE%\AppData\Local\Temp\OnboardLogs"\RTDC4021\*4021*20170120* | grep -SE "(Enforcement Action)|(\[TIMEOUT)|(CHR.+\|PRM\|1\|D.+(SWITCH|SIGNAL).+UNKNOWN)" - &gt;&gt; 2017-01-19-UncaughtWiMAX.txt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4" t="s">
        <v>644</v>
      </c>
      <c r="B117" s="7">
        <v>4042</v>
      </c>
      <c r="C117" s="22" t="s">
        <v>196</v>
      </c>
      <c r="D117" s="22" t="s">
        <v>301</v>
      </c>
      <c r="E117" s="13">
        <v>42754.692175925928</v>
      </c>
      <c r="F117" s="13">
        <v>42754.698113425926</v>
      </c>
      <c r="G117" s="7">
        <v>1</v>
      </c>
      <c r="H117" s="22" t="s">
        <v>245</v>
      </c>
      <c r="I117" s="13">
        <v>42754.723032407404</v>
      </c>
      <c r="J117" s="7">
        <v>5</v>
      </c>
      <c r="K117" s="105" t="str">
        <f t="shared" si="50"/>
        <v>4041/4042</v>
      </c>
      <c r="L117" s="22" t="str">
        <f>VLOOKUP(A117,'Trips&amp;Operators'!$C$1:$G$99999,5,FALSE)</f>
        <v>BRUDER RICHARD</v>
      </c>
      <c r="M117" s="6">
        <f t="shared" si="51"/>
        <v>2.491898147854954E-2</v>
      </c>
      <c r="N117" s="7">
        <f t="shared" si="49"/>
        <v>35.883333329111338</v>
      </c>
      <c r="O117" s="7"/>
      <c r="P117" s="7"/>
      <c r="Q117" s="23"/>
      <c r="R117" s="23"/>
      <c r="S117" s="32">
        <f t="shared" si="52"/>
        <v>1</v>
      </c>
      <c r="T117" s="47" t="str">
        <f t="shared" si="53"/>
        <v>NorthBound</v>
      </c>
      <c r="U117" s="164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4" t="str">
        <f t="shared" si="36"/>
        <v>https://d0f6bd738d7f1b3e5a7ca70fe4ff75f0.us-east-1.aws.found.io/app/kibana#/discover/Steve-Slow-Train-Analysis-(2080s-and-2083s)?_g=(refreshInterval:(display:Off,pause:!f,section:0,value:0),time:(from:'2017-01-19T15:36:44-0700',mode:absolute,to:'2017-01-19T18:21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7" s="49" t="str">
        <f t="shared" si="54"/>
        <v>N</v>
      </c>
      <c r="X117" s="170">
        <f t="shared" si="48"/>
        <v>1</v>
      </c>
      <c r="Y117" s="64">
        <f t="shared" si="55"/>
        <v>4.6699999999999998E-2</v>
      </c>
      <c r="Z117" s="64">
        <f t="shared" si="56"/>
        <v>23.3293</v>
      </c>
      <c r="AA117" s="64">
        <f t="shared" si="57"/>
        <v>23.282599999999999</v>
      </c>
      <c r="AB117" s="61" t="e">
        <f>VLOOKUP(A117,Enforcements!$C$7:$K$15,8,0)</f>
        <v>#N/A</v>
      </c>
      <c r="AC117" s="57" t="e">
        <f>VLOOKUP(A117,Enforcements!$C$7:$E$15,3,0)</f>
        <v>#N/A</v>
      </c>
      <c r="AD117" s="58" t="str">
        <f t="shared" si="58"/>
        <v>0205-19</v>
      </c>
      <c r="AE117" s="87" t="str">
        <f t="shared" si="42"/>
        <v>aws s3 cp s3://rtdc.mdm.uploadarchive.raw/RTDC4042/ "%USERPROFILE%\AppData\Local\Temp\OnboardLogs"\RTDC4042\2017-01-19 --exclude "*" --recursive --include "*20170119*" &amp; "%USERPROFILE%\Documents\GitHub\mrs-test-scripts\Headless Mode &amp; Sideloading\WalkAndUnGZ.bat" "%USERPROFILE%\AppData\Local\Temp\OnboardLogs"\RTDC4042\2017-01-19 &amp; aws s3 cp s3://rtdc.mdm.uploadarchive.raw/RTDC4042/ "%USERPROFILE%\AppData\Local\Temp\OnboardLogs"\RTDC4042\2017-01-20 --exclude "*" --recursive --include "*20170120*" &amp; "%USERPROFILE%\Documents\GitHub\mrs-test-scripts\Headless Mode &amp; Sideloading\WalkAndUnGZ.bat" "%USERPROFILE%\AppData\Local\Temp\OnboardLogs"\RTDC4042\2017-01-20</v>
      </c>
      <c r="AF117" s="84" t="str">
        <f t="shared" si="43"/>
        <v>"C:\Program Files (x86)\AstroGrep\AstroGrep.exe" /spath="%USERPROFILE%\AppData\Local\Temp\OnboardLogs" /stypes="app*4042*20170120*" /stext=" 00:.+((SYSTEM_STATE.+slice.+state.+changed )|(ment ac)|(multiple cpu faults)|(system.+state.+changed )|(\[timeout)|(PRM\|1\|D)|(kpr)|(kdp)|(\|lc)|(penalty))" /e /r /s</v>
      </c>
      <c r="AG117" s="1" t="str">
        <f t="shared" si="59"/>
        <v>EC</v>
      </c>
      <c r="AH117" s="88" t="str">
        <f t="shared" si="45"/>
        <v>"%USERPROFILE%\Documents\GitHub\eaglep3\Utilities\RefineRTDCRunTimes.py" --tripid 205-19 --locoid 4042 --swversion DE.1.0.8.0 --startMP 204:467 --initTime 2017-01-19T16:36:44 --startdatetime 2017-01-19T16:45:17 --delay 1 --endMP 204:233293 --enddatetime 2017-01-19T17:21:10 --enforcementcount 5 &gt;&gt;C:\Users\stu\Documents\GitHub\eaglep3-reporting\EC\2017-01-19-refined-times.txt</v>
      </c>
      <c r="AI117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{"issue":{"subject":"","project_id":79,"tracker_id":40,"status_id":1,"priority_id":2,"assigned_to_id":23,"start_date":"2017-01-19","description":"","custom_fields":[{"id":1,"name":"Subdivision","value":"EC"},{"id":4,"name":"Milepost","value":"23.3293"},{"id":17,"name":"Train ID","value":"205-19"},{"id":16,"name":"Locomotive ID","value":"4042"},{"id":130,"name":"Impact","value":""},{"id":150,"name":"Time of Event (Mountain Time)","value":"17:21:10"},{"id":151,"name":"Denver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0"/>
      <c r="AK117" s="50"/>
      <c r="AL117" s="50"/>
      <c r="AM117" s="177" t="str">
        <f t="shared" si="47"/>
        <v>start /low /b %USERPROFILE%\Documents\GitHub\eaglep3\Utilities\DownloadLogsFromS3.py --loco 4042 --day 2017-01-19</v>
      </c>
      <c r="AN117" s="186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"%USERPROFILE%\AppData\Local\Temp\OnboardLogs"\RTDC4042\*4042*20170120* | grep -SE "(Enforcement Action)|(\[TIMEOUT)|(CHR.+\|PRM\|1\|D.+(SWITCH|SIGNAL).+UNKNOWN)" - &gt;&gt; 2017-01-19-UncaughtWiMAX.txt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4" t="s">
        <v>653</v>
      </c>
      <c r="B118" s="7">
        <v>4041</v>
      </c>
      <c r="C118" s="22" t="s">
        <v>196</v>
      </c>
      <c r="D118" s="22" t="s">
        <v>306</v>
      </c>
      <c r="E118" s="13">
        <v>42754.727916666663</v>
      </c>
      <c r="F118" s="13">
        <v>42754.737002314818</v>
      </c>
      <c r="G118" s="7">
        <v>0</v>
      </c>
      <c r="H118" s="22" t="s">
        <v>214</v>
      </c>
      <c r="I118" s="13">
        <v>42754.763842592591</v>
      </c>
      <c r="J118" s="7">
        <v>5</v>
      </c>
      <c r="K118" s="105" t="str">
        <f t="shared" si="50"/>
        <v>4041/4042</v>
      </c>
      <c r="L118" s="22" t="str">
        <f>VLOOKUP(A118,'Trips&amp;Operators'!$C$1:$G$99999,5,FALSE)</f>
        <v>BRUDER RICHARD</v>
      </c>
      <c r="M118" s="6">
        <f t="shared" si="51"/>
        <v>2.6840277772862464E-2</v>
      </c>
      <c r="N118" s="7">
        <f t="shared" si="49"/>
        <v>38.649999992921948</v>
      </c>
      <c r="O118" s="7"/>
      <c r="P118" s="7"/>
      <c r="Q118" s="23"/>
      <c r="R118" s="23"/>
      <c r="S118" s="32">
        <f t="shared" si="52"/>
        <v>1</v>
      </c>
      <c r="T118" s="47" t="str">
        <f t="shared" si="53"/>
        <v>Southbound</v>
      </c>
      <c r="U118" s="164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4" t="str">
        <f t="shared" si="36"/>
        <v>https://d0f6bd738d7f1b3e5a7ca70fe4ff75f0.us-east-1.aws.found.io/app/kibana#/discover/Steve-Slow-Train-Analysis-(2080s-and-2083s)?_g=(refreshInterval:(display:Off,pause:!f,section:0,value:0),time:(from:'2017-01-19T16:28:12-0700',mode:absolute,to:'2017-01-19T19:19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8" s="49" t="str">
        <f t="shared" si="54"/>
        <v>N</v>
      </c>
      <c r="X118" s="170">
        <f t="shared" si="48"/>
        <v>1</v>
      </c>
      <c r="Y118" s="64">
        <f t="shared" si="55"/>
        <v>23.299299999999999</v>
      </c>
      <c r="Z118" s="64">
        <f t="shared" si="56"/>
        <v>1.47E-2</v>
      </c>
      <c r="AA118" s="64">
        <f t="shared" si="57"/>
        <v>23.284599999999998</v>
      </c>
      <c r="AB118" s="61" t="e">
        <f>VLOOKUP(A118,Enforcements!$C$7:$K$15,8,0)</f>
        <v>#N/A</v>
      </c>
      <c r="AC118" s="57" t="e">
        <f>VLOOKUP(A118,Enforcements!$C$7:$E$15,3,0)</f>
        <v>#N/A</v>
      </c>
      <c r="AD118" s="58" t="str">
        <f t="shared" si="58"/>
        <v>0206-19</v>
      </c>
      <c r="AE118" s="87" t="str">
        <f t="shared" si="42"/>
        <v>aws s3 cp s3://rtdc.mdm.uploadarchive.raw/RTDC4041/ "%USERPROFILE%\AppData\Local\Temp\OnboardLogs"\RTDC4041\2017-01-19 --exclude "*" --recursive --include "*20170119*" &amp; "%USERPROFILE%\Documents\GitHub\mrs-test-scripts\Headless Mode &amp; Sideloading\WalkAndUnGZ.bat" "%USERPROFILE%\AppData\Local\Temp\OnboardLogs"\RTDC4041\2017-01-19 &amp; aws s3 cp s3://rtdc.mdm.uploadarchive.raw/RTDC4041/ "%USERPROFILE%\AppData\Local\Temp\OnboardLogs"\RTDC4041\2017-01-20 --exclude "*" --recursive --include "*20170120*" &amp; "%USERPROFILE%\Documents\GitHub\mrs-test-scripts\Headless Mode &amp; Sideloading\WalkAndUnGZ.bat" "%USERPROFILE%\AppData\Local\Temp\OnboardLogs"\RTDC4041\2017-01-20</v>
      </c>
      <c r="AF118" s="84" t="str">
        <f t="shared" si="43"/>
        <v>"C:\Program Files (x86)\AstroGrep\AstroGrep.exe" /spath="%USERPROFILE%\AppData\Local\Temp\OnboardLogs" /stypes="app*4041*20170120*" /stext=" 01:.+((SYSTEM_STATE.+slice.+state.+changed )|(ment ac)|(multiple cpu faults)|(system.+state.+changed )|(\[timeout)|(PRM\|1\|D)|(kpr)|(kdp)|(\|lc)|(penalty))" /e /r /s</v>
      </c>
      <c r="AG118" s="1" t="str">
        <f t="shared" si="59"/>
        <v>EC</v>
      </c>
      <c r="AH118" s="88" t="str">
        <f t="shared" si="45"/>
        <v>"%USERPROFILE%\Documents\GitHub\eaglep3\Utilities\RefineRTDCRunTimes.py" --tripid 206-19 --locoid 4041 --swversion DE.1.0.8.0 --startMP 204:232993 --initTime 2017-01-19T17:28:12 --startdatetime 2017-01-19T17:41:17 --delay 0 --endMP 204:147 --enddatetime 2017-01-19T18:19:56 --enforcementcount 5 &gt;&gt;C:\Users\stu\Documents\GitHub\eaglep3-reporting\EC\2017-01-19-refined-times.txt</v>
      </c>
      <c r="AI118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{"issue":{"subject":"","project_id":79,"tracker_id":40,"status_id":1,"priority_id":2,"assigned_to_id":23,"start_date":"2017-01-19","description":"","custom_fields":[{"id":1,"name":"Subdivision","value":"EC"},{"id":4,"name":"Milepost","value":"0.0147"},{"id":17,"name":"Train ID","value":"206-19"},{"id":16,"name":"Locomotive ID","value":"4041"},{"id":130,"name":"Impact","value":""},{"id":150,"name":"Time of Event (Mountain Time)","value":"18:19:56"},{"id":151,"name":"Denver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0"/>
      <c r="AK118" s="50"/>
      <c r="AL118" s="50"/>
      <c r="AM118" s="177" t="str">
        <f t="shared" si="47"/>
        <v>start /low /b %USERPROFILE%\Documents\GitHub\eaglep3\Utilities\DownloadLogsFromS3.py --loco 4041 --day 2017-01-19</v>
      </c>
      <c r="AN118" s="186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"%USERPROFILE%\AppData\Local\Temp\OnboardLogs"\RTDC4041\*4041*20170120* | grep -SE "(Enforcement Action)|(\[TIMEOUT)|(CHR.+\|PRM\|1\|D.+(SWITCH|SIGNAL).+UNKNOWN)" - &gt;&gt; 2017-01-19-UncaughtWiMAX.txt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4" t="s">
        <v>647</v>
      </c>
      <c r="B119" s="7">
        <v>4011</v>
      </c>
      <c r="C119" s="22" t="s">
        <v>196</v>
      </c>
      <c r="D119" s="22" t="s">
        <v>235</v>
      </c>
      <c r="E119" s="13">
        <v>42754.703333333331</v>
      </c>
      <c r="F119" s="13">
        <v>42754.708715277775</v>
      </c>
      <c r="G119" s="7">
        <v>1</v>
      </c>
      <c r="H119" s="22" t="s">
        <v>750</v>
      </c>
      <c r="I119" s="13">
        <v>42754.733668981484</v>
      </c>
      <c r="J119" s="7">
        <v>5</v>
      </c>
      <c r="K119" s="105" t="str">
        <f t="shared" si="50"/>
        <v>4011/4012</v>
      </c>
      <c r="L119" s="22" t="str">
        <f>VLOOKUP(A119,'Trips&amp;Operators'!$C$1:$G$99999,5,FALSE)</f>
        <v>SMITH MICHAEL</v>
      </c>
      <c r="M119" s="6">
        <f t="shared" si="51"/>
        <v>2.4953703708888497E-2</v>
      </c>
      <c r="N119" s="7">
        <f t="shared" si="49"/>
        <v>35.933333340799436</v>
      </c>
      <c r="O119" s="7"/>
      <c r="P119" s="7"/>
      <c r="Q119" s="23"/>
      <c r="R119" s="23"/>
      <c r="S119" s="32">
        <f t="shared" si="52"/>
        <v>1</v>
      </c>
      <c r="T119" s="47" t="str">
        <f t="shared" si="53"/>
        <v>NorthBound</v>
      </c>
      <c r="U119" s="164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4" t="str">
        <f t="shared" si="36"/>
        <v>https://d0f6bd738d7f1b3e5a7ca70fe4ff75f0.us-east-1.aws.found.io/app/kibana#/discover/Steve-Slow-Train-Analysis-(2080s-and-2083s)?_g=(refreshInterval:(display:Off,pause:!f,section:0,value:0),time:(from:'2017-01-19T15:52:48-0700',mode:absolute,to:'2017-01-19T18:36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9" s="49" t="str">
        <f t="shared" si="54"/>
        <v>N</v>
      </c>
      <c r="X119" s="170">
        <f t="shared" si="48"/>
        <v>1</v>
      </c>
      <c r="Y119" s="64">
        <f t="shared" si="55"/>
        <v>4.4600000000000001E-2</v>
      </c>
      <c r="Z119" s="64">
        <f t="shared" si="56"/>
        <v>23.330500000000001</v>
      </c>
      <c r="AA119" s="64">
        <f t="shared" si="57"/>
        <v>23.285900000000002</v>
      </c>
      <c r="AB119" s="61" t="e">
        <f>VLOOKUP(A119,Enforcements!$C$7:$K$15,8,0)</f>
        <v>#N/A</v>
      </c>
      <c r="AC119" s="57" t="e">
        <f>VLOOKUP(A119,Enforcements!$C$7:$E$15,3,0)</f>
        <v>#N/A</v>
      </c>
      <c r="AD119" s="58" t="str">
        <f t="shared" si="58"/>
        <v>0207-19</v>
      </c>
      <c r="AE119" s="87" t="str">
        <f t="shared" si="42"/>
        <v>aws s3 cp s3://rtdc.mdm.uploadarchive.raw/RTDC4011/ "%USERPROFILE%\AppData\Local\Temp\OnboardLogs"\RTDC4011\2017-01-19 --exclude "*" --recursive --include "*20170119*" &amp; "%USERPROFILE%\Documents\GitHub\mrs-test-scripts\Headless Mode &amp; Sideloading\WalkAndUnGZ.bat" "%USERPROFILE%\AppData\Local\Temp\OnboardLogs"\RTDC4011\2017-01-19 &amp; aws s3 cp s3://rtdc.mdm.uploadarchive.raw/RTDC4011/ "%USERPROFILE%\AppData\Local\Temp\OnboardLogs"\RTDC4011\2017-01-20 --exclude "*" --recursive --include "*20170120*" &amp; "%USERPROFILE%\Documents\GitHub\mrs-test-scripts\Headless Mode &amp; Sideloading\WalkAndUnGZ.bat" "%USERPROFILE%\AppData\Local\Temp\OnboardLogs"\RTDC4011\2017-01-20</v>
      </c>
      <c r="AF119" s="84" t="str">
        <f t="shared" si="43"/>
        <v>"C:\Program Files (x86)\AstroGrep\AstroGrep.exe" /spath="%USERPROFILE%\AppData\Local\Temp\OnboardLogs" /stypes="app*4011*20170120*" /stext=" 00:.+((SYSTEM_STATE.+slice.+state.+changed )|(ment ac)|(multiple cpu faults)|(system.+state.+changed )|(\[timeout)|(PRM\|1\|D)|(kpr)|(kdp)|(\|lc)|(penalty))" /e /r /s</v>
      </c>
      <c r="AG119" s="1" t="str">
        <f t="shared" si="59"/>
        <v>EC</v>
      </c>
      <c r="AH119" s="88" t="str">
        <f t="shared" si="45"/>
        <v>"%USERPROFILE%\Documents\GitHub\eaglep3\Utilities\RefineRTDCRunTimes.py" --tripid 207-19 --locoid 4011 --swversion DE.1.0.8.0 --startMP 204:446 --initTime 2017-01-19T16:52:48 --startdatetime 2017-01-19T17:00:33 --delay 1 --endMP 204:233305 --enddatetime 2017-01-19T17:36:29 --enforcementcount 5 &gt;&gt;C:\Users\stu\Documents\GitHub\eaglep3-reporting\EC\2017-01-19-refined-times.txt</v>
      </c>
      <c r="AI119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{"issue":{"subject":"","project_id":79,"tracker_id":40,"status_id":1,"priority_id":2,"assigned_to_id":23,"start_date":"2017-01-19","description":"","custom_fields":[{"id":1,"name":"Subdivision","value":"EC"},{"id":4,"name":"Milepost","value":"23.3305"},{"id":17,"name":"Train ID","value":"207-19"},{"id":16,"name":"Locomotive ID","value":"4011"},{"id":130,"name":"Impact","value":""},{"id":150,"name":"Time of Event (Mountain Time)","value":"17:36:29"},{"id":151,"name":"Denver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0"/>
      <c r="AK119" s="50"/>
      <c r="AL119" s="50"/>
      <c r="AM119" s="177" t="str">
        <f t="shared" si="47"/>
        <v>start /low /b %USERPROFILE%\Documents\GitHub\eaglep3\Utilities\DownloadLogsFromS3.py --loco 4011 --day 2017-01-19</v>
      </c>
      <c r="AN119" s="186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"%USERPROFILE%\AppData\Local\Temp\OnboardLogs"\RTDC4011\*4011*20170120* | grep -SE "(Enforcement Action)|(\[TIMEOUT)|(CHR.+\|PRM\|1\|D.+(SWITCH|SIGNAL).+UNKNOWN)" - &gt;&gt; 2017-01-19-UncaughtWiMAX.txt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4" t="s">
        <v>656</v>
      </c>
      <c r="B120" s="7">
        <v>4012</v>
      </c>
      <c r="C120" s="22" t="s">
        <v>196</v>
      </c>
      <c r="D120" s="22" t="s">
        <v>742</v>
      </c>
      <c r="E120" s="13">
        <v>42754.737326388888</v>
      </c>
      <c r="F120" s="13">
        <v>42754.747407407405</v>
      </c>
      <c r="G120" s="7">
        <v>1</v>
      </c>
      <c r="H120" s="22" t="s">
        <v>274</v>
      </c>
      <c r="I120" s="13">
        <v>42754.778321759259</v>
      </c>
      <c r="J120" s="7">
        <v>5</v>
      </c>
      <c r="K120" s="105" t="str">
        <f t="shared" si="50"/>
        <v>4011/4012</v>
      </c>
      <c r="L120" s="22" t="str">
        <f>VLOOKUP(A120,'Trips&amp;Operators'!$C$1:$G$99999,5,FALSE)</f>
        <v>SMITH MICHAEL</v>
      </c>
      <c r="M120" s="6">
        <f t="shared" si="51"/>
        <v>3.0914351853425615E-2</v>
      </c>
      <c r="N120" s="7">
        <f t="shared" si="49"/>
        <v>44.516666668932885</v>
      </c>
      <c r="O120" s="7"/>
      <c r="P120" s="7"/>
      <c r="Q120" s="23"/>
      <c r="R120" s="23"/>
      <c r="S120" s="32">
        <f t="shared" si="52"/>
        <v>1</v>
      </c>
      <c r="T120" s="47" t="str">
        <f t="shared" si="53"/>
        <v>Southbound</v>
      </c>
      <c r="U120" s="164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4" t="str">
        <f t="shared" si="36"/>
        <v>https://d0f6bd738d7f1b3e5a7ca70fe4ff75f0.us-east-1.aws.found.io/app/kibana#/discover/Steve-Slow-Train-Analysis-(2080s-and-2083s)?_g=(refreshInterval:(display:Off,pause:!f,section:0,value:0),time:(from:'2017-01-19T16:41:45-0700',mode:absolute,to:'2017-01-19T19:40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0" s="49" t="str">
        <f t="shared" si="54"/>
        <v>N</v>
      </c>
      <c r="X120" s="170">
        <f t="shared" si="48"/>
        <v>1</v>
      </c>
      <c r="Y120" s="64">
        <f t="shared" si="55"/>
        <v>23.2971</v>
      </c>
      <c r="Z120" s="64">
        <f t="shared" si="56"/>
        <v>1.32E-2</v>
      </c>
      <c r="AA120" s="64">
        <f t="shared" si="57"/>
        <v>23.283899999999999</v>
      </c>
      <c r="AB120" s="61" t="e">
        <f>VLOOKUP(A120,Enforcements!$C$7:$K$15,8,0)</f>
        <v>#N/A</v>
      </c>
      <c r="AC120" s="57" t="e">
        <f>VLOOKUP(A120,Enforcements!$C$7:$E$15,3,0)</f>
        <v>#N/A</v>
      </c>
      <c r="AD120" s="58" t="str">
        <f t="shared" si="58"/>
        <v>0208-19</v>
      </c>
      <c r="AE120" s="87" t="str">
        <f t="shared" si="42"/>
        <v>aws s3 cp s3://rtdc.mdm.uploadarchive.raw/RTDC4012/ "%USERPROFILE%\AppData\Local\Temp\OnboardLogs"\RTDC4012\2017-01-19 --exclude "*" --recursive --include "*20170119*" &amp; "%USERPROFILE%\Documents\GitHub\mrs-test-scripts\Headless Mode &amp; Sideloading\WalkAndUnGZ.bat" "%USERPROFILE%\AppData\Local\Temp\OnboardLogs"\RTDC4012\2017-01-19 &amp; aws s3 cp s3://rtdc.mdm.uploadarchive.raw/RTDC4012/ "%USERPROFILE%\AppData\Local\Temp\OnboardLogs"\RTDC4012\2017-01-20 --exclude "*" --recursive --include "*20170120*" &amp; "%USERPROFILE%\Documents\GitHub\mrs-test-scripts\Headless Mode &amp; Sideloading\WalkAndUnGZ.bat" "%USERPROFILE%\AppData\Local\Temp\OnboardLogs"\RTDC4012\2017-01-20</v>
      </c>
      <c r="AF120" s="84" t="str">
        <f t="shared" si="43"/>
        <v>"C:\Program Files (x86)\AstroGrep\AstroGrep.exe" /spath="%USERPROFILE%\AppData\Local\Temp\OnboardLogs" /stypes="app*4012*20170120*" /stext=" 01:.+((SYSTEM_STATE.+slice.+state.+changed )|(ment ac)|(multiple cpu faults)|(system.+state.+changed )|(\[timeout)|(PRM\|1\|D)|(kpr)|(kdp)|(\|lc)|(penalty))" /e /r /s</v>
      </c>
      <c r="AG120" s="1" t="str">
        <f t="shared" si="59"/>
        <v>EC</v>
      </c>
      <c r="AH120" s="88" t="str">
        <f t="shared" si="45"/>
        <v>"%USERPROFILE%\Documents\GitHub\eaglep3\Utilities\RefineRTDCRunTimes.py" --tripid 208-19 --locoid 4012 --swversion DE.1.0.8.0 --startMP 204:232971 --initTime 2017-01-19T17:41:45 --startdatetime 2017-01-19T17:56:16 --delay 1 --endMP 204:132 --enddatetime 2017-01-19T18:40:47 --enforcementcount 5 &gt;&gt;C:\Users\stu\Documents\GitHub\eaglep3-reporting\EC\2017-01-19-refined-times.txt</v>
      </c>
      <c r="AI120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{"issue":{"subject":"","project_id":79,"tracker_id":40,"status_id":1,"priority_id":2,"assigned_to_id":23,"start_date":"2017-01-19","description":"","custom_fields":[{"id":1,"name":"Subdivision","value":"EC"},{"id":4,"name":"Milepost","value":"0.0132"},{"id":17,"name":"Train ID","value":"208-19"},{"id":16,"name":"Locomotive ID","value":"4012"},{"id":130,"name":"Impact","value":""},{"id":150,"name":"Time of Event (Mountain Time)","value":"18:40:47"},{"id":151,"name":"Denver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0"/>
      <c r="AK120" s="50"/>
      <c r="AL120" s="50"/>
      <c r="AM120" s="177" t="str">
        <f t="shared" si="47"/>
        <v>start /low /b %USERPROFILE%\Documents\GitHub\eaglep3\Utilities\DownloadLogsFromS3.py --loco 4012 --day 2017-01-19</v>
      </c>
      <c r="AN120" s="186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"%USERPROFILE%\AppData\Local\Temp\OnboardLogs"\RTDC4012\*4012*20170120* | grep -SE "(Enforcement Action)|(\[TIMEOUT)|(CHR.+\|PRM\|1\|D.+(SWITCH|SIGNAL).+UNKNOWN)" - &gt;&gt; 2017-01-19-UncaughtWiMAX.txt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4" t="s">
        <v>650</v>
      </c>
      <c r="B121" s="7">
        <v>4031</v>
      </c>
      <c r="C121" s="22" t="s">
        <v>196</v>
      </c>
      <c r="D121" s="22" t="s">
        <v>751</v>
      </c>
      <c r="E121" s="13">
        <v>42754.717245370368</v>
      </c>
      <c r="F121" s="13">
        <v>42754.718981481485</v>
      </c>
      <c r="G121" s="7">
        <v>1</v>
      </c>
      <c r="H121" s="22" t="s">
        <v>253</v>
      </c>
      <c r="I121" s="13">
        <v>42754.744479166664</v>
      </c>
      <c r="J121" s="7">
        <v>5</v>
      </c>
      <c r="K121" s="105" t="str">
        <f t="shared" si="50"/>
        <v>4031/4032</v>
      </c>
      <c r="L121" s="22" t="str">
        <f>VLOOKUP(A121,'Trips&amp;Operators'!$C$1:$G$99999,5,FALSE)</f>
        <v>CHANDLER KELVIN</v>
      </c>
      <c r="M121" s="6">
        <f t="shared" si="51"/>
        <v>2.5497685179288965E-2</v>
      </c>
      <c r="N121" s="7">
        <f t="shared" si="49"/>
        <v>36.716666658176109</v>
      </c>
      <c r="O121" s="7"/>
      <c r="P121" s="7"/>
      <c r="Q121" s="23"/>
      <c r="R121" s="23"/>
      <c r="S121" s="32">
        <f t="shared" si="52"/>
        <v>1</v>
      </c>
      <c r="T121" s="47" t="str">
        <f t="shared" si="53"/>
        <v>NorthBound</v>
      </c>
      <c r="U121" s="164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4" t="str">
        <f t="shared" si="36"/>
        <v>https://d0f6bd738d7f1b3e5a7ca70fe4ff75f0.us-east-1.aws.found.io/app/kibana#/discover/Steve-Slow-Train-Analysis-(2080s-and-2083s)?_g=(refreshInterval:(display:Off,pause:!f,section:0,value:0),time:(from:'2017-01-19T16:12:50-0700',mode:absolute,to:'2017-01-19T18:52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1" s="49" t="str">
        <f t="shared" si="54"/>
        <v>N</v>
      </c>
      <c r="X121" s="170">
        <f t="shared" si="48"/>
        <v>1</v>
      </c>
      <c r="Y121" s="64">
        <f t="shared" si="55"/>
        <v>5.6800000000000003E-2</v>
      </c>
      <c r="Z121" s="64">
        <f t="shared" si="56"/>
        <v>23.329699999999999</v>
      </c>
      <c r="AA121" s="64">
        <f t="shared" si="57"/>
        <v>23.2729</v>
      </c>
      <c r="AB121" s="61" t="e">
        <f>VLOOKUP(A121,Enforcements!$C$7:$K$15,8,0)</f>
        <v>#N/A</v>
      </c>
      <c r="AC121" s="57" t="e">
        <f>VLOOKUP(A121,Enforcements!$C$7:$E$15,3,0)</f>
        <v>#N/A</v>
      </c>
      <c r="AD121" s="58" t="str">
        <f t="shared" si="58"/>
        <v>0209-19</v>
      </c>
      <c r="AE121" s="87" t="str">
        <f t="shared" si="42"/>
        <v>aws s3 cp s3://rtdc.mdm.uploadarchive.raw/RTDC4031/ "%USERPROFILE%\AppData\Local\Temp\OnboardLogs"\RTDC4031\2017-01-19 --exclude "*" --recursive --include "*20170119*" &amp; "%USERPROFILE%\Documents\GitHub\mrs-test-scripts\Headless Mode &amp; Sideloading\WalkAndUnGZ.bat" "%USERPROFILE%\AppData\Local\Temp\OnboardLogs"\RTDC4031\2017-01-19 &amp; aws s3 cp s3://rtdc.mdm.uploadarchive.raw/RTDC4031/ "%USERPROFILE%\AppData\Local\Temp\OnboardLogs"\RTDC4031\2017-01-20 --exclude "*" --recursive --include "*20170120*" &amp; "%USERPROFILE%\Documents\GitHub\mrs-test-scripts\Headless Mode &amp; Sideloading\WalkAndUnGZ.bat" "%USERPROFILE%\AppData\Local\Temp\OnboardLogs"\RTDC4031\2017-01-20</v>
      </c>
      <c r="AF121" s="84" t="str">
        <f t="shared" si="43"/>
        <v>"C:\Program Files (x86)\AstroGrep\AstroGrep.exe" /spath="%USERPROFILE%\AppData\Local\Temp\OnboardLogs" /stypes="app*4031*20170120*" /stext=" 00:.+((SYSTEM_STATE.+slice.+state.+changed )|(ment ac)|(multiple cpu faults)|(system.+state.+changed )|(\[timeout)|(PRM\|1\|D)|(kpr)|(kdp)|(\|lc)|(penalty))" /e /r /s</v>
      </c>
      <c r="AG121" s="1" t="str">
        <f t="shared" si="59"/>
        <v>EC</v>
      </c>
      <c r="AH121" s="88" t="str">
        <f t="shared" si="45"/>
        <v>"%USERPROFILE%\Documents\GitHub\eaglep3\Utilities\RefineRTDCRunTimes.py" --tripid 209-19 --locoid 4031 --swversion DE.1.0.8.0 --startMP 204:568 --initTime 2017-01-19T17:12:50 --startdatetime 2017-01-19T17:15:20 --delay 1 --endMP 204:233297 --enddatetime 2017-01-19T17:52:03 --enforcementcount 5 &gt;&gt;C:\Users\stu\Documents\GitHub\eaglep3-reporting\EC\2017-01-19-refined-times.txt</v>
      </c>
      <c r="AI121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{"issue":{"subject":"","project_id":79,"tracker_id":40,"status_id":1,"priority_id":2,"assigned_to_id":23,"start_date":"2017-01-19","description":"","custom_fields":[{"id":1,"name":"Subdivision","value":"EC"},{"id":4,"name":"Milepost","value":"23.3297"},{"id":17,"name":"Train ID","value":"209-19"},{"id":16,"name":"Locomotive ID","value":"4031"},{"id":130,"name":"Impact","value":""},{"id":150,"name":"Time of Event (Mountain Time)","value":"17:52:03"},{"id":151,"name":"Denver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0"/>
      <c r="AK121" s="50"/>
      <c r="AL121" s="50"/>
      <c r="AM121" s="177" t="str">
        <f t="shared" si="47"/>
        <v>start /low /b %USERPROFILE%\Documents\GitHub\eaglep3\Utilities\DownloadLogsFromS3.py --loco 4031 --day 2017-01-19</v>
      </c>
      <c r="AN121" s="186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"%USERPROFILE%\AppData\Local\Temp\OnboardLogs"\RTDC4031\*4031*20170120* | grep -SE "(Enforcement Action)|(\[TIMEOUT)|(CHR.+\|PRM\|1\|D.+(SWITCH|SIGNAL).+UNKNOWN)" - &gt;&gt; 2017-01-19-UncaughtWiMAX.txt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4" t="s">
        <v>666</v>
      </c>
      <c r="B122" s="7">
        <v>4032</v>
      </c>
      <c r="C122" s="22" t="s">
        <v>196</v>
      </c>
      <c r="D122" s="22" t="s">
        <v>369</v>
      </c>
      <c r="E122" s="13">
        <v>42754.753680555557</v>
      </c>
      <c r="F122" s="13">
        <v>42754.757939814815</v>
      </c>
      <c r="G122" s="7">
        <v>1</v>
      </c>
      <c r="H122" s="22" t="s">
        <v>252</v>
      </c>
      <c r="I122" s="13">
        <v>42754.785393518519</v>
      </c>
      <c r="J122" s="7">
        <v>5</v>
      </c>
      <c r="K122" s="105" t="str">
        <f t="shared" si="50"/>
        <v>4031/4032</v>
      </c>
      <c r="L122" s="22" t="str">
        <f>VLOOKUP(A122,'Trips&amp;Operators'!$C$1:$G$99999,5,FALSE)</f>
        <v>CHANDLER KELVIN</v>
      </c>
      <c r="M122" s="6">
        <f t="shared" si="51"/>
        <v>2.7453703703940846E-2</v>
      </c>
      <c r="N122" s="7">
        <f t="shared" si="49"/>
        <v>39.533333333674818</v>
      </c>
      <c r="O122" s="7"/>
      <c r="P122" s="7"/>
      <c r="Q122" s="23"/>
      <c r="R122" s="23"/>
      <c r="S122" s="32">
        <f t="shared" si="52"/>
        <v>1</v>
      </c>
      <c r="T122" s="47" t="str">
        <f t="shared" si="53"/>
        <v>Southbound</v>
      </c>
      <c r="U122" s="164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4" t="str">
        <f t="shared" si="36"/>
        <v>https://d0f6bd738d7f1b3e5a7ca70fe4ff75f0.us-east-1.aws.found.io/app/kibana#/discover/Steve-Slow-Train-Analysis-(2080s-and-2083s)?_g=(refreshInterval:(display:Off,pause:!f,section:0,value:0),time:(from:'2017-01-19T17:05:18-0700',mode:absolute,to:'2017-01-19T19:50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2" s="49" t="str">
        <f t="shared" si="54"/>
        <v>N</v>
      </c>
      <c r="X122" s="170">
        <f t="shared" si="48"/>
        <v>1</v>
      </c>
      <c r="Y122" s="64">
        <f t="shared" si="55"/>
        <v>23.298100000000002</v>
      </c>
      <c r="Z122" s="64">
        <f t="shared" si="56"/>
        <v>1.54E-2</v>
      </c>
      <c r="AA122" s="64">
        <f t="shared" si="57"/>
        <v>23.282700000000002</v>
      </c>
      <c r="AB122" s="61" t="e">
        <f>VLOOKUP(A122,Enforcements!$C$7:$K$15,8,0)</f>
        <v>#N/A</v>
      </c>
      <c r="AC122" s="57" t="e">
        <f>VLOOKUP(A122,Enforcements!$C$7:$E$15,3,0)</f>
        <v>#N/A</v>
      </c>
      <c r="AD122" s="58" t="str">
        <f t="shared" si="58"/>
        <v>0210-19</v>
      </c>
      <c r="AE122" s="87" t="str">
        <f t="shared" si="42"/>
        <v>aws s3 cp s3://rtdc.mdm.uploadarchive.raw/RTDC4032/ "%USERPROFILE%\AppData\Local\Temp\OnboardLogs"\RTDC4032\2017-01-19 --exclude "*" --recursive --include "*20170119*" &amp; "%USERPROFILE%\Documents\GitHub\mrs-test-scripts\Headless Mode &amp; Sideloading\WalkAndUnGZ.bat" "%USERPROFILE%\AppData\Local\Temp\OnboardLogs"\RTDC4032\2017-01-19 &amp; aws s3 cp s3://rtdc.mdm.uploadarchive.raw/RTDC4032/ "%USERPROFILE%\AppData\Local\Temp\OnboardLogs"\RTDC4032\2017-01-20 --exclude "*" --recursive --include "*20170120*" &amp; "%USERPROFILE%\Documents\GitHub\mrs-test-scripts\Headless Mode &amp; Sideloading\WalkAndUnGZ.bat" "%USERPROFILE%\AppData\Local\Temp\OnboardLogs"\RTDC4032\2017-01-20</v>
      </c>
      <c r="AF122" s="84" t="str">
        <f t="shared" si="43"/>
        <v>"C:\Program Files (x86)\AstroGrep\AstroGrep.exe" /spath="%USERPROFILE%\AppData\Local\Temp\OnboardLogs" /stypes="app*4032*20170120*" /stext=" 01:.+((SYSTEM_STATE.+slice.+state.+changed )|(ment ac)|(multiple cpu faults)|(system.+state.+changed )|(\[timeout)|(PRM\|1\|D)|(kpr)|(kdp)|(\|lc)|(penalty))" /e /r /s</v>
      </c>
      <c r="AG122" s="1" t="str">
        <f t="shared" si="59"/>
        <v>EC</v>
      </c>
      <c r="AH122" s="88" t="str">
        <f t="shared" si="45"/>
        <v>"%USERPROFILE%\Documents\GitHub\eaglep3\Utilities\RefineRTDCRunTimes.py" --tripid 210-19 --locoid 4032 --swversion DE.1.0.8.0 --startMP 204:232981 --initTime 2017-01-19T18:05:18 --startdatetime 2017-01-19T18:11:26 --delay 1 --endMP 204:154 --enddatetime 2017-01-19T18:50:58 --enforcementcount 5 &gt;&gt;C:\Users\stu\Documents\GitHub\eaglep3-reporting\EC\2017-01-19-refined-times.txt</v>
      </c>
      <c r="AI122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{"issue":{"subject":"","project_id":79,"tracker_id":40,"status_id":1,"priority_id":2,"assigned_to_id":23,"start_date":"2017-01-19","description":"","custom_fields":[{"id":1,"name":"Subdivision","value":"EC"},{"id":4,"name":"Milepost","value":"0.0154"},{"id":17,"name":"Train ID","value":"210-19"},{"id":16,"name":"Locomotive ID","value":"4032"},{"id":130,"name":"Impact","value":""},{"id":150,"name":"Time of Event (Mountain Time)","value":"18:50:58"},{"id":151,"name":"Denver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0"/>
      <c r="AK122" s="50"/>
      <c r="AL122" s="50"/>
      <c r="AM122" s="177" t="str">
        <f t="shared" si="47"/>
        <v>start /low /b %USERPROFILE%\Documents\GitHub\eaglep3\Utilities\DownloadLogsFromS3.py --loco 4032 --day 2017-01-19</v>
      </c>
      <c r="AN122" s="186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"%USERPROFILE%\AppData\Local\Temp\OnboardLogs"\RTDC4032\*4032*20170120* | grep -SE "(Enforcement Action)|(\[TIMEOUT)|(CHR.+\|PRM\|1\|D.+(SWITCH|SIGNAL).+UNKNOWN)" - &gt;&gt; 2017-01-19-UncaughtWiMAX.txt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4" t="s">
        <v>652</v>
      </c>
      <c r="B123" s="7">
        <v>4044</v>
      </c>
      <c r="C123" s="22" t="s">
        <v>196</v>
      </c>
      <c r="D123" s="22" t="s">
        <v>326</v>
      </c>
      <c r="E123" s="13">
        <v>42754.724259259259</v>
      </c>
      <c r="F123" s="13">
        <v>42754.729375000003</v>
      </c>
      <c r="G123" s="7">
        <v>1</v>
      </c>
      <c r="H123" s="22" t="s">
        <v>373</v>
      </c>
      <c r="I123" s="13">
        <v>42754.754965277774</v>
      </c>
      <c r="J123" s="7">
        <v>5</v>
      </c>
      <c r="K123" s="105" t="str">
        <f t="shared" si="50"/>
        <v>4043/4044</v>
      </c>
      <c r="L123" s="22" t="str">
        <f>VLOOKUP(A123,'Trips&amp;Operators'!$C$1:$G$99999,5,FALSE)</f>
        <v>CRAYTON QUNTRELL</v>
      </c>
      <c r="M123" s="6">
        <f t="shared" si="51"/>
        <v>2.5590277771698311E-2</v>
      </c>
      <c r="N123" s="7">
        <f t="shared" si="49"/>
        <v>36.849999991245568</v>
      </c>
      <c r="O123" s="7"/>
      <c r="P123" s="7"/>
      <c r="Q123" s="23"/>
      <c r="R123" s="23"/>
      <c r="S123" s="32">
        <f t="shared" si="52"/>
        <v>1</v>
      </c>
      <c r="T123" s="47" t="str">
        <f t="shared" si="53"/>
        <v>NorthBound</v>
      </c>
      <c r="U123" s="164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4" t="str">
        <f t="shared" si="36"/>
        <v>https://d0f6bd738d7f1b3e5a7ca70fe4ff75f0.us-east-1.aws.found.io/app/kibana#/discover/Steve-Slow-Train-Analysis-(2080s-and-2083s)?_g=(refreshInterval:(display:Off,pause:!f,section:0,value:0),time:(from:'2017-01-19T16:22:56-0700',mode:absolute,to:'2017-01-19T19:07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3" s="49" t="str">
        <f t="shared" si="54"/>
        <v>N</v>
      </c>
      <c r="X123" s="170">
        <f t="shared" si="48"/>
        <v>1</v>
      </c>
      <c r="Y123" s="64">
        <f t="shared" si="55"/>
        <v>4.4400000000000002E-2</v>
      </c>
      <c r="Z123" s="64">
        <f t="shared" si="56"/>
        <v>23.328399999999998</v>
      </c>
      <c r="AA123" s="64">
        <f t="shared" si="57"/>
        <v>23.283999999999999</v>
      </c>
      <c r="AB123" s="61" t="e">
        <f>VLOOKUP(A123,Enforcements!$C$7:$K$15,8,0)</f>
        <v>#N/A</v>
      </c>
      <c r="AC123" s="57" t="e">
        <f>VLOOKUP(A123,Enforcements!$C$7:$E$15,3,0)</f>
        <v>#N/A</v>
      </c>
      <c r="AD123" s="58" t="str">
        <f t="shared" si="58"/>
        <v>0211-19</v>
      </c>
      <c r="AE123" s="87" t="str">
        <f t="shared" si="42"/>
        <v>aws s3 cp s3://rtdc.mdm.uploadarchive.raw/RTDC4044/ "%USERPROFILE%\AppData\Local\Temp\OnboardLogs"\RTDC4044\2017-01-19 --exclude "*" --recursive --include "*20170119*" &amp; "%USERPROFILE%\Documents\GitHub\mrs-test-scripts\Headless Mode &amp; Sideloading\WalkAndUnGZ.bat" "%USERPROFILE%\AppData\Local\Temp\OnboardLogs"\RTDC4044\2017-01-19 &amp; aws s3 cp s3://rtdc.mdm.uploadarchive.raw/RTDC4044/ "%USERPROFILE%\AppData\Local\Temp\OnboardLogs"\RTDC4044\2017-01-20 --exclude "*" --recursive --include "*20170120*" &amp; "%USERPROFILE%\Documents\GitHub\mrs-test-scripts\Headless Mode &amp; Sideloading\WalkAndUnGZ.bat" "%USERPROFILE%\AppData\Local\Temp\OnboardLogs"\RTDC4044\2017-01-20</v>
      </c>
      <c r="AF123" s="84" t="str">
        <f t="shared" si="43"/>
        <v>"C:\Program Files (x86)\AstroGrep\AstroGrep.exe" /spath="%USERPROFILE%\AppData\Local\Temp\OnboardLogs" /stypes="app*4044*20170120*" /stext=" 01:.+((SYSTEM_STATE.+slice.+state.+changed )|(ment ac)|(multiple cpu faults)|(system.+state.+changed )|(\[timeout)|(PRM\|1\|D)|(kpr)|(kdp)|(\|lc)|(penalty))" /e /r /s</v>
      </c>
      <c r="AG123" s="1" t="str">
        <f t="shared" si="59"/>
        <v>EC</v>
      </c>
      <c r="AH123" s="88" t="str">
        <f t="shared" si="45"/>
        <v>"%USERPROFILE%\Documents\GitHub\eaglep3\Utilities\RefineRTDCRunTimes.py" --tripid 211-19 --locoid 4044 --swversion DE.1.0.8.0 --startMP 204:444 --initTime 2017-01-19T17:22:56 --startdatetime 2017-01-19T17:30:18 --delay 1 --endMP 204:233284 --enddatetime 2017-01-19T18:07:09 --enforcementcount 5 &gt;&gt;C:\Users\stu\Documents\GitHub\eaglep3-reporting\EC\2017-01-19-refined-times.txt</v>
      </c>
      <c r="AI123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{"issue":{"subject":"","project_id":79,"tracker_id":40,"status_id":1,"priority_id":2,"assigned_to_id":23,"start_date":"2017-01-19","description":"","custom_fields":[{"id":1,"name":"Subdivision","value":"EC"},{"id":4,"name":"Milepost","value":"23.3284"},{"id":17,"name":"Train ID","value":"211-19"},{"id":16,"name":"Locomotive ID","value":"4044"},{"id":130,"name":"Impact","value":""},{"id":150,"name":"Time of Event (Mountain Time)","value":"18:07:09"},{"id":151,"name":"Denver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0"/>
      <c r="AK123" s="50"/>
      <c r="AL123" s="50"/>
      <c r="AM123" s="177" t="str">
        <f t="shared" si="47"/>
        <v>start /low /b %USERPROFILE%\Documents\GitHub\eaglep3\Utilities\DownloadLogsFromS3.py --loco 4044 --day 2017-01-19</v>
      </c>
      <c r="AN123" s="186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"%USERPROFILE%\AppData\Local\Temp\OnboardLogs"\RTDC4044\*4044*20170120* | grep -SE "(Enforcement Action)|(\[TIMEOUT)|(CHR.+\|PRM\|1\|D.+(SWITCH|SIGNAL).+UNKNOWN)" - &gt;&gt; 2017-01-19-UncaughtWiMAX.txt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x14ac:dyDescent="0.25">
      <c r="A124" s="34" t="s">
        <v>670</v>
      </c>
      <c r="B124" s="7">
        <v>4043</v>
      </c>
      <c r="C124" s="22" t="s">
        <v>196</v>
      </c>
      <c r="D124" s="22" t="s">
        <v>752</v>
      </c>
      <c r="E124" s="13">
        <v>42754.762916666667</v>
      </c>
      <c r="F124" s="13">
        <v>42754.768206018518</v>
      </c>
      <c r="G124" s="7">
        <v>2</v>
      </c>
      <c r="H124" s="22" t="s">
        <v>384</v>
      </c>
      <c r="I124" s="13">
        <v>42754.796631944446</v>
      </c>
      <c r="J124" s="7">
        <v>5</v>
      </c>
      <c r="K124" s="105" t="str">
        <f t="shared" si="50"/>
        <v>4043/4044</v>
      </c>
      <c r="L124" s="22" t="str">
        <f>VLOOKUP(A124,'Trips&amp;Operators'!$C$1:$G$99999,5,FALSE)</f>
        <v>CRAYTON QUNTRELL</v>
      </c>
      <c r="M124" s="6">
        <f t="shared" si="51"/>
        <v>2.842592592787696E-2</v>
      </c>
      <c r="N124" s="7">
        <f t="shared" si="49"/>
        <v>40.933333336142823</v>
      </c>
      <c r="O124" s="7"/>
      <c r="P124" s="7"/>
      <c r="Q124" s="23"/>
      <c r="R124" s="23"/>
      <c r="S124" s="32">
        <f t="shared" si="52"/>
        <v>1</v>
      </c>
      <c r="T124" s="47" t="str">
        <f t="shared" si="53"/>
        <v>Southbound</v>
      </c>
      <c r="U124" s="164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4" t="str">
        <f t="shared" si="36"/>
        <v>https://d0f6bd738d7f1b3e5a7ca70fe4ff75f0.us-east-1.aws.found.io/app/kibana#/discover/Steve-Slow-Train-Analysis-(2080s-and-2083s)?_g=(refreshInterval:(display:Off,pause:!f,section:0,value:0),time:(from:'2017-01-19T17:18:36-0700',mode:absolute,to:'2017-01-19T20:07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4" s="49" t="str">
        <f t="shared" si="54"/>
        <v>N</v>
      </c>
      <c r="X124" s="170">
        <f t="shared" si="48"/>
        <v>1</v>
      </c>
      <c r="Y124" s="64">
        <f t="shared" si="55"/>
        <v>23.296500000000002</v>
      </c>
      <c r="Z124" s="64">
        <f t="shared" si="56"/>
        <v>1.78E-2</v>
      </c>
      <c r="AA124" s="64">
        <f t="shared" si="57"/>
        <v>23.278700000000001</v>
      </c>
      <c r="AB124" s="61" t="e">
        <f>VLOOKUP(A124,Enforcements!$C$7:$K$15,8,0)</f>
        <v>#N/A</v>
      </c>
      <c r="AC124" s="57" t="e">
        <f>VLOOKUP(A124,Enforcements!$C$7:$E$15,3,0)</f>
        <v>#N/A</v>
      </c>
      <c r="AD124" s="58" t="str">
        <f t="shared" si="58"/>
        <v>0212-19</v>
      </c>
      <c r="AE124" s="87" t="str">
        <f t="shared" si="42"/>
        <v>aws s3 cp s3://rtdc.mdm.uploadarchive.raw/RTDC4043/ "%USERPROFILE%\AppData\Local\Temp\OnboardLogs"\RTDC4043\2017-01-19 --exclude "*" --recursive --include "*20170119*" &amp; "%USERPROFILE%\Documents\GitHub\mrs-test-scripts\Headless Mode &amp; Sideloading\WalkAndUnGZ.bat" "%USERPROFILE%\AppData\Local\Temp\OnboardLogs"\RTDC4043\2017-01-19 &amp; aws s3 cp s3://rtdc.mdm.uploadarchive.raw/RTDC4043/ "%USERPROFILE%\AppData\Local\Temp\OnboardLogs"\RTDC4043\2017-01-20 --exclude "*" --recursive --include "*20170120*" &amp; "%USERPROFILE%\Documents\GitHub\mrs-test-scripts\Headless Mode &amp; Sideloading\WalkAndUnGZ.bat" "%USERPROFILE%\AppData\Local\Temp\OnboardLogs"\RTDC4043\2017-01-20</v>
      </c>
      <c r="AF124" s="84" t="str">
        <f t="shared" si="43"/>
        <v>"C:\Program Files (x86)\AstroGrep\AstroGrep.exe" /spath="%USERPROFILE%\AppData\Local\Temp\OnboardLogs" /stypes="app*4043*20170120*" /stext=" 02:.+((SYSTEM_STATE.+slice.+state.+changed )|(ment ac)|(multiple cpu faults)|(system.+state.+changed )|(\[timeout)|(PRM\|1\|D)|(kpr)|(kdp)|(\|lc)|(penalty))" /e /r /s</v>
      </c>
      <c r="AG124" s="1" t="str">
        <f t="shared" si="59"/>
        <v>EC</v>
      </c>
      <c r="AH124" s="88" t="str">
        <f t="shared" si="45"/>
        <v>"%USERPROFILE%\Documents\GitHub\eaglep3\Utilities\RefineRTDCRunTimes.py" --tripid 212-19 --locoid 4043 --swversion DE.1.0.8.0 --startMP 204:232965 --initTime 2017-01-19T18:18:36 --startdatetime 2017-01-19T18:26:13 --delay 2 --endMP 204:178 --enddatetime 2017-01-19T19:07:09 --enforcementcount 5 &gt;&gt;C:\Users\stu\Documents\GitHub\eaglep3-reporting\EC\2017-01-19-refined-times.txt</v>
      </c>
      <c r="AI124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{"issue":{"subject":"","project_id":79,"tracker_id":40,"status_id":1,"priority_id":2,"assigned_to_id":23,"start_date":"2017-01-19","description":"","custom_fields":[{"id":1,"name":"Subdivision","value":"EC"},{"id":4,"name":"Milepost","value":"0.0178"},{"id":17,"name":"Train ID","value":"212-19"},{"id":16,"name":"Locomotive ID","value":"4043"},{"id":130,"name":"Impact","value":""},{"id":150,"name":"Time of Event (Mountain Time)","value":"19:07:09"},{"id":151,"name":"Denver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0"/>
      <c r="AK124" s="50"/>
      <c r="AL124" s="50"/>
      <c r="AM124" s="177" t="str">
        <f t="shared" si="47"/>
        <v>start /low /b %USERPROFILE%\Documents\GitHub\eaglep3\Utilities\DownloadLogsFromS3.py --loco 4043 --day 2017-01-19</v>
      </c>
      <c r="AN124" s="186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"%USERPROFILE%\AppData\Local\Temp\OnboardLogs"\RTDC4043\*4043*20170120* | grep -SE "(Enforcement Action)|(\[TIMEOUT)|(CHR.+\|PRM\|1\|D.+(SWITCH|SIGNAL).+UNKNOWN)" - &gt;&gt; 2017-01-19-UncaughtWiMAX.txt</v>
      </c>
    </row>
    <row r="125" spans="1:91" s="21" customFormat="1" x14ac:dyDescent="0.25">
      <c r="A125" s="34" t="s">
        <v>655</v>
      </c>
      <c r="B125" s="7">
        <v>4020</v>
      </c>
      <c r="C125" s="22" t="s">
        <v>196</v>
      </c>
      <c r="D125" s="22" t="s">
        <v>219</v>
      </c>
      <c r="E125" s="13">
        <v>42754.736608796295</v>
      </c>
      <c r="F125" s="13">
        <v>42754.739745370367</v>
      </c>
      <c r="G125" s="7">
        <v>1</v>
      </c>
      <c r="H125" s="22" t="s">
        <v>737</v>
      </c>
      <c r="I125" s="13">
        <v>42754.764467592591</v>
      </c>
      <c r="J125" s="7">
        <v>5</v>
      </c>
      <c r="K125" s="105" t="str">
        <f t="shared" si="50"/>
        <v>4019/4020</v>
      </c>
      <c r="L125" s="22" t="str">
        <f>VLOOKUP(A125,'Trips&amp;Operators'!$C$1:$G$99999,5,FALSE)</f>
        <v>NEWELL JAMES</v>
      </c>
      <c r="M125" s="6">
        <f t="shared" si="51"/>
        <v>2.4722222224227153E-2</v>
      </c>
      <c r="N125" s="7">
        <f t="shared" si="49"/>
        <v>35.6000000028871</v>
      </c>
      <c r="O125" s="7"/>
      <c r="P125" s="7"/>
      <c r="Q125" s="23"/>
      <c r="R125" s="23"/>
      <c r="S125" s="32">
        <f t="shared" si="52"/>
        <v>1</v>
      </c>
      <c r="T125" s="47" t="str">
        <f t="shared" si="53"/>
        <v>NorthBound</v>
      </c>
      <c r="U125" s="164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4" t="str">
        <f t="shared" si="36"/>
        <v>https://d0f6bd738d7f1b3e5a7ca70fe4ff75f0.us-east-1.aws.found.io/app/kibana#/discover/Steve-Slow-Train-Analysis-(2080s-and-2083s)?_g=(refreshInterval:(display:Off,pause:!f,section:0,value:0),time:(from:'2017-01-19T16:40:43-0700',mode:absolute,to:'2017-01-19T19:20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5" s="49" t="str">
        <f t="shared" si="54"/>
        <v>N</v>
      </c>
      <c r="X125" s="170">
        <f t="shared" si="48"/>
        <v>1</v>
      </c>
      <c r="Y125" s="64">
        <f t="shared" si="55"/>
        <v>4.6199999999999998E-2</v>
      </c>
      <c r="Z125" s="64">
        <f t="shared" si="56"/>
        <v>23.3306</v>
      </c>
      <c r="AA125" s="64">
        <f t="shared" si="57"/>
        <v>23.284400000000002</v>
      </c>
      <c r="AB125" s="61" t="e">
        <f>VLOOKUP(A125,Enforcements!$C$7:$K$15,8,0)</f>
        <v>#N/A</v>
      </c>
      <c r="AC125" s="57" t="e">
        <f>VLOOKUP(A125,Enforcements!$C$7:$E$15,3,0)</f>
        <v>#N/A</v>
      </c>
      <c r="AD125" s="58" t="str">
        <f t="shared" si="58"/>
        <v>0213-19</v>
      </c>
      <c r="AE125" s="87" t="str">
        <f t="shared" si="42"/>
        <v>aws s3 cp s3://rtdc.mdm.uploadarchive.raw/RTDC4020/ "%USERPROFILE%\AppData\Local\Temp\OnboardLogs"\RTDC4020\2017-01-19 --exclude "*" --recursive --include "*20170119*" &amp; "%USERPROFILE%\Documents\GitHub\mrs-test-scripts\Headless Mode &amp; Sideloading\WalkAndUnGZ.bat" "%USERPROFILE%\AppData\Local\Temp\OnboardLogs"\RTDC4020\2017-01-19 &amp; aws s3 cp s3://rtdc.mdm.uploadarchive.raw/RTDC4020/ "%USERPROFILE%\AppData\Local\Temp\OnboardLogs"\RTDC4020\2017-01-20 --exclude "*" --recursive --include "*20170120*" &amp; "%USERPROFILE%\Documents\GitHub\mrs-test-scripts\Headless Mode &amp; Sideloading\WalkAndUnGZ.bat" "%USERPROFILE%\AppData\Local\Temp\OnboardLogs"\RTDC4020\2017-01-20</v>
      </c>
      <c r="AF125" s="84" t="str">
        <f t="shared" si="43"/>
        <v>"C:\Program Files (x86)\AstroGrep\AstroGrep.exe" /spath="%USERPROFILE%\AppData\Local\Temp\OnboardLogs" /stypes="app*4020*20170120*" /stext=" 01:.+((SYSTEM_STATE.+slice.+state.+changed )|(ment ac)|(multiple cpu faults)|(system.+state.+changed )|(\[timeout)|(PRM\|1\|D)|(kpr)|(kdp)|(\|lc)|(penalty))" /e /r /s</v>
      </c>
      <c r="AG125" s="1" t="str">
        <f t="shared" si="59"/>
        <v>EC</v>
      </c>
      <c r="AH125" s="88" t="str">
        <f t="shared" si="45"/>
        <v>"%USERPROFILE%\Documents\GitHub\eaglep3\Utilities\RefineRTDCRunTimes.py" --tripid 213-19 --locoid 4020 --swversion DE.1.0.8.0 --startMP 204:462 --initTime 2017-01-19T17:40:43 --startdatetime 2017-01-19T17:45:14 --delay 1 --endMP 204:233306 --enddatetime 2017-01-19T18:20:50 --enforcementcount 5 &gt;&gt;C:\Users\stu\Documents\GitHub\eaglep3-reporting\EC\2017-01-19-refined-times.txt</v>
      </c>
      <c r="AI125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{"issue":{"subject":"","project_id":79,"tracker_id":40,"status_id":1,"priority_id":2,"assigned_to_id":23,"start_date":"2017-01-19","description":"","custom_fields":[{"id":1,"name":"Subdivision","value":"EC"},{"id":4,"name":"Milepost","value":"23.3306"},{"id":17,"name":"Train ID","value":"213-19"},{"id":16,"name":"Locomotive ID","value":"4020"},{"id":130,"name":"Impact","value":""},{"id":150,"name":"Time of Event (Mountain Time)","value":"18:20:50"},{"id":151,"name":"Denver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0"/>
      <c r="AK125" s="50"/>
      <c r="AL125" s="50"/>
      <c r="AM125" s="177" t="str">
        <f t="shared" si="47"/>
        <v>start /low /b %USERPROFILE%\Documents\GitHub\eaglep3\Utilities\DownloadLogsFromS3.py --loco 4020 --day 2017-01-19</v>
      </c>
      <c r="AN125" s="186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"%USERPROFILE%\AppData\Local\Temp\OnboardLogs"\RTDC4020\*4020*20170120* | grep -SE "(Enforcement Action)|(\[TIMEOUT)|(CHR.+\|PRM\|1\|D.+(SWITCH|SIGNAL).+UNKNOWN)" - &gt;&gt; 2017-01-19-UncaughtWiMAX.txt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x14ac:dyDescent="0.25">
      <c r="A126" s="34" t="s">
        <v>672</v>
      </c>
      <c r="B126" s="7">
        <v>4019</v>
      </c>
      <c r="C126" s="22" t="s">
        <v>196</v>
      </c>
      <c r="D126" s="22" t="s">
        <v>257</v>
      </c>
      <c r="E126" s="13">
        <v>42754.768865740742</v>
      </c>
      <c r="F126" s="13">
        <v>42754.778692129628</v>
      </c>
      <c r="G126" s="7">
        <v>1</v>
      </c>
      <c r="H126" s="22" t="s">
        <v>225</v>
      </c>
      <c r="I126" s="13">
        <v>42754.805034722223</v>
      </c>
      <c r="J126" s="7">
        <v>5</v>
      </c>
      <c r="K126" s="105" t="str">
        <f t="shared" si="50"/>
        <v>4019/4020</v>
      </c>
      <c r="L126" s="22" t="str">
        <f>VLOOKUP(A126,'Trips&amp;Operators'!$C$1:$G$99999,5,FALSE)</f>
        <v>NEWELL JAMES</v>
      </c>
      <c r="M126" s="6">
        <f t="shared" si="51"/>
        <v>2.6342592595028691E-2</v>
      </c>
      <c r="N126" s="7">
        <f t="shared" si="49"/>
        <v>37.933333336841315</v>
      </c>
      <c r="O126" s="7"/>
      <c r="P126" s="7"/>
      <c r="Q126" s="23"/>
      <c r="R126" s="23"/>
      <c r="S126" s="32">
        <f t="shared" si="52"/>
        <v>1</v>
      </c>
      <c r="T126" s="47" t="str">
        <f t="shared" si="53"/>
        <v>Southbound</v>
      </c>
      <c r="U126" s="164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4" t="str">
        <f t="shared" si="36"/>
        <v>https://d0f6bd738d7f1b3e5a7ca70fe4ff75f0.us-east-1.aws.found.io/app/kibana#/discover/Steve-Slow-Train-Analysis-(2080s-and-2083s)?_g=(refreshInterval:(display:Off,pause:!f,section:0,value:0),time:(from:'2017-01-19T17:27:10-0700',mode:absolute,to:'2017-01-19T20:19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26" s="49" t="str">
        <f t="shared" si="54"/>
        <v>N</v>
      </c>
      <c r="X126" s="170">
        <f t="shared" si="48"/>
        <v>1</v>
      </c>
      <c r="Y126" s="64">
        <f t="shared" si="55"/>
        <v>23.299099999999999</v>
      </c>
      <c r="Z126" s="64">
        <f t="shared" si="56"/>
        <v>1.52E-2</v>
      </c>
      <c r="AA126" s="64">
        <f t="shared" si="57"/>
        <v>23.283899999999999</v>
      </c>
      <c r="AB126" s="61" t="e">
        <f>VLOOKUP(A126,Enforcements!$C$7:$K$15,8,0)</f>
        <v>#N/A</v>
      </c>
      <c r="AC126" s="57" t="e">
        <f>VLOOKUP(A126,Enforcements!$C$7:$E$15,3,0)</f>
        <v>#N/A</v>
      </c>
      <c r="AD126" s="58" t="str">
        <f t="shared" si="58"/>
        <v>0214-19</v>
      </c>
      <c r="AE126" s="87" t="str">
        <f t="shared" si="42"/>
        <v>aws s3 cp s3://rtdc.mdm.uploadarchive.raw/RTDC4019/ "%USERPROFILE%\AppData\Local\Temp\OnboardLogs"\RTDC4019\2017-01-19 --exclude "*" --recursive --include "*20170119*" &amp; "%USERPROFILE%\Documents\GitHub\mrs-test-scripts\Headless Mode &amp; Sideloading\WalkAndUnGZ.bat" "%USERPROFILE%\AppData\Local\Temp\OnboardLogs"\RTDC4019\2017-01-19 &amp; aws s3 cp s3://rtdc.mdm.uploadarchive.raw/RTDC4019/ "%USERPROFILE%\AppData\Local\Temp\OnboardLogs"\RTDC4019\2017-01-20 --exclude "*" --recursive --include "*20170120*" &amp; "%USERPROFILE%\Documents\GitHub\mrs-test-scripts\Headless Mode &amp; Sideloading\WalkAndUnGZ.bat" "%USERPROFILE%\AppData\Local\Temp\OnboardLogs"\RTDC4019\2017-01-20</v>
      </c>
      <c r="AF126" s="84" t="str">
        <f t="shared" si="43"/>
        <v>"C:\Program Files (x86)\AstroGrep\AstroGrep.exe" /spath="%USERPROFILE%\AppData\Local\Temp\OnboardLogs" /stypes="app*4019*20170120*" /stext=" 02:.+((SYSTEM_STATE.+slice.+state.+changed )|(ment ac)|(multiple cpu faults)|(system.+state.+changed )|(\[timeout)|(PRM\|1\|D)|(kpr)|(kdp)|(\|lc)|(penalty))" /e /r /s</v>
      </c>
      <c r="AG126" s="1" t="str">
        <f t="shared" si="59"/>
        <v>EC</v>
      </c>
      <c r="AH126" s="88" t="str">
        <f t="shared" si="45"/>
        <v>"%USERPROFILE%\Documents\GitHub\eaglep3\Utilities\RefineRTDCRunTimes.py" --tripid 214-19 --locoid 4019 --swversion DE.1.0.8.0 --startMP 204:232991 --initTime 2017-01-19T18:27:10 --startdatetime 2017-01-19T18:41:19 --delay 1 --endMP 204:152 --enddatetime 2017-01-19T19:19:15 --enforcementcount 5 &gt;&gt;C:\Users\stu\Documents\GitHub\eaglep3-reporting\EC\2017-01-19-refined-times.txt</v>
      </c>
      <c r="AI126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{"issue":{"subject":"","project_id":79,"tracker_id":40,"status_id":1,"priority_id":2,"assigned_to_id":23,"start_date":"2017-01-19","description":"","custom_fields":[{"id":1,"name":"Subdivision","value":"EC"},{"id":4,"name":"Milepost","value":"0.0152"},{"id":17,"name":"Train ID","value":"214-19"},{"id":16,"name":"Locomotive ID","value":"4019"},{"id":130,"name":"Impact","value":""},{"id":150,"name":"Time of Event (Mountain Time)","value":"19:19:15"},{"id":151,"name":"Denver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0"/>
      <c r="AK126" s="50"/>
      <c r="AL126" s="50"/>
      <c r="AM126" s="177" t="str">
        <f t="shared" si="47"/>
        <v>start /low /b %USERPROFILE%\Documents\GitHub\eaglep3\Utilities\DownloadLogsFromS3.py --loco 4019 --day 2017-01-19</v>
      </c>
      <c r="AN126" s="186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"%USERPROFILE%\AppData\Local\Temp\OnboardLogs"\RTDC4019\*4019*20170120* | grep -SE "(Enforcement Action)|(\[TIMEOUT)|(CHR.+\|PRM\|1\|D.+(SWITCH|SIGNAL).+UNKNOWN)" - &gt;&gt; 2017-01-19-UncaughtWiMAX.txt</v>
      </c>
    </row>
    <row r="127" spans="1:91" s="21" customFormat="1" x14ac:dyDescent="0.25">
      <c r="A127" s="34" t="s">
        <v>664</v>
      </c>
      <c r="B127" s="7">
        <v>4016</v>
      </c>
      <c r="C127" s="22" t="s">
        <v>196</v>
      </c>
      <c r="D127" s="22" t="s">
        <v>286</v>
      </c>
      <c r="E127" s="13">
        <v>42754.745266203703</v>
      </c>
      <c r="F127" s="13">
        <v>42754.750243055554</v>
      </c>
      <c r="G127" s="7">
        <v>2</v>
      </c>
      <c r="H127" s="22" t="s">
        <v>253</v>
      </c>
      <c r="I127" s="13">
        <v>42754.775983796295</v>
      </c>
      <c r="J127" s="7">
        <v>5</v>
      </c>
      <c r="K127" s="105" t="str">
        <f t="shared" si="50"/>
        <v>4015/4016</v>
      </c>
      <c r="L127" s="22" t="str">
        <f>VLOOKUP(A127,'Trips&amp;Operators'!$C$1:$G$99999,5,FALSE)</f>
        <v>BRANDNER MELINDA</v>
      </c>
      <c r="M127" s="6">
        <f t="shared" si="51"/>
        <v>2.5740740740729962E-2</v>
      </c>
      <c r="N127" s="7">
        <f t="shared" si="49"/>
        <v>37.066666666651145</v>
      </c>
      <c r="O127" s="7"/>
      <c r="P127" s="7"/>
      <c r="Q127" s="23"/>
      <c r="R127" s="23"/>
      <c r="S127" s="32">
        <f t="shared" si="52"/>
        <v>1</v>
      </c>
      <c r="T127" s="47" t="str">
        <f t="shared" si="53"/>
        <v>NorthBound</v>
      </c>
      <c r="U127" s="164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4" t="str">
        <f t="shared" si="36"/>
        <v>https://d0f6bd738d7f1b3e5a7ca70fe4ff75f0.us-east-1.aws.found.io/app/kibana#/discover/Steve-Slow-Train-Analysis-(2080s-and-2083s)?_g=(refreshInterval:(display:Off,pause:!f,section:0,value:0),time:(from:'2017-01-19T16:53:11-0700',mode:absolute,to:'2017-01-19T19:37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7" s="49" t="str">
        <f t="shared" si="54"/>
        <v>N</v>
      </c>
      <c r="X127" s="170">
        <f t="shared" si="48"/>
        <v>1</v>
      </c>
      <c r="Y127" s="64">
        <f t="shared" si="55"/>
        <v>4.5699999999999998E-2</v>
      </c>
      <c r="Z127" s="64">
        <f t="shared" si="56"/>
        <v>23.329699999999999</v>
      </c>
      <c r="AA127" s="64">
        <f t="shared" si="57"/>
        <v>23.283999999999999</v>
      </c>
      <c r="AB127" s="61" t="e">
        <f>VLOOKUP(A127,Enforcements!$C$7:$K$15,8,0)</f>
        <v>#N/A</v>
      </c>
      <c r="AC127" s="57" t="e">
        <f>VLOOKUP(A127,Enforcements!$C$7:$E$15,3,0)</f>
        <v>#N/A</v>
      </c>
      <c r="AD127" s="58" t="str">
        <f t="shared" si="58"/>
        <v>0215-19</v>
      </c>
      <c r="AE127" s="87" t="str">
        <f t="shared" si="42"/>
        <v>aws s3 cp s3://rtdc.mdm.uploadarchive.raw/RTDC4016/ "%USERPROFILE%\AppData\Local\Temp\OnboardLogs"\RTDC4016\2017-01-19 --exclude "*" --recursive --include "*20170119*" &amp; "%USERPROFILE%\Documents\GitHub\mrs-test-scripts\Headless Mode &amp; Sideloading\WalkAndUnGZ.bat" "%USERPROFILE%\AppData\Local\Temp\OnboardLogs"\RTDC4016\2017-01-19 &amp; aws s3 cp s3://rtdc.mdm.uploadarchive.raw/RTDC4016/ "%USERPROFILE%\AppData\Local\Temp\OnboardLogs"\RTDC4016\2017-01-20 --exclude "*" --recursive --include "*20170120*" &amp; "%USERPROFILE%\Documents\GitHub\mrs-test-scripts\Headless Mode &amp; Sideloading\WalkAndUnGZ.bat" "%USERPROFILE%\AppData\Local\Temp\OnboardLogs"\RTDC4016\2017-01-20</v>
      </c>
      <c r="AF127" s="84" t="str">
        <f t="shared" si="43"/>
        <v>"C:\Program Files (x86)\AstroGrep\AstroGrep.exe" /spath="%USERPROFILE%\AppData\Local\Temp\OnboardLogs" /stypes="app*4016*20170120*" /stext=" 01:.+((SYSTEM_STATE.+slice.+state.+changed )|(ment ac)|(multiple cpu faults)|(system.+state.+changed )|(\[timeout)|(PRM\|1\|D)|(kpr)|(kdp)|(\|lc)|(penalty))" /e /r /s</v>
      </c>
      <c r="AG127" s="1" t="str">
        <f t="shared" si="59"/>
        <v>EC</v>
      </c>
      <c r="AH127" s="88" t="str">
        <f t="shared" si="45"/>
        <v>"%USERPROFILE%\Documents\GitHub\eaglep3\Utilities\RefineRTDCRunTimes.py" --tripid 215-19 --locoid 4016 --swversion DE.1.0.8.0 --startMP 204:457 --initTime 2017-01-19T17:53:11 --startdatetime 2017-01-19T18:00:21 --delay 2 --endMP 204:233297 --enddatetime 2017-01-19T18:37:25 --enforcementcount 5 &gt;&gt;C:\Users\stu\Documents\GitHub\eaglep3-reporting\EC\2017-01-19-refined-times.txt</v>
      </c>
      <c r="AI127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{"issue":{"subject":"","project_id":79,"tracker_id":40,"status_id":1,"priority_id":2,"assigned_to_id":23,"start_date":"2017-01-19","description":"","custom_fields":[{"id":1,"name":"Subdivision","value":"EC"},{"id":4,"name":"Milepost","value":"23.3297"},{"id":17,"name":"Train ID","value":"215-19"},{"id":16,"name":"Locomotive ID","value":"4016"},{"id":130,"name":"Impact","value":""},{"id":150,"name":"Time of Event (Mountain Time)","value":"18:37:25"},{"id":151,"name":"Denver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0"/>
      <c r="AK127" s="50"/>
      <c r="AL127" s="50"/>
      <c r="AM127" s="177" t="str">
        <f t="shared" si="47"/>
        <v>start /low /b %USERPROFILE%\Documents\GitHub\eaglep3\Utilities\DownloadLogsFromS3.py --loco 4016 --day 2017-01-19</v>
      </c>
      <c r="AN127" s="186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"%USERPROFILE%\AppData\Local\Temp\OnboardLogs"\RTDC4016\*4016*20170120* | grep -SE "(Enforcement Action)|(\[TIMEOUT)|(CHR.+\|PRM\|1\|D.+(SWITCH|SIGNAL).+UNKNOWN)" - &gt;&gt; 2017-01-19-UncaughtWiMAX.txt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4" t="s">
        <v>674</v>
      </c>
      <c r="B128" s="7">
        <v>4015</v>
      </c>
      <c r="C128" s="22" t="s">
        <v>196</v>
      </c>
      <c r="D128" s="22" t="s">
        <v>222</v>
      </c>
      <c r="E128" s="13">
        <v>42754.780300925922</v>
      </c>
      <c r="F128" s="13">
        <v>42754.789259259262</v>
      </c>
      <c r="G128" s="7">
        <v>1</v>
      </c>
      <c r="H128" s="22" t="s">
        <v>307</v>
      </c>
      <c r="I128" s="13">
        <v>42754.820833333331</v>
      </c>
      <c r="J128" s="7">
        <v>5</v>
      </c>
      <c r="K128" s="105" t="str">
        <f t="shared" si="50"/>
        <v>4015/4016</v>
      </c>
      <c r="L128" s="22" t="str">
        <f>VLOOKUP(A128,'Trips&amp;Operators'!$C$1:$G$99999,5,FALSE)</f>
        <v>BRANDNER MELINDA</v>
      </c>
      <c r="M128" s="6">
        <f t="shared" si="51"/>
        <v>3.1574074069794733E-2</v>
      </c>
      <c r="N128" s="7">
        <f t="shared" ref="N128:N137" si="60">24*60*SUM($M128:$M128)</f>
        <v>45.466666660504416</v>
      </c>
      <c r="O128" s="7"/>
      <c r="P128" s="7"/>
      <c r="Q128" s="23"/>
      <c r="R128" s="23"/>
      <c r="S128" s="32">
        <f t="shared" si="52"/>
        <v>1</v>
      </c>
      <c r="T128" s="47" t="str">
        <f t="shared" si="53"/>
        <v>Southbound</v>
      </c>
      <c r="U128" s="164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4" t="str">
        <f t="shared" si="36"/>
        <v>https://d0f6bd738d7f1b3e5a7ca70fe4ff75f0.us-east-1.aws.found.io/app/kibana#/discover/Steve-Slow-Train-Analysis-(2080s-and-2083s)?_g=(refreshInterval:(display:Off,pause:!f,section:0,value:0),time:(from:'2017-01-19T17:43:38-0700',mode:absolute,to:'2017-01-19T20:42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8" s="49" t="str">
        <f t="shared" si="54"/>
        <v>N</v>
      </c>
      <c r="X128" s="170">
        <f t="shared" si="48"/>
        <v>1</v>
      </c>
      <c r="Y128" s="64">
        <f t="shared" si="55"/>
        <v>23.2986</v>
      </c>
      <c r="Z128" s="64">
        <f t="shared" si="56"/>
        <v>1.61E-2</v>
      </c>
      <c r="AA128" s="64">
        <f t="shared" si="57"/>
        <v>23.282499999999999</v>
      </c>
      <c r="AB128" s="61" t="e">
        <f>VLOOKUP(A128,Enforcements!$C$7:$K$15,8,0)</f>
        <v>#N/A</v>
      </c>
      <c r="AC128" s="57" t="e">
        <f>VLOOKUP(A128,Enforcements!$C$7:$E$15,3,0)</f>
        <v>#N/A</v>
      </c>
      <c r="AD128" s="58" t="str">
        <f t="shared" si="58"/>
        <v>0216-19</v>
      </c>
      <c r="AE128" s="87" t="str">
        <f t="shared" si="42"/>
        <v>aws s3 cp s3://rtdc.mdm.uploadarchive.raw/RTDC4015/ "%USERPROFILE%\AppData\Local\Temp\OnboardLogs"\RTDC4015\2017-01-19 --exclude "*" --recursive --include "*20170119*" &amp; "%USERPROFILE%\Documents\GitHub\mrs-test-scripts\Headless Mode &amp; Sideloading\WalkAndUnGZ.bat" "%USERPROFILE%\AppData\Local\Temp\OnboardLogs"\RTDC4015\2017-01-19 &amp; aws s3 cp s3://rtdc.mdm.uploadarchive.raw/RTDC4015/ "%USERPROFILE%\AppData\Local\Temp\OnboardLogs"\RTDC4015\2017-01-20 --exclude "*" --recursive --include "*20170120*" &amp; "%USERPROFILE%\Documents\GitHub\mrs-test-scripts\Headless Mode &amp; Sideloading\WalkAndUnGZ.bat" "%USERPROFILE%\AppData\Local\Temp\OnboardLogs"\RTDC4015\2017-01-20</v>
      </c>
      <c r="AF128" s="84" t="str">
        <f t="shared" si="43"/>
        <v>"C:\Program Files (x86)\AstroGrep\AstroGrep.exe" /spath="%USERPROFILE%\AppData\Local\Temp\OnboardLogs" /stypes="app*4015*20170120*" /stext=" 02:.+((SYSTEM_STATE.+slice.+state.+changed )|(ment ac)|(multiple cpu faults)|(system.+state.+changed )|(\[timeout)|(PRM\|1\|D)|(kpr)|(kdp)|(\|lc)|(penalty))" /e /r /s</v>
      </c>
      <c r="AG128" s="1" t="str">
        <f t="shared" si="59"/>
        <v>EC</v>
      </c>
      <c r="AH128" s="88" t="str">
        <f t="shared" si="45"/>
        <v>"%USERPROFILE%\Documents\GitHub\eaglep3\Utilities\RefineRTDCRunTimes.py" --tripid 216-19 --locoid 4015 --swversion DE.1.0.8.0 --startMP 204:232986 --initTime 2017-01-19T18:43:38 --startdatetime 2017-01-19T18:56:32 --delay 1 --endMP 204:161 --enddatetime 2017-01-19T19:42:00 --enforcementcount 5 &gt;&gt;C:\Users\stu\Documents\GitHub\eaglep3-reporting\EC\2017-01-19-refined-times.txt</v>
      </c>
      <c r="AI128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{"issue":{"subject":"","project_id":79,"tracker_id":40,"status_id":1,"priority_id":2,"assigned_to_id":23,"start_date":"2017-01-19","description":"","custom_fields":[{"id":1,"name":"Subdivision","value":"EC"},{"id":4,"name":"Milepost","value":"0.0161"},{"id":17,"name":"Train ID","value":"216-19"},{"id":16,"name":"Locomotive ID","value":"4015"},{"id":130,"name":"Impact","value":""},{"id":150,"name":"Time of Event (Mountain Time)","value":"19:42:00"},{"id":151,"name":"Denver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0"/>
      <c r="AK128" s="50"/>
      <c r="AL128" s="50"/>
      <c r="AM128" s="177" t="str">
        <f t="shared" si="47"/>
        <v>start /low /b %USERPROFILE%\Documents\GitHub\eaglep3\Utilities\DownloadLogsFromS3.py --loco 4015 --day 2017-01-19</v>
      </c>
      <c r="AN128" s="186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"%USERPROFILE%\AppData\Local\Temp\OnboardLogs"\RTDC4015\*4015*20170120* | grep -SE "(Enforcement Action)|(\[TIMEOUT)|(CHR.+\|PRM\|1\|D.+(SWITCH|SIGNAL).+UNKNOWN)" - &gt;&gt; 2017-01-19-UncaughtWiMAX.txt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4" t="s">
        <v>667</v>
      </c>
      <c r="B129" s="7">
        <v>4022</v>
      </c>
      <c r="C129" s="22" t="s">
        <v>196</v>
      </c>
      <c r="D129" s="22" t="s">
        <v>749</v>
      </c>
      <c r="E129" s="13">
        <v>42754.75571759259</v>
      </c>
      <c r="F129" s="13">
        <v>42754.761076388888</v>
      </c>
      <c r="G129" s="7">
        <v>2</v>
      </c>
      <c r="H129" s="22" t="s">
        <v>385</v>
      </c>
      <c r="I129" s="13">
        <v>42754.786527777775</v>
      </c>
      <c r="J129" s="7">
        <v>5</v>
      </c>
      <c r="K129" s="105" t="str">
        <f t="shared" si="50"/>
        <v>4021/4022</v>
      </c>
      <c r="L129" s="22" t="str">
        <f>VLOOKUP(A129,'Trips&amp;Operators'!$C$1:$G$99999,5,FALSE)</f>
        <v>BROWN JACOB</v>
      </c>
      <c r="M129" s="6">
        <f t="shared" si="51"/>
        <v>2.545138888672227E-2</v>
      </c>
      <c r="N129" s="7">
        <f t="shared" si="60"/>
        <v>36.649999996880069</v>
      </c>
      <c r="O129" s="7"/>
      <c r="P129" s="7"/>
      <c r="Q129" s="23"/>
      <c r="R129" s="23"/>
      <c r="S129" s="32">
        <f t="shared" si="52"/>
        <v>1</v>
      </c>
      <c r="T129" s="47" t="str">
        <f t="shared" si="53"/>
        <v>NorthBound</v>
      </c>
      <c r="U129" s="164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4" t="str">
        <f t="shared" si="36"/>
        <v>https://d0f6bd738d7f1b3e5a7ca70fe4ff75f0.us-east-1.aws.found.io/app/kibana#/discover/Steve-Slow-Train-Analysis-(2080s-and-2083s)?_g=(refreshInterval:(display:Off,pause:!f,section:0,value:0),time:(from:'2017-01-19T17:08:14-0700',mode:absolute,to:'2017-01-19T19:52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29" s="49" t="str">
        <f t="shared" si="54"/>
        <v>N</v>
      </c>
      <c r="X129" s="170">
        <f t="shared" si="48"/>
        <v>1</v>
      </c>
      <c r="Y129" s="64">
        <f t="shared" si="55"/>
        <v>4.7300000000000002E-2</v>
      </c>
      <c r="Z129" s="64">
        <f t="shared" si="56"/>
        <v>23.331</v>
      </c>
      <c r="AA129" s="64">
        <f t="shared" si="57"/>
        <v>23.2837</v>
      </c>
      <c r="AB129" s="61" t="e">
        <f>VLOOKUP(A129,Enforcements!$C$7:$K$15,8,0)</f>
        <v>#N/A</v>
      </c>
      <c r="AC129" s="57" t="e">
        <f>VLOOKUP(A129,Enforcements!$C$7:$E$15,3,0)</f>
        <v>#N/A</v>
      </c>
      <c r="AD129" s="58" t="str">
        <f t="shared" si="58"/>
        <v>0217-19</v>
      </c>
      <c r="AE129" s="87" t="str">
        <f t="shared" si="42"/>
        <v>aws s3 cp s3://rtdc.mdm.uploadarchive.raw/RTDC4022/ "%USERPROFILE%\AppData\Local\Temp\OnboardLogs"\RTDC4022\2017-01-19 --exclude "*" --recursive --include "*20170119*" &amp; "%USERPROFILE%\Documents\GitHub\mrs-test-scripts\Headless Mode &amp; Sideloading\WalkAndUnGZ.bat" "%USERPROFILE%\AppData\Local\Temp\OnboardLogs"\RTDC4022\2017-01-19 &amp; aws s3 cp s3://rtdc.mdm.uploadarchive.raw/RTDC4022/ "%USERPROFILE%\AppData\Local\Temp\OnboardLogs"\RTDC4022\2017-01-20 --exclude "*" --recursive --include "*20170120*" &amp; "%USERPROFILE%\Documents\GitHub\mrs-test-scripts\Headless Mode &amp; Sideloading\WalkAndUnGZ.bat" "%USERPROFILE%\AppData\Local\Temp\OnboardLogs"\RTDC4022\2017-01-20</v>
      </c>
      <c r="AF129" s="84" t="str">
        <f t="shared" si="43"/>
        <v>"C:\Program Files (x86)\AstroGrep\AstroGrep.exe" /spath="%USERPROFILE%\AppData\Local\Temp\OnboardLogs" /stypes="app*4022*20170120*" /stext=" 01:.+((SYSTEM_STATE.+slice.+state.+changed )|(ment ac)|(multiple cpu faults)|(system.+state.+changed )|(\[timeout)|(PRM\|1\|D)|(kpr)|(kdp)|(\|lc)|(penalty))" /e /r /s</v>
      </c>
      <c r="AG129" s="1" t="str">
        <f t="shared" si="59"/>
        <v>EC</v>
      </c>
      <c r="AH129" s="88" t="str">
        <f t="shared" si="45"/>
        <v>"%USERPROFILE%\Documents\GitHub\eaglep3\Utilities\RefineRTDCRunTimes.py" --tripid 217-19 --locoid 4022 --swversion DE.1.0.8.0 --startMP 204:473 --initTime 2017-01-19T18:08:14 --startdatetime 2017-01-19T18:15:57 --delay 2 --endMP 204:233310 --enddatetime 2017-01-19T18:52:36 --enforcementcount 5 &gt;&gt;C:\Users\stu\Documents\GitHub\eaglep3-reporting\EC\2017-01-19-refined-times.txt</v>
      </c>
      <c r="AI129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{"issue":{"subject":"","project_id":79,"tracker_id":40,"status_id":1,"priority_id":2,"assigned_to_id":23,"start_date":"2017-01-19","description":"","custom_fields":[{"id":1,"name":"Subdivision","value":"EC"},{"id":4,"name":"Milepost","value":"23.331"},{"id":17,"name":"Train ID","value":"217-19"},{"id":16,"name":"Locomotive ID","value":"4022"},{"id":130,"name":"Impact","value":""},{"id":150,"name":"Time of Event (Mountain Time)","value":"18:52:36"},{"id":151,"name":"Denver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0"/>
      <c r="AK129" s="50"/>
      <c r="AL129" s="50"/>
      <c r="AM129" s="177" t="str">
        <f t="shared" si="47"/>
        <v>start /low /b %USERPROFILE%\Documents\GitHub\eaglep3\Utilities\DownloadLogsFromS3.py --loco 4022 --day 2017-01-19</v>
      </c>
      <c r="AN129" s="186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"%USERPROFILE%\AppData\Local\Temp\OnboardLogs"\RTDC4022\*4022*20170120* | grep -SE "(Enforcement Action)|(\[TIMEOUT)|(CHR.+\|PRM\|1\|D.+(SWITCH|SIGNAL).+UNKNOWN)" - &gt;&gt; 2017-01-19-UncaughtWiMAX.txt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4" t="s">
        <v>678</v>
      </c>
      <c r="B130" s="7">
        <v>4021</v>
      </c>
      <c r="C130" s="22" t="s">
        <v>196</v>
      </c>
      <c r="D130" s="22" t="s">
        <v>741</v>
      </c>
      <c r="E130" s="13">
        <v>42754.794456018521</v>
      </c>
      <c r="F130" s="13">
        <v>42754.79959490741</v>
      </c>
      <c r="G130" s="7">
        <v>1</v>
      </c>
      <c r="H130" s="22" t="s">
        <v>218</v>
      </c>
      <c r="I130" s="13">
        <v>42754.829039351855</v>
      </c>
      <c r="J130" s="7">
        <v>5</v>
      </c>
      <c r="K130" s="105" t="str">
        <f t="shared" si="50"/>
        <v>4021/4022</v>
      </c>
      <c r="L130" s="22" t="str">
        <f>VLOOKUP(A130,'Trips&amp;Operators'!$C$1:$G$99999,5,FALSE)</f>
        <v>BROWN JACOB</v>
      </c>
      <c r="M130" s="6">
        <f t="shared" si="51"/>
        <v>2.9444444444379769E-2</v>
      </c>
      <c r="N130" s="7">
        <f t="shared" si="60"/>
        <v>42.399999999906868</v>
      </c>
      <c r="O130" s="7"/>
      <c r="P130" s="7"/>
      <c r="Q130" s="23"/>
      <c r="R130" s="23"/>
      <c r="S130" s="32">
        <f t="shared" si="52"/>
        <v>1</v>
      </c>
      <c r="T130" s="47" t="str">
        <f t="shared" si="53"/>
        <v>Southbound</v>
      </c>
      <c r="U130" s="164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4" t="str">
        <f t="shared" si="36"/>
        <v>https://d0f6bd738d7f1b3e5a7ca70fe4ff75f0.us-east-1.aws.found.io/app/kibana#/discover/Steve-Slow-Train-Analysis-(2080s-and-2083s)?_g=(refreshInterval:(display:Off,pause:!f,section:0,value:0),time:(from:'2017-01-19T18:04:01-0700',mode:absolute,to:'2017-01-19T20:53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0" s="49" t="str">
        <f t="shared" si="54"/>
        <v>N</v>
      </c>
      <c r="X130" s="170">
        <f t="shared" si="48"/>
        <v>1</v>
      </c>
      <c r="Y130" s="64">
        <f t="shared" si="55"/>
        <v>23.300799999999999</v>
      </c>
      <c r="Z130" s="64">
        <f t="shared" si="56"/>
        <v>1.6E-2</v>
      </c>
      <c r="AA130" s="64">
        <f t="shared" si="57"/>
        <v>23.284800000000001</v>
      </c>
      <c r="AB130" s="61" t="e">
        <f>VLOOKUP(A130,Enforcements!$C$7:$K$15,8,0)</f>
        <v>#N/A</v>
      </c>
      <c r="AC130" s="57" t="e">
        <f>VLOOKUP(A130,Enforcements!$C$7:$E$15,3,0)</f>
        <v>#N/A</v>
      </c>
      <c r="AD130" s="58" t="str">
        <f t="shared" si="58"/>
        <v>0218-19</v>
      </c>
      <c r="AE130" s="87" t="str">
        <f t="shared" si="42"/>
        <v>aws s3 cp s3://rtdc.mdm.uploadarchive.raw/RTDC4021/ "%USERPROFILE%\AppData\Local\Temp\OnboardLogs"\RTDC4021\2017-01-19 --exclude "*" --recursive --include "*20170119*" &amp; "%USERPROFILE%\Documents\GitHub\mrs-test-scripts\Headless Mode &amp; Sideloading\WalkAndUnGZ.bat" "%USERPROFILE%\AppData\Local\Temp\OnboardLogs"\RTDC4021\2017-01-19 &amp; aws s3 cp s3://rtdc.mdm.uploadarchive.raw/RTDC4021/ "%USERPROFILE%\AppData\Local\Temp\OnboardLogs"\RTDC4021\2017-01-20 --exclude "*" --recursive --include "*20170120*" &amp; "%USERPROFILE%\Documents\GitHub\mrs-test-scripts\Headless Mode &amp; Sideloading\WalkAndUnGZ.bat" "%USERPROFILE%\AppData\Local\Temp\OnboardLogs"\RTDC4021\2017-01-20</v>
      </c>
      <c r="AF130" s="84" t="str">
        <f t="shared" si="43"/>
        <v>"C:\Program Files (x86)\AstroGrep\AstroGrep.exe" /spath="%USERPROFILE%\AppData\Local\Temp\OnboardLogs" /stypes="app*4021*20170120*" /stext=" 02:.+((SYSTEM_STATE.+slice.+state.+changed )|(ment ac)|(multiple cpu faults)|(system.+state.+changed )|(\[timeout)|(PRM\|1\|D)|(kpr)|(kdp)|(\|lc)|(penalty))" /e /r /s</v>
      </c>
      <c r="AG130" s="1" t="str">
        <f t="shared" si="59"/>
        <v>EC</v>
      </c>
      <c r="AH130" s="88" t="str">
        <f t="shared" si="45"/>
        <v>"%USERPROFILE%\Documents\GitHub\eaglep3\Utilities\RefineRTDCRunTimes.py" --tripid 218-19 --locoid 4021 --swversion DE.1.0.8.0 --startMP 204:233008 --initTime 2017-01-19T19:04:01 --startdatetime 2017-01-19T19:11:25 --delay 1 --endMP 204:160 --enddatetime 2017-01-19T19:53:49 --enforcementcount 5 &gt;&gt;C:\Users\stu\Documents\GitHub\eaglep3-reporting\EC\2017-01-19-refined-times.txt</v>
      </c>
      <c r="AI130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{"issue":{"subject":"","project_id":79,"tracker_id":40,"status_id":1,"priority_id":2,"assigned_to_id":23,"start_date":"2017-01-19","description":"","custom_fields":[{"id":1,"name":"Subdivision","value":"EC"},{"id":4,"name":"Milepost","value":"0.016"},{"id":17,"name":"Train ID","value":"218-19"},{"id":16,"name":"Locomotive ID","value":"4021"},{"id":130,"name":"Impact","value":""},{"id":150,"name":"Time of Event (Mountain Time)","value":"19:53:49"},{"id":151,"name":"Denver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0"/>
      <c r="AK130" s="50"/>
      <c r="AL130" s="50"/>
      <c r="AM130" s="177" t="str">
        <f t="shared" si="47"/>
        <v>start /low /b %USERPROFILE%\Documents\GitHub\eaglep3\Utilities\DownloadLogsFromS3.py --loco 4021 --day 2017-01-19</v>
      </c>
      <c r="AN130" s="186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"%USERPROFILE%\AppData\Local\Temp\OnboardLogs"\RTDC4021\*4021*20170120* | grep -SE "(Enforcement Action)|(\[TIMEOUT)|(CHR.+\|PRM\|1\|D.+(SWITCH|SIGNAL).+UNKNOWN)" - &gt;&gt; 2017-01-19-UncaughtWiMAX.txt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4" t="s">
        <v>671</v>
      </c>
      <c r="B131" s="7">
        <v>4042</v>
      </c>
      <c r="C131" s="22" t="s">
        <v>196</v>
      </c>
      <c r="D131" s="22" t="s">
        <v>256</v>
      </c>
      <c r="E131" s="13">
        <v>42754.767893518518</v>
      </c>
      <c r="F131" s="13">
        <v>42754.771458333336</v>
      </c>
      <c r="G131" s="7">
        <v>1</v>
      </c>
      <c r="H131" s="22" t="s">
        <v>753</v>
      </c>
      <c r="I131" s="13">
        <v>42754.795601851853</v>
      </c>
      <c r="J131" s="7">
        <v>5</v>
      </c>
      <c r="K131" s="105" t="str">
        <f t="shared" si="50"/>
        <v>4041/4042</v>
      </c>
      <c r="L131" s="22" t="str">
        <f>VLOOKUP(A131,'Trips&amp;Operators'!$C$1:$G$99999,5,FALSE)</f>
        <v>HILLS DUSTIN</v>
      </c>
      <c r="M131" s="6">
        <f t="shared" si="51"/>
        <v>2.414351851621177E-2</v>
      </c>
      <c r="N131" s="7">
        <f t="shared" si="60"/>
        <v>34.766666663344949</v>
      </c>
      <c r="O131" s="7"/>
      <c r="P131" s="7"/>
      <c r="Q131" s="23"/>
      <c r="R131" s="23"/>
      <c r="S131" s="32">
        <f t="shared" si="52"/>
        <v>1</v>
      </c>
      <c r="T131" s="47" t="str">
        <f t="shared" si="53"/>
        <v>NorthBound</v>
      </c>
      <c r="U131" s="164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4" t="str">
        <f t="shared" si="36"/>
        <v>https://d0f6bd738d7f1b3e5a7ca70fe4ff75f0.us-east-1.aws.found.io/app/kibana#/discover/Steve-Slow-Train-Analysis-(2080s-and-2083s)?_g=(refreshInterval:(display:Off,pause:!f,section:0,value:0),time:(from:'2017-01-19T17:25:46-0700',mode:absolute,to:'2017-01-19T20:05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1" s="49" t="str">
        <f t="shared" si="54"/>
        <v>N</v>
      </c>
      <c r="X131" s="170">
        <f t="shared" si="48"/>
        <v>1</v>
      </c>
      <c r="Y131" s="64">
        <f t="shared" si="55"/>
        <v>4.58E-2</v>
      </c>
      <c r="Z131" s="64">
        <f t="shared" si="56"/>
        <v>23.343</v>
      </c>
      <c r="AA131" s="64">
        <f t="shared" si="57"/>
        <v>23.2972</v>
      </c>
      <c r="AB131" s="61" t="e">
        <f>VLOOKUP(A131,Enforcements!$C$7:$K$15,8,0)</f>
        <v>#N/A</v>
      </c>
      <c r="AC131" s="57" t="e">
        <f>VLOOKUP(A131,Enforcements!$C$7:$E$15,3,0)</f>
        <v>#N/A</v>
      </c>
      <c r="AD131" s="58" t="str">
        <f t="shared" si="58"/>
        <v>0219-19</v>
      </c>
      <c r="AE131" s="87" t="str">
        <f t="shared" si="42"/>
        <v>aws s3 cp s3://rtdc.mdm.uploadarchive.raw/RTDC4042/ "%USERPROFILE%\AppData\Local\Temp\OnboardLogs"\RTDC4042\2017-01-19 --exclude "*" --recursive --include "*20170119*" &amp; "%USERPROFILE%\Documents\GitHub\mrs-test-scripts\Headless Mode &amp; Sideloading\WalkAndUnGZ.bat" "%USERPROFILE%\AppData\Local\Temp\OnboardLogs"\RTDC4042\2017-01-19 &amp; aws s3 cp s3://rtdc.mdm.uploadarchive.raw/RTDC4042/ "%USERPROFILE%\AppData\Local\Temp\OnboardLogs"\RTDC4042\2017-01-20 --exclude "*" --recursive --include "*20170120*" &amp; "%USERPROFILE%\Documents\GitHub\mrs-test-scripts\Headless Mode &amp; Sideloading\WalkAndUnGZ.bat" "%USERPROFILE%\AppData\Local\Temp\OnboardLogs"\RTDC4042\2017-01-20</v>
      </c>
      <c r="AF131" s="84" t="str">
        <f t="shared" si="43"/>
        <v>"C:\Program Files (x86)\AstroGrep\AstroGrep.exe" /spath="%USERPROFILE%\AppData\Local\Temp\OnboardLogs" /stypes="app*4042*20170120*" /stext=" 02:.+((SYSTEM_STATE.+slice.+state.+changed )|(ment ac)|(multiple cpu faults)|(system.+state.+changed )|(\[timeout)|(PRM\|1\|D)|(kpr)|(kdp)|(\|lc)|(penalty))" /e /r /s</v>
      </c>
      <c r="AG131" s="1" t="str">
        <f t="shared" si="59"/>
        <v>EC</v>
      </c>
      <c r="AH131" s="88" t="str">
        <f t="shared" si="45"/>
        <v>"%USERPROFILE%\Documents\GitHub\eaglep3\Utilities\RefineRTDCRunTimes.py" --tripid 219-19 --locoid 4042 --swversion DE.1.0.8.0 --startMP 204:458 --initTime 2017-01-19T18:25:46 --startdatetime 2017-01-19T18:30:54 --delay 1 --endMP 204:233430 --enddatetime 2017-01-19T19:05:40 --enforcementcount 5 &gt;&gt;C:\Users\stu\Documents\GitHub\eaglep3-reporting\EC\2017-01-19-refined-times.txt</v>
      </c>
      <c r="AI131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{"issue":{"subject":"","project_id":79,"tracker_id":40,"status_id":1,"priority_id":2,"assigned_to_id":23,"start_date":"2017-01-19","description":"","custom_fields":[{"id":1,"name":"Subdivision","value":"EC"},{"id":4,"name":"Milepost","value":"23.343"},{"id":17,"name":"Train ID","value":"219-19"},{"id":16,"name":"Locomotive ID","value":"4042"},{"id":130,"name":"Impact","value":""},{"id":150,"name":"Time of Event (Mountain Time)","value":"19:05:40"},{"id":151,"name":"Denver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0"/>
      <c r="AK131" s="50"/>
      <c r="AL131" s="50"/>
      <c r="AM131" s="177" t="str">
        <f t="shared" si="47"/>
        <v>start /low /b %USERPROFILE%\Documents\GitHub\eaglep3\Utilities\DownloadLogsFromS3.py --loco 4042 --day 2017-01-19</v>
      </c>
      <c r="AN131" s="186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"%USERPROFILE%\AppData\Local\Temp\OnboardLogs"\RTDC4042\*4042*20170120* | grep -SE "(Enforcement Action)|(\[TIMEOUT)|(CHR.+\|PRM\|1\|D.+(SWITCH|SIGNAL).+UNKNOWN)" - &gt;&gt; 2017-01-19-UncaughtWiMAX.txt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4" t="s">
        <v>502</v>
      </c>
      <c r="B132" s="7">
        <v>4041</v>
      </c>
      <c r="C132" s="22" t="s">
        <v>196</v>
      </c>
      <c r="D132" s="22" t="s">
        <v>754</v>
      </c>
      <c r="E132" s="13">
        <v>42754.797280092593</v>
      </c>
      <c r="F132" s="13">
        <v>42754.810104166667</v>
      </c>
      <c r="G132" s="7">
        <v>1</v>
      </c>
      <c r="H132" s="22" t="s">
        <v>376</v>
      </c>
      <c r="I132" s="13">
        <v>42754.841319444444</v>
      </c>
      <c r="J132" s="7">
        <v>5</v>
      </c>
      <c r="K132" s="105" t="str">
        <f t="shared" si="50"/>
        <v>4041/4042</v>
      </c>
      <c r="L132" s="22" t="str">
        <f>VLOOKUP(A132,'Trips&amp;Operators'!$C$1:$G$99999,5,FALSE)</f>
        <v>HILLS DUSTIN</v>
      </c>
      <c r="M132" s="6">
        <f t="shared" si="51"/>
        <v>3.1215277776937E-2</v>
      </c>
      <c r="N132" s="7">
        <f t="shared" si="60"/>
        <v>44.949999998789281</v>
      </c>
      <c r="O132" s="7"/>
      <c r="P132" s="7"/>
      <c r="Q132" s="23"/>
      <c r="R132" s="23"/>
      <c r="S132" s="32">
        <f t="shared" si="52"/>
        <v>1</v>
      </c>
      <c r="T132" s="47" t="str">
        <f t="shared" si="53"/>
        <v>Southbound</v>
      </c>
      <c r="U132" s="164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4" t="str">
        <f t="shared" si="36"/>
        <v>https://d0f6bd738d7f1b3e5a7ca70fe4ff75f0.us-east-1.aws.found.io/app/kibana#/discover/Steve-Slow-Train-Analysis-(2080s-and-2083s)?_g=(refreshInterval:(display:Off,pause:!f,section:0,value:0),time:(from:'2017-01-19T18:08:05-0700',mode:absolute,to:'2017-01-19T21:11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2" s="49" t="str">
        <f t="shared" si="54"/>
        <v>N</v>
      </c>
      <c r="X132" s="170">
        <f t="shared" si="48"/>
        <v>1</v>
      </c>
      <c r="Y132" s="64">
        <f t="shared" si="55"/>
        <v>23.309699999999999</v>
      </c>
      <c r="Z132" s="64">
        <f t="shared" si="56"/>
        <v>1.12E-2</v>
      </c>
      <c r="AA132" s="64">
        <f t="shared" si="57"/>
        <v>23.298500000000001</v>
      </c>
      <c r="AB132" s="61" t="str">
        <f>VLOOKUP(A132,Enforcements!$C$7:$K$15,8,0)</f>
        <v>Bulletin (2)</v>
      </c>
      <c r="AC132" s="57" t="str">
        <f>VLOOKUP(A132,Enforcements!$C$7:$E$15,3,0)</f>
        <v>GRADE CROSSING</v>
      </c>
      <c r="AD132" s="58" t="str">
        <f t="shared" si="58"/>
        <v>0220-19</v>
      </c>
      <c r="AE132" s="87" t="str">
        <f t="shared" si="42"/>
        <v>aws s3 cp s3://rtdc.mdm.uploadarchive.raw/RTDC4041/ "%USERPROFILE%\AppData\Local\Temp\OnboardLogs"\RTDC4041\2017-01-19 --exclude "*" --recursive --include "*20170119*" &amp; "%USERPROFILE%\Documents\GitHub\mrs-test-scripts\Headless Mode &amp; Sideloading\WalkAndUnGZ.bat" "%USERPROFILE%\AppData\Local\Temp\OnboardLogs"\RTDC4041\2017-01-19 &amp; aws s3 cp s3://rtdc.mdm.uploadarchive.raw/RTDC4041/ "%USERPROFILE%\AppData\Local\Temp\OnboardLogs"\RTDC4041\2017-01-20 --exclude "*" --recursive --include "*20170120*" &amp; "%USERPROFILE%\Documents\GitHub\mrs-test-scripts\Headless Mode &amp; Sideloading\WalkAndUnGZ.bat" "%USERPROFILE%\AppData\Local\Temp\OnboardLogs"\RTDC4041\2017-01-20</v>
      </c>
      <c r="AF132" s="84" t="str">
        <f t="shared" si="43"/>
        <v>"C:\Program Files (x86)\AstroGrep\AstroGrep.exe" /spath="%USERPROFILE%\AppData\Local\Temp\OnboardLogs" /stypes="app*4041*20170120*" /stext=" 03:.+((SYSTEM_STATE.+slice.+state.+changed )|(ment ac)|(multiple cpu faults)|(system.+state.+changed )|(\[timeout)|(PRM\|1\|D)|(kpr)|(kdp)|(\|lc)|(penalty))" /e /r /s</v>
      </c>
      <c r="AG132" s="1" t="str">
        <f t="shared" si="59"/>
        <v>EC</v>
      </c>
      <c r="AH132" s="88" t="str">
        <f t="shared" si="45"/>
        <v>"%USERPROFILE%\Documents\GitHub\eaglep3\Utilities\RefineRTDCRunTimes.py" --tripid 220-19 --locoid 4041 --swversion DE.1.0.8.0 --startMP 204:233097 --initTime 2017-01-19T19:08:05 --startdatetime 2017-01-19T19:26:33 --delay 1 --endMP 204:112 --enddatetime 2017-01-19T20:11:30 --enforcementcount 5 &gt;&gt;C:\Users\stu\Documents\GitHub\eaglep3-reporting\EC\2017-01-19-refined-times.txt</v>
      </c>
      <c r="AI132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{"issue":{"subject":"","project_id":79,"tracker_id":40,"status_id":1,"priority_id":2,"assigned_to_id":23,"start_date":"2017-01-19","description":"","custom_fields":[{"id":1,"name":"Subdivision","value":"EC"},{"id":4,"name":"Milepost","value":"0.0112"},{"id":17,"name":"Train ID","value":"220-19"},{"id":16,"name":"Locomotive ID","value":"4041"},{"id":130,"name":"Impact","value":""},{"id":150,"name":"Time of Event (Mountain Time)","value":"20:11:30"},{"id":151,"name":"Denver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0"/>
      <c r="AK132" s="50"/>
      <c r="AL132" s="50"/>
      <c r="AM132" s="177" t="str">
        <f t="shared" si="47"/>
        <v>start /low /b %USERPROFILE%\Documents\GitHub\eaglep3\Utilities\DownloadLogsFromS3.py --loco 4041 --day 2017-01-19</v>
      </c>
      <c r="AN132" s="186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"%USERPROFILE%\AppData\Local\Temp\OnboardLogs"\RTDC4041\*4041*20170120* | grep -SE "(Enforcement Action)|(\[TIMEOUT)|(CHR.+\|PRM\|1\|D.+(SWITCH|SIGNAL).+UNKNOWN)" - &gt;&gt; 2017-01-19-UncaughtWiMAX.txt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4" t="s">
        <v>677</v>
      </c>
      <c r="B133" s="7">
        <v>4031</v>
      </c>
      <c r="C133" s="22" t="s">
        <v>196</v>
      </c>
      <c r="D133" s="22" t="s">
        <v>755</v>
      </c>
      <c r="E133" s="13">
        <v>42754.787638888891</v>
      </c>
      <c r="F133" s="13">
        <v>42754.791909722226</v>
      </c>
      <c r="G133" s="7">
        <v>1</v>
      </c>
      <c r="H133" s="22" t="s">
        <v>285</v>
      </c>
      <c r="I133" s="13">
        <v>42754.819641203707</v>
      </c>
      <c r="J133" s="7">
        <v>5</v>
      </c>
      <c r="K133" s="105" t="str">
        <f t="shared" si="50"/>
        <v>4031/4032</v>
      </c>
      <c r="L133" s="22" t="str">
        <f>VLOOKUP(A133,'Trips&amp;Operators'!$C$1:$G$99999,5,FALSE)</f>
        <v>CHANDLER KELVIN</v>
      </c>
      <c r="M133" s="6">
        <f t="shared" si="51"/>
        <v>2.7731481481168885E-2</v>
      </c>
      <c r="N133" s="7">
        <f t="shared" si="60"/>
        <v>39.933333332883194</v>
      </c>
      <c r="O133" s="7"/>
      <c r="P133" s="7"/>
      <c r="Q133" s="23"/>
      <c r="R133" s="23"/>
      <c r="S133" s="32">
        <f t="shared" si="52"/>
        <v>1</v>
      </c>
      <c r="T133" s="47" t="str">
        <f t="shared" si="53"/>
        <v>NorthBound</v>
      </c>
      <c r="U133" s="164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4" t="str">
        <f t="shared" si="36"/>
        <v>https://d0f6bd738d7f1b3e5a7ca70fe4ff75f0.us-east-1.aws.found.io/app/kibana#/discover/Steve-Slow-Train-Analysis-(2080s-and-2083s)?_g=(refreshInterval:(display:Off,pause:!f,section:0,value:0),time:(from:'2017-01-19T17:54:12-0700',mode:absolute,to:'2017-01-19T20:40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3" s="49" t="str">
        <f t="shared" si="54"/>
        <v>N</v>
      </c>
      <c r="X133" s="170">
        <f t="shared" si="48"/>
        <v>1</v>
      </c>
      <c r="Y133" s="64">
        <f t="shared" si="55"/>
        <v>4.7500000000000001E-2</v>
      </c>
      <c r="Z133" s="64">
        <f t="shared" si="56"/>
        <v>23.3308</v>
      </c>
      <c r="AA133" s="64">
        <f t="shared" si="57"/>
        <v>23.283300000000001</v>
      </c>
      <c r="AB133" s="61" t="e">
        <f>VLOOKUP(A133,Enforcements!$C$7:$K$15,8,0)</f>
        <v>#N/A</v>
      </c>
      <c r="AC133" s="57" t="e">
        <f>VLOOKUP(A133,Enforcements!$C$7:$E$15,3,0)</f>
        <v>#N/A</v>
      </c>
      <c r="AD133" s="58" t="str">
        <f t="shared" si="58"/>
        <v>0221-19</v>
      </c>
      <c r="AE133" s="87" t="str">
        <f t="shared" si="42"/>
        <v>aws s3 cp s3://rtdc.mdm.uploadarchive.raw/RTDC4031/ "%USERPROFILE%\AppData\Local\Temp\OnboardLogs"\RTDC4031\2017-01-19 --exclude "*" --recursive --include "*20170119*" &amp; "%USERPROFILE%\Documents\GitHub\mrs-test-scripts\Headless Mode &amp; Sideloading\WalkAndUnGZ.bat" "%USERPROFILE%\AppData\Local\Temp\OnboardLogs"\RTDC4031\2017-01-19 &amp; aws s3 cp s3://rtdc.mdm.uploadarchive.raw/RTDC4031/ "%USERPROFILE%\AppData\Local\Temp\OnboardLogs"\RTDC4031\2017-01-20 --exclude "*" --recursive --include "*20170120*" &amp; "%USERPROFILE%\Documents\GitHub\mrs-test-scripts\Headless Mode &amp; Sideloading\WalkAndUnGZ.bat" "%USERPROFILE%\AppData\Local\Temp\OnboardLogs"\RTDC4031\2017-01-20</v>
      </c>
      <c r="AF133" s="84" t="str">
        <f t="shared" si="43"/>
        <v>"C:\Program Files (x86)\AstroGrep\AstroGrep.exe" /spath="%USERPROFILE%\AppData\Local\Temp\OnboardLogs" /stypes="app*4031*20170120*" /stext=" 02:.+((SYSTEM_STATE.+slice.+state.+changed )|(ment ac)|(multiple cpu faults)|(system.+state.+changed )|(\[timeout)|(PRM\|1\|D)|(kpr)|(kdp)|(\|lc)|(penalty))" /e /r /s</v>
      </c>
      <c r="AG133" s="1" t="str">
        <f t="shared" si="59"/>
        <v>EC</v>
      </c>
      <c r="AH133" s="88" t="str">
        <f t="shared" si="45"/>
        <v>"%USERPROFILE%\Documents\GitHub\eaglep3\Utilities\RefineRTDCRunTimes.py" --tripid 221-19 --locoid 4031 --swversion DE.1.0.8.0 --startMP 204:475 --initTime 2017-01-19T18:54:12 --startdatetime 2017-01-19T19:00:21 --delay 1 --endMP 204:233308 --enddatetime 2017-01-19T19:40:17 --enforcementcount 5 &gt;&gt;C:\Users\stu\Documents\GitHub\eaglep3-reporting\EC\2017-01-19-refined-times.txt</v>
      </c>
      <c r="AI133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{"issue":{"subject":"","project_id":79,"tracker_id":40,"status_id":1,"priority_id":2,"assigned_to_id":23,"start_date":"2017-01-19","description":"","custom_fields":[{"id":1,"name":"Subdivision","value":"EC"},{"id":4,"name":"Milepost","value":"23.3308"},{"id":17,"name":"Train ID","value":"221-19"},{"id":16,"name":"Locomotive ID","value":"4031"},{"id":130,"name":"Impact","value":""},{"id":150,"name":"Time of Event (Mountain Time)","value":"19:40:17"},{"id":151,"name":"Denver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0"/>
      <c r="AK133" s="50"/>
      <c r="AL133" s="50"/>
      <c r="AM133" s="177" t="str">
        <f t="shared" si="47"/>
        <v>start /low /b %USERPROFILE%\Documents\GitHub\eaglep3\Utilities\DownloadLogsFromS3.py --loco 4031 --day 2017-01-19</v>
      </c>
      <c r="AN133" s="186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"%USERPROFILE%\AppData\Local\Temp\OnboardLogs"\RTDC4031\*4031*20170120* | grep -SE "(Enforcement Action)|(\[TIMEOUT)|(CHR.+\|PRM\|1\|D.+(SWITCH|SIGNAL).+UNKNOWN)" - &gt;&gt; 2017-01-19-UncaughtWiMAX.txt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4" t="s">
        <v>685</v>
      </c>
      <c r="B134" s="7">
        <v>4032</v>
      </c>
      <c r="C134" s="22" t="s">
        <v>196</v>
      </c>
      <c r="D134" s="22" t="s">
        <v>730</v>
      </c>
      <c r="E134" s="13">
        <v>42754.829074074078</v>
      </c>
      <c r="F134" s="13">
        <v>42754.830891203703</v>
      </c>
      <c r="G134" s="7">
        <v>1</v>
      </c>
      <c r="H134" s="22" t="s">
        <v>367</v>
      </c>
      <c r="I134" s="13">
        <v>42754.8596875</v>
      </c>
      <c r="J134" s="7">
        <v>5</v>
      </c>
      <c r="K134" s="105" t="str">
        <f t="shared" si="50"/>
        <v>4031/4032</v>
      </c>
      <c r="L134" s="22" t="str">
        <f>VLOOKUP(A134,'Trips&amp;Operators'!$C$1:$G$99999,5,FALSE)</f>
        <v>CHANDLER KELVIN</v>
      </c>
      <c r="M134" s="6">
        <f t="shared" si="51"/>
        <v>2.8796296297514345E-2</v>
      </c>
      <c r="N134" s="7">
        <f t="shared" si="60"/>
        <v>41.466666668420658</v>
      </c>
      <c r="O134" s="7"/>
      <c r="P134" s="7"/>
      <c r="Q134" s="23"/>
      <c r="R134" s="23"/>
      <c r="S134" s="32">
        <f t="shared" si="52"/>
        <v>1</v>
      </c>
      <c r="T134" s="47" t="str">
        <f t="shared" si="53"/>
        <v>Southbound</v>
      </c>
      <c r="U134" s="164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4" t="str">
        <f t="shared" si="36"/>
        <v>https://d0f6bd738d7f1b3e5a7ca70fe4ff75f0.us-east-1.aws.found.io/app/kibana#/discover/Steve-Slow-Train-Analysis-(2080s-and-2083s)?_g=(refreshInterval:(display:Off,pause:!f,section:0,value:0),time:(from:'2017-01-19T18:53:52-0700',mode:absolute,to:'2017-01-19T21:37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4" s="49" t="str">
        <f t="shared" si="54"/>
        <v>N</v>
      </c>
      <c r="X134" s="170">
        <f t="shared" si="48"/>
        <v>1</v>
      </c>
      <c r="Y134" s="64">
        <f t="shared" si="55"/>
        <v>23.299399999999999</v>
      </c>
      <c r="Z134" s="64">
        <f t="shared" si="56"/>
        <v>1.7600000000000001E-2</v>
      </c>
      <c r="AA134" s="64">
        <f t="shared" si="57"/>
        <v>23.281799999999997</v>
      </c>
      <c r="AB134" s="61" t="e">
        <f>VLOOKUP(A134,Enforcements!$C$7:$K$15,8,0)</f>
        <v>#N/A</v>
      </c>
      <c r="AC134" s="57" t="e">
        <f>VLOOKUP(A134,Enforcements!$C$7:$E$15,3,0)</f>
        <v>#N/A</v>
      </c>
      <c r="AD134" s="58" t="str">
        <f t="shared" si="58"/>
        <v>0222-19</v>
      </c>
      <c r="AE134" s="87" t="str">
        <f t="shared" si="42"/>
        <v>aws s3 cp s3://rtdc.mdm.uploadarchive.raw/RTDC4032/ "%USERPROFILE%\AppData\Local\Temp\OnboardLogs"\RTDC4032\2017-01-19 --exclude "*" --recursive --include "*20170119*" &amp; "%USERPROFILE%\Documents\GitHub\mrs-test-scripts\Headless Mode &amp; Sideloading\WalkAndUnGZ.bat" "%USERPROFILE%\AppData\Local\Temp\OnboardLogs"\RTDC4032\2017-01-19 &amp; aws s3 cp s3://rtdc.mdm.uploadarchive.raw/RTDC4032/ "%USERPROFILE%\AppData\Local\Temp\OnboardLogs"\RTDC4032\2017-01-20 --exclude "*" --recursive --include "*20170120*" &amp; "%USERPROFILE%\Documents\GitHub\mrs-test-scripts\Headless Mode &amp; Sideloading\WalkAndUnGZ.bat" "%USERPROFILE%\AppData\Local\Temp\OnboardLogs"\RTDC4032\2017-01-20</v>
      </c>
      <c r="AF134" s="84" t="str">
        <f t="shared" si="43"/>
        <v>"C:\Program Files (x86)\AstroGrep\AstroGrep.exe" /spath="%USERPROFILE%\AppData\Local\Temp\OnboardLogs" /stypes="app*4032*20170120*" /stext=" 03:.+((SYSTEM_STATE.+slice.+state.+changed )|(ment ac)|(multiple cpu faults)|(system.+state.+changed )|(\[timeout)|(PRM\|1\|D)|(kpr)|(kdp)|(\|lc)|(penalty))" /e /r /s</v>
      </c>
      <c r="AG134" s="1" t="str">
        <f t="shared" si="59"/>
        <v>EC</v>
      </c>
      <c r="AH134" s="88" t="str">
        <f t="shared" si="45"/>
        <v>"%USERPROFILE%\Documents\GitHub\eaglep3\Utilities\RefineRTDCRunTimes.py" --tripid 222-19 --locoid 4032 --swversion DE.1.0.8.0 --startMP 204:232994 --initTime 2017-01-19T19:53:52 --startdatetime 2017-01-19T19:56:29 --delay 1 --endMP 204:176 --enddatetime 2017-01-19T20:37:57 --enforcementcount 5 &gt;&gt;C:\Users\stu\Documents\GitHub\eaglep3-reporting\EC\2017-01-19-refined-times.txt</v>
      </c>
      <c r="AI134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{"issue":{"subject":"","project_id":79,"tracker_id":40,"status_id":1,"priority_id":2,"assigned_to_id":23,"start_date":"2017-01-19","description":"","custom_fields":[{"id":1,"name":"Subdivision","value":"EC"},{"id":4,"name":"Milepost","value":"0.0176"},{"id":17,"name":"Train ID","value":"222-19"},{"id":16,"name":"Locomotive ID","value":"4032"},{"id":130,"name":"Impact","value":""},{"id":150,"name":"Time of Event (Mountain Time)","value":"20:37:57"},{"id":151,"name":"Denver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0"/>
      <c r="AK134" s="50"/>
      <c r="AL134" s="50"/>
      <c r="AM134" s="177" t="str">
        <f t="shared" si="47"/>
        <v>start /low /b %USERPROFILE%\Documents\GitHub\eaglep3\Utilities\DownloadLogsFromS3.py --loco 4032 --day 2017-01-19</v>
      </c>
      <c r="AN134" s="186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"%USERPROFILE%\AppData\Local\Temp\OnboardLogs"\RTDC4032\*4032*20170120* | grep -SE "(Enforcement Action)|(\[TIMEOUT)|(CHR.+\|PRM\|1\|D.+(SWITCH|SIGNAL).+UNKNOWN)" - &gt;&gt; 2017-01-19-UncaughtWiMAX.txt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4" t="s">
        <v>682</v>
      </c>
      <c r="B135" s="7">
        <v>4020</v>
      </c>
      <c r="C135" s="22" t="s">
        <v>196</v>
      </c>
      <c r="D135" s="22" t="s">
        <v>256</v>
      </c>
      <c r="E135" s="13">
        <v>42754.80641203704</v>
      </c>
      <c r="F135" s="13">
        <v>42754.812650462962</v>
      </c>
      <c r="G135" s="7">
        <v>2</v>
      </c>
      <c r="H135" s="22" t="s">
        <v>327</v>
      </c>
      <c r="I135" s="13">
        <v>42754.838136574072</v>
      </c>
      <c r="J135" s="7">
        <v>5</v>
      </c>
      <c r="K135" s="105" t="str">
        <f t="shared" si="50"/>
        <v>4019/4020</v>
      </c>
      <c r="L135" s="22" t="str">
        <f>VLOOKUP(A135,'Trips&amp;Operators'!$C$1:$G$99999,5,FALSE)</f>
        <v>NEWELL JAMES</v>
      </c>
      <c r="M135" s="6">
        <f t="shared" si="51"/>
        <v>2.548611110978527E-2</v>
      </c>
      <c r="N135" s="7">
        <f t="shared" si="60"/>
        <v>36.699999998090789</v>
      </c>
      <c r="O135" s="7"/>
      <c r="P135" s="7"/>
      <c r="Q135" s="23"/>
      <c r="R135" s="23"/>
      <c r="S135" s="32">
        <f t="shared" si="52"/>
        <v>1</v>
      </c>
      <c r="T135" s="47" t="str">
        <f t="shared" si="53"/>
        <v>NorthBound</v>
      </c>
      <c r="U135" s="164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4" t="str">
        <f t="shared" si="36"/>
        <v>https://d0f6bd738d7f1b3e5a7ca70fe4ff75f0.us-east-1.aws.found.io/app/kibana#/discover/Steve-Slow-Train-Analysis-(2080s-and-2083s)?_g=(refreshInterval:(display:Off,pause:!f,section:0,value:0),time:(from:'2017-01-19T18:21:14-0700',mode:absolute,to:'2017-01-19T21:06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5" s="49" t="str">
        <f t="shared" si="54"/>
        <v>N</v>
      </c>
      <c r="X135" s="170">
        <f t="shared" si="48"/>
        <v>1</v>
      </c>
      <c r="Y135" s="64">
        <f t="shared" si="55"/>
        <v>4.58E-2</v>
      </c>
      <c r="Z135" s="64">
        <f t="shared" si="56"/>
        <v>23.328800000000001</v>
      </c>
      <c r="AA135" s="64">
        <f t="shared" si="57"/>
        <v>23.283000000000001</v>
      </c>
      <c r="AB135" s="61" t="e">
        <f>VLOOKUP(A135,Enforcements!$C$7:$K$15,8,0)</f>
        <v>#N/A</v>
      </c>
      <c r="AC135" s="57" t="e">
        <f>VLOOKUP(A135,Enforcements!$C$7:$E$15,3,0)</f>
        <v>#N/A</v>
      </c>
      <c r="AD135" s="58" t="str">
        <f t="shared" si="58"/>
        <v>0223-19</v>
      </c>
      <c r="AE135" s="87" t="str">
        <f t="shared" si="42"/>
        <v>aws s3 cp s3://rtdc.mdm.uploadarchive.raw/RTDC4020/ "%USERPROFILE%\AppData\Local\Temp\OnboardLogs"\RTDC4020\2017-01-19 --exclude "*" --recursive --include "*20170119*" &amp; "%USERPROFILE%\Documents\GitHub\mrs-test-scripts\Headless Mode &amp; Sideloading\WalkAndUnGZ.bat" "%USERPROFILE%\AppData\Local\Temp\OnboardLogs"\RTDC4020\2017-01-19 &amp; aws s3 cp s3://rtdc.mdm.uploadarchive.raw/RTDC4020/ "%USERPROFILE%\AppData\Local\Temp\OnboardLogs"\RTDC4020\2017-01-20 --exclude "*" --recursive --include "*20170120*" &amp; "%USERPROFILE%\Documents\GitHub\mrs-test-scripts\Headless Mode &amp; Sideloading\WalkAndUnGZ.bat" "%USERPROFILE%\AppData\Local\Temp\OnboardLogs"\RTDC4020\2017-01-20</v>
      </c>
      <c r="AF135" s="84" t="str">
        <f t="shared" si="43"/>
        <v>"C:\Program Files (x86)\AstroGrep\AstroGrep.exe" /spath="%USERPROFILE%\AppData\Local\Temp\OnboardLogs" /stypes="app*4020*20170120*" /stext=" 03:.+((SYSTEM_STATE.+slice.+state.+changed )|(ment ac)|(multiple cpu faults)|(system.+state.+changed )|(\[timeout)|(PRM\|1\|D)|(kpr)|(kdp)|(\|lc)|(penalty))" /e /r /s</v>
      </c>
      <c r="AG135" s="1" t="str">
        <f t="shared" si="59"/>
        <v>EC</v>
      </c>
      <c r="AH135" s="88" t="str">
        <f t="shared" si="45"/>
        <v>"%USERPROFILE%\Documents\GitHub\eaglep3\Utilities\RefineRTDCRunTimes.py" --tripid 223-19 --locoid 4020 --swversion DE.1.0.8.0 --startMP 204:458 --initTime 2017-01-19T19:21:14 --startdatetime 2017-01-19T19:30:13 --delay 2 --endMP 204:233288 --enddatetime 2017-01-19T20:06:55 --enforcementcount 5 &gt;&gt;C:\Users\stu\Documents\GitHub\eaglep3-reporting\EC\2017-01-19-refined-times.txt</v>
      </c>
      <c r="AI135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{"issue":{"subject":"","project_id":79,"tracker_id":40,"status_id":1,"priority_id":2,"assigned_to_id":23,"start_date":"2017-01-19","description":"","custom_fields":[{"id":1,"name":"Subdivision","value":"EC"},{"id":4,"name":"Milepost","value":"23.3288"},{"id":17,"name":"Train ID","value":"223-19"},{"id":16,"name":"Locomotive ID","value":"4020"},{"id":130,"name":"Impact","value":""},{"id":150,"name":"Time of Event (Mountain Time)","value":"20:06:55"},{"id":151,"name":"Denver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0"/>
      <c r="AK135" s="50"/>
      <c r="AL135" s="50"/>
      <c r="AM135" s="177" t="str">
        <f t="shared" si="47"/>
        <v>start /low /b %USERPROFILE%\Documents\GitHub\eaglep3\Utilities\DownloadLogsFromS3.py --loco 4020 --day 2017-01-19</v>
      </c>
      <c r="AN135" s="186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"%USERPROFILE%\AppData\Local\Temp\OnboardLogs"\RTDC4020\*4020*20170120* | grep -SE "(Enforcement Action)|(\[TIMEOUT)|(CHR.+\|PRM\|1\|D.+(SWITCH|SIGNAL).+UNKNOWN)" - &gt;&gt; 2017-01-19-UncaughtWiMAX.txt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4" t="s">
        <v>503</v>
      </c>
      <c r="B136" s="7">
        <v>4019</v>
      </c>
      <c r="C136" s="22" t="s">
        <v>196</v>
      </c>
      <c r="D136" s="22" t="s">
        <v>217</v>
      </c>
      <c r="E136" s="13">
        <v>42754.846608796295</v>
      </c>
      <c r="F136" s="13">
        <v>42754.851550925923</v>
      </c>
      <c r="G136" s="7">
        <v>1</v>
      </c>
      <c r="H136" s="22" t="s">
        <v>756</v>
      </c>
      <c r="I136" s="13">
        <v>42754.879745370374</v>
      </c>
      <c r="J136" s="7">
        <v>5</v>
      </c>
      <c r="K136" s="105" t="str">
        <f t="shared" si="50"/>
        <v>4019/4020</v>
      </c>
      <c r="L136" s="22" t="str">
        <f>VLOOKUP(A136,'Trips&amp;Operators'!$C$1:$G$99999,5,FALSE)</f>
        <v>NEWELL JAMES</v>
      </c>
      <c r="M136" s="6">
        <f t="shared" si="51"/>
        <v>2.8194444450491574E-2</v>
      </c>
      <c r="N136" s="7">
        <f t="shared" si="60"/>
        <v>40.600000008707866</v>
      </c>
      <c r="O136" s="7"/>
      <c r="P136" s="7"/>
      <c r="Q136" s="23"/>
      <c r="R136" s="23"/>
      <c r="S136" s="32">
        <f t="shared" si="52"/>
        <v>1</v>
      </c>
      <c r="T136" s="47" t="str">
        <f t="shared" si="53"/>
        <v>Southbound</v>
      </c>
      <c r="U136" s="164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4" t="str">
        <f t="shared" si="36"/>
        <v>https://d0f6bd738d7f1b3e5a7ca70fe4ff75f0.us-east-1.aws.found.io/app/kibana#/discover/Steve-Slow-Train-Analysis-(2080s-and-2083s)?_g=(refreshInterval:(display:Off,pause:!f,section:0,value:0),time:(from:'2017-01-19T19:19:07-0700',mode:absolute,to:'2017-01-19T22:06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6" s="49" t="str">
        <f t="shared" si="54"/>
        <v>N</v>
      </c>
      <c r="X136" s="170">
        <f t="shared" si="48"/>
        <v>1</v>
      </c>
      <c r="Y136" s="64">
        <f t="shared" si="55"/>
        <v>23.297699999999999</v>
      </c>
      <c r="Z136" s="64">
        <f t="shared" si="56"/>
        <v>2.12E-2</v>
      </c>
      <c r="AA136" s="64">
        <f t="shared" si="57"/>
        <v>23.276499999999999</v>
      </c>
      <c r="AB136" s="61" t="e">
        <f>VLOOKUP(A136,Enforcements!$C$7:$K$15,8,0)</f>
        <v>#N/A</v>
      </c>
      <c r="AC136" s="57" t="e">
        <f>VLOOKUP(A136,Enforcements!$C$7:$E$15,3,0)</f>
        <v>#N/A</v>
      </c>
      <c r="AD136" s="58" t="str">
        <f t="shared" si="58"/>
        <v>0224-19</v>
      </c>
      <c r="AE136" s="87" t="str">
        <f t="shared" si="42"/>
        <v>aws s3 cp s3://rtdc.mdm.uploadarchive.raw/RTDC4019/ "%USERPROFILE%\AppData\Local\Temp\OnboardLogs"\RTDC4019\2017-01-19 --exclude "*" --recursive --include "*20170119*" &amp; "%USERPROFILE%\Documents\GitHub\mrs-test-scripts\Headless Mode &amp; Sideloading\WalkAndUnGZ.bat" "%USERPROFILE%\AppData\Local\Temp\OnboardLogs"\RTDC4019\2017-01-19 &amp; aws s3 cp s3://rtdc.mdm.uploadarchive.raw/RTDC4019/ "%USERPROFILE%\AppData\Local\Temp\OnboardLogs"\RTDC4019\2017-01-20 --exclude "*" --recursive --include "*20170120*" &amp; "%USERPROFILE%\Documents\GitHub\mrs-test-scripts\Headless Mode &amp; Sideloading\WalkAndUnGZ.bat" "%USERPROFILE%\AppData\Local\Temp\OnboardLogs"\RTDC4019\2017-01-20</v>
      </c>
      <c r="AF136" s="84" t="str">
        <f t="shared" si="43"/>
        <v>"C:\Program Files (x86)\AstroGrep\AstroGrep.exe" /spath="%USERPROFILE%\AppData\Local\Temp\OnboardLogs" /stypes="app*4019*20170120*" /stext=" 04:.+((SYSTEM_STATE.+slice.+state.+changed )|(ment ac)|(multiple cpu faults)|(system.+state.+changed )|(\[timeout)|(PRM\|1\|D)|(kpr)|(kdp)|(\|lc)|(penalty))" /e /r /s</v>
      </c>
      <c r="AG136" s="1" t="str">
        <f t="shared" si="59"/>
        <v>EC</v>
      </c>
      <c r="AH136" s="88" t="str">
        <f t="shared" si="45"/>
        <v>"%USERPROFILE%\Documents\GitHub\eaglep3\Utilities\RefineRTDCRunTimes.py" --tripid 224-19 --locoid 4019 --swversion DE.1.0.8.0 --startMP 204:232977 --initTime 2017-01-19T20:19:07 --startdatetime 2017-01-19T20:26:14 --delay 1 --endMP 204:212 --enddatetime 2017-01-19T21:06:50 --enforcementcount 5 &gt;&gt;C:\Users\stu\Documents\GitHub\eaglep3-reporting\EC\2017-01-19-refined-times.txt</v>
      </c>
      <c r="AI136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{"issue":{"subject":"","project_id":79,"tracker_id":40,"status_id":1,"priority_id":2,"assigned_to_id":23,"start_date":"2017-01-19","description":"","custom_fields":[{"id":1,"name":"Subdivision","value":"EC"},{"id":4,"name":"Milepost","value":"0.0212"},{"id":17,"name":"Train ID","value":"224-19"},{"id":16,"name":"Locomotive ID","value":"4019"},{"id":130,"name":"Impact","value":""},{"id":150,"name":"Time of Event (Mountain Time)","value":"21:06:50"},{"id":151,"name":"Denver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0"/>
      <c r="AK136" s="50"/>
      <c r="AL136" s="50"/>
      <c r="AM136" s="177" t="str">
        <f t="shared" si="47"/>
        <v>start /low /b %USERPROFILE%\Documents\GitHub\eaglep3\Utilities\DownloadLogsFromS3.py --loco 4019 --day 2017-01-19</v>
      </c>
      <c r="AN136" s="186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"%USERPROFILE%\AppData\Local\Temp\OnboardLogs"\RTDC4019\*4019*20170120* | grep -SE "(Enforcement Action)|(\[TIMEOUT)|(CHR.+\|PRM\|1\|D.+(SWITCH|SIGNAL).+UNKNOWN)" - &gt;&gt; 2017-01-19-UncaughtWiMAX.txt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4" t="s">
        <v>686</v>
      </c>
      <c r="B137" s="7">
        <v>4022</v>
      </c>
      <c r="C137" s="22" t="s">
        <v>196</v>
      </c>
      <c r="D137" s="22" t="s">
        <v>187</v>
      </c>
      <c r="E137" s="13">
        <v>42754.832812499997</v>
      </c>
      <c r="F137" s="13">
        <v>42754.833958333336</v>
      </c>
      <c r="G137" s="7">
        <v>1</v>
      </c>
      <c r="H137" s="22" t="s">
        <v>736</v>
      </c>
      <c r="I137" s="13">
        <v>42754.860243055555</v>
      </c>
      <c r="J137" s="7">
        <v>5</v>
      </c>
      <c r="K137" s="105" t="str">
        <f t="shared" si="50"/>
        <v>4021/4022</v>
      </c>
      <c r="L137" s="22" t="str">
        <f>VLOOKUP(A137,'Trips&amp;Operators'!$C$1:$G$99999,5,FALSE)</f>
        <v>BROWN JACOB</v>
      </c>
      <c r="M137" s="6">
        <f t="shared" si="51"/>
        <v>2.6284722218406387E-2</v>
      </c>
      <c r="N137" s="7">
        <f t="shared" si="60"/>
        <v>37.849999994505197</v>
      </c>
      <c r="O137" s="7"/>
      <c r="P137" s="7"/>
      <c r="Q137" s="23"/>
      <c r="R137" s="23"/>
      <c r="S137" s="32">
        <f t="shared" si="52"/>
        <v>1</v>
      </c>
      <c r="T137" s="47" t="str">
        <f t="shared" si="53"/>
        <v>NorthBound</v>
      </c>
      <c r="U137" s="164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4" t="str">
        <f t="shared" si="36"/>
        <v>https://d0f6bd738d7f1b3e5a7ca70fe4ff75f0.us-east-1.aws.found.io/app/kibana#/discover/Steve-Slow-Train-Analysis-(2080s-and-2083s)?_g=(refreshInterval:(display:Off,pause:!f,section:0,value:0),time:(from:'2017-01-19T18:59:15-0700',mode:absolute,to:'2017-01-19T21:38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7" s="49" t="str">
        <f t="shared" si="54"/>
        <v>N</v>
      </c>
      <c r="X137" s="170">
        <f t="shared" si="48"/>
        <v>1</v>
      </c>
      <c r="Y137" s="64">
        <f t="shared" si="55"/>
        <v>4.4699999999999997E-2</v>
      </c>
      <c r="Z137" s="64">
        <f t="shared" si="56"/>
        <v>23.331900000000001</v>
      </c>
      <c r="AA137" s="64">
        <f t="shared" si="57"/>
        <v>23.287200000000002</v>
      </c>
      <c r="AB137" s="61" t="e">
        <f>VLOOKUP(A137,Enforcements!$C$7:$K$15,8,0)</f>
        <v>#N/A</v>
      </c>
      <c r="AC137" s="57" t="e">
        <f>VLOOKUP(A137,Enforcements!$C$7:$E$15,3,0)</f>
        <v>#N/A</v>
      </c>
      <c r="AD137" s="58" t="str">
        <f t="shared" si="58"/>
        <v>0225-19</v>
      </c>
      <c r="AE137" s="87" t="str">
        <f t="shared" si="42"/>
        <v>aws s3 cp s3://rtdc.mdm.uploadarchive.raw/RTDC4022/ "%USERPROFILE%\AppData\Local\Temp\OnboardLogs"\RTDC4022\2017-01-19 --exclude "*" --recursive --include "*20170119*" &amp; "%USERPROFILE%\Documents\GitHub\mrs-test-scripts\Headless Mode &amp; Sideloading\WalkAndUnGZ.bat" "%USERPROFILE%\AppData\Local\Temp\OnboardLogs"\RTDC4022\2017-01-19 &amp; aws s3 cp s3://rtdc.mdm.uploadarchive.raw/RTDC4022/ "%USERPROFILE%\AppData\Local\Temp\OnboardLogs"\RTDC4022\2017-01-20 --exclude "*" --recursive --include "*20170120*" &amp; "%USERPROFILE%\Documents\GitHub\mrs-test-scripts\Headless Mode &amp; Sideloading\WalkAndUnGZ.bat" "%USERPROFILE%\AppData\Local\Temp\OnboardLogs"\RTDC4022\2017-01-20</v>
      </c>
      <c r="AF137" s="84" t="str">
        <f t="shared" si="43"/>
        <v>"C:\Program Files (x86)\AstroGrep\AstroGrep.exe" /spath="%USERPROFILE%\AppData\Local\Temp\OnboardLogs" /stypes="app*4022*20170120*" /stext=" 03:.+((SYSTEM_STATE.+slice.+state.+changed )|(ment ac)|(multiple cpu faults)|(system.+state.+changed )|(\[timeout)|(PRM\|1\|D)|(kpr)|(kdp)|(\|lc)|(penalty))" /e /r /s</v>
      </c>
      <c r="AG137" s="1" t="str">
        <f t="shared" si="59"/>
        <v>EC</v>
      </c>
      <c r="AH137" s="88" t="str">
        <f t="shared" si="45"/>
        <v>"%USERPROFILE%\Documents\GitHub\eaglep3\Utilities\RefineRTDCRunTimes.py" --tripid 225-19 --locoid 4022 --swversion DE.1.0.8.0 --startMP 204:447 --initTime 2017-01-19T19:59:15 --startdatetime 2017-01-19T20:00:54 --delay 1 --endMP 204:233319 --enddatetime 2017-01-19T20:38:45 --enforcementcount 5 &gt;&gt;C:\Users\stu\Documents\GitHub\eaglep3-reporting\EC\2017-01-19-refined-times.txt</v>
      </c>
      <c r="AI137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{"issue":{"subject":"","project_id":79,"tracker_id":40,"status_id":1,"priority_id":2,"assigned_to_id":23,"start_date":"2017-01-19","description":"","custom_fields":[{"id":1,"name":"Subdivision","value":"EC"},{"id":4,"name":"Milepost","value":"23.3319"},{"id":17,"name":"Train ID","value":"225-19"},{"id":16,"name":"Locomotive ID","value":"4022"},{"id":130,"name":"Impact","value":""},{"id":150,"name":"Time of Event (Mountain Time)","value":"20:38:45"},{"id":151,"name":"Denver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0"/>
      <c r="AK137" s="50"/>
      <c r="AL137" s="50"/>
      <c r="AM137" s="177" t="str">
        <f t="shared" si="47"/>
        <v>start /low /b %USERPROFILE%\Documents\GitHub\eaglep3\Utilities\DownloadLogsFromS3.py --loco 4022 --day 2017-01-19</v>
      </c>
      <c r="AN137" s="186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"%USERPROFILE%\AppData\Local\Temp\OnboardLogs"\RTDC4022\*4022*20170120* | grep -SE "(Enforcement Action)|(\[TIMEOUT)|(CHR.+\|PRM\|1\|D.+(SWITCH|SIGNAL).+UNKNOWN)" - &gt;&gt; 2017-01-19-UncaughtWiMAX.txt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4" t="s">
        <v>690</v>
      </c>
      <c r="B138" s="7">
        <v>4021</v>
      </c>
      <c r="C138" s="22" t="s">
        <v>196</v>
      </c>
      <c r="D138" s="22" t="s">
        <v>744</v>
      </c>
      <c r="E138" s="13">
        <v>42754.868738425925</v>
      </c>
      <c r="F138" s="13">
        <v>42754.869780092595</v>
      </c>
      <c r="G138" s="7">
        <v>1</v>
      </c>
      <c r="H138" s="22" t="s">
        <v>757</v>
      </c>
      <c r="I138" s="13">
        <v>42754.873287037037</v>
      </c>
      <c r="J138" s="7">
        <v>0</v>
      </c>
      <c r="K138" s="105" t="str">
        <f t="shared" si="50"/>
        <v>4021/4022</v>
      </c>
      <c r="L138" s="22" t="str">
        <f>VLOOKUP(A138,'Trips&amp;Operators'!$C$1:$G$99999,5,FALSE)</f>
        <v>BROWN JACOB</v>
      </c>
      <c r="M138" s="6">
        <f t="shared" si="51"/>
        <v>3.5069444420514628E-3</v>
      </c>
      <c r="N138" s="7"/>
      <c r="O138" s="7"/>
      <c r="P138" s="7">
        <f>24*60*SUM($M138:$M138)</f>
        <v>5.0499999965541065</v>
      </c>
      <c r="Q138" s="23"/>
      <c r="R138" s="23" t="s">
        <v>875</v>
      </c>
      <c r="S138" s="32">
        <f t="shared" si="52"/>
        <v>0</v>
      </c>
      <c r="T138" s="47" t="str">
        <f t="shared" si="53"/>
        <v>Southbound</v>
      </c>
      <c r="U138" s="164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0</v>
      </c>
      <c r="V138" s="94" t="str">
        <f t="shared" si="36"/>
        <v>https://d0f6bd738d7f1b3e5a7ca70fe4ff75f0.us-east-1.aws.found.io/app/kibana#/discover/Steve-Slow-Train-Analysis-(2080s-and-2083s)?_g=(refreshInterval:(display:Off,pause:!f,section:0,value:0),time:(from:'2017-01-19T19:50:59-0700',mode:absolute,to:'2017-01-19T21:57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8" s="49" t="str">
        <f t="shared" si="54"/>
        <v>Y</v>
      </c>
      <c r="X138" s="170">
        <f t="shared" si="48"/>
        <v>1</v>
      </c>
      <c r="Y138" s="64">
        <f t="shared" si="55"/>
        <v>23.300599999999999</v>
      </c>
      <c r="Z138" s="64">
        <f t="shared" si="56"/>
        <v>22.853000000000002</v>
      </c>
      <c r="AA138" s="64">
        <f t="shared" si="57"/>
        <v>0.44759999999999778</v>
      </c>
      <c r="AB138" s="61" t="e">
        <f>VLOOKUP(A138,Enforcements!$C$7:$K$15,8,0)</f>
        <v>#N/A</v>
      </c>
      <c r="AC138" s="57" t="e">
        <f>VLOOKUP(A138,Enforcements!$C$7:$E$15,3,0)</f>
        <v>#N/A</v>
      </c>
      <c r="AD138" s="58" t="str">
        <f t="shared" si="58"/>
        <v>0226-19</v>
      </c>
      <c r="AE138" s="87" t="str">
        <f t="shared" si="42"/>
        <v>aws s3 cp s3://rtdc.mdm.uploadarchive.raw/RTDC4021/ "%USERPROFILE%\AppData\Local\Temp\OnboardLogs"\RTDC4021\2017-01-19 --exclude "*" --recursive --include "*20170119*" &amp; "%USERPROFILE%\Documents\GitHub\mrs-test-scripts\Headless Mode &amp; Sideloading\WalkAndUnGZ.bat" "%USERPROFILE%\AppData\Local\Temp\OnboardLogs"\RTDC4021\2017-01-19 &amp; aws s3 cp s3://rtdc.mdm.uploadarchive.raw/RTDC4021/ "%USERPROFILE%\AppData\Local\Temp\OnboardLogs"\RTDC4021\2017-01-20 --exclude "*" --recursive --include "*20170120*" &amp; "%USERPROFILE%\Documents\GitHub\mrs-test-scripts\Headless Mode &amp; Sideloading\WalkAndUnGZ.bat" "%USERPROFILE%\AppData\Local\Temp\OnboardLogs"\RTDC4021\2017-01-20</v>
      </c>
      <c r="AF138" s="84" t="str">
        <f t="shared" si="43"/>
        <v>"C:\Program Files (x86)\AstroGrep\AstroGrep.exe" /spath="%USERPROFILE%\AppData\Local\Temp\OnboardLogs" /stypes="app*4021*20170120*" /stext=" 03:.+((SYSTEM_STATE.+slice.+state.+changed )|(ment ac)|(multiple cpu faults)|(system.+state.+changed )|(\[timeout)|(PRM\|1\|D)|(kpr)|(kdp)|(\|lc)|(penalty))" /e /r /s</v>
      </c>
      <c r="AG138" s="1" t="str">
        <f t="shared" si="59"/>
        <v>EC</v>
      </c>
      <c r="AH138" s="88" t="str">
        <f t="shared" si="45"/>
        <v>"%USERPROFILE%\Documents\GitHub\eaglep3\Utilities\RefineRTDCRunTimes.py" --tripid 226-19 --locoid 4021 --swversion DE.1.0.8.0 --startMP 204:233006 --initTime 2017-01-19T20:50:59 --startdatetime 2017-01-19T20:52:29 --delay 1 --endMP 204:228530 --enddatetime 2017-01-19T20:57:32 --enforcementcount 0 &gt;&gt;C:\Users\stu\Documents\GitHub\eaglep3-reporting\EC\2017-01-19-refined-times.txt</v>
      </c>
      <c r="AI138" s="115" t="str">
        <f t="shared" si="46"/>
        <v>echo {"issue":{"subject":"Onboard in-route failure","project_id":79,"tracker_id":40,"status_id":1,"priority_id":2,"assigned_to_id":23,"start_date":"2017-01-19","description":"","custom_fields":[{"id":1,"name":"Subdivision","value":"EC"},{"id":4,"name":"Milepost","value":"22.853"},{"id":17,"name":"Train ID","value":"226-19"},{"id":16,"name":"Locomotive ID","value":"4021"},{"id":130,"name":"Impact","value":""},{"id":150,"name":"Time of Event (Mountain Time)","value":"20:57:32"},{"id":151,"name":"Denver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0"/>
      <c r="AK138" s="50"/>
      <c r="AL138" s="50"/>
      <c r="AM138" s="177" t="str">
        <f t="shared" si="47"/>
        <v>start /low /b %USERPROFILE%\Documents\GitHub\eaglep3\Utilities\DownloadLogsFromS3.py --loco 4021 --day 2017-01-19</v>
      </c>
      <c r="AN138" s="186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"%USERPROFILE%\AppData\Local\Temp\OnboardLogs"\RTDC4021\*4021*20170120* | grep -SE "(Enforcement Action)|(\[TIMEOUT)|(CHR.+\|PRM\|1\|D.+(SWITCH|SIGNAL).+UNKNOWN)" - &gt;&gt; 2017-01-19-UncaughtWiMAX.txt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4" t="s">
        <v>688</v>
      </c>
      <c r="B139" s="7">
        <v>4042</v>
      </c>
      <c r="C139" s="22" t="s">
        <v>196</v>
      </c>
      <c r="D139" s="22" t="s">
        <v>370</v>
      </c>
      <c r="E139" s="13">
        <v>42754.843761574077</v>
      </c>
      <c r="F139" s="13">
        <v>42754.854699074072</v>
      </c>
      <c r="G139" s="7">
        <v>2</v>
      </c>
      <c r="H139" s="22" t="s">
        <v>758</v>
      </c>
      <c r="I139" s="13">
        <v>42754.881099537037</v>
      </c>
      <c r="J139" s="7">
        <v>5</v>
      </c>
      <c r="K139" s="105" t="str">
        <f t="shared" si="50"/>
        <v>4041/4042</v>
      </c>
      <c r="L139" s="22" t="str">
        <f>VLOOKUP(A139,'Trips&amp;Operators'!$C$1:$G$99999,5,FALSE)</f>
        <v>HILLS DUSTIN</v>
      </c>
      <c r="M139" s="6">
        <f t="shared" si="51"/>
        <v>2.6400462964375038E-2</v>
      </c>
      <c r="N139" s="7">
        <f>24*60*SUM($M139:$M139)</f>
        <v>38.016666668700054</v>
      </c>
      <c r="O139" s="7"/>
      <c r="P139" s="7"/>
      <c r="Q139" s="23"/>
      <c r="R139" s="23"/>
      <c r="S139" s="32">
        <f t="shared" si="52"/>
        <v>1</v>
      </c>
      <c r="T139" s="47" t="str">
        <f t="shared" si="53"/>
        <v>NorthBound</v>
      </c>
      <c r="U139" s="164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4" t="str">
        <f t="shared" si="36"/>
        <v>https://d0f6bd738d7f1b3e5a7ca70fe4ff75f0.us-east-1.aws.found.io/app/kibana#/discover/Steve-Slow-Train-Analysis-(2080s-and-2083s)?_g=(refreshInterval:(display:Off,pause:!f,section:0,value:0),time:(from:'2017-01-19T19:15:01-0700',mode:absolute,to:'2017-01-19T22:08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9" s="49" t="str">
        <f t="shared" si="54"/>
        <v>N</v>
      </c>
      <c r="X139" s="170">
        <f t="shared" si="48"/>
        <v>1</v>
      </c>
      <c r="Y139" s="64">
        <f t="shared" si="55"/>
        <v>4.1500000000000002E-2</v>
      </c>
      <c r="Z139" s="64">
        <f t="shared" si="56"/>
        <v>23.340800000000002</v>
      </c>
      <c r="AA139" s="64">
        <f t="shared" si="57"/>
        <v>23.299300000000002</v>
      </c>
      <c r="AB139" s="61" t="e">
        <f>VLOOKUP(A139,Enforcements!$C$7:$K$15,8,0)</f>
        <v>#N/A</v>
      </c>
      <c r="AC139" s="57" t="e">
        <f>VLOOKUP(A139,Enforcements!$C$7:$E$15,3,0)</f>
        <v>#N/A</v>
      </c>
      <c r="AD139" s="58" t="str">
        <f t="shared" si="58"/>
        <v>0227-19</v>
      </c>
      <c r="AE139" s="87" t="str">
        <f t="shared" si="42"/>
        <v>aws s3 cp s3://rtdc.mdm.uploadarchive.raw/RTDC4042/ "%USERPROFILE%\AppData\Local\Temp\OnboardLogs"\RTDC4042\2017-01-19 --exclude "*" --recursive --include "*20170119*" &amp; "%USERPROFILE%\Documents\GitHub\mrs-test-scripts\Headless Mode &amp; Sideloading\WalkAndUnGZ.bat" "%USERPROFILE%\AppData\Local\Temp\OnboardLogs"\RTDC4042\2017-01-19 &amp; aws s3 cp s3://rtdc.mdm.uploadarchive.raw/RTDC4042/ "%USERPROFILE%\AppData\Local\Temp\OnboardLogs"\RTDC4042\2017-01-20 --exclude "*" --recursive --include "*20170120*" &amp; "%USERPROFILE%\Documents\GitHub\mrs-test-scripts\Headless Mode &amp; Sideloading\WalkAndUnGZ.bat" "%USERPROFILE%\AppData\Local\Temp\OnboardLogs"\RTDC4042\2017-01-20</v>
      </c>
      <c r="AF139" s="84" t="str">
        <f t="shared" si="43"/>
        <v>"C:\Program Files (x86)\AstroGrep\AstroGrep.exe" /spath="%USERPROFILE%\AppData\Local\Temp\OnboardLogs" /stypes="app*4042*20170120*" /stext=" 04:.+((SYSTEM_STATE.+slice.+state.+changed )|(ment ac)|(multiple cpu faults)|(system.+state.+changed )|(\[timeout)|(PRM\|1\|D)|(kpr)|(kdp)|(\|lc)|(penalty))" /e /r /s</v>
      </c>
      <c r="AG139" s="1" t="str">
        <f t="shared" si="59"/>
        <v>EC</v>
      </c>
      <c r="AH139" s="88" t="str">
        <f t="shared" si="45"/>
        <v>"%USERPROFILE%\Documents\GitHub\eaglep3\Utilities\RefineRTDCRunTimes.py" --tripid 227-19 --locoid 4042 --swversion DE.1.0.8.0 --startMP 204:415 --initTime 2017-01-19T20:15:01 --startdatetime 2017-01-19T20:30:46 --delay 2 --endMP 204:233408 --enddatetime 2017-01-19T21:08:47 --enforcementcount 5 &gt;&gt;C:\Users\stu\Documents\GitHub\eaglep3-reporting\EC\2017-01-19-refined-times.txt</v>
      </c>
      <c r="AI139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{"issue":{"subject":"","project_id":79,"tracker_id":40,"status_id":1,"priority_id":2,"assigned_to_id":23,"start_date":"2017-01-19","description":"","custom_fields":[{"id":1,"name":"Subdivision","value":"EC"},{"id":4,"name":"Milepost","value":"23.3408"},{"id":17,"name":"Train ID","value":"227-19"},{"id":16,"name":"Locomotive ID","value":"4042"},{"id":130,"name":"Impact","value":""},{"id":150,"name":"Time of Event (Mountain Time)","value":"21:08:47"},{"id":151,"name":"Denver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0"/>
      <c r="AK139" s="50"/>
      <c r="AL139" s="50"/>
      <c r="AM139" s="177" t="str">
        <f t="shared" si="47"/>
        <v>start /low /b %USERPROFILE%\Documents\GitHub\eaglep3\Utilities\DownloadLogsFromS3.py --loco 4042 --day 2017-01-19</v>
      </c>
      <c r="AN139" s="186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"%USERPROFILE%\AppData\Local\Temp\OnboardLogs"\RTDC4042\*4042*20170120* | grep -SE "(Enforcement Action)|(\[TIMEOUT)|(CHR.+\|PRM\|1\|D.+(SWITCH|SIGNAL).+UNKNOWN)" - &gt;&gt; 2017-01-19-UncaughtWiMAX.txt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4" t="s">
        <v>876</v>
      </c>
      <c r="B140" s="7"/>
      <c r="C140" s="22"/>
      <c r="D140" s="22"/>
      <c r="E140" s="13"/>
      <c r="F140" s="13"/>
      <c r="G140" s="7"/>
      <c r="H140" s="22"/>
      <c r="I140" s="13"/>
      <c r="J140" s="7">
        <v>5</v>
      </c>
      <c r="K140" s="105" t="str">
        <f t="shared" si="50"/>
        <v>-1/</v>
      </c>
      <c r="L140" s="22" t="e">
        <f>VLOOKUP(A140,'Trips&amp;Operators'!$C$1:$G$99999,5,FALSE)</f>
        <v>#N/A</v>
      </c>
      <c r="M140" s="6">
        <f t="shared" si="51"/>
        <v>0</v>
      </c>
      <c r="N140" s="7"/>
      <c r="O140" s="7"/>
      <c r="P140" s="7">
        <v>1</v>
      </c>
      <c r="Q140" s="23"/>
      <c r="R140" s="23" t="s">
        <v>875</v>
      </c>
      <c r="S140" s="32">
        <f t="shared" si="52"/>
        <v>0</v>
      </c>
      <c r="T140" s="47" t="str">
        <f t="shared" si="53"/>
        <v>Southbound</v>
      </c>
      <c r="U140" s="164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0</v>
      </c>
      <c r="V140" s="94" t="e">
        <f t="shared" si="36"/>
        <v>#VALUE!</v>
      </c>
      <c r="W140" s="49" t="e">
        <f t="shared" si="54"/>
        <v>#VALUE!</v>
      </c>
      <c r="X140" s="170">
        <f t="shared" ref="X140:X141" si="61">VALUE(LEFT(AD140,4))-VALUE(LEFT(AD139,4))</f>
        <v>1</v>
      </c>
      <c r="Y140" s="64" t="e">
        <f t="shared" si="55"/>
        <v>#VALUE!</v>
      </c>
      <c r="Z140" s="64" t="e">
        <f t="shared" si="56"/>
        <v>#VALUE!</v>
      </c>
      <c r="AA140" s="64" t="e">
        <f t="shared" si="57"/>
        <v>#VALUE!</v>
      </c>
      <c r="AB140" s="61" t="e">
        <f>VLOOKUP(A140,Enforcements!$C$7:$K$15,8,0)</f>
        <v>#N/A</v>
      </c>
      <c r="AC140" s="57" t="e">
        <f>VLOOKUP(A140,Enforcements!$C$7:$E$15,3,0)</f>
        <v>#N/A</v>
      </c>
      <c r="AD140" s="58" t="str">
        <f t="shared" si="58"/>
        <v>0228-19</v>
      </c>
      <c r="AE140" s="87" t="str">
        <f t="shared" si="42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40" s="84" t="str">
        <f t="shared" si="43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40" s="1" t="str">
        <f t="shared" si="59"/>
        <v>EC</v>
      </c>
      <c r="AH140" s="88" t="str">
        <f t="shared" ref="AH140" si="62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228-19 --locoid  --swversion  --startMP  --initTime 1900-01-00T00:00:00 --startdatetime 1900-01-00T00:00:00 --delay  --endMP  --enddatetime 1900-01-00T00:00:00 --enforcementcount 5 &gt;&gt;C:\Users\stu\Documents\GitHub\eaglep3-reporting\EC\2017-01-19-refined-times.txt</v>
      </c>
      <c r="AI140" s="115" t="e">
        <f t="shared" ref="AI140" si="63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-X POST -H ""Content-Type: application/json"" -H ""X-Redmine-API-Key: "&amp;redm_api_key&amp;""" "&amp;redm_url&amp;" --data @-"</f>
        <v>#VALUE!</v>
      </c>
      <c r="AJ140" s="50"/>
      <c r="AK140" s="50"/>
      <c r="AL140" s="50"/>
      <c r="AM140" s="177" t="str">
        <f t="shared" ref="AM140" si="64">"start /low /b "&amp;dls3logs&amp;" --loco "&amp;B140&amp;" --day "&amp;TEXT(F140,"YYYY-MM-DD")</f>
        <v>start /low /b %USERPROFILE%\Documents\GitHub\eaglep3\Utilities\DownloadLogsFromS3.py --loco  --day 1900-01-00</v>
      </c>
      <c r="AN140" s="186" t="e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#DIV/0!</v>
      </c>
    </row>
    <row r="141" spans="1:91" s="21" customFormat="1" x14ac:dyDescent="0.25">
      <c r="A141" s="34" t="s">
        <v>691</v>
      </c>
      <c r="B141" s="7">
        <v>4031</v>
      </c>
      <c r="C141" s="22" t="s">
        <v>196</v>
      </c>
      <c r="D141" s="22" t="s">
        <v>368</v>
      </c>
      <c r="E141" s="13">
        <v>42754.87263888889</v>
      </c>
      <c r="F141" s="13">
        <v>42754.875243055554</v>
      </c>
      <c r="G141" s="7">
        <v>1</v>
      </c>
      <c r="H141" s="22" t="s">
        <v>245</v>
      </c>
      <c r="I141" s="13">
        <v>42754.901226851849</v>
      </c>
      <c r="J141" s="7">
        <v>5</v>
      </c>
      <c r="K141" s="105" t="str">
        <f t="shared" si="50"/>
        <v>4031/4032</v>
      </c>
      <c r="L141" s="22" t="str">
        <f>VLOOKUP(A141,'Trips&amp;Operators'!$C$1:$G$99999,5,FALSE)</f>
        <v>CHANDLER KELVIN</v>
      </c>
      <c r="M141" s="6">
        <f t="shared" si="51"/>
        <v>2.5983796294895001E-2</v>
      </c>
      <c r="N141" s="7">
        <f>24*60*SUM($M141:$M141)</f>
        <v>37.416666664648801</v>
      </c>
      <c r="O141" s="7"/>
      <c r="P141" s="7"/>
      <c r="Q141" s="23"/>
      <c r="R141" s="23"/>
      <c r="S141" s="32">
        <f t="shared" si="52"/>
        <v>1</v>
      </c>
      <c r="T141" s="47" t="str">
        <f t="shared" si="53"/>
        <v>NorthBound</v>
      </c>
      <c r="U141" s="164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4" t="str">
        <f t="shared" ref="V141:V204" si="65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-01-19T19:56:36-0700',mode:absolute,to:'2017-01-19T22:37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1" s="49" t="str">
        <f t="shared" si="54"/>
        <v>N</v>
      </c>
      <c r="X141" s="170">
        <f t="shared" si="61"/>
        <v>1</v>
      </c>
      <c r="Y141" s="64">
        <f t="shared" si="55"/>
        <v>4.6399999999999997E-2</v>
      </c>
      <c r="Z141" s="64">
        <f t="shared" si="56"/>
        <v>23.3293</v>
      </c>
      <c r="AA141" s="64">
        <f t="shared" ref="AA141" si="66">ABS(Z141-Y141)</f>
        <v>23.282900000000001</v>
      </c>
      <c r="AB141" s="61" t="e">
        <f>VLOOKUP(A141,Enforcements!$C$7:$K$15,8,0)</f>
        <v>#N/A</v>
      </c>
      <c r="AC141" s="57" t="e">
        <f>VLOOKUP(A141,Enforcements!$C$7:$E$15,3,0)</f>
        <v>#N/A</v>
      </c>
      <c r="AD141" s="58" t="str">
        <f t="shared" si="58"/>
        <v>0229-19</v>
      </c>
      <c r="AE141" s="87" t="str">
        <f t="shared" ref="AE141:AE204" si="67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s3://rtdc.mdm.uploadarchive.raw/RTDC4031/ "%USERPROFILE%\AppData\Local\Temp\OnboardLogs"\RTDC4031\2017-01-19 --exclude "*" --recursive --include "*20170119*" &amp; "%USERPROFILE%\Documents\GitHub\mrs-test-scripts\Headless Mode &amp; Sideloading\WalkAndUnGZ.bat" "%USERPROFILE%\AppData\Local\Temp\OnboardLogs"\RTDC4031\2017-01-19 &amp; aws s3 cp s3://rtdc.mdm.uploadarchive.raw/RTDC4031/ "%USERPROFILE%\AppData\Local\Temp\OnboardLogs"\RTDC4031\2017-01-20 --exclude "*" --recursive --include "*20170120*" &amp; "%USERPROFILE%\Documents\GitHub\mrs-test-scripts\Headless Mode &amp; Sideloading\WalkAndUnGZ.bat" "%USERPROFILE%\AppData\Local\Temp\OnboardLogs"\RTDC4031\2017-01-20</v>
      </c>
      <c r="AF141" s="84" t="str">
        <f t="shared" ref="AF141:AF204" si="68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/stypes="app*4031*20170120*" /stext=" 04:.+((SYSTEM_STATE.+slice.+state.+changed )|(ment ac)|(multiple cpu faults)|(system.+state.+changed )|(\[timeout)|(PRM\|1\|D)|(kpr)|(kdp)|(\|lc)|(penalty))" /e /r /s</v>
      </c>
      <c r="AG141" s="1" t="str">
        <f t="shared" si="59"/>
        <v>EC</v>
      </c>
      <c r="AH141" s="88" t="str">
        <f t="shared" si="45"/>
        <v>"%USERPROFILE%\Documents\GitHub\eaglep3\Utilities\RefineRTDCRunTimes.py" --tripid 229-19 --locoid 4031 --swversion DE.1.0.8.0 --startMP 204:464 --initTime 2017-01-19T20:56:36 --startdatetime 2017-01-19T21:00:21 --delay 1 --endMP 204:233293 --enddatetime 2017-01-19T21:37:46 --enforcementcount 5 &gt;&gt;C:\Users\stu\Documents\GitHub\eaglep3-reporting\EC\2017-01-19-refined-times.txt</v>
      </c>
      <c r="AI141" s="115" t="str">
        <f t="shared" si="46"/>
        <v>echo {"issue":{"subject":"","project_id":79,"tracker_id":40,"status_id":1,"priority_id":2,"assigned_to_id":23,"start_date":"2017-01-19","description":"","custom_fields":[{"id":1,"name":"Subdivision","value":"EC"},{"id":4,"name":"Milepost","value":"23.3293"},{"id":17,"name":"Train ID","value":"229-19"},{"id":16,"name":"Locomotive ID","value":"4031"},{"id":130,"name":"Impact","value":""},{"id":150,"name":"Time of Event (Mountain Time)","value":"21:37:46"},{"id":151,"name":"Denver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0"/>
      <c r="AK141" s="50"/>
      <c r="AL141" s="50"/>
      <c r="AM141" s="177" t="str">
        <f t="shared" si="47"/>
        <v>start /low /b %USERPROFILE%\Documents\GitHub\eaglep3\Utilities\DownloadLogsFromS3.py --loco 4031 --day 2017-01-19</v>
      </c>
      <c r="AN141" s="186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"%USERPROFILE%\AppData\Local\Temp\OnboardLogs"\RTDC4031\*4031*20170120* | grep -SE "(Enforcement Action)|(\[TIMEOUT)|(CHR.+\|PRM\|1\|D.+(SWITCH|SIGNAL).+UNKNOWN)" - &gt;&gt; 2017-01-19-UncaughtWiMAX.txt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4" t="s">
        <v>877</v>
      </c>
      <c r="B142" s="7"/>
      <c r="C142" s="22" t="s">
        <v>196</v>
      </c>
      <c r="D142" s="22" t="s">
        <v>368</v>
      </c>
      <c r="E142" s="13">
        <v>42754.87263888889</v>
      </c>
      <c r="F142" s="13"/>
      <c r="G142" s="7"/>
      <c r="H142" s="22"/>
      <c r="I142" s="13"/>
      <c r="J142" s="7">
        <v>5</v>
      </c>
      <c r="K142" s="105" t="str">
        <f t="shared" ref="K142:K156" si="69">IF(ISEVEN(B142),(B142-1)&amp;"/"&amp;B142,B142&amp;"/"&amp;(B142+1))</f>
        <v>-1/</v>
      </c>
      <c r="L142" s="22" t="e">
        <f>VLOOKUP(A142,'Trips&amp;Operators'!$C$1:$G$99999,5,FALSE)</f>
        <v>#N/A</v>
      </c>
      <c r="M142" s="6">
        <f t="shared" ref="M142:M156" si="70">I142-F142</f>
        <v>0</v>
      </c>
      <c r="N142" s="7"/>
      <c r="O142" s="7"/>
      <c r="P142" s="7">
        <v>1</v>
      </c>
      <c r="Q142" s="23"/>
      <c r="R142" s="23" t="s">
        <v>892</v>
      </c>
      <c r="S142" s="32">
        <f t="shared" ref="S142:S156" si="71">SUM(U142:U142)/IF(AG142="EC",12,1)</f>
        <v>0</v>
      </c>
      <c r="T142" s="47" t="str">
        <f t="shared" ref="T142:T156" si="72">IF(ISEVEN(LEFT(AD142,4)),"Southbound","NorthBound")</f>
        <v>Southbound</v>
      </c>
      <c r="U142" s="164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0</v>
      </c>
      <c r="V142" s="94" t="str">
        <f t="shared" si="65"/>
        <v>https://d0f6bd738d7f1b3e5a7ca70fe4ff75f0.us-east-1.aws.found.io/app/kibana#/discover/Steve-Slow-Train-Analysis-(2080s-and-2083s)?_g=(refreshInterval:(display:Off,pause:!f,section:0,value:0),time:(from:'2017-01-19T19:56:36-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142" s="49" t="e">
        <f t="shared" ref="W142:W156" si="73">IF(AA142&lt;IF(AG142="EC",23,5.65),"Y","N")</f>
        <v>#VALUE!</v>
      </c>
      <c r="X142" s="170">
        <f t="shared" ref="X142:X160" si="74">VALUE(LEFT(AD142,4))-VALUE(LEFT(AD141,4))</f>
        <v>1</v>
      </c>
      <c r="Y142" s="64">
        <f t="shared" ref="Y142:Y156" si="75">RIGHT(D142,LEN(D142)-4)/10000</f>
        <v>4.6399999999999997E-2</v>
      </c>
      <c r="Z142" s="64" t="e">
        <f t="shared" ref="Z142:Z156" si="76">RIGHT(H142,LEN(H142)-4)/10000</f>
        <v>#VALUE!</v>
      </c>
      <c r="AA142" s="64" t="e">
        <f t="shared" ref="AA142:AA156" si="77">ABS(Z142-Y142)</f>
        <v>#VALUE!</v>
      </c>
      <c r="AB142" s="61" t="e">
        <f>VLOOKUP(A142,Enforcements!$C$7:$K$15,8,0)</f>
        <v>#N/A</v>
      </c>
      <c r="AC142" s="57" t="e">
        <f>VLOOKUP(A142,Enforcements!$C$7:$E$15,3,0)</f>
        <v>#N/A</v>
      </c>
      <c r="AD142" s="58" t="str">
        <f t="shared" ref="AD142:AD156" si="78">IF(LEN(A142)=6,"0"&amp;A142,A142)</f>
        <v>0230-19</v>
      </c>
      <c r="AE142" s="87" t="str">
        <f t="shared" si="67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42" s="84" t="str">
        <f t="shared" si="68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42" s="1" t="str">
        <f t="shared" ref="AG142:AG156" si="79">IFERROR(IF(VALUE(LEFT(AD142,2))&lt;=2,"EC",IF(OR(VALUE(LEFT(AD142,2))=8,VALUE(LEFT(AD142,2))=18),"NW","Other")),"Other")</f>
        <v>EC</v>
      </c>
      <c r="AH142" s="88" t="str">
        <f t="shared" ref="AH142:AH156" si="80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230-19 --locoid  --swversion DE.1.0.8.0 --startMP 204:464 --initTime 2017-01-19T20:56:36 --startdatetime 1900-01-00T00:00:00 --delay  --endMP  --enddatetime 1900-01-00T00:00:00 --enforcementcount 5 &gt;&gt;C:\Users\stu\Documents\GitHub\eaglep3-reporting\EC\2017-01-19-refined-times.txt</v>
      </c>
      <c r="AI142" s="115" t="e">
        <f t="shared" ref="AI142:AI156" si="81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#VALUE!</v>
      </c>
      <c r="AJ142" s="50"/>
      <c r="AK142" s="50"/>
      <c r="AL142" s="50"/>
      <c r="AM142" s="177" t="str">
        <f t="shared" ref="AM142:AM156" si="82">"start /low /b "&amp;dls3logs&amp;" --loco "&amp;B142&amp;" --day "&amp;TEXT(F142,"YYYY-MM-DD")</f>
        <v>start /low /b %USERPROFILE%\Documents\GitHub\eaglep3\Utilities\DownloadLogsFromS3.py --loco  --day 1900-01-00</v>
      </c>
      <c r="AN142" s="186" t="e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#DIV/0!</v>
      </c>
    </row>
    <row r="143" spans="1:91" s="21" customFormat="1" x14ac:dyDescent="0.25">
      <c r="A143" s="34" t="s">
        <v>878</v>
      </c>
      <c r="B143" s="7"/>
      <c r="C143" s="22" t="s">
        <v>196</v>
      </c>
      <c r="D143" s="22" t="s">
        <v>368</v>
      </c>
      <c r="E143" s="13">
        <v>42754.87263888889</v>
      </c>
      <c r="F143" s="13"/>
      <c r="G143" s="7"/>
      <c r="H143" s="22"/>
      <c r="I143" s="13"/>
      <c r="J143" s="7">
        <v>5</v>
      </c>
      <c r="K143" s="105" t="str">
        <f t="shared" si="69"/>
        <v>-1/</v>
      </c>
      <c r="L143" s="22" t="e">
        <f>VLOOKUP(A143,'Trips&amp;Operators'!$C$1:$G$99999,5,FALSE)</f>
        <v>#N/A</v>
      </c>
      <c r="M143" s="6">
        <f t="shared" si="70"/>
        <v>0</v>
      </c>
      <c r="N143" s="7"/>
      <c r="O143" s="7"/>
      <c r="P143" s="7">
        <v>1</v>
      </c>
      <c r="Q143" s="23"/>
      <c r="R143" s="23" t="s">
        <v>892</v>
      </c>
      <c r="S143" s="32">
        <f t="shared" si="71"/>
        <v>0</v>
      </c>
      <c r="T143" s="47" t="str">
        <f t="shared" si="72"/>
        <v>NorthBound</v>
      </c>
      <c r="U143" s="164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0</v>
      </c>
      <c r="V143" s="94" t="str">
        <f t="shared" si="65"/>
        <v>https://d0f6bd738d7f1b3e5a7ca70fe4ff75f0.us-east-1.aws.found.io/app/kibana#/discover/Steve-Slow-Train-Analysis-(2080s-and-2083s)?_g=(refreshInterval:(display:Off,pause:!f,section:0,value:0),time:(from:'2017-01-19T19:56:36-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143" s="49" t="e">
        <f t="shared" si="73"/>
        <v>#VALUE!</v>
      </c>
      <c r="X143" s="170">
        <f t="shared" si="74"/>
        <v>1</v>
      </c>
      <c r="Y143" s="64">
        <f t="shared" si="75"/>
        <v>4.6399999999999997E-2</v>
      </c>
      <c r="Z143" s="64" t="e">
        <f t="shared" si="76"/>
        <v>#VALUE!</v>
      </c>
      <c r="AA143" s="64" t="e">
        <f t="shared" si="77"/>
        <v>#VALUE!</v>
      </c>
      <c r="AB143" s="61" t="e">
        <f>VLOOKUP(A143,Enforcements!$C$7:$K$15,8,0)</f>
        <v>#N/A</v>
      </c>
      <c r="AC143" s="57" t="e">
        <f>VLOOKUP(A143,Enforcements!$C$7:$E$15,3,0)</f>
        <v>#N/A</v>
      </c>
      <c r="AD143" s="58" t="str">
        <f t="shared" si="78"/>
        <v>0231-19</v>
      </c>
      <c r="AE143" s="87" t="str">
        <f t="shared" si="67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43" s="84" t="str">
        <f t="shared" si="68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43" s="1" t="str">
        <f t="shared" si="79"/>
        <v>EC</v>
      </c>
      <c r="AH143" s="88" t="str">
        <f t="shared" si="80"/>
        <v>"%USERPROFILE%\Documents\GitHub\eaglep3\Utilities\RefineRTDCRunTimes.py" --tripid 231-19 --locoid  --swversion DE.1.0.8.0 --startMP 204:464 --initTime 2017-01-19T20:56:36 --startdatetime 1900-01-00T00:00:00 --delay  --endMP  --enddatetime 1900-01-00T00:00:00 --enforcementcount 5 &gt;&gt;C:\Users\stu\Documents\GitHub\eaglep3-reporting\EC\2017-01-19-refined-times.txt</v>
      </c>
      <c r="AI143" s="115" t="e">
        <f t="shared" si="81"/>
        <v>#VALUE!</v>
      </c>
      <c r="AJ143" s="50"/>
      <c r="AK143" s="50"/>
      <c r="AL143" s="50"/>
      <c r="AM143" s="177" t="str">
        <f t="shared" si="82"/>
        <v>start /low /b %USERPROFILE%\Documents\GitHub\eaglep3\Utilities\DownloadLogsFromS3.py --loco  --day 1900-01-00</v>
      </c>
      <c r="AN143" s="186" t="e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#DIV/0!</v>
      </c>
    </row>
    <row r="144" spans="1:91" s="21" customFormat="1" x14ac:dyDescent="0.25">
      <c r="A144" s="34" t="s">
        <v>879</v>
      </c>
      <c r="B144" s="7"/>
      <c r="C144" s="22" t="s">
        <v>196</v>
      </c>
      <c r="D144" s="22" t="s">
        <v>368</v>
      </c>
      <c r="E144" s="13">
        <v>42754.87263888889</v>
      </c>
      <c r="F144" s="13"/>
      <c r="G144" s="7"/>
      <c r="H144" s="22"/>
      <c r="I144" s="13"/>
      <c r="J144" s="7">
        <v>5</v>
      </c>
      <c r="K144" s="105" t="str">
        <f t="shared" si="69"/>
        <v>-1/</v>
      </c>
      <c r="L144" s="22" t="e">
        <f>VLOOKUP(A144,'Trips&amp;Operators'!$C$1:$G$99999,5,FALSE)</f>
        <v>#N/A</v>
      </c>
      <c r="M144" s="6">
        <f t="shared" si="70"/>
        <v>0</v>
      </c>
      <c r="N144" s="7"/>
      <c r="O144" s="7"/>
      <c r="P144" s="7">
        <v>1</v>
      </c>
      <c r="Q144" s="23"/>
      <c r="R144" s="23" t="s">
        <v>892</v>
      </c>
      <c r="S144" s="32">
        <f t="shared" si="71"/>
        <v>0</v>
      </c>
      <c r="T144" s="47" t="str">
        <f t="shared" si="72"/>
        <v>Southbound</v>
      </c>
      <c r="U144" s="164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0</v>
      </c>
      <c r="V144" s="94" t="str">
        <f t="shared" si="65"/>
        <v>https://d0f6bd738d7f1b3e5a7ca70fe4ff75f0.us-east-1.aws.found.io/app/kibana#/discover/Steve-Slow-Train-Analysis-(2080s-and-2083s)?_g=(refreshInterval:(display:Off,pause:!f,section:0,value:0),time:(from:'2017-01-19T19:56:36-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144" s="49" t="e">
        <f t="shared" si="73"/>
        <v>#VALUE!</v>
      </c>
      <c r="X144" s="170">
        <f t="shared" si="74"/>
        <v>1</v>
      </c>
      <c r="Y144" s="64">
        <f t="shared" si="75"/>
        <v>4.6399999999999997E-2</v>
      </c>
      <c r="Z144" s="64" t="e">
        <f t="shared" si="76"/>
        <v>#VALUE!</v>
      </c>
      <c r="AA144" s="64" t="e">
        <f t="shared" si="77"/>
        <v>#VALUE!</v>
      </c>
      <c r="AB144" s="61" t="e">
        <f>VLOOKUP(A144,Enforcements!$C$7:$K$15,8,0)</f>
        <v>#N/A</v>
      </c>
      <c r="AC144" s="57" t="e">
        <f>VLOOKUP(A144,Enforcements!$C$7:$E$15,3,0)</f>
        <v>#N/A</v>
      </c>
      <c r="AD144" s="58" t="str">
        <f t="shared" si="78"/>
        <v>0232-19</v>
      </c>
      <c r="AE144" s="87" t="str">
        <f t="shared" si="67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44" s="84" t="str">
        <f t="shared" si="68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44" s="1" t="str">
        <f t="shared" si="79"/>
        <v>EC</v>
      </c>
      <c r="AH144" s="88" t="str">
        <f t="shared" si="80"/>
        <v>"%USERPROFILE%\Documents\GitHub\eaglep3\Utilities\RefineRTDCRunTimes.py" --tripid 232-19 --locoid  --swversion DE.1.0.8.0 --startMP 204:464 --initTime 2017-01-19T20:56:36 --startdatetime 1900-01-00T00:00:00 --delay  --endMP  --enddatetime 1900-01-00T00:00:00 --enforcementcount 5 &gt;&gt;C:\Users\stu\Documents\GitHub\eaglep3-reporting\EC\2017-01-19-refined-times.txt</v>
      </c>
      <c r="AI144" s="115" t="e">
        <f t="shared" si="81"/>
        <v>#VALUE!</v>
      </c>
      <c r="AJ144" s="50"/>
      <c r="AK144" s="50"/>
      <c r="AL144" s="50"/>
      <c r="AM144" s="177" t="str">
        <f t="shared" si="82"/>
        <v>start /low /b %USERPROFILE%\Documents\GitHub\eaglep3\Utilities\DownloadLogsFromS3.py --loco  --day 1900-01-00</v>
      </c>
      <c r="AN144" s="186" t="e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#DIV/0!</v>
      </c>
    </row>
    <row r="145" spans="1:91" s="21" customFormat="1" x14ac:dyDescent="0.25">
      <c r="A145" s="34" t="s">
        <v>880</v>
      </c>
      <c r="B145" s="7"/>
      <c r="C145" s="22" t="s">
        <v>196</v>
      </c>
      <c r="D145" s="22" t="s">
        <v>368</v>
      </c>
      <c r="E145" s="13">
        <v>42754.87263888889</v>
      </c>
      <c r="F145" s="13"/>
      <c r="G145" s="7"/>
      <c r="H145" s="22"/>
      <c r="I145" s="13"/>
      <c r="J145" s="7">
        <v>5</v>
      </c>
      <c r="K145" s="105" t="str">
        <f t="shared" si="69"/>
        <v>-1/</v>
      </c>
      <c r="L145" s="22" t="e">
        <f>VLOOKUP(A145,'Trips&amp;Operators'!$C$1:$G$99999,5,FALSE)</f>
        <v>#N/A</v>
      </c>
      <c r="M145" s="6">
        <f t="shared" si="70"/>
        <v>0</v>
      </c>
      <c r="N145" s="7"/>
      <c r="O145" s="7"/>
      <c r="P145" s="7">
        <v>1</v>
      </c>
      <c r="Q145" s="23"/>
      <c r="R145" s="23" t="s">
        <v>892</v>
      </c>
      <c r="S145" s="32">
        <f t="shared" si="71"/>
        <v>0</v>
      </c>
      <c r="T145" s="47" t="str">
        <f t="shared" si="72"/>
        <v>NorthBound</v>
      </c>
      <c r="U145" s="164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0</v>
      </c>
      <c r="V145" s="94" t="str">
        <f t="shared" si="65"/>
        <v>https://d0f6bd738d7f1b3e5a7ca70fe4ff75f0.us-east-1.aws.found.io/app/kibana#/discover/Steve-Slow-Train-Analysis-(2080s-and-2083s)?_g=(refreshInterval:(display:Off,pause:!f,section:0,value:0),time:(from:'2017-01-19T19:56:36-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145" s="49" t="e">
        <f t="shared" si="73"/>
        <v>#VALUE!</v>
      </c>
      <c r="X145" s="170">
        <f t="shared" si="74"/>
        <v>1</v>
      </c>
      <c r="Y145" s="64">
        <f t="shared" si="75"/>
        <v>4.6399999999999997E-2</v>
      </c>
      <c r="Z145" s="64" t="e">
        <f t="shared" si="76"/>
        <v>#VALUE!</v>
      </c>
      <c r="AA145" s="64" t="e">
        <f t="shared" si="77"/>
        <v>#VALUE!</v>
      </c>
      <c r="AB145" s="61" t="e">
        <f>VLOOKUP(A145,Enforcements!$C$7:$K$15,8,0)</f>
        <v>#N/A</v>
      </c>
      <c r="AC145" s="57" t="e">
        <f>VLOOKUP(A145,Enforcements!$C$7:$E$15,3,0)</f>
        <v>#N/A</v>
      </c>
      <c r="AD145" s="58" t="str">
        <f t="shared" si="78"/>
        <v>0233-19</v>
      </c>
      <c r="AE145" s="87" t="str">
        <f t="shared" si="67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45" s="84" t="str">
        <f t="shared" si="68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45" s="1" t="str">
        <f t="shared" si="79"/>
        <v>EC</v>
      </c>
      <c r="AH145" s="88" t="str">
        <f t="shared" si="80"/>
        <v>"%USERPROFILE%\Documents\GitHub\eaglep3\Utilities\RefineRTDCRunTimes.py" --tripid 233-19 --locoid  --swversion DE.1.0.8.0 --startMP 204:464 --initTime 2017-01-19T20:56:36 --startdatetime 1900-01-00T00:00:00 --delay  --endMP  --enddatetime 1900-01-00T00:00:00 --enforcementcount 5 &gt;&gt;C:\Users\stu\Documents\GitHub\eaglep3-reporting\EC\2017-01-19-refined-times.txt</v>
      </c>
      <c r="AI145" s="115" t="e">
        <f t="shared" si="81"/>
        <v>#VALUE!</v>
      </c>
      <c r="AJ145" s="50"/>
      <c r="AK145" s="50"/>
      <c r="AL145" s="50"/>
      <c r="AM145" s="177" t="str">
        <f t="shared" si="82"/>
        <v>start /low /b %USERPROFILE%\Documents\GitHub\eaglep3\Utilities\DownloadLogsFromS3.py --loco  --day 1900-01-00</v>
      </c>
      <c r="AN145" s="186" t="e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#DIV/0!</v>
      </c>
    </row>
    <row r="146" spans="1:91" s="21" customFormat="1" x14ac:dyDescent="0.25">
      <c r="A146" s="34" t="s">
        <v>881</v>
      </c>
      <c r="B146" s="7"/>
      <c r="C146" s="22" t="s">
        <v>196</v>
      </c>
      <c r="D146" s="22" t="s">
        <v>368</v>
      </c>
      <c r="E146" s="13">
        <v>42754.87263888889</v>
      </c>
      <c r="F146" s="13"/>
      <c r="G146" s="7"/>
      <c r="H146" s="22"/>
      <c r="I146" s="13"/>
      <c r="J146" s="7">
        <v>5</v>
      </c>
      <c r="K146" s="105" t="str">
        <f t="shared" si="69"/>
        <v>-1/</v>
      </c>
      <c r="L146" s="22" t="e">
        <f>VLOOKUP(A146,'Trips&amp;Operators'!$C$1:$G$99999,5,FALSE)</f>
        <v>#N/A</v>
      </c>
      <c r="M146" s="6">
        <f t="shared" si="70"/>
        <v>0</v>
      </c>
      <c r="N146" s="7"/>
      <c r="O146" s="7"/>
      <c r="P146" s="7">
        <v>1</v>
      </c>
      <c r="Q146" s="23"/>
      <c r="R146" s="23" t="s">
        <v>892</v>
      </c>
      <c r="S146" s="32">
        <f t="shared" si="71"/>
        <v>0</v>
      </c>
      <c r="T146" s="47" t="str">
        <f t="shared" si="72"/>
        <v>Southbound</v>
      </c>
      <c r="U146" s="164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0</v>
      </c>
      <c r="V146" s="94" t="str">
        <f t="shared" si="65"/>
        <v>https://d0f6bd738d7f1b3e5a7ca70fe4ff75f0.us-east-1.aws.found.io/app/kibana#/discover/Steve-Slow-Train-Analysis-(2080s-and-2083s)?_g=(refreshInterval:(display:Off,pause:!f,section:0,value:0),time:(from:'2017-01-19T19:56:36-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146" s="49" t="e">
        <f t="shared" si="73"/>
        <v>#VALUE!</v>
      </c>
      <c r="X146" s="170">
        <f t="shared" si="74"/>
        <v>1</v>
      </c>
      <c r="Y146" s="64">
        <f t="shared" si="75"/>
        <v>4.6399999999999997E-2</v>
      </c>
      <c r="Z146" s="64" t="e">
        <f t="shared" si="76"/>
        <v>#VALUE!</v>
      </c>
      <c r="AA146" s="64" t="e">
        <f t="shared" si="77"/>
        <v>#VALUE!</v>
      </c>
      <c r="AB146" s="61" t="e">
        <f>VLOOKUP(A146,Enforcements!$C$7:$K$15,8,0)</f>
        <v>#N/A</v>
      </c>
      <c r="AC146" s="57" t="e">
        <f>VLOOKUP(A146,Enforcements!$C$7:$E$15,3,0)</f>
        <v>#N/A</v>
      </c>
      <c r="AD146" s="58" t="str">
        <f t="shared" si="78"/>
        <v>0234-19</v>
      </c>
      <c r="AE146" s="87" t="str">
        <f t="shared" si="67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46" s="84" t="str">
        <f t="shared" si="68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46" s="1" t="str">
        <f t="shared" si="79"/>
        <v>EC</v>
      </c>
      <c r="AH146" s="88" t="str">
        <f t="shared" si="80"/>
        <v>"%USERPROFILE%\Documents\GitHub\eaglep3\Utilities\RefineRTDCRunTimes.py" --tripid 234-19 --locoid  --swversion DE.1.0.8.0 --startMP 204:464 --initTime 2017-01-19T20:56:36 --startdatetime 1900-01-00T00:00:00 --delay  --endMP  --enddatetime 1900-01-00T00:00:00 --enforcementcount 5 &gt;&gt;C:\Users\stu\Documents\GitHub\eaglep3-reporting\EC\2017-01-19-refined-times.txt</v>
      </c>
      <c r="AI146" s="115" t="e">
        <f t="shared" si="81"/>
        <v>#VALUE!</v>
      </c>
      <c r="AJ146" s="50"/>
      <c r="AK146" s="50"/>
      <c r="AL146" s="50"/>
      <c r="AM146" s="177" t="str">
        <f t="shared" si="82"/>
        <v>start /low /b %USERPROFILE%\Documents\GitHub\eaglep3\Utilities\DownloadLogsFromS3.py --loco  --day 1900-01-00</v>
      </c>
      <c r="AN146" s="186" t="e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#DIV/0!</v>
      </c>
    </row>
    <row r="147" spans="1:91" s="21" customFormat="1" x14ac:dyDescent="0.25">
      <c r="A147" s="34" t="s">
        <v>882</v>
      </c>
      <c r="B147" s="7"/>
      <c r="C147" s="22" t="s">
        <v>196</v>
      </c>
      <c r="D147" s="22" t="s">
        <v>368</v>
      </c>
      <c r="E147" s="13">
        <v>42754.87263888889</v>
      </c>
      <c r="F147" s="13"/>
      <c r="G147" s="7"/>
      <c r="H147" s="22"/>
      <c r="I147" s="13"/>
      <c r="J147" s="7">
        <v>5</v>
      </c>
      <c r="K147" s="105" t="str">
        <f t="shared" si="69"/>
        <v>-1/</v>
      </c>
      <c r="L147" s="22" t="e">
        <f>VLOOKUP(A147,'Trips&amp;Operators'!$C$1:$G$99999,5,FALSE)</f>
        <v>#N/A</v>
      </c>
      <c r="M147" s="6">
        <f t="shared" si="70"/>
        <v>0</v>
      </c>
      <c r="N147" s="7"/>
      <c r="O147" s="7"/>
      <c r="P147" s="7">
        <v>1</v>
      </c>
      <c r="Q147" s="23"/>
      <c r="R147" s="23" t="s">
        <v>892</v>
      </c>
      <c r="S147" s="32">
        <f t="shared" si="71"/>
        <v>0</v>
      </c>
      <c r="T147" s="47" t="str">
        <f t="shared" si="72"/>
        <v>NorthBound</v>
      </c>
      <c r="U147" s="164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0</v>
      </c>
      <c r="V147" s="94" t="str">
        <f t="shared" si="65"/>
        <v>https://d0f6bd738d7f1b3e5a7ca70fe4ff75f0.us-east-1.aws.found.io/app/kibana#/discover/Steve-Slow-Train-Analysis-(2080s-and-2083s)?_g=(refreshInterval:(display:Off,pause:!f,section:0,value:0),time:(from:'2017-01-19T19:56:36-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147" s="49" t="e">
        <f t="shared" si="73"/>
        <v>#VALUE!</v>
      </c>
      <c r="X147" s="170">
        <f t="shared" si="74"/>
        <v>1</v>
      </c>
      <c r="Y147" s="64">
        <f t="shared" si="75"/>
        <v>4.6399999999999997E-2</v>
      </c>
      <c r="Z147" s="64" t="e">
        <f t="shared" si="76"/>
        <v>#VALUE!</v>
      </c>
      <c r="AA147" s="64" t="e">
        <f t="shared" si="77"/>
        <v>#VALUE!</v>
      </c>
      <c r="AB147" s="61" t="e">
        <f>VLOOKUP(A147,Enforcements!$C$7:$K$15,8,0)</f>
        <v>#N/A</v>
      </c>
      <c r="AC147" s="57" t="e">
        <f>VLOOKUP(A147,Enforcements!$C$7:$E$15,3,0)</f>
        <v>#N/A</v>
      </c>
      <c r="AD147" s="58" t="str">
        <f t="shared" si="78"/>
        <v>0235-19</v>
      </c>
      <c r="AE147" s="87" t="str">
        <f t="shared" si="67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47" s="84" t="str">
        <f t="shared" si="68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47" s="1" t="str">
        <f t="shared" si="79"/>
        <v>EC</v>
      </c>
      <c r="AH147" s="88" t="str">
        <f t="shared" si="80"/>
        <v>"%USERPROFILE%\Documents\GitHub\eaglep3\Utilities\RefineRTDCRunTimes.py" --tripid 235-19 --locoid  --swversion DE.1.0.8.0 --startMP 204:464 --initTime 2017-01-19T20:56:36 --startdatetime 1900-01-00T00:00:00 --delay  --endMP  --enddatetime 1900-01-00T00:00:00 --enforcementcount 5 &gt;&gt;C:\Users\stu\Documents\GitHub\eaglep3-reporting\EC\2017-01-19-refined-times.txt</v>
      </c>
      <c r="AI147" s="115" t="e">
        <f t="shared" si="81"/>
        <v>#VALUE!</v>
      </c>
      <c r="AJ147" s="50"/>
      <c r="AK147" s="50"/>
      <c r="AL147" s="50"/>
      <c r="AM147" s="177" t="str">
        <f t="shared" si="82"/>
        <v>start /low /b %USERPROFILE%\Documents\GitHub\eaglep3\Utilities\DownloadLogsFromS3.py --loco  --day 1900-01-00</v>
      </c>
      <c r="AN147" s="186" t="e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#DIV/0!</v>
      </c>
    </row>
    <row r="148" spans="1:91" s="21" customFormat="1" x14ac:dyDescent="0.25">
      <c r="A148" s="34" t="s">
        <v>883</v>
      </c>
      <c r="B148" s="7"/>
      <c r="C148" s="22" t="s">
        <v>196</v>
      </c>
      <c r="D148" s="22" t="s">
        <v>368</v>
      </c>
      <c r="E148" s="13">
        <v>42754.87263888889</v>
      </c>
      <c r="F148" s="13"/>
      <c r="G148" s="7"/>
      <c r="H148" s="22"/>
      <c r="I148" s="13"/>
      <c r="J148" s="7">
        <v>5</v>
      </c>
      <c r="K148" s="105" t="str">
        <f t="shared" si="69"/>
        <v>-1/</v>
      </c>
      <c r="L148" s="22" t="e">
        <f>VLOOKUP(A148,'Trips&amp;Operators'!$C$1:$G$99999,5,FALSE)</f>
        <v>#N/A</v>
      </c>
      <c r="M148" s="6">
        <f t="shared" si="70"/>
        <v>0</v>
      </c>
      <c r="N148" s="7"/>
      <c r="O148" s="7"/>
      <c r="P148" s="7">
        <v>1</v>
      </c>
      <c r="Q148" s="23"/>
      <c r="R148" s="23" t="s">
        <v>892</v>
      </c>
      <c r="S148" s="32">
        <f t="shared" si="71"/>
        <v>0</v>
      </c>
      <c r="T148" s="47" t="str">
        <f t="shared" si="72"/>
        <v>Southbound</v>
      </c>
      <c r="U148" s="164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0</v>
      </c>
      <c r="V148" s="94" t="str">
        <f t="shared" si="65"/>
        <v>https://d0f6bd738d7f1b3e5a7ca70fe4ff75f0.us-east-1.aws.found.io/app/kibana#/discover/Steve-Slow-Train-Analysis-(2080s-and-2083s)?_g=(refreshInterval:(display:Off,pause:!f,section:0,value:0),time:(from:'2017-01-19T19:56:36-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148" s="49" t="e">
        <f t="shared" si="73"/>
        <v>#VALUE!</v>
      </c>
      <c r="X148" s="170">
        <f t="shared" si="74"/>
        <v>1</v>
      </c>
      <c r="Y148" s="64">
        <f t="shared" si="75"/>
        <v>4.6399999999999997E-2</v>
      </c>
      <c r="Z148" s="64" t="e">
        <f t="shared" si="76"/>
        <v>#VALUE!</v>
      </c>
      <c r="AA148" s="64" t="e">
        <f t="shared" si="77"/>
        <v>#VALUE!</v>
      </c>
      <c r="AB148" s="61" t="e">
        <f>VLOOKUP(A148,Enforcements!$C$7:$K$15,8,0)</f>
        <v>#N/A</v>
      </c>
      <c r="AC148" s="57" t="e">
        <f>VLOOKUP(A148,Enforcements!$C$7:$E$15,3,0)</f>
        <v>#N/A</v>
      </c>
      <c r="AD148" s="58" t="str">
        <f t="shared" si="78"/>
        <v>0236-19</v>
      </c>
      <c r="AE148" s="87" t="str">
        <f t="shared" si="67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48" s="84" t="str">
        <f t="shared" si="68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48" s="1" t="str">
        <f t="shared" si="79"/>
        <v>EC</v>
      </c>
      <c r="AH148" s="88" t="str">
        <f t="shared" si="80"/>
        <v>"%USERPROFILE%\Documents\GitHub\eaglep3\Utilities\RefineRTDCRunTimes.py" --tripid 236-19 --locoid  --swversion DE.1.0.8.0 --startMP 204:464 --initTime 2017-01-19T20:56:36 --startdatetime 1900-01-00T00:00:00 --delay  --endMP  --enddatetime 1900-01-00T00:00:00 --enforcementcount 5 &gt;&gt;C:\Users\stu\Documents\GitHub\eaglep3-reporting\EC\2017-01-19-refined-times.txt</v>
      </c>
      <c r="AI148" s="115" t="e">
        <f t="shared" si="81"/>
        <v>#VALUE!</v>
      </c>
      <c r="AJ148" s="50"/>
      <c r="AK148" s="50"/>
      <c r="AL148" s="50"/>
      <c r="AM148" s="177" t="str">
        <f t="shared" si="82"/>
        <v>start /low /b %USERPROFILE%\Documents\GitHub\eaglep3\Utilities\DownloadLogsFromS3.py --loco  --day 1900-01-00</v>
      </c>
      <c r="AN148" s="186" t="e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#DIV/0!</v>
      </c>
    </row>
    <row r="149" spans="1:91" s="21" customFormat="1" x14ac:dyDescent="0.25">
      <c r="A149" s="34" t="s">
        <v>884</v>
      </c>
      <c r="B149" s="7"/>
      <c r="C149" s="22" t="s">
        <v>196</v>
      </c>
      <c r="D149" s="22" t="s">
        <v>368</v>
      </c>
      <c r="E149" s="13">
        <v>42754.87263888889</v>
      </c>
      <c r="F149" s="13"/>
      <c r="G149" s="7"/>
      <c r="H149" s="22"/>
      <c r="I149" s="13"/>
      <c r="J149" s="7">
        <v>5</v>
      </c>
      <c r="K149" s="105" t="str">
        <f t="shared" si="69"/>
        <v>-1/</v>
      </c>
      <c r="L149" s="22" t="e">
        <f>VLOOKUP(A149,'Trips&amp;Operators'!$C$1:$G$99999,5,FALSE)</f>
        <v>#N/A</v>
      </c>
      <c r="M149" s="6">
        <f t="shared" si="70"/>
        <v>0</v>
      </c>
      <c r="N149" s="7"/>
      <c r="O149" s="7"/>
      <c r="P149" s="7">
        <v>1</v>
      </c>
      <c r="Q149" s="23"/>
      <c r="R149" s="23" t="s">
        <v>892</v>
      </c>
      <c r="S149" s="32">
        <f t="shared" si="71"/>
        <v>0</v>
      </c>
      <c r="T149" s="47" t="str">
        <f t="shared" si="72"/>
        <v>NorthBound</v>
      </c>
      <c r="U149" s="164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0</v>
      </c>
      <c r="V149" s="94" t="str">
        <f t="shared" si="65"/>
        <v>https://d0f6bd738d7f1b3e5a7ca70fe4ff75f0.us-east-1.aws.found.io/app/kibana#/discover/Steve-Slow-Train-Analysis-(2080s-and-2083s)?_g=(refreshInterval:(display:Off,pause:!f,section:0,value:0),time:(from:'2017-01-19T19:56:36-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149" s="49" t="e">
        <f t="shared" si="73"/>
        <v>#VALUE!</v>
      </c>
      <c r="X149" s="170">
        <f t="shared" si="74"/>
        <v>1</v>
      </c>
      <c r="Y149" s="64">
        <f t="shared" si="75"/>
        <v>4.6399999999999997E-2</v>
      </c>
      <c r="Z149" s="64" t="e">
        <f t="shared" si="76"/>
        <v>#VALUE!</v>
      </c>
      <c r="AA149" s="64" t="e">
        <f t="shared" si="77"/>
        <v>#VALUE!</v>
      </c>
      <c r="AB149" s="61" t="e">
        <f>VLOOKUP(A149,Enforcements!$C$7:$K$15,8,0)</f>
        <v>#N/A</v>
      </c>
      <c r="AC149" s="57" t="e">
        <f>VLOOKUP(A149,Enforcements!$C$7:$E$15,3,0)</f>
        <v>#N/A</v>
      </c>
      <c r="AD149" s="58" t="str">
        <f t="shared" si="78"/>
        <v>0237-19</v>
      </c>
      <c r="AE149" s="87" t="str">
        <f t="shared" si="67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49" s="84" t="str">
        <f t="shared" si="68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49" s="1" t="str">
        <f t="shared" si="79"/>
        <v>EC</v>
      </c>
      <c r="AH149" s="88" t="str">
        <f t="shared" si="80"/>
        <v>"%USERPROFILE%\Documents\GitHub\eaglep3\Utilities\RefineRTDCRunTimes.py" --tripid 237-19 --locoid  --swversion DE.1.0.8.0 --startMP 204:464 --initTime 2017-01-19T20:56:36 --startdatetime 1900-01-00T00:00:00 --delay  --endMP  --enddatetime 1900-01-00T00:00:00 --enforcementcount 5 &gt;&gt;C:\Users\stu\Documents\GitHub\eaglep3-reporting\EC\2017-01-19-refined-times.txt</v>
      </c>
      <c r="AI149" s="115" t="e">
        <f t="shared" si="81"/>
        <v>#VALUE!</v>
      </c>
      <c r="AJ149" s="50"/>
      <c r="AK149" s="50"/>
      <c r="AL149" s="50"/>
      <c r="AM149" s="177" t="str">
        <f t="shared" si="82"/>
        <v>start /low /b %USERPROFILE%\Documents\GitHub\eaglep3\Utilities\DownloadLogsFromS3.py --loco  --day 1900-01-00</v>
      </c>
      <c r="AN149" s="186" t="e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#DIV/0!</v>
      </c>
    </row>
    <row r="150" spans="1:91" s="21" customFormat="1" x14ac:dyDescent="0.25">
      <c r="A150" s="34" t="s">
        <v>885</v>
      </c>
      <c r="B150" s="7"/>
      <c r="C150" s="22" t="s">
        <v>196</v>
      </c>
      <c r="D150" s="22" t="s">
        <v>368</v>
      </c>
      <c r="E150" s="13">
        <v>42754.87263888889</v>
      </c>
      <c r="F150" s="13"/>
      <c r="G150" s="7"/>
      <c r="H150" s="22"/>
      <c r="I150" s="13"/>
      <c r="J150" s="7">
        <v>5</v>
      </c>
      <c r="K150" s="105" t="str">
        <f t="shared" si="69"/>
        <v>-1/</v>
      </c>
      <c r="L150" s="22" t="e">
        <f>VLOOKUP(A150,'Trips&amp;Operators'!$C$1:$G$99999,5,FALSE)</f>
        <v>#N/A</v>
      </c>
      <c r="M150" s="6">
        <f t="shared" si="70"/>
        <v>0</v>
      </c>
      <c r="N150" s="7"/>
      <c r="O150" s="7"/>
      <c r="P150" s="7">
        <v>1</v>
      </c>
      <c r="Q150" s="23"/>
      <c r="R150" s="23" t="s">
        <v>892</v>
      </c>
      <c r="S150" s="32">
        <f t="shared" si="71"/>
        <v>0</v>
      </c>
      <c r="T150" s="47" t="str">
        <f t="shared" si="72"/>
        <v>Southbound</v>
      </c>
      <c r="U150" s="164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0</v>
      </c>
      <c r="V150" s="94" t="str">
        <f t="shared" si="65"/>
        <v>https://d0f6bd738d7f1b3e5a7ca70fe4ff75f0.us-east-1.aws.found.io/app/kibana#/discover/Steve-Slow-Train-Analysis-(2080s-and-2083s)?_g=(refreshInterval:(display:Off,pause:!f,section:0,value:0),time:(from:'2017-01-19T19:56:36-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150" s="49" t="e">
        <f t="shared" si="73"/>
        <v>#VALUE!</v>
      </c>
      <c r="X150" s="170">
        <f t="shared" si="74"/>
        <v>1</v>
      </c>
      <c r="Y150" s="64">
        <f t="shared" si="75"/>
        <v>4.6399999999999997E-2</v>
      </c>
      <c r="Z150" s="64" t="e">
        <f t="shared" si="76"/>
        <v>#VALUE!</v>
      </c>
      <c r="AA150" s="64" t="e">
        <f t="shared" si="77"/>
        <v>#VALUE!</v>
      </c>
      <c r="AB150" s="61" t="e">
        <f>VLOOKUP(A150,Enforcements!$C$7:$K$15,8,0)</f>
        <v>#N/A</v>
      </c>
      <c r="AC150" s="57" t="e">
        <f>VLOOKUP(A150,Enforcements!$C$7:$E$15,3,0)</f>
        <v>#N/A</v>
      </c>
      <c r="AD150" s="58" t="str">
        <f t="shared" si="78"/>
        <v>0238-19</v>
      </c>
      <c r="AE150" s="87" t="str">
        <f t="shared" si="67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50" s="84" t="str">
        <f t="shared" si="68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50" s="1" t="str">
        <f t="shared" si="79"/>
        <v>EC</v>
      </c>
      <c r="AH150" s="88" t="str">
        <f t="shared" si="80"/>
        <v>"%USERPROFILE%\Documents\GitHub\eaglep3\Utilities\RefineRTDCRunTimes.py" --tripid 238-19 --locoid  --swversion DE.1.0.8.0 --startMP 204:464 --initTime 2017-01-19T20:56:36 --startdatetime 1900-01-00T00:00:00 --delay  --endMP  --enddatetime 1900-01-00T00:00:00 --enforcementcount 5 &gt;&gt;C:\Users\stu\Documents\GitHub\eaglep3-reporting\EC\2017-01-19-refined-times.txt</v>
      </c>
      <c r="AI150" s="115" t="e">
        <f t="shared" si="81"/>
        <v>#VALUE!</v>
      </c>
      <c r="AJ150" s="50"/>
      <c r="AK150" s="50"/>
      <c r="AL150" s="50"/>
      <c r="AM150" s="177" t="str">
        <f t="shared" si="82"/>
        <v>start /low /b %USERPROFILE%\Documents\GitHub\eaglep3\Utilities\DownloadLogsFromS3.py --loco  --day 1900-01-00</v>
      </c>
      <c r="AN150" s="186" t="e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#DIV/0!</v>
      </c>
    </row>
    <row r="151" spans="1:91" s="21" customFormat="1" x14ac:dyDescent="0.25">
      <c r="A151" s="34" t="s">
        <v>886</v>
      </c>
      <c r="B151" s="7"/>
      <c r="C151" s="22" t="s">
        <v>196</v>
      </c>
      <c r="D151" s="22" t="s">
        <v>368</v>
      </c>
      <c r="E151" s="13">
        <v>42754.87263888889</v>
      </c>
      <c r="F151" s="13"/>
      <c r="G151" s="7"/>
      <c r="H151" s="22"/>
      <c r="I151" s="13"/>
      <c r="J151" s="7">
        <v>5</v>
      </c>
      <c r="K151" s="105" t="str">
        <f t="shared" si="69"/>
        <v>-1/</v>
      </c>
      <c r="L151" s="22" t="e">
        <f>VLOOKUP(A151,'Trips&amp;Operators'!$C$1:$G$99999,5,FALSE)</f>
        <v>#N/A</v>
      </c>
      <c r="M151" s="6">
        <f t="shared" si="70"/>
        <v>0</v>
      </c>
      <c r="N151" s="7"/>
      <c r="O151" s="7"/>
      <c r="P151" s="7">
        <v>1</v>
      </c>
      <c r="Q151" s="23"/>
      <c r="R151" s="23" t="s">
        <v>892</v>
      </c>
      <c r="S151" s="32">
        <f t="shared" si="71"/>
        <v>0</v>
      </c>
      <c r="T151" s="47" t="str">
        <f t="shared" si="72"/>
        <v>NorthBound</v>
      </c>
      <c r="U151" s="164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0</v>
      </c>
      <c r="V151" s="94" t="str">
        <f t="shared" si="65"/>
        <v>https://d0f6bd738d7f1b3e5a7ca70fe4ff75f0.us-east-1.aws.found.io/app/kibana#/discover/Steve-Slow-Train-Analysis-(2080s-and-2083s)?_g=(refreshInterval:(display:Off,pause:!f,section:0,value:0),time:(from:'2017-01-19T19:56:36-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151" s="49" t="e">
        <f t="shared" si="73"/>
        <v>#VALUE!</v>
      </c>
      <c r="X151" s="170">
        <f t="shared" si="74"/>
        <v>1</v>
      </c>
      <c r="Y151" s="64">
        <f t="shared" si="75"/>
        <v>4.6399999999999997E-2</v>
      </c>
      <c r="Z151" s="64" t="e">
        <f t="shared" si="76"/>
        <v>#VALUE!</v>
      </c>
      <c r="AA151" s="64" t="e">
        <f t="shared" si="77"/>
        <v>#VALUE!</v>
      </c>
      <c r="AB151" s="61" t="e">
        <f>VLOOKUP(A151,Enforcements!$C$7:$K$15,8,0)</f>
        <v>#N/A</v>
      </c>
      <c r="AC151" s="57" t="e">
        <f>VLOOKUP(A151,Enforcements!$C$7:$E$15,3,0)</f>
        <v>#N/A</v>
      </c>
      <c r="AD151" s="58" t="str">
        <f t="shared" si="78"/>
        <v>0239-19</v>
      </c>
      <c r="AE151" s="87" t="str">
        <f t="shared" si="67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51" s="84" t="str">
        <f t="shared" si="68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51" s="1" t="str">
        <f t="shared" si="79"/>
        <v>EC</v>
      </c>
      <c r="AH151" s="88" t="str">
        <f t="shared" si="80"/>
        <v>"%USERPROFILE%\Documents\GitHub\eaglep3\Utilities\RefineRTDCRunTimes.py" --tripid 239-19 --locoid  --swversion DE.1.0.8.0 --startMP 204:464 --initTime 2017-01-19T20:56:36 --startdatetime 1900-01-00T00:00:00 --delay  --endMP  --enddatetime 1900-01-00T00:00:00 --enforcementcount 5 &gt;&gt;C:\Users\stu\Documents\GitHub\eaglep3-reporting\EC\2017-01-19-refined-times.txt</v>
      </c>
      <c r="AI151" s="115" t="e">
        <f t="shared" si="81"/>
        <v>#VALUE!</v>
      </c>
      <c r="AJ151" s="50"/>
      <c r="AK151" s="50"/>
      <c r="AL151" s="50"/>
      <c r="AM151" s="177" t="str">
        <f t="shared" si="82"/>
        <v>start /low /b %USERPROFILE%\Documents\GitHub\eaglep3\Utilities\DownloadLogsFromS3.py --loco  --day 1900-01-00</v>
      </c>
      <c r="AN151" s="186" t="e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#DIV/0!</v>
      </c>
    </row>
    <row r="152" spans="1:91" s="21" customFormat="1" x14ac:dyDescent="0.25">
      <c r="A152" s="34" t="s">
        <v>887</v>
      </c>
      <c r="B152" s="7"/>
      <c r="C152" s="22" t="s">
        <v>196</v>
      </c>
      <c r="D152" s="22" t="s">
        <v>368</v>
      </c>
      <c r="E152" s="13">
        <v>42754.87263888889</v>
      </c>
      <c r="F152" s="13"/>
      <c r="G152" s="7"/>
      <c r="H152" s="22"/>
      <c r="I152" s="13"/>
      <c r="J152" s="7">
        <v>5</v>
      </c>
      <c r="K152" s="105" t="str">
        <f t="shared" si="69"/>
        <v>-1/</v>
      </c>
      <c r="L152" s="22" t="e">
        <f>VLOOKUP(A152,'Trips&amp;Operators'!$C$1:$G$99999,5,FALSE)</f>
        <v>#N/A</v>
      </c>
      <c r="M152" s="6">
        <f t="shared" si="70"/>
        <v>0</v>
      </c>
      <c r="N152" s="7"/>
      <c r="O152" s="7"/>
      <c r="P152" s="7">
        <v>1</v>
      </c>
      <c r="Q152" s="23"/>
      <c r="R152" s="23" t="s">
        <v>892</v>
      </c>
      <c r="S152" s="32">
        <f t="shared" si="71"/>
        <v>0</v>
      </c>
      <c r="T152" s="47" t="str">
        <f t="shared" si="72"/>
        <v>Southbound</v>
      </c>
      <c r="U152" s="164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0</v>
      </c>
      <c r="V152" s="94" t="str">
        <f t="shared" si="65"/>
        <v>https://d0f6bd738d7f1b3e5a7ca70fe4ff75f0.us-east-1.aws.found.io/app/kibana#/discover/Steve-Slow-Train-Analysis-(2080s-and-2083s)?_g=(refreshInterval:(display:Off,pause:!f,section:0,value:0),time:(from:'2017-01-19T19:56:36-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152" s="49" t="e">
        <f t="shared" si="73"/>
        <v>#VALUE!</v>
      </c>
      <c r="X152" s="170">
        <f t="shared" si="74"/>
        <v>1</v>
      </c>
      <c r="Y152" s="64">
        <f t="shared" si="75"/>
        <v>4.6399999999999997E-2</v>
      </c>
      <c r="Z152" s="64" t="e">
        <f t="shared" si="76"/>
        <v>#VALUE!</v>
      </c>
      <c r="AA152" s="64" t="e">
        <f t="shared" si="77"/>
        <v>#VALUE!</v>
      </c>
      <c r="AB152" s="61" t="e">
        <f>VLOOKUP(A152,Enforcements!$C$7:$K$15,8,0)</f>
        <v>#N/A</v>
      </c>
      <c r="AC152" s="57" t="e">
        <f>VLOOKUP(A152,Enforcements!$C$7:$E$15,3,0)</f>
        <v>#N/A</v>
      </c>
      <c r="AD152" s="58" t="str">
        <f t="shared" si="78"/>
        <v>0240-19</v>
      </c>
      <c r="AE152" s="87" t="str">
        <f t="shared" si="67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52" s="84" t="str">
        <f t="shared" si="68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52" s="1" t="str">
        <f t="shared" si="79"/>
        <v>EC</v>
      </c>
      <c r="AH152" s="88" t="str">
        <f t="shared" si="80"/>
        <v>"%USERPROFILE%\Documents\GitHub\eaglep3\Utilities\RefineRTDCRunTimes.py" --tripid 240-19 --locoid  --swversion DE.1.0.8.0 --startMP 204:464 --initTime 2017-01-19T20:56:36 --startdatetime 1900-01-00T00:00:00 --delay  --endMP  --enddatetime 1900-01-00T00:00:00 --enforcementcount 5 &gt;&gt;C:\Users\stu\Documents\GitHub\eaglep3-reporting\EC\2017-01-19-refined-times.txt</v>
      </c>
      <c r="AI152" s="115" t="e">
        <f t="shared" si="81"/>
        <v>#VALUE!</v>
      </c>
      <c r="AJ152" s="50"/>
      <c r="AK152" s="50"/>
      <c r="AL152" s="50"/>
      <c r="AM152" s="177" t="str">
        <f t="shared" si="82"/>
        <v>start /low /b %USERPROFILE%\Documents\GitHub\eaglep3\Utilities\DownloadLogsFromS3.py --loco  --day 1900-01-00</v>
      </c>
      <c r="AN152" s="186" t="e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#DIV/0!</v>
      </c>
    </row>
    <row r="153" spans="1:91" s="21" customFormat="1" x14ac:dyDescent="0.25">
      <c r="A153" s="34" t="s">
        <v>888</v>
      </c>
      <c r="B153" s="7"/>
      <c r="C153" s="22" t="s">
        <v>196</v>
      </c>
      <c r="D153" s="22" t="s">
        <v>368</v>
      </c>
      <c r="E153" s="13">
        <v>42754.87263888889</v>
      </c>
      <c r="F153" s="13"/>
      <c r="G153" s="7"/>
      <c r="H153" s="22"/>
      <c r="I153" s="13"/>
      <c r="J153" s="7">
        <v>5</v>
      </c>
      <c r="K153" s="105" t="str">
        <f t="shared" si="69"/>
        <v>-1/</v>
      </c>
      <c r="L153" s="22" t="e">
        <f>VLOOKUP(A153,'Trips&amp;Operators'!$C$1:$G$99999,5,FALSE)</f>
        <v>#N/A</v>
      </c>
      <c r="M153" s="6">
        <f t="shared" si="70"/>
        <v>0</v>
      </c>
      <c r="N153" s="7"/>
      <c r="O153" s="7"/>
      <c r="P153" s="7">
        <v>1</v>
      </c>
      <c r="Q153" s="23"/>
      <c r="R153" s="23" t="s">
        <v>892</v>
      </c>
      <c r="S153" s="32">
        <f t="shared" si="71"/>
        <v>0</v>
      </c>
      <c r="T153" s="47" t="str">
        <f t="shared" si="72"/>
        <v>NorthBound</v>
      </c>
      <c r="U153" s="164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0</v>
      </c>
      <c r="V153" s="94" t="str">
        <f t="shared" si="65"/>
        <v>https://d0f6bd738d7f1b3e5a7ca70fe4ff75f0.us-east-1.aws.found.io/app/kibana#/discover/Steve-Slow-Train-Analysis-(2080s-and-2083s)?_g=(refreshInterval:(display:Off,pause:!f,section:0,value:0),time:(from:'2017-01-19T19:56:36-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153" s="49" t="e">
        <f t="shared" si="73"/>
        <v>#VALUE!</v>
      </c>
      <c r="X153" s="170">
        <f t="shared" si="74"/>
        <v>1</v>
      </c>
      <c r="Y153" s="64">
        <f t="shared" si="75"/>
        <v>4.6399999999999997E-2</v>
      </c>
      <c r="Z153" s="64" t="e">
        <f t="shared" si="76"/>
        <v>#VALUE!</v>
      </c>
      <c r="AA153" s="64" t="e">
        <f t="shared" si="77"/>
        <v>#VALUE!</v>
      </c>
      <c r="AB153" s="61" t="e">
        <f>VLOOKUP(A153,Enforcements!$C$7:$K$15,8,0)</f>
        <v>#N/A</v>
      </c>
      <c r="AC153" s="57" t="e">
        <f>VLOOKUP(A153,Enforcements!$C$7:$E$15,3,0)</f>
        <v>#N/A</v>
      </c>
      <c r="AD153" s="58" t="str">
        <f t="shared" si="78"/>
        <v>0241-19</v>
      </c>
      <c r="AE153" s="87" t="str">
        <f t="shared" si="67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53" s="84" t="str">
        <f t="shared" si="68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53" s="1" t="str">
        <f t="shared" si="79"/>
        <v>EC</v>
      </c>
      <c r="AH153" s="88" t="str">
        <f t="shared" si="80"/>
        <v>"%USERPROFILE%\Documents\GitHub\eaglep3\Utilities\RefineRTDCRunTimes.py" --tripid 241-19 --locoid  --swversion DE.1.0.8.0 --startMP 204:464 --initTime 2017-01-19T20:56:36 --startdatetime 1900-01-00T00:00:00 --delay  --endMP  --enddatetime 1900-01-00T00:00:00 --enforcementcount 5 &gt;&gt;C:\Users\stu\Documents\GitHub\eaglep3-reporting\EC\2017-01-19-refined-times.txt</v>
      </c>
      <c r="AI153" s="115" t="e">
        <f t="shared" si="81"/>
        <v>#VALUE!</v>
      </c>
      <c r="AJ153" s="50"/>
      <c r="AK153" s="50"/>
      <c r="AL153" s="50"/>
      <c r="AM153" s="177" t="str">
        <f t="shared" si="82"/>
        <v>start /low /b %USERPROFILE%\Documents\GitHub\eaglep3\Utilities\DownloadLogsFromS3.py --loco  --day 1900-01-00</v>
      </c>
      <c r="AN153" s="186" t="e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#DIV/0!</v>
      </c>
    </row>
    <row r="154" spans="1:91" s="21" customFormat="1" x14ac:dyDescent="0.25">
      <c r="A154" s="34" t="s">
        <v>889</v>
      </c>
      <c r="B154" s="7"/>
      <c r="C154" s="22" t="s">
        <v>196</v>
      </c>
      <c r="D154" s="22" t="s">
        <v>368</v>
      </c>
      <c r="E154" s="13">
        <v>42754.87263888889</v>
      </c>
      <c r="F154" s="13"/>
      <c r="G154" s="7"/>
      <c r="H154" s="22"/>
      <c r="I154" s="13"/>
      <c r="J154" s="7">
        <v>5</v>
      </c>
      <c r="K154" s="105" t="str">
        <f t="shared" si="69"/>
        <v>-1/</v>
      </c>
      <c r="L154" s="22" t="e">
        <f>VLOOKUP(A154,'Trips&amp;Operators'!$C$1:$G$99999,5,FALSE)</f>
        <v>#N/A</v>
      </c>
      <c r="M154" s="6">
        <f t="shared" si="70"/>
        <v>0</v>
      </c>
      <c r="N154" s="7"/>
      <c r="O154" s="7"/>
      <c r="P154" s="7">
        <v>1</v>
      </c>
      <c r="Q154" s="23"/>
      <c r="R154" s="23" t="s">
        <v>892</v>
      </c>
      <c r="S154" s="32">
        <f t="shared" si="71"/>
        <v>0</v>
      </c>
      <c r="T154" s="47" t="str">
        <f t="shared" si="72"/>
        <v>Southbound</v>
      </c>
      <c r="U154" s="164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0</v>
      </c>
      <c r="V154" s="94" t="str">
        <f t="shared" si="65"/>
        <v>https://d0f6bd738d7f1b3e5a7ca70fe4ff75f0.us-east-1.aws.found.io/app/kibana#/discover/Steve-Slow-Train-Analysis-(2080s-and-2083s)?_g=(refreshInterval:(display:Off,pause:!f,section:0,value:0),time:(from:'2017-01-19T19:56:36-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154" s="49" t="e">
        <f t="shared" si="73"/>
        <v>#VALUE!</v>
      </c>
      <c r="X154" s="170">
        <f t="shared" si="74"/>
        <v>1</v>
      </c>
      <c r="Y154" s="64">
        <f t="shared" si="75"/>
        <v>4.6399999999999997E-2</v>
      </c>
      <c r="Z154" s="64" t="e">
        <f t="shared" si="76"/>
        <v>#VALUE!</v>
      </c>
      <c r="AA154" s="64" t="e">
        <f t="shared" si="77"/>
        <v>#VALUE!</v>
      </c>
      <c r="AB154" s="61" t="e">
        <f>VLOOKUP(A154,Enforcements!$C$7:$K$15,8,0)</f>
        <v>#N/A</v>
      </c>
      <c r="AC154" s="57" t="e">
        <f>VLOOKUP(A154,Enforcements!$C$7:$E$15,3,0)</f>
        <v>#N/A</v>
      </c>
      <c r="AD154" s="58" t="str">
        <f t="shared" si="78"/>
        <v>0242-19</v>
      </c>
      <c r="AE154" s="87" t="str">
        <f t="shared" si="67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54" s="84" t="str">
        <f t="shared" si="68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54" s="1" t="str">
        <f t="shared" si="79"/>
        <v>EC</v>
      </c>
      <c r="AH154" s="88" t="str">
        <f t="shared" si="80"/>
        <v>"%USERPROFILE%\Documents\GitHub\eaglep3\Utilities\RefineRTDCRunTimes.py" --tripid 242-19 --locoid  --swversion DE.1.0.8.0 --startMP 204:464 --initTime 2017-01-19T20:56:36 --startdatetime 1900-01-00T00:00:00 --delay  --endMP  --enddatetime 1900-01-00T00:00:00 --enforcementcount 5 &gt;&gt;C:\Users\stu\Documents\GitHub\eaglep3-reporting\EC\2017-01-19-refined-times.txt</v>
      </c>
      <c r="AI154" s="115" t="e">
        <f t="shared" si="81"/>
        <v>#VALUE!</v>
      </c>
      <c r="AJ154" s="50"/>
      <c r="AK154" s="50"/>
      <c r="AL154" s="50"/>
      <c r="AM154" s="177" t="str">
        <f t="shared" si="82"/>
        <v>start /low /b %USERPROFILE%\Documents\GitHub\eaglep3\Utilities\DownloadLogsFromS3.py --loco  --day 1900-01-00</v>
      </c>
      <c r="AN154" s="186" t="e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#DIV/0!</v>
      </c>
    </row>
    <row r="155" spans="1:91" s="21" customFormat="1" x14ac:dyDescent="0.25">
      <c r="A155" s="34" t="s">
        <v>890</v>
      </c>
      <c r="B155" s="7"/>
      <c r="C155" s="22" t="s">
        <v>196</v>
      </c>
      <c r="D155" s="22" t="s">
        <v>368</v>
      </c>
      <c r="E155" s="13">
        <v>42754.87263888889</v>
      </c>
      <c r="F155" s="13"/>
      <c r="G155" s="7"/>
      <c r="H155" s="22"/>
      <c r="I155" s="13"/>
      <c r="J155" s="7">
        <v>5</v>
      </c>
      <c r="K155" s="105" t="str">
        <f t="shared" si="69"/>
        <v>-1/</v>
      </c>
      <c r="L155" s="22" t="e">
        <f>VLOOKUP(A155,'Trips&amp;Operators'!$C$1:$G$99999,5,FALSE)</f>
        <v>#N/A</v>
      </c>
      <c r="M155" s="6">
        <f t="shared" si="70"/>
        <v>0</v>
      </c>
      <c r="N155" s="7"/>
      <c r="O155" s="7"/>
      <c r="P155" s="7">
        <v>1</v>
      </c>
      <c r="Q155" s="23"/>
      <c r="R155" s="23" t="s">
        <v>892</v>
      </c>
      <c r="S155" s="32">
        <f t="shared" si="71"/>
        <v>0</v>
      </c>
      <c r="T155" s="47" t="str">
        <f t="shared" si="72"/>
        <v>NorthBound</v>
      </c>
      <c r="U155" s="164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0</v>
      </c>
      <c r="V155" s="94" t="str">
        <f t="shared" si="65"/>
        <v>https://d0f6bd738d7f1b3e5a7ca70fe4ff75f0.us-east-1.aws.found.io/app/kibana#/discover/Steve-Slow-Train-Analysis-(2080s-and-2083s)?_g=(refreshInterval:(display:Off,pause:!f,section:0,value:0),time:(from:'2017-01-19T19:56:36-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155" s="49" t="e">
        <f t="shared" si="73"/>
        <v>#VALUE!</v>
      </c>
      <c r="X155" s="170">
        <f t="shared" si="74"/>
        <v>1</v>
      </c>
      <c r="Y155" s="64">
        <f t="shared" si="75"/>
        <v>4.6399999999999997E-2</v>
      </c>
      <c r="Z155" s="64" t="e">
        <f t="shared" si="76"/>
        <v>#VALUE!</v>
      </c>
      <c r="AA155" s="64" t="e">
        <f t="shared" si="77"/>
        <v>#VALUE!</v>
      </c>
      <c r="AB155" s="61" t="e">
        <f>VLOOKUP(A155,Enforcements!$C$7:$K$15,8,0)</f>
        <v>#N/A</v>
      </c>
      <c r="AC155" s="57" t="e">
        <f>VLOOKUP(A155,Enforcements!$C$7:$E$15,3,0)</f>
        <v>#N/A</v>
      </c>
      <c r="AD155" s="58" t="str">
        <f t="shared" si="78"/>
        <v>0243-19</v>
      </c>
      <c r="AE155" s="87" t="str">
        <f t="shared" si="67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55" s="84" t="str">
        <f t="shared" si="68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55" s="1" t="str">
        <f t="shared" si="79"/>
        <v>EC</v>
      </c>
      <c r="AH155" s="88" t="str">
        <f t="shared" si="80"/>
        <v>"%USERPROFILE%\Documents\GitHub\eaglep3\Utilities\RefineRTDCRunTimes.py" --tripid 243-19 --locoid  --swversion DE.1.0.8.0 --startMP 204:464 --initTime 2017-01-19T20:56:36 --startdatetime 1900-01-00T00:00:00 --delay  --endMP  --enddatetime 1900-01-00T00:00:00 --enforcementcount 5 &gt;&gt;C:\Users\stu\Documents\GitHub\eaglep3-reporting\EC\2017-01-19-refined-times.txt</v>
      </c>
      <c r="AI155" s="115" t="e">
        <f t="shared" si="81"/>
        <v>#VALUE!</v>
      </c>
      <c r="AJ155" s="50"/>
      <c r="AK155" s="50"/>
      <c r="AL155" s="50"/>
      <c r="AM155" s="177" t="str">
        <f t="shared" si="82"/>
        <v>start /low /b %USERPROFILE%\Documents\GitHub\eaglep3\Utilities\DownloadLogsFromS3.py --loco  --day 1900-01-00</v>
      </c>
      <c r="AN155" s="186" t="e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#DIV/0!</v>
      </c>
    </row>
    <row r="156" spans="1:91" s="21" customFormat="1" x14ac:dyDescent="0.25">
      <c r="A156" s="34" t="s">
        <v>891</v>
      </c>
      <c r="B156" s="7"/>
      <c r="C156" s="22" t="s">
        <v>196</v>
      </c>
      <c r="D156" s="22" t="s">
        <v>368</v>
      </c>
      <c r="E156" s="13">
        <v>42754.87263888889</v>
      </c>
      <c r="F156" s="13"/>
      <c r="G156" s="7"/>
      <c r="H156" s="22"/>
      <c r="I156" s="13"/>
      <c r="J156" s="7">
        <v>5</v>
      </c>
      <c r="K156" s="105" t="str">
        <f t="shared" si="69"/>
        <v>-1/</v>
      </c>
      <c r="L156" s="22" t="e">
        <f>VLOOKUP(A156,'Trips&amp;Operators'!$C$1:$G$99999,5,FALSE)</f>
        <v>#N/A</v>
      </c>
      <c r="M156" s="6">
        <f t="shared" si="70"/>
        <v>0</v>
      </c>
      <c r="N156" s="7"/>
      <c r="O156" s="7"/>
      <c r="P156" s="7">
        <v>1</v>
      </c>
      <c r="Q156" s="23"/>
      <c r="R156" s="23" t="s">
        <v>892</v>
      </c>
      <c r="S156" s="32">
        <f t="shared" si="71"/>
        <v>0</v>
      </c>
      <c r="T156" s="47" t="str">
        <f t="shared" si="72"/>
        <v>Southbound</v>
      </c>
      <c r="U156" s="164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0</v>
      </c>
      <c r="V156" s="94" t="str">
        <f t="shared" si="65"/>
        <v>https://d0f6bd738d7f1b3e5a7ca70fe4ff75f0.us-east-1.aws.found.io/app/kibana#/discover/Steve-Slow-Train-Analysis-(2080s-and-2083s)?_g=(refreshInterval:(display:Off,pause:!f,section:0,value:0),time:(from:'2017-01-19T19:56:36-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156" s="49" t="e">
        <f t="shared" si="73"/>
        <v>#VALUE!</v>
      </c>
      <c r="X156" s="170">
        <f t="shared" si="74"/>
        <v>1</v>
      </c>
      <c r="Y156" s="64">
        <f t="shared" si="75"/>
        <v>4.6399999999999997E-2</v>
      </c>
      <c r="Z156" s="64" t="e">
        <f t="shared" si="76"/>
        <v>#VALUE!</v>
      </c>
      <c r="AA156" s="64" t="e">
        <f t="shared" si="77"/>
        <v>#VALUE!</v>
      </c>
      <c r="AB156" s="61" t="e">
        <f>VLOOKUP(A156,Enforcements!$C$7:$K$15,8,0)</f>
        <v>#N/A</v>
      </c>
      <c r="AC156" s="57" t="e">
        <f>VLOOKUP(A156,Enforcements!$C$7:$E$15,3,0)</f>
        <v>#N/A</v>
      </c>
      <c r="AD156" s="58" t="str">
        <f t="shared" si="78"/>
        <v>0244-19</v>
      </c>
      <c r="AE156" s="87" t="str">
        <f t="shared" si="67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56" s="84" t="str">
        <f t="shared" si="68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56" s="1" t="str">
        <f t="shared" si="79"/>
        <v>EC</v>
      </c>
      <c r="AH156" s="88" t="str">
        <f t="shared" si="80"/>
        <v>"%USERPROFILE%\Documents\GitHub\eaglep3\Utilities\RefineRTDCRunTimes.py" --tripid 244-19 --locoid  --swversion DE.1.0.8.0 --startMP 204:464 --initTime 2017-01-19T20:56:36 --startdatetime 1900-01-00T00:00:00 --delay  --endMP  --enddatetime 1900-01-00T00:00:00 --enforcementcount 5 &gt;&gt;C:\Users\stu\Documents\GitHub\eaglep3-reporting\EC\2017-01-19-refined-times.txt</v>
      </c>
      <c r="AI156" s="115" t="e">
        <f t="shared" si="81"/>
        <v>#VALUE!</v>
      </c>
      <c r="AJ156" s="50"/>
      <c r="AK156" s="50"/>
      <c r="AL156" s="50"/>
      <c r="AM156" s="177" t="str">
        <f t="shared" si="82"/>
        <v>start /low /b %USERPROFILE%\Documents\GitHub\eaglep3\Utilities\DownloadLogsFromS3.py --loco  --day 1900-01-00</v>
      </c>
      <c r="AN156" s="186" t="e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#DIV/0!</v>
      </c>
    </row>
    <row r="157" spans="1:91" s="21" customFormat="1" x14ac:dyDescent="0.25">
      <c r="A157" s="34" t="s">
        <v>525</v>
      </c>
      <c r="B157" s="7">
        <v>4037</v>
      </c>
      <c r="C157" s="22" t="s">
        <v>196</v>
      </c>
      <c r="D157" s="22" t="s">
        <v>793</v>
      </c>
      <c r="E157" s="13">
        <v>42754.216053240743</v>
      </c>
      <c r="F157" s="13">
        <v>42754.218356481484</v>
      </c>
      <c r="G157" s="7">
        <v>1</v>
      </c>
      <c r="H157" s="22" t="s">
        <v>390</v>
      </c>
      <c r="I157" s="13">
        <v>42754.228865740741</v>
      </c>
      <c r="J157" s="7">
        <v>5</v>
      </c>
      <c r="K157" s="105" t="str">
        <f t="shared" ref="K157:K188" si="83">IF(ISEVEN(B157),(B157-1)&amp;"/"&amp;B157,B157&amp;"/"&amp;(B157+1))</f>
        <v>4037/4038</v>
      </c>
      <c r="L157" s="22" t="str">
        <f>VLOOKUP(A157,'Trips&amp;Operators'!$C$1:$G$99999,5,FALSE)</f>
        <v>SHOOK JOHN</v>
      </c>
      <c r="M157" s="6">
        <f t="shared" ref="M157:M188" si="84">I157-F157</f>
        <v>1.0509259256650694E-2</v>
      </c>
      <c r="N157" s="7">
        <f t="shared" ref="N157:N188" si="85">24*60*SUM($M157:$M157)</f>
        <v>15.133333329576999</v>
      </c>
      <c r="O157" s="7"/>
      <c r="P157" s="7"/>
      <c r="Q157" s="23"/>
      <c r="R157" s="23"/>
      <c r="S157" s="32">
        <f t="shared" ref="S157:S188" si="86">SUM(U157:U157)/IF(AG157="EC",12,1)</f>
        <v>1</v>
      </c>
      <c r="T157" s="47" t="str">
        <f t="shared" ref="T157:T188" si="87">IF(ISEVEN(LEFT(AD157,4)),"Southbound","NorthBound")</f>
        <v>Southbound</v>
      </c>
      <c r="U157" s="164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94" t="str">
        <f t="shared" si="65"/>
        <v>https://d0f6bd738d7f1b3e5a7ca70fe4ff75f0.us-east-1.aws.found.io/app/kibana#/discover/Steve-Slow-Train-Analysis-(2080s-and-2083s)?_g=(refreshInterval:(display:Off,pause:!f,section:0,value:0),time:(from:'2017-01-19T04:11:07-0700',mode:absolute,to:'2017-01-19T06:29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57" s="49" t="str">
        <f t="shared" ref="W157:W188" si="88">IF(AA157&lt;IF(AG157="EC",23,5.65),"Y","N")</f>
        <v>N</v>
      </c>
      <c r="X157" s="170">
        <f t="shared" si="74"/>
        <v>556</v>
      </c>
      <c r="Y157" s="64">
        <f t="shared" ref="Y157:Y188" si="89">RIGHT(D157,LEN(D157)-4)/10000</f>
        <v>5.8624999999999998</v>
      </c>
      <c r="Z157" s="64">
        <f t="shared" ref="Z157:Z188" si="90">RIGHT(H157,LEN(H157)-4)/10000</f>
        <v>7.4499999999999997E-2</v>
      </c>
      <c r="AA157" s="64">
        <f t="shared" ref="AA157:AA188" si="91">ABS(Z157-Y157)</f>
        <v>5.7880000000000003</v>
      </c>
      <c r="AB157" s="61" t="e">
        <f>VLOOKUP(A157,Enforcements!$C$7:$K$15,8,0)</f>
        <v>#N/A</v>
      </c>
      <c r="AC157" s="57" t="e">
        <f>VLOOKUP(A157,Enforcements!$C$7:$E$15,3,0)</f>
        <v>#N/A</v>
      </c>
      <c r="AD157" s="58" t="str">
        <f t="shared" ref="AD157:AD188" si="92">IF(LEN(A157)=6,"0"&amp;A157,A157)</f>
        <v>0800-19</v>
      </c>
      <c r="AE157" s="87" t="str">
        <f t="shared" si="67"/>
        <v>aws s3 cp s3://rtdc.mdm.uploadarchive.raw/RTDC4037/ "%USERPROFILE%\AppData\Local\Temp\OnboardLogs"\RTDC4037\2017-01-19 --exclude "*" --recursive --include "*20170119*" &amp; "%USERPROFILE%\Documents\GitHub\mrs-test-scripts\Headless Mode &amp; Sideloading\WalkAndUnGZ.bat" "%USERPROFILE%\AppData\Local\Temp\OnboardLogs"\RTDC4037\2017-01-19 &amp; aws s3 cp s3://rtdc.mdm.uploadarchive.raw/RTDC4037/ "%USERPROFILE%\AppData\Local\Temp\OnboardLogs"\RTDC4037\2017-01-20 --exclude "*" --recursive --include "*20170120*" &amp; "%USERPROFILE%\Documents\GitHub\mrs-test-scripts\Headless Mode &amp; Sideloading\WalkAndUnGZ.bat" "%USERPROFILE%\AppData\Local\Temp\OnboardLogs"\RTDC4037\2017-01-20</v>
      </c>
      <c r="AF157" s="84" t="str">
        <f t="shared" si="68"/>
        <v>"C:\Program Files (x86)\AstroGrep\AstroGrep.exe" /spath="%USERPROFILE%\AppData\Local\Temp\OnboardLogs" /stypes="app*4037*20170119*" /stext=" 12:.+((SYSTEM_STATE.+slice.+state.+changed )|(ment ac)|(multiple cpu faults)|(system.+state.+changed )|(\[timeout)|(PRM\|1\|D)|(kpr)|(kdp)|(\|lc)|(penalty))" /e /r /s</v>
      </c>
      <c r="AG157" s="1" t="str">
        <f t="shared" ref="AG157:AG188" si="93">IFERROR(IF(VALUE(LEFT(AD157,2))&lt;=2,"EC",IF(OR(VALUE(LEFT(AD157,2))=8,VALUE(LEFT(AD157,2))=18),"NW","Other")),"Other")</f>
        <v>NW</v>
      </c>
      <c r="AH157" s="88" t="str">
        <f t="shared" ref="AH157:AH219" si="94">refinertdcruntimes&amp;" --tripid "&amp;A157&amp;" --locoid "&amp;B157&amp;" --swversion "&amp;C157&amp;" --startMP "&amp;D157&amp;" --initTime "&amp;TEXT(E157,"yyyy-mm-ddTHH:MM:SS")&amp;" --startdatetime "&amp;TEXT(F157,"yyyy-mm-ddTHH:MM:SS")&amp;" --delay "&amp;G157&amp;" --endMP "&amp;H157&amp;" --enddatetime "&amp;TEXT(I157,"yyyy-mm-ddTHH:MM:SS")&amp;" --enforcementcount "&amp;J157&amp;IF(outputrefinedruntimes," &gt;&gt;"&amp;RefinedRTDCRunTimesOutputFile,"")</f>
        <v>"%USERPROFILE%\Documents\GitHub\eaglep3\Utilities\RefineRTDCRunTimes.py" --tripid 800-19 --locoid 4037 --swversion DE.1.0.8.0 --startMP 300:58625 --initTime 2017-01-19T05:11:07 --startdatetime 2017-01-19T05:14:26 --delay 1 --endMP 204:745 --enddatetime 2017-01-19T05:29:34 --enforcementcount 5 &gt;&gt;C:\Users\stu\Documents\GitHub\eaglep3-reporting\EC\2017-01-19-refined-times.txt</v>
      </c>
      <c r="AI157" s="115" t="str">
        <f t="shared" ref="AI157:AI219" si="95">"echo {""issue"":{""subject"":"""&amp;R157&amp;""",""project_id"":79,""tracker_id"":40,""status_id"":"&amp;redmine_status&amp;",""priority_id"":"&amp;redmine_priority&amp;",""assigned_to_id"":"&amp;redmine_assignee&amp;",""start_date"":"""&amp;TEXT(I157,"YYYY-mm-dd")&amp;""",""description"":"""&amp;AJ157&amp;""",""custom_fields"":[{""id"":1,""name"":""Subdivision"",""value"":"""&amp;AG157&amp;"""},{""id"":4,""name"":""Milepost"",""value"":"""&amp;Z157&amp;"""},{""id"":17,""name"":""Train ID"",""value"":"""&amp;A157&amp;"""},{""id"":16,""name"":""Locomotive ID"",""value"":"""&amp;B157&amp;"""},{""id"":130,""name"":""Impact"",""value"":"""&amp;AK157&amp;"""},{""id"":150,""name"":""Time of Event (Mountain Time)"",""value"":"""&amp;TEXT(I157,"hh:mm:ss")&amp;"""},{""id"":151,""name"":""Denver Issue ID"",""value"":"""&amp;"""},{""id"":178,""name"":""Operational Impact"",""value"":"""&amp;redmine_op_impact&amp;"""},{""id"":179,""name"":""Denver Segment Assigned"",""value"":"""&amp;AL157&amp;"""}]}}"&amp;"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{"issue":{"subject":"","project_id":79,"tracker_id":40,"status_id":1,"priority_id":2,"assigned_to_id":23,"start_date":"2017-01-19","description":"","custom_fields":[{"id":1,"name":"Subdivision","value":"NW"},{"id":4,"name":"Milepost","value":"0.0745"},{"id":17,"name":"Train ID","value":"800-19"},{"id":16,"name":"Locomotive ID","value":"4037"},{"id":130,"name":"Impact","value":""},{"id":150,"name":"Time of Event (Mountain Time)","value":"05:29:34"},{"id":151,"name":"Denver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0"/>
      <c r="AK157" s="50"/>
      <c r="AL157" s="50"/>
      <c r="AM157" s="177" t="str">
        <f t="shared" ref="AM157:AM219" si="96">"start /low /b "&amp;dls3logs&amp;" --loco "&amp;B157&amp;" --day "&amp;TEXT(F157,"YYYY-MM-DD")</f>
        <v>start /low /b %USERPROFILE%\Documents\GitHub\eaglep3\Utilities\DownloadLogsFromS3.py --loco 4037 --day 2017-01-19</v>
      </c>
      <c r="AN157" s="186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"%USERPROFILE%\AppData\Local\Temp\OnboardLogs"\RTDC4037\*4037*20170119* | grep -SE "(Enforcement Action)|(\[TIMEOUT)|(CHR.+\|PRM\|1\|D.+(SWITCH|SIGNAL).+UNKNOWN)" - &gt;&gt; 2017-01-19-UncaughtWiMAX.txt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4" t="s">
        <v>529</v>
      </c>
      <c r="B158" s="7">
        <v>4038</v>
      </c>
      <c r="C158" s="22" t="s">
        <v>196</v>
      </c>
      <c r="D158" s="22" t="s">
        <v>389</v>
      </c>
      <c r="E158" s="13">
        <v>42754.230937499997</v>
      </c>
      <c r="F158" s="13">
        <v>42754.243969907409</v>
      </c>
      <c r="G158" s="7">
        <v>1</v>
      </c>
      <c r="H158" s="22" t="s">
        <v>794</v>
      </c>
      <c r="I158" s="13">
        <v>42754.254780092589</v>
      </c>
      <c r="J158" s="7">
        <v>5</v>
      </c>
      <c r="K158" s="105" t="str">
        <f t="shared" si="83"/>
        <v>4037/4038</v>
      </c>
      <c r="L158" s="22" t="str">
        <f>VLOOKUP(A158,'Trips&amp;Operators'!$C$1:$G$99999,5,FALSE)</f>
        <v>SHOOK JOHN</v>
      </c>
      <c r="M158" s="6">
        <f t="shared" si="84"/>
        <v>1.081018518016208E-2</v>
      </c>
      <c r="N158" s="7">
        <f t="shared" si="85"/>
        <v>15.566666659433395</v>
      </c>
      <c r="O158" s="7"/>
      <c r="P158" s="7"/>
      <c r="Q158" s="23"/>
      <c r="R158" s="23"/>
      <c r="S158" s="32">
        <f t="shared" si="86"/>
        <v>1</v>
      </c>
      <c r="T158" s="47" t="str">
        <f t="shared" si="87"/>
        <v>NorthBound</v>
      </c>
      <c r="U158" s="164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4" t="str">
        <f t="shared" si="65"/>
        <v>https://d0f6bd738d7f1b3e5a7ca70fe4ff75f0.us-east-1.aws.found.io/app/kibana#/discover/Steve-Slow-Train-Analysis-(2080s-and-2083s)?_g=(refreshInterval:(display:Off,pause:!f,section:0,value:0),time:(from:'2017-01-19T04:32:33-0700',mode:absolute,to:'2017-01-19T07:06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58" s="49" t="str">
        <f t="shared" si="88"/>
        <v>N</v>
      </c>
      <c r="X158" s="170">
        <f t="shared" si="74"/>
        <v>1</v>
      </c>
      <c r="Y158" s="64">
        <f t="shared" si="89"/>
        <v>0.1028</v>
      </c>
      <c r="Z158" s="64">
        <f t="shared" si="90"/>
        <v>5.8968999999999996</v>
      </c>
      <c r="AA158" s="64">
        <f t="shared" si="91"/>
        <v>5.7940999999999994</v>
      </c>
      <c r="AB158" s="61" t="e">
        <f>VLOOKUP(A158,Enforcements!$C$7:$K$15,8,0)</f>
        <v>#N/A</v>
      </c>
      <c r="AC158" s="57" t="e">
        <f>VLOOKUP(A158,Enforcements!$C$7:$E$15,3,0)</f>
        <v>#N/A</v>
      </c>
      <c r="AD158" s="58" t="str">
        <f t="shared" si="92"/>
        <v>0801-19</v>
      </c>
      <c r="AE158" s="87" t="str">
        <f t="shared" si="67"/>
        <v>aws s3 cp s3://rtdc.mdm.uploadarchive.raw/RTDC4038/ "%USERPROFILE%\AppData\Local\Temp\OnboardLogs"\RTDC4038\2017-01-19 --exclude "*" --recursive --include "*20170119*" &amp; "%USERPROFILE%\Documents\GitHub\mrs-test-scripts\Headless Mode &amp; Sideloading\WalkAndUnGZ.bat" "%USERPROFILE%\AppData\Local\Temp\OnboardLogs"\RTDC4038\2017-01-19 &amp; aws s3 cp s3://rtdc.mdm.uploadarchive.raw/RTDC4038/ "%USERPROFILE%\AppData\Local\Temp\OnboardLogs"\RTDC4038\2017-01-20 --exclude "*" --recursive --include "*20170120*" &amp; "%USERPROFILE%\Documents\GitHub\mrs-test-scripts\Headless Mode &amp; Sideloading\WalkAndUnGZ.bat" "%USERPROFILE%\AppData\Local\Temp\OnboardLogs"\RTDC4038\2017-01-20</v>
      </c>
      <c r="AF158" s="84" t="str">
        <f t="shared" si="68"/>
        <v>"C:\Program Files (x86)\AstroGrep\AstroGrep.exe" /spath="%USERPROFILE%\AppData\Local\Temp\OnboardLogs" /stypes="app*4038*20170119*" /stext=" 13:.+((SYSTEM_STATE.+slice.+state.+changed )|(ment ac)|(multiple cpu faults)|(system.+state.+changed )|(\[timeout)|(PRM\|1\|D)|(kpr)|(kdp)|(\|lc)|(penalty))" /e /r /s</v>
      </c>
      <c r="AG158" s="1" t="str">
        <f t="shared" si="93"/>
        <v>NW</v>
      </c>
      <c r="AH158" s="88" t="str">
        <f t="shared" si="94"/>
        <v>"%USERPROFILE%\Documents\GitHub\eaglep3\Utilities\RefineRTDCRunTimes.py" --tripid 801-19 --locoid 4038 --swversion DE.1.0.8.0 --startMP 204:1028 --initTime 2017-01-19T05:32:33 --startdatetime 2017-01-19T05:51:19 --delay 1 --endMP 300:58969 --enddatetime 2017-01-19T06:06:53 --enforcementcount 5 &gt;&gt;C:\Users\stu\Documents\GitHub\eaglep3-reporting\EC\2017-01-19-refined-times.txt</v>
      </c>
      <c r="AI158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{"issue":{"subject":"","project_id":79,"tracker_id":40,"status_id":1,"priority_id":2,"assigned_to_id":23,"start_date":"2017-01-19","description":"","custom_fields":[{"id":1,"name":"Subdivision","value":"NW"},{"id":4,"name":"Milepost","value":"5.8969"},{"id":17,"name":"Train ID","value":"801-19"},{"id":16,"name":"Locomotive ID","value":"4038"},{"id":130,"name":"Impact","value":""},{"id":150,"name":"Time of Event (Mountain Time)","value":"06:06:53"},{"id":151,"name":"Denver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0"/>
      <c r="AK158" s="50"/>
      <c r="AL158" s="50"/>
      <c r="AM158" s="177" t="str">
        <f t="shared" si="96"/>
        <v>start /low /b %USERPROFILE%\Documents\GitHub\eaglep3\Utilities\DownloadLogsFromS3.py --loco 4038 --day 2017-01-19</v>
      </c>
      <c r="AN158" s="186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"%USERPROFILE%\AppData\Local\Temp\OnboardLogs"\RTDC4038\*4038*20170119* | grep -SE "(Enforcement Action)|(\[TIMEOUT)|(CHR.+\|PRM\|1\|D.+(SWITCH|SIGNAL).+UNKNOWN)" - &gt;&gt; 2017-01-19-UncaughtWiMAX.txt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4" t="s">
        <v>536</v>
      </c>
      <c r="B159" s="7">
        <v>4037</v>
      </c>
      <c r="C159" s="22" t="s">
        <v>196</v>
      </c>
      <c r="D159" s="22" t="s">
        <v>795</v>
      </c>
      <c r="E159" s="13">
        <v>42754.256620370368</v>
      </c>
      <c r="F159" s="13">
        <v>42754.258217592593</v>
      </c>
      <c r="G159" s="7">
        <v>1</v>
      </c>
      <c r="H159" s="22" t="s">
        <v>366</v>
      </c>
      <c r="I159" s="13">
        <v>42754.26966435185</v>
      </c>
      <c r="J159" s="7">
        <v>5</v>
      </c>
      <c r="K159" s="105" t="str">
        <f t="shared" si="83"/>
        <v>4037/4038</v>
      </c>
      <c r="L159" s="22" t="str">
        <f>VLOOKUP(A159,'Trips&amp;Operators'!$C$1:$G$99999,5,FALSE)</f>
        <v>SHOOK JOHN</v>
      </c>
      <c r="M159" s="6">
        <f t="shared" si="84"/>
        <v>1.1446759257523809E-2</v>
      </c>
      <c r="N159" s="7">
        <f t="shared" si="85"/>
        <v>16.483333330834284</v>
      </c>
      <c r="O159" s="7"/>
      <c r="P159" s="7"/>
      <c r="Q159" s="23"/>
      <c r="R159" s="23"/>
      <c r="S159" s="32">
        <f t="shared" si="86"/>
        <v>1</v>
      </c>
      <c r="T159" s="47" t="str">
        <f t="shared" si="87"/>
        <v>Southbound</v>
      </c>
      <c r="U159" s="164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4" t="str">
        <f t="shared" si="65"/>
        <v>https://d0f6bd738d7f1b3e5a7ca70fe4ff75f0.us-east-1.aws.found.io/app/kibana#/discover/Steve-Slow-Train-Analysis-(2080s-and-2083s)?_g=(refreshInterval:(display:Off,pause:!f,section:0,value:0),time:(from:'2017-01-19T05:09:32-0700',mode:absolute,to:'2017-01-19T07:28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59" s="49" t="str">
        <f t="shared" si="88"/>
        <v>N</v>
      </c>
      <c r="X159" s="170">
        <f t="shared" si="74"/>
        <v>1</v>
      </c>
      <c r="Y159" s="64">
        <f t="shared" si="89"/>
        <v>5.8662000000000001</v>
      </c>
      <c r="Z159" s="64">
        <f t="shared" si="90"/>
        <v>7.5399999999999995E-2</v>
      </c>
      <c r="AA159" s="64">
        <f t="shared" si="91"/>
        <v>5.7907999999999999</v>
      </c>
      <c r="AB159" s="61" t="e">
        <f>VLOOKUP(A159,Enforcements!$C$7:$K$15,8,0)</f>
        <v>#N/A</v>
      </c>
      <c r="AC159" s="57" t="e">
        <f>VLOOKUP(A159,Enforcements!$C$7:$E$15,3,0)</f>
        <v>#N/A</v>
      </c>
      <c r="AD159" s="58" t="str">
        <f t="shared" si="92"/>
        <v>0802-19</v>
      </c>
      <c r="AE159" s="87" t="str">
        <f t="shared" si="67"/>
        <v>aws s3 cp s3://rtdc.mdm.uploadarchive.raw/RTDC4037/ "%USERPROFILE%\AppData\Local\Temp\OnboardLogs"\RTDC4037\2017-01-19 --exclude "*" --recursive --include "*20170119*" &amp; "%USERPROFILE%\Documents\GitHub\mrs-test-scripts\Headless Mode &amp; Sideloading\WalkAndUnGZ.bat" "%USERPROFILE%\AppData\Local\Temp\OnboardLogs"\RTDC4037\2017-01-19 &amp; aws s3 cp s3://rtdc.mdm.uploadarchive.raw/RTDC4037/ "%USERPROFILE%\AppData\Local\Temp\OnboardLogs"\RTDC4037\2017-01-20 --exclude "*" --recursive --include "*20170120*" &amp; "%USERPROFILE%\Documents\GitHub\mrs-test-scripts\Headless Mode &amp; Sideloading\WalkAndUnGZ.bat" "%USERPROFILE%\AppData\Local\Temp\OnboardLogs"\RTDC4037\2017-01-20</v>
      </c>
      <c r="AF159" s="84" t="str">
        <f t="shared" si="68"/>
        <v>"C:\Program Files (x86)\AstroGrep\AstroGrep.exe" /spath="%USERPROFILE%\AppData\Local\Temp\OnboardLogs" /stypes="app*4037*20170119*" /stext=" 13:.+((SYSTEM_STATE.+slice.+state.+changed )|(ment ac)|(multiple cpu faults)|(system.+state.+changed )|(\[timeout)|(PRM\|1\|D)|(kpr)|(kdp)|(\|lc)|(penalty))" /e /r /s</v>
      </c>
      <c r="AG159" s="1" t="str">
        <f t="shared" si="93"/>
        <v>NW</v>
      </c>
      <c r="AH159" s="88" t="str">
        <f t="shared" si="94"/>
        <v>"%USERPROFILE%\Documents\GitHub\eaglep3\Utilities\RefineRTDCRunTimes.py" --tripid 802-19 --locoid 4037 --swversion DE.1.0.8.0 --startMP 300:58662 --initTime 2017-01-19T06:09:32 --startdatetime 2017-01-19T06:11:50 --delay 1 --endMP 204:754 --enddatetime 2017-01-19T06:28:19 --enforcementcount 5 &gt;&gt;C:\Users\stu\Documents\GitHub\eaglep3-reporting\EC\2017-01-19-refined-times.txt</v>
      </c>
      <c r="AI159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{"issue":{"subject":"","project_id":79,"tracker_id":40,"status_id":1,"priority_id":2,"assigned_to_id":23,"start_date":"2017-01-19","description":"","custom_fields":[{"id":1,"name":"Subdivision","value":"NW"},{"id":4,"name":"Milepost","value":"0.0754"},{"id":17,"name":"Train ID","value":"802-19"},{"id":16,"name":"Locomotive ID","value":"4037"},{"id":130,"name":"Impact","value":""},{"id":150,"name":"Time of Event (Mountain Time)","value":"06:28:19"},{"id":151,"name":"Denver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0"/>
      <c r="AK159" s="50"/>
      <c r="AL159" s="50"/>
      <c r="AM159" s="177" t="str">
        <f t="shared" si="96"/>
        <v>start /low /b %USERPROFILE%\Documents\GitHub\eaglep3\Utilities\DownloadLogsFromS3.py --loco 4037 --day 2017-01-19</v>
      </c>
      <c r="AN159" s="186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"%USERPROFILE%\AppData\Local\Temp\OnboardLogs"\RTDC4037\*4037*20170119* | grep -SE "(Enforcement Action)|(\[TIMEOUT)|(CHR.+\|PRM\|1\|D.+(SWITCH|SIGNAL).+UNKNOWN)" - &gt;&gt; 2017-01-19-UncaughtWiMAX.txt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4" t="s">
        <v>538</v>
      </c>
      <c r="B160" s="7">
        <v>4040</v>
      </c>
      <c r="C160" s="22" t="s">
        <v>196</v>
      </c>
      <c r="D160" s="22" t="s">
        <v>398</v>
      </c>
      <c r="E160" s="13">
        <v>42754.261041666665</v>
      </c>
      <c r="F160" s="13">
        <v>42754.264826388891</v>
      </c>
      <c r="G160" s="7">
        <v>1</v>
      </c>
      <c r="H160" s="22" t="s">
        <v>794</v>
      </c>
      <c r="I160" s="13">
        <v>42754.274247685185</v>
      </c>
      <c r="J160" s="7">
        <v>5</v>
      </c>
      <c r="K160" s="105" t="str">
        <f t="shared" si="83"/>
        <v>4039/4040</v>
      </c>
      <c r="L160" s="22" t="str">
        <f>VLOOKUP(A160,'Trips&amp;Operators'!$C$1:$G$99999,5,FALSE)</f>
        <v>LOZA FIDEL</v>
      </c>
      <c r="M160" s="6">
        <f t="shared" si="84"/>
        <v>9.4212962940218858E-3</v>
      </c>
      <c r="N160" s="7">
        <f t="shared" si="85"/>
        <v>13.566666663391516</v>
      </c>
      <c r="O160" s="7"/>
      <c r="P160" s="7"/>
      <c r="Q160" s="23"/>
      <c r="R160" s="23"/>
      <c r="S160" s="32">
        <f t="shared" si="86"/>
        <v>1</v>
      </c>
      <c r="T160" s="47" t="str">
        <f t="shared" si="87"/>
        <v>NorthBound</v>
      </c>
      <c r="U160" s="164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4" t="str">
        <f t="shared" si="65"/>
        <v>https://d0f6bd738d7f1b3e5a7ca70fe4ff75f0.us-east-1.aws.found.io/app/kibana#/discover/Steve-Slow-Train-Analysis-(2080s-and-2083s)?_g=(refreshInterval:(display:Off,pause:!f,section:0,value:0),time:(from:'2017-01-19T05:15:54-0700',mode:absolute,to:'2017-01-19T07:34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60" s="49" t="str">
        <f t="shared" si="88"/>
        <v>N</v>
      </c>
      <c r="X160" s="170">
        <f t="shared" si="74"/>
        <v>1</v>
      </c>
      <c r="Y160" s="64">
        <f t="shared" si="89"/>
        <v>9.7600000000000006E-2</v>
      </c>
      <c r="Z160" s="64">
        <f t="shared" si="90"/>
        <v>5.8968999999999996</v>
      </c>
      <c r="AA160" s="64">
        <f t="shared" si="91"/>
        <v>5.7992999999999997</v>
      </c>
      <c r="AB160" s="61" t="e">
        <f>VLOOKUP(A160,Enforcements!$C$7:$K$15,8,0)</f>
        <v>#N/A</v>
      </c>
      <c r="AC160" s="57" t="e">
        <f>VLOOKUP(A160,Enforcements!$C$7:$E$15,3,0)</f>
        <v>#N/A</v>
      </c>
      <c r="AD160" s="58" t="str">
        <f t="shared" si="92"/>
        <v>0803-19</v>
      </c>
      <c r="AE160" s="87" t="str">
        <f t="shared" si="67"/>
        <v>aws s3 cp s3://rtdc.mdm.uploadarchive.raw/RTDC4040/ "%USERPROFILE%\AppData\Local\Temp\OnboardLogs"\RTDC4040\2017-01-19 --exclude "*" --recursive --include "*20170119*" &amp; "%USERPROFILE%\Documents\GitHub\mrs-test-scripts\Headless Mode &amp; Sideloading\WalkAndUnGZ.bat" "%USERPROFILE%\AppData\Local\Temp\OnboardLogs"\RTDC4040\2017-01-19 &amp; aws s3 cp s3://rtdc.mdm.uploadarchive.raw/RTDC4040/ "%USERPROFILE%\AppData\Local\Temp\OnboardLogs"\RTDC4040\2017-01-20 --exclude "*" --recursive --include "*20170120*" &amp; "%USERPROFILE%\Documents\GitHub\mrs-test-scripts\Headless Mode &amp; Sideloading\WalkAndUnGZ.bat" "%USERPROFILE%\AppData\Local\Temp\OnboardLogs"\RTDC4040\2017-01-20</v>
      </c>
      <c r="AF160" s="84" t="str">
        <f t="shared" si="68"/>
        <v>"C:\Program Files (x86)\AstroGrep\AstroGrep.exe" /spath="%USERPROFILE%\AppData\Local\Temp\OnboardLogs" /stypes="app*4040*20170119*" /stext=" 13:.+((SYSTEM_STATE.+slice.+state.+changed )|(ment ac)|(multiple cpu faults)|(system.+state.+changed )|(\[timeout)|(PRM\|1\|D)|(kpr)|(kdp)|(\|lc)|(penalty))" /e /r /s</v>
      </c>
      <c r="AG160" s="1" t="str">
        <f t="shared" si="93"/>
        <v>NW</v>
      </c>
      <c r="AH160" s="88" t="str">
        <f t="shared" si="94"/>
        <v>"%USERPROFILE%\Documents\GitHub\eaglep3\Utilities\RefineRTDCRunTimes.py" --tripid 803-19 --locoid 4040 --swversion DE.1.0.8.0 --startMP 204:976 --initTime 2017-01-19T06:15:54 --startdatetime 2017-01-19T06:21:21 --delay 1 --endMP 300:58969 --enddatetime 2017-01-19T06:34:55 --enforcementcount 5 &gt;&gt;C:\Users\stu\Documents\GitHub\eaglep3-reporting\EC\2017-01-19-refined-times.txt</v>
      </c>
      <c r="AI160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{"issue":{"subject":"","project_id":79,"tracker_id":40,"status_id":1,"priority_id":2,"assigned_to_id":23,"start_date":"2017-01-19","description":"","custom_fields":[{"id":1,"name":"Subdivision","value":"NW"},{"id":4,"name":"Milepost","value":"5.8969"},{"id":17,"name":"Train ID","value":"803-19"},{"id":16,"name":"Locomotive ID","value":"4040"},{"id":130,"name":"Impact","value":""},{"id":150,"name":"Time of Event (Mountain Time)","value":"06:34:55"},{"id":151,"name":"Denver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0"/>
      <c r="AK160" s="50"/>
      <c r="AL160" s="50"/>
      <c r="AM160" s="177" t="str">
        <f t="shared" si="96"/>
        <v>start /low /b %USERPROFILE%\Documents\GitHub\eaglep3\Utilities\DownloadLogsFromS3.py --loco 4040 --day 2017-01-19</v>
      </c>
      <c r="AN160" s="186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"%USERPROFILE%\AppData\Local\Temp\OnboardLogs"\RTDC4040\*4040*20170119* | grep -SE "(Enforcement Action)|(\[TIMEOUT)|(CHR.+\|PRM\|1\|D.+(SWITCH|SIGNAL).+UNKNOWN)" - &gt;&gt; 2017-01-19-UncaughtWiMAX.txt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4" t="s">
        <v>541</v>
      </c>
      <c r="B161" s="7">
        <v>4039</v>
      </c>
      <c r="C161" s="22" t="s">
        <v>196</v>
      </c>
      <c r="D161" s="22" t="s">
        <v>796</v>
      </c>
      <c r="E161" s="13">
        <v>42754.275358796294</v>
      </c>
      <c r="F161" s="13">
        <v>42754.27684027778</v>
      </c>
      <c r="G161" s="7">
        <v>1</v>
      </c>
      <c r="H161" s="22" t="s">
        <v>397</v>
      </c>
      <c r="I161" s="13">
        <v>42754.288275462961</v>
      </c>
      <c r="J161" s="7">
        <v>5</v>
      </c>
      <c r="K161" s="105" t="str">
        <f t="shared" si="83"/>
        <v>4039/4040</v>
      </c>
      <c r="L161" s="22" t="str">
        <f>VLOOKUP(A161,'Trips&amp;Operators'!$C$1:$G$99999,5,FALSE)</f>
        <v>LOZA FIDEL</v>
      </c>
      <c r="M161" s="6">
        <f t="shared" si="84"/>
        <v>1.1435185180744156E-2</v>
      </c>
      <c r="N161" s="7">
        <f t="shared" si="85"/>
        <v>16.466666660271585</v>
      </c>
      <c r="O161" s="7"/>
      <c r="P161" s="7"/>
      <c r="Q161" s="23"/>
      <c r="R161" s="23"/>
      <c r="S161" s="32">
        <f t="shared" si="86"/>
        <v>1</v>
      </c>
      <c r="T161" s="47" t="str">
        <f t="shared" si="87"/>
        <v>Southbound</v>
      </c>
      <c r="U161" s="164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4" t="str">
        <f t="shared" si="65"/>
        <v>https://d0f6bd738d7f1b3e5a7ca70fe4ff75f0.us-east-1.aws.found.io/app/kibana#/discover/Steve-Slow-Train-Analysis-(2080s-and-2083s)?_g=(refreshInterval:(display:Off,pause:!f,section:0,value:0),time:(from:'2017-01-19T05:36:31-0700',mode:absolute,to:'2017-01-19T07:55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1" s="49" t="str">
        <f t="shared" si="88"/>
        <v>N</v>
      </c>
      <c r="X161" s="170">
        <f t="shared" ref="X161:X220" si="97">VALUE(LEFT(AD161,4))-VALUE(LEFT(AD160,4))</f>
        <v>1</v>
      </c>
      <c r="Y161" s="64">
        <f t="shared" si="89"/>
        <v>5.8653000000000004</v>
      </c>
      <c r="Z161" s="64">
        <f t="shared" si="90"/>
        <v>6.7699999999999996E-2</v>
      </c>
      <c r="AA161" s="64">
        <f t="shared" si="91"/>
        <v>5.7976000000000001</v>
      </c>
      <c r="AB161" s="61" t="e">
        <f>VLOOKUP(A161,Enforcements!$C$7:$K$15,8,0)</f>
        <v>#N/A</v>
      </c>
      <c r="AC161" s="57" t="e">
        <f>VLOOKUP(A161,Enforcements!$C$7:$E$15,3,0)</f>
        <v>#N/A</v>
      </c>
      <c r="AD161" s="58" t="str">
        <f t="shared" si="92"/>
        <v>0804-19</v>
      </c>
      <c r="AE161" s="87" t="str">
        <f t="shared" si="67"/>
        <v>aws s3 cp s3://rtdc.mdm.uploadarchive.raw/RTDC4039/ "%USERPROFILE%\AppData\Local\Temp\OnboardLogs"\RTDC4039\2017-01-19 --exclude "*" --recursive --include "*20170119*" &amp; "%USERPROFILE%\Documents\GitHub\mrs-test-scripts\Headless Mode &amp; Sideloading\WalkAndUnGZ.bat" "%USERPROFILE%\AppData\Local\Temp\OnboardLogs"\RTDC4039\2017-01-19 &amp; aws s3 cp s3://rtdc.mdm.uploadarchive.raw/RTDC4039/ "%USERPROFILE%\AppData\Local\Temp\OnboardLogs"\RTDC4039\2017-01-20 --exclude "*" --recursive --include "*20170120*" &amp; "%USERPROFILE%\Documents\GitHub\mrs-test-scripts\Headless Mode &amp; Sideloading\WalkAndUnGZ.bat" "%USERPROFILE%\AppData\Local\Temp\OnboardLogs"\RTDC4039\2017-01-20</v>
      </c>
      <c r="AF161" s="84" t="str">
        <f t="shared" si="68"/>
        <v>"C:\Program Files (x86)\AstroGrep\AstroGrep.exe" /spath="%USERPROFILE%\AppData\Local\Temp\OnboardLogs" /stypes="app*4039*20170119*" /stext=" 13:.+((SYSTEM_STATE.+slice.+state.+changed )|(ment ac)|(multiple cpu faults)|(system.+state.+changed )|(\[timeout)|(PRM\|1\|D)|(kpr)|(kdp)|(\|lc)|(penalty))" /e /r /s</v>
      </c>
      <c r="AG161" s="1" t="str">
        <f t="shared" si="93"/>
        <v>NW</v>
      </c>
      <c r="AH161" s="88" t="str">
        <f t="shared" si="94"/>
        <v>"%USERPROFILE%\Documents\GitHub\eaglep3\Utilities\RefineRTDCRunTimes.py" --tripid 804-19 --locoid 4039 --swversion DE.1.0.8.0 --startMP 300:58653 --initTime 2017-01-19T06:36:31 --startdatetime 2017-01-19T06:38:39 --delay 1 --endMP 204:677 --enddatetime 2017-01-19T06:55:07 --enforcementcount 5 &gt;&gt;C:\Users\stu\Documents\GitHub\eaglep3-reporting\EC\2017-01-19-refined-times.txt</v>
      </c>
      <c r="AI161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{"issue":{"subject":"","project_id":79,"tracker_id":40,"status_id":1,"priority_id":2,"assigned_to_id":23,"start_date":"2017-01-19","description":"","custom_fields":[{"id":1,"name":"Subdivision","value":"NW"},{"id":4,"name":"Milepost","value":"0.0677"},{"id":17,"name":"Train ID","value":"804-19"},{"id":16,"name":"Locomotive ID","value":"4039"},{"id":130,"name":"Impact","value":""},{"id":150,"name":"Time of Event (Mountain Time)","value":"06:55:07"},{"id":151,"name":"Denver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0"/>
      <c r="AK161" s="50"/>
      <c r="AL161" s="50"/>
      <c r="AM161" s="177" t="str">
        <f t="shared" si="96"/>
        <v>start /low /b %USERPROFILE%\Documents\GitHub\eaglep3\Utilities\DownloadLogsFromS3.py --loco 4039 --day 2017-01-19</v>
      </c>
      <c r="AN161" s="186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"%USERPROFILE%\AppData\Local\Temp\OnboardLogs"\RTDC4039\*4039*20170119* | grep -SE "(Enforcement Action)|(\[TIMEOUT)|(CHR.+\|PRM\|1\|D.+(SWITCH|SIGNAL).+UNKNOWN)" - &gt;&gt; 2017-01-19-UncaughtWiMAX.txt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4" t="s">
        <v>540</v>
      </c>
      <c r="B162" s="7">
        <v>4038</v>
      </c>
      <c r="C162" s="22" t="s">
        <v>196</v>
      </c>
      <c r="D162" s="22" t="s">
        <v>797</v>
      </c>
      <c r="E162" s="13">
        <v>42754.271238425928</v>
      </c>
      <c r="F162" s="13">
        <v>42754.285636574074</v>
      </c>
      <c r="G162" s="7">
        <v>1</v>
      </c>
      <c r="H162" s="22" t="s">
        <v>798</v>
      </c>
      <c r="I162" s="13">
        <v>42754.296261574076</v>
      </c>
      <c r="J162" s="7">
        <v>5</v>
      </c>
      <c r="K162" s="105" t="str">
        <f t="shared" si="83"/>
        <v>4037/4038</v>
      </c>
      <c r="L162" s="22" t="str">
        <f>VLOOKUP(A162,'Trips&amp;Operators'!$C$1:$G$99999,5,FALSE)</f>
        <v>SHOOK JOHN</v>
      </c>
      <c r="M162" s="6">
        <f t="shared" si="84"/>
        <v>1.0625000002619345E-2</v>
      </c>
      <c r="N162" s="7">
        <f t="shared" si="85"/>
        <v>15.300000003771856</v>
      </c>
      <c r="O162" s="7"/>
      <c r="P162" s="7"/>
      <c r="Q162" s="23"/>
      <c r="R162" s="23"/>
      <c r="S162" s="32">
        <f t="shared" si="86"/>
        <v>1</v>
      </c>
      <c r="T162" s="47" t="str">
        <f t="shared" si="87"/>
        <v>NorthBound</v>
      </c>
      <c r="U162" s="164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4" t="str">
        <f t="shared" si="65"/>
        <v>https://d0f6bd738d7f1b3e5a7ca70fe4ff75f0.us-east-1.aws.found.io/app/kibana#/discover/Steve-Slow-Train-Analysis-(2080s-and-2083s)?_g=(refreshInterval:(display:Off,pause:!f,section:0,value:0),time:(from:'2017-01-19T05:30:35-0700',mode:absolute,to:'2017-01-19T08:06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62" s="49" t="str">
        <f t="shared" si="88"/>
        <v>N</v>
      </c>
      <c r="X162" s="170">
        <f t="shared" si="97"/>
        <v>1</v>
      </c>
      <c r="Y162" s="64">
        <f t="shared" si="89"/>
        <v>0.1011</v>
      </c>
      <c r="Z162" s="64">
        <f t="shared" si="90"/>
        <v>5.8982000000000001</v>
      </c>
      <c r="AA162" s="64">
        <f t="shared" si="91"/>
        <v>5.7971000000000004</v>
      </c>
      <c r="AB162" s="61" t="e">
        <f>VLOOKUP(A162,Enforcements!$C$7:$K$15,8,0)</f>
        <v>#N/A</v>
      </c>
      <c r="AC162" s="57" t="e">
        <f>VLOOKUP(A162,Enforcements!$C$7:$E$15,3,0)</f>
        <v>#N/A</v>
      </c>
      <c r="AD162" s="58" t="str">
        <f t="shared" si="92"/>
        <v>0805-19</v>
      </c>
      <c r="AE162" s="87" t="str">
        <f t="shared" si="67"/>
        <v>aws s3 cp s3://rtdc.mdm.uploadarchive.raw/RTDC4038/ "%USERPROFILE%\AppData\Local\Temp\OnboardLogs"\RTDC4038\2017-01-19 --exclude "*" --recursive --include "*20170119*" &amp; "%USERPROFILE%\Documents\GitHub\mrs-test-scripts\Headless Mode &amp; Sideloading\WalkAndUnGZ.bat" "%USERPROFILE%\AppData\Local\Temp\OnboardLogs"\RTDC4038\2017-01-19 &amp; aws s3 cp s3://rtdc.mdm.uploadarchive.raw/RTDC4038/ "%USERPROFILE%\AppData\Local\Temp\OnboardLogs"\RTDC4038\2017-01-20 --exclude "*" --recursive --include "*20170120*" &amp; "%USERPROFILE%\Documents\GitHub\mrs-test-scripts\Headless Mode &amp; Sideloading\WalkAndUnGZ.bat" "%USERPROFILE%\AppData\Local\Temp\OnboardLogs"\RTDC4038\2017-01-20</v>
      </c>
      <c r="AF162" s="84" t="str">
        <f t="shared" si="68"/>
        <v>"C:\Program Files (x86)\AstroGrep\AstroGrep.exe" /spath="%USERPROFILE%\AppData\Local\Temp\OnboardLogs" /stypes="app*4038*20170119*" /stext=" 14:.+((SYSTEM_STATE.+slice.+state.+changed )|(ment ac)|(multiple cpu faults)|(system.+state.+changed )|(\[timeout)|(PRM\|1\|D)|(kpr)|(kdp)|(\|lc)|(penalty))" /e /r /s</v>
      </c>
      <c r="AG162" s="1" t="str">
        <f t="shared" si="93"/>
        <v>NW</v>
      </c>
      <c r="AH162" s="88" t="str">
        <f t="shared" si="94"/>
        <v>"%USERPROFILE%\Documents\GitHub\eaglep3\Utilities\RefineRTDCRunTimes.py" --tripid 805-19 --locoid 4038 --swversion DE.1.0.8.0 --startMP 204:1011 --initTime 2017-01-19T06:30:35 --startdatetime 2017-01-19T06:51:19 --delay 1 --endMP 300:58982 --enddatetime 2017-01-19T07:06:37 --enforcementcount 5 &gt;&gt;C:\Users\stu\Documents\GitHub\eaglep3-reporting\EC\2017-01-19-refined-times.txt</v>
      </c>
      <c r="AI162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{"issue":{"subject":"","project_id":79,"tracker_id":40,"status_id":1,"priority_id":2,"assigned_to_id":23,"start_date":"2017-01-19","description":"","custom_fields":[{"id":1,"name":"Subdivision","value":"NW"},{"id":4,"name":"Milepost","value":"5.8982"},{"id":17,"name":"Train ID","value":"805-19"},{"id":16,"name":"Locomotive ID","value":"4038"},{"id":130,"name":"Impact","value":""},{"id":150,"name":"Time of Event (Mountain Time)","value":"07:06:37"},{"id":151,"name":"Denver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0"/>
      <c r="AK162" s="50"/>
      <c r="AL162" s="50"/>
      <c r="AM162" s="177" t="str">
        <f t="shared" si="96"/>
        <v>start /low /b %USERPROFILE%\Documents\GitHub\eaglep3\Utilities\DownloadLogsFromS3.py --loco 4038 --day 2017-01-19</v>
      </c>
      <c r="AN162" s="186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"%USERPROFILE%\AppData\Local\Temp\OnboardLogs"\RTDC4038\*4038*20170119* | grep -SE "(Enforcement Action)|(\[TIMEOUT)|(CHR.+\|PRM\|1\|D.+(SWITCH|SIGNAL).+UNKNOWN)" - &gt;&gt; 2017-01-19-UncaughtWiMAX.txt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4" t="s">
        <v>546</v>
      </c>
      <c r="B163" s="7">
        <v>4037</v>
      </c>
      <c r="C163" s="22" t="s">
        <v>196</v>
      </c>
      <c r="D163" s="22" t="s">
        <v>799</v>
      </c>
      <c r="E163" s="13">
        <v>42754.297893518517</v>
      </c>
      <c r="F163" s="13">
        <v>42754.29965277778</v>
      </c>
      <c r="G163" s="7">
        <v>1</v>
      </c>
      <c r="H163" s="22" t="s">
        <v>396</v>
      </c>
      <c r="I163" s="13">
        <v>42754.310763888891</v>
      </c>
      <c r="J163" s="7">
        <v>5</v>
      </c>
      <c r="K163" s="105" t="str">
        <f t="shared" si="83"/>
        <v>4037/4038</v>
      </c>
      <c r="L163" s="22" t="str">
        <f>VLOOKUP(A163,'Trips&amp;Operators'!$C$1:$G$99999,5,FALSE)</f>
        <v>SHOOK JOHN</v>
      </c>
      <c r="M163" s="6">
        <f t="shared" si="84"/>
        <v>1.1111111110949423E-2</v>
      </c>
      <c r="N163" s="7">
        <f t="shared" si="85"/>
        <v>15.999999999767169</v>
      </c>
      <c r="O163" s="7"/>
      <c r="P163" s="7"/>
      <c r="Q163" s="23"/>
      <c r="R163" s="23"/>
      <c r="S163" s="32">
        <f t="shared" si="86"/>
        <v>1</v>
      </c>
      <c r="T163" s="47" t="str">
        <f t="shared" si="87"/>
        <v>Southbound</v>
      </c>
      <c r="U163" s="164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4" t="str">
        <f t="shared" si="65"/>
        <v>https://d0f6bd738d7f1b3e5a7ca70fe4ff75f0.us-east-1.aws.found.io/app/kibana#/discover/Steve-Slow-Train-Analysis-(2080s-and-2083s)?_g=(refreshInterval:(display:Off,pause:!f,section:0,value:0),time:(from:'2017-01-19T06:08:58-0700',mode:absolute,to:'2017-01-19T08:27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63" s="49" t="str">
        <f t="shared" si="88"/>
        <v>N</v>
      </c>
      <c r="X163" s="170">
        <f t="shared" si="97"/>
        <v>1</v>
      </c>
      <c r="Y163" s="64">
        <f t="shared" si="89"/>
        <v>5.8663999999999996</v>
      </c>
      <c r="Z163" s="64">
        <f t="shared" si="90"/>
        <v>7.17E-2</v>
      </c>
      <c r="AA163" s="64">
        <f t="shared" si="91"/>
        <v>5.7946999999999997</v>
      </c>
      <c r="AB163" s="61" t="e">
        <f>VLOOKUP(A163,Enforcements!$C$7:$K$15,8,0)</f>
        <v>#N/A</v>
      </c>
      <c r="AC163" s="57" t="e">
        <f>VLOOKUP(A163,Enforcements!$C$7:$E$15,3,0)</f>
        <v>#N/A</v>
      </c>
      <c r="AD163" s="58" t="str">
        <f t="shared" si="92"/>
        <v>0806-19</v>
      </c>
      <c r="AE163" s="87" t="str">
        <f t="shared" si="67"/>
        <v>aws s3 cp s3://rtdc.mdm.uploadarchive.raw/RTDC4037/ "%USERPROFILE%\AppData\Local\Temp\OnboardLogs"\RTDC4037\2017-01-19 --exclude "*" --recursive --include "*20170119*" &amp; "%USERPROFILE%\Documents\GitHub\mrs-test-scripts\Headless Mode &amp; Sideloading\WalkAndUnGZ.bat" "%USERPROFILE%\AppData\Local\Temp\OnboardLogs"\RTDC4037\2017-01-19 &amp; aws s3 cp s3://rtdc.mdm.uploadarchive.raw/RTDC4037/ "%USERPROFILE%\AppData\Local\Temp\OnboardLogs"\RTDC4037\2017-01-20 --exclude "*" --recursive --include "*20170120*" &amp; "%USERPROFILE%\Documents\GitHub\mrs-test-scripts\Headless Mode &amp; Sideloading\WalkAndUnGZ.bat" "%USERPROFILE%\AppData\Local\Temp\OnboardLogs"\RTDC4037\2017-01-20</v>
      </c>
      <c r="AF163" s="84" t="str">
        <f t="shared" si="68"/>
        <v>"C:\Program Files (x86)\AstroGrep\AstroGrep.exe" /spath="%USERPROFILE%\AppData\Local\Temp\OnboardLogs" /stypes="app*4037*20170119*" /stext=" 14:.+((SYSTEM_STATE.+slice.+state.+changed )|(ment ac)|(multiple cpu faults)|(system.+state.+changed )|(\[timeout)|(PRM\|1\|D)|(kpr)|(kdp)|(\|lc)|(penalty))" /e /r /s</v>
      </c>
      <c r="AG163" s="1" t="str">
        <f t="shared" si="93"/>
        <v>NW</v>
      </c>
      <c r="AH163" s="88" t="str">
        <f t="shared" si="94"/>
        <v>"%USERPROFILE%\Documents\GitHub\eaglep3\Utilities\RefineRTDCRunTimes.py" --tripid 806-19 --locoid 4037 --swversion DE.1.0.8.0 --startMP 300:58664 --initTime 2017-01-19T07:08:58 --startdatetime 2017-01-19T07:11:30 --delay 1 --endMP 204:717 --enddatetime 2017-01-19T07:27:30 --enforcementcount 5 &gt;&gt;C:\Users\stu\Documents\GitHub\eaglep3-reporting\EC\2017-01-19-refined-times.txt</v>
      </c>
      <c r="AI163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{"issue":{"subject":"","project_id":79,"tracker_id":40,"status_id":1,"priority_id":2,"assigned_to_id":23,"start_date":"2017-01-19","description":"","custom_fields":[{"id":1,"name":"Subdivision","value":"NW"},{"id":4,"name":"Milepost","value":"0.0717"},{"id":17,"name":"Train ID","value":"806-19"},{"id":16,"name":"Locomotive ID","value":"4037"},{"id":130,"name":"Impact","value":""},{"id":150,"name":"Time of Event (Mountain Time)","value":"07:27:30"},{"id":151,"name":"Denver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0"/>
      <c r="AK163" s="50"/>
      <c r="AL163" s="50"/>
      <c r="AM163" s="177" t="str">
        <f t="shared" si="96"/>
        <v>start /low /b %USERPROFILE%\Documents\GitHub\eaglep3\Utilities\DownloadLogsFromS3.py --loco 4037 --day 2017-01-19</v>
      </c>
      <c r="AN163" s="186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"%USERPROFILE%\AppData\Local\Temp\OnboardLogs"\RTDC4037\*4037*20170119* | grep -SE "(Enforcement Action)|(\[TIMEOUT)|(CHR.+\|PRM\|1\|D.+(SWITCH|SIGNAL).+UNKNOWN)" - &gt;&gt; 2017-01-19-UncaughtWiMAX.txt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4" t="s">
        <v>548</v>
      </c>
      <c r="B164" s="7">
        <v>4040</v>
      </c>
      <c r="C164" s="22" t="s">
        <v>196</v>
      </c>
      <c r="D164" s="22" t="s">
        <v>334</v>
      </c>
      <c r="E164" s="13">
        <v>42754.302569444444</v>
      </c>
      <c r="F164" s="13">
        <v>42754.306909722225</v>
      </c>
      <c r="G164" s="7">
        <v>1</v>
      </c>
      <c r="H164" s="22" t="s">
        <v>800</v>
      </c>
      <c r="I164" s="13">
        <v>42754.316006944442</v>
      </c>
      <c r="J164" s="7">
        <v>5</v>
      </c>
      <c r="K164" s="105" t="str">
        <f t="shared" si="83"/>
        <v>4039/4040</v>
      </c>
      <c r="L164" s="22" t="str">
        <f>VLOOKUP(A164,'Trips&amp;Operators'!$C$1:$G$99999,5,FALSE)</f>
        <v>LOZA FIDEL</v>
      </c>
      <c r="M164" s="6">
        <f t="shared" si="84"/>
        <v>9.0972222169511952E-3</v>
      </c>
      <c r="N164" s="7">
        <f t="shared" si="85"/>
        <v>13.099999992409721</v>
      </c>
      <c r="O164" s="7"/>
      <c r="P164" s="7"/>
      <c r="Q164" s="23"/>
      <c r="R164" s="23"/>
      <c r="S164" s="32">
        <f t="shared" si="86"/>
        <v>1</v>
      </c>
      <c r="T164" s="47" t="str">
        <f t="shared" si="87"/>
        <v>NorthBound</v>
      </c>
      <c r="U164" s="164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4" t="str">
        <f t="shared" si="65"/>
        <v>https://d0f6bd738d7f1b3e5a7ca70fe4ff75f0.us-east-1.aws.found.io/app/kibana#/discover/Steve-Slow-Train-Analysis-(2080s-and-2083s)?_g=(refreshInterval:(display:Off,pause:!f,section:0,value:0),time:(from:'2017-01-19T06:15:42-0700',mode:absolute,to:'2017-01-19T08:35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64" s="49" t="str">
        <f t="shared" si="88"/>
        <v>N</v>
      </c>
      <c r="X164" s="170">
        <f t="shared" si="97"/>
        <v>1</v>
      </c>
      <c r="Y164" s="64">
        <f t="shared" si="89"/>
        <v>9.6699999999999994E-2</v>
      </c>
      <c r="Z164" s="64">
        <f t="shared" si="90"/>
        <v>5.8986000000000001</v>
      </c>
      <c r="AA164" s="64">
        <f t="shared" si="91"/>
        <v>5.8018999999999998</v>
      </c>
      <c r="AB164" s="61" t="e">
        <f>VLOOKUP(A164,Enforcements!$C$7:$K$15,8,0)</f>
        <v>#N/A</v>
      </c>
      <c r="AC164" s="57" t="e">
        <f>VLOOKUP(A164,Enforcements!$C$7:$E$15,3,0)</f>
        <v>#N/A</v>
      </c>
      <c r="AD164" s="58" t="str">
        <f t="shared" si="92"/>
        <v>0807-19</v>
      </c>
      <c r="AE164" s="87" t="str">
        <f t="shared" si="67"/>
        <v>aws s3 cp s3://rtdc.mdm.uploadarchive.raw/RTDC4040/ "%USERPROFILE%\AppData\Local\Temp\OnboardLogs"\RTDC4040\2017-01-19 --exclude "*" --recursive --include "*20170119*" &amp; "%USERPROFILE%\Documents\GitHub\mrs-test-scripts\Headless Mode &amp; Sideloading\WalkAndUnGZ.bat" "%USERPROFILE%\AppData\Local\Temp\OnboardLogs"\RTDC4040\2017-01-19 &amp; aws s3 cp s3://rtdc.mdm.uploadarchive.raw/RTDC4040/ "%USERPROFILE%\AppData\Local\Temp\OnboardLogs"\RTDC4040\2017-01-20 --exclude "*" --recursive --include "*20170120*" &amp; "%USERPROFILE%\Documents\GitHub\mrs-test-scripts\Headless Mode &amp; Sideloading\WalkAndUnGZ.bat" "%USERPROFILE%\AppData\Local\Temp\OnboardLogs"\RTDC4040\2017-01-20</v>
      </c>
      <c r="AF164" s="84" t="str">
        <f t="shared" si="68"/>
        <v>"C:\Program Files (x86)\AstroGrep\AstroGrep.exe" /spath="%USERPROFILE%\AppData\Local\Temp\OnboardLogs" /stypes="app*4040*20170119*" /stext=" 14:.+((SYSTEM_STATE.+slice.+state.+changed )|(ment ac)|(multiple cpu faults)|(system.+state.+changed )|(\[timeout)|(PRM\|1\|D)|(kpr)|(kdp)|(\|lc)|(penalty))" /e /r /s</v>
      </c>
      <c r="AG164" s="1" t="str">
        <f t="shared" si="93"/>
        <v>NW</v>
      </c>
      <c r="AH164" s="88" t="str">
        <f t="shared" si="94"/>
        <v>"%USERPROFILE%\Documents\GitHub\eaglep3\Utilities\RefineRTDCRunTimes.py" --tripid 807-19 --locoid 4040 --swversion DE.1.0.8.0 --startMP 204:967 --initTime 2017-01-19T07:15:42 --startdatetime 2017-01-19T07:21:57 --delay 1 --endMP 300:58986 --enddatetime 2017-01-19T07:35:03 --enforcementcount 5 &gt;&gt;C:\Users\stu\Documents\GitHub\eaglep3-reporting\EC\2017-01-19-refined-times.txt</v>
      </c>
      <c r="AI164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{"issue":{"subject":"","project_id":79,"tracker_id":40,"status_id":1,"priority_id":2,"assigned_to_id":23,"start_date":"2017-01-19","description":"","custom_fields":[{"id":1,"name":"Subdivision","value":"NW"},{"id":4,"name":"Milepost","value":"5.8986"},{"id":17,"name":"Train ID","value":"807-19"},{"id":16,"name":"Locomotive ID","value":"4040"},{"id":130,"name":"Impact","value":""},{"id":150,"name":"Time of Event (Mountain Time)","value":"07:35:03"},{"id":151,"name":"Denver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0"/>
      <c r="AK164" s="50"/>
      <c r="AL164" s="50"/>
      <c r="AM164" s="177" t="str">
        <f t="shared" si="96"/>
        <v>start /low /b %USERPROFILE%\Documents\GitHub\eaglep3\Utilities\DownloadLogsFromS3.py --loco 4040 --day 2017-01-19</v>
      </c>
      <c r="AN164" s="186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"%USERPROFILE%\AppData\Local\Temp\OnboardLogs"\RTDC4040\*4040*20170119* | grep -SE "(Enforcement Action)|(\[TIMEOUT)|(CHR.+\|PRM\|1\|D.+(SWITCH|SIGNAL).+UNKNOWN)" - &gt;&gt; 2017-01-19-UncaughtWiMAX.txt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4" t="s">
        <v>551</v>
      </c>
      <c r="B165" s="7">
        <v>4039</v>
      </c>
      <c r="C165" s="22" t="s">
        <v>196</v>
      </c>
      <c r="D165" s="22" t="s">
        <v>801</v>
      </c>
      <c r="E165" s="13">
        <v>42754.31695601852</v>
      </c>
      <c r="F165" s="13">
        <v>42754.318611111114</v>
      </c>
      <c r="G165" s="7">
        <v>1</v>
      </c>
      <c r="H165" s="22" t="s">
        <v>397</v>
      </c>
      <c r="I165" s="13">
        <v>42754.329884259256</v>
      </c>
      <c r="J165" s="7">
        <v>5</v>
      </c>
      <c r="K165" s="105" t="str">
        <f t="shared" si="83"/>
        <v>4039/4040</v>
      </c>
      <c r="L165" s="22" t="str">
        <f>VLOOKUP(A165,'Trips&amp;Operators'!$C$1:$G$99999,5,FALSE)</f>
        <v>LOZA FIDEL</v>
      </c>
      <c r="M165" s="6">
        <f t="shared" si="84"/>
        <v>1.1273148142208811E-2</v>
      </c>
      <c r="N165" s="7">
        <f t="shared" si="85"/>
        <v>16.233333324780688</v>
      </c>
      <c r="O165" s="7"/>
      <c r="P165" s="7"/>
      <c r="Q165" s="23"/>
      <c r="R165" s="23"/>
      <c r="S165" s="32">
        <f t="shared" si="86"/>
        <v>1</v>
      </c>
      <c r="T165" s="47" t="str">
        <f t="shared" si="87"/>
        <v>Southbound</v>
      </c>
      <c r="U165" s="164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4" t="str">
        <f t="shared" si="65"/>
        <v>https://d0f6bd738d7f1b3e5a7ca70fe4ff75f0.us-east-1.aws.found.io/app/kibana#/discover/Steve-Slow-Train-Analysis-(2080s-and-2083s)?_g=(refreshInterval:(display:Off,pause:!f,section:0,value:0),time:(from:'2017-01-19T06:36:25-0700',mode:absolute,to:'2017-01-19T08:55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5" s="49" t="str">
        <f t="shared" si="88"/>
        <v>N</v>
      </c>
      <c r="X165" s="170">
        <f t="shared" si="97"/>
        <v>1</v>
      </c>
      <c r="Y165" s="64">
        <f t="shared" si="89"/>
        <v>5.8667999999999996</v>
      </c>
      <c r="Z165" s="64">
        <f t="shared" si="90"/>
        <v>6.7699999999999996E-2</v>
      </c>
      <c r="AA165" s="64">
        <f t="shared" si="91"/>
        <v>5.7990999999999993</v>
      </c>
      <c r="AB165" s="61" t="e">
        <f>VLOOKUP(A165,Enforcements!$C$7:$K$15,8,0)</f>
        <v>#N/A</v>
      </c>
      <c r="AC165" s="57" t="e">
        <f>VLOOKUP(A165,Enforcements!$C$7:$E$15,3,0)</f>
        <v>#N/A</v>
      </c>
      <c r="AD165" s="58" t="str">
        <f t="shared" si="92"/>
        <v>0808-19</v>
      </c>
      <c r="AE165" s="87" t="str">
        <f t="shared" si="67"/>
        <v>aws s3 cp s3://rtdc.mdm.uploadarchive.raw/RTDC4039/ "%USERPROFILE%\AppData\Local\Temp\OnboardLogs"\RTDC4039\2017-01-19 --exclude "*" --recursive --include "*20170119*" &amp; "%USERPROFILE%\Documents\GitHub\mrs-test-scripts\Headless Mode &amp; Sideloading\WalkAndUnGZ.bat" "%USERPROFILE%\AppData\Local\Temp\OnboardLogs"\RTDC4039\2017-01-19 &amp; aws s3 cp s3://rtdc.mdm.uploadarchive.raw/RTDC4039/ "%USERPROFILE%\AppData\Local\Temp\OnboardLogs"\RTDC4039\2017-01-20 --exclude "*" --recursive --include "*20170120*" &amp; "%USERPROFILE%\Documents\GitHub\mrs-test-scripts\Headless Mode &amp; Sideloading\WalkAndUnGZ.bat" "%USERPROFILE%\AppData\Local\Temp\OnboardLogs"\RTDC4039\2017-01-20</v>
      </c>
      <c r="AF165" s="84" t="str">
        <f t="shared" si="68"/>
        <v>"C:\Program Files (x86)\AstroGrep\AstroGrep.exe" /spath="%USERPROFILE%\AppData\Local\Temp\OnboardLogs" /stypes="app*4039*20170119*" /stext=" 14:.+((SYSTEM_STATE.+slice.+state.+changed )|(ment ac)|(multiple cpu faults)|(system.+state.+changed )|(\[timeout)|(PRM\|1\|D)|(kpr)|(kdp)|(\|lc)|(penalty))" /e /r /s</v>
      </c>
      <c r="AG165" s="1" t="str">
        <f t="shared" si="93"/>
        <v>NW</v>
      </c>
      <c r="AH165" s="88" t="str">
        <f t="shared" si="94"/>
        <v>"%USERPROFILE%\Documents\GitHub\eaglep3\Utilities\RefineRTDCRunTimes.py" --tripid 808-19 --locoid 4039 --swversion DE.1.0.8.0 --startMP 300:58668 --initTime 2017-01-19T07:36:25 --startdatetime 2017-01-19T07:38:48 --delay 1 --endMP 204:677 --enddatetime 2017-01-19T07:55:02 --enforcementcount 5 &gt;&gt;C:\Users\stu\Documents\GitHub\eaglep3-reporting\EC\2017-01-19-refined-times.txt</v>
      </c>
      <c r="AI165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{"issue":{"subject":"","project_id":79,"tracker_id":40,"status_id":1,"priority_id":2,"assigned_to_id":23,"start_date":"2017-01-19","description":"","custom_fields":[{"id":1,"name":"Subdivision","value":"NW"},{"id":4,"name":"Milepost","value":"0.0677"},{"id":17,"name":"Train ID","value":"808-19"},{"id":16,"name":"Locomotive ID","value":"4039"},{"id":130,"name":"Impact","value":""},{"id":150,"name":"Time of Event (Mountain Time)","value":"07:55:02"},{"id":151,"name":"Denver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0"/>
      <c r="AK165" s="50"/>
      <c r="AL165" s="50"/>
      <c r="AM165" s="177" t="str">
        <f t="shared" si="96"/>
        <v>start /low /b %USERPROFILE%\Documents\GitHub\eaglep3\Utilities\DownloadLogsFromS3.py --loco 4039 --day 2017-01-19</v>
      </c>
      <c r="AN165" s="186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"%USERPROFILE%\AppData\Local\Temp\OnboardLogs"\RTDC4039\*4039*20170119* | grep -SE "(Enforcement Action)|(\[TIMEOUT)|(CHR.+\|PRM\|1\|D.+(SWITCH|SIGNAL).+UNKNOWN)" - &gt;&gt; 2017-01-19-UncaughtWiMAX.txt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4" t="s">
        <v>550</v>
      </c>
      <c r="B166" s="7">
        <v>4038</v>
      </c>
      <c r="C166" s="22" t="s">
        <v>196</v>
      </c>
      <c r="D166" s="22" t="s">
        <v>802</v>
      </c>
      <c r="E166" s="13">
        <v>42754.312708333331</v>
      </c>
      <c r="F166" s="13">
        <v>42754.327303240738</v>
      </c>
      <c r="G166" s="7">
        <v>1</v>
      </c>
      <c r="H166" s="22" t="s">
        <v>800</v>
      </c>
      <c r="I166" s="13">
        <v>42754.337951388887</v>
      </c>
      <c r="J166" s="7">
        <v>5</v>
      </c>
      <c r="K166" s="105" t="str">
        <f t="shared" si="83"/>
        <v>4037/4038</v>
      </c>
      <c r="L166" s="22" t="str">
        <f>VLOOKUP(A166,'Trips&amp;Operators'!$C$1:$G$99999,5,FALSE)</f>
        <v>SHOOK JOHN</v>
      </c>
      <c r="M166" s="6">
        <f t="shared" si="84"/>
        <v>1.0648148148902692E-2</v>
      </c>
      <c r="N166" s="7">
        <f t="shared" si="85"/>
        <v>15.333333334419876</v>
      </c>
      <c r="O166" s="7"/>
      <c r="P166" s="7"/>
      <c r="Q166" s="23"/>
      <c r="R166" s="23"/>
      <c r="S166" s="32">
        <f t="shared" si="86"/>
        <v>1</v>
      </c>
      <c r="T166" s="47" t="str">
        <f t="shared" si="87"/>
        <v>NorthBound</v>
      </c>
      <c r="U166" s="164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4" t="str">
        <f t="shared" si="65"/>
        <v>https://d0f6bd738d7f1b3e5a7ca70fe4ff75f0.us-east-1.aws.found.io/app/kibana#/discover/Steve-Slow-Train-Analysis-(2080s-and-2083s)?_g=(refreshInterval:(display:Off,pause:!f,section:0,value:0),time:(from:'2017-01-19T06:30:18-0700',mode:absolute,to:'2017-01-19T09:06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66" s="49" t="str">
        <f t="shared" si="88"/>
        <v>N</v>
      </c>
      <c r="X166" s="170">
        <f t="shared" si="97"/>
        <v>1</v>
      </c>
      <c r="Y166" s="64">
        <f t="shared" si="89"/>
        <v>0.1021</v>
      </c>
      <c r="Z166" s="64">
        <f t="shared" si="90"/>
        <v>5.8986000000000001</v>
      </c>
      <c r="AA166" s="64">
        <f t="shared" si="91"/>
        <v>5.7965</v>
      </c>
      <c r="AB166" s="61" t="e">
        <f>VLOOKUP(A166,Enforcements!$C$7:$K$15,8,0)</f>
        <v>#N/A</v>
      </c>
      <c r="AC166" s="57" t="e">
        <f>VLOOKUP(A166,Enforcements!$C$7:$E$15,3,0)</f>
        <v>#N/A</v>
      </c>
      <c r="AD166" s="58" t="str">
        <f t="shared" si="92"/>
        <v>0809-19</v>
      </c>
      <c r="AE166" s="87" t="str">
        <f t="shared" si="67"/>
        <v>aws s3 cp s3://rtdc.mdm.uploadarchive.raw/RTDC4038/ "%USERPROFILE%\AppData\Local\Temp\OnboardLogs"\RTDC4038\2017-01-19 --exclude "*" --recursive --include "*20170119*" &amp; "%USERPROFILE%\Documents\GitHub\mrs-test-scripts\Headless Mode &amp; Sideloading\WalkAndUnGZ.bat" "%USERPROFILE%\AppData\Local\Temp\OnboardLogs"\RTDC4038\2017-01-19 &amp; aws s3 cp s3://rtdc.mdm.uploadarchive.raw/RTDC4038/ "%USERPROFILE%\AppData\Local\Temp\OnboardLogs"\RTDC4038\2017-01-20 --exclude "*" --recursive --include "*20170120*" &amp; "%USERPROFILE%\Documents\GitHub\mrs-test-scripts\Headless Mode &amp; Sideloading\WalkAndUnGZ.bat" "%USERPROFILE%\AppData\Local\Temp\OnboardLogs"\RTDC4038\2017-01-20</v>
      </c>
      <c r="AF166" s="84" t="str">
        <f t="shared" si="68"/>
        <v>"C:\Program Files (x86)\AstroGrep\AstroGrep.exe" /spath="%USERPROFILE%\AppData\Local\Temp\OnboardLogs" /stypes="app*4038*20170119*" /stext=" 15:.+((SYSTEM_STATE.+slice.+state.+changed )|(ment ac)|(multiple cpu faults)|(system.+state.+changed )|(\[timeout)|(PRM\|1\|D)|(kpr)|(kdp)|(\|lc)|(penalty))" /e /r /s</v>
      </c>
      <c r="AG166" s="1" t="str">
        <f t="shared" si="93"/>
        <v>NW</v>
      </c>
      <c r="AH166" s="88" t="str">
        <f t="shared" si="94"/>
        <v>"%USERPROFILE%\Documents\GitHub\eaglep3\Utilities\RefineRTDCRunTimes.py" --tripid 809-19 --locoid 4038 --swversion DE.1.0.8.0 --startMP 204:1021 --initTime 2017-01-19T07:30:18 --startdatetime 2017-01-19T07:51:19 --delay 1 --endMP 300:58986 --enddatetime 2017-01-19T08:06:39 --enforcementcount 5 &gt;&gt;C:\Users\stu\Documents\GitHub\eaglep3-reporting\EC\2017-01-19-refined-times.txt</v>
      </c>
      <c r="AI166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{"issue":{"subject":"","project_id":79,"tracker_id":40,"status_id":1,"priority_id":2,"assigned_to_id":23,"start_date":"2017-01-19","description":"","custom_fields":[{"id":1,"name":"Subdivision","value":"NW"},{"id":4,"name":"Milepost","value":"5.8986"},{"id":17,"name":"Train ID","value":"809-19"},{"id":16,"name":"Locomotive ID","value":"4038"},{"id":130,"name":"Impact","value":""},{"id":150,"name":"Time of Event (Mountain Time)","value":"08:06:39"},{"id":151,"name":"Denver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0"/>
      <c r="AK166" s="50"/>
      <c r="AL166" s="50"/>
      <c r="AM166" s="177" t="str">
        <f t="shared" si="96"/>
        <v>start /low /b %USERPROFILE%\Documents\GitHub\eaglep3\Utilities\DownloadLogsFromS3.py --loco 4038 --day 2017-01-19</v>
      </c>
      <c r="AN166" s="186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"%USERPROFILE%\AppData\Local\Temp\OnboardLogs"\RTDC4038\*4038*20170119* | grep -SE "(Enforcement Action)|(\[TIMEOUT)|(CHR.+\|PRM\|1\|D.+(SWITCH|SIGNAL).+UNKNOWN)" - &gt;&gt; 2017-01-19-UncaughtWiMAX.txt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4" t="s">
        <v>557</v>
      </c>
      <c r="B167" s="7">
        <v>4037</v>
      </c>
      <c r="C167" s="22" t="s">
        <v>196</v>
      </c>
      <c r="D167" s="22" t="s">
        <v>803</v>
      </c>
      <c r="E167" s="13">
        <v>42754.339490740742</v>
      </c>
      <c r="F167" s="13">
        <v>42754.341307870367</v>
      </c>
      <c r="G167" s="7">
        <v>1</v>
      </c>
      <c r="H167" s="22" t="s">
        <v>804</v>
      </c>
      <c r="I167" s="13">
        <v>42754.351875</v>
      </c>
      <c r="J167" s="7">
        <v>5</v>
      </c>
      <c r="K167" s="105" t="str">
        <f t="shared" si="83"/>
        <v>4037/4038</v>
      </c>
      <c r="L167" s="22" t="str">
        <f>VLOOKUP(A167,'Trips&amp;Operators'!$C$1:$G$99999,5,FALSE)</f>
        <v>SHOOK JOHN</v>
      </c>
      <c r="M167" s="6">
        <f t="shared" si="84"/>
        <v>1.0567129633272998E-2</v>
      </c>
      <c r="N167" s="7">
        <f t="shared" si="85"/>
        <v>15.216666671913117</v>
      </c>
      <c r="O167" s="7"/>
      <c r="P167" s="7"/>
      <c r="Q167" s="23"/>
      <c r="R167" s="23"/>
      <c r="S167" s="32">
        <f t="shared" si="86"/>
        <v>1</v>
      </c>
      <c r="T167" s="47" t="str">
        <f t="shared" si="87"/>
        <v>Southbound</v>
      </c>
      <c r="U167" s="164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4" t="str">
        <f t="shared" si="65"/>
        <v>https://d0f6bd738d7f1b3e5a7ca70fe4ff75f0.us-east-1.aws.found.io/app/kibana#/discover/Steve-Slow-Train-Analysis-(2080s-and-2083s)?_g=(refreshInterval:(display:Off,pause:!f,section:0,value:0),time:(from:'2017-01-19T07:08:52-0700',mode:absolute,to:'2017-01-19T09:26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67" s="49" t="str">
        <f t="shared" si="88"/>
        <v>N</v>
      </c>
      <c r="X167" s="170">
        <f t="shared" si="97"/>
        <v>1</v>
      </c>
      <c r="Y167" s="64">
        <f t="shared" si="89"/>
        <v>5.8672000000000004</v>
      </c>
      <c r="Z167" s="64">
        <f t="shared" si="90"/>
        <v>1.66E-2</v>
      </c>
      <c r="AA167" s="64">
        <f t="shared" si="91"/>
        <v>5.8506</v>
      </c>
      <c r="AB167" s="61" t="e">
        <f>VLOOKUP(A167,Enforcements!$C$7:$K$15,8,0)</f>
        <v>#N/A</v>
      </c>
      <c r="AC167" s="57" t="e">
        <f>VLOOKUP(A167,Enforcements!$C$7:$E$15,3,0)</f>
        <v>#N/A</v>
      </c>
      <c r="AD167" s="58" t="str">
        <f t="shared" si="92"/>
        <v>0810-19</v>
      </c>
      <c r="AE167" s="87" t="str">
        <f t="shared" si="67"/>
        <v>aws s3 cp s3://rtdc.mdm.uploadarchive.raw/RTDC4037/ "%USERPROFILE%\AppData\Local\Temp\OnboardLogs"\RTDC4037\2017-01-19 --exclude "*" --recursive --include "*20170119*" &amp; "%USERPROFILE%\Documents\GitHub\mrs-test-scripts\Headless Mode &amp; Sideloading\WalkAndUnGZ.bat" "%USERPROFILE%\AppData\Local\Temp\OnboardLogs"\RTDC4037\2017-01-19 &amp; aws s3 cp s3://rtdc.mdm.uploadarchive.raw/RTDC4037/ "%USERPROFILE%\AppData\Local\Temp\OnboardLogs"\RTDC4037\2017-01-20 --exclude "*" --recursive --include "*20170120*" &amp; "%USERPROFILE%\Documents\GitHub\mrs-test-scripts\Headless Mode &amp; Sideloading\WalkAndUnGZ.bat" "%USERPROFILE%\AppData\Local\Temp\OnboardLogs"\RTDC4037\2017-01-20</v>
      </c>
      <c r="AF167" s="84" t="str">
        <f t="shared" si="68"/>
        <v>"C:\Program Files (x86)\AstroGrep\AstroGrep.exe" /spath="%USERPROFILE%\AppData\Local\Temp\OnboardLogs" /stypes="app*4037*20170119*" /stext=" 15:.+((SYSTEM_STATE.+slice.+state.+changed )|(ment ac)|(multiple cpu faults)|(system.+state.+changed )|(\[timeout)|(PRM\|1\|D)|(kpr)|(kdp)|(\|lc)|(penalty))" /e /r /s</v>
      </c>
      <c r="AG167" s="1" t="str">
        <f t="shared" si="93"/>
        <v>NW</v>
      </c>
      <c r="AH167" s="88" t="str">
        <f t="shared" si="94"/>
        <v>"%USERPROFILE%\Documents\GitHub\eaglep3\Utilities\RefineRTDCRunTimes.py" --tripid 810-19 --locoid 4037 --swversion DE.1.0.8.0 --startMP 300:58672 --initTime 2017-01-19T08:08:52 --startdatetime 2017-01-19T08:11:29 --delay 1 --endMP 204:166 --enddatetime 2017-01-19T08:26:42 --enforcementcount 5 &gt;&gt;C:\Users\stu\Documents\GitHub\eaglep3-reporting\EC\2017-01-19-refined-times.txt</v>
      </c>
      <c r="AI167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{"issue":{"subject":"","project_id":79,"tracker_id":40,"status_id":1,"priority_id":2,"assigned_to_id":23,"start_date":"2017-01-19","description":"","custom_fields":[{"id":1,"name":"Subdivision","value":"NW"},{"id":4,"name":"Milepost","value":"0.0166"},{"id":17,"name":"Train ID","value":"810-19"},{"id":16,"name":"Locomotive ID","value":"4037"},{"id":130,"name":"Impact","value":""},{"id":150,"name":"Time of Event (Mountain Time)","value":"08:26:42"},{"id":151,"name":"Denver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0"/>
      <c r="AK167" s="50"/>
      <c r="AL167" s="50"/>
      <c r="AM167" s="177" t="str">
        <f t="shared" si="96"/>
        <v>start /low /b %USERPROFILE%\Documents\GitHub\eaglep3\Utilities\DownloadLogsFromS3.py --loco 4037 --day 2017-01-19</v>
      </c>
      <c r="AN167" s="186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"%USERPROFILE%\AppData\Local\Temp\OnboardLogs"\RTDC4037\*4037*20170119* | grep -SE "(Enforcement Action)|(\[TIMEOUT)|(CHR.+\|PRM\|1\|D.+(SWITCH|SIGNAL).+UNKNOWN)" - &gt;&gt; 2017-01-19-UncaughtWiMAX.txt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4" t="s">
        <v>555</v>
      </c>
      <c r="B168" s="7">
        <v>4040</v>
      </c>
      <c r="C168" s="22" t="s">
        <v>196</v>
      </c>
      <c r="D168" s="22" t="s">
        <v>403</v>
      </c>
      <c r="E168" s="13">
        <v>42754.332916666666</v>
      </c>
      <c r="F168" s="13">
        <v>42754.34815972222</v>
      </c>
      <c r="G168" s="7">
        <v>1</v>
      </c>
      <c r="H168" s="22" t="s">
        <v>798</v>
      </c>
      <c r="I168" s="13">
        <v>42754.357685185183</v>
      </c>
      <c r="J168" s="7">
        <v>5</v>
      </c>
      <c r="K168" s="105" t="str">
        <f t="shared" si="83"/>
        <v>4039/4040</v>
      </c>
      <c r="L168" s="22" t="str">
        <f>VLOOKUP(A168,'Trips&amp;Operators'!$C$1:$G$99999,5,FALSE)</f>
        <v>LOZA FIDEL</v>
      </c>
      <c r="M168" s="6">
        <f t="shared" si="84"/>
        <v>9.5254629632108845E-3</v>
      </c>
      <c r="N168" s="7">
        <f t="shared" si="85"/>
        <v>13.716666667023674</v>
      </c>
      <c r="O168" s="7"/>
      <c r="P168" s="7"/>
      <c r="Q168" s="23"/>
      <c r="R168" s="23"/>
      <c r="S168" s="32">
        <f t="shared" si="86"/>
        <v>1</v>
      </c>
      <c r="T168" s="47" t="str">
        <f t="shared" si="87"/>
        <v>NorthBound</v>
      </c>
      <c r="U168" s="164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4" t="str">
        <f t="shared" si="65"/>
        <v>https://d0f6bd738d7f1b3e5a7ca70fe4ff75f0.us-east-1.aws.found.io/app/kibana#/discover/Steve-Slow-Train-Analysis-(2080s-and-2083s)?_g=(refreshInterval:(display:Off,pause:!f,section:0,value:0),time:(from:'2017-01-19T06:59:24-0700',mode:absolute,to:'2017-01-19T09:35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68" s="49" t="str">
        <f t="shared" si="88"/>
        <v>N</v>
      </c>
      <c r="X168" s="170">
        <f t="shared" si="97"/>
        <v>1</v>
      </c>
      <c r="Y168" s="64">
        <f t="shared" si="89"/>
        <v>9.7900000000000001E-2</v>
      </c>
      <c r="Z168" s="64">
        <f t="shared" si="90"/>
        <v>5.8982000000000001</v>
      </c>
      <c r="AA168" s="64">
        <f t="shared" si="91"/>
        <v>5.8003</v>
      </c>
      <c r="AB168" s="61" t="e">
        <f>VLOOKUP(A168,Enforcements!$C$7:$K$15,8,0)</f>
        <v>#N/A</v>
      </c>
      <c r="AC168" s="57" t="e">
        <f>VLOOKUP(A168,Enforcements!$C$7:$E$15,3,0)</f>
        <v>#N/A</v>
      </c>
      <c r="AD168" s="58" t="str">
        <f t="shared" si="92"/>
        <v>0811-19</v>
      </c>
      <c r="AE168" s="87" t="str">
        <f t="shared" si="67"/>
        <v>aws s3 cp s3://rtdc.mdm.uploadarchive.raw/RTDC4040/ "%USERPROFILE%\AppData\Local\Temp\OnboardLogs"\RTDC4040\2017-01-19 --exclude "*" --recursive --include "*20170119*" &amp; "%USERPROFILE%\Documents\GitHub\mrs-test-scripts\Headless Mode &amp; Sideloading\WalkAndUnGZ.bat" "%USERPROFILE%\AppData\Local\Temp\OnboardLogs"\RTDC4040\2017-01-19 &amp; aws s3 cp s3://rtdc.mdm.uploadarchive.raw/RTDC4040/ "%USERPROFILE%\AppData\Local\Temp\OnboardLogs"\RTDC4040\2017-01-20 --exclude "*" --recursive --include "*20170120*" &amp; "%USERPROFILE%\Documents\GitHub\mrs-test-scripts\Headless Mode &amp; Sideloading\WalkAndUnGZ.bat" "%USERPROFILE%\AppData\Local\Temp\OnboardLogs"\RTDC4040\2017-01-20</v>
      </c>
      <c r="AF168" s="84" t="str">
        <f t="shared" si="68"/>
        <v>"C:\Program Files (x86)\AstroGrep\AstroGrep.exe" /spath="%USERPROFILE%\AppData\Local\Temp\OnboardLogs" /stypes="app*4040*20170119*" /stext=" 15:.+((SYSTEM_STATE.+slice.+state.+changed )|(ment ac)|(multiple cpu faults)|(system.+state.+changed )|(\[timeout)|(PRM\|1\|D)|(kpr)|(kdp)|(\|lc)|(penalty))" /e /r /s</v>
      </c>
      <c r="AG168" s="1" t="str">
        <f t="shared" si="93"/>
        <v>NW</v>
      </c>
      <c r="AH168" s="88" t="str">
        <f t="shared" si="94"/>
        <v>"%USERPROFILE%\Documents\GitHub\eaglep3\Utilities\RefineRTDCRunTimes.py" --tripid 811-19 --locoid 4040 --swversion DE.1.0.8.0 --startMP 204:979 --initTime 2017-01-19T07:59:24 --startdatetime 2017-01-19T08:21:21 --delay 1 --endMP 300:58982 --enddatetime 2017-01-19T08:35:04 --enforcementcount 5 &gt;&gt;C:\Users\stu\Documents\GitHub\eaglep3-reporting\EC\2017-01-19-refined-times.txt</v>
      </c>
      <c r="AI168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{"issue":{"subject":"","project_id":79,"tracker_id":40,"status_id":1,"priority_id":2,"assigned_to_id":23,"start_date":"2017-01-19","description":"","custom_fields":[{"id":1,"name":"Subdivision","value":"NW"},{"id":4,"name":"Milepost","value":"5.8982"},{"id":17,"name":"Train ID","value":"811-19"},{"id":16,"name":"Locomotive ID","value":"4040"},{"id":130,"name":"Impact","value":""},{"id":150,"name":"Time of Event (Mountain Time)","value":"08:35:04"},{"id":151,"name":"Denver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0"/>
      <c r="AK168" s="50"/>
      <c r="AL168" s="50"/>
      <c r="AM168" s="177" t="str">
        <f t="shared" si="96"/>
        <v>start /low /b %USERPROFILE%\Documents\GitHub\eaglep3\Utilities\DownloadLogsFromS3.py --loco 4040 --day 2017-01-19</v>
      </c>
      <c r="AN168" s="186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"%USERPROFILE%\AppData\Local\Temp\OnboardLogs"\RTDC4040\*4040*20170119* | grep -SE "(Enforcement Action)|(\[TIMEOUT)|(CHR.+\|PRM\|1\|D.+(SWITCH|SIGNAL).+UNKNOWN)" - &gt;&gt; 2017-01-19-UncaughtWiMAX.txt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1" customFormat="1" x14ac:dyDescent="0.25">
      <c r="A169" s="34" t="s">
        <v>563</v>
      </c>
      <c r="B169" s="7">
        <v>4039</v>
      </c>
      <c r="C169" s="22" t="s">
        <v>196</v>
      </c>
      <c r="D169" s="22" t="s">
        <v>805</v>
      </c>
      <c r="E169" s="13">
        <v>42754.358981481484</v>
      </c>
      <c r="F169" s="13">
        <v>42754.360694444447</v>
      </c>
      <c r="G169" s="7">
        <v>1</v>
      </c>
      <c r="H169" s="22" t="s">
        <v>806</v>
      </c>
      <c r="I169" s="13">
        <v>42754.373124999998</v>
      </c>
      <c r="J169" s="7">
        <v>5</v>
      </c>
      <c r="K169" s="105" t="str">
        <f t="shared" si="83"/>
        <v>4039/4040</v>
      </c>
      <c r="L169" s="22" t="str">
        <f>VLOOKUP(A169,'Trips&amp;Operators'!$C$1:$G$99999,5,FALSE)</f>
        <v>LOZA FIDEL</v>
      </c>
      <c r="M169" s="6">
        <f t="shared" si="84"/>
        <v>1.2430555550963618E-2</v>
      </c>
      <c r="N169" s="7">
        <f t="shared" si="85"/>
        <v>17.89999999338761</v>
      </c>
      <c r="O169" s="7"/>
      <c r="P169" s="7"/>
      <c r="Q169" s="23"/>
      <c r="R169" s="23"/>
      <c r="S169" s="32">
        <f t="shared" si="86"/>
        <v>1</v>
      </c>
      <c r="T169" s="47" t="str">
        <f t="shared" si="87"/>
        <v>Southbound</v>
      </c>
      <c r="U169" s="164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4" t="str">
        <f t="shared" si="65"/>
        <v>https://d0f6bd738d7f1b3e5a7ca70fe4ff75f0.us-east-1.aws.found.io/app/kibana#/discover/Steve-Slow-Train-Analysis-(2080s-and-2083s)?_g=(refreshInterval:(display:Off,pause:!f,section:0,value:0),time:(from:'2017-01-19T07:36:56-0700',mode:absolute,to:'2017-01-19T09:57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9" s="49" t="str">
        <f t="shared" si="88"/>
        <v>N</v>
      </c>
      <c r="X169" s="170">
        <f t="shared" si="97"/>
        <v>1</v>
      </c>
      <c r="Y169" s="64">
        <f t="shared" si="89"/>
        <v>5.8673999999999999</v>
      </c>
      <c r="Z169" s="64">
        <f t="shared" si="90"/>
        <v>6.6799999999999998E-2</v>
      </c>
      <c r="AA169" s="64">
        <f t="shared" si="91"/>
        <v>5.8006000000000002</v>
      </c>
      <c r="AB169" s="61" t="e">
        <f>VLOOKUP(A169,Enforcements!$C$7:$K$15,8,0)</f>
        <v>#N/A</v>
      </c>
      <c r="AC169" s="57" t="e">
        <f>VLOOKUP(A169,Enforcements!$C$7:$E$15,3,0)</f>
        <v>#N/A</v>
      </c>
      <c r="AD169" s="58" t="str">
        <f t="shared" si="92"/>
        <v>0812-19</v>
      </c>
      <c r="AE169" s="87" t="str">
        <f t="shared" si="67"/>
        <v>aws s3 cp s3://rtdc.mdm.uploadarchive.raw/RTDC4039/ "%USERPROFILE%\AppData\Local\Temp\OnboardLogs"\RTDC4039\2017-01-19 --exclude "*" --recursive --include "*20170119*" &amp; "%USERPROFILE%\Documents\GitHub\mrs-test-scripts\Headless Mode &amp; Sideloading\WalkAndUnGZ.bat" "%USERPROFILE%\AppData\Local\Temp\OnboardLogs"\RTDC4039\2017-01-19 &amp; aws s3 cp s3://rtdc.mdm.uploadarchive.raw/RTDC4039/ "%USERPROFILE%\AppData\Local\Temp\OnboardLogs"\RTDC4039\2017-01-20 --exclude "*" --recursive --include "*20170120*" &amp; "%USERPROFILE%\Documents\GitHub\mrs-test-scripts\Headless Mode &amp; Sideloading\WalkAndUnGZ.bat" "%USERPROFILE%\AppData\Local\Temp\OnboardLogs"\RTDC4039\2017-01-20</v>
      </c>
      <c r="AF169" s="84" t="str">
        <f t="shared" si="68"/>
        <v>"C:\Program Files (x86)\AstroGrep\AstroGrep.exe" /spath="%USERPROFILE%\AppData\Local\Temp\OnboardLogs" /stypes="app*4039*20170119*" /stext=" 15:.+((SYSTEM_STATE.+slice.+state.+changed )|(ment ac)|(multiple cpu faults)|(system.+state.+changed )|(\[timeout)|(PRM\|1\|D)|(kpr)|(kdp)|(\|lc)|(penalty))" /e /r /s</v>
      </c>
      <c r="AG169" s="1" t="str">
        <f t="shared" si="93"/>
        <v>NW</v>
      </c>
      <c r="AH169" s="88" t="str">
        <f t="shared" si="94"/>
        <v>"%USERPROFILE%\Documents\GitHub\eaglep3\Utilities\RefineRTDCRunTimes.py" --tripid 812-19 --locoid 4039 --swversion DE.1.0.8.0 --startMP 300:58674 --initTime 2017-01-19T08:36:56 --startdatetime 2017-01-19T08:39:24 --delay 1 --endMP 204:668 --enddatetime 2017-01-19T08:57:18 --enforcementcount 5 &gt;&gt;C:\Users\stu\Documents\GitHub\eaglep3-reporting\EC\2017-01-19-refined-times.txt</v>
      </c>
      <c r="AI169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{"issue":{"subject":"","project_id":79,"tracker_id":40,"status_id":1,"priority_id":2,"assigned_to_id":23,"start_date":"2017-01-19","description":"","custom_fields":[{"id":1,"name":"Subdivision","value":"NW"},{"id":4,"name":"Milepost","value":"0.0668"},{"id":17,"name":"Train ID","value":"812-19"},{"id":16,"name":"Locomotive ID","value":"4039"},{"id":130,"name":"Impact","value":""},{"id":150,"name":"Time of Event (Mountain Time)","value":"08:57:18"},{"id":151,"name":"Denver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0"/>
      <c r="AK169" s="50"/>
      <c r="AL169" s="50"/>
      <c r="AM169" s="177" t="str">
        <f t="shared" si="96"/>
        <v>start /low /b %USERPROFILE%\Documents\GitHub\eaglep3\Utilities\DownloadLogsFromS3.py --loco 4039 --day 2017-01-19</v>
      </c>
      <c r="AN169" s="186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"%USERPROFILE%\AppData\Local\Temp\OnboardLogs"\RTDC4039\*4039*20170119* | grep -SE "(Enforcement Action)|(\[TIMEOUT)|(CHR.+\|PRM\|1\|D.+(SWITCH|SIGNAL).+UNKNOWN)" - &gt;&gt; 2017-01-19-UncaughtWiMAX.txt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4" t="s">
        <v>568</v>
      </c>
      <c r="B170" s="7">
        <v>4040</v>
      </c>
      <c r="C170" s="22" t="s">
        <v>196</v>
      </c>
      <c r="D170" s="22" t="s">
        <v>403</v>
      </c>
      <c r="E170" s="13">
        <v>42754.379849537036</v>
      </c>
      <c r="F170" s="13">
        <v>42754.389953703707</v>
      </c>
      <c r="G170" s="7">
        <v>1</v>
      </c>
      <c r="H170" s="22" t="s">
        <v>394</v>
      </c>
      <c r="I170" s="13">
        <v>42754.399687500001</v>
      </c>
      <c r="J170" s="7">
        <v>5</v>
      </c>
      <c r="K170" s="105" t="str">
        <f t="shared" si="83"/>
        <v>4039/4040</v>
      </c>
      <c r="L170" s="22" t="str">
        <f>VLOOKUP(A170,'Trips&amp;Operators'!$C$1:$G$99999,5,FALSE)</f>
        <v>LOZA FIDEL</v>
      </c>
      <c r="M170" s="6">
        <f t="shared" si="84"/>
        <v>9.7337962943129241E-3</v>
      </c>
      <c r="N170" s="7">
        <f t="shared" si="85"/>
        <v>14.016666663810611</v>
      </c>
      <c r="O170" s="7"/>
      <c r="P170" s="7"/>
      <c r="Q170" s="23"/>
      <c r="R170" s="23"/>
      <c r="S170" s="32">
        <f t="shared" si="86"/>
        <v>1</v>
      </c>
      <c r="T170" s="47" t="str">
        <f t="shared" si="87"/>
        <v>NorthBound</v>
      </c>
      <c r="U170" s="164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4" t="str">
        <f t="shared" si="65"/>
        <v>https://d0f6bd738d7f1b3e5a7ca70fe4ff75f0.us-east-1.aws.found.io/app/kibana#/discover/Steve-Slow-Train-Analysis-(2080s-and-2083s)?_g=(refreshInterval:(display:Off,pause:!f,section:0,value:0),time:(from:'2017-01-19T08:06:59-0700',mode:absolute,to:'2017-01-19T10:35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0" s="49" t="str">
        <f t="shared" si="88"/>
        <v>N</v>
      </c>
      <c r="X170" s="170">
        <f t="shared" si="97"/>
        <v>1</v>
      </c>
      <c r="Y170" s="64">
        <f t="shared" si="89"/>
        <v>9.7900000000000001E-2</v>
      </c>
      <c r="Z170" s="64">
        <f t="shared" si="90"/>
        <v>5.8978000000000002</v>
      </c>
      <c r="AA170" s="64">
        <f t="shared" si="91"/>
        <v>5.7999000000000001</v>
      </c>
      <c r="AB170" s="61" t="e">
        <f>VLOOKUP(A170,Enforcements!$C$7:$K$15,8,0)</f>
        <v>#N/A</v>
      </c>
      <c r="AC170" s="57" t="e">
        <f>VLOOKUP(A170,Enforcements!$C$7:$E$15,3,0)</f>
        <v>#N/A</v>
      </c>
      <c r="AD170" s="58" t="str">
        <f t="shared" si="92"/>
        <v>0813-19</v>
      </c>
      <c r="AE170" s="87" t="str">
        <f t="shared" si="67"/>
        <v>aws s3 cp s3://rtdc.mdm.uploadarchive.raw/RTDC4040/ "%USERPROFILE%\AppData\Local\Temp\OnboardLogs"\RTDC4040\2017-01-19 --exclude "*" --recursive --include "*20170119*" &amp; "%USERPROFILE%\Documents\GitHub\mrs-test-scripts\Headless Mode &amp; Sideloading\WalkAndUnGZ.bat" "%USERPROFILE%\AppData\Local\Temp\OnboardLogs"\RTDC4040\2017-01-19 &amp; aws s3 cp s3://rtdc.mdm.uploadarchive.raw/RTDC4040/ "%USERPROFILE%\AppData\Local\Temp\OnboardLogs"\RTDC4040\2017-01-20 --exclude "*" --recursive --include "*20170120*" &amp; "%USERPROFILE%\Documents\GitHub\mrs-test-scripts\Headless Mode &amp; Sideloading\WalkAndUnGZ.bat" "%USERPROFILE%\AppData\Local\Temp\OnboardLogs"\RTDC4040\2017-01-20</v>
      </c>
      <c r="AF170" s="84" t="str">
        <f t="shared" si="68"/>
        <v>"C:\Program Files (x86)\AstroGrep\AstroGrep.exe" /spath="%USERPROFILE%\AppData\Local\Temp\OnboardLogs" /stypes="app*4040*20170119*" /stext=" 16:.+((SYSTEM_STATE.+slice.+state.+changed )|(ment ac)|(multiple cpu faults)|(system.+state.+changed )|(\[timeout)|(PRM\|1\|D)|(kpr)|(kdp)|(\|lc)|(penalty))" /e /r /s</v>
      </c>
      <c r="AG170" s="1" t="str">
        <f t="shared" si="93"/>
        <v>NW</v>
      </c>
      <c r="AH170" s="88" t="str">
        <f t="shared" si="94"/>
        <v>"%USERPROFILE%\Documents\GitHub\eaglep3\Utilities\RefineRTDCRunTimes.py" --tripid 813-19 --locoid 4040 --swversion DE.1.0.8.0 --startMP 204:979 --initTime 2017-01-19T09:06:59 --startdatetime 2017-01-19T09:21:32 --delay 1 --endMP 300:58978 --enddatetime 2017-01-19T09:35:33 --enforcementcount 5 &gt;&gt;C:\Users\stu\Documents\GitHub\eaglep3-reporting\EC\2017-01-19-refined-times.txt</v>
      </c>
      <c r="AI170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{"issue":{"subject":"","project_id":79,"tracker_id":40,"status_id":1,"priority_id":2,"assigned_to_id":23,"start_date":"2017-01-19","description":"","custom_fields":[{"id":1,"name":"Subdivision","value":"NW"},{"id":4,"name":"Milepost","value":"5.8978"},{"id":17,"name":"Train ID","value":"813-19"},{"id":16,"name":"Locomotive ID","value":"4040"},{"id":130,"name":"Impact","value":""},{"id":150,"name":"Time of Event (Mountain Time)","value":"09:35:33"},{"id":151,"name":"Denver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0"/>
      <c r="AK170" s="50"/>
      <c r="AL170" s="50"/>
      <c r="AM170" s="177" t="str">
        <f t="shared" si="96"/>
        <v>start /low /b %USERPROFILE%\Documents\GitHub\eaglep3\Utilities\DownloadLogsFromS3.py --loco 4040 --day 2017-01-19</v>
      </c>
      <c r="AN170" s="186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"%USERPROFILE%\AppData\Local\Temp\OnboardLogs"\RTDC4040\*4040*20170119* | grep -SE "(Enforcement Action)|(\[TIMEOUT)|(CHR.+\|PRM\|1\|D.+(SWITCH|SIGNAL).+UNKNOWN)" - &gt;&gt; 2017-01-19-UncaughtWiMAX.txt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4" t="s">
        <v>572</v>
      </c>
      <c r="B171" s="7">
        <v>4039</v>
      </c>
      <c r="C171" s="22" t="s">
        <v>196</v>
      </c>
      <c r="D171" s="22" t="s">
        <v>807</v>
      </c>
      <c r="E171" s="13">
        <v>42754.40116898148</v>
      </c>
      <c r="F171" s="13">
        <v>42754.402916666666</v>
      </c>
      <c r="G171" s="7">
        <v>1</v>
      </c>
      <c r="H171" s="22" t="s">
        <v>808</v>
      </c>
      <c r="I171" s="13">
        <v>42754.414722222224</v>
      </c>
      <c r="J171" s="7">
        <v>5</v>
      </c>
      <c r="K171" s="105" t="str">
        <f t="shared" si="83"/>
        <v>4039/4040</v>
      </c>
      <c r="L171" s="22" t="str">
        <f>VLOOKUP(A171,'Trips&amp;Operators'!$C$1:$G$99999,5,FALSE)</f>
        <v>LOZA FIDEL</v>
      </c>
      <c r="M171" s="6">
        <f t="shared" si="84"/>
        <v>1.1805555557657499E-2</v>
      </c>
      <c r="N171" s="7">
        <f t="shared" si="85"/>
        <v>17.000000003026798</v>
      </c>
      <c r="O171" s="7"/>
      <c r="P171" s="7"/>
      <c r="Q171" s="23"/>
      <c r="R171" s="23"/>
      <c r="S171" s="32">
        <f t="shared" si="86"/>
        <v>1</v>
      </c>
      <c r="T171" s="47" t="str">
        <f t="shared" si="87"/>
        <v>Southbound</v>
      </c>
      <c r="U171" s="164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4" t="str">
        <f t="shared" si="65"/>
        <v>https://d0f6bd738d7f1b3e5a7ca70fe4ff75f0.us-east-1.aws.found.io/app/kibana#/discover/Steve-Slow-Train-Analysis-(2080s-and-2083s)?_g=(refreshInterval:(display:Off,pause:!f,section:0,value:0),time:(from:'2017-01-19T08:37:41-0700',mode:absolute,to:'2017-01-19T10:57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71" s="49" t="str">
        <f t="shared" si="88"/>
        <v>N</v>
      </c>
      <c r="X171" s="170">
        <f t="shared" si="97"/>
        <v>1</v>
      </c>
      <c r="Y171" s="64">
        <f t="shared" si="89"/>
        <v>5.8657000000000004</v>
      </c>
      <c r="Z171" s="64">
        <f t="shared" si="90"/>
        <v>6.7299999999999999E-2</v>
      </c>
      <c r="AA171" s="64">
        <f t="shared" si="91"/>
        <v>5.7984</v>
      </c>
      <c r="AB171" s="61" t="e">
        <f>VLOOKUP(A171,Enforcements!$C$7:$K$15,8,0)</f>
        <v>#N/A</v>
      </c>
      <c r="AC171" s="57" t="e">
        <f>VLOOKUP(A171,Enforcements!$C$7:$E$15,3,0)</f>
        <v>#N/A</v>
      </c>
      <c r="AD171" s="58" t="str">
        <f t="shared" si="92"/>
        <v>0814-19</v>
      </c>
      <c r="AE171" s="87" t="str">
        <f t="shared" si="67"/>
        <v>aws s3 cp s3://rtdc.mdm.uploadarchive.raw/RTDC4039/ "%USERPROFILE%\AppData\Local\Temp\OnboardLogs"\RTDC4039\2017-01-19 --exclude "*" --recursive --include "*20170119*" &amp; "%USERPROFILE%\Documents\GitHub\mrs-test-scripts\Headless Mode &amp; Sideloading\WalkAndUnGZ.bat" "%USERPROFILE%\AppData\Local\Temp\OnboardLogs"\RTDC4039\2017-01-19 &amp; aws s3 cp s3://rtdc.mdm.uploadarchive.raw/RTDC4039/ "%USERPROFILE%\AppData\Local\Temp\OnboardLogs"\RTDC4039\2017-01-20 --exclude "*" --recursive --include "*20170120*" &amp; "%USERPROFILE%\Documents\GitHub\mrs-test-scripts\Headless Mode &amp; Sideloading\WalkAndUnGZ.bat" "%USERPROFILE%\AppData\Local\Temp\OnboardLogs"\RTDC4039\2017-01-20</v>
      </c>
      <c r="AF171" s="84" t="str">
        <f t="shared" si="68"/>
        <v>"C:\Program Files (x86)\AstroGrep\AstroGrep.exe" /spath="%USERPROFILE%\AppData\Local\Temp\OnboardLogs" /stypes="app*4039*20170119*" /stext=" 16:.+((SYSTEM_STATE.+slice.+state.+changed )|(ment ac)|(multiple cpu faults)|(system.+state.+changed )|(\[timeout)|(PRM\|1\|D)|(kpr)|(kdp)|(\|lc)|(penalty))" /e /r /s</v>
      </c>
      <c r="AG171" s="1" t="str">
        <f t="shared" si="93"/>
        <v>NW</v>
      </c>
      <c r="AH171" s="88" t="str">
        <f t="shared" si="94"/>
        <v>"%USERPROFILE%\Documents\GitHub\eaglep3\Utilities\RefineRTDCRunTimes.py" --tripid 814-19 --locoid 4039 --swversion DE.1.0.8.0 --startMP 300:58657 --initTime 2017-01-19T09:37:41 --startdatetime 2017-01-19T09:40:12 --delay 1 --endMP 204:673 --enddatetime 2017-01-19T09:57:12 --enforcementcount 5 &gt;&gt;C:\Users\stu\Documents\GitHub\eaglep3-reporting\EC\2017-01-19-refined-times.txt</v>
      </c>
      <c r="AI171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{"issue":{"subject":"","project_id":79,"tracker_id":40,"status_id":1,"priority_id":2,"assigned_to_id":23,"start_date":"2017-01-19","description":"","custom_fields":[{"id":1,"name":"Subdivision","value":"NW"},{"id":4,"name":"Milepost","value":"0.0673"},{"id":17,"name":"Train ID","value":"814-19"},{"id":16,"name":"Locomotive ID","value":"4039"},{"id":130,"name":"Impact","value":""},{"id":150,"name":"Time of Event (Mountain Time)","value":"09:57:12"},{"id":151,"name":"Denver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0"/>
      <c r="AK171" s="50"/>
      <c r="AL171" s="50"/>
      <c r="AM171" s="177" t="str">
        <f t="shared" si="96"/>
        <v>start /low /b %USERPROFILE%\Documents\GitHub\eaglep3\Utilities\DownloadLogsFromS3.py --loco 4039 --day 2017-01-19</v>
      </c>
      <c r="AN171" s="186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"%USERPROFILE%\AppData\Local\Temp\OnboardLogs"\RTDC4039\*4039*20170119* | grep -SE "(Enforcement Action)|(\[TIMEOUT)|(CHR.+\|PRM\|1\|D.+(SWITCH|SIGNAL).+UNKNOWN)" - &gt;&gt; 2017-01-19-UncaughtWiMAX.txt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1" customFormat="1" x14ac:dyDescent="0.25">
      <c r="A172" s="34" t="s">
        <v>485</v>
      </c>
      <c r="B172" s="7">
        <v>4040</v>
      </c>
      <c r="C172" s="22" t="s">
        <v>196</v>
      </c>
      <c r="D172" s="22" t="s">
        <v>310</v>
      </c>
      <c r="E172" s="13">
        <v>42754.422592592593</v>
      </c>
      <c r="F172" s="13">
        <v>42754.431481481479</v>
      </c>
      <c r="G172" s="7">
        <v>1</v>
      </c>
      <c r="H172" s="22" t="s">
        <v>809</v>
      </c>
      <c r="I172" s="13">
        <v>42754.442361111112</v>
      </c>
      <c r="J172" s="7">
        <v>5</v>
      </c>
      <c r="K172" s="105" t="str">
        <f t="shared" si="83"/>
        <v>4039/4040</v>
      </c>
      <c r="L172" s="22" t="str">
        <f>VLOOKUP(A172,'Trips&amp;Operators'!$C$1:$G$99999,5,FALSE)</f>
        <v>LOZA FIDEL</v>
      </c>
      <c r="M172" s="6">
        <f t="shared" si="84"/>
        <v>1.0879629633564036E-2</v>
      </c>
      <c r="N172" s="7">
        <f t="shared" si="85"/>
        <v>15.666666672332212</v>
      </c>
      <c r="O172" s="7"/>
      <c r="P172" s="7"/>
      <c r="Q172" s="23"/>
      <c r="R172" s="23"/>
      <c r="S172" s="32">
        <f t="shared" si="86"/>
        <v>1</v>
      </c>
      <c r="T172" s="47" t="str">
        <f t="shared" si="87"/>
        <v>NorthBound</v>
      </c>
      <c r="U172" s="164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4" t="str">
        <f t="shared" si="65"/>
        <v>https://d0f6bd738d7f1b3e5a7ca70fe4ff75f0.us-east-1.aws.found.io/app/kibana#/discover/Steve-Slow-Train-Analysis-(2080s-and-2083s)?_g=(refreshInterval:(display:Off,pause:!f,section:0,value:0),time:(from:'2017-01-19T09:08:32-0700',mode:absolute,to:'2017-01-19T11:37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2" s="49" t="str">
        <f t="shared" si="88"/>
        <v>N</v>
      </c>
      <c r="X172" s="170">
        <f t="shared" si="97"/>
        <v>1</v>
      </c>
      <c r="Y172" s="64">
        <f t="shared" si="89"/>
        <v>9.5699999999999993E-2</v>
      </c>
      <c r="Z172" s="64">
        <f t="shared" si="90"/>
        <v>5.8973000000000004</v>
      </c>
      <c r="AA172" s="64">
        <f t="shared" si="91"/>
        <v>5.8016000000000005</v>
      </c>
      <c r="AB172" s="61" t="e">
        <f>VLOOKUP(A172,Enforcements!$C$7:$K$15,8,0)</f>
        <v>#N/A</v>
      </c>
      <c r="AC172" s="57" t="e">
        <f>VLOOKUP(A172,Enforcements!$C$7:$E$15,3,0)</f>
        <v>#N/A</v>
      </c>
      <c r="AD172" s="58" t="str">
        <f t="shared" si="92"/>
        <v>0815-19</v>
      </c>
      <c r="AE172" s="87" t="str">
        <f t="shared" si="67"/>
        <v>aws s3 cp s3://rtdc.mdm.uploadarchive.raw/RTDC4040/ "%USERPROFILE%\AppData\Local\Temp\OnboardLogs"\RTDC4040\2017-01-19 --exclude "*" --recursive --include "*20170119*" &amp; "%USERPROFILE%\Documents\GitHub\mrs-test-scripts\Headless Mode &amp; Sideloading\WalkAndUnGZ.bat" "%USERPROFILE%\AppData\Local\Temp\OnboardLogs"\RTDC4040\2017-01-19 &amp; aws s3 cp s3://rtdc.mdm.uploadarchive.raw/RTDC4040/ "%USERPROFILE%\AppData\Local\Temp\OnboardLogs"\RTDC4040\2017-01-20 --exclude "*" --recursive --include "*20170120*" &amp; "%USERPROFILE%\Documents\GitHub\mrs-test-scripts\Headless Mode &amp; Sideloading\WalkAndUnGZ.bat" "%USERPROFILE%\AppData\Local\Temp\OnboardLogs"\RTDC4040\2017-01-20</v>
      </c>
      <c r="AF172" s="84" t="str">
        <f t="shared" si="68"/>
        <v>"C:\Program Files (x86)\AstroGrep\AstroGrep.exe" /spath="%USERPROFILE%\AppData\Local\Temp\OnboardLogs" /stypes="app*4040*20170119*" /stext=" 17:.+((SYSTEM_STATE.+slice.+state.+changed )|(ment ac)|(multiple cpu faults)|(system.+state.+changed )|(\[timeout)|(PRM\|1\|D)|(kpr)|(kdp)|(\|lc)|(penalty))" /e /r /s</v>
      </c>
      <c r="AG172" s="1" t="str">
        <f t="shared" si="93"/>
        <v>NW</v>
      </c>
      <c r="AH172" s="88" t="str">
        <f t="shared" si="94"/>
        <v>"%USERPROFILE%\Documents\GitHub\eaglep3\Utilities\RefineRTDCRunTimes.py" --tripid 815-19 --locoid 4040 --swversion DE.1.0.8.0 --startMP 204:957 --initTime 2017-01-19T10:08:32 --startdatetime 2017-01-19T10:21:20 --delay 1 --endMP 300:58973 --enddatetime 2017-01-19T10:37:00 --enforcementcount 5 &gt;&gt;C:\Users\stu\Documents\GitHub\eaglep3-reporting\EC\2017-01-19-refined-times.txt</v>
      </c>
      <c r="AI172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{"issue":{"subject":"","project_id":79,"tracker_id":40,"status_id":1,"priority_id":2,"assigned_to_id":23,"start_date":"2017-01-19","description":"","custom_fields":[{"id":1,"name":"Subdivision","value":"NW"},{"id":4,"name":"Milepost","value":"5.8973"},{"id":17,"name":"Train ID","value":"815-19"},{"id":16,"name":"Locomotive ID","value":"4040"},{"id":130,"name":"Impact","value":""},{"id":150,"name":"Time of Event (Mountain Time)","value":"10:37:00"},{"id":151,"name":"Denver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0"/>
      <c r="AK172" s="50"/>
      <c r="AL172" s="50"/>
      <c r="AM172" s="177" t="str">
        <f t="shared" si="96"/>
        <v>start /low /b %USERPROFILE%\Documents\GitHub\eaglep3\Utilities\DownloadLogsFromS3.py --loco 4040 --day 2017-01-19</v>
      </c>
      <c r="AN172" s="186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"%USERPROFILE%\AppData\Local\Temp\OnboardLogs"\RTDC4040\*4040*20170119* | grep -SE "(Enforcement Action)|(\[TIMEOUT)|(CHR.+\|PRM\|1\|D.+(SWITCH|SIGNAL).+UNKNOWN)" - &gt;&gt; 2017-01-19-UncaughtWiMAX.txt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1" customFormat="1" x14ac:dyDescent="0.25">
      <c r="A173" s="34" t="s">
        <v>581</v>
      </c>
      <c r="B173" s="7">
        <v>4039</v>
      </c>
      <c r="C173" s="22" t="s">
        <v>196</v>
      </c>
      <c r="D173" s="22" t="s">
        <v>810</v>
      </c>
      <c r="E173" s="13">
        <v>42754.443611111114</v>
      </c>
      <c r="F173" s="13">
        <v>42754.446284722224</v>
      </c>
      <c r="G173" s="7">
        <v>1</v>
      </c>
      <c r="H173" s="22" t="s">
        <v>811</v>
      </c>
      <c r="I173" s="13">
        <v>42754.457280092596</v>
      </c>
      <c r="J173" s="7">
        <v>5</v>
      </c>
      <c r="K173" s="105" t="str">
        <f t="shared" si="83"/>
        <v>4039/4040</v>
      </c>
      <c r="L173" s="22" t="str">
        <f>VLOOKUP(A173,'Trips&amp;Operators'!$C$1:$G$99999,5,FALSE)</f>
        <v>LOZA FIDEL</v>
      </c>
      <c r="M173" s="6">
        <f t="shared" si="84"/>
        <v>1.099537037225673E-2</v>
      </c>
      <c r="N173" s="7">
        <f t="shared" si="85"/>
        <v>15.833333336049691</v>
      </c>
      <c r="O173" s="7"/>
      <c r="P173" s="7"/>
      <c r="Q173" s="23"/>
      <c r="R173" s="23"/>
      <c r="S173" s="32">
        <f t="shared" si="86"/>
        <v>1</v>
      </c>
      <c r="T173" s="47" t="str">
        <f t="shared" si="87"/>
        <v>Southbound</v>
      </c>
      <c r="U173" s="164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4" t="str">
        <f t="shared" si="65"/>
        <v>https://d0f6bd738d7f1b3e5a7ca70fe4ff75f0.us-east-1.aws.found.io/app/kibana#/discover/Steve-Slow-Train-Analysis-(2080s-and-2083s)?_g=(refreshInterval:(display:Off,pause:!f,section:0,value:0),time:(from:'2017-01-19T09:38:48-0700',mode:absolute,to:'2017-01-19T11:58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73" s="49" t="str">
        <f t="shared" si="88"/>
        <v>N</v>
      </c>
      <c r="X173" s="170">
        <f t="shared" si="97"/>
        <v>1</v>
      </c>
      <c r="Y173" s="64">
        <f t="shared" si="89"/>
        <v>5.8658999999999999</v>
      </c>
      <c r="Z173" s="64">
        <f t="shared" si="90"/>
        <v>6.6299999999999998E-2</v>
      </c>
      <c r="AA173" s="64">
        <f t="shared" si="91"/>
        <v>5.7995999999999999</v>
      </c>
      <c r="AB173" s="61" t="e">
        <f>VLOOKUP(A173,Enforcements!$C$7:$K$15,8,0)</f>
        <v>#N/A</v>
      </c>
      <c r="AC173" s="57" t="e">
        <f>VLOOKUP(A173,Enforcements!$C$7:$E$15,3,0)</f>
        <v>#N/A</v>
      </c>
      <c r="AD173" s="58" t="str">
        <f t="shared" si="92"/>
        <v>0816-19</v>
      </c>
      <c r="AE173" s="87" t="str">
        <f t="shared" si="67"/>
        <v>aws s3 cp s3://rtdc.mdm.uploadarchive.raw/RTDC4039/ "%USERPROFILE%\AppData\Local\Temp\OnboardLogs"\RTDC4039\2017-01-19 --exclude "*" --recursive --include "*20170119*" &amp; "%USERPROFILE%\Documents\GitHub\mrs-test-scripts\Headless Mode &amp; Sideloading\WalkAndUnGZ.bat" "%USERPROFILE%\AppData\Local\Temp\OnboardLogs"\RTDC4039\2017-01-19 &amp; aws s3 cp s3://rtdc.mdm.uploadarchive.raw/RTDC4039/ "%USERPROFILE%\AppData\Local\Temp\OnboardLogs"\RTDC4039\2017-01-20 --exclude "*" --recursive --include "*20170120*" &amp; "%USERPROFILE%\Documents\GitHub\mrs-test-scripts\Headless Mode &amp; Sideloading\WalkAndUnGZ.bat" "%USERPROFILE%\AppData\Local\Temp\OnboardLogs"\RTDC4039\2017-01-20</v>
      </c>
      <c r="AF173" s="84" t="str">
        <f t="shared" si="68"/>
        <v>"C:\Program Files (x86)\AstroGrep\AstroGrep.exe" /spath="%USERPROFILE%\AppData\Local\Temp\OnboardLogs" /stypes="app*4039*20170119*" /stext=" 17:.+((SYSTEM_STATE.+slice.+state.+changed )|(ment ac)|(multiple cpu faults)|(system.+state.+changed )|(\[timeout)|(PRM\|1\|D)|(kpr)|(kdp)|(\|lc)|(penalty))" /e /r /s</v>
      </c>
      <c r="AG173" s="1" t="str">
        <f t="shared" si="93"/>
        <v>NW</v>
      </c>
      <c r="AH173" s="88" t="str">
        <f t="shared" si="94"/>
        <v>"%USERPROFILE%\Documents\GitHub\eaglep3\Utilities\RefineRTDCRunTimes.py" --tripid 816-19 --locoid 4039 --swversion DE.1.0.8.0 --startMP 300:58659 --initTime 2017-01-19T10:38:48 --startdatetime 2017-01-19T10:42:39 --delay 1 --endMP 204:663 --enddatetime 2017-01-19T10:58:29 --enforcementcount 5 &gt;&gt;C:\Users\stu\Documents\GitHub\eaglep3-reporting\EC\2017-01-19-refined-times.txt</v>
      </c>
      <c r="AI173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{"issue":{"subject":"","project_id":79,"tracker_id":40,"status_id":1,"priority_id":2,"assigned_to_id":23,"start_date":"2017-01-19","description":"","custom_fields":[{"id":1,"name":"Subdivision","value":"NW"},{"id":4,"name":"Milepost","value":"0.0663"},{"id":17,"name":"Train ID","value":"816-19"},{"id":16,"name":"Locomotive ID","value":"4039"},{"id":130,"name":"Impact","value":""},{"id":150,"name":"Time of Event (Mountain Time)","value":"10:58:29"},{"id":151,"name":"Denver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0"/>
      <c r="AK173" s="50"/>
      <c r="AL173" s="50"/>
      <c r="AM173" s="177" t="str">
        <f t="shared" si="96"/>
        <v>start /low /b %USERPROFILE%\Documents\GitHub\eaglep3\Utilities\DownloadLogsFromS3.py --loco 4039 --day 2017-01-19</v>
      </c>
      <c r="AN173" s="186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"%USERPROFILE%\AppData\Local\Temp\OnboardLogs"\RTDC4039\*4039*20170119* | grep -SE "(Enforcement Action)|(\[TIMEOUT)|(CHR.+\|PRM\|1\|D.+(SWITCH|SIGNAL).+UNKNOWN)" - &gt;&gt; 2017-01-19-UncaughtWiMAX.txt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1" customFormat="1" x14ac:dyDescent="0.25">
      <c r="A174" s="34" t="s">
        <v>591</v>
      </c>
      <c r="B174" s="7">
        <v>4040</v>
      </c>
      <c r="C174" s="22" t="s">
        <v>196</v>
      </c>
      <c r="D174" s="22" t="s">
        <v>383</v>
      </c>
      <c r="E174" s="13">
        <v>42754.465844907405</v>
      </c>
      <c r="F174" s="13">
        <v>42754.473182870373</v>
      </c>
      <c r="G174" s="7">
        <v>1</v>
      </c>
      <c r="H174" s="22" t="s">
        <v>812</v>
      </c>
      <c r="I174" s="13">
        <v>42754.482708333337</v>
      </c>
      <c r="J174" s="7">
        <v>5</v>
      </c>
      <c r="K174" s="105" t="str">
        <f t="shared" si="83"/>
        <v>4039/4040</v>
      </c>
      <c r="L174" s="22" t="str">
        <f>VLOOKUP(A174,'Trips&amp;Operators'!$C$1:$G$99999,5,FALSE)</f>
        <v>LOZA FIDEL</v>
      </c>
      <c r="M174" s="6">
        <f t="shared" si="84"/>
        <v>9.5254629632108845E-3</v>
      </c>
      <c r="N174" s="7">
        <f t="shared" si="85"/>
        <v>13.716666667023674</v>
      </c>
      <c r="O174" s="7"/>
      <c r="P174" s="7"/>
      <c r="Q174" s="23"/>
      <c r="R174" s="23"/>
      <c r="S174" s="32">
        <f t="shared" si="86"/>
        <v>1</v>
      </c>
      <c r="T174" s="47" t="str">
        <f t="shared" si="87"/>
        <v>NorthBound</v>
      </c>
      <c r="U174" s="164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4" t="str">
        <f t="shared" si="65"/>
        <v>https://d0f6bd738d7f1b3e5a7ca70fe4ff75f0.us-east-1.aws.found.io/app/kibana#/discover/Steve-Slow-Train-Analysis-(2080s-and-2083s)?_g=(refreshInterval:(display:Off,pause:!f,section:0,value:0),time:(from:'2017-01-19T10:10:49-0700',mode:absolute,to:'2017-01-19T12:35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4" s="49" t="str">
        <f t="shared" si="88"/>
        <v>N</v>
      </c>
      <c r="X174" s="170">
        <f t="shared" si="97"/>
        <v>1</v>
      </c>
      <c r="Y174" s="64">
        <f t="shared" si="89"/>
        <v>9.6500000000000002E-2</v>
      </c>
      <c r="Z174" s="64">
        <f t="shared" si="90"/>
        <v>5.8960999999999997</v>
      </c>
      <c r="AA174" s="64">
        <f t="shared" si="91"/>
        <v>5.7995999999999999</v>
      </c>
      <c r="AB174" s="61" t="e">
        <f>VLOOKUP(A174,Enforcements!$C$7:$K$15,8,0)</f>
        <v>#N/A</v>
      </c>
      <c r="AC174" s="57" t="e">
        <f>VLOOKUP(A174,Enforcements!$C$7:$E$15,3,0)</f>
        <v>#N/A</v>
      </c>
      <c r="AD174" s="58" t="str">
        <f t="shared" si="92"/>
        <v>0817-19</v>
      </c>
      <c r="AE174" s="87" t="str">
        <f t="shared" si="67"/>
        <v>aws s3 cp s3://rtdc.mdm.uploadarchive.raw/RTDC4040/ "%USERPROFILE%\AppData\Local\Temp\OnboardLogs"\RTDC4040\2017-01-19 --exclude "*" --recursive --include "*20170119*" &amp; "%USERPROFILE%\Documents\GitHub\mrs-test-scripts\Headless Mode &amp; Sideloading\WalkAndUnGZ.bat" "%USERPROFILE%\AppData\Local\Temp\OnboardLogs"\RTDC4040\2017-01-19 &amp; aws s3 cp s3://rtdc.mdm.uploadarchive.raw/RTDC4040/ "%USERPROFILE%\AppData\Local\Temp\OnboardLogs"\RTDC4040\2017-01-20 --exclude "*" --recursive --include "*20170120*" &amp; "%USERPROFILE%\Documents\GitHub\mrs-test-scripts\Headless Mode &amp; Sideloading\WalkAndUnGZ.bat" "%USERPROFILE%\AppData\Local\Temp\OnboardLogs"\RTDC4040\2017-01-20</v>
      </c>
      <c r="AF174" s="84" t="str">
        <f t="shared" si="68"/>
        <v>"C:\Program Files (x86)\AstroGrep\AstroGrep.exe" /spath="%USERPROFILE%\AppData\Local\Temp\OnboardLogs" /stypes="app*4040*20170119*" /stext=" 18:.+((SYSTEM_STATE.+slice.+state.+changed )|(ment ac)|(multiple cpu faults)|(system.+state.+changed )|(\[timeout)|(PRM\|1\|D)|(kpr)|(kdp)|(\|lc)|(penalty))" /e /r /s</v>
      </c>
      <c r="AG174" s="1" t="str">
        <f t="shared" si="93"/>
        <v>NW</v>
      </c>
      <c r="AH174" s="88" t="str">
        <f t="shared" si="94"/>
        <v>"%USERPROFILE%\Documents\GitHub\eaglep3\Utilities\RefineRTDCRunTimes.py" --tripid 817-19 --locoid 4040 --swversion DE.1.0.8.0 --startMP 204:965 --initTime 2017-01-19T11:10:49 --startdatetime 2017-01-19T11:21:23 --delay 1 --endMP 300:58961 --enddatetime 2017-01-19T11:35:06 --enforcementcount 5 &gt;&gt;C:\Users\stu\Documents\GitHub\eaglep3-reporting\EC\2017-01-19-refined-times.txt</v>
      </c>
      <c r="AI174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{"issue":{"subject":"","project_id":79,"tracker_id":40,"status_id":1,"priority_id":2,"assigned_to_id":23,"start_date":"2017-01-19","description":"","custom_fields":[{"id":1,"name":"Subdivision","value":"NW"},{"id":4,"name":"Milepost","value":"5.8961"},{"id":17,"name":"Train ID","value":"817-19"},{"id":16,"name":"Locomotive ID","value":"4040"},{"id":130,"name":"Impact","value":""},{"id":150,"name":"Time of Event (Mountain Time)","value":"11:35:06"},{"id":151,"name":"Denver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0"/>
      <c r="AK174" s="50"/>
      <c r="AL174" s="50"/>
      <c r="AM174" s="177" t="str">
        <f t="shared" si="96"/>
        <v>start /low /b %USERPROFILE%\Documents\GitHub\eaglep3\Utilities\DownloadLogsFromS3.py --loco 4040 --day 2017-01-19</v>
      </c>
      <c r="AN174" s="186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"%USERPROFILE%\AppData\Local\Temp\OnboardLogs"\RTDC4040\*4040*20170119* | grep -SE "(Enforcement Action)|(\[TIMEOUT)|(CHR.+\|PRM\|1\|D.+(SWITCH|SIGNAL).+UNKNOWN)" - &gt;&gt; 2017-01-19-UncaughtWiMAX.txt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4" t="s">
        <v>596</v>
      </c>
      <c r="B175" s="7">
        <v>4039</v>
      </c>
      <c r="C175" s="22" t="s">
        <v>196</v>
      </c>
      <c r="D175" s="22" t="s">
        <v>813</v>
      </c>
      <c r="E175" s="13">
        <v>42754.484363425923</v>
      </c>
      <c r="F175" s="13">
        <v>42754.486226851855</v>
      </c>
      <c r="G175" s="7">
        <v>1</v>
      </c>
      <c r="H175" s="22" t="s">
        <v>309</v>
      </c>
      <c r="I175" s="13">
        <v>42754.498229166667</v>
      </c>
      <c r="J175" s="7">
        <v>5</v>
      </c>
      <c r="K175" s="105" t="str">
        <f t="shared" si="83"/>
        <v>4039/4040</v>
      </c>
      <c r="L175" s="22" t="str">
        <f>VLOOKUP(A175,'Trips&amp;Operators'!$C$1:$G$99999,5,FALSE)</f>
        <v>LOZA FIDEL</v>
      </c>
      <c r="M175" s="6">
        <f t="shared" si="84"/>
        <v>1.2002314811979886E-2</v>
      </c>
      <c r="N175" s="7">
        <f t="shared" si="85"/>
        <v>17.283333329251036</v>
      </c>
      <c r="O175" s="7"/>
      <c r="P175" s="7"/>
      <c r="Q175" s="23"/>
      <c r="R175" s="23"/>
      <c r="S175" s="32">
        <f t="shared" si="86"/>
        <v>1</v>
      </c>
      <c r="T175" s="47" t="str">
        <f t="shared" si="87"/>
        <v>Southbound</v>
      </c>
      <c r="U175" s="164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4" t="str">
        <f t="shared" si="65"/>
        <v>https://d0f6bd738d7f1b3e5a7ca70fe4ff75f0.us-east-1.aws.found.io/app/kibana#/discover/Steve-Slow-Train-Analysis-(2080s-and-2083s)?_g=(refreshInterval:(display:Off,pause:!f,section:0,value:0),time:(from:'2017-01-19T10:37:29-0700',mode:absolute,to:'2017-01-19T12:57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75" s="49" t="str">
        <f t="shared" si="88"/>
        <v>N</v>
      </c>
      <c r="X175" s="170">
        <f t="shared" si="97"/>
        <v>1</v>
      </c>
      <c r="Y175" s="64">
        <f t="shared" si="89"/>
        <v>5.8643000000000001</v>
      </c>
      <c r="Z175" s="64">
        <f t="shared" si="90"/>
        <v>6.7100000000000007E-2</v>
      </c>
      <c r="AA175" s="64">
        <f t="shared" si="91"/>
        <v>5.7972000000000001</v>
      </c>
      <c r="AB175" s="61" t="e">
        <f>VLOOKUP(A175,Enforcements!$C$7:$K$15,8,0)</f>
        <v>#N/A</v>
      </c>
      <c r="AC175" s="57" t="e">
        <f>VLOOKUP(A175,Enforcements!$C$7:$E$15,3,0)</f>
        <v>#N/A</v>
      </c>
      <c r="AD175" s="58" t="str">
        <f t="shared" si="92"/>
        <v>0818-19</v>
      </c>
      <c r="AE175" s="87" t="str">
        <f t="shared" si="67"/>
        <v>aws s3 cp s3://rtdc.mdm.uploadarchive.raw/RTDC4039/ "%USERPROFILE%\AppData\Local\Temp\OnboardLogs"\RTDC4039\2017-01-19 --exclude "*" --recursive --include "*20170119*" &amp; "%USERPROFILE%\Documents\GitHub\mrs-test-scripts\Headless Mode &amp; Sideloading\WalkAndUnGZ.bat" "%USERPROFILE%\AppData\Local\Temp\OnboardLogs"\RTDC4039\2017-01-19 &amp; aws s3 cp s3://rtdc.mdm.uploadarchive.raw/RTDC4039/ "%USERPROFILE%\AppData\Local\Temp\OnboardLogs"\RTDC4039\2017-01-20 --exclude "*" --recursive --include "*20170120*" &amp; "%USERPROFILE%\Documents\GitHub\mrs-test-scripts\Headless Mode &amp; Sideloading\WalkAndUnGZ.bat" "%USERPROFILE%\AppData\Local\Temp\OnboardLogs"\RTDC4039\2017-01-20</v>
      </c>
      <c r="AF175" s="84" t="str">
        <f t="shared" si="68"/>
        <v>"C:\Program Files (x86)\AstroGrep\AstroGrep.exe" /spath="%USERPROFILE%\AppData\Local\Temp\OnboardLogs" /stypes="app*4039*20170119*" /stext=" 18:.+((SYSTEM_STATE.+slice.+state.+changed )|(ment ac)|(multiple cpu faults)|(system.+state.+changed )|(\[timeout)|(PRM\|1\|D)|(kpr)|(kdp)|(\|lc)|(penalty))" /e /r /s</v>
      </c>
      <c r="AG175" s="1" t="str">
        <f t="shared" si="93"/>
        <v>NW</v>
      </c>
      <c r="AH175" s="88" t="str">
        <f t="shared" si="94"/>
        <v>"%USERPROFILE%\Documents\GitHub\eaglep3\Utilities\RefineRTDCRunTimes.py" --tripid 818-19 --locoid 4039 --swversion DE.1.0.8.0 --startMP 300:58643 --initTime 2017-01-19T11:37:29 --startdatetime 2017-01-19T11:40:10 --delay 1 --endMP 204:671 --enddatetime 2017-01-19T11:57:27 --enforcementcount 5 &gt;&gt;C:\Users\stu\Documents\GitHub\eaglep3-reporting\EC\2017-01-19-refined-times.txt</v>
      </c>
      <c r="AI175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{"issue":{"subject":"","project_id":79,"tracker_id":40,"status_id":1,"priority_id":2,"assigned_to_id":23,"start_date":"2017-01-19","description":"","custom_fields":[{"id":1,"name":"Subdivision","value":"NW"},{"id":4,"name":"Milepost","value":"0.0671"},{"id":17,"name":"Train ID","value":"818-19"},{"id":16,"name":"Locomotive ID","value":"4039"},{"id":130,"name":"Impact","value":""},{"id":150,"name":"Time of Event (Mountain Time)","value":"11:57:27"},{"id":151,"name":"Denver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0"/>
      <c r="AK175" s="50"/>
      <c r="AL175" s="50"/>
      <c r="AM175" s="177" t="str">
        <f t="shared" si="96"/>
        <v>start /low /b %USERPROFILE%\Documents\GitHub\eaglep3\Utilities\DownloadLogsFromS3.py --loco 4039 --day 2017-01-19</v>
      </c>
      <c r="AN175" s="186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"%USERPROFILE%\AppData\Local\Temp\OnboardLogs"\RTDC4039\*4039*20170119* | grep -SE "(Enforcement Action)|(\[TIMEOUT)|(CHR.+\|PRM\|1\|D.+(SWITCH|SIGNAL).+UNKNOWN)" - &gt;&gt; 2017-01-19-UncaughtWiMAX.txt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4" t="s">
        <v>603</v>
      </c>
      <c r="B176" s="7">
        <v>4040</v>
      </c>
      <c r="C176" s="22" t="s">
        <v>196</v>
      </c>
      <c r="D176" s="22" t="s">
        <v>402</v>
      </c>
      <c r="E176" s="13">
        <v>42754.512175925927</v>
      </c>
      <c r="F176" s="13">
        <v>42754.515034722222</v>
      </c>
      <c r="G176" s="7">
        <v>1</v>
      </c>
      <c r="H176" s="22" t="s">
        <v>809</v>
      </c>
      <c r="I176" s="13">
        <v>42754.524444444447</v>
      </c>
      <c r="J176" s="7">
        <v>5</v>
      </c>
      <c r="K176" s="105" t="str">
        <f t="shared" si="83"/>
        <v>4039/4040</v>
      </c>
      <c r="L176" s="22" t="str">
        <f>VLOOKUP(A176,'Trips&amp;Operators'!$C$1:$G$99999,5,FALSE)</f>
        <v>LOZA FIDEL</v>
      </c>
      <c r="M176" s="6">
        <f t="shared" si="84"/>
        <v>9.4097222245181911E-3</v>
      </c>
      <c r="N176" s="7">
        <f t="shared" si="85"/>
        <v>13.550000003306195</v>
      </c>
      <c r="O176" s="7"/>
      <c r="P176" s="7"/>
      <c r="Q176" s="23"/>
      <c r="R176" s="23"/>
      <c r="S176" s="32">
        <f t="shared" si="86"/>
        <v>1</v>
      </c>
      <c r="T176" s="47" t="str">
        <f t="shared" si="87"/>
        <v>NorthBound</v>
      </c>
      <c r="U176" s="164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4" t="str">
        <f t="shared" si="65"/>
        <v>https://d0f6bd738d7f1b3e5a7ca70fe4ff75f0.us-east-1.aws.found.io/app/kibana#/discover/Steve-Slow-Train-Analysis-(2080s-and-2083s)?_g=(refreshInterval:(display:Off,pause:!f,section:0,value:0),time:(from:'2017-01-19T11:17:32-0700',mode:absolute,to:'2017-01-19T13:35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6" s="49" t="str">
        <f t="shared" si="88"/>
        <v>N</v>
      </c>
      <c r="X176" s="170">
        <f t="shared" si="97"/>
        <v>1</v>
      </c>
      <c r="Y176" s="64">
        <f t="shared" si="89"/>
        <v>9.6000000000000002E-2</v>
      </c>
      <c r="Z176" s="64">
        <f t="shared" si="90"/>
        <v>5.8973000000000004</v>
      </c>
      <c r="AA176" s="64">
        <f t="shared" si="91"/>
        <v>5.8013000000000003</v>
      </c>
      <c r="AB176" s="61" t="e">
        <f>VLOOKUP(A176,Enforcements!$C$7:$K$15,8,0)</f>
        <v>#N/A</v>
      </c>
      <c r="AC176" s="57" t="e">
        <f>VLOOKUP(A176,Enforcements!$C$7:$E$15,3,0)</f>
        <v>#N/A</v>
      </c>
      <c r="AD176" s="58" t="str">
        <f t="shared" si="92"/>
        <v>0819-19</v>
      </c>
      <c r="AE176" s="87" t="str">
        <f t="shared" si="67"/>
        <v>aws s3 cp s3://rtdc.mdm.uploadarchive.raw/RTDC4040/ "%USERPROFILE%\AppData\Local\Temp\OnboardLogs"\RTDC4040\2017-01-19 --exclude "*" --recursive --include "*20170119*" &amp; "%USERPROFILE%\Documents\GitHub\mrs-test-scripts\Headless Mode &amp; Sideloading\WalkAndUnGZ.bat" "%USERPROFILE%\AppData\Local\Temp\OnboardLogs"\RTDC4040\2017-01-19 &amp; aws s3 cp s3://rtdc.mdm.uploadarchive.raw/RTDC4040/ "%USERPROFILE%\AppData\Local\Temp\OnboardLogs"\RTDC4040\2017-01-20 --exclude "*" --recursive --include "*20170120*" &amp; "%USERPROFILE%\Documents\GitHub\mrs-test-scripts\Headless Mode &amp; Sideloading\WalkAndUnGZ.bat" "%USERPROFILE%\AppData\Local\Temp\OnboardLogs"\RTDC4040\2017-01-20</v>
      </c>
      <c r="AF176" s="84" t="str">
        <f t="shared" si="68"/>
        <v>"C:\Program Files (x86)\AstroGrep\AstroGrep.exe" /spath="%USERPROFILE%\AppData\Local\Temp\OnboardLogs" /stypes="app*4040*20170119*" /stext=" 19:.+((SYSTEM_STATE.+slice.+state.+changed )|(ment ac)|(multiple cpu faults)|(system.+state.+changed )|(\[timeout)|(PRM\|1\|D)|(kpr)|(kdp)|(\|lc)|(penalty))" /e /r /s</v>
      </c>
      <c r="AG176" s="1" t="str">
        <f t="shared" si="93"/>
        <v>NW</v>
      </c>
      <c r="AH176" s="88" t="str">
        <f t="shared" si="94"/>
        <v>"%USERPROFILE%\Documents\GitHub\eaglep3\Utilities\RefineRTDCRunTimes.py" --tripid 819-19 --locoid 4040 --swversion DE.1.0.8.0 --startMP 204:960 --initTime 2017-01-19T12:17:32 --startdatetime 2017-01-19T12:21:39 --delay 1 --endMP 300:58973 --enddatetime 2017-01-19T12:35:12 --enforcementcount 5 &gt;&gt;C:\Users\stu\Documents\GitHub\eaglep3-reporting\EC\2017-01-19-refined-times.txt</v>
      </c>
      <c r="AI176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{"issue":{"subject":"","project_id":79,"tracker_id":40,"status_id":1,"priority_id":2,"assigned_to_id":23,"start_date":"2017-01-19","description":"","custom_fields":[{"id":1,"name":"Subdivision","value":"NW"},{"id":4,"name":"Milepost","value":"5.8973"},{"id":17,"name":"Train ID","value":"819-19"},{"id":16,"name":"Locomotive ID","value":"4040"},{"id":130,"name":"Impact","value":""},{"id":150,"name":"Time of Event (Mountain Time)","value":"12:35:12"},{"id":151,"name":"Denver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0"/>
      <c r="AK176" s="50"/>
      <c r="AL176" s="50"/>
      <c r="AM176" s="177" t="str">
        <f t="shared" si="96"/>
        <v>start /low /b %USERPROFILE%\Documents\GitHub\eaglep3\Utilities\DownloadLogsFromS3.py --loco 4040 --day 2017-01-19</v>
      </c>
      <c r="AN176" s="186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"%USERPROFILE%\AppData\Local\Temp\OnboardLogs"\RTDC4040\*4040*20170119* | grep -SE "(Enforcement Action)|(\[TIMEOUT)|(CHR.+\|PRM\|1\|D.+(SWITCH|SIGNAL).+UNKNOWN)" - &gt;&gt; 2017-01-19-UncaughtWiMAX.txt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1" customFormat="1" x14ac:dyDescent="0.25">
      <c r="A177" s="34" t="s">
        <v>607</v>
      </c>
      <c r="B177" s="7">
        <v>4039</v>
      </c>
      <c r="C177" s="22" t="s">
        <v>196</v>
      </c>
      <c r="D177" s="22" t="s">
        <v>393</v>
      </c>
      <c r="E177" s="13">
        <v>42754.525590277779</v>
      </c>
      <c r="F177" s="13">
        <v>42754.52716435185</v>
      </c>
      <c r="G177" s="7">
        <v>1</v>
      </c>
      <c r="H177" s="22" t="s">
        <v>808</v>
      </c>
      <c r="I177" s="13">
        <v>42754.538541666669</v>
      </c>
      <c r="J177" s="7">
        <v>5</v>
      </c>
      <c r="K177" s="105" t="str">
        <f t="shared" si="83"/>
        <v>4039/4040</v>
      </c>
      <c r="L177" s="22" t="str">
        <f>VLOOKUP(A177,'Trips&amp;Operators'!$C$1:$G$99999,5,FALSE)</f>
        <v>LOZA FIDEL</v>
      </c>
      <c r="M177" s="6">
        <f t="shared" si="84"/>
        <v>1.1377314818673767E-2</v>
      </c>
      <c r="N177" s="7">
        <f t="shared" si="85"/>
        <v>16.383333338890225</v>
      </c>
      <c r="O177" s="7"/>
      <c r="P177" s="7"/>
      <c r="Q177" s="23"/>
      <c r="R177" s="23"/>
      <c r="S177" s="32">
        <f t="shared" si="86"/>
        <v>1</v>
      </c>
      <c r="T177" s="47" t="str">
        <f t="shared" si="87"/>
        <v>Southbound</v>
      </c>
      <c r="U177" s="164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4" t="str">
        <f t="shared" si="65"/>
        <v>https://d0f6bd738d7f1b3e5a7ca70fe4ff75f0.us-east-1.aws.found.io/app/kibana#/discover/Steve-Slow-Train-Analysis-(2080s-and-2083s)?_g=(refreshInterval:(display:Off,pause:!f,section:0,value:0),time:(from:'2017-01-19T11:36:51-0700',mode:absolute,to:'2017-01-19T13:55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77" s="49" t="str">
        <f t="shared" si="88"/>
        <v>N</v>
      </c>
      <c r="X177" s="170">
        <f t="shared" si="97"/>
        <v>1</v>
      </c>
      <c r="Y177" s="64">
        <f t="shared" si="89"/>
        <v>5.8651</v>
      </c>
      <c r="Z177" s="64">
        <f t="shared" si="90"/>
        <v>6.7299999999999999E-2</v>
      </c>
      <c r="AA177" s="64">
        <f t="shared" si="91"/>
        <v>5.7977999999999996</v>
      </c>
      <c r="AB177" s="61" t="e">
        <f>VLOOKUP(A177,Enforcements!$C$7:$K$15,8,0)</f>
        <v>#N/A</v>
      </c>
      <c r="AC177" s="57" t="e">
        <f>VLOOKUP(A177,Enforcements!$C$7:$E$15,3,0)</f>
        <v>#N/A</v>
      </c>
      <c r="AD177" s="58" t="str">
        <f t="shared" si="92"/>
        <v>0820-19</v>
      </c>
      <c r="AE177" s="87" t="str">
        <f t="shared" si="67"/>
        <v>aws s3 cp s3://rtdc.mdm.uploadarchive.raw/RTDC4039/ "%USERPROFILE%\AppData\Local\Temp\OnboardLogs"\RTDC4039\2017-01-19 --exclude "*" --recursive --include "*20170119*" &amp; "%USERPROFILE%\Documents\GitHub\mrs-test-scripts\Headless Mode &amp; Sideloading\WalkAndUnGZ.bat" "%USERPROFILE%\AppData\Local\Temp\OnboardLogs"\RTDC4039\2017-01-19 &amp; aws s3 cp s3://rtdc.mdm.uploadarchive.raw/RTDC4039/ "%USERPROFILE%\AppData\Local\Temp\OnboardLogs"\RTDC4039\2017-01-20 --exclude "*" --recursive --include "*20170120*" &amp; "%USERPROFILE%\Documents\GitHub\mrs-test-scripts\Headless Mode &amp; Sideloading\WalkAndUnGZ.bat" "%USERPROFILE%\AppData\Local\Temp\OnboardLogs"\RTDC4039\2017-01-20</v>
      </c>
      <c r="AF177" s="84" t="str">
        <f t="shared" si="68"/>
        <v>"C:\Program Files (x86)\AstroGrep\AstroGrep.exe" /spath="%USERPROFILE%\AppData\Local\Temp\OnboardLogs" /stypes="app*4039*20170119*" /stext=" 19:.+((SYSTEM_STATE.+slice.+state.+changed )|(ment ac)|(multiple cpu faults)|(system.+state.+changed )|(\[timeout)|(PRM\|1\|D)|(kpr)|(kdp)|(\|lc)|(penalty))" /e /r /s</v>
      </c>
      <c r="AG177" s="1" t="str">
        <f t="shared" si="93"/>
        <v>NW</v>
      </c>
      <c r="AH177" s="88" t="str">
        <f t="shared" si="94"/>
        <v>"%USERPROFILE%\Documents\GitHub\eaglep3\Utilities\RefineRTDCRunTimes.py" --tripid 820-19 --locoid 4039 --swversion DE.1.0.8.0 --startMP 300:58651 --initTime 2017-01-19T12:36:51 --startdatetime 2017-01-19T12:39:07 --delay 1 --endMP 204:673 --enddatetime 2017-01-19T12:55:30 --enforcementcount 5 &gt;&gt;C:\Users\stu\Documents\GitHub\eaglep3-reporting\EC\2017-01-19-refined-times.txt</v>
      </c>
      <c r="AI177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{"issue":{"subject":"","project_id":79,"tracker_id":40,"status_id":1,"priority_id":2,"assigned_to_id":23,"start_date":"2017-01-19","description":"","custom_fields":[{"id":1,"name":"Subdivision","value":"NW"},{"id":4,"name":"Milepost","value":"0.0673"},{"id":17,"name":"Train ID","value":"820-19"},{"id":16,"name":"Locomotive ID","value":"4039"},{"id":130,"name":"Impact","value":""},{"id":150,"name":"Time of Event (Mountain Time)","value":"12:55:30"},{"id":151,"name":"Denver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0"/>
      <c r="AK177" s="50"/>
      <c r="AL177" s="50"/>
      <c r="AM177" s="177" t="str">
        <f t="shared" si="96"/>
        <v>start /low /b %USERPROFILE%\Documents\GitHub\eaglep3\Utilities\DownloadLogsFromS3.py --loco 4039 --day 2017-01-19</v>
      </c>
      <c r="AN177" s="186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"%USERPROFILE%\AppData\Local\Temp\OnboardLogs"\RTDC4039\*4039*20170119* | grep -SE "(Enforcement Action)|(\[TIMEOUT)|(CHR.+\|PRM\|1\|D.+(SWITCH|SIGNAL).+UNKNOWN)" - &gt;&gt; 2017-01-19-UncaughtWiMAX.txt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1" customFormat="1" x14ac:dyDescent="0.25">
      <c r="A178" s="34" t="s">
        <v>610</v>
      </c>
      <c r="B178" s="7">
        <v>4040</v>
      </c>
      <c r="C178" s="22" t="s">
        <v>196</v>
      </c>
      <c r="D178" s="22" t="s">
        <v>392</v>
      </c>
      <c r="E178" s="13">
        <v>42754.544907407406</v>
      </c>
      <c r="F178" s="13">
        <v>42754.556435185186</v>
      </c>
      <c r="G178" s="7">
        <v>2</v>
      </c>
      <c r="H178" s="22" t="s">
        <v>814</v>
      </c>
      <c r="I178" s="13">
        <v>42754.566643518519</v>
      </c>
      <c r="J178" s="7">
        <v>5</v>
      </c>
      <c r="K178" s="105" t="str">
        <f t="shared" si="83"/>
        <v>4039/4040</v>
      </c>
      <c r="L178" s="22" t="str">
        <f>VLOOKUP(A178,'Trips&amp;Operators'!$C$1:$G$99999,5,FALSE)</f>
        <v>LEVERE CRAIG</v>
      </c>
      <c r="M178" s="6">
        <f t="shared" si="84"/>
        <v>1.0208333333139308E-2</v>
      </c>
      <c r="N178" s="7">
        <f t="shared" si="85"/>
        <v>14.699999999720603</v>
      </c>
      <c r="O178" s="7"/>
      <c r="P178" s="7"/>
      <c r="Q178" s="23"/>
      <c r="R178" s="23"/>
      <c r="S178" s="32">
        <f t="shared" si="86"/>
        <v>1</v>
      </c>
      <c r="T178" s="47" t="str">
        <f t="shared" si="87"/>
        <v>NorthBound</v>
      </c>
      <c r="U178" s="164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4" t="str">
        <f t="shared" si="65"/>
        <v>https://d0f6bd738d7f1b3e5a7ca70fe4ff75f0.us-east-1.aws.found.io/app/kibana#/discover/Steve-Slow-Train-Analysis-(2080s-and-2083s)?_g=(refreshInterval:(display:Off,pause:!f,section:0,value:0),time:(from:'2017-01-19T12:04:40-0700',mode:absolute,to:'2017-01-19T14:35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8" s="49" t="str">
        <f t="shared" si="88"/>
        <v>N</v>
      </c>
      <c r="X178" s="170">
        <f t="shared" si="97"/>
        <v>1</v>
      </c>
      <c r="Y178" s="64">
        <f t="shared" si="89"/>
        <v>9.5500000000000002E-2</v>
      </c>
      <c r="Z178" s="64">
        <f t="shared" si="90"/>
        <v>5.8958000000000004</v>
      </c>
      <c r="AA178" s="64">
        <f t="shared" si="91"/>
        <v>5.8003</v>
      </c>
      <c r="AB178" s="61" t="e">
        <f>VLOOKUP(A178,Enforcements!$C$7:$K$15,8,0)</f>
        <v>#N/A</v>
      </c>
      <c r="AC178" s="57" t="e">
        <f>VLOOKUP(A178,Enforcements!$C$7:$E$15,3,0)</f>
        <v>#N/A</v>
      </c>
      <c r="AD178" s="58" t="str">
        <f t="shared" si="92"/>
        <v>0821-19</v>
      </c>
      <c r="AE178" s="87" t="str">
        <f t="shared" si="67"/>
        <v>aws s3 cp s3://rtdc.mdm.uploadarchive.raw/RTDC4040/ "%USERPROFILE%\AppData\Local\Temp\OnboardLogs"\RTDC4040\2017-01-19 --exclude "*" --recursive --include "*20170119*" &amp; "%USERPROFILE%\Documents\GitHub\mrs-test-scripts\Headless Mode &amp; Sideloading\WalkAndUnGZ.bat" "%USERPROFILE%\AppData\Local\Temp\OnboardLogs"\RTDC4040\2017-01-19 &amp; aws s3 cp s3://rtdc.mdm.uploadarchive.raw/RTDC4040/ "%USERPROFILE%\AppData\Local\Temp\OnboardLogs"\RTDC4040\2017-01-20 --exclude "*" --recursive --include "*20170120*" &amp; "%USERPROFILE%\Documents\GitHub\mrs-test-scripts\Headless Mode &amp; Sideloading\WalkAndUnGZ.bat" "%USERPROFILE%\AppData\Local\Temp\OnboardLogs"\RTDC4040\2017-01-20</v>
      </c>
      <c r="AF178" s="84" t="str">
        <f t="shared" si="68"/>
        <v>"C:\Program Files (x86)\AstroGrep\AstroGrep.exe" /spath="%USERPROFILE%\AppData\Local\Temp\OnboardLogs" /stypes="app*4040*20170119*" /stext=" 20:.+((SYSTEM_STATE.+slice.+state.+changed )|(ment ac)|(multiple cpu faults)|(system.+state.+changed )|(\[timeout)|(PRM\|1\|D)|(kpr)|(kdp)|(\|lc)|(penalty))" /e /r /s</v>
      </c>
      <c r="AG178" s="1" t="str">
        <f t="shared" si="93"/>
        <v>NW</v>
      </c>
      <c r="AH178" s="88" t="str">
        <f t="shared" si="94"/>
        <v>"%USERPROFILE%\Documents\GitHub\eaglep3\Utilities\RefineRTDCRunTimes.py" --tripid 821-19 --locoid 4040 --swversion DE.1.0.8.0 --startMP 204:955 --initTime 2017-01-19T13:04:40 --startdatetime 2017-01-19T13:21:16 --delay 2 --endMP 300:58958 --enddatetime 2017-01-19T13:35:58 --enforcementcount 5 &gt;&gt;C:\Users\stu\Documents\GitHub\eaglep3-reporting\EC\2017-01-19-refined-times.txt</v>
      </c>
      <c r="AI178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{"issue":{"subject":"","project_id":79,"tracker_id":40,"status_id":1,"priority_id":2,"assigned_to_id":23,"start_date":"2017-01-19","description":"","custom_fields":[{"id":1,"name":"Subdivision","value":"NW"},{"id":4,"name":"Milepost","value":"5.8958"},{"id":17,"name":"Train ID","value":"821-19"},{"id":16,"name":"Locomotive ID","value":"4040"},{"id":130,"name":"Impact","value":""},{"id":150,"name":"Time of Event (Mountain Time)","value":"13:35:58"},{"id":151,"name":"Denver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0"/>
      <c r="AK178" s="50"/>
      <c r="AL178" s="50"/>
      <c r="AM178" s="177" t="str">
        <f t="shared" si="96"/>
        <v>start /low /b %USERPROFILE%\Documents\GitHub\eaglep3\Utilities\DownloadLogsFromS3.py --loco 4040 --day 2017-01-19</v>
      </c>
      <c r="AN178" s="186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"%USERPROFILE%\AppData\Local\Temp\OnboardLogs"\RTDC4040\*4040*20170119* | grep -SE "(Enforcement Action)|(\[TIMEOUT)|(CHR.+\|PRM\|1\|D.+(SWITCH|SIGNAL).+UNKNOWN)" - &gt;&gt; 2017-01-19-UncaughtWiMAX.txt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1" customFormat="1" x14ac:dyDescent="0.25">
      <c r="A179" s="34" t="s">
        <v>616</v>
      </c>
      <c r="B179" s="7">
        <v>4039</v>
      </c>
      <c r="C179" s="22" t="s">
        <v>196</v>
      </c>
      <c r="D179" s="22" t="s">
        <v>815</v>
      </c>
      <c r="E179" s="13">
        <v>42754.567557870374</v>
      </c>
      <c r="F179" s="13">
        <v>42754.569085648145</v>
      </c>
      <c r="G179" s="7">
        <v>1</v>
      </c>
      <c r="H179" s="22" t="s">
        <v>816</v>
      </c>
      <c r="I179" s="13">
        <v>42754.580891203703</v>
      </c>
      <c r="J179" s="7">
        <v>5</v>
      </c>
      <c r="K179" s="105" t="str">
        <f t="shared" si="83"/>
        <v>4039/4040</v>
      </c>
      <c r="L179" s="22" t="str">
        <f>VLOOKUP(A179,'Trips&amp;Operators'!$C$1:$G$99999,5,FALSE)</f>
        <v>LEVERE CRAIG</v>
      </c>
      <c r="M179" s="6">
        <f t="shared" si="84"/>
        <v>1.1805555557657499E-2</v>
      </c>
      <c r="N179" s="7">
        <f t="shared" si="85"/>
        <v>17.000000003026798</v>
      </c>
      <c r="O179" s="7"/>
      <c r="P179" s="7"/>
      <c r="Q179" s="23"/>
      <c r="R179" s="23"/>
      <c r="S179" s="32">
        <f t="shared" si="86"/>
        <v>1</v>
      </c>
      <c r="T179" s="47" t="str">
        <f t="shared" si="87"/>
        <v>Southbound</v>
      </c>
      <c r="U179" s="164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4" t="str">
        <f t="shared" si="65"/>
        <v>https://d0f6bd738d7f1b3e5a7ca70fe4ff75f0.us-east-1.aws.found.io/app/kibana#/discover/Steve-Slow-Train-Analysis-(2080s-and-2083s)?_g=(refreshInterval:(display:Off,pause:!f,section:0,value:0),time:(from:'2017-01-19T12:37:17-0700',mode:absolute,to:'2017-01-19T14:56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79" s="49" t="str">
        <f t="shared" si="88"/>
        <v>N</v>
      </c>
      <c r="X179" s="170">
        <f t="shared" si="97"/>
        <v>1</v>
      </c>
      <c r="Y179" s="64">
        <f t="shared" si="89"/>
        <v>5.8644999999999996</v>
      </c>
      <c r="Z179" s="64">
        <f t="shared" si="90"/>
        <v>6.9199999999999998E-2</v>
      </c>
      <c r="AA179" s="64">
        <f t="shared" si="91"/>
        <v>5.7952999999999992</v>
      </c>
      <c r="AB179" s="61" t="e">
        <f>VLOOKUP(A179,Enforcements!$C$7:$K$15,8,0)</f>
        <v>#N/A</v>
      </c>
      <c r="AC179" s="57" t="e">
        <f>VLOOKUP(A179,Enforcements!$C$7:$E$15,3,0)</f>
        <v>#N/A</v>
      </c>
      <c r="AD179" s="58" t="str">
        <f t="shared" si="92"/>
        <v>0822-19</v>
      </c>
      <c r="AE179" s="87" t="str">
        <f t="shared" si="67"/>
        <v>aws s3 cp s3://rtdc.mdm.uploadarchive.raw/RTDC4039/ "%USERPROFILE%\AppData\Local\Temp\OnboardLogs"\RTDC4039\2017-01-19 --exclude "*" --recursive --include "*20170119*" &amp; "%USERPROFILE%\Documents\GitHub\mrs-test-scripts\Headless Mode &amp; Sideloading\WalkAndUnGZ.bat" "%USERPROFILE%\AppData\Local\Temp\OnboardLogs"\RTDC4039\2017-01-19 &amp; aws s3 cp s3://rtdc.mdm.uploadarchive.raw/RTDC4039/ "%USERPROFILE%\AppData\Local\Temp\OnboardLogs"\RTDC4039\2017-01-20 --exclude "*" --recursive --include "*20170120*" &amp; "%USERPROFILE%\Documents\GitHub\mrs-test-scripts\Headless Mode &amp; Sideloading\WalkAndUnGZ.bat" "%USERPROFILE%\AppData\Local\Temp\OnboardLogs"\RTDC4039\2017-01-20</v>
      </c>
      <c r="AF179" s="84" t="str">
        <f t="shared" si="68"/>
        <v>"C:\Program Files (x86)\AstroGrep\AstroGrep.exe" /spath="%USERPROFILE%\AppData\Local\Temp\OnboardLogs" /stypes="app*4039*20170119*" /stext=" 20:.+((SYSTEM_STATE.+slice.+state.+changed )|(ment ac)|(multiple cpu faults)|(system.+state.+changed )|(\[timeout)|(PRM\|1\|D)|(kpr)|(kdp)|(\|lc)|(penalty))" /e /r /s</v>
      </c>
      <c r="AG179" s="1" t="str">
        <f t="shared" si="93"/>
        <v>NW</v>
      </c>
      <c r="AH179" s="88" t="str">
        <f t="shared" si="94"/>
        <v>"%USERPROFILE%\Documents\GitHub\eaglep3\Utilities\RefineRTDCRunTimes.py" --tripid 822-19 --locoid 4039 --swversion DE.1.0.8.0 --startMP 300:58645 --initTime 2017-01-19T13:37:17 --startdatetime 2017-01-19T13:39:29 --delay 1 --endMP 204:692 --enddatetime 2017-01-19T13:56:29 --enforcementcount 5 &gt;&gt;C:\Users\stu\Documents\GitHub\eaglep3-reporting\EC\2017-01-19-refined-times.txt</v>
      </c>
      <c r="AI179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{"issue":{"subject":"","project_id":79,"tracker_id":40,"status_id":1,"priority_id":2,"assigned_to_id":23,"start_date":"2017-01-19","description":"","custom_fields":[{"id":1,"name":"Subdivision","value":"NW"},{"id":4,"name":"Milepost","value":"0.0692"},{"id":17,"name":"Train ID","value":"822-19"},{"id":16,"name":"Locomotive ID","value":"4039"},{"id":130,"name":"Impact","value":""},{"id":150,"name":"Time of Event (Mountain Time)","value":"13:56:29"},{"id":151,"name":"Denver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0"/>
      <c r="AK179" s="50"/>
      <c r="AL179" s="50"/>
      <c r="AM179" s="177" t="str">
        <f t="shared" si="96"/>
        <v>start /low /b %USERPROFILE%\Documents\GitHub\eaglep3\Utilities\DownloadLogsFromS3.py --loco 4039 --day 2017-01-19</v>
      </c>
      <c r="AN179" s="186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"%USERPROFILE%\AppData\Local\Temp\OnboardLogs"\RTDC4039\*4039*20170119* | grep -SE "(Enforcement Action)|(\[TIMEOUT)|(CHR.+\|PRM\|1\|D.+(SWITCH|SIGNAL).+UNKNOWN)" - &gt;&gt; 2017-01-19-UncaughtWiMAX.txt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1" customFormat="1" x14ac:dyDescent="0.25">
      <c r="A180" s="34" t="s">
        <v>621</v>
      </c>
      <c r="B180" s="7">
        <v>4040</v>
      </c>
      <c r="C180" s="22" t="s">
        <v>196</v>
      </c>
      <c r="D180" s="22" t="s">
        <v>817</v>
      </c>
      <c r="E180" s="13">
        <v>42754.589108796295</v>
      </c>
      <c r="F180" s="13">
        <v>42754.598124999997</v>
      </c>
      <c r="G180" s="7">
        <v>1</v>
      </c>
      <c r="H180" s="22" t="s">
        <v>818</v>
      </c>
      <c r="I180" s="13">
        <v>42754.608298611114</v>
      </c>
      <c r="J180" s="7">
        <v>5</v>
      </c>
      <c r="K180" s="105" t="str">
        <f t="shared" si="83"/>
        <v>4039/4040</v>
      </c>
      <c r="L180" s="22" t="str">
        <f>VLOOKUP(A180,'Trips&amp;Operators'!$C$1:$G$99999,5,FALSE)</f>
        <v>LEVERE CRAIG</v>
      </c>
      <c r="M180" s="6">
        <f t="shared" si="84"/>
        <v>1.0173611117352266E-2</v>
      </c>
      <c r="N180" s="7">
        <f t="shared" si="85"/>
        <v>14.650000008987263</v>
      </c>
      <c r="O180" s="7"/>
      <c r="P180" s="7"/>
      <c r="Q180" s="23"/>
      <c r="R180" s="23"/>
      <c r="S180" s="32">
        <f t="shared" si="86"/>
        <v>1</v>
      </c>
      <c r="T180" s="47" t="str">
        <f t="shared" si="87"/>
        <v>NorthBound</v>
      </c>
      <c r="U180" s="164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4" t="str">
        <f t="shared" si="65"/>
        <v>https://d0f6bd738d7f1b3e5a7ca70fe4ff75f0.us-east-1.aws.found.io/app/kibana#/discover/Steve-Slow-Train-Analysis-(2080s-and-2083s)?_g=(refreshInterval:(display:Off,pause:!f,section:0,value:0),time:(from:'2017-01-19T13:08:19-0700',mode:absolute,to:'2017-01-19T15:35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0" s="49" t="str">
        <f t="shared" si="88"/>
        <v>N</v>
      </c>
      <c r="X180" s="170">
        <f t="shared" si="97"/>
        <v>1</v>
      </c>
      <c r="Y180" s="64">
        <f t="shared" si="89"/>
        <v>9.7799999999999998E-2</v>
      </c>
      <c r="Z180" s="64">
        <f t="shared" si="90"/>
        <v>5.8956</v>
      </c>
      <c r="AA180" s="64">
        <f t="shared" si="91"/>
        <v>5.7977999999999996</v>
      </c>
      <c r="AB180" s="61" t="e">
        <f>VLOOKUP(A180,Enforcements!$C$7:$K$15,8,0)</f>
        <v>#N/A</v>
      </c>
      <c r="AC180" s="57" t="e">
        <f>VLOOKUP(A180,Enforcements!$C$7:$E$15,3,0)</f>
        <v>#N/A</v>
      </c>
      <c r="AD180" s="58" t="str">
        <f t="shared" si="92"/>
        <v>0823-19</v>
      </c>
      <c r="AE180" s="87" t="str">
        <f t="shared" si="67"/>
        <v>aws s3 cp s3://rtdc.mdm.uploadarchive.raw/RTDC4040/ "%USERPROFILE%\AppData\Local\Temp\OnboardLogs"\RTDC4040\2017-01-19 --exclude "*" --recursive --include "*20170119*" &amp; "%USERPROFILE%\Documents\GitHub\mrs-test-scripts\Headless Mode &amp; Sideloading\WalkAndUnGZ.bat" "%USERPROFILE%\AppData\Local\Temp\OnboardLogs"\RTDC4040\2017-01-19 &amp; aws s3 cp s3://rtdc.mdm.uploadarchive.raw/RTDC4040/ "%USERPROFILE%\AppData\Local\Temp\OnboardLogs"\RTDC4040\2017-01-20 --exclude "*" --recursive --include "*20170120*" &amp; "%USERPROFILE%\Documents\GitHub\mrs-test-scripts\Headless Mode &amp; Sideloading\WalkAndUnGZ.bat" "%USERPROFILE%\AppData\Local\Temp\OnboardLogs"\RTDC4040\2017-01-20</v>
      </c>
      <c r="AF180" s="84" t="str">
        <f t="shared" si="68"/>
        <v>"C:\Program Files (x86)\AstroGrep\AstroGrep.exe" /spath="%USERPROFILE%\AppData\Local\Temp\OnboardLogs" /stypes="app*4040*20170119*" /stext=" 21:.+((SYSTEM_STATE.+slice.+state.+changed )|(ment ac)|(multiple cpu faults)|(system.+state.+changed )|(\[timeout)|(PRM\|1\|D)|(kpr)|(kdp)|(\|lc)|(penalty))" /e /r /s</v>
      </c>
      <c r="AG180" s="1" t="str">
        <f t="shared" si="93"/>
        <v>NW</v>
      </c>
      <c r="AH180" s="88" t="str">
        <f t="shared" si="94"/>
        <v>"%USERPROFILE%\Documents\GitHub\eaglep3\Utilities\RefineRTDCRunTimes.py" --tripid 823-19 --locoid 4040 --swversion DE.1.0.8.0 --startMP 204:978 --initTime 2017-01-19T14:08:19 --startdatetime 2017-01-19T14:21:18 --delay 1 --endMP 300:58956 --enddatetime 2017-01-19T14:35:57 --enforcementcount 5 &gt;&gt;C:\Users\stu\Documents\GitHub\eaglep3-reporting\EC\2017-01-19-refined-times.txt</v>
      </c>
      <c r="AI180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{"issue":{"subject":"","project_id":79,"tracker_id":40,"status_id":1,"priority_id":2,"assigned_to_id":23,"start_date":"2017-01-19","description":"","custom_fields":[{"id":1,"name":"Subdivision","value":"NW"},{"id":4,"name":"Milepost","value":"5.8956"},{"id":17,"name":"Train ID","value":"823-19"},{"id":16,"name":"Locomotive ID","value":"4040"},{"id":130,"name":"Impact","value":""},{"id":150,"name":"Time of Event (Mountain Time)","value":"14:35:57"},{"id":151,"name":"Denver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0"/>
      <c r="AK180" s="50"/>
      <c r="AL180" s="50"/>
      <c r="AM180" s="177" t="str">
        <f t="shared" si="96"/>
        <v>start /low /b %USERPROFILE%\Documents\GitHub\eaglep3\Utilities\DownloadLogsFromS3.py --loco 4040 --day 2017-01-19</v>
      </c>
      <c r="AN180" s="186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"%USERPROFILE%\AppData\Local\Temp\OnboardLogs"\RTDC4040\*4040*20170119* | grep -SE "(Enforcement Action)|(\[TIMEOUT)|(CHR.+\|PRM\|1\|D.+(SWITCH|SIGNAL).+UNKNOWN)" - &gt;&gt; 2017-01-19-UncaughtWiMAX.txt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1" customFormat="1" x14ac:dyDescent="0.25">
      <c r="A181" s="34" t="s">
        <v>626</v>
      </c>
      <c r="B181" s="7">
        <v>4039</v>
      </c>
      <c r="C181" s="22" t="s">
        <v>196</v>
      </c>
      <c r="D181" s="22" t="s">
        <v>819</v>
      </c>
      <c r="E181" s="13">
        <v>42754.609155092592</v>
      </c>
      <c r="F181" s="13">
        <v>42754.610567129632</v>
      </c>
      <c r="G181" s="7">
        <v>1</v>
      </c>
      <c r="H181" s="22" t="s">
        <v>400</v>
      </c>
      <c r="I181" s="13">
        <v>42754.623749999999</v>
      </c>
      <c r="J181" s="7">
        <v>5</v>
      </c>
      <c r="K181" s="105" t="str">
        <f t="shared" si="83"/>
        <v>4039/4040</v>
      </c>
      <c r="L181" s="22" t="str">
        <f>VLOOKUP(A181,'Trips&amp;Operators'!$C$1:$G$99999,5,FALSE)</f>
        <v>LEVERE CRAIG</v>
      </c>
      <c r="M181" s="6">
        <f t="shared" si="84"/>
        <v>1.318287036701804E-2</v>
      </c>
      <c r="N181" s="7">
        <f t="shared" si="85"/>
        <v>18.983333328505978</v>
      </c>
      <c r="O181" s="7"/>
      <c r="P181" s="7"/>
      <c r="Q181" s="23"/>
      <c r="R181" s="23"/>
      <c r="S181" s="32">
        <f t="shared" si="86"/>
        <v>1</v>
      </c>
      <c r="T181" s="47" t="str">
        <f t="shared" si="87"/>
        <v>Southbound</v>
      </c>
      <c r="U181" s="164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4" t="str">
        <f t="shared" si="65"/>
        <v>https://d0f6bd738d7f1b3e5a7ca70fe4ff75f0.us-east-1.aws.found.io/app/kibana#/discover/Steve-Slow-Train-Analysis-(2080s-and-2083s)?_g=(refreshInterval:(display:Off,pause:!f,section:0,value:0),time:(from:'2017-01-19T13:37:11-0700',mode:absolute,to:'2017-01-19T15:58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1" s="49" t="str">
        <f t="shared" si="88"/>
        <v>N</v>
      </c>
      <c r="X181" s="170">
        <f t="shared" si="97"/>
        <v>1</v>
      </c>
      <c r="Y181" s="64">
        <f t="shared" si="89"/>
        <v>5.8647</v>
      </c>
      <c r="Z181" s="64">
        <f t="shared" si="90"/>
        <v>6.8500000000000005E-2</v>
      </c>
      <c r="AA181" s="64">
        <f t="shared" si="91"/>
        <v>5.7961999999999998</v>
      </c>
      <c r="AB181" s="61" t="e">
        <f>VLOOKUP(A181,Enforcements!$C$7:$K$15,8,0)</f>
        <v>#N/A</v>
      </c>
      <c r="AC181" s="57" t="e">
        <f>VLOOKUP(A181,Enforcements!$C$7:$E$15,3,0)</f>
        <v>#N/A</v>
      </c>
      <c r="AD181" s="58" t="str">
        <f t="shared" si="92"/>
        <v>0824-19</v>
      </c>
      <c r="AE181" s="87" t="str">
        <f t="shared" si="67"/>
        <v>aws s3 cp s3://rtdc.mdm.uploadarchive.raw/RTDC4039/ "%USERPROFILE%\AppData\Local\Temp\OnboardLogs"\RTDC4039\2017-01-19 --exclude "*" --recursive --include "*20170119*" &amp; "%USERPROFILE%\Documents\GitHub\mrs-test-scripts\Headless Mode &amp; Sideloading\WalkAndUnGZ.bat" "%USERPROFILE%\AppData\Local\Temp\OnboardLogs"\RTDC4039\2017-01-19 &amp; aws s3 cp s3://rtdc.mdm.uploadarchive.raw/RTDC4039/ "%USERPROFILE%\AppData\Local\Temp\OnboardLogs"\RTDC4039\2017-01-20 --exclude "*" --recursive --include "*20170120*" &amp; "%USERPROFILE%\Documents\GitHub\mrs-test-scripts\Headless Mode &amp; Sideloading\WalkAndUnGZ.bat" "%USERPROFILE%\AppData\Local\Temp\OnboardLogs"\RTDC4039\2017-01-20</v>
      </c>
      <c r="AF181" s="84" t="str">
        <f t="shared" si="68"/>
        <v>"C:\Program Files (x86)\AstroGrep\AstroGrep.exe" /spath="%USERPROFILE%\AppData\Local\Temp\OnboardLogs" /stypes="app*4039*20170119*" /stext=" 21:.+((SYSTEM_STATE.+slice.+state.+changed )|(ment ac)|(multiple cpu faults)|(system.+state.+changed )|(\[timeout)|(PRM\|1\|D)|(kpr)|(kdp)|(\|lc)|(penalty))" /e /r /s</v>
      </c>
      <c r="AG181" s="1" t="str">
        <f t="shared" si="93"/>
        <v>NW</v>
      </c>
      <c r="AH181" s="88" t="str">
        <f t="shared" si="94"/>
        <v>"%USERPROFILE%\Documents\GitHub\eaglep3\Utilities\RefineRTDCRunTimes.py" --tripid 824-19 --locoid 4039 --swversion DE.1.0.8.0 --startMP 300:58647 --initTime 2017-01-19T14:37:11 --startdatetime 2017-01-19T14:39:13 --delay 1 --endMP 204:685 --enddatetime 2017-01-19T14:58:12 --enforcementcount 5 &gt;&gt;C:\Users\stu\Documents\GitHub\eaglep3-reporting\EC\2017-01-19-refined-times.txt</v>
      </c>
      <c r="AI181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{"issue":{"subject":"","project_id":79,"tracker_id":40,"status_id":1,"priority_id":2,"assigned_to_id":23,"start_date":"2017-01-19","description":"","custom_fields":[{"id":1,"name":"Subdivision","value":"NW"},{"id":4,"name":"Milepost","value":"0.0685"},{"id":17,"name":"Train ID","value":"824-19"},{"id":16,"name":"Locomotive ID","value":"4039"},{"id":130,"name":"Impact","value":""},{"id":150,"name":"Time of Event (Mountain Time)","value":"14:58:12"},{"id":151,"name":"Denver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0"/>
      <c r="AK181" s="50"/>
      <c r="AL181" s="50"/>
      <c r="AM181" s="177" t="str">
        <f t="shared" si="96"/>
        <v>start /low /b %USERPROFILE%\Documents\GitHub\eaglep3\Utilities\DownloadLogsFromS3.py --loco 4039 --day 2017-01-19</v>
      </c>
      <c r="AN181" s="186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"%USERPROFILE%\AppData\Local\Temp\OnboardLogs"\RTDC4039\*4039*20170119* | grep -SE "(Enforcement Action)|(\[TIMEOUT)|(CHR.+\|PRM\|1\|D.+(SWITCH|SIGNAL).+UNKNOWN)" - &gt;&gt; 2017-01-19-UncaughtWiMAX.txt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1" customFormat="1" x14ac:dyDescent="0.25">
      <c r="A182" s="34" t="s">
        <v>632</v>
      </c>
      <c r="B182" s="7">
        <v>4040</v>
      </c>
      <c r="C182" s="22" t="s">
        <v>196</v>
      </c>
      <c r="D182" s="22" t="s">
        <v>820</v>
      </c>
      <c r="E182" s="13">
        <v>42754.632581018515</v>
      </c>
      <c r="F182" s="13">
        <v>42754.639872685184</v>
      </c>
      <c r="G182" s="7">
        <v>1</v>
      </c>
      <c r="H182" s="22" t="s">
        <v>332</v>
      </c>
      <c r="I182" s="13">
        <v>42754.649780092594</v>
      </c>
      <c r="J182" s="7">
        <v>5</v>
      </c>
      <c r="K182" s="105" t="str">
        <f t="shared" si="83"/>
        <v>4039/4040</v>
      </c>
      <c r="L182" s="22" t="str">
        <f>VLOOKUP(A182,'Trips&amp;Operators'!$C$1:$G$99999,5,FALSE)</f>
        <v>LEVERE CRAIG</v>
      </c>
      <c r="M182" s="6">
        <f t="shared" si="84"/>
        <v>9.9074074096279219E-3</v>
      </c>
      <c r="N182" s="7">
        <f t="shared" si="85"/>
        <v>14.266666669864208</v>
      </c>
      <c r="O182" s="7"/>
      <c r="P182" s="7"/>
      <c r="Q182" s="23"/>
      <c r="R182" s="23"/>
      <c r="S182" s="32">
        <f t="shared" si="86"/>
        <v>1</v>
      </c>
      <c r="T182" s="47" t="str">
        <f t="shared" si="87"/>
        <v>NorthBound</v>
      </c>
      <c r="U182" s="164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4" t="str">
        <f t="shared" si="65"/>
        <v>https://d0f6bd738d7f1b3e5a7ca70fe4ff75f0.us-east-1.aws.found.io/app/kibana#/discover/Steve-Slow-Train-Analysis-(2080s-and-2083s)?_g=(refreshInterval:(display:Off,pause:!f,section:0,value:0),time:(from:'2017-01-19T14:10:55-0700',mode:absolute,to:'2017-01-19T16:35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2" s="49" t="str">
        <f t="shared" si="88"/>
        <v>N</v>
      </c>
      <c r="X182" s="170">
        <f t="shared" si="97"/>
        <v>1</v>
      </c>
      <c r="Y182" s="64">
        <f t="shared" si="89"/>
        <v>9.7100000000000006E-2</v>
      </c>
      <c r="Z182" s="64">
        <f t="shared" si="90"/>
        <v>5.8971</v>
      </c>
      <c r="AA182" s="64">
        <f t="shared" si="91"/>
        <v>5.8</v>
      </c>
      <c r="AB182" s="61" t="e">
        <f>VLOOKUP(A182,Enforcements!$C$7:$K$15,8,0)</f>
        <v>#N/A</v>
      </c>
      <c r="AC182" s="57" t="e">
        <f>VLOOKUP(A182,Enforcements!$C$7:$E$15,3,0)</f>
        <v>#N/A</v>
      </c>
      <c r="AD182" s="58" t="str">
        <f t="shared" si="92"/>
        <v>0825-19</v>
      </c>
      <c r="AE182" s="87" t="str">
        <f t="shared" si="67"/>
        <v>aws s3 cp s3://rtdc.mdm.uploadarchive.raw/RTDC4040/ "%USERPROFILE%\AppData\Local\Temp\OnboardLogs"\RTDC4040\2017-01-19 --exclude "*" --recursive --include "*20170119*" &amp; "%USERPROFILE%\Documents\GitHub\mrs-test-scripts\Headless Mode &amp; Sideloading\WalkAndUnGZ.bat" "%USERPROFILE%\AppData\Local\Temp\OnboardLogs"\RTDC4040\2017-01-19 &amp; aws s3 cp s3://rtdc.mdm.uploadarchive.raw/RTDC4040/ "%USERPROFILE%\AppData\Local\Temp\OnboardLogs"\RTDC4040\2017-01-20 --exclude "*" --recursive --include "*20170120*" &amp; "%USERPROFILE%\Documents\GitHub\mrs-test-scripts\Headless Mode &amp; Sideloading\WalkAndUnGZ.bat" "%USERPROFILE%\AppData\Local\Temp\OnboardLogs"\RTDC4040\2017-01-20</v>
      </c>
      <c r="AF182" s="84" t="str">
        <f t="shared" si="68"/>
        <v>"C:\Program Files (x86)\AstroGrep\AstroGrep.exe" /spath="%USERPROFILE%\AppData\Local\Temp\OnboardLogs" /stypes="app*4040*20170119*" /stext=" 22:.+((SYSTEM_STATE.+slice.+state.+changed )|(ment ac)|(multiple cpu faults)|(system.+state.+changed )|(\[timeout)|(PRM\|1\|D)|(kpr)|(kdp)|(\|lc)|(penalty))" /e /r /s</v>
      </c>
      <c r="AG182" s="1" t="str">
        <f t="shared" si="93"/>
        <v>NW</v>
      </c>
      <c r="AH182" s="88" t="str">
        <f t="shared" si="94"/>
        <v>"%USERPROFILE%\Documents\GitHub\eaglep3\Utilities\RefineRTDCRunTimes.py" --tripid 825-19 --locoid 4040 --swversion DE.1.0.8.0 --startMP 204:971 --initTime 2017-01-19T15:10:55 --startdatetime 2017-01-19T15:21:25 --delay 1 --endMP 300:58971 --enddatetime 2017-01-19T15:35:41 --enforcementcount 5 &gt;&gt;C:\Users\stu\Documents\GitHub\eaglep3-reporting\EC\2017-01-19-refined-times.txt</v>
      </c>
      <c r="AI182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{"issue":{"subject":"","project_id":79,"tracker_id":40,"status_id":1,"priority_id":2,"assigned_to_id":23,"start_date":"2017-01-19","description":"","custom_fields":[{"id":1,"name":"Subdivision","value":"NW"},{"id":4,"name":"Milepost","value":"5.8971"},{"id":17,"name":"Train ID","value":"825-19"},{"id":16,"name":"Locomotive ID","value":"4040"},{"id":130,"name":"Impact","value":""},{"id":150,"name":"Time of Event (Mountain Time)","value":"15:35:41"},{"id":151,"name":"Denver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0"/>
      <c r="AK182" s="50"/>
      <c r="AL182" s="50"/>
      <c r="AM182" s="177" t="str">
        <f t="shared" si="96"/>
        <v>start /low /b %USERPROFILE%\Documents\GitHub\eaglep3\Utilities\DownloadLogsFromS3.py --loco 4040 --day 2017-01-19</v>
      </c>
      <c r="AN182" s="186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"%USERPROFILE%\AppData\Local\Temp\OnboardLogs"\RTDC4040\*4040*20170119* | grep -SE "(Enforcement Action)|(\[TIMEOUT)|(CHR.+\|PRM\|1\|D.+(SWITCH|SIGNAL).+UNKNOWN)" - &gt;&gt; 2017-01-19-UncaughtWiMAX.txt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1" customFormat="1" x14ac:dyDescent="0.25">
      <c r="A183" s="34" t="s">
        <v>636</v>
      </c>
      <c r="B183" s="7">
        <v>4039</v>
      </c>
      <c r="C183" s="22" t="s">
        <v>196</v>
      </c>
      <c r="D183" s="22" t="s">
        <v>821</v>
      </c>
      <c r="E183" s="13">
        <v>42754.650636574072</v>
      </c>
      <c r="F183" s="13">
        <v>42754.651875000003</v>
      </c>
      <c r="G183" s="7">
        <v>1</v>
      </c>
      <c r="H183" s="22" t="s">
        <v>333</v>
      </c>
      <c r="I183" s="13">
        <v>42754.664548611108</v>
      </c>
      <c r="J183" s="7">
        <v>5</v>
      </c>
      <c r="K183" s="105" t="str">
        <f t="shared" si="83"/>
        <v>4039/4040</v>
      </c>
      <c r="L183" s="22" t="str">
        <f>VLOOKUP(A183,'Trips&amp;Operators'!$C$1:$G$99999,5,FALSE)</f>
        <v>LEVERE CRAIG</v>
      </c>
      <c r="M183" s="6">
        <f t="shared" si="84"/>
        <v>1.2673611105128657E-2</v>
      </c>
      <c r="N183" s="7">
        <f t="shared" si="85"/>
        <v>18.249999991385266</v>
      </c>
      <c r="O183" s="7"/>
      <c r="P183" s="7"/>
      <c r="Q183" s="23"/>
      <c r="R183" s="23"/>
      <c r="S183" s="32">
        <f t="shared" si="86"/>
        <v>1</v>
      </c>
      <c r="T183" s="47" t="str">
        <f t="shared" si="87"/>
        <v>Southbound</v>
      </c>
      <c r="U183" s="164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4" t="str">
        <f t="shared" si="65"/>
        <v>https://d0f6bd738d7f1b3e5a7ca70fe4ff75f0.us-east-1.aws.found.io/app/kibana#/discover/Steve-Slow-Train-Analysis-(2080s-and-2083s)?_g=(refreshInterval:(display:Off,pause:!f,section:0,value:0),time:(from:'2017-01-19T14:36:55-0700',mode:absolute,to:'2017-01-19T16:56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3" s="49" t="str">
        <f t="shared" si="88"/>
        <v>N</v>
      </c>
      <c r="X183" s="170">
        <f t="shared" si="97"/>
        <v>1</v>
      </c>
      <c r="Y183" s="64">
        <f t="shared" si="89"/>
        <v>5.8642000000000003</v>
      </c>
      <c r="Z183" s="64">
        <f t="shared" si="90"/>
        <v>6.9099999999999995E-2</v>
      </c>
      <c r="AA183" s="64">
        <f t="shared" si="91"/>
        <v>5.7951000000000006</v>
      </c>
      <c r="AB183" s="61" t="e">
        <f>VLOOKUP(A183,Enforcements!$C$7:$K$15,8,0)</f>
        <v>#N/A</v>
      </c>
      <c r="AC183" s="57" t="e">
        <f>VLOOKUP(A183,Enforcements!$C$7:$E$15,3,0)</f>
        <v>#N/A</v>
      </c>
      <c r="AD183" s="58" t="str">
        <f t="shared" si="92"/>
        <v>0826-19</v>
      </c>
      <c r="AE183" s="87" t="str">
        <f t="shared" si="67"/>
        <v>aws s3 cp s3://rtdc.mdm.uploadarchive.raw/RTDC4039/ "%USERPROFILE%\AppData\Local\Temp\OnboardLogs"\RTDC4039\2017-01-19 --exclude "*" --recursive --include "*20170119*" &amp; "%USERPROFILE%\Documents\GitHub\mrs-test-scripts\Headless Mode &amp; Sideloading\WalkAndUnGZ.bat" "%USERPROFILE%\AppData\Local\Temp\OnboardLogs"\RTDC4039\2017-01-19 &amp; aws s3 cp s3://rtdc.mdm.uploadarchive.raw/RTDC4039/ "%USERPROFILE%\AppData\Local\Temp\OnboardLogs"\RTDC4039\2017-01-20 --exclude "*" --recursive --include "*20170120*" &amp; "%USERPROFILE%\Documents\GitHub\mrs-test-scripts\Headless Mode &amp; Sideloading\WalkAndUnGZ.bat" "%USERPROFILE%\AppData\Local\Temp\OnboardLogs"\RTDC4039\2017-01-20</v>
      </c>
      <c r="AF183" s="84" t="str">
        <f t="shared" si="68"/>
        <v>"C:\Program Files (x86)\AstroGrep\AstroGrep.exe" /spath="%USERPROFILE%\AppData\Local\Temp\OnboardLogs" /stypes="app*4039*20170119*" /stext=" 22:.+((SYSTEM_STATE.+slice.+state.+changed )|(ment ac)|(multiple cpu faults)|(system.+state.+changed )|(\[timeout)|(PRM\|1\|D)|(kpr)|(kdp)|(\|lc)|(penalty))" /e /r /s</v>
      </c>
      <c r="AG183" s="1" t="str">
        <f t="shared" si="93"/>
        <v>NW</v>
      </c>
      <c r="AH183" s="88" t="str">
        <f t="shared" si="94"/>
        <v>"%USERPROFILE%\Documents\GitHub\eaglep3\Utilities\RefineRTDCRunTimes.py" --tripid 826-19 --locoid 4039 --swversion DE.1.0.8.0 --startMP 300:58642 --initTime 2017-01-19T15:36:55 --startdatetime 2017-01-19T15:38:42 --delay 1 --endMP 204:691 --enddatetime 2017-01-19T15:56:57 --enforcementcount 5 &gt;&gt;C:\Users\stu\Documents\GitHub\eaglep3-reporting\EC\2017-01-19-refined-times.txt</v>
      </c>
      <c r="AI183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{"issue":{"subject":"","project_id":79,"tracker_id":40,"status_id":1,"priority_id":2,"assigned_to_id":23,"start_date":"2017-01-19","description":"","custom_fields":[{"id":1,"name":"Subdivision","value":"NW"},{"id":4,"name":"Milepost","value":"0.0691"},{"id":17,"name":"Train ID","value":"826-19"},{"id":16,"name":"Locomotive ID","value":"4039"},{"id":130,"name":"Impact","value":""},{"id":150,"name":"Time of Event (Mountain Time)","value":"15:56:57"},{"id":151,"name":"Denver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0"/>
      <c r="AK183" s="50"/>
      <c r="AL183" s="50"/>
      <c r="AM183" s="177" t="str">
        <f t="shared" si="96"/>
        <v>start /low /b %USERPROFILE%\Documents\GitHub\eaglep3\Utilities\DownloadLogsFromS3.py --loco 4039 --day 2017-01-19</v>
      </c>
      <c r="AN183" s="186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"%USERPROFILE%\AppData\Local\Temp\OnboardLogs"\RTDC4039\*4039*20170119* | grep -SE "(Enforcement Action)|(\[TIMEOUT)|(CHR.+\|PRM\|1\|D.+(SWITCH|SIGNAL).+UNKNOWN)" - &gt;&gt; 2017-01-19-UncaughtWiMAX.txt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4" t="s">
        <v>494</v>
      </c>
      <c r="B184" s="7">
        <v>4038</v>
      </c>
      <c r="C184" s="22" t="s">
        <v>196</v>
      </c>
      <c r="D184" s="22" t="s">
        <v>822</v>
      </c>
      <c r="E184" s="13">
        <v>42754.656076388892</v>
      </c>
      <c r="F184" s="13">
        <v>42754.660694444443</v>
      </c>
      <c r="G184" s="7">
        <v>1</v>
      </c>
      <c r="H184" s="22" t="s">
        <v>823</v>
      </c>
      <c r="I184" s="13">
        <v>42754.671631944446</v>
      </c>
      <c r="J184" s="7">
        <v>5</v>
      </c>
      <c r="K184" s="105" t="str">
        <f t="shared" si="83"/>
        <v>4037/4038</v>
      </c>
      <c r="L184" s="22" t="str">
        <f>VLOOKUP(A184,'Trips&amp;Operators'!$C$1:$G$99999,5,FALSE)</f>
        <v>STORY SAMANTHA</v>
      </c>
      <c r="M184" s="6">
        <f t="shared" si="84"/>
        <v>1.0937500002910383E-2</v>
      </c>
      <c r="N184" s="7">
        <f t="shared" si="85"/>
        <v>15.750000004190952</v>
      </c>
      <c r="O184" s="7"/>
      <c r="P184" s="7"/>
      <c r="Q184" s="23"/>
      <c r="R184" s="23"/>
      <c r="S184" s="32">
        <f t="shared" si="86"/>
        <v>1</v>
      </c>
      <c r="T184" s="47" t="str">
        <f t="shared" si="87"/>
        <v>NorthBound</v>
      </c>
      <c r="U184" s="164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4" t="str">
        <f t="shared" si="65"/>
        <v>https://d0f6bd738d7f1b3e5a7ca70fe4ff75f0.us-east-1.aws.found.io/app/kibana#/discover/Steve-Slow-Train-Analysis-(2080s-and-2083s)?_g=(refreshInterval:(display:Off,pause:!f,section:0,value:0),time:(from:'2017-01-19T14:44:45-0700',mode:absolute,to:'2017-01-19T17:07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84" s="49" t="str">
        <f t="shared" si="88"/>
        <v>N</v>
      </c>
      <c r="X184" s="170">
        <f t="shared" si="97"/>
        <v>1</v>
      </c>
      <c r="Y184" s="64">
        <f t="shared" si="89"/>
        <v>9.3200000000000005E-2</v>
      </c>
      <c r="Z184" s="64">
        <f t="shared" si="90"/>
        <v>5.8959999999999999</v>
      </c>
      <c r="AA184" s="64">
        <f t="shared" si="91"/>
        <v>5.8027999999999995</v>
      </c>
      <c r="AB184" s="61" t="e">
        <f>VLOOKUP(A184,Enforcements!$C$7:$K$15,8,0)</f>
        <v>#N/A</v>
      </c>
      <c r="AC184" s="57" t="e">
        <f>VLOOKUP(A184,Enforcements!$C$7:$E$15,3,0)</f>
        <v>#N/A</v>
      </c>
      <c r="AD184" s="58" t="str">
        <f t="shared" si="92"/>
        <v>0827-19</v>
      </c>
      <c r="AE184" s="87" t="str">
        <f t="shared" si="67"/>
        <v>aws s3 cp s3://rtdc.mdm.uploadarchive.raw/RTDC4038/ "%USERPROFILE%\AppData\Local\Temp\OnboardLogs"\RTDC4038\2017-01-19 --exclude "*" --recursive --include "*20170119*" &amp; "%USERPROFILE%\Documents\GitHub\mrs-test-scripts\Headless Mode &amp; Sideloading\WalkAndUnGZ.bat" "%USERPROFILE%\AppData\Local\Temp\OnboardLogs"\RTDC4038\2017-01-19 &amp; aws s3 cp s3://rtdc.mdm.uploadarchive.raw/RTDC4038/ "%USERPROFILE%\AppData\Local\Temp\OnboardLogs"\RTDC4038\2017-01-20 --exclude "*" --recursive --include "*20170120*" &amp; "%USERPROFILE%\Documents\GitHub\mrs-test-scripts\Headless Mode &amp; Sideloading\WalkAndUnGZ.bat" "%USERPROFILE%\AppData\Local\Temp\OnboardLogs"\RTDC4038\2017-01-20</v>
      </c>
      <c r="AF184" s="84" t="str">
        <f t="shared" si="68"/>
        <v>"C:\Program Files (x86)\AstroGrep\AstroGrep.exe" /spath="%USERPROFILE%\AppData\Local\Temp\OnboardLogs" /stypes="app*4038*20170119*" /stext=" 23:.+((SYSTEM_STATE.+slice.+state.+changed )|(ment ac)|(multiple cpu faults)|(system.+state.+changed )|(\[timeout)|(PRM\|1\|D)|(kpr)|(kdp)|(\|lc)|(penalty))" /e /r /s</v>
      </c>
      <c r="AG184" s="1" t="str">
        <f t="shared" si="93"/>
        <v>NW</v>
      </c>
      <c r="AH184" s="88" t="str">
        <f t="shared" si="94"/>
        <v>"%USERPROFILE%\Documents\GitHub\eaglep3\Utilities\RefineRTDCRunTimes.py" --tripid 827-19 --locoid 4038 --swversion DE.1.0.8.0 --startMP 204:932 --initTime 2017-01-19T15:44:45 --startdatetime 2017-01-19T15:51:24 --delay 1 --endMP 300:58960 --enddatetime 2017-01-19T16:07:09 --enforcementcount 5 &gt;&gt;C:\Users\stu\Documents\GitHub\eaglep3-reporting\EC\2017-01-19-refined-times.txt</v>
      </c>
      <c r="AI184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{"issue":{"subject":"","project_id":79,"tracker_id":40,"status_id":1,"priority_id":2,"assigned_to_id":23,"start_date":"2017-01-19","description":"","custom_fields":[{"id":1,"name":"Subdivision","value":"NW"},{"id":4,"name":"Milepost","value":"5.896"},{"id":17,"name":"Train ID","value":"827-19"},{"id":16,"name":"Locomotive ID","value":"4038"},{"id":130,"name":"Impact","value":""},{"id":150,"name":"Time of Event (Mountain Time)","value":"16:07:09"},{"id":151,"name":"Denver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0"/>
      <c r="AK184" s="50"/>
      <c r="AL184" s="50"/>
      <c r="AM184" s="177" t="str">
        <f t="shared" si="96"/>
        <v>start /low /b %USERPROFILE%\Documents\GitHub\eaglep3\Utilities\DownloadLogsFromS3.py --loco 4038 --day 2017-01-19</v>
      </c>
      <c r="AN184" s="186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"%USERPROFILE%\AppData\Local\Temp\OnboardLogs"\RTDC4038\*4038*20170119* | grep -SE "(Enforcement Action)|(\[TIMEOUT)|(CHR.+\|PRM\|1\|D.+(SWITCH|SIGNAL).+UNKNOWN)" - &gt;&gt; 2017-01-19-UncaughtWiMAX.txt</v>
      </c>
    </row>
    <row r="185" spans="1:91" s="21" customFormat="1" x14ac:dyDescent="0.25">
      <c r="A185" s="34" t="s">
        <v>495</v>
      </c>
      <c r="B185" s="7">
        <v>4037</v>
      </c>
      <c r="C185" s="22" t="s">
        <v>196</v>
      </c>
      <c r="D185" s="22" t="s">
        <v>796</v>
      </c>
      <c r="E185" s="13">
        <v>42754.672546296293</v>
      </c>
      <c r="F185" s="13">
        <v>42754.673680555556</v>
      </c>
      <c r="G185" s="7">
        <v>1</v>
      </c>
      <c r="H185" s="22" t="s">
        <v>728</v>
      </c>
      <c r="I185" s="13">
        <v>42754.685196759259</v>
      </c>
      <c r="J185" s="7">
        <v>5</v>
      </c>
      <c r="K185" s="105" t="str">
        <f t="shared" si="83"/>
        <v>4037/4038</v>
      </c>
      <c r="L185" s="22" t="str">
        <f>VLOOKUP(A185,'Trips&amp;Operators'!$C$1:$G$99999,5,FALSE)</f>
        <v>STORY SAMANTHA</v>
      </c>
      <c r="M185" s="6">
        <f t="shared" si="84"/>
        <v>1.1516203703649808E-2</v>
      </c>
      <c r="N185" s="7">
        <f t="shared" si="85"/>
        <v>16.583333333255723</v>
      </c>
      <c r="O185" s="7"/>
      <c r="P185" s="7"/>
      <c r="Q185" s="23"/>
      <c r="R185" s="23"/>
      <c r="S185" s="32">
        <f t="shared" si="86"/>
        <v>1</v>
      </c>
      <c r="T185" s="47" t="str">
        <f t="shared" si="87"/>
        <v>Southbound</v>
      </c>
      <c r="U185" s="164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4" t="str">
        <f t="shared" si="65"/>
        <v>https://d0f6bd738d7f1b3e5a7ca70fe4ff75f0.us-east-1.aws.found.io/app/kibana#/discover/Steve-Slow-Train-Analysis-(2080s-and-2083s)?_g=(refreshInterval:(display:Off,pause:!f,section:0,value:0),time:(from:'2017-01-19T15:08:28-0700',mode:absolute,to:'2017-01-19T17:26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85" s="49" t="str">
        <f t="shared" si="88"/>
        <v>N</v>
      </c>
      <c r="X185" s="170">
        <f t="shared" si="97"/>
        <v>1</v>
      </c>
      <c r="Y185" s="64">
        <f t="shared" si="89"/>
        <v>5.8653000000000004</v>
      </c>
      <c r="Z185" s="64">
        <f t="shared" si="90"/>
        <v>7.5200000000000003E-2</v>
      </c>
      <c r="AA185" s="64">
        <f t="shared" si="91"/>
        <v>5.7901000000000007</v>
      </c>
      <c r="AB185" s="61" t="e">
        <f>VLOOKUP(A185,Enforcements!$C$7:$K$15,8,0)</f>
        <v>#N/A</v>
      </c>
      <c r="AC185" s="57" t="e">
        <f>VLOOKUP(A185,Enforcements!$C$7:$E$15,3,0)</f>
        <v>#N/A</v>
      </c>
      <c r="AD185" s="58" t="str">
        <f t="shared" si="92"/>
        <v>0828-19</v>
      </c>
      <c r="AE185" s="87" t="str">
        <f t="shared" si="67"/>
        <v>aws s3 cp s3://rtdc.mdm.uploadarchive.raw/RTDC4037/ "%USERPROFILE%\AppData\Local\Temp\OnboardLogs"\RTDC4037\2017-01-19 --exclude "*" --recursive --include "*20170119*" &amp; "%USERPROFILE%\Documents\GitHub\mrs-test-scripts\Headless Mode &amp; Sideloading\WalkAndUnGZ.bat" "%USERPROFILE%\AppData\Local\Temp\OnboardLogs"\RTDC4037\2017-01-19 &amp; aws s3 cp s3://rtdc.mdm.uploadarchive.raw/RTDC4037/ "%USERPROFILE%\AppData\Local\Temp\OnboardLogs"\RTDC4037\2017-01-20 --exclude "*" --recursive --include "*20170120*" &amp; "%USERPROFILE%\Documents\GitHub\mrs-test-scripts\Headless Mode &amp; Sideloading\WalkAndUnGZ.bat" "%USERPROFILE%\AppData\Local\Temp\OnboardLogs"\RTDC4037\2017-01-20</v>
      </c>
      <c r="AF185" s="84" t="str">
        <f t="shared" si="68"/>
        <v>"C:\Program Files (x86)\AstroGrep\AstroGrep.exe" /spath="%USERPROFILE%\AppData\Local\Temp\OnboardLogs" /stypes="app*4037*20170119*" /stext=" 23:.+((SYSTEM_STATE.+slice.+state.+changed )|(ment ac)|(multiple cpu faults)|(system.+state.+changed )|(\[timeout)|(PRM\|1\|D)|(kpr)|(kdp)|(\|lc)|(penalty))" /e /r /s</v>
      </c>
      <c r="AG185" s="1" t="str">
        <f t="shared" si="93"/>
        <v>NW</v>
      </c>
      <c r="AH185" s="88" t="str">
        <f t="shared" si="94"/>
        <v>"%USERPROFILE%\Documents\GitHub\eaglep3\Utilities\RefineRTDCRunTimes.py" --tripid 828-19 --locoid 4037 --swversion DE.1.0.8.0 --startMP 300:58653 --initTime 2017-01-19T16:08:28 --startdatetime 2017-01-19T16:10:06 --delay 1 --endMP 204:752 --enddatetime 2017-01-19T16:26:41 --enforcementcount 5 &gt;&gt;C:\Users\stu\Documents\GitHub\eaglep3-reporting\EC\2017-01-19-refined-times.txt</v>
      </c>
      <c r="AI185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{"issue":{"subject":"","project_id":79,"tracker_id":40,"status_id":1,"priority_id":2,"assigned_to_id":23,"start_date":"2017-01-19","description":"","custom_fields":[{"id":1,"name":"Subdivision","value":"NW"},{"id":4,"name":"Milepost","value":"0.0752"},{"id":17,"name":"Train ID","value":"828-19"},{"id":16,"name":"Locomotive ID","value":"4037"},{"id":130,"name":"Impact","value":""},{"id":150,"name":"Time of Event (Mountain Time)","value":"16:26:41"},{"id":151,"name":"Denver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0"/>
      <c r="AK185" s="50"/>
      <c r="AL185" s="50"/>
      <c r="AM185" s="177" t="str">
        <f t="shared" si="96"/>
        <v>start /low /b %USERPROFILE%\Documents\GitHub\eaglep3\Utilities\DownloadLogsFromS3.py --loco 4037 --day 2017-01-19</v>
      </c>
      <c r="AN185" s="186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"%USERPROFILE%\AppData\Local\Temp\OnboardLogs"\RTDC4037\*4037*20170119* | grep -SE "(Enforcement Action)|(\[TIMEOUT)|(CHR.+\|PRM\|1\|D.+(SWITCH|SIGNAL).+UNKNOWN)" - &gt;&gt; 2017-01-19-UncaughtWiMAX.txt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4" t="s">
        <v>642</v>
      </c>
      <c r="B186" s="7">
        <v>4040</v>
      </c>
      <c r="C186" s="22" t="s">
        <v>196</v>
      </c>
      <c r="D186" s="22" t="s">
        <v>403</v>
      </c>
      <c r="E186" s="13">
        <v>42754.675902777781</v>
      </c>
      <c r="F186" s="13">
        <v>42754.681493055556</v>
      </c>
      <c r="G186" s="7">
        <v>1</v>
      </c>
      <c r="H186" s="22" t="s">
        <v>794</v>
      </c>
      <c r="I186" s="13">
        <v>42754.691840277781</v>
      </c>
      <c r="J186" s="7">
        <v>5</v>
      </c>
      <c r="K186" s="105" t="str">
        <f t="shared" si="83"/>
        <v>4039/4040</v>
      </c>
      <c r="L186" s="22" t="str">
        <f>VLOOKUP(A186,'Trips&amp;Operators'!$C$1:$G$99999,5,FALSE)</f>
        <v>LEVERE CRAIG</v>
      </c>
      <c r="M186" s="6">
        <f t="shared" si="84"/>
        <v>1.0347222225391306E-2</v>
      </c>
      <c r="N186" s="7">
        <f t="shared" si="85"/>
        <v>14.900000004563481</v>
      </c>
      <c r="O186" s="7"/>
      <c r="P186" s="7"/>
      <c r="Q186" s="23"/>
      <c r="R186" s="23"/>
      <c r="S186" s="32">
        <f t="shared" si="86"/>
        <v>1</v>
      </c>
      <c r="T186" s="47" t="str">
        <f t="shared" si="87"/>
        <v>NorthBound</v>
      </c>
      <c r="U186" s="164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4" t="str">
        <f t="shared" si="65"/>
        <v>https://d0f6bd738d7f1b3e5a7ca70fe4ff75f0.us-east-1.aws.found.io/app/kibana#/discover/Steve-Slow-Train-Analysis-(2080s-and-2083s)?_g=(refreshInterval:(display:Off,pause:!f,section:0,value:0),time:(from:'2017-01-19T15:13:18-0700',mode:absolute,to:'2017-01-19T17:36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6" s="49" t="str">
        <f t="shared" si="88"/>
        <v>N</v>
      </c>
      <c r="X186" s="170">
        <f t="shared" si="97"/>
        <v>1</v>
      </c>
      <c r="Y186" s="64">
        <f t="shared" si="89"/>
        <v>9.7900000000000001E-2</v>
      </c>
      <c r="Z186" s="64">
        <f t="shared" si="90"/>
        <v>5.8968999999999996</v>
      </c>
      <c r="AA186" s="64">
        <f t="shared" si="91"/>
        <v>5.7989999999999995</v>
      </c>
      <c r="AB186" s="61" t="e">
        <f>VLOOKUP(A186,Enforcements!$C$7:$K$15,8,0)</f>
        <v>#N/A</v>
      </c>
      <c r="AC186" s="57" t="e">
        <f>VLOOKUP(A186,Enforcements!$C$7:$E$15,3,0)</f>
        <v>#N/A</v>
      </c>
      <c r="AD186" s="58" t="str">
        <f t="shared" si="92"/>
        <v>0829-19</v>
      </c>
      <c r="AE186" s="87" t="str">
        <f t="shared" si="67"/>
        <v>aws s3 cp s3://rtdc.mdm.uploadarchive.raw/RTDC4040/ "%USERPROFILE%\AppData\Local\Temp\OnboardLogs"\RTDC4040\2017-01-19 --exclude "*" --recursive --include "*20170119*" &amp; "%USERPROFILE%\Documents\GitHub\mrs-test-scripts\Headless Mode &amp; Sideloading\WalkAndUnGZ.bat" "%USERPROFILE%\AppData\Local\Temp\OnboardLogs"\RTDC4040\2017-01-19 &amp; aws s3 cp s3://rtdc.mdm.uploadarchive.raw/RTDC4040/ "%USERPROFILE%\AppData\Local\Temp\OnboardLogs"\RTDC4040\2017-01-20 --exclude "*" --recursive --include "*20170120*" &amp; "%USERPROFILE%\Documents\GitHub\mrs-test-scripts\Headless Mode &amp; Sideloading\WalkAndUnGZ.bat" "%USERPROFILE%\AppData\Local\Temp\OnboardLogs"\RTDC4040\2017-01-20</v>
      </c>
      <c r="AF186" s="84" t="str">
        <f t="shared" si="68"/>
        <v>"C:\Program Files (x86)\AstroGrep\AstroGrep.exe" /spath="%USERPROFILE%\AppData\Local\Temp\OnboardLogs" /stypes="app*4040*20170119*" /stext=" 23:.+((SYSTEM_STATE.+slice.+state.+changed )|(ment ac)|(multiple cpu faults)|(system.+state.+changed )|(\[timeout)|(PRM\|1\|D)|(kpr)|(kdp)|(\|lc)|(penalty))" /e /r /s</v>
      </c>
      <c r="AG186" s="1" t="str">
        <f t="shared" si="93"/>
        <v>NW</v>
      </c>
      <c r="AH186" s="88" t="str">
        <f t="shared" si="94"/>
        <v>"%USERPROFILE%\Documents\GitHub\eaglep3\Utilities\RefineRTDCRunTimes.py" --tripid 829-19 --locoid 4040 --swversion DE.1.0.8.0 --startMP 204:979 --initTime 2017-01-19T16:13:18 --startdatetime 2017-01-19T16:21:21 --delay 1 --endMP 300:58969 --enddatetime 2017-01-19T16:36:15 --enforcementcount 5 &gt;&gt;C:\Users\stu\Documents\GitHub\eaglep3-reporting\EC\2017-01-19-refined-times.txt</v>
      </c>
      <c r="AI186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{"issue":{"subject":"","project_id":79,"tracker_id":40,"status_id":1,"priority_id":2,"assigned_to_id":23,"start_date":"2017-01-19","description":"","custom_fields":[{"id":1,"name":"Subdivision","value":"NW"},{"id":4,"name":"Milepost","value":"5.8969"},{"id":17,"name":"Train ID","value":"829-19"},{"id":16,"name":"Locomotive ID","value":"4040"},{"id":130,"name":"Impact","value":""},{"id":150,"name":"Time of Event (Mountain Time)","value":"16:36:15"},{"id":151,"name":"Denver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0"/>
      <c r="AK186" s="50"/>
      <c r="AL186" s="50"/>
      <c r="AM186" s="177" t="str">
        <f t="shared" si="96"/>
        <v>start /low /b %USERPROFILE%\Documents\GitHub\eaglep3\Utilities\DownloadLogsFromS3.py --loco 4040 --day 2017-01-19</v>
      </c>
      <c r="AN186" s="186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"%USERPROFILE%\AppData\Local\Temp\OnboardLogs"\RTDC4040\*4040*20170119* | grep -SE "(Enforcement Action)|(\[TIMEOUT)|(CHR.+\|PRM\|1\|D.+(SWITCH|SIGNAL).+UNKNOWN)" - &gt;&gt; 2017-01-19-UncaughtWiMAX.txt</v>
      </c>
    </row>
    <row r="187" spans="1:91" s="21" customFormat="1" x14ac:dyDescent="0.25">
      <c r="A187" s="34" t="s">
        <v>646</v>
      </c>
      <c r="B187" s="7">
        <v>4039</v>
      </c>
      <c r="C187" s="22" t="s">
        <v>196</v>
      </c>
      <c r="D187" s="22" t="s">
        <v>824</v>
      </c>
      <c r="E187" s="13">
        <v>42754.692719907405</v>
      </c>
      <c r="F187" s="13">
        <v>42754.694178240738</v>
      </c>
      <c r="G187" s="7">
        <v>1</v>
      </c>
      <c r="H187" s="22" t="s">
        <v>400</v>
      </c>
      <c r="I187" s="13">
        <v>42754.706296296295</v>
      </c>
      <c r="J187" s="7">
        <v>5</v>
      </c>
      <c r="K187" s="105" t="str">
        <f t="shared" si="83"/>
        <v>4039/4040</v>
      </c>
      <c r="L187" s="22" t="str">
        <f>VLOOKUP(A187,'Trips&amp;Operators'!$C$1:$G$99999,5,FALSE)</f>
        <v>LEVERE CRAIG</v>
      </c>
      <c r="M187" s="6">
        <f t="shared" si="84"/>
        <v>1.2118055557948537E-2</v>
      </c>
      <c r="N187" s="7">
        <f t="shared" si="85"/>
        <v>17.450000003445894</v>
      </c>
      <c r="O187" s="7"/>
      <c r="P187" s="7"/>
      <c r="Q187" s="23"/>
      <c r="R187" s="23"/>
      <c r="S187" s="32">
        <f t="shared" si="86"/>
        <v>1</v>
      </c>
      <c r="T187" s="47" t="str">
        <f t="shared" si="87"/>
        <v>Southbound</v>
      </c>
      <c r="U187" s="164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4" t="str">
        <f t="shared" si="65"/>
        <v>https://d0f6bd738d7f1b3e5a7ca70fe4ff75f0.us-east-1.aws.found.io/app/kibana#/discover/Steve-Slow-Train-Analysis-(2080s-and-2083s)?_g=(refreshInterval:(display:Off,pause:!f,section:0,value:0),time:(from:'2017-01-19T15:37:31-0700',mode:absolute,to:'2017-01-19T17:57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7" s="49" t="str">
        <f t="shared" si="88"/>
        <v>N</v>
      </c>
      <c r="X187" s="170">
        <f t="shared" si="97"/>
        <v>1</v>
      </c>
      <c r="Y187" s="64">
        <f t="shared" si="89"/>
        <v>5.8638000000000003</v>
      </c>
      <c r="Z187" s="64">
        <f t="shared" si="90"/>
        <v>6.8500000000000005E-2</v>
      </c>
      <c r="AA187" s="64">
        <f t="shared" si="91"/>
        <v>5.7953000000000001</v>
      </c>
      <c r="AB187" s="61" t="e">
        <f>VLOOKUP(A187,Enforcements!$C$7:$K$15,8,0)</f>
        <v>#N/A</v>
      </c>
      <c r="AC187" s="57" t="e">
        <f>VLOOKUP(A187,Enforcements!$C$7:$E$15,3,0)</f>
        <v>#N/A</v>
      </c>
      <c r="AD187" s="58" t="str">
        <f t="shared" si="92"/>
        <v>0830-19</v>
      </c>
      <c r="AE187" s="87" t="str">
        <f t="shared" si="67"/>
        <v>aws s3 cp s3://rtdc.mdm.uploadarchive.raw/RTDC4039/ "%USERPROFILE%\AppData\Local\Temp\OnboardLogs"\RTDC4039\2017-01-19 --exclude "*" --recursive --include "*20170119*" &amp; "%USERPROFILE%\Documents\GitHub\mrs-test-scripts\Headless Mode &amp; Sideloading\WalkAndUnGZ.bat" "%USERPROFILE%\AppData\Local\Temp\OnboardLogs"\RTDC4039\2017-01-19 &amp; aws s3 cp s3://rtdc.mdm.uploadarchive.raw/RTDC4039/ "%USERPROFILE%\AppData\Local\Temp\OnboardLogs"\RTDC4039\2017-01-20 --exclude "*" --recursive --include "*20170120*" &amp; "%USERPROFILE%\Documents\GitHub\mrs-test-scripts\Headless Mode &amp; Sideloading\WalkAndUnGZ.bat" "%USERPROFILE%\AppData\Local\Temp\OnboardLogs"\RTDC4039\2017-01-20</v>
      </c>
      <c r="AF187" s="84" t="str">
        <f t="shared" si="68"/>
        <v>"C:\Program Files (x86)\AstroGrep\AstroGrep.exe" /spath="%USERPROFILE%\AppData\Local\Temp\OnboardLogs" /stypes="app*4039*20170119*" /stext=" 23:.+((SYSTEM_STATE.+slice.+state.+changed )|(ment ac)|(multiple cpu faults)|(system.+state.+changed )|(\[timeout)|(PRM\|1\|D)|(kpr)|(kdp)|(\|lc)|(penalty))" /e /r /s</v>
      </c>
      <c r="AG187" s="1" t="str">
        <f t="shared" si="93"/>
        <v>NW</v>
      </c>
      <c r="AH187" s="88" t="str">
        <f t="shared" si="94"/>
        <v>"%USERPROFILE%\Documents\GitHub\eaglep3\Utilities\RefineRTDCRunTimes.py" --tripid 830-19 --locoid 4039 --swversion DE.1.0.8.0 --startMP 300:58638 --initTime 2017-01-19T16:37:31 --startdatetime 2017-01-19T16:39:37 --delay 1 --endMP 204:685 --enddatetime 2017-01-19T16:57:04 --enforcementcount 5 &gt;&gt;C:\Users\stu\Documents\GitHub\eaglep3-reporting\EC\2017-01-19-refined-times.txt</v>
      </c>
      <c r="AI187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{"issue":{"subject":"","project_id":79,"tracker_id":40,"status_id":1,"priority_id":2,"assigned_to_id":23,"start_date":"2017-01-19","description":"","custom_fields":[{"id":1,"name":"Subdivision","value":"NW"},{"id":4,"name":"Milepost","value":"0.0685"},{"id":17,"name":"Train ID","value":"830-19"},{"id":16,"name":"Locomotive ID","value":"4039"},{"id":130,"name":"Impact","value":""},{"id":150,"name":"Time of Event (Mountain Time)","value":"16:57:04"},{"id":151,"name":"Denver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0"/>
      <c r="AK187" s="50"/>
      <c r="AL187" s="50"/>
      <c r="AM187" s="177" t="str">
        <f t="shared" si="96"/>
        <v>start /low /b %USERPROFILE%\Documents\GitHub\eaglep3\Utilities\DownloadLogsFromS3.py --loco 4039 --day 2017-01-19</v>
      </c>
      <c r="AN187" s="186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"%USERPROFILE%\AppData\Local\Temp\OnboardLogs"\RTDC4039\*4039*20170119* | grep -SE "(Enforcement Action)|(\[TIMEOUT)|(CHR.+\|PRM\|1\|D.+(SWITCH|SIGNAL).+UNKNOWN)" - &gt;&gt; 2017-01-19-UncaughtWiMAX.txt</v>
      </c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1" customFormat="1" x14ac:dyDescent="0.25">
      <c r="A188" s="34" t="s">
        <v>496</v>
      </c>
      <c r="B188" s="7">
        <v>4038</v>
      </c>
      <c r="C188" s="22" t="s">
        <v>196</v>
      </c>
      <c r="D188" s="22" t="s">
        <v>391</v>
      </c>
      <c r="E188" s="13">
        <v>42754.697002314817</v>
      </c>
      <c r="F188" s="13">
        <v>42754.702708333331</v>
      </c>
      <c r="G188" s="7">
        <v>1</v>
      </c>
      <c r="H188" s="22" t="s">
        <v>814</v>
      </c>
      <c r="I188" s="13">
        <v>42754.713946759257</v>
      </c>
      <c r="J188" s="7">
        <v>5</v>
      </c>
      <c r="K188" s="105" t="str">
        <f t="shared" si="83"/>
        <v>4037/4038</v>
      </c>
      <c r="L188" s="22" t="str">
        <f>VLOOKUP(A188,'Trips&amp;Operators'!$C$1:$G$99999,5,FALSE)</f>
        <v>STORY SAMANTHA</v>
      </c>
      <c r="M188" s="6">
        <f t="shared" si="84"/>
        <v>1.1238425926421769E-2</v>
      </c>
      <c r="N188" s="7">
        <f t="shared" si="85"/>
        <v>16.183333334047347</v>
      </c>
      <c r="O188" s="7"/>
      <c r="P188" s="7"/>
      <c r="Q188" s="23"/>
      <c r="R188" s="23"/>
      <c r="S188" s="32">
        <f t="shared" si="86"/>
        <v>1</v>
      </c>
      <c r="T188" s="47" t="str">
        <f t="shared" si="87"/>
        <v>NorthBound</v>
      </c>
      <c r="U188" s="164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4" t="str">
        <f t="shared" si="65"/>
        <v>https://d0f6bd738d7f1b3e5a7ca70fe4ff75f0.us-east-1.aws.found.io/app/kibana#/discover/Steve-Slow-Train-Analysis-(2080s-and-2083s)?_g=(refreshInterval:(display:Off,pause:!f,section:0,value:0),time:(from:'2017-01-19T15:43:41-0700',mode:absolute,to:'2017-01-19T18:08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88" s="49" t="str">
        <f t="shared" si="88"/>
        <v>N</v>
      </c>
      <c r="X188" s="170">
        <f t="shared" si="97"/>
        <v>1</v>
      </c>
      <c r="Y188" s="64">
        <f t="shared" si="89"/>
        <v>0.1046</v>
      </c>
      <c r="Z188" s="64">
        <f t="shared" si="90"/>
        <v>5.8958000000000004</v>
      </c>
      <c r="AA188" s="64">
        <f t="shared" si="91"/>
        <v>5.7912000000000008</v>
      </c>
      <c r="AB188" s="61" t="e">
        <f>VLOOKUP(A188,Enforcements!$C$7:$K$15,8,0)</f>
        <v>#N/A</v>
      </c>
      <c r="AC188" s="57" t="e">
        <f>VLOOKUP(A188,Enforcements!$C$7:$E$15,3,0)</f>
        <v>#N/A</v>
      </c>
      <c r="AD188" s="58" t="str">
        <f t="shared" si="92"/>
        <v>0831-19</v>
      </c>
      <c r="AE188" s="87" t="str">
        <f t="shared" si="67"/>
        <v>aws s3 cp s3://rtdc.mdm.uploadarchive.raw/RTDC4038/ "%USERPROFILE%\AppData\Local\Temp\OnboardLogs"\RTDC4038\2017-01-19 --exclude "*" --recursive --include "*20170119*" &amp; "%USERPROFILE%\Documents\GitHub\mrs-test-scripts\Headless Mode &amp; Sideloading\WalkAndUnGZ.bat" "%USERPROFILE%\AppData\Local\Temp\OnboardLogs"\RTDC4038\2017-01-19 &amp; aws s3 cp s3://rtdc.mdm.uploadarchive.raw/RTDC4038/ "%USERPROFILE%\AppData\Local\Temp\OnboardLogs"\RTDC4038\2017-01-20 --exclude "*" --recursive --include "*20170120*" &amp; "%USERPROFILE%\Documents\GitHub\mrs-test-scripts\Headless Mode &amp; Sideloading\WalkAndUnGZ.bat" "%USERPROFILE%\AppData\Local\Temp\OnboardLogs"\RTDC4038\2017-01-20</v>
      </c>
      <c r="AF188" s="84" t="str">
        <f t="shared" si="68"/>
        <v>"C:\Program Files (x86)\AstroGrep\AstroGrep.exe" /spath="%USERPROFILE%\AppData\Local\Temp\OnboardLogs" /stypes="app*4038*20170120*" /stext=" 00:.+((SYSTEM_STATE.+slice.+state.+changed )|(ment ac)|(multiple cpu faults)|(system.+state.+changed )|(\[timeout)|(PRM\|1\|D)|(kpr)|(kdp)|(\|lc)|(penalty))" /e /r /s</v>
      </c>
      <c r="AG188" s="1" t="str">
        <f t="shared" si="93"/>
        <v>NW</v>
      </c>
      <c r="AH188" s="88" t="str">
        <f t="shared" si="94"/>
        <v>"%USERPROFILE%\Documents\GitHub\eaglep3\Utilities\RefineRTDCRunTimes.py" --tripid 831-19 --locoid 4038 --swversion DE.1.0.8.0 --startMP 204:1046 --initTime 2017-01-19T16:43:41 --startdatetime 2017-01-19T16:51:54 --delay 1 --endMP 300:58958 --enddatetime 2017-01-19T17:08:05 --enforcementcount 5 &gt;&gt;C:\Users\stu\Documents\GitHub\eaglep3-reporting\EC\2017-01-19-refined-times.txt</v>
      </c>
      <c r="AI188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{"issue":{"subject":"","project_id":79,"tracker_id":40,"status_id":1,"priority_id":2,"assigned_to_id":23,"start_date":"2017-01-19","description":"","custom_fields":[{"id":1,"name":"Subdivision","value":"NW"},{"id":4,"name":"Milepost","value":"5.8958"},{"id":17,"name":"Train ID","value":"831-19"},{"id":16,"name":"Locomotive ID","value":"4038"},{"id":130,"name":"Impact","value":""},{"id":150,"name":"Time of Event (Mountain Time)","value":"17:08:05"},{"id":151,"name":"Denver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0"/>
      <c r="AK188" s="50"/>
      <c r="AL188" s="50"/>
      <c r="AM188" s="177" t="str">
        <f t="shared" si="96"/>
        <v>start /low /b %USERPROFILE%\Documents\GitHub\eaglep3\Utilities\DownloadLogsFromS3.py --loco 4038 --day 2017-01-19</v>
      </c>
      <c r="AN188" s="186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"%USERPROFILE%\AppData\Local\Temp\OnboardLogs"\RTDC4038\*4038*20170119* | grep -SE "(Enforcement Action)|(\[TIMEOUT)|(CHR.+\|PRM\|1\|D.+(SWITCH|SIGNAL).+UNKNOWN)" - &gt;&gt; 2017-01-19-UncaughtWiMAX.txt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1" customFormat="1" x14ac:dyDescent="0.25">
      <c r="A189" s="34" t="s">
        <v>499</v>
      </c>
      <c r="B189" s="7">
        <v>4037</v>
      </c>
      <c r="C189" s="22" t="s">
        <v>196</v>
      </c>
      <c r="D189" s="22" t="s">
        <v>825</v>
      </c>
      <c r="E189" s="13">
        <v>42754.714803240742</v>
      </c>
      <c r="F189" s="13">
        <v>42754.715902777774</v>
      </c>
      <c r="G189" s="7">
        <v>1</v>
      </c>
      <c r="H189" s="22" t="s">
        <v>388</v>
      </c>
      <c r="I189" s="13">
        <v>42754.727083333331</v>
      </c>
      <c r="J189" s="7">
        <v>5</v>
      </c>
      <c r="K189" s="105" t="str">
        <f t="shared" ref="K189:K220" si="98">IF(ISEVEN(B189),(B189-1)&amp;"/"&amp;B189,B189&amp;"/"&amp;(B189+1))</f>
        <v>4037/4038</v>
      </c>
      <c r="L189" s="22" t="str">
        <f>VLOOKUP(A189,'Trips&amp;Operators'!$C$1:$G$99999,5,FALSE)</f>
        <v>STORY SAMANTHA</v>
      </c>
      <c r="M189" s="6">
        <f t="shared" ref="M189:M220" si="99">I189-F189</f>
        <v>1.1180555557075422E-2</v>
      </c>
      <c r="N189" s="7">
        <f t="shared" ref="N189:N220" si="100">24*60*SUM($M189:$M189)</f>
        <v>16.100000002188608</v>
      </c>
      <c r="O189" s="7"/>
      <c r="P189" s="7"/>
      <c r="Q189" s="23"/>
      <c r="R189" s="23"/>
      <c r="S189" s="32">
        <f t="shared" ref="S189:S220" si="101">SUM(U189:U189)/IF(AG189="EC",12,1)</f>
        <v>1</v>
      </c>
      <c r="T189" s="47" t="str">
        <f t="shared" ref="T189:T220" si="102">IF(ISEVEN(LEFT(AD189,4)),"Southbound","NorthBound")</f>
        <v>Southbound</v>
      </c>
      <c r="U189" s="164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4" t="str">
        <f t="shared" si="65"/>
        <v>https://d0f6bd738d7f1b3e5a7ca70fe4ff75f0.us-east-1.aws.found.io/app/kibana#/discover/Steve-Slow-Train-Analysis-(2080s-and-2083s)?_g=(refreshInterval:(display:Off,pause:!f,section:0,value:0),time:(from:'2017-01-19T16:09:19-0700',mode:absolute,to:'2017-01-19T18:27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89" s="49" t="str">
        <f t="shared" ref="W189:W220" si="103">IF(AA189&lt;IF(AG189="EC",23,5.65),"Y","N")</f>
        <v>N</v>
      </c>
      <c r="X189" s="170">
        <f t="shared" si="97"/>
        <v>1</v>
      </c>
      <c r="Y189" s="64">
        <f t="shared" ref="Y189:Y220" si="104">RIGHT(D189,LEN(D189)-4)/10000</f>
        <v>5.8640999999999996</v>
      </c>
      <c r="Z189" s="64">
        <f t="shared" ref="Z189:Z220" si="105">RIGHT(H189,LEN(H189)-4)/10000</f>
        <v>7.1199999999999999E-2</v>
      </c>
      <c r="AA189" s="64">
        <f t="shared" ref="AA189:AA220" si="106">ABS(Z189-Y189)</f>
        <v>5.7928999999999995</v>
      </c>
      <c r="AB189" s="61" t="e">
        <f>VLOOKUP(A189,Enforcements!$C$7:$K$15,8,0)</f>
        <v>#N/A</v>
      </c>
      <c r="AC189" s="57" t="e">
        <f>VLOOKUP(A189,Enforcements!$C$7:$E$15,3,0)</f>
        <v>#N/A</v>
      </c>
      <c r="AD189" s="58" t="str">
        <f t="shared" ref="AD189:AD220" si="107">IF(LEN(A189)=6,"0"&amp;A189,A189)</f>
        <v>0832-19</v>
      </c>
      <c r="AE189" s="87" t="str">
        <f t="shared" si="67"/>
        <v>aws s3 cp s3://rtdc.mdm.uploadarchive.raw/RTDC4037/ "%USERPROFILE%\AppData\Local\Temp\OnboardLogs"\RTDC4037\2017-01-19 --exclude "*" --recursive --include "*20170119*" &amp; "%USERPROFILE%\Documents\GitHub\mrs-test-scripts\Headless Mode &amp; Sideloading\WalkAndUnGZ.bat" "%USERPROFILE%\AppData\Local\Temp\OnboardLogs"\RTDC4037\2017-01-19 &amp; aws s3 cp s3://rtdc.mdm.uploadarchive.raw/RTDC4037/ "%USERPROFILE%\AppData\Local\Temp\OnboardLogs"\RTDC4037\2017-01-20 --exclude "*" --recursive --include "*20170120*" &amp; "%USERPROFILE%\Documents\GitHub\mrs-test-scripts\Headless Mode &amp; Sideloading\WalkAndUnGZ.bat" "%USERPROFILE%\AppData\Local\Temp\OnboardLogs"\RTDC4037\2017-01-20</v>
      </c>
      <c r="AF189" s="84" t="str">
        <f t="shared" si="68"/>
        <v>"C:\Program Files (x86)\AstroGrep\AstroGrep.exe" /spath="%USERPROFILE%\AppData\Local\Temp\OnboardLogs" /stypes="app*4037*20170120*" /stext=" 00:.+((SYSTEM_STATE.+slice.+state.+changed )|(ment ac)|(multiple cpu faults)|(system.+state.+changed )|(\[timeout)|(PRM\|1\|D)|(kpr)|(kdp)|(\|lc)|(penalty))" /e /r /s</v>
      </c>
      <c r="AG189" s="1" t="str">
        <f t="shared" ref="AG189:AG220" si="108">IFERROR(IF(VALUE(LEFT(AD189,2))&lt;=2,"EC",IF(OR(VALUE(LEFT(AD189,2))=8,VALUE(LEFT(AD189,2))=18),"NW","Other")),"Other")</f>
        <v>NW</v>
      </c>
      <c r="AH189" s="88" t="str">
        <f t="shared" si="94"/>
        <v>"%USERPROFILE%\Documents\GitHub\eaglep3\Utilities\RefineRTDCRunTimes.py" --tripid 832-19 --locoid 4037 --swversion DE.1.0.8.0 --startMP 300:58641 --initTime 2017-01-19T17:09:19 --startdatetime 2017-01-19T17:10:54 --delay 1 --endMP 204:712 --enddatetime 2017-01-19T17:27:00 --enforcementcount 5 &gt;&gt;C:\Users\stu\Documents\GitHub\eaglep3-reporting\EC\2017-01-19-refined-times.txt</v>
      </c>
      <c r="AI189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{"issue":{"subject":"","project_id":79,"tracker_id":40,"status_id":1,"priority_id":2,"assigned_to_id":23,"start_date":"2017-01-19","description":"","custom_fields":[{"id":1,"name":"Subdivision","value":"NW"},{"id":4,"name":"Milepost","value":"0.0712"},{"id":17,"name":"Train ID","value":"832-19"},{"id":16,"name":"Locomotive ID","value":"4037"},{"id":130,"name":"Impact","value":""},{"id":150,"name":"Time of Event (Mountain Time)","value":"17:27:00"},{"id":151,"name":"Denver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0"/>
      <c r="AK189" s="50"/>
      <c r="AL189" s="50"/>
      <c r="AM189" s="177" t="str">
        <f t="shared" si="96"/>
        <v>start /low /b %USERPROFILE%\Documents\GitHub\eaglep3\Utilities\DownloadLogsFromS3.py --loco 4037 --day 2017-01-19</v>
      </c>
      <c r="AN189" s="186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"%USERPROFILE%\AppData\Local\Temp\OnboardLogs"\RTDC4037\*4037*20170120* | grep -SE "(Enforcement Action)|(\[TIMEOUT)|(CHR.+\|PRM\|1\|D.+(SWITCH|SIGNAL).+UNKNOWN)" - &gt;&gt; 2017-01-19-UncaughtWiMAX.txt</v>
      </c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1" customFormat="1" x14ac:dyDescent="0.25">
      <c r="A190" s="34" t="s">
        <v>649</v>
      </c>
      <c r="B190" s="7">
        <v>4040</v>
      </c>
      <c r="C190" s="22" t="s">
        <v>196</v>
      </c>
      <c r="D190" s="22" t="s">
        <v>398</v>
      </c>
      <c r="E190" s="13">
        <v>42754.71234953704</v>
      </c>
      <c r="F190" s="13">
        <v>42754.723124999997</v>
      </c>
      <c r="G190" s="7">
        <v>1</v>
      </c>
      <c r="H190" s="22" t="s">
        <v>812</v>
      </c>
      <c r="I190" s="13">
        <v>42754.733981481484</v>
      </c>
      <c r="J190" s="7">
        <v>5</v>
      </c>
      <c r="K190" s="105" t="str">
        <f t="shared" si="98"/>
        <v>4039/4040</v>
      </c>
      <c r="L190" s="22" t="str">
        <f>VLOOKUP(A190,'Trips&amp;Operators'!$C$1:$G$99999,5,FALSE)</f>
        <v>LEVERE CRAIG</v>
      </c>
      <c r="M190" s="6">
        <f t="shared" si="99"/>
        <v>1.0856481487280689E-2</v>
      </c>
      <c r="N190" s="7">
        <f t="shared" si="100"/>
        <v>15.633333341684192</v>
      </c>
      <c r="O190" s="7"/>
      <c r="P190" s="7"/>
      <c r="Q190" s="23"/>
      <c r="R190" s="23"/>
      <c r="S190" s="32">
        <f t="shared" si="101"/>
        <v>1</v>
      </c>
      <c r="T190" s="47" t="str">
        <f t="shared" si="102"/>
        <v>NorthBound</v>
      </c>
      <c r="U190" s="164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4" t="str">
        <f t="shared" si="65"/>
        <v>https://d0f6bd738d7f1b3e5a7ca70fe4ff75f0.us-east-1.aws.found.io/app/kibana#/discover/Steve-Slow-Train-Analysis-(2080s-and-2083s)?_g=(refreshInterval:(display:Off,pause:!f,section:0,value:0),time:(from:'2017-01-19T16:05:47-0700',mode:absolute,to:'2017-01-19T18:36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0" s="49" t="str">
        <f t="shared" si="103"/>
        <v>N</v>
      </c>
      <c r="X190" s="170">
        <f t="shared" si="97"/>
        <v>1</v>
      </c>
      <c r="Y190" s="64">
        <f t="shared" si="104"/>
        <v>9.7600000000000006E-2</v>
      </c>
      <c r="Z190" s="64">
        <f t="shared" si="105"/>
        <v>5.8960999999999997</v>
      </c>
      <c r="AA190" s="64">
        <f t="shared" si="106"/>
        <v>5.7984999999999998</v>
      </c>
      <c r="AB190" s="61" t="e">
        <f>VLOOKUP(A190,Enforcements!$C$7:$K$15,8,0)</f>
        <v>#N/A</v>
      </c>
      <c r="AC190" s="57" t="e">
        <f>VLOOKUP(A190,Enforcements!$C$7:$E$15,3,0)</f>
        <v>#N/A</v>
      </c>
      <c r="AD190" s="58" t="str">
        <f t="shared" si="107"/>
        <v>0833-19</v>
      </c>
      <c r="AE190" s="87" t="str">
        <f t="shared" si="67"/>
        <v>aws s3 cp s3://rtdc.mdm.uploadarchive.raw/RTDC4040/ "%USERPROFILE%\AppData\Local\Temp\OnboardLogs"\RTDC4040\2017-01-19 --exclude "*" --recursive --include "*20170119*" &amp; "%USERPROFILE%\Documents\GitHub\mrs-test-scripts\Headless Mode &amp; Sideloading\WalkAndUnGZ.bat" "%USERPROFILE%\AppData\Local\Temp\OnboardLogs"\RTDC4040\2017-01-19 &amp; aws s3 cp s3://rtdc.mdm.uploadarchive.raw/RTDC4040/ "%USERPROFILE%\AppData\Local\Temp\OnboardLogs"\RTDC4040\2017-01-20 --exclude "*" --recursive --include "*20170120*" &amp; "%USERPROFILE%\Documents\GitHub\mrs-test-scripts\Headless Mode &amp; Sideloading\WalkAndUnGZ.bat" "%USERPROFILE%\AppData\Local\Temp\OnboardLogs"\RTDC4040\2017-01-20</v>
      </c>
      <c r="AF190" s="84" t="str">
        <f t="shared" si="68"/>
        <v>"C:\Program Files (x86)\AstroGrep\AstroGrep.exe" /spath="%USERPROFILE%\AppData\Local\Temp\OnboardLogs" /stypes="app*4040*20170120*" /stext=" 00:.+((SYSTEM_STATE.+slice.+state.+changed )|(ment ac)|(multiple cpu faults)|(system.+state.+changed )|(\[timeout)|(PRM\|1\|D)|(kpr)|(kdp)|(\|lc)|(penalty))" /e /r /s</v>
      </c>
      <c r="AG190" s="1" t="str">
        <f t="shared" si="108"/>
        <v>NW</v>
      </c>
      <c r="AH190" s="88" t="str">
        <f t="shared" si="94"/>
        <v>"%USERPROFILE%\Documents\GitHub\eaglep3\Utilities\RefineRTDCRunTimes.py" --tripid 833-19 --locoid 4040 --swversion DE.1.0.8.0 --startMP 204:976 --initTime 2017-01-19T17:05:47 --startdatetime 2017-01-19T17:21:18 --delay 1 --endMP 300:58961 --enddatetime 2017-01-19T17:36:56 --enforcementcount 5 &gt;&gt;C:\Users\stu\Documents\GitHub\eaglep3-reporting\EC\2017-01-19-refined-times.txt</v>
      </c>
      <c r="AI190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{"issue":{"subject":"","project_id":79,"tracker_id":40,"status_id":1,"priority_id":2,"assigned_to_id":23,"start_date":"2017-01-19","description":"","custom_fields":[{"id":1,"name":"Subdivision","value":"NW"},{"id":4,"name":"Milepost","value":"5.8961"},{"id":17,"name":"Train ID","value":"833-19"},{"id":16,"name":"Locomotive ID","value":"4040"},{"id":130,"name":"Impact","value":""},{"id":150,"name":"Time of Event (Mountain Time)","value":"17:36:56"},{"id":151,"name":"Denver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0"/>
      <c r="AK190" s="50"/>
      <c r="AL190" s="50"/>
      <c r="AM190" s="177" t="str">
        <f t="shared" si="96"/>
        <v>start /low /b %USERPROFILE%\Documents\GitHub\eaglep3\Utilities\DownloadLogsFromS3.py --loco 4040 --day 2017-01-19</v>
      </c>
      <c r="AN190" s="186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"%USERPROFILE%\AppData\Local\Temp\OnboardLogs"\RTDC4040\*4040*20170120* | grep -SE "(Enforcement Action)|(\[TIMEOUT)|(CHR.+\|PRM\|1\|D.+(SWITCH|SIGNAL).+UNKNOWN)" - &gt;&gt; 2017-01-19-UncaughtWiMAX.txt</v>
      </c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1" customFormat="1" x14ac:dyDescent="0.25">
      <c r="A191" s="34" t="s">
        <v>654</v>
      </c>
      <c r="B191" s="7">
        <v>4039</v>
      </c>
      <c r="C191" s="22" t="s">
        <v>196</v>
      </c>
      <c r="D191" s="22" t="s">
        <v>819</v>
      </c>
      <c r="E191" s="13">
        <v>42754.734814814816</v>
      </c>
      <c r="F191" s="13">
        <v>42754.736400462964</v>
      </c>
      <c r="G191" s="7">
        <v>1</v>
      </c>
      <c r="H191" s="22" t="s">
        <v>826</v>
      </c>
      <c r="I191" s="13">
        <v>42754.748182870368</v>
      </c>
      <c r="J191" s="7">
        <v>5</v>
      </c>
      <c r="K191" s="105" t="str">
        <f t="shared" si="98"/>
        <v>4039/4040</v>
      </c>
      <c r="L191" s="22" t="str">
        <f>VLOOKUP(A191,'Trips&amp;Operators'!$C$1:$G$99999,5,FALSE)</f>
        <v>LEVERE CRAIG</v>
      </c>
      <c r="M191" s="6">
        <f t="shared" si="99"/>
        <v>1.1782407404098194E-2</v>
      </c>
      <c r="N191" s="7">
        <f t="shared" si="100"/>
        <v>16.966666661901399</v>
      </c>
      <c r="O191" s="7"/>
      <c r="P191" s="7"/>
      <c r="Q191" s="23"/>
      <c r="R191" s="23"/>
      <c r="S191" s="32">
        <f t="shared" si="101"/>
        <v>1</v>
      </c>
      <c r="T191" s="47" t="str">
        <f t="shared" si="102"/>
        <v>Southbound</v>
      </c>
      <c r="U191" s="164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4" t="str">
        <f t="shared" si="65"/>
        <v>https://d0f6bd738d7f1b3e5a7ca70fe4ff75f0.us-east-1.aws.found.io/app/kibana#/discover/Steve-Slow-Train-Analysis-(2080s-and-2083s)?_g=(refreshInterval:(display:Off,pause:!f,section:0,value:0),time:(from:'2017-01-19T16:38:08-0700',mode:absolute,to:'2017-01-19T18:57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1" s="49" t="str">
        <f t="shared" si="103"/>
        <v>N</v>
      </c>
      <c r="X191" s="170">
        <f t="shared" si="97"/>
        <v>1</v>
      </c>
      <c r="Y191" s="64">
        <f t="shared" si="104"/>
        <v>5.8647</v>
      </c>
      <c r="Z191" s="64">
        <f t="shared" si="105"/>
        <v>6.7799999999999999E-2</v>
      </c>
      <c r="AA191" s="64">
        <f t="shared" si="106"/>
        <v>5.7968999999999999</v>
      </c>
      <c r="AB191" s="61" t="e">
        <f>VLOOKUP(A191,Enforcements!$C$7:$K$15,8,0)</f>
        <v>#N/A</v>
      </c>
      <c r="AC191" s="57" t="e">
        <f>VLOOKUP(A191,Enforcements!$C$7:$E$15,3,0)</f>
        <v>#N/A</v>
      </c>
      <c r="AD191" s="58" t="str">
        <f t="shared" si="107"/>
        <v>0834-19</v>
      </c>
      <c r="AE191" s="87" t="str">
        <f t="shared" si="67"/>
        <v>aws s3 cp s3://rtdc.mdm.uploadarchive.raw/RTDC4039/ "%USERPROFILE%\AppData\Local\Temp\OnboardLogs"\RTDC4039\2017-01-19 --exclude "*" --recursive --include "*20170119*" &amp; "%USERPROFILE%\Documents\GitHub\mrs-test-scripts\Headless Mode &amp; Sideloading\WalkAndUnGZ.bat" "%USERPROFILE%\AppData\Local\Temp\OnboardLogs"\RTDC4039\2017-01-19 &amp; aws s3 cp s3://rtdc.mdm.uploadarchive.raw/RTDC4039/ "%USERPROFILE%\AppData\Local\Temp\OnboardLogs"\RTDC4039\2017-01-20 --exclude "*" --recursive --include "*20170120*" &amp; "%USERPROFILE%\Documents\GitHub\mrs-test-scripts\Headless Mode &amp; Sideloading\WalkAndUnGZ.bat" "%USERPROFILE%\AppData\Local\Temp\OnboardLogs"\RTDC4039\2017-01-20</v>
      </c>
      <c r="AF191" s="84" t="str">
        <f t="shared" si="68"/>
        <v>"C:\Program Files (x86)\AstroGrep\AstroGrep.exe" /spath="%USERPROFILE%\AppData\Local\Temp\OnboardLogs" /stypes="app*4039*20170120*" /stext=" 00:.+((SYSTEM_STATE.+slice.+state.+changed )|(ment ac)|(multiple cpu faults)|(system.+state.+changed )|(\[timeout)|(PRM\|1\|D)|(kpr)|(kdp)|(\|lc)|(penalty))" /e /r /s</v>
      </c>
      <c r="AG191" s="1" t="str">
        <f t="shared" si="108"/>
        <v>NW</v>
      </c>
      <c r="AH191" s="88" t="str">
        <f t="shared" si="94"/>
        <v>"%USERPROFILE%\Documents\GitHub\eaglep3\Utilities\RefineRTDCRunTimes.py" --tripid 834-19 --locoid 4039 --swversion DE.1.0.8.0 --startMP 300:58647 --initTime 2017-01-19T17:38:08 --startdatetime 2017-01-19T17:40:25 --delay 1 --endMP 204:678 --enddatetime 2017-01-19T17:57:23 --enforcementcount 5 &gt;&gt;C:\Users\stu\Documents\GitHub\eaglep3-reporting\EC\2017-01-19-refined-times.txt</v>
      </c>
      <c r="AI191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{"issue":{"subject":"","project_id":79,"tracker_id":40,"status_id":1,"priority_id":2,"assigned_to_id":23,"start_date":"2017-01-19","description":"","custom_fields":[{"id":1,"name":"Subdivision","value":"NW"},{"id":4,"name":"Milepost","value":"0.0678"},{"id":17,"name":"Train ID","value":"834-19"},{"id":16,"name":"Locomotive ID","value":"4039"},{"id":130,"name":"Impact","value":""},{"id":150,"name":"Time of Event (Mountain Time)","value":"17:57:23"},{"id":151,"name":"Denver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0"/>
      <c r="AK191" s="50"/>
      <c r="AL191" s="50"/>
      <c r="AM191" s="177" t="str">
        <f t="shared" si="96"/>
        <v>start /low /b %USERPROFILE%\Documents\GitHub\eaglep3\Utilities\DownloadLogsFromS3.py --loco 4039 --day 2017-01-19</v>
      </c>
      <c r="AN191" s="186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"%USERPROFILE%\AppData\Local\Temp\OnboardLogs"\RTDC4039\*4039*20170120* | grep -SE "(Enforcement Action)|(\[TIMEOUT)|(CHR.+\|PRM\|1\|D.+(SWITCH|SIGNAL).+UNKNOWN)" - &gt;&gt; 2017-01-19-UncaughtWiMAX.txt</v>
      </c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1" customFormat="1" x14ac:dyDescent="0.25">
      <c r="A192" s="34" t="s">
        <v>660</v>
      </c>
      <c r="B192" s="7">
        <v>4038</v>
      </c>
      <c r="C192" s="22" t="s">
        <v>196</v>
      </c>
      <c r="D192" s="22" t="s">
        <v>827</v>
      </c>
      <c r="E192" s="13">
        <v>42754.740601851852</v>
      </c>
      <c r="F192" s="13">
        <v>42754.743923611109</v>
      </c>
      <c r="G192" s="7">
        <v>1</v>
      </c>
      <c r="H192" s="22" t="s">
        <v>395</v>
      </c>
      <c r="I192" s="13">
        <v>42754.754571759258</v>
      </c>
      <c r="J192" s="7">
        <v>5</v>
      </c>
      <c r="K192" s="105" t="str">
        <f t="shared" si="98"/>
        <v>4037/4038</v>
      </c>
      <c r="L192" s="22" t="str">
        <f>VLOOKUP(A192,'Trips&amp;Operators'!$C$1:$G$99999,5,FALSE)</f>
        <v>STORY SAMANTHA</v>
      </c>
      <c r="M192" s="6">
        <f t="shared" si="99"/>
        <v>1.0648148148902692E-2</v>
      </c>
      <c r="N192" s="7">
        <f t="shared" si="100"/>
        <v>15.333333334419876</v>
      </c>
      <c r="O192" s="7"/>
      <c r="P192" s="7"/>
      <c r="Q192" s="23"/>
      <c r="R192" s="23"/>
      <c r="S192" s="32">
        <f t="shared" si="101"/>
        <v>1</v>
      </c>
      <c r="T192" s="47" t="str">
        <f t="shared" si="102"/>
        <v>NorthBound</v>
      </c>
      <c r="U192" s="164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4" t="str">
        <f t="shared" si="65"/>
        <v>https://d0f6bd738d7f1b3e5a7ca70fe4ff75f0.us-east-1.aws.found.io/app/kibana#/discover/Steve-Slow-Train-Analysis-(2080s-and-2083s)?_g=(refreshInterval:(display:Off,pause:!f,section:0,value:0),time:(from:'2017-01-19T16:46:28-0700',mode:absolute,to:'2017-01-19T19:06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92" s="49" t="str">
        <f t="shared" si="103"/>
        <v>N</v>
      </c>
      <c r="X192" s="170">
        <f t="shared" si="97"/>
        <v>1</v>
      </c>
      <c r="Y192" s="64">
        <f t="shared" si="104"/>
        <v>0.1</v>
      </c>
      <c r="Z192" s="64">
        <f t="shared" si="105"/>
        <v>5.8943000000000003</v>
      </c>
      <c r="AA192" s="64">
        <f t="shared" si="106"/>
        <v>5.7943000000000007</v>
      </c>
      <c r="AB192" s="61" t="e">
        <f>VLOOKUP(A192,Enforcements!$C$7:$K$15,8,0)</f>
        <v>#N/A</v>
      </c>
      <c r="AC192" s="57" t="e">
        <f>VLOOKUP(A192,Enforcements!$C$7:$E$15,3,0)</f>
        <v>#N/A</v>
      </c>
      <c r="AD192" s="58" t="str">
        <f t="shared" si="107"/>
        <v>0835-19</v>
      </c>
      <c r="AE192" s="87" t="str">
        <f t="shared" si="67"/>
        <v>aws s3 cp s3://rtdc.mdm.uploadarchive.raw/RTDC4038/ "%USERPROFILE%\AppData\Local\Temp\OnboardLogs"\RTDC4038\2017-01-19 --exclude "*" --recursive --include "*20170119*" &amp; "%USERPROFILE%\Documents\GitHub\mrs-test-scripts\Headless Mode &amp; Sideloading\WalkAndUnGZ.bat" "%USERPROFILE%\AppData\Local\Temp\OnboardLogs"\RTDC4038\2017-01-19 &amp; aws s3 cp s3://rtdc.mdm.uploadarchive.raw/RTDC4038/ "%USERPROFILE%\AppData\Local\Temp\OnboardLogs"\RTDC4038\2017-01-20 --exclude "*" --recursive --include "*20170120*" &amp; "%USERPROFILE%\Documents\GitHub\mrs-test-scripts\Headless Mode &amp; Sideloading\WalkAndUnGZ.bat" "%USERPROFILE%\AppData\Local\Temp\OnboardLogs"\RTDC4038\2017-01-20</v>
      </c>
      <c r="AF192" s="84" t="str">
        <f t="shared" si="68"/>
        <v>"C:\Program Files (x86)\AstroGrep\AstroGrep.exe" /spath="%USERPROFILE%\AppData\Local\Temp\OnboardLogs" /stypes="app*4038*20170120*" /stext=" 01:.+((SYSTEM_STATE.+slice.+state.+changed )|(ment ac)|(multiple cpu faults)|(system.+state.+changed )|(\[timeout)|(PRM\|1\|D)|(kpr)|(kdp)|(\|lc)|(penalty))" /e /r /s</v>
      </c>
      <c r="AG192" s="1" t="str">
        <f t="shared" si="108"/>
        <v>NW</v>
      </c>
      <c r="AH192" s="88" t="str">
        <f t="shared" si="94"/>
        <v>"%USERPROFILE%\Documents\GitHub\eaglep3\Utilities\RefineRTDCRunTimes.py" --tripid 835-19 --locoid 4038 --swversion DE.1.0.8.0 --startMP 204:1000 --initTime 2017-01-19T17:46:28 --startdatetime 2017-01-19T17:51:15 --delay 1 --endMP 300:58943 --enddatetime 2017-01-19T18:06:35 --enforcementcount 5 &gt;&gt;C:\Users\stu\Documents\GitHub\eaglep3-reporting\EC\2017-01-19-refined-times.txt</v>
      </c>
      <c r="AI192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{"issue":{"subject":"","project_id":79,"tracker_id":40,"status_id":1,"priority_id":2,"assigned_to_id":23,"start_date":"2017-01-19","description":"","custom_fields":[{"id":1,"name":"Subdivision","value":"NW"},{"id":4,"name":"Milepost","value":"5.8943"},{"id":17,"name":"Train ID","value":"835-19"},{"id":16,"name":"Locomotive ID","value":"4038"},{"id":130,"name":"Impact","value":""},{"id":150,"name":"Time of Event (Mountain Time)","value":"18:06:35"},{"id":151,"name":"Denver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0"/>
      <c r="AK192" s="50"/>
      <c r="AL192" s="50"/>
      <c r="AM192" s="177" t="str">
        <f t="shared" si="96"/>
        <v>start /low /b %USERPROFILE%\Documents\GitHub\eaglep3\Utilities\DownloadLogsFromS3.py --loco 4038 --day 2017-01-19</v>
      </c>
      <c r="AN192" s="186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"%USERPROFILE%\AppData\Local\Temp\OnboardLogs"\RTDC4038\*4038*20170120* | grep -SE "(Enforcement Action)|(\[TIMEOUT)|(CHR.+\|PRM\|1\|D.+(SWITCH|SIGNAL).+UNKNOWN)" - &gt;&gt; 2017-01-19-UncaughtWiMAX.txt</v>
      </c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x14ac:dyDescent="0.25">
      <c r="A193" s="34" t="s">
        <v>501</v>
      </c>
      <c r="B193" s="7">
        <v>4037</v>
      </c>
      <c r="C193" s="22" t="s">
        <v>196</v>
      </c>
      <c r="D193" s="22" t="s">
        <v>401</v>
      </c>
      <c r="E193" s="13">
        <v>42754.755844907406</v>
      </c>
      <c r="F193" s="13">
        <v>42754.757013888891</v>
      </c>
      <c r="G193" s="7">
        <v>1</v>
      </c>
      <c r="H193" s="22" t="s">
        <v>828</v>
      </c>
      <c r="I193" s="13">
        <v>42754.77065972222</v>
      </c>
      <c r="J193" s="7">
        <v>5</v>
      </c>
      <c r="K193" s="105" t="str">
        <f t="shared" si="98"/>
        <v>4037/4038</v>
      </c>
      <c r="L193" s="22" t="str">
        <f>VLOOKUP(A193,'Trips&amp;Operators'!$C$1:$G$99999,5,FALSE)</f>
        <v>STORY SAMANTHA</v>
      </c>
      <c r="M193" s="6">
        <f t="shared" si="99"/>
        <v>1.3645833329064772E-2</v>
      </c>
      <c r="N193" s="7">
        <f t="shared" si="100"/>
        <v>19.649999993853271</v>
      </c>
      <c r="O193" s="7"/>
      <c r="P193" s="7"/>
      <c r="Q193" s="23"/>
      <c r="R193" s="23"/>
      <c r="S193" s="32">
        <f t="shared" si="101"/>
        <v>1</v>
      </c>
      <c r="T193" s="47" t="str">
        <f t="shared" si="102"/>
        <v>Southbound</v>
      </c>
      <c r="U193" s="164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4" t="str">
        <f t="shared" si="65"/>
        <v>https://d0f6bd738d7f1b3e5a7ca70fe4ff75f0.us-east-1.aws.found.io/app/kibana#/discover/Steve-Slow-Train-Analysis-(2080s-and-2083s)?_g=(refreshInterval:(display:Off,pause:!f,section:0,value:0),time:(from:'2017-01-19T17:08:25-0700',mode:absolute,to:'2017-01-19T19:29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93" s="49" t="str">
        <f t="shared" si="103"/>
        <v>N</v>
      </c>
      <c r="X193" s="170">
        <f t="shared" si="97"/>
        <v>1</v>
      </c>
      <c r="Y193" s="64">
        <f t="shared" si="104"/>
        <v>5.8623000000000003</v>
      </c>
      <c r="Z193" s="64">
        <f t="shared" si="105"/>
        <v>6.2799999999999995E-2</v>
      </c>
      <c r="AA193" s="64">
        <f t="shared" si="106"/>
        <v>5.7995000000000001</v>
      </c>
      <c r="AB193" s="61" t="e">
        <f>VLOOKUP(A193,Enforcements!$C$7:$K$15,8,0)</f>
        <v>#N/A</v>
      </c>
      <c r="AC193" s="57" t="e">
        <f>VLOOKUP(A193,Enforcements!$C$7:$E$15,3,0)</f>
        <v>#N/A</v>
      </c>
      <c r="AD193" s="58" t="str">
        <f t="shared" si="107"/>
        <v>0836-19</v>
      </c>
      <c r="AE193" s="87" t="str">
        <f t="shared" si="67"/>
        <v>aws s3 cp s3://rtdc.mdm.uploadarchive.raw/RTDC4037/ "%USERPROFILE%\AppData\Local\Temp\OnboardLogs"\RTDC4037\2017-01-19 --exclude "*" --recursive --include "*20170119*" &amp; "%USERPROFILE%\Documents\GitHub\mrs-test-scripts\Headless Mode &amp; Sideloading\WalkAndUnGZ.bat" "%USERPROFILE%\AppData\Local\Temp\OnboardLogs"\RTDC4037\2017-01-19 &amp; aws s3 cp s3://rtdc.mdm.uploadarchive.raw/RTDC4037/ "%USERPROFILE%\AppData\Local\Temp\OnboardLogs"\RTDC4037\2017-01-20 --exclude "*" --recursive --include "*20170120*" &amp; "%USERPROFILE%\Documents\GitHub\mrs-test-scripts\Headless Mode &amp; Sideloading\WalkAndUnGZ.bat" "%USERPROFILE%\AppData\Local\Temp\OnboardLogs"\RTDC4037\2017-01-20</v>
      </c>
      <c r="AF193" s="84" t="str">
        <f t="shared" si="68"/>
        <v>"C:\Program Files (x86)\AstroGrep\AstroGrep.exe" /spath="%USERPROFILE%\AppData\Local\Temp\OnboardLogs" /stypes="app*4037*20170120*" /stext=" 01:.+((SYSTEM_STATE.+slice.+state.+changed )|(ment ac)|(multiple cpu faults)|(system.+state.+changed )|(\[timeout)|(PRM\|1\|D)|(kpr)|(kdp)|(\|lc)|(penalty))" /e /r /s</v>
      </c>
      <c r="AG193" s="1" t="str">
        <f t="shared" si="108"/>
        <v>NW</v>
      </c>
      <c r="AH193" s="88" t="str">
        <f t="shared" si="94"/>
        <v>"%USERPROFILE%\Documents\GitHub\eaglep3\Utilities\RefineRTDCRunTimes.py" --tripid 836-19 --locoid 4037 --swversion DE.1.0.8.0 --startMP 300:58623 --initTime 2017-01-19T18:08:25 --startdatetime 2017-01-19T18:10:06 --delay 1 --endMP 204:628 --enddatetime 2017-01-19T18:29:45 --enforcementcount 5 &gt;&gt;C:\Users\stu\Documents\GitHub\eaglep3-reporting\EC\2017-01-19-refined-times.txt</v>
      </c>
      <c r="AI193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{"issue":{"subject":"","project_id":79,"tracker_id":40,"status_id":1,"priority_id":2,"assigned_to_id":23,"start_date":"2017-01-19","description":"","custom_fields":[{"id":1,"name":"Subdivision","value":"NW"},{"id":4,"name":"Milepost","value":"0.0628"},{"id":17,"name":"Train ID","value":"836-19"},{"id":16,"name":"Locomotive ID","value":"4037"},{"id":130,"name":"Impact","value":""},{"id":150,"name":"Time of Event (Mountain Time)","value":"18:29:45"},{"id":151,"name":"Denver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0"/>
      <c r="AK193" s="50"/>
      <c r="AL193" s="50"/>
      <c r="AM193" s="177" t="str">
        <f t="shared" si="96"/>
        <v>start /low /b %USERPROFILE%\Documents\GitHub\eaglep3\Utilities\DownloadLogsFromS3.py --loco 4037 --day 2017-01-19</v>
      </c>
      <c r="AN193" s="186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"%USERPROFILE%\AppData\Local\Temp\OnboardLogs"\RTDC4037\*4037*20170120* | grep -SE "(Enforcement Action)|(\[TIMEOUT)|(CHR.+\|PRM\|1\|D.+(SWITCH|SIGNAL).+UNKNOWN)" - &gt;&gt; 2017-01-19-UncaughtWiMAX.txt</v>
      </c>
    </row>
    <row r="194" spans="1:91" s="21" customFormat="1" x14ac:dyDescent="0.25">
      <c r="A194" s="34" t="s">
        <v>669</v>
      </c>
      <c r="B194" s="7">
        <v>4040</v>
      </c>
      <c r="C194" s="22" t="s">
        <v>196</v>
      </c>
      <c r="D194" s="22" t="s">
        <v>403</v>
      </c>
      <c r="E194" s="13">
        <v>42754.759930555556</v>
      </c>
      <c r="F194" s="13">
        <v>42754.76489583333</v>
      </c>
      <c r="G194" s="7">
        <v>1</v>
      </c>
      <c r="H194" s="22" t="s">
        <v>829</v>
      </c>
      <c r="I194" s="13">
        <v>42754.775914351849</v>
      </c>
      <c r="J194" s="7">
        <v>5</v>
      </c>
      <c r="K194" s="105" t="str">
        <f t="shared" si="98"/>
        <v>4039/4040</v>
      </c>
      <c r="L194" s="22" t="str">
        <f>VLOOKUP(A194,'Trips&amp;Operators'!$C$1:$G$99999,5,FALSE)</f>
        <v>LEVERE CRAIG</v>
      </c>
      <c r="M194" s="6">
        <f t="shared" si="99"/>
        <v>1.1018518518540077E-2</v>
      </c>
      <c r="N194" s="7">
        <f t="shared" si="100"/>
        <v>15.866666666697711</v>
      </c>
      <c r="O194" s="7"/>
      <c r="P194" s="7"/>
      <c r="Q194" s="23"/>
      <c r="R194" s="23"/>
      <c r="S194" s="32">
        <f t="shared" si="101"/>
        <v>1</v>
      </c>
      <c r="T194" s="47" t="str">
        <f t="shared" si="102"/>
        <v>NorthBound</v>
      </c>
      <c r="U194" s="164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4" t="str">
        <f t="shared" si="65"/>
        <v>https://d0f6bd738d7f1b3e5a7ca70fe4ff75f0.us-east-1.aws.found.io/app/kibana#/discover/Steve-Slow-Train-Analysis-(2080s-and-2083s)?_g=(refreshInterval:(display:Off,pause:!f,section:0,value:0),time:(from:'2017-01-19T17:14:18-0700',mode:absolute,to:'2017-01-19T19:37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4" s="49" t="str">
        <f t="shared" si="103"/>
        <v>N</v>
      </c>
      <c r="X194" s="170">
        <f t="shared" si="97"/>
        <v>1</v>
      </c>
      <c r="Y194" s="64">
        <f t="shared" si="104"/>
        <v>9.7900000000000001E-2</v>
      </c>
      <c r="Z194" s="64">
        <f t="shared" si="105"/>
        <v>5.8952</v>
      </c>
      <c r="AA194" s="64">
        <f t="shared" si="106"/>
        <v>5.7972999999999999</v>
      </c>
      <c r="AB194" s="61" t="e">
        <f>VLOOKUP(A194,Enforcements!$C$7:$K$15,8,0)</f>
        <v>#N/A</v>
      </c>
      <c r="AC194" s="57" t="e">
        <f>VLOOKUP(A194,Enforcements!$C$7:$E$15,3,0)</f>
        <v>#N/A</v>
      </c>
      <c r="AD194" s="58" t="str">
        <f t="shared" si="107"/>
        <v>0837-19</v>
      </c>
      <c r="AE194" s="87" t="str">
        <f t="shared" si="67"/>
        <v>aws s3 cp s3://rtdc.mdm.uploadarchive.raw/RTDC4040/ "%USERPROFILE%\AppData\Local\Temp\OnboardLogs"\RTDC4040\2017-01-19 --exclude "*" --recursive --include "*20170119*" &amp; "%USERPROFILE%\Documents\GitHub\mrs-test-scripts\Headless Mode &amp; Sideloading\WalkAndUnGZ.bat" "%USERPROFILE%\AppData\Local\Temp\OnboardLogs"\RTDC4040\2017-01-19 &amp; aws s3 cp s3://rtdc.mdm.uploadarchive.raw/RTDC4040/ "%USERPROFILE%\AppData\Local\Temp\OnboardLogs"\RTDC4040\2017-01-20 --exclude "*" --recursive --include "*20170120*" &amp; "%USERPROFILE%\Documents\GitHub\mrs-test-scripts\Headless Mode &amp; Sideloading\WalkAndUnGZ.bat" "%USERPROFILE%\AppData\Local\Temp\OnboardLogs"\RTDC4040\2017-01-20</v>
      </c>
      <c r="AF194" s="84" t="str">
        <f t="shared" si="68"/>
        <v>"C:\Program Files (x86)\AstroGrep\AstroGrep.exe" /spath="%USERPROFILE%\AppData\Local\Temp\OnboardLogs" /stypes="app*4040*20170120*" /stext=" 01:.+((SYSTEM_STATE.+slice.+state.+changed )|(ment ac)|(multiple cpu faults)|(system.+state.+changed )|(\[timeout)|(PRM\|1\|D)|(kpr)|(kdp)|(\|lc)|(penalty))" /e /r /s</v>
      </c>
      <c r="AG194" s="1" t="str">
        <f t="shared" si="108"/>
        <v>NW</v>
      </c>
      <c r="AH194" s="88" t="str">
        <f t="shared" si="94"/>
        <v>"%USERPROFILE%\Documents\GitHub\eaglep3\Utilities\RefineRTDCRunTimes.py" --tripid 837-19 --locoid 4040 --swversion DE.1.0.8.0 --startMP 204:979 --initTime 2017-01-19T18:14:18 --startdatetime 2017-01-19T18:21:27 --delay 1 --endMP 300:58952 --enddatetime 2017-01-19T18:37:19 --enforcementcount 5 &gt;&gt;C:\Users\stu\Documents\GitHub\eaglep3-reporting\EC\2017-01-19-refined-times.txt</v>
      </c>
      <c r="AI194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{"issue":{"subject":"","project_id":79,"tracker_id":40,"status_id":1,"priority_id":2,"assigned_to_id":23,"start_date":"2017-01-19","description":"","custom_fields":[{"id":1,"name":"Subdivision","value":"NW"},{"id":4,"name":"Milepost","value":"5.8952"},{"id":17,"name":"Train ID","value":"837-19"},{"id":16,"name":"Locomotive ID","value":"4040"},{"id":130,"name":"Impact","value":""},{"id":150,"name":"Time of Event (Mountain Time)","value":"18:37:19"},{"id":151,"name":"Denver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0"/>
      <c r="AK194" s="50"/>
      <c r="AL194" s="50"/>
      <c r="AM194" s="177" t="str">
        <f t="shared" si="96"/>
        <v>start /low /b %USERPROFILE%\Documents\GitHub\eaglep3\Utilities\DownloadLogsFromS3.py --loco 4040 --day 2017-01-19</v>
      </c>
      <c r="AN194" s="186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"%USERPROFILE%\AppData\Local\Temp\OnboardLogs"\RTDC4040\*4040*20170120* | grep -SE "(Enforcement Action)|(\[TIMEOUT)|(CHR.+\|PRM\|1\|D.+(SWITCH|SIGNAL).+UNKNOWN)" - &gt;&gt; 2017-01-19-UncaughtWiMAX.txt</v>
      </c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1" customFormat="1" x14ac:dyDescent="0.25">
      <c r="A195" s="34" t="s">
        <v>673</v>
      </c>
      <c r="B195" s="7">
        <v>4039</v>
      </c>
      <c r="C195" s="22" t="s">
        <v>196</v>
      </c>
      <c r="D195" s="22" t="s">
        <v>830</v>
      </c>
      <c r="E195" s="13">
        <v>42754.776863425926</v>
      </c>
      <c r="F195" s="13">
        <v>42754.778252314813</v>
      </c>
      <c r="G195" s="7">
        <v>1</v>
      </c>
      <c r="H195" s="22" t="s">
        <v>831</v>
      </c>
      <c r="I195" s="13">
        <v>42754.792256944442</v>
      </c>
      <c r="J195" s="7">
        <v>5</v>
      </c>
      <c r="K195" s="105" t="str">
        <f t="shared" si="98"/>
        <v>4039/4040</v>
      </c>
      <c r="L195" s="22" t="str">
        <f>VLOOKUP(A195,'Trips&amp;Operators'!$C$1:$G$99999,5,FALSE)</f>
        <v>LEVERE CRAIG</v>
      </c>
      <c r="M195" s="6">
        <f t="shared" si="99"/>
        <v>1.4004629629198462E-2</v>
      </c>
      <c r="N195" s="7">
        <f t="shared" si="100"/>
        <v>20.166666666045785</v>
      </c>
      <c r="O195" s="7"/>
      <c r="P195" s="7"/>
      <c r="Q195" s="23"/>
      <c r="R195" s="23"/>
      <c r="S195" s="32">
        <f t="shared" si="101"/>
        <v>1</v>
      </c>
      <c r="T195" s="47" t="str">
        <f t="shared" si="102"/>
        <v>Southbound</v>
      </c>
      <c r="U195" s="164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4" t="str">
        <f t="shared" si="65"/>
        <v>https://d0f6bd738d7f1b3e5a7ca70fe4ff75f0.us-east-1.aws.found.io/app/kibana#/discover/Steve-Slow-Train-Analysis-(2080s-and-2083s)?_g=(refreshInterval:(display:Off,pause:!f,section:0,value:0),time:(from:'2017-01-19T17:38:41-0700',mode:absolute,to:'2017-01-19T20:00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5" s="49" t="str">
        <f t="shared" si="103"/>
        <v>N</v>
      </c>
      <c r="X195" s="170">
        <f t="shared" si="97"/>
        <v>1</v>
      </c>
      <c r="Y195" s="64">
        <f t="shared" si="104"/>
        <v>5.8632</v>
      </c>
      <c r="Z195" s="64">
        <f t="shared" si="105"/>
        <v>1.4800000000000001E-2</v>
      </c>
      <c r="AA195" s="64">
        <f t="shared" si="106"/>
        <v>5.8483999999999998</v>
      </c>
      <c r="AB195" s="61" t="e">
        <f>VLOOKUP(A195,Enforcements!$C$7:$K$15,8,0)</f>
        <v>#N/A</v>
      </c>
      <c r="AC195" s="57" t="e">
        <f>VLOOKUP(A195,Enforcements!$C$7:$E$15,3,0)</f>
        <v>#N/A</v>
      </c>
      <c r="AD195" s="58" t="str">
        <f t="shared" si="107"/>
        <v>0838-19</v>
      </c>
      <c r="AE195" s="87" t="str">
        <f t="shared" si="67"/>
        <v>aws s3 cp s3://rtdc.mdm.uploadarchive.raw/RTDC4039/ "%USERPROFILE%\AppData\Local\Temp\OnboardLogs"\RTDC4039\2017-01-19 --exclude "*" --recursive --include "*20170119*" &amp; "%USERPROFILE%\Documents\GitHub\mrs-test-scripts\Headless Mode &amp; Sideloading\WalkAndUnGZ.bat" "%USERPROFILE%\AppData\Local\Temp\OnboardLogs"\RTDC4039\2017-01-19 &amp; aws s3 cp s3://rtdc.mdm.uploadarchive.raw/RTDC4039/ "%USERPROFILE%\AppData\Local\Temp\OnboardLogs"\RTDC4039\2017-01-20 --exclude "*" --recursive --include "*20170120*" &amp; "%USERPROFILE%\Documents\GitHub\mrs-test-scripts\Headless Mode &amp; Sideloading\WalkAndUnGZ.bat" "%USERPROFILE%\AppData\Local\Temp\OnboardLogs"\RTDC4039\2017-01-20</v>
      </c>
      <c r="AF195" s="84" t="str">
        <f t="shared" si="68"/>
        <v>"C:\Program Files (x86)\AstroGrep\AstroGrep.exe" /spath="%USERPROFILE%\AppData\Local\Temp\OnboardLogs" /stypes="app*4039*20170120*" /stext=" 02:.+((SYSTEM_STATE.+slice.+state.+changed )|(ment ac)|(multiple cpu faults)|(system.+state.+changed )|(\[timeout)|(PRM\|1\|D)|(kpr)|(kdp)|(\|lc)|(penalty))" /e /r /s</v>
      </c>
      <c r="AG195" s="1" t="str">
        <f t="shared" si="108"/>
        <v>NW</v>
      </c>
      <c r="AH195" s="88" t="str">
        <f t="shared" si="94"/>
        <v>"%USERPROFILE%\Documents\GitHub\eaglep3\Utilities\RefineRTDCRunTimes.py" --tripid 838-19 --locoid 4039 --swversion DE.1.0.8.0 --startMP 300:58632 --initTime 2017-01-19T18:38:41 --startdatetime 2017-01-19T18:40:41 --delay 1 --endMP 204:148 --enddatetime 2017-01-19T19:00:51 --enforcementcount 5 &gt;&gt;C:\Users\stu\Documents\GitHub\eaglep3-reporting\EC\2017-01-19-refined-times.txt</v>
      </c>
      <c r="AI195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{"issue":{"subject":"","project_id":79,"tracker_id":40,"status_id":1,"priority_id":2,"assigned_to_id":23,"start_date":"2017-01-19","description":"","custom_fields":[{"id":1,"name":"Subdivision","value":"NW"},{"id":4,"name":"Milepost","value":"0.0148"},{"id":17,"name":"Train ID","value":"838-19"},{"id":16,"name":"Locomotive ID","value":"4039"},{"id":130,"name":"Impact","value":""},{"id":150,"name":"Time of Event (Mountain Time)","value":"19:00:51"},{"id":151,"name":"Denver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0"/>
      <c r="AK195" s="50"/>
      <c r="AL195" s="50"/>
      <c r="AM195" s="177" t="str">
        <f t="shared" si="96"/>
        <v>start /low /b %USERPROFILE%\Documents\GitHub\eaglep3\Utilities\DownloadLogsFromS3.py --loco 4039 --day 2017-01-19</v>
      </c>
      <c r="AN195" s="186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"%USERPROFILE%\AppData\Local\Temp\OnboardLogs"\RTDC4039\*4039*20170120* | grep -SE "(Enforcement Action)|(\[TIMEOUT)|(CHR.+\|PRM\|1\|D.+(SWITCH|SIGNAL).+UNKNOWN)" - &gt;&gt; 2017-01-19-UncaughtWiMAX.txt</v>
      </c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1" customFormat="1" x14ac:dyDescent="0.25">
      <c r="A196" s="34" t="s">
        <v>676</v>
      </c>
      <c r="B196" s="7">
        <v>4038</v>
      </c>
      <c r="C196" s="22" t="s">
        <v>196</v>
      </c>
      <c r="D196" s="22" t="s">
        <v>832</v>
      </c>
      <c r="E196" s="13">
        <v>42754.782731481479</v>
      </c>
      <c r="F196" s="13">
        <v>42754.785671296297</v>
      </c>
      <c r="G196" s="7">
        <v>1</v>
      </c>
      <c r="H196" s="22" t="s">
        <v>800</v>
      </c>
      <c r="I196" s="13">
        <v>42754.79650462963</v>
      </c>
      <c r="J196" s="7">
        <v>5</v>
      </c>
      <c r="K196" s="105" t="str">
        <f t="shared" si="98"/>
        <v>4037/4038</v>
      </c>
      <c r="L196" s="22" t="str">
        <f>VLOOKUP(A196,'Trips&amp;Operators'!$C$1:$G$99999,5,FALSE)</f>
        <v>STORY SAMANTHA</v>
      </c>
      <c r="M196" s="6">
        <f t="shared" si="99"/>
        <v>1.0833333333721384E-2</v>
      </c>
      <c r="N196" s="7">
        <f t="shared" si="100"/>
        <v>15.600000000558794</v>
      </c>
      <c r="O196" s="7"/>
      <c r="P196" s="7"/>
      <c r="Q196" s="23"/>
      <c r="R196" s="23"/>
      <c r="S196" s="32">
        <f t="shared" si="101"/>
        <v>1</v>
      </c>
      <c r="T196" s="47" t="str">
        <f t="shared" si="102"/>
        <v>NorthBound</v>
      </c>
      <c r="U196" s="164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4" t="str">
        <f t="shared" si="65"/>
        <v>https://d0f6bd738d7f1b3e5a7ca70fe4ff75f0.us-east-1.aws.found.io/app/kibana#/discover/Steve-Slow-Train-Analysis-(2080s-and-2083s)?_g=(refreshInterval:(display:Off,pause:!f,section:0,value:0),time:(from:'2017-01-19T17:47:08-0700',mode:absolute,to:'2017-01-19T20:06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96" s="49" t="str">
        <f t="shared" si="103"/>
        <v>N</v>
      </c>
      <c r="X196" s="170">
        <f t="shared" si="97"/>
        <v>1</v>
      </c>
      <c r="Y196" s="64">
        <f t="shared" si="104"/>
        <v>9.0800000000000006E-2</v>
      </c>
      <c r="Z196" s="64">
        <f t="shared" si="105"/>
        <v>5.8986000000000001</v>
      </c>
      <c r="AA196" s="64">
        <f t="shared" si="106"/>
        <v>5.8078000000000003</v>
      </c>
      <c r="AB196" s="61" t="e">
        <f>VLOOKUP(A196,Enforcements!$C$7:$K$15,8,0)</f>
        <v>#N/A</v>
      </c>
      <c r="AC196" s="57" t="e">
        <f>VLOOKUP(A196,Enforcements!$C$7:$E$15,3,0)</f>
        <v>#N/A</v>
      </c>
      <c r="AD196" s="58" t="str">
        <f t="shared" si="107"/>
        <v>0839-19</v>
      </c>
      <c r="AE196" s="87" t="str">
        <f t="shared" si="67"/>
        <v>aws s3 cp s3://rtdc.mdm.uploadarchive.raw/RTDC4038/ "%USERPROFILE%\AppData\Local\Temp\OnboardLogs"\RTDC4038\2017-01-19 --exclude "*" --recursive --include "*20170119*" &amp; "%USERPROFILE%\Documents\GitHub\mrs-test-scripts\Headless Mode &amp; Sideloading\WalkAndUnGZ.bat" "%USERPROFILE%\AppData\Local\Temp\OnboardLogs"\RTDC4038\2017-01-19 &amp; aws s3 cp s3://rtdc.mdm.uploadarchive.raw/RTDC4038/ "%USERPROFILE%\AppData\Local\Temp\OnboardLogs"\RTDC4038\2017-01-20 --exclude "*" --recursive --include "*20170120*" &amp; "%USERPROFILE%\Documents\GitHub\mrs-test-scripts\Headless Mode &amp; Sideloading\WalkAndUnGZ.bat" "%USERPROFILE%\AppData\Local\Temp\OnboardLogs"\RTDC4038\2017-01-20</v>
      </c>
      <c r="AF196" s="84" t="str">
        <f t="shared" si="68"/>
        <v>"C:\Program Files (x86)\AstroGrep\AstroGrep.exe" /spath="%USERPROFILE%\AppData\Local\Temp\OnboardLogs" /stypes="app*4038*20170120*" /stext=" 02:.+((SYSTEM_STATE.+slice.+state.+changed )|(ment ac)|(multiple cpu faults)|(system.+state.+changed )|(\[timeout)|(PRM\|1\|D)|(kpr)|(kdp)|(\|lc)|(penalty))" /e /r /s</v>
      </c>
      <c r="AG196" s="1" t="str">
        <f t="shared" si="108"/>
        <v>NW</v>
      </c>
      <c r="AH196" s="88" t="str">
        <f t="shared" si="94"/>
        <v>"%USERPROFILE%\Documents\GitHub\eaglep3\Utilities\RefineRTDCRunTimes.py" --tripid 839-19 --locoid 4038 --swversion DE.1.0.8.0 --startMP 204:908 --initTime 2017-01-19T18:47:08 --startdatetime 2017-01-19T18:51:22 --delay 1 --endMP 300:58986 --enddatetime 2017-01-19T19:06:58 --enforcementcount 5 &gt;&gt;C:\Users\stu\Documents\GitHub\eaglep3-reporting\EC\2017-01-19-refined-times.txt</v>
      </c>
      <c r="AI196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{"issue":{"subject":"","project_id":79,"tracker_id":40,"status_id":1,"priority_id":2,"assigned_to_id":23,"start_date":"2017-01-19","description":"","custom_fields":[{"id":1,"name":"Subdivision","value":"NW"},{"id":4,"name":"Milepost","value":"5.8986"},{"id":17,"name":"Train ID","value":"839-19"},{"id":16,"name":"Locomotive ID","value":"4038"},{"id":130,"name":"Impact","value":""},{"id":150,"name":"Time of Event (Mountain Time)","value":"19:06:58"},{"id":151,"name":"Denver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0"/>
      <c r="AK196" s="50"/>
      <c r="AL196" s="50"/>
      <c r="AM196" s="177" t="str">
        <f t="shared" si="96"/>
        <v>start /low /b %USERPROFILE%\Documents\GitHub\eaglep3\Utilities\DownloadLogsFromS3.py --loco 4038 --day 2017-01-19</v>
      </c>
      <c r="AN196" s="186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"%USERPROFILE%\AppData\Local\Temp\OnboardLogs"\RTDC4038\*4038*20170120* | grep -SE "(Enforcement Action)|(\[TIMEOUT)|(CHR.+\|PRM\|1\|D.+(SWITCH|SIGNAL).+UNKNOWN)" - &gt;&gt; 2017-01-19-UncaughtWiMAX.txt</v>
      </c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1" customFormat="1" x14ac:dyDescent="0.25">
      <c r="A197" s="34" t="s">
        <v>683</v>
      </c>
      <c r="B197" s="7">
        <v>4039</v>
      </c>
      <c r="C197" s="22" t="s">
        <v>196</v>
      </c>
      <c r="D197" s="22" t="s">
        <v>819</v>
      </c>
      <c r="E197" s="13">
        <v>42754.822013888886</v>
      </c>
      <c r="F197" s="13">
        <v>42754.823437500003</v>
      </c>
      <c r="G197" s="7">
        <v>1</v>
      </c>
      <c r="H197" s="22" t="s">
        <v>833</v>
      </c>
      <c r="I197" s="13">
        <v>42754.834629629629</v>
      </c>
      <c r="J197" s="7">
        <v>5</v>
      </c>
      <c r="K197" s="105" t="str">
        <f t="shared" si="98"/>
        <v>4039/4040</v>
      </c>
      <c r="L197" s="22" t="str">
        <f>VLOOKUP(A197,'Trips&amp;Operators'!$C$1:$G$99999,5,FALSE)</f>
        <v>LEVERE CRAIG</v>
      </c>
      <c r="M197" s="6">
        <f t="shared" si="99"/>
        <v>1.1192129626579117E-2</v>
      </c>
      <c r="N197" s="7">
        <f t="shared" si="100"/>
        <v>16.116666662273929</v>
      </c>
      <c r="O197" s="7"/>
      <c r="P197" s="7"/>
      <c r="Q197" s="23"/>
      <c r="R197" s="23"/>
      <c r="S197" s="32">
        <f t="shared" si="101"/>
        <v>1</v>
      </c>
      <c r="T197" s="47" t="str">
        <f t="shared" si="102"/>
        <v>Southbound</v>
      </c>
      <c r="U197" s="164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4" t="str">
        <f t="shared" si="65"/>
        <v>https://d0f6bd738d7f1b3e5a7ca70fe4ff75f0.us-east-1.aws.found.io/app/kibana#/discover/Steve-Slow-Train-Analysis-(2080s-and-2083s)?_g=(refreshInterval:(display:Off,pause:!f,section:0,value:0),time:(from:'2017-01-19T18:43:42-0700',mode:absolute,to:'2017-01-19T21:01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7" s="49" t="str">
        <f t="shared" si="103"/>
        <v>N</v>
      </c>
      <c r="X197" s="170">
        <f t="shared" si="97"/>
        <v>1</v>
      </c>
      <c r="Y197" s="64">
        <f t="shared" si="104"/>
        <v>5.8647</v>
      </c>
      <c r="Z197" s="64">
        <f t="shared" si="105"/>
        <v>6.9400000000000003E-2</v>
      </c>
      <c r="AA197" s="64">
        <f t="shared" si="106"/>
        <v>5.7953000000000001</v>
      </c>
      <c r="AB197" s="61" t="e">
        <f>VLOOKUP(A197,Enforcements!$C$7:$K$15,8,0)</f>
        <v>#N/A</v>
      </c>
      <c r="AC197" s="57" t="e">
        <f>VLOOKUP(A197,Enforcements!$C$7:$E$15,3,0)</f>
        <v>#N/A</v>
      </c>
      <c r="AD197" s="58" t="str">
        <f t="shared" si="107"/>
        <v>0840-19</v>
      </c>
      <c r="AE197" s="87" t="str">
        <f t="shared" si="67"/>
        <v>aws s3 cp s3://rtdc.mdm.uploadarchive.raw/RTDC4039/ "%USERPROFILE%\AppData\Local\Temp\OnboardLogs"\RTDC4039\2017-01-19 --exclude "*" --recursive --include "*20170119*" &amp; "%USERPROFILE%\Documents\GitHub\mrs-test-scripts\Headless Mode &amp; Sideloading\WalkAndUnGZ.bat" "%USERPROFILE%\AppData\Local\Temp\OnboardLogs"\RTDC4039\2017-01-19 &amp; aws s3 cp s3://rtdc.mdm.uploadarchive.raw/RTDC4039/ "%USERPROFILE%\AppData\Local\Temp\OnboardLogs"\RTDC4039\2017-01-20 --exclude "*" --recursive --include "*20170120*" &amp; "%USERPROFILE%\Documents\GitHub\mrs-test-scripts\Headless Mode &amp; Sideloading\WalkAndUnGZ.bat" "%USERPROFILE%\AppData\Local\Temp\OnboardLogs"\RTDC4039\2017-01-20</v>
      </c>
      <c r="AF197" s="84" t="str">
        <f t="shared" si="68"/>
        <v>"C:\Program Files (x86)\AstroGrep\AstroGrep.exe" /spath="%USERPROFILE%\AppData\Local\Temp\OnboardLogs" /stypes="app*4039*20170120*" /stext=" 03:.+((SYSTEM_STATE.+slice.+state.+changed )|(ment ac)|(multiple cpu faults)|(system.+state.+changed )|(\[timeout)|(PRM\|1\|D)|(kpr)|(kdp)|(\|lc)|(penalty))" /e /r /s</v>
      </c>
      <c r="AG197" s="1" t="str">
        <f t="shared" si="108"/>
        <v>NW</v>
      </c>
      <c r="AH197" s="88" t="str">
        <f t="shared" si="94"/>
        <v>"%USERPROFILE%\Documents\GitHub\eaglep3\Utilities\RefineRTDCRunTimes.py" --tripid 840-19 --locoid 4039 --swversion DE.1.0.8.0 --startMP 300:58647 --initTime 2017-01-19T19:43:42 --startdatetime 2017-01-19T19:45:45 --delay 1 --endMP 204:694 --enddatetime 2017-01-19T20:01:52 --enforcementcount 5 &gt;&gt;C:\Users\stu\Documents\GitHub\eaglep3-reporting\EC\2017-01-19-refined-times.txt</v>
      </c>
      <c r="AI197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{"issue":{"subject":"","project_id":79,"tracker_id":40,"status_id":1,"priority_id":2,"assigned_to_id":23,"start_date":"2017-01-19","description":"","custom_fields":[{"id":1,"name":"Subdivision","value":"NW"},{"id":4,"name":"Milepost","value":"0.0694"},{"id":17,"name":"Train ID","value":"840-19"},{"id":16,"name":"Locomotive ID","value":"4039"},{"id":130,"name":"Impact","value":""},{"id":150,"name":"Time of Event (Mountain Time)","value":"20:01:52"},{"id":151,"name":"Denver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0"/>
      <c r="AK197" s="50"/>
      <c r="AL197" s="50"/>
      <c r="AM197" s="177" t="str">
        <f t="shared" si="96"/>
        <v>start /low /b %USERPROFILE%\Documents\GitHub\eaglep3\Utilities\DownloadLogsFromS3.py --loco 4039 --day 2017-01-19</v>
      </c>
      <c r="AN197" s="186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"%USERPROFILE%\AppData\Local\Temp\OnboardLogs"\RTDC4039\*4039*20170120* | grep -SE "(Enforcement Action)|(\[TIMEOUT)|(CHR.+\|PRM\|1\|D.+(SWITCH|SIGNAL).+UNKNOWN)" - &gt;&gt; 2017-01-19-UncaughtWiMAX.txt</v>
      </c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1" customFormat="1" x14ac:dyDescent="0.25">
      <c r="A198" s="34" t="s">
        <v>680</v>
      </c>
      <c r="B198" s="7">
        <v>4040</v>
      </c>
      <c r="C198" s="22" t="s">
        <v>196</v>
      </c>
      <c r="D198" s="22" t="s">
        <v>379</v>
      </c>
      <c r="E198" s="13">
        <v>42754.79787037037</v>
      </c>
      <c r="F198" s="13">
        <v>42754.806747685187</v>
      </c>
      <c r="G198" s="7">
        <v>1</v>
      </c>
      <c r="H198" s="22" t="s">
        <v>818</v>
      </c>
      <c r="I198" s="13">
        <v>42754.821238425924</v>
      </c>
      <c r="J198" s="7">
        <v>5</v>
      </c>
      <c r="K198" s="105" t="str">
        <f t="shared" si="98"/>
        <v>4039/4040</v>
      </c>
      <c r="L198" s="22" t="str">
        <f>VLOOKUP(A198,'Trips&amp;Operators'!$C$1:$G$99999,5,FALSE)</f>
        <v>LEVERE CRAIG</v>
      </c>
      <c r="M198" s="6">
        <f t="shared" si="99"/>
        <v>1.449074073752854E-2</v>
      </c>
      <c r="N198" s="7">
        <f t="shared" si="100"/>
        <v>20.866666662041098</v>
      </c>
      <c r="O198" s="7"/>
      <c r="P198" s="7"/>
      <c r="Q198" s="23"/>
      <c r="R198" s="23"/>
      <c r="S198" s="32">
        <f t="shared" si="101"/>
        <v>1</v>
      </c>
      <c r="T198" s="47" t="str">
        <f t="shared" si="102"/>
        <v>NorthBound</v>
      </c>
      <c r="U198" s="164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4" t="str">
        <f t="shared" si="65"/>
        <v>https://d0f6bd738d7f1b3e5a7ca70fe4ff75f0.us-east-1.aws.found.io/app/kibana#/discover/Steve-Slow-Train-Analysis-(2080s-and-2083s)?_g=(refreshInterval:(display:Off,pause:!f,section:0,value:0),time:(from:'2017-01-19T18:08:56-0700',mode:absolute,to:'2017-01-19T20:42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8" s="49" t="str">
        <f t="shared" si="103"/>
        <v>N</v>
      </c>
      <c r="X198" s="170">
        <f t="shared" si="97"/>
        <v>1</v>
      </c>
      <c r="Y198" s="64">
        <f t="shared" si="104"/>
        <v>4.3700000000000003E-2</v>
      </c>
      <c r="Z198" s="64">
        <f t="shared" si="105"/>
        <v>5.8956</v>
      </c>
      <c r="AA198" s="64">
        <f t="shared" si="106"/>
        <v>5.8518999999999997</v>
      </c>
      <c r="AB198" s="61" t="e">
        <f>VLOOKUP(A198,Enforcements!$C$7:$K$15,8,0)</f>
        <v>#N/A</v>
      </c>
      <c r="AC198" s="57" t="e">
        <f>VLOOKUP(A198,Enforcements!$C$7:$E$15,3,0)</f>
        <v>#N/A</v>
      </c>
      <c r="AD198" s="58" t="str">
        <f t="shared" si="107"/>
        <v>0841-19</v>
      </c>
      <c r="AE198" s="87" t="str">
        <f t="shared" si="67"/>
        <v>aws s3 cp s3://rtdc.mdm.uploadarchive.raw/RTDC4040/ "%USERPROFILE%\AppData\Local\Temp\OnboardLogs"\RTDC4040\2017-01-19 --exclude "*" --recursive --include "*20170119*" &amp; "%USERPROFILE%\Documents\GitHub\mrs-test-scripts\Headless Mode &amp; Sideloading\WalkAndUnGZ.bat" "%USERPROFILE%\AppData\Local\Temp\OnboardLogs"\RTDC4040\2017-01-19 &amp; aws s3 cp s3://rtdc.mdm.uploadarchive.raw/RTDC4040/ "%USERPROFILE%\AppData\Local\Temp\OnboardLogs"\RTDC4040\2017-01-20 --exclude "*" --recursive --include "*20170120*" &amp; "%USERPROFILE%\Documents\GitHub\mrs-test-scripts\Headless Mode &amp; Sideloading\WalkAndUnGZ.bat" "%USERPROFILE%\AppData\Local\Temp\OnboardLogs"\RTDC4040\2017-01-20</v>
      </c>
      <c r="AF198" s="84" t="str">
        <f t="shared" si="68"/>
        <v>"C:\Program Files (x86)\AstroGrep\AstroGrep.exe" /spath="%USERPROFILE%\AppData\Local\Temp\OnboardLogs" /stypes="app*4040*20170120*" /stext=" 02:.+((SYSTEM_STATE.+slice.+state.+changed )|(ment ac)|(multiple cpu faults)|(system.+state.+changed )|(\[timeout)|(PRM\|1\|D)|(kpr)|(kdp)|(\|lc)|(penalty))" /e /r /s</v>
      </c>
      <c r="AG198" s="1" t="str">
        <f t="shared" si="108"/>
        <v>NW</v>
      </c>
      <c r="AH198" s="88" t="str">
        <f t="shared" si="94"/>
        <v>"%USERPROFILE%\Documents\GitHub\eaglep3\Utilities\RefineRTDCRunTimes.py" --tripid 841-19 --locoid 4040 --swversion DE.1.0.8.0 --startMP 204:437 --initTime 2017-01-19T19:08:56 --startdatetime 2017-01-19T19:21:43 --delay 1 --endMP 300:58956 --enddatetime 2017-01-19T19:42:35 --enforcementcount 5 &gt;&gt;C:\Users\stu\Documents\GitHub\eaglep3-reporting\EC\2017-01-19-refined-times.txt</v>
      </c>
      <c r="AI198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{"issue":{"subject":"","project_id":79,"tracker_id":40,"status_id":1,"priority_id":2,"assigned_to_id":23,"start_date":"2017-01-19","description":"","custom_fields":[{"id":1,"name":"Subdivision","value":"NW"},{"id":4,"name":"Milepost","value":"5.8956"},{"id":17,"name":"Train ID","value":"841-19"},{"id":16,"name":"Locomotive ID","value":"4040"},{"id":130,"name":"Impact","value":""},{"id":150,"name":"Time of Event (Mountain Time)","value":"19:42:35"},{"id":151,"name":"Denver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0"/>
      <c r="AK198" s="50"/>
      <c r="AL198" s="50"/>
      <c r="AM198" s="177" t="str">
        <f t="shared" si="96"/>
        <v>start /low /b %USERPROFILE%\Documents\GitHub\eaglep3\Utilities\DownloadLogsFromS3.py --loco 4040 --day 2017-01-19</v>
      </c>
      <c r="AN198" s="186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"%USERPROFILE%\AppData\Local\Temp\OnboardLogs"\RTDC4040\*4040*20170120* | grep -SE "(Enforcement Action)|(\[TIMEOUT)|(CHR.+\|PRM\|1\|D.+(SWITCH|SIGNAL).+UNKNOWN)" - &gt;&gt; 2017-01-19-UncaughtWiMAX.txt</v>
      </c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1" customFormat="1" x14ac:dyDescent="0.25">
      <c r="A199" s="34" t="s">
        <v>689</v>
      </c>
      <c r="B199" s="7">
        <v>4039</v>
      </c>
      <c r="C199" s="22" t="s">
        <v>196</v>
      </c>
      <c r="D199" s="22" t="s">
        <v>796</v>
      </c>
      <c r="E199" s="13">
        <v>42754.86</v>
      </c>
      <c r="F199" s="13">
        <v>42754.861435185187</v>
      </c>
      <c r="G199" s="7">
        <v>1</v>
      </c>
      <c r="H199" s="22" t="s">
        <v>186</v>
      </c>
      <c r="I199" s="13">
        <v>42754.873263888891</v>
      </c>
      <c r="J199" s="7">
        <v>5</v>
      </c>
      <c r="K199" s="105" t="str">
        <f t="shared" si="98"/>
        <v>4039/4040</v>
      </c>
      <c r="L199" s="22" t="str">
        <f>VLOOKUP(A199,'Trips&amp;Operators'!$C$1:$G$99999,5,FALSE)</f>
        <v>LEVERE CRAIG</v>
      </c>
      <c r="M199" s="6">
        <f t="shared" si="99"/>
        <v>1.1828703703940846E-2</v>
      </c>
      <c r="N199" s="7">
        <f t="shared" si="100"/>
        <v>17.033333333674818</v>
      </c>
      <c r="O199" s="7"/>
      <c r="P199" s="7"/>
      <c r="Q199" s="23"/>
      <c r="R199" s="23"/>
      <c r="S199" s="32">
        <f t="shared" si="101"/>
        <v>1</v>
      </c>
      <c r="T199" s="47" t="str">
        <f t="shared" si="102"/>
        <v>Southbound</v>
      </c>
      <c r="U199" s="164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4" t="str">
        <f t="shared" si="65"/>
        <v>https://d0f6bd738d7f1b3e5a7ca70fe4ff75f0.us-east-1.aws.found.io/app/kibana#/discover/Steve-Slow-Train-Analysis-(2080s-and-2083s)?_g=(refreshInterval:(display:Off,pause:!f,section:0,value:0),time:(from:'2017-01-19T19:38:24-0700',mode:absolute,to:'2017-01-19T21:57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9" s="49" t="str">
        <f t="shared" si="103"/>
        <v>N</v>
      </c>
      <c r="X199" s="170">
        <f t="shared" si="97"/>
        <v>1</v>
      </c>
      <c r="Y199" s="64">
        <f t="shared" si="104"/>
        <v>5.8653000000000004</v>
      </c>
      <c r="Z199" s="64">
        <f t="shared" si="105"/>
        <v>1.49E-2</v>
      </c>
      <c r="AA199" s="64">
        <f t="shared" si="106"/>
        <v>5.8504000000000005</v>
      </c>
      <c r="AB199" s="61" t="e">
        <f>VLOOKUP(A199,Enforcements!$C$7:$K$15,8,0)</f>
        <v>#N/A</v>
      </c>
      <c r="AC199" s="57" t="e">
        <f>VLOOKUP(A199,Enforcements!$C$7:$E$15,3,0)</f>
        <v>#N/A</v>
      </c>
      <c r="AD199" s="58" t="str">
        <f t="shared" si="107"/>
        <v>0842-19</v>
      </c>
      <c r="AE199" s="87" t="str">
        <f t="shared" si="67"/>
        <v>aws s3 cp s3://rtdc.mdm.uploadarchive.raw/RTDC4039/ "%USERPROFILE%\AppData\Local\Temp\OnboardLogs"\RTDC4039\2017-01-19 --exclude "*" --recursive --include "*20170119*" &amp; "%USERPROFILE%\Documents\GitHub\mrs-test-scripts\Headless Mode &amp; Sideloading\WalkAndUnGZ.bat" "%USERPROFILE%\AppData\Local\Temp\OnboardLogs"\RTDC4039\2017-01-19 &amp; aws s3 cp s3://rtdc.mdm.uploadarchive.raw/RTDC4039/ "%USERPROFILE%\AppData\Local\Temp\OnboardLogs"\RTDC4039\2017-01-20 --exclude "*" --recursive --include "*20170120*" &amp; "%USERPROFILE%\Documents\GitHub\mrs-test-scripts\Headless Mode &amp; Sideloading\WalkAndUnGZ.bat" "%USERPROFILE%\AppData\Local\Temp\OnboardLogs"\RTDC4039\2017-01-20</v>
      </c>
      <c r="AF199" s="84" t="str">
        <f t="shared" si="68"/>
        <v>"C:\Program Files (x86)\AstroGrep\AstroGrep.exe" /spath="%USERPROFILE%\AppData\Local\Temp\OnboardLogs" /stypes="app*4039*20170120*" /stext=" 03:.+((SYSTEM_STATE.+slice.+state.+changed )|(ment ac)|(multiple cpu faults)|(system.+state.+changed )|(\[timeout)|(PRM\|1\|D)|(kpr)|(kdp)|(\|lc)|(penalty))" /e /r /s</v>
      </c>
      <c r="AG199" s="1" t="str">
        <f t="shared" si="108"/>
        <v>NW</v>
      </c>
      <c r="AH199" s="88" t="str">
        <f t="shared" si="94"/>
        <v>"%USERPROFILE%\Documents\GitHub\eaglep3\Utilities\RefineRTDCRunTimes.py" --tripid 842-19 --locoid 4039 --swversion DE.1.0.8.0 --startMP 300:58653 --initTime 2017-01-19T20:38:24 --startdatetime 2017-01-19T20:40:28 --delay 1 --endMP 204:149 --enddatetime 2017-01-19T20:57:30 --enforcementcount 5 &gt;&gt;C:\Users\stu\Documents\GitHub\eaglep3-reporting\EC\2017-01-19-refined-times.txt</v>
      </c>
      <c r="AI199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{"issue":{"subject":"","project_id":79,"tracker_id":40,"status_id":1,"priority_id":2,"assigned_to_id":23,"start_date":"2017-01-19","description":"","custom_fields":[{"id":1,"name":"Subdivision","value":"NW"},{"id":4,"name":"Milepost","value":"0.0149"},{"id":17,"name":"Train ID","value":"842-19"},{"id":16,"name":"Locomotive ID","value":"4039"},{"id":130,"name":"Impact","value":""},{"id":150,"name":"Time of Event (Mountain Time)","value":"20:57:30"},{"id":151,"name":"Denver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0"/>
      <c r="AK199" s="50"/>
      <c r="AL199" s="50"/>
      <c r="AM199" s="177" t="str">
        <f t="shared" si="96"/>
        <v>start /low /b %USERPROFILE%\Documents\GitHub\eaglep3\Utilities\DownloadLogsFromS3.py --loco 4039 --day 2017-01-19</v>
      </c>
      <c r="AN199" s="186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"%USERPROFILE%\AppData\Local\Temp\OnboardLogs"\RTDC4039\*4039*20170120* | grep -SE "(Enforcement Action)|(\[TIMEOUT)|(CHR.+\|PRM\|1\|D.+(SWITCH|SIGNAL).+UNKNOWN)" - &gt;&gt; 2017-01-19-UncaughtWiMAX.txt</v>
      </c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1" customFormat="1" x14ac:dyDescent="0.25">
      <c r="A200" s="34" t="s">
        <v>687</v>
      </c>
      <c r="B200" s="7">
        <v>4040</v>
      </c>
      <c r="C200" s="22" t="s">
        <v>196</v>
      </c>
      <c r="D200" s="22" t="s">
        <v>834</v>
      </c>
      <c r="E200" s="13">
        <v>42754.843460648146</v>
      </c>
      <c r="F200" s="13">
        <v>42754.848171296297</v>
      </c>
      <c r="G200" s="7">
        <v>1</v>
      </c>
      <c r="H200" s="22" t="s">
        <v>814</v>
      </c>
      <c r="I200" s="13">
        <v>42754.858993055554</v>
      </c>
      <c r="J200" s="7">
        <v>5</v>
      </c>
      <c r="K200" s="105" t="str">
        <f t="shared" si="98"/>
        <v>4039/4040</v>
      </c>
      <c r="L200" s="22" t="str">
        <f>VLOOKUP(A200,'Trips&amp;Operators'!$C$1:$G$99999,5,FALSE)</f>
        <v>LEVERE CRAIG</v>
      </c>
      <c r="M200" s="6">
        <f t="shared" si="99"/>
        <v>1.0821759256941732E-2</v>
      </c>
      <c r="N200" s="7">
        <f t="shared" si="100"/>
        <v>15.583333329996094</v>
      </c>
      <c r="O200" s="7"/>
      <c r="P200" s="7"/>
      <c r="Q200" s="23"/>
      <c r="R200" s="23"/>
      <c r="S200" s="32">
        <f t="shared" si="101"/>
        <v>1</v>
      </c>
      <c r="T200" s="47" t="str">
        <f t="shared" si="102"/>
        <v>NorthBound</v>
      </c>
      <c r="U200" s="164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4" t="str">
        <f t="shared" si="65"/>
        <v>https://d0f6bd738d7f1b3e5a7ca70fe4ff75f0.us-east-1.aws.found.io/app/kibana#/discover/Steve-Slow-Train-Analysis-(2080s-and-2083s)?_g=(refreshInterval:(display:Off,pause:!f,section:0,value:0),time:(from:'2017-01-19T19:14:35-0700',mode:absolute,to:'2017-01-19T21:36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0" s="49" t="str">
        <f t="shared" si="103"/>
        <v>N</v>
      </c>
      <c r="X200" s="170">
        <f t="shared" si="97"/>
        <v>1</v>
      </c>
      <c r="Y200" s="64">
        <f t="shared" si="104"/>
        <v>9.8100000000000007E-2</v>
      </c>
      <c r="Z200" s="64">
        <f t="shared" si="105"/>
        <v>5.8958000000000004</v>
      </c>
      <c r="AA200" s="64">
        <f t="shared" si="106"/>
        <v>5.7977000000000007</v>
      </c>
      <c r="AB200" s="61" t="e">
        <f>VLOOKUP(A200,Enforcements!$C$7:$K$15,8,0)</f>
        <v>#N/A</v>
      </c>
      <c r="AC200" s="57" t="e">
        <f>VLOOKUP(A200,Enforcements!$C$7:$E$15,3,0)</f>
        <v>#N/A</v>
      </c>
      <c r="AD200" s="58" t="str">
        <f t="shared" si="107"/>
        <v>0843-19</v>
      </c>
      <c r="AE200" s="87" t="str">
        <f t="shared" si="67"/>
        <v>aws s3 cp s3://rtdc.mdm.uploadarchive.raw/RTDC4040/ "%USERPROFILE%\AppData\Local\Temp\OnboardLogs"\RTDC4040\2017-01-19 --exclude "*" --recursive --include "*20170119*" &amp; "%USERPROFILE%\Documents\GitHub\mrs-test-scripts\Headless Mode &amp; Sideloading\WalkAndUnGZ.bat" "%USERPROFILE%\AppData\Local\Temp\OnboardLogs"\RTDC4040\2017-01-19 &amp; aws s3 cp s3://rtdc.mdm.uploadarchive.raw/RTDC4040/ "%USERPROFILE%\AppData\Local\Temp\OnboardLogs"\RTDC4040\2017-01-20 --exclude "*" --recursive --include "*20170120*" &amp; "%USERPROFILE%\Documents\GitHub\mrs-test-scripts\Headless Mode &amp; Sideloading\WalkAndUnGZ.bat" "%USERPROFILE%\AppData\Local\Temp\OnboardLogs"\RTDC4040\2017-01-20</v>
      </c>
      <c r="AF200" s="84" t="str">
        <f t="shared" si="68"/>
        <v>"C:\Program Files (x86)\AstroGrep\AstroGrep.exe" /spath="%USERPROFILE%\AppData\Local\Temp\OnboardLogs" /stypes="app*4040*20170120*" /stext=" 03:.+((SYSTEM_STATE.+slice.+state.+changed )|(ment ac)|(multiple cpu faults)|(system.+state.+changed )|(\[timeout)|(PRM\|1\|D)|(kpr)|(kdp)|(\|lc)|(penalty))" /e /r /s</v>
      </c>
      <c r="AG200" s="1" t="str">
        <f t="shared" si="108"/>
        <v>NW</v>
      </c>
      <c r="AH200" s="88" t="str">
        <f t="shared" si="94"/>
        <v>"%USERPROFILE%\Documents\GitHub\eaglep3\Utilities\RefineRTDCRunTimes.py" --tripid 843-19 --locoid 4040 --swversion DE.1.0.8.0 --startMP 204:981 --initTime 2017-01-19T20:14:35 --startdatetime 2017-01-19T20:21:22 --delay 1 --endMP 300:58958 --enddatetime 2017-01-19T20:36:57 --enforcementcount 5 &gt;&gt;C:\Users\stu\Documents\GitHub\eaglep3-reporting\EC\2017-01-19-refined-times.txt</v>
      </c>
      <c r="AI200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{"issue":{"subject":"","project_id":79,"tracker_id":40,"status_id":1,"priority_id":2,"assigned_to_id":23,"start_date":"2017-01-19","description":"","custom_fields":[{"id":1,"name":"Subdivision","value":"NW"},{"id":4,"name":"Milepost","value":"5.8958"},{"id":17,"name":"Train ID","value":"843-19"},{"id":16,"name":"Locomotive ID","value":"4040"},{"id":130,"name":"Impact","value":""},{"id":150,"name":"Time of Event (Mountain Time)","value":"20:36:57"},{"id":151,"name":"Denver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0"/>
      <c r="AK200" s="50"/>
      <c r="AL200" s="50"/>
      <c r="AM200" s="177" t="str">
        <f t="shared" si="96"/>
        <v>start /low /b %USERPROFILE%\Documents\GitHub\eaglep3\Utilities\DownloadLogsFromS3.py --loco 4040 --day 2017-01-19</v>
      </c>
      <c r="AN200" s="186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"%USERPROFILE%\AppData\Local\Temp\OnboardLogs"\RTDC4040\*4040*20170120* | grep -SE "(Enforcement Action)|(\[TIMEOUT)|(CHR.+\|PRM\|1\|D.+(SWITCH|SIGNAL).+UNKNOWN)" - &gt;&gt; 2017-01-19-UncaughtWiMAX.txt</v>
      </c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1" customFormat="1" x14ac:dyDescent="0.25">
      <c r="A201" s="34" t="s">
        <v>694</v>
      </c>
      <c r="B201" s="7">
        <v>4039</v>
      </c>
      <c r="C201" s="22" t="s">
        <v>196</v>
      </c>
      <c r="D201" s="22" t="s">
        <v>821</v>
      </c>
      <c r="E201" s="13">
        <v>42754.903379629628</v>
      </c>
      <c r="F201" s="13">
        <v>42754.90425925926</v>
      </c>
      <c r="G201" s="7">
        <v>0</v>
      </c>
      <c r="H201" s="22">
        <v>8.5368055555555546</v>
      </c>
      <c r="I201" s="13">
        <v>42754.914120370369</v>
      </c>
      <c r="J201" s="7">
        <v>5</v>
      </c>
      <c r="K201" s="105" t="str">
        <f t="shared" si="98"/>
        <v>4039/4040</v>
      </c>
      <c r="L201" s="22" t="str">
        <f>VLOOKUP(A201,'Trips&amp;Operators'!$C$1:$G$99999,5,FALSE)</f>
        <v>STORY SAMANTHA</v>
      </c>
      <c r="M201" s="6">
        <f t="shared" si="99"/>
        <v>9.8611111097852699E-3</v>
      </c>
      <c r="N201" s="7">
        <f t="shared" si="100"/>
        <v>14.199999998090789</v>
      </c>
      <c r="O201" s="7"/>
      <c r="P201" s="7"/>
      <c r="Q201" s="23"/>
      <c r="R201" s="23"/>
      <c r="S201" s="32">
        <f t="shared" si="101"/>
        <v>0</v>
      </c>
      <c r="T201" s="47" t="str">
        <f t="shared" si="102"/>
        <v>Southbound</v>
      </c>
      <c r="U201" s="164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0</v>
      </c>
      <c r="V201" s="94" t="str">
        <f t="shared" si="65"/>
        <v>https://d0f6bd738d7f1b3e5a7ca70fe4ff75f0.us-east-1.aws.found.io/app/kibana#/discover/Steve-Slow-Train-Analysis-(2080s-and-2083s)?_g=(refreshInterval:(display:Off,pause:!f,section:0,value:0),time:(from:'2017-01-19T20:40:52-0700',mode:absolute,to:'2017-01-19T22:56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1" s="49" t="str">
        <f t="shared" si="103"/>
        <v>N</v>
      </c>
      <c r="X201" s="170">
        <f t="shared" si="97"/>
        <v>1</v>
      </c>
      <c r="Y201" s="64">
        <f t="shared" si="104"/>
        <v>5.8642000000000003</v>
      </c>
      <c r="Z201" s="64">
        <f t="shared" si="105"/>
        <v>68055555.555500001</v>
      </c>
      <c r="AA201" s="64">
        <f t="shared" si="106"/>
        <v>68055549.691300005</v>
      </c>
      <c r="AB201" s="61" t="e">
        <f>VLOOKUP(A201,Enforcements!$C$7:$K$15,8,0)</f>
        <v>#N/A</v>
      </c>
      <c r="AC201" s="57" t="e">
        <f>VLOOKUP(A201,Enforcements!$C$7:$E$15,3,0)</f>
        <v>#N/A</v>
      </c>
      <c r="AD201" s="58" t="str">
        <f t="shared" si="107"/>
        <v>0844-19</v>
      </c>
      <c r="AE201" s="87" t="str">
        <f t="shared" si="67"/>
        <v>aws s3 cp s3://rtdc.mdm.uploadarchive.raw/RTDC4039/ "%USERPROFILE%\AppData\Local\Temp\OnboardLogs"\RTDC4039\2017-01-19 --exclude "*" --recursive --include "*20170119*" &amp; "%USERPROFILE%\Documents\GitHub\mrs-test-scripts\Headless Mode &amp; Sideloading\WalkAndUnGZ.bat" "%USERPROFILE%\AppData\Local\Temp\OnboardLogs"\RTDC4039\2017-01-19 &amp; aws s3 cp s3://rtdc.mdm.uploadarchive.raw/RTDC4039/ "%USERPROFILE%\AppData\Local\Temp\OnboardLogs"\RTDC4039\2017-01-20 --exclude "*" --recursive --include "*20170120*" &amp; "%USERPROFILE%\Documents\GitHub\mrs-test-scripts\Headless Mode &amp; Sideloading\WalkAndUnGZ.bat" "%USERPROFILE%\AppData\Local\Temp\OnboardLogs"\RTDC4039\2017-01-20</v>
      </c>
      <c r="AF201" s="84" t="str">
        <f t="shared" si="68"/>
        <v>"C:\Program Files (x86)\AstroGrep\AstroGrep.exe" /spath="%USERPROFILE%\AppData\Local\Temp\OnboardLogs" /stypes="app*4039*20170120*" /stext=" 04:.+((SYSTEM_STATE.+slice.+state.+changed )|(ment ac)|(multiple cpu faults)|(system.+state.+changed )|(\[timeout)|(PRM\|1\|D)|(kpr)|(kdp)|(\|lc)|(penalty))" /e /r /s</v>
      </c>
      <c r="AG201" s="1" t="str">
        <f t="shared" si="108"/>
        <v>NW</v>
      </c>
      <c r="AH201" s="88" t="str">
        <f t="shared" si="94"/>
        <v>"%USERPROFILE%\Documents\GitHub\eaglep3\Utilities\RefineRTDCRunTimes.py" --tripid 844-19 --locoid 4039 --swversion DE.1.0.8.0 --startMP 300:58642 --initTime 2017-01-19T21:40:52 --startdatetime 2017-01-19T21:42:08 --delay 0 --endMP 8.53680555555555 --enddatetime 2017-01-19T21:56:20 --enforcementcount 5 &gt;&gt;C:\Users\stu\Documents\GitHub\eaglep3-reporting\EC\2017-01-19-refined-times.txt</v>
      </c>
      <c r="AI201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68055555.5555"},{"id":17,"name":"Train ID","value":"844-19"},{"id":16,"name":"Locomotive ID","value":"4039"},{"id":130,"name":"Impact","value":""},{"id":150,"name":"Time of Event (Mountain Time)","value":"21:56:20"},{"id":151,"name":"Denver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0"/>
      <c r="AK201" s="50"/>
      <c r="AL201" s="50"/>
      <c r="AM201" s="177" t="str">
        <f t="shared" si="96"/>
        <v>start /low /b %USERPROFILE%\Documents\GitHub\eaglep3\Utilities\DownloadLogsFromS3.py --loco 4039 --day 2017-01-19</v>
      </c>
      <c r="AN201" s="186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"%USERPROFILE%\AppData\Local\Temp\OnboardLogs"\RTDC4039\*4039*20170120* | grep -SE "(Enforcement Action)|(\[TIMEOUT)|(CHR.+\|PRM\|1\|D.+(SWITCH|SIGNAL).+UNKNOWN)" - &gt;&gt; 2017-01-19-UncaughtWiMAX.txt</v>
      </c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x14ac:dyDescent="0.25">
      <c r="A202" s="34" t="s">
        <v>692</v>
      </c>
      <c r="B202" s="7">
        <v>4040</v>
      </c>
      <c r="C202" s="22" t="s">
        <v>196</v>
      </c>
      <c r="D202" s="22" t="s">
        <v>721</v>
      </c>
      <c r="E202" s="13">
        <v>42754.87835648148</v>
      </c>
      <c r="F202" s="13">
        <v>42754.889768518522</v>
      </c>
      <c r="G202" s="7">
        <v>3</v>
      </c>
      <c r="H202" s="22" t="s">
        <v>829</v>
      </c>
      <c r="I202" s="13">
        <v>42754.90121527778</v>
      </c>
      <c r="J202" s="7">
        <v>5</v>
      </c>
      <c r="K202" s="105" t="str">
        <f t="shared" si="98"/>
        <v>4039/4040</v>
      </c>
      <c r="L202" s="22" t="str">
        <f>VLOOKUP(A202,'Trips&amp;Operators'!$C$1:$G$99999,5,FALSE)</f>
        <v>STORY SAMANTHA</v>
      </c>
      <c r="M202" s="6">
        <f t="shared" si="99"/>
        <v>1.1446759257523809E-2</v>
      </c>
      <c r="N202" s="7">
        <f t="shared" si="100"/>
        <v>16.483333330834284</v>
      </c>
      <c r="O202" s="7"/>
      <c r="P202" s="7"/>
      <c r="Q202" s="23"/>
      <c r="R202" s="23"/>
      <c r="S202" s="32">
        <f t="shared" si="101"/>
        <v>1</v>
      </c>
      <c r="T202" s="47" t="str">
        <f t="shared" si="102"/>
        <v>NorthBound</v>
      </c>
      <c r="U202" s="164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4" t="str">
        <f t="shared" si="65"/>
        <v>https://d0f6bd738d7f1b3e5a7ca70fe4ff75f0.us-east-1.aws.found.io/app/kibana#/discover/Steve-Slow-Train-Analysis-(2080s-and-2083s)?_g=(refreshInterval:(display:Off,pause:!f,section:0,value:0),time:(from:'2017-01-19T20:04:50-0700',mode:absolute,to:'2017-01-19T22:37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2" s="49" t="str">
        <f t="shared" si="103"/>
        <v>N</v>
      </c>
      <c r="X202" s="170">
        <f t="shared" si="97"/>
        <v>1</v>
      </c>
      <c r="Y202" s="64">
        <f t="shared" si="104"/>
        <v>4.53E-2</v>
      </c>
      <c r="Z202" s="64">
        <f t="shared" si="105"/>
        <v>5.8952</v>
      </c>
      <c r="AA202" s="64">
        <f t="shared" si="106"/>
        <v>5.8498999999999999</v>
      </c>
      <c r="AB202" s="61" t="e">
        <f>VLOOKUP(A202,Enforcements!$C$7:$K$15,8,0)</f>
        <v>#N/A</v>
      </c>
      <c r="AC202" s="57" t="e">
        <f>VLOOKUP(A202,Enforcements!$C$7:$E$15,3,0)</f>
        <v>#N/A</v>
      </c>
      <c r="AD202" s="58" t="str">
        <f t="shared" si="107"/>
        <v>0845-19</v>
      </c>
      <c r="AE202" s="87" t="str">
        <f t="shared" si="67"/>
        <v>aws s3 cp s3://rtdc.mdm.uploadarchive.raw/RTDC4040/ "%USERPROFILE%\AppData\Local\Temp\OnboardLogs"\RTDC4040\2017-01-19 --exclude "*" --recursive --include "*20170119*" &amp; "%USERPROFILE%\Documents\GitHub\mrs-test-scripts\Headless Mode &amp; Sideloading\WalkAndUnGZ.bat" "%USERPROFILE%\AppData\Local\Temp\OnboardLogs"\RTDC4040\2017-01-19 &amp; aws s3 cp s3://rtdc.mdm.uploadarchive.raw/RTDC4040/ "%USERPROFILE%\AppData\Local\Temp\OnboardLogs"\RTDC4040\2017-01-20 --exclude "*" --recursive --include "*20170120*" &amp; "%USERPROFILE%\Documents\GitHub\mrs-test-scripts\Headless Mode &amp; Sideloading\WalkAndUnGZ.bat" "%USERPROFILE%\AppData\Local\Temp\OnboardLogs"\RTDC4040\2017-01-20</v>
      </c>
      <c r="AF202" s="84" t="str">
        <f t="shared" si="68"/>
        <v>"C:\Program Files (x86)\AstroGrep\AstroGrep.exe" /spath="%USERPROFILE%\AppData\Local\Temp\OnboardLogs" /stypes="app*4040*20170120*" /stext=" 04:.+((SYSTEM_STATE.+slice.+state.+changed )|(ment ac)|(multiple cpu faults)|(system.+state.+changed )|(\[timeout)|(PRM\|1\|D)|(kpr)|(kdp)|(\|lc)|(penalty))" /e /r /s</v>
      </c>
      <c r="AG202" s="1" t="str">
        <f t="shared" si="108"/>
        <v>NW</v>
      </c>
      <c r="AH202" s="88" t="str">
        <f t="shared" si="94"/>
        <v>"%USERPROFILE%\Documents\GitHub\eaglep3\Utilities\RefineRTDCRunTimes.py" --tripid 845-19 --locoid 4040 --swversion DE.1.0.8.0 --startMP 204:453 --initTime 2017-01-19T21:04:50 --startdatetime 2017-01-19T21:21:16 --delay 3 --endMP 300:58952 --enddatetime 2017-01-19T21:37:45 --enforcementcount 5 &gt;&gt;C:\Users\stu\Documents\GitHub\eaglep3-reporting\EC\2017-01-19-refined-times.txt</v>
      </c>
      <c r="AI202" s="115" t="str">
        <f t="shared" si="95"/>
        <v>echo {"issue":{"subject":"","project_id":79,"tracker_id":40,"status_id":1,"priority_id":2,"assigned_to_id":23,"start_date":"2017-01-19","description":"","custom_fields":[{"id":1,"name":"Subdivision","value":"NW"},{"id":4,"name":"Milepost","value":"5.8952"},{"id":17,"name":"Train ID","value":"845-19"},{"id":16,"name":"Locomotive ID","value":"4040"},{"id":130,"name":"Impact","value":""},{"id":150,"name":"Time of Event (Mountain Time)","value":"21:37:45"},{"id":151,"name":"Denver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0"/>
      <c r="AK202" s="50"/>
      <c r="AL202" s="50"/>
      <c r="AM202" s="177" t="str">
        <f t="shared" si="96"/>
        <v>start /low /b %USERPROFILE%\Documents\GitHub\eaglep3\Utilities\DownloadLogsFromS3.py --loco 4040 --day 2017-01-19</v>
      </c>
      <c r="AN202" s="186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"%USERPROFILE%\AppData\Local\Temp\OnboardLogs"\RTDC4040\*4040*20170120* | grep -SE "(Enforcement Action)|(\[TIMEOUT)|(CHR.+\|PRM\|1\|D.+(SWITCH|SIGNAL).+UNKNOWN)" - &gt;&gt; 2017-01-19-UncaughtWiMAX.txt</v>
      </c>
    </row>
    <row r="203" spans="1:91" x14ac:dyDescent="0.25">
      <c r="A203" s="34" t="s">
        <v>693</v>
      </c>
      <c r="B203" s="7">
        <v>4040</v>
      </c>
      <c r="C203" s="22" t="s">
        <v>196</v>
      </c>
      <c r="D203" s="22" t="s">
        <v>835</v>
      </c>
      <c r="E203" s="13">
        <v>42754.950023148151</v>
      </c>
      <c r="F203" s="13">
        <v>42754.950787037036</v>
      </c>
      <c r="G203" s="7">
        <v>0</v>
      </c>
      <c r="H203" s="22" t="s">
        <v>395</v>
      </c>
      <c r="I203" s="13">
        <v>42754.960497685184</v>
      </c>
      <c r="J203" s="7">
        <v>5</v>
      </c>
      <c r="K203" s="105" t="str">
        <f t="shared" si="98"/>
        <v>4039/4040</v>
      </c>
      <c r="L203" s="22" t="str">
        <f>VLOOKUP(A203,'Trips&amp;Operators'!$C$1:$G$99999,5,FALSE)</f>
        <v>STORY SAMANTHA</v>
      </c>
      <c r="M203" s="6">
        <f t="shared" si="99"/>
        <v>9.710648148029577E-3</v>
      </c>
      <c r="N203" s="7">
        <f t="shared" si="100"/>
        <v>13.983333333162591</v>
      </c>
      <c r="O203" s="7"/>
      <c r="P203" s="7"/>
      <c r="Q203" s="23"/>
      <c r="R203" s="23" t="s">
        <v>897</v>
      </c>
      <c r="S203" s="32">
        <f t="shared" si="101"/>
        <v>1</v>
      </c>
      <c r="T203" s="47" t="str">
        <f t="shared" si="102"/>
        <v>NorthBound</v>
      </c>
      <c r="U203" s="164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4" t="str">
        <f t="shared" si="65"/>
        <v>https://d0f6bd738d7f1b3e5a7ca70fe4ff75f0.us-east-1.aws.found.io/app/kibana#/discover/Steve-Slow-Train-Analysis-(2080s-and-2083s)?_g=(refreshInterval:(display:Off,pause:!f,section:0,value:0),time:(from:'2017-01-19T21:48:02-0700',mode:absolute,to:'2017-01-20T00:03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3" s="49" t="str">
        <f t="shared" si="103"/>
        <v>Y</v>
      </c>
      <c r="X203" s="170">
        <f t="shared" si="97"/>
        <v>2</v>
      </c>
      <c r="Y203" s="64">
        <f t="shared" si="104"/>
        <v>0.53510000000000002</v>
      </c>
      <c r="Z203" s="64">
        <f t="shared" si="105"/>
        <v>5.8943000000000003</v>
      </c>
      <c r="AA203" s="64">
        <f t="shared" si="106"/>
        <v>5.3592000000000004</v>
      </c>
      <c r="AB203" s="61" t="e">
        <f>VLOOKUP(A203,Enforcements!$C$7:$K$15,8,0)</f>
        <v>#N/A</v>
      </c>
      <c r="AC203" s="57" t="e">
        <f>VLOOKUP(A203,Enforcements!$C$7:$E$15,3,0)</f>
        <v>#N/A</v>
      </c>
      <c r="AD203" s="58" t="str">
        <f t="shared" si="107"/>
        <v>0847-19</v>
      </c>
      <c r="AE203" s="87" t="str">
        <f t="shared" si="67"/>
        <v>aws s3 cp s3://rtdc.mdm.uploadarchive.raw/RTDC4040/ "%USERPROFILE%\AppData\Local\Temp\OnboardLogs"\RTDC4040\2017-01-19 --exclude "*" --recursive --include "*20170119*" &amp; "%USERPROFILE%\Documents\GitHub\mrs-test-scripts\Headless Mode &amp; Sideloading\WalkAndUnGZ.bat" "%USERPROFILE%\AppData\Local\Temp\OnboardLogs"\RTDC4040\2017-01-19 &amp; aws s3 cp s3://rtdc.mdm.uploadarchive.raw/RTDC4040/ "%USERPROFILE%\AppData\Local\Temp\OnboardLogs"\RTDC4040\2017-01-20 --exclude "*" --recursive --include "*20170120*" &amp; "%USERPROFILE%\Documents\GitHub\mrs-test-scripts\Headless Mode &amp; Sideloading\WalkAndUnGZ.bat" "%USERPROFILE%\AppData\Local\Temp\OnboardLogs"\RTDC4040\2017-01-20</v>
      </c>
      <c r="AF203" s="84" t="str">
        <f t="shared" si="68"/>
        <v>"C:\Program Files (x86)\AstroGrep\AstroGrep.exe" /spath="%USERPROFILE%\AppData\Local\Temp\OnboardLogs" /stypes="app*4040*20170120*" /stext=" 06:.+((SYSTEM_STATE.+slice.+state.+changed )|(ment ac)|(multiple cpu faults)|(system.+state.+changed )|(\[timeout)|(PRM\|1\|D)|(kpr)|(kdp)|(\|lc)|(penalty))" /e /r /s</v>
      </c>
      <c r="AG203" s="1" t="str">
        <f t="shared" si="108"/>
        <v>NW</v>
      </c>
      <c r="AH203" s="88" t="str">
        <f t="shared" si="94"/>
        <v>"%USERPROFILE%\Documents\GitHub\eaglep3\Utilities\RefineRTDCRunTimes.py" --tripid 847-19 --locoid 4040 --swversion DE.1.0.8.0 --startMP 300:5351 --initTime 2017-01-19T22:48:02 --startdatetime 2017-01-19T22:49:08 --delay 0 --endMP 300:58943 --enddatetime 2017-01-19T23:03:07 --enforcementcount 5 &gt;&gt;C:\Users\stu\Documents\GitHub\eaglep3-reporting\EC\2017-01-19-refined-times.txt</v>
      </c>
      <c r="AI203" s="115" t="str">
        <f t="shared" si="95"/>
        <v>echo {"issue":{"subject":"DUS SW 7 out of correspondence (switch failure)","project_id":79,"tracker_id":40,"status_id":1,"priority_id":2,"assigned_to_id":23,"start_date":"2017-01-19","description":"","custom_fields":[{"id":1,"name":"Subdivision","value":"NW"},{"id":4,"name":"Milepost","value":"5.8943"},{"id":17,"name":"Train ID","value":"847-19"},{"id":16,"name":"Locomotive ID","value":"4040"},{"id":130,"name":"Impact","value":""},{"id":150,"name":"Time of Event (Mountain Time)","value":"23:03:07"},{"id":151,"name":"Denver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0"/>
      <c r="AK203" s="50"/>
      <c r="AL203" s="50"/>
      <c r="AM203" s="177" t="str">
        <f t="shared" si="96"/>
        <v>start /low /b %USERPROFILE%\Documents\GitHub\eaglep3\Utilities\DownloadLogsFromS3.py --loco 4040 --day 2017-01-19</v>
      </c>
      <c r="AN203" s="186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"%USERPROFILE%\AppData\Local\Temp\OnboardLogs"\RTDC4040\*4040*20170120* | grep -SE "(Enforcement Action)|(\[TIMEOUT)|(CHR.+\|PRM\|1\|D.+(SWITCH|SIGNAL).+UNKNOWN)" - &gt;&gt; 2017-01-19-UncaughtWiMAX.txt</v>
      </c>
    </row>
    <row r="204" spans="1:91" x14ac:dyDescent="0.25">
      <c r="A204" s="34" t="s">
        <v>675</v>
      </c>
      <c r="B204" s="7">
        <v>4011</v>
      </c>
      <c r="C204" s="22" t="s">
        <v>196</v>
      </c>
      <c r="D204" s="22" t="s">
        <v>297</v>
      </c>
      <c r="E204" s="13">
        <v>42754.780729166669</v>
      </c>
      <c r="F204" s="13">
        <v>42754.791724537034</v>
      </c>
      <c r="G204" s="7">
        <v>1</v>
      </c>
      <c r="H204" s="22" t="s">
        <v>331</v>
      </c>
      <c r="I204" s="13">
        <v>42754.797615740739</v>
      </c>
      <c r="J204" s="7">
        <v>5</v>
      </c>
      <c r="K204" s="105" t="str">
        <f t="shared" si="98"/>
        <v>4011/4012</v>
      </c>
      <c r="L204" s="22" t="str">
        <f>VLOOKUP(A204,'Trips&amp;Operators'!$C$1:$G$99999,5,FALSE)</f>
        <v>SMITH MICHAEL</v>
      </c>
      <c r="M204" s="6">
        <f t="shared" si="99"/>
        <v>5.8912037056870759E-3</v>
      </c>
      <c r="N204" s="7">
        <f t="shared" si="100"/>
        <v>8.4833333361893892</v>
      </c>
      <c r="O204" s="7"/>
      <c r="P204" s="7"/>
      <c r="Q204" s="23"/>
      <c r="R204" s="23"/>
      <c r="S204" s="32">
        <f t="shared" si="101"/>
        <v>1</v>
      </c>
      <c r="T204" s="47" t="str">
        <f t="shared" si="102"/>
        <v>NorthBound</v>
      </c>
      <c r="U204" s="164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4" t="str">
        <f t="shared" si="65"/>
        <v>https://d0f6bd738d7f1b3e5a7ca70fe4ff75f0.us-east-1.aws.found.io/app/kibana#/discover/Steve-Slow-Train-Analysis-(2080s-and-2083s)?_g=(refreshInterval:(display:Off,pause:!f,section:0,value:0),time:(from:'2017-01-19T17:44:15-0700',mode:absolute,to:'2017-01-19T20:08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4" s="49" t="str">
        <f t="shared" si="103"/>
        <v>Y</v>
      </c>
      <c r="X204" s="170">
        <f t="shared" si="97"/>
        <v>-544</v>
      </c>
      <c r="Y204" s="64">
        <f t="shared" si="104"/>
        <v>4.5999999999999999E-2</v>
      </c>
      <c r="Z204" s="64">
        <f t="shared" si="105"/>
        <v>2.3302</v>
      </c>
      <c r="AA204" s="64">
        <f t="shared" si="106"/>
        <v>2.2842000000000002</v>
      </c>
      <c r="AB204" s="61" t="e">
        <f>VLOOKUP(A204,Enforcements!$C$7:$K$15,8,0)</f>
        <v>#N/A</v>
      </c>
      <c r="AC204" s="57" t="e">
        <f>VLOOKUP(A204,Enforcements!$C$7:$E$15,3,0)</f>
        <v>#N/A</v>
      </c>
      <c r="AD204" s="58" t="str">
        <f t="shared" si="107"/>
        <v>0303-19</v>
      </c>
      <c r="AE204" s="87" t="str">
        <f t="shared" si="67"/>
        <v>aws s3 cp s3://rtdc.mdm.uploadarchive.raw/RTDC4011/ "%USERPROFILE%\AppData\Local\Temp\OnboardLogs"\RTDC4011\2017-01-19 --exclude "*" --recursive --include "*20170119*" &amp; "%USERPROFILE%\Documents\GitHub\mrs-test-scripts\Headless Mode &amp; Sideloading\WalkAndUnGZ.bat" "%USERPROFILE%\AppData\Local\Temp\OnboardLogs"\RTDC4011\2017-01-19 &amp; aws s3 cp s3://rtdc.mdm.uploadarchive.raw/RTDC4011/ "%USERPROFILE%\AppData\Local\Temp\OnboardLogs"\RTDC4011\2017-01-20 --exclude "*" --recursive --include "*20170120*" &amp; "%USERPROFILE%\Documents\GitHub\mrs-test-scripts\Headless Mode &amp; Sideloading\WalkAndUnGZ.bat" "%USERPROFILE%\AppData\Local\Temp\OnboardLogs"\RTDC4011\2017-01-20</v>
      </c>
      <c r="AF204" s="84" t="str">
        <f t="shared" si="68"/>
        <v>"C:\Program Files (x86)\AstroGrep\AstroGrep.exe" /spath="%USERPROFILE%\AppData\Local\Temp\OnboardLogs" /stypes="app*4011*20170120*" /stext=" 02:.+((SYSTEM_STATE.+slice.+state.+changed )|(ment ac)|(multiple cpu faults)|(system.+state.+changed )|(\[timeout)|(PRM\|1\|D)|(kpr)|(kdp)|(\|lc)|(penalty))" /e /r /s</v>
      </c>
      <c r="AG204" s="1" t="str">
        <f t="shared" si="108"/>
        <v>Other</v>
      </c>
      <c r="AH204" s="88" t="str">
        <f t="shared" si="94"/>
        <v>"%USERPROFILE%\Documents\GitHub\eaglep3\Utilities\RefineRTDCRunTimes.py" --tripid 303-19 --locoid 4011 --swversion DE.1.0.8.0 --startMP 204:460 --initTime 2017-01-19T18:44:15 --startdatetime 2017-01-19T19:00:05 --delay 1 --endMP 300:23302 --enddatetime 2017-01-19T19:08:34 --enforcementcount 5 &gt;&gt;C:\Users\stu\Documents\GitHub\eaglep3-reporting\EC\2017-01-19-refined-times.txt</v>
      </c>
      <c r="AI204" s="115" t="str">
        <f t="shared" si="95"/>
        <v>echo {"issue":{"subject":"","project_id":79,"tracker_id":40,"status_id":1,"priority_id":2,"assigned_to_id":23,"start_date":"2017-01-19","description":"","custom_fields":[{"id":1,"name":"Subdivision","value":"Other"},{"id":4,"name":"Milepost","value":"2.3302"},{"id":17,"name":"Train ID","value":"303-19"},{"id":16,"name":"Locomotive ID","value":"4011"},{"id":130,"name":"Impact","value":""},{"id":150,"name":"Time of Event (Mountain Time)","value":"19:08:34"},{"id":151,"name":"Denver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0"/>
      <c r="AK204" s="50"/>
      <c r="AL204" s="50"/>
      <c r="AM204" s="177" t="str">
        <f t="shared" si="96"/>
        <v>start /low /b %USERPROFILE%\Documents\GitHub\eaglep3\Utilities\DownloadLogsFromS3.py --loco 4011 --day 2017-01-19</v>
      </c>
      <c r="AN204" s="186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"%USERPROFILE%\AppData\Local\Temp\OnboardLogs"\RTDC4011\*4011*20170120* | grep -SE "(Enforcement Action)|(\[TIMEOUT)|(CHR.+\|PRM\|1\|D.+(SWITCH|SIGNAL).+UNKNOWN)" - &gt;&gt; 2017-01-19-UncaughtWiMAX.txt</v>
      </c>
    </row>
    <row r="205" spans="1:91" s="21" customFormat="1" x14ac:dyDescent="0.25">
      <c r="A205" s="34" t="s">
        <v>506</v>
      </c>
      <c r="B205" s="7">
        <v>4015</v>
      </c>
      <c r="C205" s="22" t="s">
        <v>196</v>
      </c>
      <c r="D205" s="22" t="s">
        <v>759</v>
      </c>
      <c r="E205" s="13">
        <v>42754.142824074072</v>
      </c>
      <c r="F205" s="13">
        <v>42754.144259259258</v>
      </c>
      <c r="G205" s="7">
        <v>1</v>
      </c>
      <c r="H205" s="22" t="s">
        <v>760</v>
      </c>
      <c r="I205" s="13">
        <v>42754.149953703702</v>
      </c>
      <c r="J205" s="7">
        <v>5</v>
      </c>
      <c r="K205" s="105" t="str">
        <f t="shared" si="98"/>
        <v>4015/4016</v>
      </c>
      <c r="L205" s="22" t="str">
        <f>VLOOKUP(A205,'Trips&amp;Operators'!$C$1:$G$99999,5,FALSE)</f>
        <v>ACKERMAN JARED</v>
      </c>
      <c r="M205" s="6">
        <f t="shared" si="99"/>
        <v>5.694444444088731E-3</v>
      </c>
      <c r="N205" s="7">
        <f t="shared" si="100"/>
        <v>8.1999999994877726</v>
      </c>
      <c r="O205" s="7"/>
      <c r="P205" s="7"/>
      <c r="Q205" s="23"/>
      <c r="R205" s="23"/>
      <c r="S205" s="32">
        <f t="shared" si="101"/>
        <v>1</v>
      </c>
      <c r="T205" s="47" t="str">
        <f t="shared" si="102"/>
        <v>Southbound</v>
      </c>
      <c r="U205" s="164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4" t="str">
        <f t="shared" ref="V205:V241" si="109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-01-19T02:25:40-0700',mode:absolute,to:'2017-01-19T04:35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5" s="49" t="str">
        <f t="shared" si="103"/>
        <v>Y</v>
      </c>
      <c r="X205" s="170">
        <f t="shared" si="97"/>
        <v>1</v>
      </c>
      <c r="Y205" s="64">
        <f t="shared" si="104"/>
        <v>2.2357</v>
      </c>
      <c r="Z205" s="64">
        <f t="shared" si="105"/>
        <v>1.14E-2</v>
      </c>
      <c r="AA205" s="64">
        <f t="shared" si="106"/>
        <v>2.2242999999999999</v>
      </c>
      <c r="AB205" s="61" t="e">
        <f>VLOOKUP(A205,Enforcements!$C$7:$K$15,8,0)</f>
        <v>#N/A</v>
      </c>
      <c r="AC205" s="57" t="e">
        <f>VLOOKUP(A205,Enforcements!$C$7:$E$15,3,0)</f>
        <v>#N/A</v>
      </c>
      <c r="AD205" s="58" t="str">
        <f t="shared" si="107"/>
        <v>0304-19</v>
      </c>
      <c r="AE205" s="87" t="str">
        <f t="shared" ref="AE205:AE241" si="110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s3://rtdc.mdm.uploadarchive.raw/RTDC4015/ "%USERPROFILE%\AppData\Local\Temp\OnboardLogs"\RTDC4015\2017-01-19 --exclude "*" --recursive --include "*20170119*" &amp; "%USERPROFILE%\Documents\GitHub\mrs-test-scripts\Headless Mode &amp; Sideloading\WalkAndUnGZ.bat" "%USERPROFILE%\AppData\Local\Temp\OnboardLogs"\RTDC4015\2017-01-19 &amp; aws s3 cp s3://rtdc.mdm.uploadarchive.raw/RTDC4015/ "%USERPROFILE%\AppData\Local\Temp\OnboardLogs"\RTDC4015\2017-01-20 --exclude "*" --recursive --include "*20170120*" &amp; "%USERPROFILE%\Documents\GitHub\mrs-test-scripts\Headless Mode &amp; Sideloading\WalkAndUnGZ.bat" "%USERPROFILE%\AppData\Local\Temp\OnboardLogs"\RTDC4015\2017-01-20</v>
      </c>
      <c r="AF205" s="84" t="str">
        <f t="shared" ref="AF205:AF241" si="111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/stypes="app*4015*20170119*" /stext=" 10:.+((SYSTEM_STATE.+slice.+state.+changed )|(ment ac)|(multiple cpu faults)|(system.+state.+changed )|(\[timeout)|(PRM\|1\|D)|(kpr)|(kdp)|(\|lc)|(penalty))" /e /r /s</v>
      </c>
      <c r="AG205" s="1" t="str">
        <f t="shared" si="108"/>
        <v>Other</v>
      </c>
      <c r="AH205" s="88" t="str">
        <f t="shared" si="94"/>
        <v>"%USERPROFILE%\Documents\GitHub\eaglep3\Utilities\RefineRTDCRunTimes.py" --tripid 304-19 --locoid 4015 --swversion DE.1.0.8.0 --startMP 300:22357 --initTime 2017-01-19T03:25:40 --startdatetime 2017-01-19T03:27:44 --delay 1 --endMP 204:114 --enddatetime 2017-01-19T03:35:56 --enforcementcount 5 &gt;&gt;C:\Users\stu\Documents\GitHub\eaglep3-reporting\EC\2017-01-19-refined-times.txt</v>
      </c>
      <c r="AI205" s="115" t="str">
        <f t="shared" si="95"/>
        <v>echo {"issue":{"subject":"","project_id":79,"tracker_id":40,"status_id":1,"priority_id":2,"assigned_to_id":23,"start_date":"2017-01-19","description":"","custom_fields":[{"id":1,"name":"Subdivision","value":"Other"},{"id":4,"name":"Milepost","value":"0.0114"},{"id":17,"name":"Train ID","value":"304-19"},{"id":16,"name":"Locomotive ID","value":"4015"},{"id":130,"name":"Impact","value":""},{"id":150,"name":"Time of Event (Mountain Time)","value":"03:35:56"},{"id":151,"name":"Denver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0"/>
      <c r="AK205" s="50"/>
      <c r="AL205" s="50"/>
      <c r="AM205" s="177" t="str">
        <f t="shared" si="96"/>
        <v>start /low /b %USERPROFILE%\Documents\GitHub\eaglep3\Utilities\DownloadLogsFromS3.py --loco 4015 --day 2017-01-19</v>
      </c>
      <c r="AN205" s="186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"%USERPROFILE%\AppData\Local\Temp\OnboardLogs"\RTDC4015\*4015*20170119* | grep -SE "(Enforcement Action)|(\[TIMEOUT)|(CHR.+\|PRM\|1\|D.+(SWITCH|SIGNAL).+UNKNOWN)" - &gt;&gt; 2017-01-19-UncaughtWiMAX.txt</v>
      </c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x14ac:dyDescent="0.25">
      <c r="A206" s="34" t="s">
        <v>681</v>
      </c>
      <c r="B206" s="7">
        <v>4044</v>
      </c>
      <c r="C206" s="22" t="s">
        <v>196</v>
      </c>
      <c r="D206" s="22" t="s">
        <v>761</v>
      </c>
      <c r="E206" s="13">
        <v>42754.798148148147</v>
      </c>
      <c r="F206" s="13">
        <v>25568.708333333332</v>
      </c>
      <c r="G206" s="7">
        <v>1</v>
      </c>
      <c r="H206" s="22" t="s">
        <v>329</v>
      </c>
      <c r="I206" s="13">
        <v>25568.708333333332</v>
      </c>
      <c r="J206" s="7">
        <v>5</v>
      </c>
      <c r="K206" s="105" t="str">
        <f t="shared" si="98"/>
        <v>4043/4044</v>
      </c>
      <c r="L206" s="22" t="str">
        <f>VLOOKUP(A206,'Trips&amp;Operators'!$C$1:$G$99999,5,FALSE)</f>
        <v>CRAYTON QUNTRELL</v>
      </c>
      <c r="M206" s="6">
        <f t="shared" si="99"/>
        <v>0</v>
      </c>
      <c r="N206" s="7">
        <f t="shared" si="100"/>
        <v>0</v>
      </c>
      <c r="O206" s="7"/>
      <c r="P206" s="7"/>
      <c r="Q206" s="23"/>
      <c r="R206" s="23"/>
      <c r="S206" s="32">
        <f t="shared" si="101"/>
        <v>1</v>
      </c>
      <c r="T206" s="47" t="str">
        <f t="shared" si="102"/>
        <v>NorthBound</v>
      </c>
      <c r="U206" s="164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4" t="str">
        <f t="shared" si="109"/>
        <v>https://d0f6bd738d7f1b3e5a7ca70fe4ff75f0.us-east-1.aws.found.io/app/kibana#/discover/Steve-Slow-Train-Analysis-(2080s-and-2083s)?_g=(refreshInterval:(display:Off,pause:!f,section:0,value:0),time:(from:'2017-01-19T18:09:20-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6" s="49" t="str">
        <f t="shared" si="103"/>
        <v>Y</v>
      </c>
      <c r="X206" s="170">
        <f t="shared" si="97"/>
        <v>1</v>
      </c>
      <c r="Y206" s="64">
        <f t="shared" si="104"/>
        <v>4.8399999999999999E-2</v>
      </c>
      <c r="Z206" s="64">
        <f t="shared" si="105"/>
        <v>2.3308</v>
      </c>
      <c r="AA206" s="64">
        <f t="shared" si="106"/>
        <v>2.2824</v>
      </c>
      <c r="AB206" s="61" t="e">
        <f>VLOOKUP(A206,Enforcements!$C$7:$K$15,8,0)</f>
        <v>#N/A</v>
      </c>
      <c r="AC206" s="57" t="e">
        <f>VLOOKUP(A206,Enforcements!$C$7:$E$15,3,0)</f>
        <v>#N/A</v>
      </c>
      <c r="AD206" s="58" t="str">
        <f t="shared" si="107"/>
        <v>0305-19</v>
      </c>
      <c r="AE206" s="87" t="str">
        <f t="shared" si="110"/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206" s="84" t="str">
        <f t="shared" si="111"/>
        <v>"C:\Program Files (x86)\AstroGrep\AstroGrep.exe" /spath="%USERPROFILE%\AppData\Local\Temp\OnboardLogs" /stypes="app*4044*19700101*" /stext=" 00:.+((SYSTEM_STATE.+slice.+state.+changed )|(ment ac)|(multiple cpu faults)|(system.+state.+changed )|(\[timeout)|(PRM\|1\|D)|(kpr)|(kdp)|(\|lc)|(penalty))" /e /r /s</v>
      </c>
      <c r="AG206" s="1" t="str">
        <f t="shared" si="108"/>
        <v>Other</v>
      </c>
      <c r="AH206" s="88" t="str">
        <f t="shared" si="94"/>
        <v>"%USERPROFILE%\Documents\GitHub\eaglep3\Utilities\RefineRTDCRunTimes.py" --tripid 305-19 --locoid 4044 --swversion DE.1.0.8.0 --startMP 204:484 --initTime 2017-01-19T19:09:20 --startdatetime 1969-12-31T17:00:00 --delay 1 --endMP 300:23308 --enddatetime 1969-12-31T17:00:00 --enforcementcount 5 &gt;&gt;C:\Users\stu\Documents\GitHub\eaglep3-reporting\EC\2017-01-19-refined-times.txt</v>
      </c>
      <c r="AI206" s="115" t="str">
        <f t="shared" si="95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ID","value":"305-19"},{"id":16,"name":"Locomotive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0"/>
      <c r="AK206" s="50"/>
      <c r="AL206" s="50"/>
      <c r="AM206" s="177" t="str">
        <f t="shared" si="96"/>
        <v>start /low /b %USERPROFILE%\Documents\GitHub\eaglep3\Utilities\DownloadLogsFromS3.py --loco 4044 --day 1969-12-31</v>
      </c>
      <c r="AN206" s="186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"%USERPROFILE%\AppData\Local\Temp\OnboardLogs"\RTDC4044\*4044*19700101* | grep -SE "(Enforcement Action)|(\[TIMEOUT)|(CHR.+\|PRM\|1\|D.+(SWITCH|SIGNAL).+UNKNOWN)" - &gt;&gt; 2017-01-19-UncaughtWiMAX.txt</v>
      </c>
    </row>
    <row r="207" spans="1:91" x14ac:dyDescent="0.25">
      <c r="A207" s="34" t="s">
        <v>510</v>
      </c>
      <c r="B207" s="7">
        <v>4030</v>
      </c>
      <c r="C207" s="22" t="s">
        <v>196</v>
      </c>
      <c r="D207" s="22" t="s">
        <v>762</v>
      </c>
      <c r="E207" s="13">
        <v>42754.154861111114</v>
      </c>
      <c r="F207" s="13">
        <v>42754.157581018517</v>
      </c>
      <c r="G207" s="7">
        <v>3</v>
      </c>
      <c r="H207" s="22" t="s">
        <v>227</v>
      </c>
      <c r="I207" s="13">
        <v>42754.165000000001</v>
      </c>
      <c r="J207" s="7">
        <v>5</v>
      </c>
      <c r="K207" s="105" t="str">
        <f t="shared" si="98"/>
        <v>4029/4030</v>
      </c>
      <c r="L207" s="22" t="str">
        <f>VLOOKUP(A207,'Trips&amp;Operators'!$C$1:$G$99999,5,FALSE)</f>
        <v>ROBINSON KADDIBA</v>
      </c>
      <c r="M207" s="6">
        <f t="shared" si="99"/>
        <v>7.4189814840792678E-3</v>
      </c>
      <c r="N207" s="7">
        <f t="shared" si="100"/>
        <v>10.683333337074146</v>
      </c>
      <c r="O207" s="7"/>
      <c r="P207" s="7"/>
      <c r="Q207" s="23"/>
      <c r="R207" s="23"/>
      <c r="S207" s="32">
        <f t="shared" si="101"/>
        <v>1</v>
      </c>
      <c r="T207" s="47" t="str">
        <f t="shared" si="102"/>
        <v>Southbound</v>
      </c>
      <c r="U207" s="164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4" t="str">
        <f t="shared" si="109"/>
        <v>https://d0f6bd738d7f1b3e5a7ca70fe4ff75f0.us-east-1.aws.found.io/app/kibana#/discover/Steve-Slow-Train-Analysis-(2080s-and-2083s)?_g=(refreshInterval:(display:Off,pause:!f,section:0,value:0),time:(from:'2017-01-19T02:43:00-0700',mode:absolute,to:'2017-01-19T04:57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7" s="49" t="str">
        <f t="shared" si="103"/>
        <v>Y</v>
      </c>
      <c r="X207" s="170">
        <f t="shared" si="97"/>
        <v>1</v>
      </c>
      <c r="Y207" s="64">
        <f t="shared" si="104"/>
        <v>2.2166000000000001</v>
      </c>
      <c r="Z207" s="64">
        <f t="shared" si="105"/>
        <v>1.5599999999999999E-2</v>
      </c>
      <c r="AA207" s="64">
        <f t="shared" si="106"/>
        <v>2.2010000000000001</v>
      </c>
      <c r="AB207" s="61" t="e">
        <f>VLOOKUP(A207,Enforcements!$C$7:$K$15,8,0)</f>
        <v>#N/A</v>
      </c>
      <c r="AC207" s="57" t="e">
        <f>VLOOKUP(A207,Enforcements!$C$7:$E$15,3,0)</f>
        <v>#N/A</v>
      </c>
      <c r="AD207" s="58" t="str">
        <f t="shared" si="107"/>
        <v>0306-19</v>
      </c>
      <c r="AE207" s="87" t="str">
        <f t="shared" si="110"/>
        <v>aws s3 cp s3://rtdc.mdm.uploadarchive.raw/RTDC4030/ "%USERPROFILE%\AppData\Local\Temp\OnboardLogs"\RTDC4030\2017-01-19 --exclude "*" --recursive --include "*20170119*" &amp; "%USERPROFILE%\Documents\GitHub\mrs-test-scripts\Headless Mode &amp; Sideloading\WalkAndUnGZ.bat" "%USERPROFILE%\AppData\Local\Temp\OnboardLogs"\RTDC4030\2017-01-19 &amp; aws s3 cp s3://rtdc.mdm.uploadarchive.raw/RTDC4030/ "%USERPROFILE%\AppData\Local\Temp\OnboardLogs"\RTDC4030\2017-01-20 --exclude "*" --recursive --include "*20170120*" &amp; "%USERPROFILE%\Documents\GitHub\mrs-test-scripts\Headless Mode &amp; Sideloading\WalkAndUnGZ.bat" "%USERPROFILE%\AppData\Local\Temp\OnboardLogs"\RTDC4030\2017-01-20</v>
      </c>
      <c r="AF207" s="84" t="str">
        <f t="shared" si="111"/>
        <v>"C:\Program Files (x86)\AstroGrep\AstroGrep.exe" /spath="%USERPROFILE%\AppData\Local\Temp\OnboardLogs" /stypes="app*4030*20170119*" /stext=" 10:.+((SYSTEM_STATE.+slice.+state.+changed )|(ment ac)|(multiple cpu faults)|(system.+state.+changed )|(\[timeout)|(PRM\|1\|D)|(kpr)|(kdp)|(\|lc)|(penalty))" /e /r /s</v>
      </c>
      <c r="AG207" s="1" t="str">
        <f t="shared" si="108"/>
        <v>Other</v>
      </c>
      <c r="AH207" s="88" t="str">
        <f t="shared" si="94"/>
        <v>"%USERPROFILE%\Documents\GitHub\eaglep3\Utilities\RefineRTDCRunTimes.py" --tripid 306-19 --locoid 4030 --swversion DE.1.0.8.0 --startMP 300:22166 --initTime 2017-01-19T03:43:00 --startdatetime 2017-01-19T03:46:55 --delay 3 --endMP 204:156 --enddatetime 2017-01-19T03:57:36 --enforcementcount 5 &gt;&gt;C:\Users\stu\Documents\GitHub\eaglep3-reporting\EC\2017-01-19-refined-times.txt</v>
      </c>
      <c r="AI207" s="115" t="str">
        <f t="shared" si="95"/>
        <v>echo {"issue":{"subject":"","project_id":79,"tracker_id":40,"status_id":1,"priority_id":2,"assigned_to_id":23,"start_date":"2017-01-19","description":"","custom_fields":[{"id":1,"name":"Subdivision","value":"Other"},{"id":4,"name":"Milepost","value":"0.0156"},{"id":17,"name":"Train ID","value":"306-19"},{"id":16,"name":"Locomotive ID","value":"4030"},{"id":130,"name":"Impact","value":""},{"id":150,"name":"Time of Event (Mountain Time)","value":"03:57:36"},{"id":151,"name":"Denver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0"/>
      <c r="AK207" s="50"/>
      <c r="AL207" s="50"/>
      <c r="AM207" s="177" t="str">
        <f t="shared" si="96"/>
        <v>start /low /b %USERPROFILE%\Documents\GitHub\eaglep3\Utilities\DownloadLogsFromS3.py --loco 4030 --day 2017-01-19</v>
      </c>
      <c r="AN207" s="186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"%USERPROFILE%\AppData\Local\Temp\OnboardLogs"\RTDC4030\*4030*20170119* | grep -SE "(Enforcement Action)|(\[TIMEOUT)|(CHR.+\|PRM\|1\|D.+(SWITCH|SIGNAL).+UNKNOWN)" - &gt;&gt; 2017-01-19-UncaughtWiMAX.txt</v>
      </c>
    </row>
    <row r="208" spans="1:91" x14ac:dyDescent="0.25">
      <c r="A208" s="34" t="s">
        <v>684</v>
      </c>
      <c r="B208" s="7">
        <v>4016</v>
      </c>
      <c r="C208" s="22" t="s">
        <v>196</v>
      </c>
      <c r="D208" s="22" t="s">
        <v>286</v>
      </c>
      <c r="E208" s="13">
        <v>42754.82309027778</v>
      </c>
      <c r="F208" s="13">
        <v>42754.824687499997</v>
      </c>
      <c r="G208" s="7">
        <v>1</v>
      </c>
      <c r="H208" s="22" t="s">
        <v>763</v>
      </c>
      <c r="I208" s="13">
        <v>42754.831296296295</v>
      </c>
      <c r="J208" s="7">
        <v>5</v>
      </c>
      <c r="K208" s="105" t="str">
        <f t="shared" si="98"/>
        <v>4015/4016</v>
      </c>
      <c r="L208" s="22" t="str">
        <f>VLOOKUP(A208,'Trips&amp;Operators'!$C$1:$G$99999,5,FALSE)</f>
        <v>BRANDNER MELINDA</v>
      </c>
      <c r="M208" s="6">
        <f t="shared" si="99"/>
        <v>6.6087962986784987E-3</v>
      </c>
      <c r="N208" s="7">
        <f t="shared" si="100"/>
        <v>9.5166666700970381</v>
      </c>
      <c r="O208" s="7"/>
      <c r="P208" s="7"/>
      <c r="Q208" s="23"/>
      <c r="R208" s="23"/>
      <c r="S208" s="32">
        <f t="shared" si="101"/>
        <v>1</v>
      </c>
      <c r="T208" s="47" t="str">
        <f t="shared" si="102"/>
        <v>NorthBound</v>
      </c>
      <c r="U208" s="164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4" t="str">
        <f t="shared" si="109"/>
        <v>https://d0f6bd738d7f1b3e5a7ca70fe4ff75f0.us-east-1.aws.found.io/app/kibana#/discover/Steve-Slow-Train-Analysis-(2080s-and-2083s)?_g=(refreshInterval:(display:Off,pause:!f,section:0,value:0),time:(from:'2017-01-19T18:45:15-0700',mode:absolute,to:'2017-01-19T20:57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8" s="49" t="str">
        <f t="shared" si="103"/>
        <v>Y</v>
      </c>
      <c r="X208" s="170">
        <f t="shared" si="97"/>
        <v>1</v>
      </c>
      <c r="Y208" s="64">
        <f t="shared" si="104"/>
        <v>4.5699999999999998E-2</v>
      </c>
      <c r="Z208" s="64">
        <f t="shared" si="105"/>
        <v>3.1215999999999999</v>
      </c>
      <c r="AA208" s="64">
        <f t="shared" si="106"/>
        <v>3.0758999999999999</v>
      </c>
      <c r="AB208" s="61" t="e">
        <f>VLOOKUP(A208,Enforcements!$C$7:$K$15,8,0)</f>
        <v>#N/A</v>
      </c>
      <c r="AC208" s="57" t="e">
        <f>VLOOKUP(A208,Enforcements!$C$7:$E$15,3,0)</f>
        <v>#N/A</v>
      </c>
      <c r="AD208" s="58" t="str">
        <f t="shared" si="107"/>
        <v>0307-19</v>
      </c>
      <c r="AE208" s="87" t="str">
        <f t="shared" si="110"/>
        <v>aws s3 cp s3://rtdc.mdm.uploadarchive.raw/RTDC4016/ "%USERPROFILE%\AppData\Local\Temp\OnboardLogs"\RTDC4016\2017-01-19 --exclude "*" --recursive --include "*20170119*" &amp; "%USERPROFILE%\Documents\GitHub\mrs-test-scripts\Headless Mode &amp; Sideloading\WalkAndUnGZ.bat" "%USERPROFILE%\AppData\Local\Temp\OnboardLogs"\RTDC4016\2017-01-19 &amp; aws s3 cp s3://rtdc.mdm.uploadarchive.raw/RTDC4016/ "%USERPROFILE%\AppData\Local\Temp\OnboardLogs"\RTDC4016\2017-01-20 --exclude "*" --recursive --include "*20170120*" &amp; "%USERPROFILE%\Documents\GitHub\mrs-test-scripts\Headless Mode &amp; Sideloading\WalkAndUnGZ.bat" "%USERPROFILE%\AppData\Local\Temp\OnboardLogs"\RTDC4016\2017-01-20</v>
      </c>
      <c r="AF208" s="84" t="str">
        <f t="shared" si="111"/>
        <v>"C:\Program Files (x86)\AstroGrep\AstroGrep.exe" /spath="%USERPROFILE%\AppData\Local\Temp\OnboardLogs" /stypes="app*4016*20170120*" /stext=" 02:.+((SYSTEM_STATE.+slice.+state.+changed )|(ment ac)|(multiple cpu faults)|(system.+state.+changed )|(\[timeout)|(PRM\|1\|D)|(kpr)|(kdp)|(\|lc)|(penalty))" /e /r /s</v>
      </c>
      <c r="AG208" s="1" t="str">
        <f t="shared" si="108"/>
        <v>Other</v>
      </c>
      <c r="AH208" s="88" t="str">
        <f t="shared" si="94"/>
        <v>"%USERPROFILE%\Documents\GitHub\eaglep3\Utilities\RefineRTDCRunTimes.py" --tripid 307-19 --locoid 4016 --swversion DE.1.0.8.0 --startMP 204:457 --initTime 2017-01-19T19:45:15 --startdatetime 2017-01-19T19:47:33 --delay 1 --endMP 300:31216 --enddatetime 2017-01-19T19:57:04 --enforcementcount 5 &gt;&gt;C:\Users\stu\Documents\GitHub\eaglep3-reporting\EC\2017-01-19-refined-times.txt</v>
      </c>
      <c r="AI208" s="115" t="str">
        <f t="shared" si="95"/>
        <v>echo {"issue":{"subject":"","project_id":79,"tracker_id":40,"status_id":1,"priority_id":2,"assigned_to_id":23,"start_date":"2017-01-19","description":"","custom_fields":[{"id":1,"name":"Subdivision","value":"Other"},{"id":4,"name":"Milepost","value":"3.1216"},{"id":17,"name":"Train ID","value":"307-19"},{"id":16,"name":"Locomotive ID","value":"4016"},{"id":130,"name":"Impact","value":""},{"id":150,"name":"Time of Event (Mountain Time)","value":"19:57:04"},{"id":151,"name":"Denver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0"/>
      <c r="AK208" s="50"/>
      <c r="AL208" s="50"/>
      <c r="AM208" s="177" t="str">
        <f t="shared" si="96"/>
        <v>start /low /b %USERPROFILE%\Documents\GitHub\eaglep3\Utilities\DownloadLogsFromS3.py --loco 4016 --day 2017-01-19</v>
      </c>
      <c r="AN208" s="186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"%USERPROFILE%\AppData\Local\Temp\OnboardLogs"\RTDC4016\*4016*20170120* | grep -SE "(Enforcement Action)|(\[TIMEOUT)|(CHR.+\|PRM\|1\|D.+(SWITCH|SIGNAL).+UNKNOWN)" - &gt;&gt; 2017-01-19-UncaughtWiMAX.txt</v>
      </c>
    </row>
    <row r="209" spans="1:91" x14ac:dyDescent="0.25">
      <c r="A209" s="34" t="s">
        <v>513</v>
      </c>
      <c r="B209" s="7">
        <v>4021</v>
      </c>
      <c r="C209" s="22" t="s">
        <v>196</v>
      </c>
      <c r="D209" s="22" t="s">
        <v>764</v>
      </c>
      <c r="E209" s="13">
        <v>42754.165196759262</v>
      </c>
      <c r="F209" s="13">
        <v>42754.168090277781</v>
      </c>
      <c r="G209" s="7">
        <v>4</v>
      </c>
      <c r="H209" s="22" t="s">
        <v>227</v>
      </c>
      <c r="I209" s="13">
        <v>42754.180694444447</v>
      </c>
      <c r="J209" s="7">
        <v>5</v>
      </c>
      <c r="K209" s="105" t="str">
        <f t="shared" si="98"/>
        <v>4021/4022</v>
      </c>
      <c r="L209" s="22" t="str">
        <f>VLOOKUP(A209,'Trips&amp;Operators'!$C$1:$G$99999,5,FALSE)</f>
        <v>BEAM ROSS</v>
      </c>
      <c r="M209" s="6">
        <f t="shared" si="99"/>
        <v>1.2604166666278616E-2</v>
      </c>
      <c r="N209" s="7">
        <f t="shared" si="100"/>
        <v>18.149999999441206</v>
      </c>
      <c r="O209" s="7"/>
      <c r="P209" s="7"/>
      <c r="Q209" s="23"/>
      <c r="R209" s="23"/>
      <c r="S209" s="32">
        <f t="shared" si="101"/>
        <v>1</v>
      </c>
      <c r="T209" s="47" t="str">
        <f t="shared" si="102"/>
        <v>Southbound</v>
      </c>
      <c r="U209" s="164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4" t="str">
        <f t="shared" si="109"/>
        <v>https://d0f6bd738d7f1b3e5a7ca70fe4ff75f0.us-east-1.aws.found.io/app/kibana#/discover/Steve-Slow-Train-Analysis-(2080s-and-2083s)?_g=(refreshInterval:(display:Off,pause:!f,section:0,value:0),time:(from:'2017-01-19T02:57:53-0700',mode:absolute,to:'2017-01-19T05:20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9" s="49" t="str">
        <f t="shared" si="103"/>
        <v>Y</v>
      </c>
      <c r="X209" s="170">
        <f t="shared" si="97"/>
        <v>1</v>
      </c>
      <c r="Y209" s="64">
        <f t="shared" si="104"/>
        <v>1.9406000000000001</v>
      </c>
      <c r="Z209" s="64">
        <f t="shared" si="105"/>
        <v>1.5599999999999999E-2</v>
      </c>
      <c r="AA209" s="64">
        <f t="shared" si="106"/>
        <v>1.925</v>
      </c>
      <c r="AB209" s="61" t="e">
        <f>VLOOKUP(A209,Enforcements!$C$7:$K$15,8,0)</f>
        <v>#N/A</v>
      </c>
      <c r="AC209" s="57" t="e">
        <f>VLOOKUP(A209,Enforcements!$C$7:$E$15,3,0)</f>
        <v>#N/A</v>
      </c>
      <c r="AD209" s="58" t="str">
        <f t="shared" si="107"/>
        <v>0308-19</v>
      </c>
      <c r="AE209" s="87" t="str">
        <f t="shared" si="110"/>
        <v>aws s3 cp s3://rtdc.mdm.uploadarchive.raw/RTDC4021/ "%USERPROFILE%\AppData\Local\Temp\OnboardLogs"\RTDC4021\2017-01-19 --exclude "*" --recursive --include "*20170119*" &amp; "%USERPROFILE%\Documents\GitHub\mrs-test-scripts\Headless Mode &amp; Sideloading\WalkAndUnGZ.bat" "%USERPROFILE%\AppData\Local\Temp\OnboardLogs"\RTDC4021\2017-01-19 &amp; aws s3 cp s3://rtdc.mdm.uploadarchive.raw/RTDC4021/ "%USERPROFILE%\AppData\Local\Temp\OnboardLogs"\RTDC4021\2017-01-20 --exclude "*" --recursive --include "*20170120*" &amp; "%USERPROFILE%\Documents\GitHub\mrs-test-scripts\Headless Mode &amp; Sideloading\WalkAndUnGZ.bat" "%USERPROFILE%\AppData\Local\Temp\OnboardLogs"\RTDC4021\2017-01-20</v>
      </c>
      <c r="AF209" s="84" t="str">
        <f t="shared" si="111"/>
        <v>"C:\Program Files (x86)\AstroGrep\AstroGrep.exe" /spath="%USERPROFILE%\AppData\Local\Temp\OnboardLogs" /stypes="app*4021*20170119*" /stext=" 11:.+((SYSTEM_STATE.+slice.+state.+changed )|(ment ac)|(multiple cpu faults)|(system.+state.+changed )|(\[timeout)|(PRM\|1\|D)|(kpr)|(kdp)|(\|lc)|(penalty))" /e /r /s</v>
      </c>
      <c r="AG209" s="1" t="str">
        <f t="shared" si="108"/>
        <v>Other</v>
      </c>
      <c r="AH209" s="88" t="str">
        <f t="shared" si="94"/>
        <v>"%USERPROFILE%\Documents\GitHub\eaglep3\Utilities\RefineRTDCRunTimes.py" --tripid 308-19 --locoid 4021 --swversion DE.1.0.8.0 --startMP 300:19406 --initTime 2017-01-19T03:57:53 --startdatetime 2017-01-19T04:02:03 --delay 4 --endMP 204:156 --enddatetime 2017-01-19T04:20:12 --enforcementcount 5 &gt;&gt;C:\Users\stu\Documents\GitHub\eaglep3-reporting\EC\2017-01-19-refined-times.txt</v>
      </c>
      <c r="AI209" s="115" t="str">
        <f t="shared" si="95"/>
        <v>echo {"issue":{"subject":"","project_id":79,"tracker_id":40,"status_id":1,"priority_id":2,"assigned_to_id":23,"start_date":"2017-01-19","description":"","custom_fields":[{"id":1,"name":"Subdivision","value":"Other"},{"id":4,"name":"Milepost","value":"0.0156"},{"id":17,"name":"Train ID","value":"308-19"},{"id":16,"name":"Locomotive ID","value":"4021"},{"id":130,"name":"Impact","value":""},{"id":150,"name":"Time of Event (Mountain Time)","value":"04:20:12"},{"id":151,"name":"Denver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0"/>
      <c r="AK209" s="50"/>
      <c r="AL209" s="50"/>
      <c r="AM209" s="177" t="str">
        <f t="shared" si="96"/>
        <v>start /low /b %USERPROFILE%\Documents\GitHub\eaglep3\Utilities\DownloadLogsFromS3.py --loco 4021 --day 2017-01-19</v>
      </c>
      <c r="AN209" s="186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"%USERPROFILE%\AppData\Local\Temp\OnboardLogs"\RTDC4021\*4021*20170119* | grep -SE "(Enforcement Action)|(\[TIMEOUT)|(CHR.+\|PRM\|1\|D.+(SWITCH|SIGNAL).+UNKNOWN)" - &gt;&gt; 2017-01-19-UncaughtWiMAX.txt</v>
      </c>
    </row>
    <row r="210" spans="1:91" x14ac:dyDescent="0.25">
      <c r="A210" s="34" t="s">
        <v>517</v>
      </c>
      <c r="B210" s="7">
        <v>4012</v>
      </c>
      <c r="C210" s="22" t="s">
        <v>196</v>
      </c>
      <c r="D210" s="22" t="s">
        <v>765</v>
      </c>
      <c r="E210" s="13">
        <v>42754.178495370368</v>
      </c>
      <c r="F210" s="13">
        <v>42754.182141203702</v>
      </c>
      <c r="G210" s="7">
        <v>5</v>
      </c>
      <c r="H210" s="22" t="s">
        <v>365</v>
      </c>
      <c r="I210" s="13">
        <v>42754.191550925927</v>
      </c>
      <c r="J210" s="7">
        <v>5</v>
      </c>
      <c r="K210" s="105" t="str">
        <f t="shared" si="98"/>
        <v>4011/4012</v>
      </c>
      <c r="L210" s="22" t="str">
        <f>VLOOKUP(A210,'Trips&amp;Operators'!$C$1:$G$99999,5,FALSE)</f>
        <v>STRICKLAND EVAN</v>
      </c>
      <c r="M210" s="6">
        <f t="shared" si="99"/>
        <v>9.4097222245181911E-3</v>
      </c>
      <c r="N210" s="7">
        <f t="shared" si="100"/>
        <v>13.550000003306195</v>
      </c>
      <c r="O210" s="7"/>
      <c r="P210" s="7"/>
      <c r="Q210" s="23"/>
      <c r="R210" s="23"/>
      <c r="S210" s="32">
        <f t="shared" si="101"/>
        <v>1</v>
      </c>
      <c r="T210" s="47" t="str">
        <f t="shared" si="102"/>
        <v>Southbound</v>
      </c>
      <c r="U210" s="164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4" t="str">
        <f t="shared" si="109"/>
        <v>https://d0f6bd738d7f1b3e5a7ca70fe4ff75f0.us-east-1.aws.found.io/app/kibana#/discover/Steve-Slow-Train-Analysis-(2080s-and-2083s)?_g=(refreshInterval:(display:Off,pause:!f,section:0,value:0),time:(from:'2017-01-19T03:17:02-0700',mode:absolute,to:'2017-01-19T05:35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0" s="49" t="str">
        <f t="shared" si="103"/>
        <v>Y</v>
      </c>
      <c r="X210" s="170">
        <f t="shared" si="97"/>
        <v>2</v>
      </c>
      <c r="Y210" s="64">
        <f t="shared" si="104"/>
        <v>2.3483000000000001</v>
      </c>
      <c r="Z210" s="64">
        <f t="shared" si="105"/>
        <v>1.41E-2</v>
      </c>
      <c r="AA210" s="64">
        <f t="shared" si="106"/>
        <v>2.3342000000000001</v>
      </c>
      <c r="AB210" s="61" t="e">
        <f>VLOOKUP(A210,Enforcements!$C$7:$K$15,8,0)</f>
        <v>#N/A</v>
      </c>
      <c r="AC210" s="57" t="e">
        <f>VLOOKUP(A210,Enforcements!$C$7:$E$15,3,0)</f>
        <v>#N/A</v>
      </c>
      <c r="AD210" s="58" t="str">
        <f t="shared" si="107"/>
        <v>0310-19</v>
      </c>
      <c r="AE210" s="87" t="str">
        <f t="shared" si="110"/>
        <v>aws s3 cp s3://rtdc.mdm.uploadarchive.raw/RTDC4012/ "%USERPROFILE%\AppData\Local\Temp\OnboardLogs"\RTDC4012\2017-01-19 --exclude "*" --recursive --include "*20170119*" &amp; "%USERPROFILE%\Documents\GitHub\mrs-test-scripts\Headless Mode &amp; Sideloading\WalkAndUnGZ.bat" "%USERPROFILE%\AppData\Local\Temp\OnboardLogs"\RTDC4012\2017-01-19 &amp; aws s3 cp s3://rtdc.mdm.uploadarchive.raw/RTDC4012/ "%USERPROFILE%\AppData\Local\Temp\OnboardLogs"\RTDC4012\2017-01-20 --exclude "*" --recursive --include "*20170120*" &amp; "%USERPROFILE%\Documents\GitHub\mrs-test-scripts\Headless Mode &amp; Sideloading\WalkAndUnGZ.bat" "%USERPROFILE%\AppData\Local\Temp\OnboardLogs"\RTDC4012\2017-01-20</v>
      </c>
      <c r="AF210" s="84" t="str">
        <f t="shared" si="111"/>
        <v>"C:\Program Files (x86)\AstroGrep\AstroGrep.exe" /spath="%USERPROFILE%\AppData\Local\Temp\OnboardLogs" /stypes="app*4012*20170119*" /stext=" 11:.+((SYSTEM_STATE.+slice.+state.+changed )|(ment ac)|(multiple cpu faults)|(system.+state.+changed )|(\[timeout)|(PRM\|1\|D)|(kpr)|(kdp)|(\|lc)|(penalty))" /e /r /s</v>
      </c>
      <c r="AG210" s="1" t="str">
        <f t="shared" si="108"/>
        <v>Other</v>
      </c>
      <c r="AH210" s="88" t="str">
        <f t="shared" si="94"/>
        <v>"%USERPROFILE%\Documents\GitHub\eaglep3\Utilities\RefineRTDCRunTimes.py" --tripid 310-19 --locoid 4012 --swversion DE.1.0.8.0 --startMP 300:23483 --initTime 2017-01-19T04:17:02 --startdatetime 2017-01-19T04:22:17 --delay 5 --endMP 204:141 --enddatetime 2017-01-19T04:35:50 --enforcementcount 5 &gt;&gt;C:\Users\stu\Documents\GitHub\eaglep3-reporting\EC\2017-01-19-refined-times.txt</v>
      </c>
      <c r="AI210" s="115" t="str">
        <f t="shared" si="95"/>
        <v>echo {"issue":{"subject":"","project_id":79,"tracker_id":40,"status_id":1,"priority_id":2,"assigned_to_id":23,"start_date":"2017-01-19","description":"","custom_fields":[{"id":1,"name":"Subdivision","value":"Other"},{"id":4,"name":"Milepost","value":"0.0141"},{"id":17,"name":"Train ID","value":"310-19"},{"id":16,"name":"Locomotive ID","value":"4012"},{"id":130,"name":"Impact","value":""},{"id":150,"name":"Time of Event (Mountain Time)","value":"04:35:50"},{"id":151,"name":"Denver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0"/>
      <c r="AK210" s="50"/>
      <c r="AL210" s="50"/>
      <c r="AM210" s="177" t="str">
        <f t="shared" si="96"/>
        <v>start /low /b %USERPROFILE%\Documents\GitHub\eaglep3\Utilities\DownloadLogsFromS3.py --loco 4012 --day 2017-01-19</v>
      </c>
      <c r="AN210" s="186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"%USERPROFILE%\AppData\Local\Temp\OnboardLogs"\RTDC4012\*4012*20170119* | grep -SE "(Enforcement Action)|(\[TIMEOUT)|(CHR.+\|PRM\|1\|D.+(SWITCH|SIGNAL).+UNKNOWN)" - &gt;&gt; 2017-01-19-UncaughtWiMAX.txt</v>
      </c>
    </row>
    <row r="211" spans="1:91" s="21" customFormat="1" x14ac:dyDescent="0.25">
      <c r="A211" s="34" t="s">
        <v>477</v>
      </c>
      <c r="B211" s="7">
        <v>4038</v>
      </c>
      <c r="C211" s="22" t="s">
        <v>196</v>
      </c>
      <c r="D211" s="22" t="s">
        <v>850</v>
      </c>
      <c r="E211" s="13">
        <v>42754.20685185185</v>
      </c>
      <c r="F211" s="13">
        <v>42754.208587962959</v>
      </c>
      <c r="G211" s="7">
        <v>1</v>
      </c>
      <c r="H211" s="22" t="s">
        <v>395</v>
      </c>
      <c r="I211" s="13">
        <v>42754.214502314811</v>
      </c>
      <c r="J211" s="7">
        <v>5</v>
      </c>
      <c r="K211" s="105" t="str">
        <f t="shared" si="98"/>
        <v>4037/4038</v>
      </c>
      <c r="L211" s="22" t="str">
        <f>VLOOKUP(A211,'Trips&amp;Operators'!$C$1:$G$99999,5,FALSE)</f>
        <v>SHOOK JOHN</v>
      </c>
      <c r="M211" s="6">
        <f t="shared" si="99"/>
        <v>5.914351851970423E-3</v>
      </c>
      <c r="N211" s="7">
        <f t="shared" si="100"/>
        <v>8.5166666668374091</v>
      </c>
      <c r="O211" s="7"/>
      <c r="P211" s="7"/>
      <c r="Q211" s="23"/>
      <c r="R211" s="23"/>
      <c r="S211" s="32">
        <f t="shared" si="101"/>
        <v>0</v>
      </c>
      <c r="T211" s="47" t="str">
        <f t="shared" si="102"/>
        <v>NorthBound</v>
      </c>
      <c r="U211" s="164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94" t="str">
        <f t="shared" si="109"/>
        <v>https://d0f6bd738d7f1b3e5a7ca70fe4ff75f0.us-east-1.aws.found.io/app/kibana#/discover/Steve-Slow-Train-Analysis-(2080s-and-2083s)?_g=(refreshInterval:(display:Off,pause:!f,section:0,value:0),time:(from:'2017-01-19T03:57:52-0700',mode:absolute,to:'2017-01-19T06:08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211" s="49" t="str">
        <f t="shared" si="103"/>
        <v>Y</v>
      </c>
      <c r="X211" s="170">
        <f t="shared" si="97"/>
        <v>591</v>
      </c>
      <c r="Y211" s="64">
        <f t="shared" si="104"/>
        <v>2.9969999999999999</v>
      </c>
      <c r="Z211" s="64">
        <f t="shared" si="105"/>
        <v>5.8943000000000003</v>
      </c>
      <c r="AA211" s="64">
        <f t="shared" si="106"/>
        <v>2.8973000000000004</v>
      </c>
      <c r="AB211" s="61" t="e">
        <f>VLOOKUP(A211,Enforcements!$C$7:$K$15,8,0)</f>
        <v>#N/A</v>
      </c>
      <c r="AC211" s="57" t="e">
        <f>VLOOKUP(A211,Enforcements!$C$7:$E$15,3,0)</f>
        <v>#N/A</v>
      </c>
      <c r="AD211" s="58" t="str">
        <f t="shared" si="107"/>
        <v>0901-19</v>
      </c>
      <c r="AE211" s="87" t="str">
        <f t="shared" si="110"/>
        <v>aws s3 cp s3://rtdc.mdm.uploadarchive.raw/RTDC4038/ "%USERPROFILE%\AppData\Local\Temp\OnboardLogs"\RTDC4038\2017-01-19 --exclude "*" --recursive --include "*20170119*" &amp; "%USERPROFILE%\Documents\GitHub\mrs-test-scripts\Headless Mode &amp; Sideloading\WalkAndUnGZ.bat" "%USERPROFILE%\AppData\Local\Temp\OnboardLogs"\RTDC4038\2017-01-19 &amp; aws s3 cp s3://rtdc.mdm.uploadarchive.raw/RTDC4038/ "%USERPROFILE%\AppData\Local\Temp\OnboardLogs"\RTDC4038\2017-01-20 --exclude "*" --recursive --include "*20170120*" &amp; "%USERPROFILE%\Documents\GitHub\mrs-test-scripts\Headless Mode &amp; Sideloading\WalkAndUnGZ.bat" "%USERPROFILE%\AppData\Local\Temp\OnboardLogs"\RTDC4038\2017-01-20</v>
      </c>
      <c r="AF211" s="84" t="str">
        <f t="shared" si="111"/>
        <v>"C:\Program Files (x86)\AstroGrep\AstroGrep.exe" /spath="%USERPROFILE%\AppData\Local\Temp\OnboardLogs" /stypes="app*4038*20170119*" /stext=" 12:.+((SYSTEM_STATE.+slice.+state.+changed )|(ment ac)|(multiple cpu faults)|(system.+state.+changed )|(\[timeout)|(PRM\|1\|D)|(kpr)|(kdp)|(\|lc)|(penalty))" /e /r /s</v>
      </c>
      <c r="AG211" s="1" t="str">
        <f t="shared" si="108"/>
        <v>Other</v>
      </c>
      <c r="AH211" s="88" t="str">
        <f t="shared" si="94"/>
        <v>"%USERPROFILE%\Documents\GitHub\eaglep3\Utilities\RefineRTDCRunTimes.py" --tripid 901-19 --locoid 4038 --swversion DE.1.0.8.0 --startMP 300:29970 --initTime 2017-01-19T04:57:52 --startdatetime 2017-01-19T05:00:22 --delay 1 --endMP 300:58943 --enddatetime 2017-01-19T05:08:53 --enforcementcount 5 &gt;&gt;C:\Users\stu\Documents\GitHub\eaglep3-reporting\EC\2017-01-19-refined-times.txt</v>
      </c>
      <c r="AI211" s="115" t="str">
        <f t="shared" si="95"/>
        <v>echo {"issue":{"subject":"","project_id":79,"tracker_id":40,"status_id":1,"priority_id":2,"assigned_to_id":23,"start_date":"2017-01-19","description":"","custom_fields":[{"id":1,"name":"Subdivision","value":"Other"},{"id":4,"name":"Milepost","value":"5.8943"},{"id":17,"name":"Train ID","value":"901-19"},{"id":16,"name":"Locomotive ID","value":"4038"},{"id":130,"name":"Impact","value":""},{"id":150,"name":"Time of Event (Mountain Time)","value":"05:08:53"},{"id":151,"name":"Denver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0"/>
      <c r="AK211" s="50"/>
      <c r="AL211" s="50"/>
      <c r="AM211" s="177" t="str">
        <f t="shared" si="96"/>
        <v>start /low /b %USERPROFILE%\Documents\GitHub\eaglep3\Utilities\DownloadLogsFromS3.py --loco 4038 --day 2017-01-19</v>
      </c>
      <c r="AN211" s="186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"%USERPROFILE%\AppData\Local\Temp\OnboardLogs"\RTDC4038\*4038*20170119* | grep -SE "(Enforcement Action)|(\[TIMEOUT)|(CHR.+\|PRM\|1\|D.+(SWITCH|SIGNAL).+UNKNOWN)" - &gt;&gt; 2017-01-19-UncaughtWiMAX.txt</v>
      </c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1" customFormat="1" x14ac:dyDescent="0.25">
      <c r="A212" s="34" t="s">
        <v>532</v>
      </c>
      <c r="B212" s="7">
        <v>4039</v>
      </c>
      <c r="C212" s="22" t="s">
        <v>196</v>
      </c>
      <c r="D212" s="22" t="s">
        <v>406</v>
      </c>
      <c r="E212" s="13">
        <v>42754.249259259261</v>
      </c>
      <c r="F212" s="13">
        <v>42754.253032407411</v>
      </c>
      <c r="G212" s="7">
        <v>5</v>
      </c>
      <c r="H212" s="22" t="s">
        <v>333</v>
      </c>
      <c r="I212" s="13">
        <v>42754.258576388886</v>
      </c>
      <c r="J212" s="7">
        <v>5</v>
      </c>
      <c r="K212" s="105" t="str">
        <f t="shared" si="98"/>
        <v>4039/4040</v>
      </c>
      <c r="L212" s="22" t="str">
        <f>VLOOKUP(A212,'Trips&amp;Operators'!$C$1:$G$99999,5,FALSE)</f>
        <v>LOZA FIDEL</v>
      </c>
      <c r="M212" s="6">
        <f t="shared" si="99"/>
        <v>5.5439814750570804E-3</v>
      </c>
      <c r="N212" s="7">
        <f t="shared" si="100"/>
        <v>7.9833333240821958</v>
      </c>
      <c r="O212" s="7"/>
      <c r="P212" s="7"/>
      <c r="Q212" s="23"/>
      <c r="R212" s="23"/>
      <c r="S212" s="32">
        <f t="shared" si="101"/>
        <v>1</v>
      </c>
      <c r="T212" s="47" t="str">
        <f t="shared" si="102"/>
        <v>Southbound</v>
      </c>
      <c r="U212" s="164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4" t="str">
        <f t="shared" si="109"/>
        <v>https://d0f6bd738d7f1b3e5a7ca70fe4ff75f0.us-east-1.aws.found.io/app/kibana#/discover/Steve-Slow-Train-Analysis-(2080s-and-2083s)?_g=(refreshInterval:(display:Off,pause:!f,section:0,value:0),time:(from:'2017-01-19T04:58:56-0700',mode:absolute,to:'2017-01-19T07:12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2" s="49" t="str">
        <f t="shared" si="103"/>
        <v>Y</v>
      </c>
      <c r="X212" s="170">
        <f t="shared" si="97"/>
        <v>1</v>
      </c>
      <c r="Y212" s="64">
        <f t="shared" si="104"/>
        <v>2.3361999999999998</v>
      </c>
      <c r="Z212" s="64">
        <f t="shared" si="105"/>
        <v>6.9099999999999995E-2</v>
      </c>
      <c r="AA212" s="64">
        <f t="shared" si="106"/>
        <v>2.2670999999999997</v>
      </c>
      <c r="AB212" s="61" t="e">
        <f>VLOOKUP(A212,Enforcements!$C$7:$K$15,8,0)</f>
        <v>#N/A</v>
      </c>
      <c r="AC212" s="57" t="e">
        <f>VLOOKUP(A212,Enforcements!$C$7:$E$15,3,0)</f>
        <v>#N/A</v>
      </c>
      <c r="AD212" s="58" t="str">
        <f t="shared" si="107"/>
        <v>0902-19</v>
      </c>
      <c r="AE212" s="87" t="str">
        <f t="shared" si="110"/>
        <v>aws s3 cp s3://rtdc.mdm.uploadarchive.raw/RTDC4039/ "%USERPROFILE%\AppData\Local\Temp\OnboardLogs"\RTDC4039\2017-01-19 --exclude "*" --recursive --include "*20170119*" &amp; "%USERPROFILE%\Documents\GitHub\mrs-test-scripts\Headless Mode &amp; Sideloading\WalkAndUnGZ.bat" "%USERPROFILE%\AppData\Local\Temp\OnboardLogs"\RTDC4039\2017-01-19 &amp; aws s3 cp s3://rtdc.mdm.uploadarchive.raw/RTDC4039/ "%USERPROFILE%\AppData\Local\Temp\OnboardLogs"\RTDC4039\2017-01-20 --exclude "*" --recursive --include "*20170120*" &amp; "%USERPROFILE%\Documents\GitHub\mrs-test-scripts\Headless Mode &amp; Sideloading\WalkAndUnGZ.bat" "%USERPROFILE%\AppData\Local\Temp\OnboardLogs"\RTDC4039\2017-01-20</v>
      </c>
      <c r="AF212" s="84" t="str">
        <f t="shared" si="111"/>
        <v>"C:\Program Files (x86)\AstroGrep\AstroGrep.exe" /spath="%USERPROFILE%\AppData\Local\Temp\OnboardLogs" /stypes="app*4039*20170119*" /stext=" 13:.+((SYSTEM_STATE.+slice.+state.+changed )|(ment ac)|(multiple cpu faults)|(system.+state.+changed )|(\[timeout)|(PRM\|1\|D)|(kpr)|(kdp)|(\|lc)|(penalty))" /e /r /s</v>
      </c>
      <c r="AG212" s="1" t="str">
        <f t="shared" si="108"/>
        <v>Other</v>
      </c>
      <c r="AH212" s="88" t="str">
        <f t="shared" si="94"/>
        <v>"%USERPROFILE%\Documents\GitHub\eaglep3\Utilities\RefineRTDCRunTimes.py" --tripid 902-19 --locoid 4039 --swversion DE.1.0.8.0 --startMP 300:23362 --initTime 2017-01-19T05:58:56 --startdatetime 2017-01-19T06:04:22 --delay 5 --endMP 204:691 --enddatetime 2017-01-19T06:12:21 --enforcementcount 5 &gt;&gt;C:\Users\stu\Documents\GitHub\eaglep3-reporting\EC\2017-01-19-refined-times.txt</v>
      </c>
      <c r="AI212" s="115" t="str">
        <f t="shared" si="95"/>
        <v>echo {"issue":{"subject":"","project_id":79,"tracker_id":40,"status_id":1,"priority_id":2,"assigned_to_id":23,"start_date":"2017-01-19","description":"","custom_fields":[{"id":1,"name":"Subdivision","value":"Other"},{"id":4,"name":"Milepost","value":"0.0691"},{"id":17,"name":"Train ID","value":"902-19"},{"id":16,"name":"Locomotive ID","value":"4039"},{"id":130,"name":"Impact","value":""},{"id":150,"name":"Time of Event (Mountain Time)","value":"06:12:21"},{"id":151,"name":"Denver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0"/>
      <c r="AK212" s="50"/>
      <c r="AL212" s="50"/>
      <c r="AM212" s="177" t="str">
        <f t="shared" si="96"/>
        <v>start /low /b %USERPROFILE%\Documents\GitHub\eaglep3\Utilities\DownloadLogsFromS3.py --loco 4039 --day 2017-01-19</v>
      </c>
      <c r="AN212" s="186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"%USERPROFILE%\AppData\Local\Temp\OnboardLogs"\RTDC4039\*4039*20170119* | grep -SE "(Enforcement Action)|(\[TIMEOUT)|(CHR.+\|PRM\|1\|D.+(SWITCH|SIGNAL).+UNKNOWN)" - &gt;&gt; 2017-01-19-UncaughtWiMAX.txt</v>
      </c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x14ac:dyDescent="0.25">
      <c r="A213" s="34" t="s">
        <v>561</v>
      </c>
      <c r="B213" s="7">
        <v>4038</v>
      </c>
      <c r="C213" s="22" t="s">
        <v>196</v>
      </c>
      <c r="D213" s="22" t="s">
        <v>368</v>
      </c>
      <c r="E213" s="13">
        <v>42754.353645833333</v>
      </c>
      <c r="F213" s="13">
        <v>42754.355254629627</v>
      </c>
      <c r="G213" s="7">
        <v>1</v>
      </c>
      <c r="H213" s="22" t="s">
        <v>851</v>
      </c>
      <c r="I213" s="13">
        <v>42754.362083333333</v>
      </c>
      <c r="J213" s="7">
        <v>5</v>
      </c>
      <c r="K213" s="105" t="str">
        <f t="shared" si="98"/>
        <v>4037/4038</v>
      </c>
      <c r="L213" s="22" t="str">
        <f>VLOOKUP(A213,'Trips&amp;Operators'!$C$1:$G$99999,5,FALSE)</f>
        <v>SHOOK JOHN</v>
      </c>
      <c r="M213" s="6">
        <f t="shared" si="99"/>
        <v>6.8287037065601908E-3</v>
      </c>
      <c r="N213" s="7">
        <f t="shared" si="100"/>
        <v>9.8333333374466747</v>
      </c>
      <c r="O213" s="7"/>
      <c r="P213" s="7"/>
      <c r="Q213" s="23"/>
      <c r="R213" s="23"/>
      <c r="S213" s="32">
        <f t="shared" si="101"/>
        <v>1</v>
      </c>
      <c r="T213" s="47" t="str">
        <f t="shared" si="102"/>
        <v>NorthBound</v>
      </c>
      <c r="U213" s="164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4" t="str">
        <f t="shared" si="109"/>
        <v>https://d0f6bd738d7f1b3e5a7ca70fe4ff75f0.us-east-1.aws.found.io/app/kibana#/discover/Steve-Slow-Train-Analysis-(2080s-and-2083s)?_g=(refreshInterval:(display:Off,pause:!f,section:0,value:0),time:(from:'2017-01-19T07:29:15-0700',mode:absolute,to:'2017-01-19T09:41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213" s="49" t="str">
        <f t="shared" si="103"/>
        <v>Y</v>
      </c>
      <c r="X213" s="170">
        <f t="shared" si="97"/>
        <v>1</v>
      </c>
      <c r="Y213" s="64">
        <f t="shared" si="104"/>
        <v>4.6399999999999997E-2</v>
      </c>
      <c r="Z213" s="64">
        <f t="shared" si="105"/>
        <v>2.4203000000000001</v>
      </c>
      <c r="AA213" s="64">
        <f t="shared" si="106"/>
        <v>2.3738999999999999</v>
      </c>
      <c r="AB213" s="61" t="e">
        <f>VLOOKUP(A213,Enforcements!$C$7:$K$15,8,0)</f>
        <v>#N/A</v>
      </c>
      <c r="AC213" s="57" t="e">
        <f>VLOOKUP(A213,Enforcements!$C$7:$E$15,3,0)</f>
        <v>#N/A</v>
      </c>
      <c r="AD213" s="58" t="str">
        <f t="shared" si="107"/>
        <v>0903-19</v>
      </c>
      <c r="AE213" s="87" t="str">
        <f t="shared" si="110"/>
        <v>aws s3 cp s3://rtdc.mdm.uploadarchive.raw/RTDC4038/ "%USERPROFILE%\AppData\Local\Temp\OnboardLogs"\RTDC4038\2017-01-19 --exclude "*" --recursive --include "*20170119*" &amp; "%USERPROFILE%\Documents\GitHub\mrs-test-scripts\Headless Mode &amp; Sideloading\WalkAndUnGZ.bat" "%USERPROFILE%\AppData\Local\Temp\OnboardLogs"\RTDC4038\2017-01-19 &amp; aws s3 cp s3://rtdc.mdm.uploadarchive.raw/RTDC4038/ "%USERPROFILE%\AppData\Local\Temp\OnboardLogs"\RTDC4038\2017-01-20 --exclude "*" --recursive --include "*20170120*" &amp; "%USERPROFILE%\Documents\GitHub\mrs-test-scripts\Headless Mode &amp; Sideloading\WalkAndUnGZ.bat" "%USERPROFILE%\AppData\Local\Temp\OnboardLogs"\RTDC4038\2017-01-20</v>
      </c>
      <c r="AF213" s="84" t="str">
        <f t="shared" si="111"/>
        <v>"C:\Program Files (x86)\AstroGrep\AstroGrep.exe" /spath="%USERPROFILE%\AppData\Local\Temp\OnboardLogs" /stypes="app*4038*20170119*" /stext=" 15:.+((SYSTEM_STATE.+slice.+state.+changed )|(ment ac)|(multiple cpu faults)|(system.+state.+changed )|(\[timeout)|(PRM\|1\|D)|(kpr)|(kdp)|(\|lc)|(penalty))" /e /r /s</v>
      </c>
      <c r="AG213" s="1" t="str">
        <f t="shared" si="108"/>
        <v>Other</v>
      </c>
      <c r="AH213" s="88" t="str">
        <f t="shared" si="94"/>
        <v>"%USERPROFILE%\Documents\GitHub\eaglep3\Utilities\RefineRTDCRunTimes.py" --tripid 903-19 --locoid 4038 --swversion DE.1.0.8.0 --startMP 204:464 --initTime 2017-01-19T08:29:15 --startdatetime 2017-01-19T08:31:34 --delay 1 --endMP 300:24203 --enddatetime 2017-01-19T08:41:24 --enforcementcount 5 &gt;&gt;C:\Users\stu\Documents\GitHub\eaglep3-reporting\EC\2017-01-19-refined-times.txt</v>
      </c>
      <c r="AI213" s="115" t="str">
        <f t="shared" si="95"/>
        <v>echo {"issue":{"subject":"","project_id":79,"tracker_id":40,"status_id":1,"priority_id":2,"assigned_to_id":23,"start_date":"2017-01-19","description":"","custom_fields":[{"id":1,"name":"Subdivision","value":"Other"},{"id":4,"name":"Milepost","value":"2.4203"},{"id":17,"name":"Train ID","value":"903-19"},{"id":16,"name":"Locomotive ID","value":"4038"},{"id":130,"name":"Impact","value":""},{"id":150,"name":"Time of Event (Mountain Time)","value":"08:41:24"},{"id":151,"name":"Denver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0"/>
      <c r="AK213" s="50"/>
      <c r="AL213" s="50"/>
      <c r="AM213" s="177" t="str">
        <f t="shared" si="96"/>
        <v>start /low /b %USERPROFILE%\Documents\GitHub\eaglep3\Utilities\DownloadLogsFromS3.py --loco 4038 --day 2017-01-19</v>
      </c>
      <c r="AN213" s="186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"%USERPROFILE%\AppData\Local\Temp\OnboardLogs"\RTDC4038\*4038*20170119* | grep -SE "(Enforcement Action)|(\[TIMEOUT)|(CHR.+\|PRM\|1\|D.+(SWITCH|SIGNAL).+UNKNOWN)" - &gt;&gt; 2017-01-19-UncaughtWiMAX.txt</v>
      </c>
    </row>
    <row r="214" spans="1:91" x14ac:dyDescent="0.25">
      <c r="A214" s="34" t="s">
        <v>493</v>
      </c>
      <c r="B214" s="7">
        <v>4037</v>
      </c>
      <c r="C214" s="22" t="s">
        <v>196</v>
      </c>
      <c r="D214" s="22" t="s">
        <v>852</v>
      </c>
      <c r="E214" s="13">
        <v>42754.6409375</v>
      </c>
      <c r="F214" s="13">
        <v>42754.642060185186</v>
      </c>
      <c r="G214" s="7">
        <v>1</v>
      </c>
      <c r="H214" s="22" t="s">
        <v>853</v>
      </c>
      <c r="I214" s="13">
        <v>42754.648298611108</v>
      </c>
      <c r="J214" s="7">
        <v>5</v>
      </c>
      <c r="K214" s="105" t="str">
        <f t="shared" si="98"/>
        <v>4037/4038</v>
      </c>
      <c r="L214" s="22" t="str">
        <f>VLOOKUP(A214,'Trips&amp;Operators'!$C$1:$G$99999,5,FALSE)</f>
        <v>STORY SAMANTHA</v>
      </c>
      <c r="M214" s="6">
        <f t="shared" si="99"/>
        <v>6.2384259217651561E-3</v>
      </c>
      <c r="N214" s="7">
        <f t="shared" si="100"/>
        <v>8.9833333273418248</v>
      </c>
      <c r="O214" s="7"/>
      <c r="P214" s="7"/>
      <c r="Q214" s="23"/>
      <c r="R214" s="23"/>
      <c r="S214" s="32">
        <f t="shared" si="101"/>
        <v>1</v>
      </c>
      <c r="T214" s="47" t="str">
        <f t="shared" si="102"/>
        <v>Southbound</v>
      </c>
      <c r="U214" s="164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4" t="str">
        <f t="shared" si="109"/>
        <v>https://d0f6bd738d7f1b3e5a7ca70fe4ff75f0.us-east-1.aws.found.io/app/kibana#/discover/Steve-Slow-Train-Analysis-(2080s-and-2083s)?_g=(refreshInterval:(display:Off,pause:!f,section:0,value:0),time:(from:'2017-01-19T14:22:57-0700',mode:absolute,to:'2017-01-19T16:33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214" s="49" t="str">
        <f t="shared" si="103"/>
        <v>Y</v>
      </c>
      <c r="X214" s="170">
        <f t="shared" si="97"/>
        <v>1</v>
      </c>
      <c r="Y214" s="64">
        <f t="shared" si="104"/>
        <v>2.3226</v>
      </c>
      <c r="Z214" s="64">
        <f t="shared" si="105"/>
        <v>6.54E-2</v>
      </c>
      <c r="AA214" s="64">
        <f t="shared" si="106"/>
        <v>2.2572000000000001</v>
      </c>
      <c r="AB214" s="61" t="e">
        <f>VLOOKUP(A214,Enforcements!$C$7:$K$15,8,0)</f>
        <v>#N/A</v>
      </c>
      <c r="AC214" s="57" t="e">
        <f>VLOOKUP(A214,Enforcements!$C$7:$E$15,3,0)</f>
        <v>#N/A</v>
      </c>
      <c r="AD214" s="58" t="str">
        <f t="shared" si="107"/>
        <v>0904-19</v>
      </c>
      <c r="AE214" s="87" t="str">
        <f t="shared" si="110"/>
        <v>aws s3 cp s3://rtdc.mdm.uploadarchive.raw/RTDC4037/ "%USERPROFILE%\AppData\Local\Temp\OnboardLogs"\RTDC4037\2017-01-19 --exclude "*" --recursive --include "*20170119*" &amp; "%USERPROFILE%\Documents\GitHub\mrs-test-scripts\Headless Mode &amp; Sideloading\WalkAndUnGZ.bat" "%USERPROFILE%\AppData\Local\Temp\OnboardLogs"\RTDC4037\2017-01-19 &amp; aws s3 cp s3://rtdc.mdm.uploadarchive.raw/RTDC4037/ "%USERPROFILE%\AppData\Local\Temp\OnboardLogs"\RTDC4037\2017-01-20 --exclude "*" --recursive --include "*20170120*" &amp; "%USERPROFILE%\Documents\GitHub\mrs-test-scripts\Headless Mode &amp; Sideloading\WalkAndUnGZ.bat" "%USERPROFILE%\AppData\Local\Temp\OnboardLogs"\RTDC4037\2017-01-20</v>
      </c>
      <c r="AF214" s="84" t="str">
        <f t="shared" si="111"/>
        <v>"C:\Program Files (x86)\AstroGrep\AstroGrep.exe" /spath="%USERPROFILE%\AppData\Local\Temp\OnboardLogs" /stypes="app*4037*20170119*" /stext=" 22:.+((SYSTEM_STATE.+slice.+state.+changed )|(ment ac)|(multiple cpu faults)|(system.+state.+changed )|(\[timeout)|(PRM\|1\|D)|(kpr)|(kdp)|(\|lc)|(penalty))" /e /r /s</v>
      </c>
      <c r="AG214" s="1" t="str">
        <f t="shared" si="108"/>
        <v>Other</v>
      </c>
      <c r="AH214" s="88" t="str">
        <f t="shared" si="94"/>
        <v>"%USERPROFILE%\Documents\GitHub\eaglep3\Utilities\RefineRTDCRunTimes.py" --tripid 904-19 --locoid 4037 --swversion DE.1.0.8.0 --startMP 300:23226 --initTime 2017-01-19T15:22:57 --startdatetime 2017-01-19T15:24:34 --delay 1 --endMP 204:654 --enddatetime 2017-01-19T15:33:33 --enforcementcount 5 &gt;&gt;C:\Users\stu\Documents\GitHub\eaglep3-reporting\EC\2017-01-19-refined-times.txt</v>
      </c>
      <c r="AI214" s="115" t="str">
        <f t="shared" si="95"/>
        <v>echo {"issue":{"subject":"","project_id":79,"tracker_id":40,"status_id":1,"priority_id":2,"assigned_to_id":23,"start_date":"2017-01-19","description":"","custom_fields":[{"id":1,"name":"Subdivision","value":"Other"},{"id":4,"name":"Milepost","value":"0.0654"},{"id":17,"name":"Train ID","value":"904-19"},{"id":16,"name":"Locomotive ID","value":"4037"},{"id":130,"name":"Impact","value":""},{"id":150,"name":"Time of Event (Mountain Time)","value":"15:33:33"},{"id":151,"name":"Denver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0"/>
      <c r="AK214" s="50"/>
      <c r="AL214" s="50"/>
      <c r="AM214" s="177" t="str">
        <f t="shared" si="96"/>
        <v>start /low /b %USERPROFILE%\Documents\GitHub\eaglep3\Utilities\DownloadLogsFromS3.py --loco 4037 --day 2017-01-19</v>
      </c>
      <c r="AN214" s="186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"%USERPROFILE%\AppData\Local\Temp\OnboardLogs"\RTDC4037\*4037*20170119* | grep -SE "(Enforcement Action)|(\[TIMEOUT)|(CHR.+\|PRM\|1\|D.+(SWITCH|SIGNAL).+UNKNOWN)" - &gt;&gt; 2017-01-19-UncaughtWiMAX.txt</v>
      </c>
    </row>
    <row r="215" spans="1:91" x14ac:dyDescent="0.25">
      <c r="A215" s="34" t="s">
        <v>679</v>
      </c>
      <c r="B215" s="7">
        <v>4037</v>
      </c>
      <c r="C215" s="22" t="s">
        <v>196</v>
      </c>
      <c r="D215" s="22" t="s">
        <v>801</v>
      </c>
      <c r="E215" s="13">
        <v>42754.797615740739</v>
      </c>
      <c r="F215" s="13">
        <v>25568.708333333332</v>
      </c>
      <c r="G215" s="7">
        <v>1</v>
      </c>
      <c r="H215" s="22" t="s">
        <v>854</v>
      </c>
      <c r="I215" s="13">
        <v>25568.708333333332</v>
      </c>
      <c r="J215" s="7">
        <v>5</v>
      </c>
      <c r="K215" s="105" t="str">
        <f t="shared" si="98"/>
        <v>4037/4038</v>
      </c>
      <c r="L215" s="22" t="str">
        <f>VLOOKUP(A215,'Trips&amp;Operators'!$C$1:$G$99999,5,FALSE)</f>
        <v>STORY SAMANTHA</v>
      </c>
      <c r="M215" s="6">
        <f t="shared" si="99"/>
        <v>0</v>
      </c>
      <c r="N215" s="7">
        <f t="shared" si="100"/>
        <v>0</v>
      </c>
      <c r="O215" s="7"/>
      <c r="P215" s="7"/>
      <c r="Q215" s="23"/>
      <c r="R215" s="23"/>
      <c r="S215" s="32">
        <f t="shared" si="101"/>
        <v>0</v>
      </c>
      <c r="T215" s="47" t="str">
        <f t="shared" si="102"/>
        <v>Southbound</v>
      </c>
      <c r="U215" s="164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94" t="str">
        <f t="shared" si="109"/>
        <v>https://d0f6bd738d7f1b3e5a7ca70fe4ff75f0.us-east-1.aws.found.io/app/kibana#/discover/Steve-Slow-Train-Analysis-(2080s-and-2083s)?_g=(refreshInterval:(display:Off,pause:!f,section:0,value:0),time:(from:'2017-01-19T18:08:34-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215" s="49" t="str">
        <f t="shared" si="103"/>
        <v>Y</v>
      </c>
      <c r="X215" s="170">
        <f t="shared" si="97"/>
        <v>2</v>
      </c>
      <c r="Y215" s="64">
        <f t="shared" si="104"/>
        <v>5.8667999999999996</v>
      </c>
      <c r="Z215" s="64">
        <f t="shared" si="105"/>
        <v>2.157</v>
      </c>
      <c r="AA215" s="64">
        <f t="shared" si="106"/>
        <v>3.7097999999999995</v>
      </c>
      <c r="AB215" s="61" t="e">
        <f>VLOOKUP(A215,Enforcements!$C$7:$K$15,8,0)</f>
        <v>#N/A</v>
      </c>
      <c r="AC215" s="57" t="e">
        <f>VLOOKUP(A215,Enforcements!$C$7:$E$15,3,0)</f>
        <v>#N/A</v>
      </c>
      <c r="AD215" s="58" t="str">
        <f t="shared" si="107"/>
        <v>0906-19</v>
      </c>
      <c r="AE215" s="87" t="str">
        <f t="shared" si="110"/>
        <v>aws s3 cp s3://rtdc.mdm.uploadarchive.raw/RTDC4037/ "%USERPROFILE%\AppData\Local\Temp\OnboardLogs"\RTDC4037\1969-12-31 --exclude "*" --recursive --include "*19691231*" &amp; "%USERPROFILE%\Documents\GitHub\mrs-test-scripts\Headless Mode &amp; Sideloading\WalkAndUnGZ.bat" "%USERPROFILE%\AppData\Local\Temp\OnboardLogs"\RTDC4037\1969-12-31 &amp; aws s3 cp s3://rtdc.mdm.uploadarchive.raw/RTDC4037/ "%USERPROFILE%\AppData\Local\Temp\OnboardLogs"\RTDC4037\1970-01-01 --exclude "*" --recursive --include "*19700101*" &amp; "%USERPROFILE%\Documents\GitHub\mrs-test-scripts\Headless Mode &amp; Sideloading\WalkAndUnGZ.bat" "%USERPROFILE%\AppData\Local\Temp\OnboardLogs"\RTDC4037\1970-01-01</v>
      </c>
      <c r="AF215" s="84" t="str">
        <f t="shared" si="111"/>
        <v>"C:\Program Files (x86)\AstroGrep\AstroGrep.exe" /spath="%USERPROFILE%\AppData\Local\Temp\OnboardLogs" /stypes="app*4037*19700101*" /stext=" 00:.+((SYSTEM_STATE.+slice.+state.+changed )|(ment ac)|(multiple cpu faults)|(system.+state.+changed )|(\[timeout)|(PRM\|1\|D)|(kpr)|(kdp)|(\|lc)|(penalty))" /e /r /s</v>
      </c>
      <c r="AG215" s="1" t="str">
        <f t="shared" si="108"/>
        <v>Other</v>
      </c>
      <c r="AH215" s="88" t="str">
        <f t="shared" si="94"/>
        <v>"%USERPROFILE%\Documents\GitHub\eaglep3\Utilities\RefineRTDCRunTimes.py" --tripid 906-19 --locoid 4037 --swversion DE.1.0.8.0 --startMP 300:58668 --initTime 2017-01-19T19:08:34 --startdatetime 1969-12-31T17:00:00 --delay 1 --endMP 300:21570 --enddatetime 1969-12-31T17:00:00 --enforcementcount 5 &gt;&gt;C:\Users\stu\Documents\GitHub\eaglep3-reporting\EC\2017-01-19-refined-times.txt</v>
      </c>
      <c r="AI215" s="115" t="str">
        <f t="shared" si="95"/>
        <v>echo {"issue":{"subject":"","project_id":79,"tracker_id":40,"status_id":1,"priority_id":2,"assigned_to_id":23,"start_date":"1969-12-31","description":"","custom_fields":[{"id":1,"name":"Subdivision","value":"Other"},{"id":4,"name":"Milepost","value":"2.157"},{"id":17,"name":"Train ID","value":"906-19"},{"id":16,"name":"Locomotive ID","value":"4037"},{"id":130,"name":"Impact","value":""},{"id":150,"name":"Time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0"/>
      <c r="AK215" s="50"/>
      <c r="AL215" s="50"/>
      <c r="AM215" s="177" t="str">
        <f t="shared" si="96"/>
        <v>start /low /b %USERPROFILE%\Documents\GitHub\eaglep3\Utilities\DownloadLogsFromS3.py --loco 4037 --day 1969-12-31</v>
      </c>
      <c r="AN215" s="186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"%USERPROFILE%\AppData\Local\Temp\OnboardLogs"\RTDC4037\*4037*19700101* | grep -SE "(Enforcement Action)|(\[TIMEOUT)|(CHR.+\|PRM\|1\|D.+(SWITCH|SIGNAL).+UNKNOWN)" - &gt;&gt; 2017-01-19-UncaughtWiMAX.txt</v>
      </c>
    </row>
    <row r="216" spans="1:91" s="21" customFormat="1" x14ac:dyDescent="0.25">
      <c r="A216" s="34" t="s">
        <v>695</v>
      </c>
      <c r="B216" s="7">
        <v>4039</v>
      </c>
      <c r="C216" s="22" t="s">
        <v>196</v>
      </c>
      <c r="D216" s="22" t="s">
        <v>838</v>
      </c>
      <c r="E216" s="13">
        <v>42754.962210648147</v>
      </c>
      <c r="F216" s="13">
        <v>42754.963287037041</v>
      </c>
      <c r="G216" s="7">
        <v>1</v>
      </c>
      <c r="H216" s="22" t="s">
        <v>855</v>
      </c>
      <c r="I216" s="13">
        <v>42754.966180555559</v>
      </c>
      <c r="J216" s="7">
        <v>5</v>
      </c>
      <c r="K216" s="105" t="str">
        <f t="shared" si="98"/>
        <v>4039/4040</v>
      </c>
      <c r="L216" s="22" t="str">
        <f>VLOOKUP(A216,'Trips&amp;Operators'!$C$1:$G$99999,5,FALSE)</f>
        <v>STORY SAMANTHA</v>
      </c>
      <c r="M216" s="6">
        <f t="shared" si="99"/>
        <v>2.8935185182490386E-3</v>
      </c>
      <c r="N216" s="7">
        <f t="shared" si="100"/>
        <v>4.1666666662786156</v>
      </c>
      <c r="O216" s="7"/>
      <c r="P216" s="7"/>
      <c r="Q216" s="23"/>
      <c r="R216" s="23"/>
      <c r="S216" s="32">
        <f t="shared" si="101"/>
        <v>0</v>
      </c>
      <c r="T216" s="47" t="str">
        <f t="shared" si="102"/>
        <v>Southbound</v>
      </c>
      <c r="U216" s="164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94" t="str">
        <f t="shared" si="109"/>
        <v>https://d0f6bd738d7f1b3e5a7ca70fe4ff75f0.us-east-1.aws.found.io/app/kibana#/discover/Steve-Slow-Train-Analysis-(2080s-and-2083s)?_g=(refreshInterval:(display:Off,pause:!f,section:0,value:0),time:(from:'2017-01-19T22:05:35-0700',mode:absolute,to:'2017-01-20T00:11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6" s="49" t="str">
        <f t="shared" si="103"/>
        <v>Y</v>
      </c>
      <c r="X216" s="170">
        <f t="shared" si="97"/>
        <v>2</v>
      </c>
      <c r="Y216" s="64">
        <f t="shared" si="104"/>
        <v>5.8630000000000004</v>
      </c>
      <c r="Z216" s="64">
        <f t="shared" si="105"/>
        <v>3.9346999999999999</v>
      </c>
      <c r="AA216" s="64">
        <f t="shared" si="106"/>
        <v>1.9283000000000006</v>
      </c>
      <c r="AB216" s="61" t="e">
        <f>VLOOKUP(A216,Enforcements!$C$7:$K$15,8,0)</f>
        <v>#N/A</v>
      </c>
      <c r="AC216" s="57" t="e">
        <f>VLOOKUP(A216,Enforcements!$C$7:$E$15,3,0)</f>
        <v>#N/A</v>
      </c>
      <c r="AD216" s="58" t="str">
        <f t="shared" si="107"/>
        <v>0908-19</v>
      </c>
      <c r="AE216" s="87" t="str">
        <f t="shared" si="110"/>
        <v>aws s3 cp s3://rtdc.mdm.uploadarchive.raw/RTDC4039/ "%USERPROFILE%\AppData\Local\Temp\OnboardLogs"\RTDC4039\2017-01-19 --exclude "*" --recursive --include "*20170119*" &amp; "%USERPROFILE%\Documents\GitHub\mrs-test-scripts\Headless Mode &amp; Sideloading\WalkAndUnGZ.bat" "%USERPROFILE%\AppData\Local\Temp\OnboardLogs"\RTDC4039\2017-01-19 &amp; aws s3 cp s3://rtdc.mdm.uploadarchive.raw/RTDC4039/ "%USERPROFILE%\AppData\Local\Temp\OnboardLogs"\RTDC4039\2017-01-20 --exclude "*" --recursive --include "*20170120*" &amp; "%USERPROFILE%\Documents\GitHub\mrs-test-scripts\Headless Mode &amp; Sideloading\WalkAndUnGZ.bat" "%USERPROFILE%\AppData\Local\Temp\OnboardLogs"\RTDC4039\2017-01-20</v>
      </c>
      <c r="AF216" s="84" t="str">
        <f t="shared" si="111"/>
        <v>"C:\Program Files (x86)\AstroGrep\AstroGrep.exe" /spath="%USERPROFILE%\AppData\Local\Temp\OnboardLogs" /stypes="app*4039*20170120*" /stext=" 06:.+((SYSTEM_STATE.+slice.+state.+changed )|(ment ac)|(multiple cpu faults)|(system.+state.+changed )|(\[timeout)|(PRM\|1\|D)|(kpr)|(kdp)|(\|lc)|(penalty))" /e /r /s</v>
      </c>
      <c r="AG216" s="1" t="str">
        <f t="shared" si="108"/>
        <v>Other</v>
      </c>
      <c r="AH216" s="88" t="str">
        <f t="shared" si="94"/>
        <v>"%USERPROFILE%\Documents\GitHub\eaglep3\Utilities\RefineRTDCRunTimes.py" --tripid 908-19 --locoid 4039 --swversion DE.1.0.8.0 --startMP 300:58630 --initTime 2017-01-19T23:05:35 --startdatetime 2017-01-19T23:07:08 --delay 1 --endMP 300:39347 --enddatetime 2017-01-19T23:11:18 --enforcementcount 5 &gt;&gt;C:\Users\stu\Documents\GitHub\eaglep3-reporting\EC\2017-01-19-refined-times.txt</v>
      </c>
      <c r="AI216" s="115" t="str">
        <f t="shared" si="95"/>
        <v>echo {"issue":{"subject":"","project_id":79,"tracker_id":40,"status_id":1,"priority_id":2,"assigned_to_id":23,"start_date":"2017-01-19","description":"","custom_fields":[{"id":1,"name":"Subdivision","value":"Other"},{"id":4,"name":"Milepost","value":"3.9347"},{"id":17,"name":"Train ID","value":"908-19"},{"id":16,"name":"Locomotive ID","value":"4039"},{"id":130,"name":"Impact","value":""},{"id":150,"name":"Time of Event (Mountain Time)","value":"23:11:18"},{"id":151,"name":"Denver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0"/>
      <c r="AK216" s="50"/>
      <c r="AL216" s="50"/>
      <c r="AM216" s="177" t="str">
        <f t="shared" si="96"/>
        <v>start /low /b %USERPROFILE%\Documents\GitHub\eaglep3\Utilities\DownloadLogsFromS3.py --loco 4039 --day 2017-01-19</v>
      </c>
      <c r="AN216" s="186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"%USERPROFILE%\AppData\Local\Temp\OnboardLogs"\RTDC4039\*4039*20170120* | grep -SE "(Enforcement Action)|(\[TIMEOUT)|(CHR.+\|PRM\|1\|D.+(SWITCH|SIGNAL).+UNKNOWN)" - &gt;&gt; 2017-01-19-UncaughtWiMAX.txt</v>
      </c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x14ac:dyDescent="0.25">
      <c r="A217" s="34" t="s">
        <v>585</v>
      </c>
      <c r="B217" s="7">
        <v>4004</v>
      </c>
      <c r="C217" s="22" t="s">
        <v>196</v>
      </c>
      <c r="D217" s="22" t="s">
        <v>766</v>
      </c>
      <c r="E217" s="13">
        <v>42754.455150462964</v>
      </c>
      <c r="F217" s="13">
        <v>42754.456446759257</v>
      </c>
      <c r="G217" s="7">
        <v>1</v>
      </c>
      <c r="H217" s="22">
        <v>8.5368055555555546</v>
      </c>
      <c r="I217" s="13">
        <v>42754.462418981479</v>
      </c>
      <c r="J217" s="7">
        <v>5</v>
      </c>
      <c r="K217" s="105" t="str">
        <f t="shared" si="98"/>
        <v>4003/4004</v>
      </c>
      <c r="L217" s="22" t="str">
        <f>VLOOKUP(A217,'Trips&amp;Operators'!$C$1:$G$99999,5,FALSE)</f>
        <v>HAITHCOX MICHAEL</v>
      </c>
      <c r="M217" s="6">
        <f t="shared" si="99"/>
        <v>5.9722222213167697E-3</v>
      </c>
      <c r="N217" s="7">
        <f t="shared" si="100"/>
        <v>8.5999999986961484</v>
      </c>
      <c r="O217" s="7"/>
      <c r="P217" s="7"/>
      <c r="Q217" s="23"/>
      <c r="R217" s="23"/>
      <c r="S217" s="32">
        <f t="shared" si="101"/>
        <v>0</v>
      </c>
      <c r="T217" s="47" t="e">
        <f t="shared" si="102"/>
        <v>#VALUE!</v>
      </c>
      <c r="U217" s="164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94" t="str">
        <f t="shared" si="109"/>
        <v>https://d0f6bd738d7f1b3e5a7ca70fe4ff75f0.us-east-1.aws.found.io/app/kibana#/discover/Steve-Slow-Train-Analysis-(2080s-and-2083s)?_g=(refreshInterval:(display:Off,pause:!f,section:0,value:0),time:(from:'2017-01-19T09:55:25-0700',mode:absolute,to:'2017-01-19T12:05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7" s="49" t="str">
        <f t="shared" si="103"/>
        <v>N</v>
      </c>
      <c r="X217" s="170" t="e">
        <f t="shared" si="97"/>
        <v>#VALUE!</v>
      </c>
      <c r="Y217" s="64">
        <f t="shared" si="104"/>
        <v>2.2336999999999998</v>
      </c>
      <c r="Z217" s="64">
        <f t="shared" si="105"/>
        <v>68055555.555500001</v>
      </c>
      <c r="AA217" s="64">
        <f t="shared" si="106"/>
        <v>68055553.321799994</v>
      </c>
      <c r="AB217" s="61" t="e">
        <f>VLOOKUP(A217,Enforcements!$C$7:$K$15,8,0)</f>
        <v>#N/A</v>
      </c>
      <c r="AC217" s="57" t="e">
        <f>VLOOKUP(A217,Enforcements!$C$7:$E$15,3,0)</f>
        <v>#N/A</v>
      </c>
      <c r="AD217" s="58" t="str">
        <f t="shared" si="107"/>
        <v>50-19</v>
      </c>
      <c r="AE217" s="87" t="str">
        <f t="shared" si="110"/>
        <v>aws s3 cp s3://rtdc.mdm.uploadarchive.raw/RTDC4004/ "%USERPROFILE%\AppData\Local\Temp\OnboardLogs"\RTDC4004\2017-01-19 --exclude "*" --recursive --include "*20170119*" &amp; "%USERPROFILE%\Documents\GitHub\mrs-test-scripts\Headless Mode &amp; Sideloading\WalkAndUnGZ.bat" "%USERPROFILE%\AppData\Local\Temp\OnboardLogs"\RTDC4004\2017-01-19 &amp; aws s3 cp s3://rtdc.mdm.uploadarchive.raw/RTDC4004/ "%USERPROFILE%\AppData\Local\Temp\OnboardLogs"\RTDC4004\2017-01-20 --exclude "*" --recursive --include "*20170120*" &amp; "%USERPROFILE%\Documents\GitHub\mrs-test-scripts\Headless Mode &amp; Sideloading\WalkAndUnGZ.bat" "%USERPROFILE%\AppData\Local\Temp\OnboardLogs"\RTDC4004\2017-01-20</v>
      </c>
      <c r="AF217" s="84" t="str">
        <f t="shared" si="111"/>
        <v>"C:\Program Files (x86)\AstroGrep\AstroGrep.exe" /spath="%USERPROFILE%\AppData\Local\Temp\OnboardLogs" /stypes="app*4004*20170119*" /stext=" 18:.+((SYSTEM_STATE.+slice.+state.+changed )|(ment ac)|(multiple cpu faults)|(system.+state.+changed )|(\[timeout)|(PRM\|1\|D)|(kpr)|(kdp)|(\|lc)|(penalty))" /e /r /s</v>
      </c>
      <c r="AG217" s="1" t="str">
        <f t="shared" si="108"/>
        <v>Other</v>
      </c>
      <c r="AH217" s="88" t="str">
        <f t="shared" si="94"/>
        <v>"%USERPROFILE%\Documents\GitHub\eaglep3\Utilities\RefineRTDCRunTimes.py" --tripid 50-19 --locoid 4004 --swversion DE.1.0.8.0 --startMP 300:22337 --initTime 2017-01-19T10:55:25 --startdatetime 2017-01-19T10:57:17 --delay 1 --endMP 8.53680555555555 --enddatetime 2017-01-19T11:05:53 --enforcementcount 5 &gt;&gt;C:\Users\stu\Documents\GitHub\eaglep3-reporting\EC\2017-01-19-refined-times.txt</v>
      </c>
      <c r="AI217" s="115" t="str">
        <f t="shared" si="95"/>
        <v>echo {"issue":{"subject":"","project_id":79,"tracker_id":40,"status_id":1,"priority_id":2,"assigned_to_id":23,"start_date":"2017-01-19","description":"","custom_fields":[{"id":1,"name":"Subdivision","value":"Other"},{"id":4,"name":"Milepost","value":"68055555.5555"},{"id":17,"name":"Train ID","value":"50-19"},{"id":16,"name":"Locomotive ID","value":"4004"},{"id":130,"name":"Impact","value":""},{"id":150,"name":"Time of Event (Mountain Time)","value":"11:05:53"},{"id":151,"name":"Denver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0"/>
      <c r="AK217" s="50"/>
      <c r="AL217" s="50"/>
      <c r="AM217" s="177" t="str">
        <f t="shared" si="96"/>
        <v>start /low /b %USERPROFILE%\Documents\GitHub\eaglep3\Utilities\DownloadLogsFromS3.py --loco 4004 --day 2017-01-19</v>
      </c>
      <c r="AN217" s="186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"%USERPROFILE%\AppData\Local\Temp\OnboardLogs"\RTDC4004\*4004*20170119* | grep -SE "(Enforcement Action)|(\[TIMEOUT)|(CHR.+\|PRM\|1\|D.+(SWITCH|SIGNAL).+UNKNOWN)" - &gt;&gt; 2017-01-19-UncaughtWiMAX.txt</v>
      </c>
    </row>
    <row r="218" spans="1:91" x14ac:dyDescent="0.25">
      <c r="A218" s="34" t="s">
        <v>486</v>
      </c>
      <c r="B218" s="7">
        <v>4003</v>
      </c>
      <c r="C218" s="22" t="s">
        <v>196</v>
      </c>
      <c r="D218" s="22" t="s">
        <v>767</v>
      </c>
      <c r="E218" s="13">
        <v>42754.481851851851</v>
      </c>
      <c r="F218" s="13">
        <v>25568.708333333332</v>
      </c>
      <c r="G218" s="7">
        <v>1</v>
      </c>
      <c r="H218" s="22" t="s">
        <v>768</v>
      </c>
      <c r="I218" s="13">
        <v>25568.708333333332</v>
      </c>
      <c r="J218" s="7">
        <v>5</v>
      </c>
      <c r="K218" s="105" t="str">
        <f t="shared" si="98"/>
        <v>4003/4004</v>
      </c>
      <c r="L218" s="22" t="str">
        <f>VLOOKUP(A218,'Trips&amp;Operators'!$C$1:$G$99999,5,FALSE)</f>
        <v>ROBINSON KADDIBA</v>
      </c>
      <c r="M218" s="6">
        <f t="shared" si="99"/>
        <v>0</v>
      </c>
      <c r="N218" s="7">
        <f t="shared" si="100"/>
        <v>0</v>
      </c>
      <c r="O218" s="7"/>
      <c r="P218" s="7"/>
      <c r="Q218" s="23"/>
      <c r="R218" s="23"/>
      <c r="S218" s="32">
        <f t="shared" si="101"/>
        <v>0</v>
      </c>
      <c r="T218" s="47" t="e">
        <f t="shared" si="102"/>
        <v>#VALUE!</v>
      </c>
      <c r="U218" s="164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94" t="str">
        <f t="shared" si="109"/>
        <v>https://d0f6bd738d7f1b3e5a7ca70fe4ff75f0.us-east-1.aws.found.io/app/kibana#/discover/Steve-Slow-Train-Analysis-(2080s-and-2083s)?_g=(refreshInterval:(display:Off,pause:!f,section:0,value:0),time:(from:'2017-01-19T10:33:52-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8" s="49" t="str">
        <f t="shared" si="103"/>
        <v>Y</v>
      </c>
      <c r="X218" s="170" t="e">
        <f t="shared" si="97"/>
        <v>#VALUE!</v>
      </c>
      <c r="Y218" s="64">
        <f t="shared" si="104"/>
        <v>3.4500000000000003E-2</v>
      </c>
      <c r="Z218" s="64">
        <f t="shared" si="105"/>
        <v>0.56420000000000003</v>
      </c>
      <c r="AA218" s="64">
        <f t="shared" si="106"/>
        <v>0.52970000000000006</v>
      </c>
      <c r="AB218" s="61" t="e">
        <f>VLOOKUP(A218,Enforcements!$C$7:$K$15,8,0)</f>
        <v>#N/A</v>
      </c>
      <c r="AC218" s="57" t="e">
        <f>VLOOKUP(A218,Enforcements!$C$7:$E$15,3,0)</f>
        <v>#N/A</v>
      </c>
      <c r="AD218" s="58" t="str">
        <f t="shared" si="107"/>
        <v>51-19</v>
      </c>
      <c r="AE218" s="87" t="str">
        <f t="shared" si="110"/>
        <v>aws s3 cp s3://rtdc.mdm.uploadarchive.raw/RTDC4003/ "%USERPROFILE%\AppData\Local\Temp\OnboardLogs"\RTDC4003\1969-12-31 --exclude "*" --recursive --include "*19691231*" &amp; "%USERPROFILE%\Documents\GitHub\mrs-test-scripts\Headless Mode &amp; Sideloading\WalkAndUnGZ.bat" "%USERPROFILE%\AppData\Local\Temp\OnboardLogs"\RTDC4003\1969-12-31 &amp; aws s3 cp s3://rtdc.mdm.uploadarchive.raw/RTDC4003/ "%USERPROFILE%\AppData\Local\Temp\OnboardLogs"\RTDC4003\1970-01-01 --exclude "*" --recursive --include "*19700101*" &amp; "%USERPROFILE%\Documents\GitHub\mrs-test-scripts\Headless Mode &amp; Sideloading\WalkAndUnGZ.bat" "%USERPROFILE%\AppData\Local\Temp\OnboardLogs"\RTDC4003\1970-01-01</v>
      </c>
      <c r="AF218" s="84" t="str">
        <f t="shared" si="111"/>
        <v>"C:\Program Files (x86)\AstroGrep\AstroGrep.exe" /spath="%USERPROFILE%\AppData\Local\Temp\OnboardLogs" /stypes="app*4003*19700101*" /stext=" 00:.+((SYSTEM_STATE.+slice.+state.+changed )|(ment ac)|(multiple cpu faults)|(system.+state.+changed )|(\[timeout)|(PRM\|1\|D)|(kpr)|(kdp)|(\|lc)|(penalty))" /e /r /s</v>
      </c>
      <c r="AG218" s="1" t="str">
        <f t="shared" si="108"/>
        <v>Other</v>
      </c>
      <c r="AH218" s="88" t="str">
        <f t="shared" si="94"/>
        <v>"%USERPROFILE%\Documents\GitHub\eaglep3\Utilities\RefineRTDCRunTimes.py" --tripid 51-19 --locoid 4003 --swversion DE.1.0.8.0 --startMP 204:345 --initTime 2017-01-19T11:33:52 --startdatetime 1969-12-31T17:00:00 --delay 1 --endMP 300:5642 --enddatetime 1969-12-31T17:00:00 --enforcementcount 5 &gt;&gt;C:\Users\stu\Documents\GitHub\eaglep3-reporting\EC\2017-01-19-refined-times.txt</v>
      </c>
      <c r="AI218" s="115" t="str">
        <f t="shared" si="95"/>
        <v>echo {"issue":{"subject":"","project_id":79,"tracker_id":40,"status_id":1,"priority_id":2,"assigned_to_id":23,"start_date":"1969-12-31","description":"","custom_fields":[{"id":1,"name":"Subdivision","value":"Other"},{"id":4,"name":"Milepost","value":"0.5642"},{"id":17,"name":"Train ID","value":"51-19"},{"id":16,"name":"Locomotive ID","value":"4003"},{"id":130,"name":"Impact","value":""},{"id":150,"name":"Time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0"/>
      <c r="AK218" s="50"/>
      <c r="AL218" s="50"/>
      <c r="AM218" s="177" t="str">
        <f t="shared" si="96"/>
        <v>start /low /b %USERPROFILE%\Documents\GitHub\eaglep3\Utilities\DownloadLogsFromS3.py --loco 4003 --day 1969-12-31</v>
      </c>
      <c r="AN218" s="186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"%USERPROFILE%\AppData\Local\Temp\OnboardLogs"\RTDC4003\*4003*19700101* | grep -SE "(Enforcement Action)|(\[TIMEOUT)|(CHR.+\|PRM\|1\|D.+(SWITCH|SIGNAL).+UNKNOWN)" - &gt;&gt; 2017-01-19-UncaughtWiMAX.txt</v>
      </c>
    </row>
    <row r="219" spans="1:91" x14ac:dyDescent="0.25">
      <c r="A219" s="34" t="s">
        <v>595</v>
      </c>
      <c r="B219" s="7">
        <v>4052</v>
      </c>
      <c r="C219" s="22" t="s">
        <v>196</v>
      </c>
      <c r="D219" s="22" t="s">
        <v>769</v>
      </c>
      <c r="E219" s="13">
        <v>42754.480219907404</v>
      </c>
      <c r="F219" s="13">
        <v>42754.481562499997</v>
      </c>
      <c r="G219" s="7">
        <v>1</v>
      </c>
      <c r="H219" s="22" t="s">
        <v>330</v>
      </c>
      <c r="I219" s="13">
        <v>42754.487349537034</v>
      </c>
      <c r="J219" s="7">
        <v>5</v>
      </c>
      <c r="K219" s="105" t="str">
        <f t="shared" si="98"/>
        <v>4051/4052</v>
      </c>
      <c r="L219" s="22" t="str">
        <f>VLOOKUP(A219,'Trips&amp;Operators'!$C$1:$G$99999,5,FALSE)</f>
        <v>HELVIE ADAM</v>
      </c>
      <c r="M219" s="6">
        <f t="shared" si="99"/>
        <v>5.7870370364980772E-3</v>
      </c>
      <c r="N219" s="7">
        <f t="shared" si="100"/>
        <v>8.3333333325572312</v>
      </c>
      <c r="O219" s="7"/>
      <c r="P219" s="7"/>
      <c r="Q219" s="23"/>
      <c r="R219" s="23"/>
      <c r="S219" s="32">
        <f t="shared" si="101"/>
        <v>0</v>
      </c>
      <c r="T219" s="47" t="e">
        <f t="shared" si="102"/>
        <v>#VALUE!</v>
      </c>
      <c r="U219" s="164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94" t="str">
        <f t="shared" si="109"/>
        <v>https://d0f6bd738d7f1b3e5a7ca70fe4ff75f0.us-east-1.aws.found.io/app/kibana#/discover/Steve-Slow-Train-Analysis-(2080s-and-2083s)?_g=(refreshInterval:(display:Off,pause:!f,section:0,value:0),time:(from:'2017-01-19T10:31:31-0700',mode:absolute,to:'2017-01-19T12:41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19" s="49" t="str">
        <f t="shared" si="103"/>
        <v>Y</v>
      </c>
      <c r="X219" s="170" t="e">
        <f t="shared" si="97"/>
        <v>#VALUE!</v>
      </c>
      <c r="Y219" s="64">
        <f t="shared" si="104"/>
        <v>2.1755</v>
      </c>
      <c r="Z219" s="64">
        <f t="shared" si="105"/>
        <v>9.5799999999999996E-2</v>
      </c>
      <c r="AA219" s="64">
        <f t="shared" si="106"/>
        <v>2.0796999999999999</v>
      </c>
      <c r="AB219" s="61" t="e">
        <f>VLOOKUP(A219,Enforcements!$C$7:$K$15,8,0)</f>
        <v>#N/A</v>
      </c>
      <c r="AC219" s="57" t="e">
        <f>VLOOKUP(A219,Enforcements!$C$7:$E$15,3,0)</f>
        <v>#N/A</v>
      </c>
      <c r="AD219" s="58" t="str">
        <f t="shared" si="107"/>
        <v>52-19</v>
      </c>
      <c r="AE219" s="87" t="str">
        <f t="shared" si="110"/>
        <v>aws s3 cp s3://rtdc.mdm.uploadarchive.raw/RTDC4052/ "%USERPROFILE%\AppData\Local\Temp\OnboardLogs"\RTDC4052\2017-01-19 --exclude "*" --recursive --include "*20170119*" &amp; "%USERPROFILE%\Documents\GitHub\mrs-test-scripts\Headless Mode &amp; Sideloading\WalkAndUnGZ.bat" "%USERPROFILE%\AppData\Local\Temp\OnboardLogs"\RTDC4052\2017-01-19 &amp; aws s3 cp s3://rtdc.mdm.uploadarchive.raw/RTDC4052/ "%USERPROFILE%\AppData\Local\Temp\OnboardLogs"\RTDC4052\2017-01-20 --exclude "*" --recursive --include "*20170120*" &amp; "%USERPROFILE%\Documents\GitHub\mrs-test-scripts\Headless Mode &amp; Sideloading\WalkAndUnGZ.bat" "%USERPROFILE%\AppData\Local\Temp\OnboardLogs"\RTDC4052\2017-01-20</v>
      </c>
      <c r="AF219" s="84" t="str">
        <f t="shared" si="111"/>
        <v>"C:\Program Files (x86)\AstroGrep\AstroGrep.exe" /spath="%USERPROFILE%\AppData\Local\Temp\OnboardLogs" /stypes="app*4052*20170119*" /stext=" 18:.+((SYSTEM_STATE.+slice.+state.+changed )|(ment ac)|(multiple cpu faults)|(system.+state.+changed )|(\[timeout)|(PRM\|1\|D)|(kpr)|(kdp)|(\|lc)|(penalty))" /e /r /s</v>
      </c>
      <c r="AG219" s="1" t="str">
        <f t="shared" si="108"/>
        <v>Other</v>
      </c>
      <c r="AH219" s="88" t="str">
        <f t="shared" si="94"/>
        <v>"%USERPROFILE%\Documents\GitHub\eaglep3\Utilities\RefineRTDCRunTimes.py" --tripid 52-19 --locoid 4052 --swversion DE.1.0.8.0 --startMP 300:21755 --initTime 2017-01-19T11:31:31 --startdatetime 2017-01-19T11:33:27 --delay 1 --endMP 204:958 --enddatetime 2017-01-19T11:41:47 --enforcementcount 5 &gt;&gt;C:\Users\stu\Documents\GitHub\eaglep3-reporting\EC\2017-01-19-refined-times.txt</v>
      </c>
      <c r="AI219" s="115" t="str">
        <f t="shared" si="95"/>
        <v>echo {"issue":{"subject":"","project_id":79,"tracker_id":40,"status_id":1,"priority_id":2,"assigned_to_id":23,"start_date":"2017-01-19","description":"","custom_fields":[{"id":1,"name":"Subdivision","value":"Other"},{"id":4,"name":"Milepost","value":"0.0958"},{"id":17,"name":"Train ID","value":"52-19"},{"id":16,"name":"Locomotive ID","value":"4052"},{"id":130,"name":"Impact","value":""},{"id":150,"name":"Time of Event (Mountain Time)","value":"11:41:47"},{"id":151,"name":"Denver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0"/>
      <c r="AK219" s="50"/>
      <c r="AL219" s="50"/>
      <c r="AM219" s="177" t="str">
        <f t="shared" si="96"/>
        <v>start /low /b %USERPROFILE%\Documents\GitHub\eaglep3\Utilities\DownloadLogsFromS3.py --loco 4052 --day 2017-01-19</v>
      </c>
      <c r="AN219" s="186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"%USERPROFILE%\AppData\Local\Temp\OnboardLogs"\RTDC4052\*4052*20170119* | grep -SE "(Enforcement Action)|(\[TIMEOUT)|(CHR.+\|PRM\|1\|D.+(SWITCH|SIGNAL).+UNKNOWN)" - &gt;&gt; 2017-01-19-UncaughtWiMAX.txt</v>
      </c>
    </row>
    <row r="220" spans="1:91" s="21" customFormat="1" x14ac:dyDescent="0.25">
      <c r="A220" s="34" t="s">
        <v>601</v>
      </c>
      <c r="B220" s="7">
        <v>4051</v>
      </c>
      <c r="C220" s="22" t="s">
        <v>196</v>
      </c>
      <c r="D220" s="22" t="s">
        <v>387</v>
      </c>
      <c r="E220" s="13">
        <v>42754.503854166665</v>
      </c>
      <c r="F220" s="13">
        <v>42754.509039351855</v>
      </c>
      <c r="G220" s="7">
        <v>0</v>
      </c>
      <c r="H220" s="22" t="s">
        <v>770</v>
      </c>
      <c r="I220" s="13">
        <v>42754.514456018522</v>
      </c>
      <c r="J220" s="7">
        <v>5</v>
      </c>
      <c r="K220" s="105" t="str">
        <f t="shared" si="98"/>
        <v>4051/4052</v>
      </c>
      <c r="L220" s="22" t="str">
        <f>VLOOKUP(A220,'Trips&amp;Operators'!$C$1:$G$99999,5,FALSE)</f>
        <v>YORK EDGAR</v>
      </c>
      <c r="M220" s="6">
        <f t="shared" si="99"/>
        <v>5.4166666668606922E-3</v>
      </c>
      <c r="N220" s="7">
        <f t="shared" si="100"/>
        <v>7.8000000002793968</v>
      </c>
      <c r="O220" s="7"/>
      <c r="P220" s="7"/>
      <c r="Q220" s="23"/>
      <c r="R220" s="23"/>
      <c r="S220" s="32">
        <f t="shared" si="101"/>
        <v>0</v>
      </c>
      <c r="T220" s="47" t="e">
        <f t="shared" si="102"/>
        <v>#VALUE!</v>
      </c>
      <c r="U220" s="164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94" t="str">
        <f t="shared" si="109"/>
        <v>https://d0f6bd738d7f1b3e5a7ca70fe4ff75f0.us-east-1.aws.found.io/app/kibana#/discover/Steve-Slow-Train-Analysis-(2080s-and-2083s)?_g=(refreshInterval:(display:Off,pause:!f,section:0,value:0),time:(from:'2017-01-19T11:05:33-0700',mode:absolute,to:'2017-01-19T13:20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20" s="49" t="str">
        <f t="shared" si="103"/>
        <v>Y</v>
      </c>
      <c r="X220" s="170" t="e">
        <f t="shared" si="97"/>
        <v>#VALUE!</v>
      </c>
      <c r="Y220" s="64">
        <f t="shared" si="104"/>
        <v>0.12720000000000001</v>
      </c>
      <c r="Z220" s="64">
        <f t="shared" si="105"/>
        <v>2.4258000000000002</v>
      </c>
      <c r="AA220" s="64">
        <f t="shared" si="106"/>
        <v>2.2986</v>
      </c>
      <c r="AB220" s="61" t="e">
        <f>VLOOKUP(A220,Enforcements!$C$7:$K$15,8,0)</f>
        <v>#N/A</v>
      </c>
      <c r="AC220" s="57" t="e">
        <f>VLOOKUP(A220,Enforcements!$C$7:$E$15,3,0)</f>
        <v>#N/A</v>
      </c>
      <c r="AD220" s="58" t="str">
        <f t="shared" si="107"/>
        <v>53-19</v>
      </c>
      <c r="AE220" s="87" t="str">
        <f t="shared" si="110"/>
        <v>aws s3 cp s3://rtdc.mdm.uploadarchive.raw/RTDC4051/ "%USERPROFILE%\AppData\Local\Temp\OnboardLogs"\RTDC4051\2017-01-19 --exclude "*" --recursive --include "*20170119*" &amp; "%USERPROFILE%\Documents\GitHub\mrs-test-scripts\Headless Mode &amp; Sideloading\WalkAndUnGZ.bat" "%USERPROFILE%\AppData\Local\Temp\OnboardLogs"\RTDC4051\2017-01-19 &amp; aws s3 cp s3://rtdc.mdm.uploadarchive.raw/RTDC4051/ "%USERPROFILE%\AppData\Local\Temp\OnboardLogs"\RTDC4051\2017-01-20 --exclude "*" --recursive --include "*20170120*" &amp; "%USERPROFILE%\Documents\GitHub\mrs-test-scripts\Headless Mode &amp; Sideloading\WalkAndUnGZ.bat" "%USERPROFILE%\AppData\Local\Temp\OnboardLogs"\RTDC4051\2017-01-20</v>
      </c>
      <c r="AF220" s="84" t="str">
        <f t="shared" si="111"/>
        <v>"C:\Program Files (x86)\AstroGrep\AstroGrep.exe" /spath="%USERPROFILE%\AppData\Local\Temp\OnboardLogs" /stypes="app*4051*20170119*" /stext=" 19:.+((SYSTEM_STATE.+slice.+state.+changed )|(ment ac)|(multiple cpu faults)|(system.+state.+changed )|(\[timeout)|(PRM\|1\|D)|(kpr)|(kdp)|(\|lc)|(penalty))" /e /r /s</v>
      </c>
      <c r="AG220" s="1" t="str">
        <f t="shared" si="108"/>
        <v>Other</v>
      </c>
      <c r="AH220" s="88" t="str">
        <f t="shared" ref="AH220:AH241" si="112">refinertdcruntimes&amp;" --tripid "&amp;A220&amp;" --locoid "&amp;B220&amp;" --swversion "&amp;C220&amp;" --startMP "&amp;D220&amp;" --initTime "&amp;TEXT(E220,"yyyy-mm-ddTHH:MM:SS")&amp;" --startdatetime "&amp;TEXT(F220,"yyyy-mm-ddTHH:MM:SS")&amp;" --delay "&amp;G220&amp;" --endMP "&amp;H220&amp;" --enddatetime "&amp;TEXT(I220,"yyyy-mm-ddTHH:MM:SS")&amp;" --enforcementcount "&amp;J220&amp;IF(outputrefinedruntimes," &gt;&gt;"&amp;RefinedRTDCRunTimesOutputFile,"")</f>
        <v>"%USERPROFILE%\Documents\GitHub\eaglep3\Utilities\RefineRTDCRunTimes.py" --tripid 53-19 --locoid 4051 --swversion DE.1.0.8.0 --startMP 204:1272 --initTime 2017-01-19T12:05:33 --startdatetime 2017-01-19T12:13:01 --delay 0 --endMP 300:24258 --enddatetime 2017-01-19T12:20:49 --enforcementcount 5 &gt;&gt;C:\Users\stu\Documents\GitHub\eaglep3-reporting\EC\2017-01-19-refined-times.txt</v>
      </c>
      <c r="AI220" s="115" t="str">
        <f t="shared" ref="AI220:AI241" si="113">"echo {""issue"":{""subject"":"""&amp;R220&amp;""",""project_id"":79,""tracker_id"":40,""status_id"":"&amp;redmine_status&amp;",""priority_id"":"&amp;redmine_priority&amp;",""assigned_to_id"":"&amp;redmine_assignee&amp;",""start_date"":"""&amp;TEXT(I220,"YYYY-mm-dd")&amp;""",""description"":"""&amp;AJ220&amp;""",""custom_fields"":[{""id"":1,""name"":""Subdivision"",""value"":"""&amp;AG220&amp;"""},{""id"":4,""name"":""Milepost"",""value"":"""&amp;Z220&amp;"""},{""id"":17,""name"":""Train ID"",""value"":"""&amp;A220&amp;"""},{""id"":16,""name"":""Locomotive ID"",""value"":"""&amp;B220&amp;"""},{""id"":130,""name"":""Impact"",""value"":"""&amp;AK220&amp;"""},{""id"":150,""name"":""Time of Event (Mountain Time)"",""value"":"""&amp;TEXT(I220,"hh:mm:ss")&amp;"""},{""id"":151,""name"":""Denver Issue ID"",""value"":"""&amp;"""},{""id"":178,""name"":""Operational Impact"",""value"":"""&amp;redmine_op_impact&amp;"""},{""id"":179,""name"":""Denver Segment Assigned"",""value"":"""&amp;AL220&amp;"""}]}}"&amp;"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{"issue":{"subject":"","project_id":79,"tracker_id":40,"status_id":1,"priority_id":2,"assigned_to_id":23,"start_date":"2017-01-19","description":"","custom_fields":[{"id":1,"name":"Subdivision","value":"Other"},{"id":4,"name":"Milepost","value":"2.4258"},{"id":17,"name":"Train ID","value":"53-19"},{"id":16,"name":"Locomotive ID","value":"4051"},{"id":130,"name":"Impact","value":""},{"id":150,"name":"Time of Event (Mountain Time)","value":"12:20:49"},{"id":151,"name":"Denver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0"/>
      <c r="AK220" s="50"/>
      <c r="AL220" s="50"/>
      <c r="AM220" s="177" t="str">
        <f t="shared" ref="AM220:AM241" si="114">"start /low /b "&amp;dls3logs&amp;" --loco "&amp;B220&amp;" --day "&amp;TEXT(F220,"YYYY-MM-DD")</f>
        <v>start /low /b %USERPROFILE%\Documents\GitHub\eaglep3\Utilities\DownloadLogsFromS3.py --loco 4051 --day 2017-01-19</v>
      </c>
      <c r="AN220" s="186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"%USERPROFILE%\AppData\Local\Temp\OnboardLogs"\RTDC4051\*4051*20170119* | grep -SE "(Enforcement Action)|(\[TIMEOUT)|(CHR.+\|PRM\|1\|D.+(SWITCH|SIGNAL).+UNKNOWN)" - &gt;&gt; 2017-01-19-UncaughtWiMAX.txt</v>
      </c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x14ac:dyDescent="0.25">
      <c r="A221" s="34" t="s">
        <v>697</v>
      </c>
      <c r="B221" s="7">
        <v>4027</v>
      </c>
      <c r="C221" s="22" t="s">
        <v>196</v>
      </c>
      <c r="D221" s="22" t="s">
        <v>771</v>
      </c>
      <c r="E221" s="13">
        <v>42754.994120370371</v>
      </c>
      <c r="F221" s="13">
        <v>42754.999328703707</v>
      </c>
      <c r="G221" s="7">
        <v>1</v>
      </c>
      <c r="H221" s="22" t="s">
        <v>772</v>
      </c>
      <c r="I221" s="13">
        <v>42755.018657407411</v>
      </c>
      <c r="J221" s="7">
        <v>5</v>
      </c>
      <c r="K221" s="105" t="str">
        <f t="shared" ref="K221:K241" si="115">IF(ISEVEN(B221),(B221-1)&amp;"/"&amp;B221,B221&amp;"/"&amp;(B221+1))</f>
        <v>4027/4028</v>
      </c>
      <c r="L221" s="22" t="str">
        <f>VLOOKUP(A221,'Trips&amp;Operators'!$C$1:$G$99999,5,FALSE)</f>
        <v>PERKINS DARREN</v>
      </c>
      <c r="M221" s="6">
        <f t="shared" ref="M221:M241" si="116">I221-F221</f>
        <v>1.9328703703649808E-2</v>
      </c>
      <c r="N221" s="7">
        <f t="shared" ref="N221:N241" si="117">24*60*SUM($M221:$M221)</f>
        <v>27.833333333255723</v>
      </c>
      <c r="O221" s="7"/>
      <c r="P221" s="7"/>
      <c r="Q221" s="23"/>
      <c r="R221" s="23"/>
      <c r="S221" s="32">
        <f t="shared" ref="S221:S241" si="118">SUM(U221:U221)/IF(AG221="EC",12,1)</f>
        <v>0</v>
      </c>
      <c r="T221" s="47" t="e">
        <f t="shared" ref="T221:T241" si="119">IF(ISEVEN(LEFT(AD221,4)),"Southbound","NorthBound")</f>
        <v>#VALUE!</v>
      </c>
      <c r="U221" s="164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94" t="str">
        <f t="shared" si="109"/>
        <v>https://d0f6bd738d7f1b3e5a7ca70fe4ff75f0.us-east-1.aws.found.io/app/kibana#/discover/Steve-Slow-Train-Analysis-(2080s-and-2083s)?_g=(refreshInterval:(display:Off,pause:!f,section:0,value:0),time:(from:'2017-01-19T22:51:32-0700',mode:absolute,to:'2017-01-20T01:26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21" s="49" t="str">
        <f t="shared" ref="W221:W241" si="120">IF(AA221&lt;IF(AG221="EC",23,5.65),"Y","N")</f>
        <v>N</v>
      </c>
      <c r="X221" s="170" t="e">
        <f t="shared" ref="X221:X241" si="121">VALUE(LEFT(AD221,4))-VALUE(LEFT(AD220,4))</f>
        <v>#VALUE!</v>
      </c>
      <c r="Y221" s="64">
        <f t="shared" ref="Y221:Y241" si="122">RIGHT(D221,LEN(D221)-4)/10000</f>
        <v>0.94589999999999996</v>
      </c>
      <c r="Z221" s="64">
        <f t="shared" ref="Z221:Z241" si="123">RIGHT(H221,LEN(H221)-4)/10000</f>
        <v>10.7628</v>
      </c>
      <c r="AA221" s="64">
        <f t="shared" ref="AA221:AA241" si="124">ABS(Z221-Y221)</f>
        <v>9.8169000000000004</v>
      </c>
      <c r="AB221" s="61" t="e">
        <f>VLOOKUP(A221,Enforcements!$C$7:$K$15,8,0)</f>
        <v>#N/A</v>
      </c>
      <c r="AC221" s="57" t="e">
        <f>VLOOKUP(A221,Enforcements!$C$7:$E$15,3,0)</f>
        <v>#N/A</v>
      </c>
      <c r="AD221" s="58" t="str">
        <f t="shared" ref="AD221:AD241" si="125">IF(LEN(A221)=6,"0"&amp;A221,A221)</f>
        <v>55-19</v>
      </c>
      <c r="AE221" s="87" t="str">
        <f t="shared" si="110"/>
        <v>aws s3 cp s3://rtdc.mdm.uploadarchive.raw/RTDC4027/ "%USERPROFILE%\AppData\Local\Temp\OnboardLogs"\RTDC4027\2017-01-19 --exclude "*" --recursive --include "*20170119*" &amp; "%USERPROFILE%\Documents\GitHub\mrs-test-scripts\Headless Mode &amp; Sideloading\WalkAndUnGZ.bat" "%USERPROFILE%\AppData\Local\Temp\OnboardLogs"\RTDC4027\2017-01-19 &amp; aws s3 cp s3://rtdc.mdm.uploadarchive.raw/RTDC4027/ "%USERPROFILE%\AppData\Local\Temp\OnboardLogs"\RTDC4027\2017-01-20 --exclude "*" --recursive --include "*20170120*" &amp; "%USERPROFILE%\Documents\GitHub\mrs-test-scripts\Headless Mode &amp; Sideloading\WalkAndUnGZ.bat" "%USERPROFILE%\AppData\Local\Temp\OnboardLogs"\RTDC4027\2017-01-20</v>
      </c>
      <c r="AF221" s="84" t="str">
        <f t="shared" si="111"/>
        <v>"C:\Program Files (x86)\AstroGrep\AstroGrep.exe" /spath="%USERPROFILE%\AppData\Local\Temp\OnboardLogs" /stypes="app*4027*20170120*" /stext=" 07:.+((SYSTEM_STATE.+slice.+state.+changed )|(ment ac)|(multiple cpu faults)|(system.+state.+changed )|(\[timeout)|(PRM\|1\|D)|(kpr)|(kdp)|(\|lc)|(penalty))" /e /r /s</v>
      </c>
      <c r="AG221" s="1" t="str">
        <f t="shared" ref="AG221:AG241" si="126">IFERROR(IF(VALUE(LEFT(AD221,2))&lt;=2,"EC",IF(OR(VALUE(LEFT(AD221,2))=8,VALUE(LEFT(AD221,2))=18),"NW","Other")),"Other")</f>
        <v>Other</v>
      </c>
      <c r="AH221" s="88" t="str">
        <f t="shared" si="112"/>
        <v>"%USERPROFILE%\Documents\GitHub\eaglep3\Utilities\RefineRTDCRunTimes.py" --tripid 55-19 --locoid 4027 --swversion DE.1.0.8.0 --startMP 204:9459 --initTime 2017-01-19T23:51:32 --startdatetime 2017-01-19T23:59:02 --delay 1 --endMP 204:107628 --enddatetime 2017-01-20T00:26:52 --enforcementcount 5 &gt;&gt;C:\Users\stu\Documents\GitHub\eaglep3-reporting\EC\2017-01-19-refined-times.txt</v>
      </c>
      <c r="AI221" s="115" t="str">
        <f t="shared" si="113"/>
        <v>echo {"issue":{"subject":"","project_id":79,"tracker_id":40,"status_id":1,"priority_id":2,"assigned_to_id":23,"start_date":"2017-01-20","description":"","custom_fields":[{"id":1,"name":"Subdivision","value":"Other"},{"id":4,"name":"Milepost","value":"10.7628"},{"id":17,"name":"Train ID","value":"55-19"},{"id":16,"name":"Locomotive ID","value":"4027"},{"id":130,"name":"Impact","value":""},{"id":150,"name":"Time of Event (Mountain Time)","value":"00:26:52"},{"id":151,"name":"Denver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0"/>
      <c r="AK221" s="50"/>
      <c r="AL221" s="50"/>
      <c r="AM221" s="177" t="str">
        <f t="shared" si="114"/>
        <v>start /low /b %USERPROFILE%\Documents\GitHub\eaglep3\Utilities\DownloadLogsFromS3.py --loco 4027 --day 2017-01-19</v>
      </c>
      <c r="AN221" s="186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"%USERPROFILE%\AppData\Local\Temp\OnboardLogs"\RTDC4027\*4027*20170120* | grep -SE "(Enforcement Action)|(\[TIMEOUT)|(CHR.+\|PRM\|1\|D.+(SWITCH|SIGNAL).+UNKNOWN)" - &gt;&gt; 2017-01-19-UncaughtWiMAX.txt</v>
      </c>
    </row>
    <row r="222" spans="1:91" s="21" customFormat="1" x14ac:dyDescent="0.25">
      <c r="A222" s="34" t="s">
        <v>697</v>
      </c>
      <c r="B222" s="7">
        <v>4027</v>
      </c>
      <c r="C222" s="22" t="s">
        <v>196</v>
      </c>
      <c r="D222" s="22" t="s">
        <v>773</v>
      </c>
      <c r="E222" s="13">
        <v>42755.095856481479</v>
      </c>
      <c r="F222" s="13">
        <v>42755.135717592595</v>
      </c>
      <c r="G222" s="7">
        <v>1</v>
      </c>
      <c r="H222" s="22" t="s">
        <v>774</v>
      </c>
      <c r="I222" s="13">
        <v>42755.13685185185</v>
      </c>
      <c r="J222" s="7">
        <v>5</v>
      </c>
      <c r="K222" s="105" t="str">
        <f t="shared" si="115"/>
        <v>4027/4028</v>
      </c>
      <c r="L222" s="22" t="str">
        <f>VLOOKUP(A222,'Trips&amp;Operators'!$C$1:$G$99999,5,FALSE)</f>
        <v>PERKINS DARREN</v>
      </c>
      <c r="M222" s="6">
        <f t="shared" si="116"/>
        <v>1.1342592551955022E-3</v>
      </c>
      <c r="N222" s="7">
        <f t="shared" si="117"/>
        <v>1.6333333274815232</v>
      </c>
      <c r="O222" s="7"/>
      <c r="P222" s="7"/>
      <c r="Q222" s="23"/>
      <c r="R222" s="23"/>
      <c r="S222" s="32">
        <f t="shared" si="118"/>
        <v>0</v>
      </c>
      <c r="T222" s="47" t="e">
        <f t="shared" si="119"/>
        <v>#VALUE!</v>
      </c>
      <c r="U222" s="164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4" t="str">
        <f t="shared" si="109"/>
        <v>https://d0f6bd738d7f1b3e5a7ca70fe4ff75f0.us-east-1.aws.found.io/app/kibana#/discover/Steve-Slow-Train-Analysis-(2080s-and-2083s)?_g=(refreshInterval:(display:Off,pause:!f,section:0,value:0),time:(from:'2017-01-20T01:18:02-0700',mode:absolute,to:'2017-01-20T04:17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22" s="49" t="str">
        <f t="shared" si="120"/>
        <v>N</v>
      </c>
      <c r="X222" s="170" t="e">
        <f t="shared" si="121"/>
        <v>#VALUE!</v>
      </c>
      <c r="Y222" s="64">
        <f t="shared" si="122"/>
        <v>0.97360000000000002</v>
      </c>
      <c r="Z222" s="64">
        <f t="shared" si="123"/>
        <v>10.756399999999999</v>
      </c>
      <c r="AA222" s="64">
        <f t="shared" si="124"/>
        <v>9.7827999999999999</v>
      </c>
      <c r="AB222" s="61" t="e">
        <f>VLOOKUP(A222,Enforcements!$C$7:$K$15,8,0)</f>
        <v>#N/A</v>
      </c>
      <c r="AC222" s="57" t="e">
        <f>VLOOKUP(A222,Enforcements!$C$7:$E$15,3,0)</f>
        <v>#N/A</v>
      </c>
      <c r="AD222" s="58" t="str">
        <f t="shared" si="125"/>
        <v>55-19</v>
      </c>
      <c r="AE222" s="87" t="str">
        <f t="shared" si="110"/>
        <v>aws s3 cp s3://rtdc.mdm.uploadarchive.raw/RTDC4027/ "%USERPROFILE%\AppData\Local\Temp\OnboardLogs"\RTDC4027\2017-01-20 --exclude "*" --recursive --include "*20170120*" &amp; "%USERPROFILE%\Documents\GitHub\mrs-test-scripts\Headless Mode &amp; Sideloading\WalkAndUnGZ.bat" "%USERPROFILE%\AppData\Local\Temp\OnboardLogs"\RTDC4027\2017-01-20 &amp; aws s3 cp s3://rtdc.mdm.uploadarchive.raw/RTDC4027/ "%USERPROFILE%\AppData\Local\Temp\OnboardLogs"\RTDC4027\2017-01-21 --exclude "*" --recursive --include "*20170121*" &amp; "%USERPROFILE%\Documents\GitHub\mrs-test-scripts\Headless Mode &amp; Sideloading\WalkAndUnGZ.bat" "%USERPROFILE%\AppData\Local\Temp\OnboardLogs"\RTDC4027\2017-01-21</v>
      </c>
      <c r="AF222" s="84" t="str">
        <f t="shared" si="111"/>
        <v>"C:\Program Files (x86)\AstroGrep\AstroGrep.exe" /spath="%USERPROFILE%\AppData\Local\Temp\OnboardLogs" /stypes="app*4027*20170120*" /stext=" 10:.+((SYSTEM_STATE.+slice.+state.+changed )|(ment ac)|(multiple cpu faults)|(system.+state.+changed )|(\[timeout)|(PRM\|1\|D)|(kpr)|(kdp)|(\|lc)|(penalty))" /e /r /s</v>
      </c>
      <c r="AG222" s="1" t="str">
        <f t="shared" si="126"/>
        <v>Other</v>
      </c>
      <c r="AH222" s="88" t="str">
        <f t="shared" si="112"/>
        <v>"%USERPROFILE%\Documents\GitHub\eaglep3\Utilities\RefineRTDCRunTimes.py" --tripid 55-19 --locoid 4027 --swversion DE.1.0.8.0 --startMP 204:9736 --initTime 2017-01-20T02:18:02 --startdatetime 2017-01-20T03:15:26 --delay 1 --endMP 204:107564 --enddatetime 2017-01-20T03:17:04 --enforcementcount 5 &gt;&gt;C:\Users\stu\Documents\GitHub\eaglep3-reporting\EC\2017-01-19-refined-times.txt</v>
      </c>
      <c r="AI222" s="115" t="str">
        <f t="shared" si="113"/>
        <v>echo {"issue":{"subject":"","project_id":79,"tracker_id":40,"status_id":1,"priority_id":2,"assigned_to_id":23,"start_date":"2017-01-20","description":"","custom_fields":[{"id":1,"name":"Subdivision","value":"Other"},{"id":4,"name":"Milepost","value":"10.7564"},{"id":17,"name":"Train ID","value":"55-19"},{"id":16,"name":"Locomotive ID","value":"4027"},{"id":130,"name":"Impact","value":""},{"id":150,"name":"Time of Event (Mountain Time)","value":"03:17:04"},{"id":151,"name":"Denver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0"/>
      <c r="AK222" s="50"/>
      <c r="AL222" s="50"/>
      <c r="AM222" s="177" t="str">
        <f t="shared" si="114"/>
        <v>start /low /b %USERPROFILE%\Documents\GitHub\eaglep3\Utilities\DownloadLogsFromS3.py --loco 4027 --day 2017-01-20</v>
      </c>
      <c r="AN222" s="186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"%USERPROFILE%\AppData\Local\Temp\OnboardLogs"\RTDC4027\*4027*20170120* | grep -SE "(Enforcement Action)|(\[TIMEOUT)|(CHR.+\|PRM\|1\|D.+(SWITCH|SIGNAL).+UNKNOWN)" - &gt;&gt; 2017-01-19-UncaughtWiMAX.txt</v>
      </c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x14ac:dyDescent="0.25">
      <c r="A223" s="34" t="s">
        <v>697</v>
      </c>
      <c r="B223" s="7">
        <v>4027</v>
      </c>
      <c r="C223" s="22" t="s">
        <v>196</v>
      </c>
      <c r="D223" s="22" t="s">
        <v>775</v>
      </c>
      <c r="E223" s="13">
        <v>42755.048379629632</v>
      </c>
      <c r="F223" s="13">
        <v>42755.105046296296</v>
      </c>
      <c r="G223" s="7">
        <v>1</v>
      </c>
      <c r="H223" s="22" t="s">
        <v>776</v>
      </c>
      <c r="I223" s="13">
        <v>42755.120740740742</v>
      </c>
      <c r="J223" s="7">
        <v>5</v>
      </c>
      <c r="K223" s="105" t="str">
        <f t="shared" si="115"/>
        <v>4027/4028</v>
      </c>
      <c r="L223" s="22" t="str">
        <f>VLOOKUP(A223,'Trips&amp;Operators'!$C$1:$G$99999,5,FALSE)</f>
        <v>PERKINS DARREN</v>
      </c>
      <c r="M223" s="6">
        <f t="shared" si="116"/>
        <v>1.5694444446125999E-2</v>
      </c>
      <c r="N223" s="7">
        <f t="shared" si="117"/>
        <v>22.600000002421439</v>
      </c>
      <c r="O223" s="7"/>
      <c r="P223" s="7"/>
      <c r="Q223" s="23"/>
      <c r="R223" s="23"/>
      <c r="S223" s="32">
        <f t="shared" si="118"/>
        <v>0</v>
      </c>
      <c r="T223" s="47" t="e">
        <f t="shared" si="119"/>
        <v>#VALUE!</v>
      </c>
      <c r="U223" s="164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4" t="str">
        <f t="shared" si="109"/>
        <v>https://d0f6bd738d7f1b3e5a7ca70fe4ff75f0.us-east-1.aws.found.io/app/kibana#/discover/Steve-Slow-Train-Analysis-(2080s-and-2083s)?_g=(refreshInterval:(display:Off,pause:!f,section:0,value:0),time:(from:'2017-01-20T00:09:40-0700',mode:absolute,to:'2017-01-20T03:53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23" s="49" t="str">
        <f t="shared" si="120"/>
        <v>N</v>
      </c>
      <c r="X223" s="170" t="e">
        <f t="shared" si="121"/>
        <v>#VALUE!</v>
      </c>
      <c r="Y223" s="64">
        <f t="shared" si="122"/>
        <v>0.99470000000000003</v>
      </c>
      <c r="Z223" s="64">
        <f t="shared" si="123"/>
        <v>10.754300000000001</v>
      </c>
      <c r="AA223" s="64">
        <f t="shared" si="124"/>
        <v>9.7596000000000007</v>
      </c>
      <c r="AB223" s="61" t="e">
        <f>VLOOKUP(A223,Enforcements!$C$7:$K$15,8,0)</f>
        <v>#N/A</v>
      </c>
      <c r="AC223" s="57" t="e">
        <f>VLOOKUP(A223,Enforcements!$C$7:$E$15,3,0)</f>
        <v>#N/A</v>
      </c>
      <c r="AD223" s="58" t="str">
        <f t="shared" si="125"/>
        <v>55-19</v>
      </c>
      <c r="AE223" s="87" t="str">
        <f t="shared" si="110"/>
        <v>aws s3 cp s3://rtdc.mdm.uploadarchive.raw/RTDC4027/ "%USERPROFILE%\AppData\Local\Temp\OnboardLogs"\RTDC4027\2017-01-20 --exclude "*" --recursive --include "*20170120*" &amp; "%USERPROFILE%\Documents\GitHub\mrs-test-scripts\Headless Mode &amp; Sideloading\WalkAndUnGZ.bat" "%USERPROFILE%\AppData\Local\Temp\OnboardLogs"\RTDC4027\2017-01-20 &amp; aws s3 cp s3://rtdc.mdm.uploadarchive.raw/RTDC4027/ "%USERPROFILE%\AppData\Local\Temp\OnboardLogs"\RTDC4027\2017-01-21 --exclude "*" --recursive --include "*20170121*" &amp; "%USERPROFILE%\Documents\GitHub\mrs-test-scripts\Headless Mode &amp; Sideloading\WalkAndUnGZ.bat" "%USERPROFILE%\AppData\Local\Temp\OnboardLogs"\RTDC4027\2017-01-21</v>
      </c>
      <c r="AF223" s="84" t="str">
        <f t="shared" si="111"/>
        <v>"C:\Program Files (x86)\AstroGrep\AstroGrep.exe" /spath="%USERPROFILE%\AppData\Local\Temp\OnboardLogs" /stypes="app*4027*20170120*" /stext=" 09:.+((SYSTEM_STATE.+slice.+state.+changed )|(ment ac)|(multiple cpu faults)|(system.+state.+changed )|(\[timeout)|(PRM\|1\|D)|(kpr)|(kdp)|(\|lc)|(penalty))" /e /r /s</v>
      </c>
      <c r="AG223" s="1" t="str">
        <f t="shared" si="126"/>
        <v>Other</v>
      </c>
      <c r="AH223" s="88" t="str">
        <f t="shared" si="112"/>
        <v>"%USERPROFILE%\Documents\GitHub\eaglep3\Utilities\RefineRTDCRunTimes.py" --tripid 55-19 --locoid 4027 --swversion DE.1.0.8.0 --startMP 204:9947 --initTime 2017-01-20T01:09:40 --startdatetime 2017-01-20T02:31:16 --delay 1 --endMP 204:107543 --enddatetime 2017-01-20T02:53:52 --enforcementcount 5 &gt;&gt;C:\Users\stu\Documents\GitHub\eaglep3-reporting\EC\2017-01-19-refined-times.txt</v>
      </c>
      <c r="AI223" s="115" t="str">
        <f t="shared" si="113"/>
        <v>echo {"issue":{"subject":"","project_id":79,"tracker_id":40,"status_id":1,"priority_id":2,"assigned_to_id":23,"start_date":"2017-01-20","description":"","custom_fields":[{"id":1,"name":"Subdivision","value":"Other"},{"id":4,"name":"Milepost","value":"10.7543"},{"id":17,"name":"Train ID","value":"55-19"},{"id":16,"name":"Locomotive ID","value":"4027"},{"id":130,"name":"Impact","value":""},{"id":150,"name":"Time of Event (Mountain Time)","value":"02:53:52"},{"id":151,"name":"Denver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0"/>
      <c r="AK223" s="50"/>
      <c r="AL223" s="50"/>
      <c r="AM223" s="177" t="str">
        <f t="shared" si="114"/>
        <v>start /low /b %USERPROFILE%\Documents\GitHub\eaglep3\Utilities\DownloadLogsFromS3.py --loco 4027 --day 2017-01-20</v>
      </c>
      <c r="AN223" s="186" t="str">
        <f>"grep -SE -B400 ""CHR.+\|PRM\|1\|D.+(SWITCH|SIGNAL).+UNKNOWN"" "&amp;search_path&amp;"\RTDC"&amp;B223&amp;"\*"&amp;B223&amp;"*"&amp;TEXT(AVERAGE(F223,I223)-utc_offset/24,"YYYYMMDD")&amp;"*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"%USERPROFILE%\AppData\Local\Temp\OnboardLogs"\RTDC4027\*4027*20170120* | grep -SE "(Enforcement Action)|(\[TIMEOUT)|(CHR.+\|PRM\|1\|D.+(SWITCH|SIGNAL).+UNKNOWN)" - &gt;&gt; 2017-01-19-UncaughtWiMAX.txt</v>
      </c>
    </row>
    <row r="224" spans="1:91" x14ac:dyDescent="0.25">
      <c r="A224" s="34" t="s">
        <v>700</v>
      </c>
      <c r="B224" s="7">
        <v>4028</v>
      </c>
      <c r="C224" s="22" t="s">
        <v>196</v>
      </c>
      <c r="D224" s="22" t="s">
        <v>777</v>
      </c>
      <c r="E224" s="13">
        <v>42755.028425925928</v>
      </c>
      <c r="F224" s="13">
        <v>42755.029756944445</v>
      </c>
      <c r="G224" s="7">
        <v>1</v>
      </c>
      <c r="H224" s="22" t="s">
        <v>778</v>
      </c>
      <c r="I224" s="13">
        <v>42755.046226851853</v>
      </c>
      <c r="J224" s="7">
        <v>5</v>
      </c>
      <c r="K224" s="105" t="str">
        <f t="shared" si="115"/>
        <v>4027/4028</v>
      </c>
      <c r="L224" s="22" t="str">
        <f>VLOOKUP(A224,'Trips&amp;Operators'!$C$1:$G$99999,5,FALSE)</f>
        <v>PERKINS DARREN</v>
      </c>
      <c r="M224" s="6">
        <f t="shared" si="116"/>
        <v>1.6469907408463769E-2</v>
      </c>
      <c r="N224" s="7">
        <f t="shared" si="117"/>
        <v>23.716666668187827</v>
      </c>
      <c r="O224" s="7"/>
      <c r="P224" s="7"/>
      <c r="Q224" s="23"/>
      <c r="R224" s="23"/>
      <c r="S224" s="32">
        <f t="shared" si="118"/>
        <v>0</v>
      </c>
      <c r="T224" s="47" t="e">
        <f t="shared" si="119"/>
        <v>#VALUE!</v>
      </c>
      <c r="U224" s="164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4" t="str">
        <f t="shared" si="109"/>
        <v>https://d0f6bd738d7f1b3e5a7ca70fe4ff75f0.us-east-1.aws.found.io/app/kibana#/discover/Steve-Slow-Train-Analysis-(2080s-and-2083s)?_g=(refreshInterval:(display:Off,pause:!f,section:0,value:0),time:(from:'2017-01-19T23:40:56-0700',mode:absolute,to:'2017-01-20T02:06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24" s="49" t="str">
        <f t="shared" si="120"/>
        <v>N</v>
      </c>
      <c r="X224" s="170" t="e">
        <f t="shared" si="121"/>
        <v>#VALUE!</v>
      </c>
      <c r="Y224" s="64">
        <f t="shared" si="122"/>
        <v>10.685</v>
      </c>
      <c r="Z224" s="64">
        <f t="shared" si="123"/>
        <v>0.96360000000000001</v>
      </c>
      <c r="AA224" s="64">
        <f t="shared" si="124"/>
        <v>9.7214000000000009</v>
      </c>
      <c r="AB224" s="61" t="e">
        <f>VLOOKUP(A224,Enforcements!$C$7:$K$15,8,0)</f>
        <v>#N/A</v>
      </c>
      <c r="AC224" s="57" t="e">
        <f>VLOOKUP(A224,Enforcements!$C$7:$E$15,3,0)</f>
        <v>#N/A</v>
      </c>
      <c r="AD224" s="58" t="str">
        <f t="shared" si="125"/>
        <v>56-19</v>
      </c>
      <c r="AE224" s="87" t="str">
        <f t="shared" si="110"/>
        <v>aws s3 cp s3://rtdc.mdm.uploadarchive.raw/RTDC4028/ "%USERPROFILE%\AppData\Local\Temp\OnboardLogs"\RTDC4028\2017-01-20 --exclude "*" --recursive --include "*20170120*" &amp; "%USERPROFILE%\Documents\GitHub\mrs-test-scripts\Headless Mode &amp; Sideloading\WalkAndUnGZ.bat" "%USERPROFILE%\AppData\Local\Temp\OnboardLogs"\RTDC4028\2017-01-20 &amp; aws s3 cp s3://rtdc.mdm.uploadarchive.raw/RTDC4028/ "%USERPROFILE%\AppData\Local\Temp\OnboardLogs"\RTDC4028\2017-01-21 --exclude "*" --recursive --include "*20170121*" &amp; "%USERPROFILE%\Documents\GitHub\mrs-test-scripts\Headless Mode &amp; Sideloading\WalkAndUnGZ.bat" "%USERPROFILE%\AppData\Local\Temp\OnboardLogs"\RTDC4028\2017-01-21</v>
      </c>
      <c r="AF224" s="84" t="str">
        <f t="shared" si="111"/>
        <v>"C:\Program Files (x86)\AstroGrep\AstroGrep.exe" /spath="%USERPROFILE%\AppData\Local\Temp\OnboardLogs" /stypes="app*4028*20170120*" /stext=" 08:.+((SYSTEM_STATE.+slice.+state.+changed )|(ment ac)|(multiple cpu faults)|(system.+state.+changed )|(\[timeout)|(PRM\|1\|D)|(kpr)|(kdp)|(\|lc)|(penalty))" /e /r /s</v>
      </c>
      <c r="AG224" s="1" t="str">
        <f t="shared" si="126"/>
        <v>Other</v>
      </c>
      <c r="AH224" s="88" t="str">
        <f t="shared" si="112"/>
        <v>"%USERPROFILE%\Documents\GitHub\eaglep3\Utilities\RefineRTDCRunTimes.py" --tripid 56-19 --locoid 4028 --swversion DE.1.0.8.0 --startMP 204:106850 --initTime 2017-01-20T00:40:56 --startdatetime 2017-01-20T00:42:51 --delay 1 --endMP 204:9636 --enddatetime 2017-01-20T01:06:34 --enforcementcount 5 &gt;&gt;C:\Users\stu\Documents\GitHub\eaglep3-reporting\EC\2017-01-19-refined-times.txt</v>
      </c>
      <c r="AI224" s="115" t="str">
        <f t="shared" si="113"/>
        <v>echo {"issue":{"subject":"","project_id":79,"tracker_id":40,"status_id":1,"priority_id":2,"assigned_to_id":23,"start_date":"2017-01-20","description":"","custom_fields":[{"id":1,"name":"Subdivision","value":"Other"},{"id":4,"name":"Milepost","value":"0.9636"},{"id":17,"name":"Train ID","value":"56-19"},{"id":16,"name":"Locomotive ID","value":"4028"},{"id":130,"name":"Impact","value":""},{"id":150,"name":"Time of Event (Mountain Time)","value":"01:06:34"},{"id":151,"name":"Denver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0"/>
      <c r="AK224" s="50"/>
      <c r="AL224" s="50"/>
      <c r="AM224" s="177" t="str">
        <f t="shared" si="114"/>
        <v>start /low /b %USERPROFILE%\Documents\GitHub\eaglep3\Utilities\DownloadLogsFromS3.py --loco 4028 --day 2017-01-20</v>
      </c>
      <c r="AN224" s="186" t="str">
        <f>"grep -SE -B400 ""CHR.+\|PRM\|1\|D.+(SWITCH|SIGNAL).+UNKNOWN"" "&amp;search_path&amp;"\RTDC"&amp;B224&amp;"\*"&amp;B224&amp;"*"&amp;TEXT(AVERAGE(F224,I224)-utc_offset/24,"YYYYMMDD")&amp;"*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"%USERPROFILE%\AppData\Local\Temp\OnboardLogs"\RTDC4028\*4028*20170120* | grep -SE "(Enforcement Action)|(\[TIMEOUT)|(CHR.+\|PRM\|1\|D.+(SWITCH|SIGNAL).+UNKNOWN)" - &gt;&gt; 2017-01-19-UncaughtWiMAX.txt</v>
      </c>
    </row>
    <row r="225" spans="1:91" x14ac:dyDescent="0.25">
      <c r="A225" s="34" t="s">
        <v>700</v>
      </c>
      <c r="B225" s="7">
        <v>4028</v>
      </c>
      <c r="C225" s="22" t="s">
        <v>196</v>
      </c>
      <c r="D225" s="22" t="s">
        <v>779</v>
      </c>
      <c r="E225" s="13">
        <v>42755.076724537037</v>
      </c>
      <c r="F225" s="13">
        <v>42755.07953703704</v>
      </c>
      <c r="G225" s="7">
        <v>1</v>
      </c>
      <c r="H225" s="22" t="s">
        <v>780</v>
      </c>
      <c r="I225" s="13">
        <v>42755.094606481478</v>
      </c>
      <c r="J225" s="7">
        <v>5</v>
      </c>
      <c r="K225" s="105" t="str">
        <f t="shared" si="115"/>
        <v>4027/4028</v>
      </c>
      <c r="L225" s="22" t="str">
        <f>VLOOKUP(A225,'Trips&amp;Operators'!$C$1:$G$99999,5,FALSE)</f>
        <v>PERKINS DARREN</v>
      </c>
      <c r="M225" s="6">
        <f t="shared" si="116"/>
        <v>1.5069444438267965E-2</v>
      </c>
      <c r="N225" s="7">
        <f t="shared" si="117"/>
        <v>21.699999991105869</v>
      </c>
      <c r="O225" s="7"/>
      <c r="P225" s="7"/>
      <c r="Q225" s="23"/>
      <c r="R225" s="23"/>
      <c r="S225" s="32">
        <f t="shared" si="118"/>
        <v>0</v>
      </c>
      <c r="T225" s="47" t="e">
        <f t="shared" si="119"/>
        <v>#VALUE!</v>
      </c>
      <c r="U225" s="164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4" t="str">
        <f t="shared" si="109"/>
        <v>https://d0f6bd738d7f1b3e5a7ca70fe4ff75f0.us-east-1.aws.found.io/app/kibana#/discover/Steve-Slow-Train-Analysis-(2080s-and-2083s)?_g=(refreshInterval:(display:Off,pause:!f,section:0,value:0),time:(from:'2017-01-20T00:50:29-0700',mode:absolute,to:'2017-01-20T03:16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25" s="49" t="str">
        <f t="shared" si="120"/>
        <v>N</v>
      </c>
      <c r="X225" s="170" t="e">
        <f t="shared" si="121"/>
        <v>#VALUE!</v>
      </c>
      <c r="Y225" s="64">
        <f t="shared" si="122"/>
        <v>10.721399999999999</v>
      </c>
      <c r="Z225" s="64">
        <f t="shared" si="123"/>
        <v>0.94259999999999999</v>
      </c>
      <c r="AA225" s="64">
        <f t="shared" si="124"/>
        <v>9.7787999999999986</v>
      </c>
      <c r="AB225" s="61" t="e">
        <f>VLOOKUP(A225,Enforcements!$C$7:$K$15,8,0)</f>
        <v>#N/A</v>
      </c>
      <c r="AC225" s="57" t="e">
        <f>VLOOKUP(A225,Enforcements!$C$7:$E$15,3,0)</f>
        <v>#N/A</v>
      </c>
      <c r="AD225" s="58" t="str">
        <f t="shared" si="125"/>
        <v>56-19</v>
      </c>
      <c r="AE225" s="87" t="str">
        <f t="shared" si="110"/>
        <v>aws s3 cp s3://rtdc.mdm.uploadarchive.raw/RTDC4028/ "%USERPROFILE%\AppData\Local\Temp\OnboardLogs"\RTDC4028\2017-01-20 --exclude "*" --recursive --include "*20170120*" &amp; "%USERPROFILE%\Documents\GitHub\mrs-test-scripts\Headless Mode &amp; Sideloading\WalkAndUnGZ.bat" "%USERPROFILE%\AppData\Local\Temp\OnboardLogs"\RTDC4028\2017-01-20 &amp; aws s3 cp s3://rtdc.mdm.uploadarchive.raw/RTDC4028/ "%USERPROFILE%\AppData\Local\Temp\OnboardLogs"\RTDC4028\2017-01-21 --exclude "*" --recursive --include "*20170121*" &amp; "%USERPROFILE%\Documents\GitHub\mrs-test-scripts\Headless Mode &amp; Sideloading\WalkAndUnGZ.bat" "%USERPROFILE%\AppData\Local\Temp\OnboardLogs"\RTDC4028\2017-01-21</v>
      </c>
      <c r="AF225" s="84" t="str">
        <f t="shared" si="111"/>
        <v>"C:\Program Files (x86)\AstroGrep\AstroGrep.exe" /spath="%USERPROFILE%\AppData\Local\Temp\OnboardLogs" /stypes="app*4028*20170120*" /stext=" 09:.+((SYSTEM_STATE.+slice.+state.+changed )|(ment ac)|(multiple cpu faults)|(system.+state.+changed )|(\[timeout)|(PRM\|1\|D)|(kpr)|(kdp)|(\|lc)|(penalty))" /e /r /s</v>
      </c>
      <c r="AG225" s="1" t="str">
        <f t="shared" si="126"/>
        <v>Other</v>
      </c>
      <c r="AH225" s="88" t="str">
        <f t="shared" si="112"/>
        <v>"%USERPROFILE%\Documents\GitHub\eaglep3\Utilities\RefineRTDCRunTimes.py" --tripid 56-19 --locoid 4028 --swversion DE.1.0.8.0 --startMP 204:107214 --initTime 2017-01-20T01:50:29 --startdatetime 2017-01-20T01:54:32 --delay 1 --endMP 204:9426 --enddatetime 2017-01-20T02:16:14 --enforcementcount 5 &gt;&gt;C:\Users\stu\Documents\GitHub\eaglep3-reporting\EC\2017-01-19-refined-times.txt</v>
      </c>
      <c r="AI225" s="115" t="str">
        <f t="shared" si="113"/>
        <v>echo {"issue":{"subject":"","project_id":79,"tracker_id":40,"status_id":1,"priority_id":2,"assigned_to_id":23,"start_date":"2017-01-20","description":"","custom_fields":[{"id":1,"name":"Subdivision","value":"Other"},{"id":4,"name":"Milepost","value":"0.9426"},{"id":17,"name":"Train ID","value":"56-19"},{"id":16,"name":"Locomotive ID","value":"4028"},{"id":130,"name":"Impact","value":""},{"id":150,"name":"Time of Event (Mountain Time)","value":"02:16:14"},{"id":151,"name":"Denver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0"/>
      <c r="AK225" s="50"/>
      <c r="AL225" s="50"/>
      <c r="AM225" s="177" t="str">
        <f t="shared" si="114"/>
        <v>start /low /b %USERPROFILE%\Documents\GitHub\eaglep3\Utilities\DownloadLogsFromS3.py --loco 4028 --day 2017-01-20</v>
      </c>
      <c r="AN225" s="186" t="str">
        <f>"grep -SE -B400 ""CHR.+\|PRM\|1\|D.+(SWITCH|SIGNAL).+UNKNOWN"" "&amp;search_path&amp;"\RTDC"&amp;B225&amp;"\*"&amp;B225&amp;"*"&amp;TEXT(AVERAGE(F225,I225)-utc_offset/24,"YYYYMMDD")&amp;"*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"%USERPROFILE%\AppData\Local\Temp\OnboardLogs"\RTDC4028\*4028*20170120* | grep -SE "(Enforcement Action)|(\[TIMEOUT)|(CHR.+\|PRM\|1\|D.+(SWITCH|SIGNAL).+UNKNOWN)" - &gt;&gt; 2017-01-19-UncaughtWiMAX.txt</v>
      </c>
    </row>
    <row r="226" spans="1:91" s="21" customFormat="1" x14ac:dyDescent="0.25">
      <c r="A226" s="34" t="s">
        <v>700</v>
      </c>
      <c r="B226" s="7">
        <v>4028</v>
      </c>
      <c r="C226" s="22" t="s">
        <v>196</v>
      </c>
      <c r="D226" s="22" t="s">
        <v>781</v>
      </c>
      <c r="E226" s="13">
        <v>42755.020011574074</v>
      </c>
      <c r="F226" s="13">
        <v>42755.029756944445</v>
      </c>
      <c r="G226" s="7">
        <v>2</v>
      </c>
      <c r="H226" s="22" t="s">
        <v>778</v>
      </c>
      <c r="I226" s="13">
        <v>42755.046226851853</v>
      </c>
      <c r="J226" s="7">
        <v>5</v>
      </c>
      <c r="K226" s="105" t="str">
        <f t="shared" si="115"/>
        <v>4027/4028</v>
      </c>
      <c r="L226" s="22" t="str">
        <f>VLOOKUP(A226,'Trips&amp;Operators'!$C$1:$G$99999,5,FALSE)</f>
        <v>PERKINS DARREN</v>
      </c>
      <c r="M226" s="6">
        <f t="shared" si="116"/>
        <v>1.6469907408463769E-2</v>
      </c>
      <c r="N226" s="7">
        <f t="shared" si="117"/>
        <v>23.716666668187827</v>
      </c>
      <c r="O226" s="7"/>
      <c r="P226" s="7"/>
      <c r="Q226" s="23"/>
      <c r="R226" s="23"/>
      <c r="S226" s="32">
        <f t="shared" si="118"/>
        <v>0</v>
      </c>
      <c r="T226" s="47" t="e">
        <f t="shared" si="119"/>
        <v>#VALUE!</v>
      </c>
      <c r="U226" s="164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4" t="str">
        <f t="shared" si="109"/>
        <v>https://d0f6bd738d7f1b3e5a7ca70fe4ff75f0.us-east-1.aws.found.io/app/kibana#/discover/Steve-Slow-Train-Analysis-(2080s-and-2083s)?_g=(refreshInterval:(display:Off,pause:!f,section:0,value:0),time:(from:'2017-01-19T23:28:49-0700',mode:absolute,to:'2017-01-20T02:06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26" s="49" t="str">
        <f t="shared" si="120"/>
        <v>N</v>
      </c>
      <c r="X226" s="170" t="e">
        <f t="shared" si="121"/>
        <v>#VALUE!</v>
      </c>
      <c r="Y226" s="64">
        <f t="shared" si="122"/>
        <v>10.7538</v>
      </c>
      <c r="Z226" s="64">
        <f t="shared" si="123"/>
        <v>0.96360000000000001</v>
      </c>
      <c r="AA226" s="64">
        <f t="shared" si="124"/>
        <v>9.7902000000000005</v>
      </c>
      <c r="AB226" s="61" t="e">
        <f>VLOOKUP(A226,Enforcements!$C$7:$K$15,8,0)</f>
        <v>#N/A</v>
      </c>
      <c r="AC226" s="57" t="e">
        <f>VLOOKUP(A226,Enforcements!$C$7:$E$15,3,0)</f>
        <v>#N/A</v>
      </c>
      <c r="AD226" s="58" t="str">
        <f t="shared" si="125"/>
        <v>56-19</v>
      </c>
      <c r="AE226" s="87" t="str">
        <f t="shared" si="110"/>
        <v>aws s3 cp s3://rtdc.mdm.uploadarchive.raw/RTDC4028/ "%USERPROFILE%\AppData\Local\Temp\OnboardLogs"\RTDC4028\2017-01-20 --exclude "*" --recursive --include "*20170120*" &amp; "%USERPROFILE%\Documents\GitHub\mrs-test-scripts\Headless Mode &amp; Sideloading\WalkAndUnGZ.bat" "%USERPROFILE%\AppData\Local\Temp\OnboardLogs"\RTDC4028\2017-01-20 &amp; aws s3 cp s3://rtdc.mdm.uploadarchive.raw/RTDC4028/ "%USERPROFILE%\AppData\Local\Temp\OnboardLogs"\RTDC4028\2017-01-21 --exclude "*" --recursive --include "*20170121*" &amp; "%USERPROFILE%\Documents\GitHub\mrs-test-scripts\Headless Mode &amp; Sideloading\WalkAndUnGZ.bat" "%USERPROFILE%\AppData\Local\Temp\OnboardLogs"\RTDC4028\2017-01-21</v>
      </c>
      <c r="AF226" s="84" t="str">
        <f t="shared" si="111"/>
        <v>"C:\Program Files (x86)\AstroGrep\AstroGrep.exe" /spath="%USERPROFILE%\AppData\Local\Temp\OnboardLogs" /stypes="app*4028*20170120*" /stext=" 08:.+((SYSTEM_STATE.+slice.+state.+changed )|(ment ac)|(multiple cpu faults)|(system.+state.+changed )|(\[timeout)|(PRM\|1\|D)|(kpr)|(kdp)|(\|lc)|(penalty))" /e /r /s</v>
      </c>
      <c r="AG226" s="1" t="str">
        <f t="shared" si="126"/>
        <v>Other</v>
      </c>
      <c r="AH226" s="88" t="str">
        <f t="shared" si="112"/>
        <v>"%USERPROFILE%\Documents\GitHub\eaglep3\Utilities\RefineRTDCRunTimes.py" --tripid 56-19 --locoid 4028 --swversion DE.1.0.8.0 --startMP 204:107538 --initTime 2017-01-20T00:28:49 --startdatetime 2017-01-20T00:42:51 --delay 2 --endMP 204:9636 --enddatetime 2017-01-20T01:06:34 --enforcementcount 5 &gt;&gt;C:\Users\stu\Documents\GitHub\eaglep3-reporting\EC\2017-01-19-refined-times.txt</v>
      </c>
      <c r="AI226" s="115" t="str">
        <f t="shared" si="113"/>
        <v>echo {"issue":{"subject":"","project_id":79,"tracker_id":40,"status_id":1,"priority_id":2,"assigned_to_id":23,"start_date":"2017-01-20","description":"","custom_fields":[{"id":1,"name":"Subdivision","value":"Other"},{"id":4,"name":"Milepost","value":"0.9636"},{"id":17,"name":"Train ID","value":"56-19"},{"id":16,"name":"Locomotive ID","value":"4028"},{"id":130,"name":"Impact","value":""},{"id":150,"name":"Time of Event (Mountain Time)","value":"01:06:34"},{"id":151,"name":"Denver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0"/>
      <c r="AK226" s="50"/>
      <c r="AL226" s="50"/>
      <c r="AM226" s="177" t="str">
        <f t="shared" si="114"/>
        <v>start /low /b %USERPROFILE%\Documents\GitHub\eaglep3\Utilities\DownloadLogsFromS3.py --loco 4028 --day 2017-01-20</v>
      </c>
      <c r="AN226" s="186" t="str">
        <f>"grep -SE -B400 ""CHR.+\|PRM\|1\|D.+(SWITCH|SIGNAL).+UNKNOWN"" "&amp;search_path&amp;"\RTDC"&amp;B226&amp;"\*"&amp;B226&amp;"*"&amp;TEXT(AVERAGE(F226,I226)-utc_offset/24,"YYYYMMDD")&amp;"*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"%USERPROFILE%\AppData\Local\Temp\OnboardLogs"\RTDC4028\*4028*20170120* | grep -SE "(Enforcement Action)|(\[TIMEOUT)|(CHR.+\|PRM\|1\|D.+(SWITCH|SIGNAL).+UNKNOWN)" - &gt;&gt; 2017-01-19-UncaughtWiMAX.txt</v>
      </c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x14ac:dyDescent="0.25">
      <c r="A227" s="34" t="s">
        <v>663</v>
      </c>
      <c r="B227" s="7">
        <v>4004</v>
      </c>
      <c r="C227" s="22" t="s">
        <v>196</v>
      </c>
      <c r="D227" s="22" t="s">
        <v>782</v>
      </c>
      <c r="E227" s="13">
        <v>42754.739803240744</v>
      </c>
      <c r="F227" s="13">
        <v>42754.744421296295</v>
      </c>
      <c r="G227" s="7">
        <v>6</v>
      </c>
      <c r="H227" s="22" t="s">
        <v>783</v>
      </c>
      <c r="I227" s="13">
        <v>42754.75209490741</v>
      </c>
      <c r="J227" s="7">
        <v>5</v>
      </c>
      <c r="K227" s="105" t="str">
        <f t="shared" si="115"/>
        <v>4003/4004</v>
      </c>
      <c r="L227" s="22" t="str">
        <f>VLOOKUP(A227,'Trips&amp;Operators'!$C$1:$G$99999,5,FALSE)</f>
        <v>BROWN JACOB</v>
      </c>
      <c r="M227" s="6">
        <f t="shared" si="116"/>
        <v>7.6736111150239594E-3</v>
      </c>
      <c r="N227" s="7">
        <f t="shared" si="117"/>
        <v>11.050000005634502</v>
      </c>
      <c r="O227" s="7"/>
      <c r="P227" s="7"/>
      <c r="Q227" s="23"/>
      <c r="R227" s="23"/>
      <c r="S227" s="32">
        <f t="shared" si="118"/>
        <v>0</v>
      </c>
      <c r="T227" s="47" t="e">
        <f t="shared" si="119"/>
        <v>#VALUE!</v>
      </c>
      <c r="U227" s="164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4" t="str">
        <f t="shared" si="109"/>
        <v>https://d0f6bd738d7f1b3e5a7ca70fe4ff75f0.us-east-1.aws.found.io/app/kibana#/discover/Steve-Slow-Train-Analysis-(2080s-and-2083s)?_g=(refreshInterval:(display:Off,pause:!f,section:0,value:0),time:(from:'2017-01-19T16:45:19-0700',mode:absolute,to:'2017-01-19T19:03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27" s="49" t="str">
        <f t="shared" si="120"/>
        <v>Y</v>
      </c>
      <c r="X227" s="170" t="e">
        <f t="shared" si="121"/>
        <v>#VALUE!</v>
      </c>
      <c r="Y227" s="64">
        <f t="shared" si="122"/>
        <v>2.3359999999999999</v>
      </c>
      <c r="Z227" s="64">
        <f t="shared" si="123"/>
        <v>1.2E-2</v>
      </c>
      <c r="AA227" s="64">
        <f t="shared" si="124"/>
        <v>2.3239999999999998</v>
      </c>
      <c r="AB227" s="61" t="e">
        <f>VLOOKUP(A227,Enforcements!$C$7:$K$15,8,0)</f>
        <v>#N/A</v>
      </c>
      <c r="AC227" s="57" t="e">
        <f>VLOOKUP(A227,Enforcements!$C$7:$E$15,3,0)</f>
        <v>#N/A</v>
      </c>
      <c r="AD227" s="58" t="str">
        <f t="shared" si="125"/>
        <v>64-19</v>
      </c>
      <c r="AE227" s="87" t="str">
        <f t="shared" si="110"/>
        <v>aws s3 cp s3://rtdc.mdm.uploadarchive.raw/RTDC4004/ "%USERPROFILE%\AppData\Local\Temp\OnboardLogs"\RTDC4004\2017-01-19 --exclude "*" --recursive --include "*20170119*" &amp; "%USERPROFILE%\Documents\GitHub\mrs-test-scripts\Headless Mode &amp; Sideloading\WalkAndUnGZ.bat" "%USERPROFILE%\AppData\Local\Temp\OnboardLogs"\RTDC4004\2017-01-19 &amp; aws s3 cp s3://rtdc.mdm.uploadarchive.raw/RTDC4004/ "%USERPROFILE%\AppData\Local\Temp\OnboardLogs"\RTDC4004\2017-01-20 --exclude "*" --recursive --include "*20170120*" &amp; "%USERPROFILE%\Documents\GitHub\mrs-test-scripts\Headless Mode &amp; Sideloading\WalkAndUnGZ.bat" "%USERPROFILE%\AppData\Local\Temp\OnboardLogs"\RTDC4004\2017-01-20</v>
      </c>
      <c r="AF227" s="84" t="str">
        <f t="shared" si="111"/>
        <v>"C:\Program Files (x86)\AstroGrep\AstroGrep.exe" /spath="%USERPROFILE%\AppData\Local\Temp\OnboardLogs" /stypes="app*4004*20170120*" /stext=" 01:.+((SYSTEM_STATE.+slice.+state.+changed )|(ment ac)|(multiple cpu faults)|(system.+state.+changed )|(\[timeout)|(PRM\|1\|D)|(kpr)|(kdp)|(\|lc)|(penalty))" /e /r /s</v>
      </c>
      <c r="AG227" s="1" t="str">
        <f t="shared" si="126"/>
        <v>Other</v>
      </c>
      <c r="AH227" s="88" t="str">
        <f t="shared" si="112"/>
        <v>"%USERPROFILE%\Documents\GitHub\eaglep3\Utilities\RefineRTDCRunTimes.py" --tripid 64-19 --locoid 4004 --swversion DE.1.0.8.0 --startMP 300:23360 --initTime 2017-01-19T17:45:19 --startdatetime 2017-01-19T17:51:58 --delay 6 --endMP 204:120 --enddatetime 2017-01-19T18:03:01 --enforcementcount 5 &gt;&gt;C:\Users\stu\Documents\GitHub\eaglep3-reporting\EC\2017-01-19-refined-times.txt</v>
      </c>
      <c r="AI227" s="115" t="str">
        <f t="shared" si="113"/>
        <v>echo {"issue":{"subject":"","project_id":79,"tracker_id":40,"status_id":1,"priority_id":2,"assigned_to_id":23,"start_date":"2017-01-19","description":"","custom_fields":[{"id":1,"name":"Subdivision","value":"Other"},{"id":4,"name":"Milepost","value":"0.012"},{"id":17,"name":"Train ID","value":"64-19"},{"id":16,"name":"Locomotive ID","value":"4004"},{"id":130,"name":"Impact","value":""},{"id":150,"name":"Time of Event (Mountain Time)","value":"18:03:01"},{"id":151,"name":"Denver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0"/>
      <c r="AK227" s="50"/>
      <c r="AL227" s="50"/>
      <c r="AM227" s="177" t="str">
        <f t="shared" si="114"/>
        <v>start /low /b %USERPROFILE%\Documents\GitHub\eaglep3\Utilities\DownloadLogsFromS3.py --loco 4004 --day 2017-01-19</v>
      </c>
      <c r="AN227" s="186" t="str">
        <f>"grep -SE -B400 ""CHR.+\|PRM\|1\|D.+(SWITCH|SIGNAL).+UNKNOWN"" "&amp;search_path&amp;"\RTDC"&amp;B227&amp;"\*"&amp;B227&amp;"*"&amp;TEXT(AVERAGE(F227,I227)-utc_offset/24,"YYYYMMDD")&amp;"*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"%USERPROFILE%\AppData\Local\Temp\OnboardLogs"\RTDC4004\*4004*20170120* | grep -SE "(Enforcement Action)|(\[TIMEOUT)|(CHR.+\|PRM\|1\|D.+(SWITCH|SIGNAL).+UNKNOWN)" - &gt;&gt; 2017-01-19-UncaughtWiMAX.txt</v>
      </c>
    </row>
    <row r="228" spans="1:91" s="21" customFormat="1" x14ac:dyDescent="0.25">
      <c r="A228" s="34" t="s">
        <v>661</v>
      </c>
      <c r="B228" s="7">
        <v>4029</v>
      </c>
      <c r="C228" s="22" t="s">
        <v>196</v>
      </c>
      <c r="D228" s="22" t="s">
        <v>405</v>
      </c>
      <c r="E228" s="13">
        <v>42754.740798611114</v>
      </c>
      <c r="F228" s="13">
        <v>42754.753460648149</v>
      </c>
      <c r="G228" s="7">
        <v>1</v>
      </c>
      <c r="H228" s="22" t="s">
        <v>784</v>
      </c>
      <c r="I228" s="13">
        <v>42754.760011574072</v>
      </c>
      <c r="J228" s="7">
        <v>5</v>
      </c>
      <c r="K228" s="105" t="str">
        <f t="shared" si="115"/>
        <v>4029/4030</v>
      </c>
      <c r="L228" s="22" t="str">
        <f>VLOOKUP(A228,'Trips&amp;Operators'!$C$1:$G$99999,5,FALSE)</f>
        <v>MOSES BRADLEY</v>
      </c>
      <c r="M228" s="6">
        <f t="shared" si="116"/>
        <v>6.5509259220561944E-3</v>
      </c>
      <c r="N228" s="7">
        <f t="shared" si="117"/>
        <v>9.4333333277609199</v>
      </c>
      <c r="O228" s="7"/>
      <c r="P228" s="7"/>
      <c r="Q228" s="23"/>
      <c r="R228" s="23"/>
      <c r="S228" s="32">
        <f t="shared" si="118"/>
        <v>0</v>
      </c>
      <c r="T228" s="47" t="e">
        <f t="shared" si="119"/>
        <v>#VALUE!</v>
      </c>
      <c r="U228" s="164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4" t="str">
        <f t="shared" si="109"/>
        <v>https://d0f6bd738d7f1b3e5a7ca70fe4ff75f0.us-east-1.aws.found.io/app/kibana#/discover/Steve-Slow-Train-Analysis-(2080s-and-2083s)?_g=(refreshInterval:(display:Off,pause:!f,section:0,value:0),time:(from:'2017-01-19T16:46:45-0700',mode:absolute,to:'2017-01-19T19:14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8" s="49" t="str">
        <f t="shared" si="120"/>
        <v>Y</v>
      </c>
      <c r="X228" s="170" t="e">
        <f t="shared" si="121"/>
        <v>#VALUE!</v>
      </c>
      <c r="Y228" s="64">
        <f t="shared" si="122"/>
        <v>0.1477</v>
      </c>
      <c r="Z228" s="64">
        <f t="shared" si="123"/>
        <v>3.1396000000000002</v>
      </c>
      <c r="AA228" s="64">
        <f t="shared" si="124"/>
        <v>2.9919000000000002</v>
      </c>
      <c r="AB228" s="61" t="e">
        <f>VLOOKUP(A228,Enforcements!$C$7:$K$15,8,0)</f>
        <v>#N/A</v>
      </c>
      <c r="AC228" s="57" t="e">
        <f>VLOOKUP(A228,Enforcements!$C$7:$E$15,3,0)</f>
        <v>#N/A</v>
      </c>
      <c r="AD228" s="58" t="str">
        <f t="shared" si="125"/>
        <v>71-19</v>
      </c>
      <c r="AE228" s="87" t="str">
        <f t="shared" si="110"/>
        <v>aws s3 cp s3://rtdc.mdm.uploadarchive.raw/RTDC4029/ "%USERPROFILE%\AppData\Local\Temp\OnboardLogs"\RTDC4029\2017-01-19 --exclude "*" --recursive --include "*20170119*" &amp; "%USERPROFILE%\Documents\GitHub\mrs-test-scripts\Headless Mode &amp; Sideloading\WalkAndUnGZ.bat" "%USERPROFILE%\AppData\Local\Temp\OnboardLogs"\RTDC4029\2017-01-19 &amp; aws s3 cp s3://rtdc.mdm.uploadarchive.raw/RTDC4029/ "%USERPROFILE%\AppData\Local\Temp\OnboardLogs"\RTDC4029\2017-01-20 --exclude "*" --recursive --include "*20170120*" &amp; "%USERPROFILE%\Documents\GitHub\mrs-test-scripts\Headless Mode &amp; Sideloading\WalkAndUnGZ.bat" "%USERPROFILE%\AppData\Local\Temp\OnboardLogs"\RTDC4029\2017-01-20</v>
      </c>
      <c r="AF228" s="84" t="str">
        <f t="shared" si="111"/>
        <v>"C:\Program Files (x86)\AstroGrep\AstroGrep.exe" /spath="%USERPROFILE%\AppData\Local\Temp\OnboardLogs" /stypes="app*4029*20170120*" /stext=" 01:.+((SYSTEM_STATE.+slice.+state.+changed )|(ment ac)|(multiple cpu faults)|(system.+state.+changed )|(\[timeout)|(PRM\|1\|D)|(kpr)|(kdp)|(\|lc)|(penalty))" /e /r /s</v>
      </c>
      <c r="AG228" s="1" t="str">
        <f t="shared" si="126"/>
        <v>Other</v>
      </c>
      <c r="AH228" s="88" t="str">
        <f t="shared" si="112"/>
        <v>"%USERPROFILE%\Documents\GitHub\eaglep3\Utilities\RefineRTDCRunTimes.py" --tripid 71-19 --locoid 4029 --swversion DE.1.0.8.0 --startMP 204:1477 --initTime 2017-01-19T17:46:45 --startdatetime 2017-01-19T18:04:59 --delay 1 --endMP 300:31396 --enddatetime 2017-01-19T18:14:25 --enforcementcount 5 &gt;&gt;C:\Users\stu\Documents\GitHub\eaglep3-reporting\EC\2017-01-19-refined-times.txt</v>
      </c>
      <c r="AI228" s="115" t="str">
        <f t="shared" si="113"/>
        <v>echo {"issue":{"subject":"","project_id":79,"tracker_id":40,"status_id":1,"priority_id":2,"assigned_to_id":23,"start_date":"2017-01-19","description":"","custom_fields":[{"id":1,"name":"Subdivision","value":"Other"},{"id":4,"name":"Milepost","value":"3.1396"},{"id":17,"name":"Train ID","value":"71-19"},{"id":16,"name":"Locomotive ID","value":"4029"},{"id":130,"name":"Impact","value":""},{"id":150,"name":"Time of Event (Mountain Time)","value":"18:14:25"},{"id":151,"name":"Denver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0"/>
      <c r="AK228" s="50"/>
      <c r="AL228" s="50"/>
      <c r="AM228" s="177" t="str">
        <f t="shared" si="114"/>
        <v>start /low /b %USERPROFILE%\Documents\GitHub\eaglep3\Utilities\DownloadLogsFromS3.py --loco 4029 --day 2017-01-19</v>
      </c>
      <c r="AN228" s="186" t="str">
        <f>"grep -SE -B400 ""CHR.+\|PRM\|1\|D.+(SWITCH|SIGNAL).+UNKNOWN"" "&amp;search_path&amp;"\RTDC"&amp;B228&amp;"\*"&amp;B228&amp;"*"&amp;TEXT(AVERAGE(F228,I228)-utc_offset/24,"YYYYMMDD")&amp;"*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"%USERPROFILE%\AppData\Local\Temp\OnboardLogs"\RTDC4029\*4029*20170120* | grep -SE "(Enforcement Action)|(\[TIMEOUT)|(CHR.+\|PRM\|1\|D.+(SWITCH|SIGNAL).+UNKNOWN)" - &gt;&gt; 2017-01-19-UncaughtWiMAX.txt</v>
      </c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x14ac:dyDescent="0.25">
      <c r="A229" s="34" t="s">
        <v>662</v>
      </c>
      <c r="B229" s="7">
        <v>4002</v>
      </c>
      <c r="C229" s="22" t="s">
        <v>196</v>
      </c>
      <c r="D229" s="22" t="s">
        <v>785</v>
      </c>
      <c r="E229" s="13">
        <v>42754.741736111115</v>
      </c>
      <c r="F229" s="13">
        <v>42754.755949074075</v>
      </c>
      <c r="G229" s="7">
        <v>1</v>
      </c>
      <c r="H229" s="22" t="s">
        <v>786</v>
      </c>
      <c r="I229" s="13">
        <v>42754.765115740738</v>
      </c>
      <c r="J229" s="7">
        <v>5</v>
      </c>
      <c r="K229" s="105" t="str">
        <f t="shared" si="115"/>
        <v>4001/4002</v>
      </c>
      <c r="L229" s="22" t="str">
        <f>VLOOKUP(A229,'Trips&amp;Operators'!$C$1:$G$99999,5,FALSE)</f>
        <v>SWANSON BRYCE</v>
      </c>
      <c r="M229" s="6">
        <f t="shared" si="116"/>
        <v>9.1666666630771942E-3</v>
      </c>
      <c r="N229" s="7">
        <f t="shared" si="117"/>
        <v>13.19999999483116</v>
      </c>
      <c r="O229" s="7"/>
      <c r="P229" s="7"/>
      <c r="Q229" s="23"/>
      <c r="R229" s="23"/>
      <c r="S229" s="32">
        <f t="shared" si="118"/>
        <v>0</v>
      </c>
      <c r="T229" s="47" t="e">
        <f t="shared" si="119"/>
        <v>#VALUE!</v>
      </c>
      <c r="U229" s="164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94" t="str">
        <f t="shared" si="109"/>
        <v>https://d0f6bd738d7f1b3e5a7ca70fe4ff75f0.us-east-1.aws.found.io/app/kibana#/discover/Steve-Slow-Train-Analysis-(2080s-and-2083s)?_g=(refreshInterval:(display:Off,pause:!f,section:0,value:0),time:(from:'2017-01-19T16:48:06-0700',mode:absolute,to:'2017-01-19T19:21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29" s="49" t="str">
        <f t="shared" si="120"/>
        <v>Y</v>
      </c>
      <c r="X229" s="170" t="e">
        <f t="shared" si="121"/>
        <v>#VALUE!</v>
      </c>
      <c r="Y229" s="64">
        <f t="shared" si="122"/>
        <v>0.11650000000000001</v>
      </c>
      <c r="Z229" s="64">
        <f t="shared" si="123"/>
        <v>3.0998000000000001</v>
      </c>
      <c r="AA229" s="64">
        <f t="shared" si="124"/>
        <v>2.9833000000000003</v>
      </c>
      <c r="AB229" s="61" t="e">
        <f>VLOOKUP(A229,Enforcements!$C$7:$K$15,8,0)</f>
        <v>#N/A</v>
      </c>
      <c r="AC229" s="57" t="e">
        <f>VLOOKUP(A229,Enforcements!$C$7:$E$15,3,0)</f>
        <v>#N/A</v>
      </c>
      <c r="AD229" s="58" t="str">
        <f t="shared" si="125"/>
        <v>73-19</v>
      </c>
      <c r="AE229" s="87" t="str">
        <f t="shared" si="110"/>
        <v>aws s3 cp s3://rtdc.mdm.uploadarchive.raw/RTDC4002/ "%USERPROFILE%\AppData\Local\Temp\OnboardLogs"\RTDC4002\2017-01-19 --exclude "*" --recursive --include "*20170119*" &amp; "%USERPROFILE%\Documents\GitHub\mrs-test-scripts\Headless Mode &amp; Sideloading\WalkAndUnGZ.bat" "%USERPROFILE%\AppData\Local\Temp\OnboardLogs"\RTDC4002\2017-01-19 &amp; aws s3 cp s3://rtdc.mdm.uploadarchive.raw/RTDC4002/ "%USERPROFILE%\AppData\Local\Temp\OnboardLogs"\RTDC4002\2017-01-20 --exclude "*" --recursive --include "*20170120*" &amp; "%USERPROFILE%\Documents\GitHub\mrs-test-scripts\Headless Mode &amp; Sideloading\WalkAndUnGZ.bat" "%USERPROFILE%\AppData\Local\Temp\OnboardLogs"\RTDC4002\2017-01-20</v>
      </c>
      <c r="AF229" s="84" t="str">
        <f t="shared" si="111"/>
        <v>"C:\Program Files (x86)\AstroGrep\AstroGrep.exe" /spath="%USERPROFILE%\AppData\Local\Temp\OnboardLogs" /stypes="app*4002*20170120*" /stext=" 01:.+((SYSTEM_STATE.+slice.+state.+changed )|(ment ac)|(multiple cpu faults)|(system.+state.+changed )|(\[timeout)|(PRM\|1\|D)|(kpr)|(kdp)|(\|lc)|(penalty))" /e /r /s</v>
      </c>
      <c r="AG229" s="1" t="str">
        <f t="shared" si="126"/>
        <v>Other</v>
      </c>
      <c r="AH229" s="88" t="str">
        <f t="shared" si="112"/>
        <v>"%USERPROFILE%\Documents\GitHub\eaglep3\Utilities\RefineRTDCRunTimes.py" --tripid 73-19 --locoid 4002 --swversion DE.1.0.8.0 --startMP 204:1165 --initTime 2017-01-19T17:48:06 --startdatetime 2017-01-19T18:08:34 --delay 1 --endMP 300:30998 --enddatetime 2017-01-19T18:21:46 --enforcementcount 5 &gt;&gt;C:\Users\stu\Documents\GitHub\eaglep3-reporting\EC\2017-01-19-refined-times.txt</v>
      </c>
      <c r="AI229" s="115" t="str">
        <f t="shared" si="113"/>
        <v>echo {"issue":{"subject":"","project_id":79,"tracker_id":40,"status_id":1,"priority_id":2,"assigned_to_id":23,"start_date":"2017-01-19","description":"","custom_fields":[{"id":1,"name":"Subdivision","value":"Other"},{"id":4,"name":"Milepost","value":"3.0998"},{"id":17,"name":"Train ID","value":"73-19"},{"id":16,"name":"Locomotive ID","value":"4002"},{"id":130,"name":"Impact","value":""},{"id":150,"name":"Time of Event (Mountain Time)","value":"18:21:46"},{"id":151,"name":"Denver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0"/>
      <c r="AK229" s="50"/>
      <c r="AL229" s="50"/>
      <c r="AM229" s="177" t="str">
        <f t="shared" si="114"/>
        <v>start /low /b %USERPROFILE%\Documents\GitHub\eaglep3\Utilities\DownloadLogsFromS3.py --loco 4002 --day 2017-01-19</v>
      </c>
      <c r="AN229" s="186" t="str">
        <f>"grep -SE -B400 ""CHR.+\|PRM\|1\|D.+(SWITCH|SIGNAL).+UNKNOWN"" "&amp;search_path&amp;"\RTDC"&amp;B229&amp;"\*"&amp;B229&amp;"*"&amp;TEXT(AVERAGE(F229,I229)-utc_offset/24,"YYYYMMDD")&amp;"*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"%USERPROFILE%\AppData\Local\Temp\OnboardLogs"\RTDC4002\*4002*20170120* | grep -SE "(Enforcement Action)|(\[TIMEOUT)|(CHR.+\|PRM\|1\|D.+(SWITCH|SIGNAL).+UNKNOWN)" - &gt;&gt; 2017-01-19-UncaughtWiMAX.txt</v>
      </c>
    </row>
    <row r="230" spans="1:91" x14ac:dyDescent="0.25">
      <c r="A230" s="34" t="s">
        <v>498</v>
      </c>
      <c r="B230" s="7">
        <v>4052</v>
      </c>
      <c r="C230" s="22" t="s">
        <v>196</v>
      </c>
      <c r="D230" s="22" t="s">
        <v>787</v>
      </c>
      <c r="E230" s="13">
        <v>42754.713518518518</v>
      </c>
      <c r="F230" s="13">
        <v>42754.715543981481</v>
      </c>
      <c r="G230" s="7">
        <v>2</v>
      </c>
      <c r="H230" s="22" t="s">
        <v>788</v>
      </c>
      <c r="I230" s="13">
        <v>42754.721192129633</v>
      </c>
      <c r="J230" s="7">
        <v>5</v>
      </c>
      <c r="K230" s="105" t="str">
        <f t="shared" si="115"/>
        <v>4051/4052</v>
      </c>
      <c r="L230" s="22" t="str">
        <f>VLOOKUP(A230,'Trips&amp;Operators'!$C$1:$G$99999,5,FALSE)</f>
        <v>NEWELL JAMES</v>
      </c>
      <c r="M230" s="6">
        <f t="shared" si="116"/>
        <v>5.6481481515220366E-3</v>
      </c>
      <c r="N230" s="7">
        <f t="shared" si="117"/>
        <v>8.1333333381917328</v>
      </c>
      <c r="O230" s="7"/>
      <c r="P230" s="7"/>
      <c r="Q230" s="23"/>
      <c r="R230" s="23"/>
      <c r="S230" s="32">
        <f t="shared" si="118"/>
        <v>0</v>
      </c>
      <c r="T230" s="47" t="e">
        <f t="shared" si="119"/>
        <v>#VALUE!</v>
      </c>
      <c r="U230" s="164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94" t="str">
        <f t="shared" si="109"/>
        <v>https://d0f6bd738d7f1b3e5a7ca70fe4ff75f0.us-east-1.aws.found.io/app/kibana#/discover/Steve-Slow-Train-Analysis-(2080s-and-2083s)?_g=(refreshInterval:(display:Off,pause:!f,section:0,value:0),time:(from:'2017-01-19T16:07:28-0700',mode:absolute,to:'2017-01-19T18:18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30" s="49" t="str">
        <f t="shared" si="120"/>
        <v>Y</v>
      </c>
      <c r="X230" s="170" t="e">
        <f t="shared" si="121"/>
        <v>#VALUE!</v>
      </c>
      <c r="Y230" s="64">
        <f t="shared" si="122"/>
        <v>2.3054000000000001</v>
      </c>
      <c r="Z230" s="64">
        <f t="shared" si="123"/>
        <v>8.7400000000000005E-2</v>
      </c>
      <c r="AA230" s="64">
        <f t="shared" si="124"/>
        <v>2.218</v>
      </c>
      <c r="AB230" s="61" t="e">
        <f>VLOOKUP(A230,Enforcements!$C$7:$K$15,8,0)</f>
        <v>#N/A</v>
      </c>
      <c r="AC230" s="57" t="e">
        <f>VLOOKUP(A230,Enforcements!$C$7:$E$15,3,0)</f>
        <v>#N/A</v>
      </c>
      <c r="AD230" s="58" t="str">
        <f t="shared" si="125"/>
        <v>74-19</v>
      </c>
      <c r="AE230" s="87" t="str">
        <f t="shared" si="110"/>
        <v>aws s3 cp s3://rtdc.mdm.uploadarchive.raw/RTDC4052/ "%USERPROFILE%\AppData\Local\Temp\OnboardLogs"\RTDC4052\2017-01-19 --exclude "*" --recursive --include "*20170119*" &amp; "%USERPROFILE%\Documents\GitHub\mrs-test-scripts\Headless Mode &amp; Sideloading\WalkAndUnGZ.bat" "%USERPROFILE%\AppData\Local\Temp\OnboardLogs"\RTDC4052\2017-01-19 &amp; aws s3 cp s3://rtdc.mdm.uploadarchive.raw/RTDC4052/ "%USERPROFILE%\AppData\Local\Temp\OnboardLogs"\RTDC4052\2017-01-20 --exclude "*" --recursive --include "*20170120*" &amp; "%USERPROFILE%\Documents\GitHub\mrs-test-scripts\Headless Mode &amp; Sideloading\WalkAndUnGZ.bat" "%USERPROFILE%\AppData\Local\Temp\OnboardLogs"\RTDC4052\2017-01-20</v>
      </c>
      <c r="AF230" s="84" t="str">
        <f t="shared" si="111"/>
        <v>"C:\Program Files (x86)\AstroGrep\AstroGrep.exe" /spath="%USERPROFILE%\AppData\Local\Temp\OnboardLogs" /stypes="app*4052*20170120*" /stext=" 00:.+((SYSTEM_STATE.+slice.+state.+changed )|(ment ac)|(multiple cpu faults)|(system.+state.+changed )|(\[timeout)|(PRM\|1\|D)|(kpr)|(kdp)|(\|lc)|(penalty))" /e /r /s</v>
      </c>
      <c r="AG230" s="1" t="str">
        <f t="shared" si="126"/>
        <v>Other</v>
      </c>
      <c r="AH230" s="88" t="str">
        <f t="shared" si="112"/>
        <v>"%USERPROFILE%\Documents\GitHub\eaglep3\Utilities\RefineRTDCRunTimes.py" --tripid 74-19 --locoid 4052 --swversion DE.1.0.8.0 --startMP 300:23054 --initTime 2017-01-19T17:07:28 --startdatetime 2017-01-19T17:10:23 --delay 2 --endMP 204:874 --enddatetime 2017-01-19T17:18:31 --enforcementcount 5 &gt;&gt;C:\Users\stu\Documents\GitHub\eaglep3-reporting\EC\2017-01-19-refined-times.txt</v>
      </c>
      <c r="AI230" s="115" t="str">
        <f t="shared" si="113"/>
        <v>echo {"issue":{"subject":"","project_id":79,"tracker_id":40,"status_id":1,"priority_id":2,"assigned_to_id":23,"start_date":"2017-01-19","description":"","custom_fields":[{"id":1,"name":"Subdivision","value":"Other"},{"id":4,"name":"Milepost","value":"0.0874"},{"id":17,"name":"Train ID","value":"74-19"},{"id":16,"name":"Locomotive ID","value":"4052"},{"id":130,"name":"Impact","value":""},{"id":150,"name":"Time of Event (Mountain Time)","value":"17:18:31"},{"id":151,"name":"Denver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0"/>
      <c r="AK230" s="50"/>
      <c r="AL230" s="50"/>
      <c r="AM230" s="177" t="str">
        <f t="shared" si="114"/>
        <v>start /low /b %USERPROFILE%\Documents\GitHub\eaglep3\Utilities\DownloadLogsFromS3.py --loco 4052 --day 2017-01-19</v>
      </c>
      <c r="AN230" s="186" t="str">
        <f>"grep -SE -B400 ""CHR.+\|PRM\|1\|D.+(SWITCH|SIGNAL).+UNKNOWN"" "&amp;search_path&amp;"\RTDC"&amp;B230&amp;"\*"&amp;B230&amp;"*"&amp;TEXT(AVERAGE(F230,I230)-utc_offset/24,"YYYYMMDD")&amp;"*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"%USERPROFILE%\AppData\Local\Temp\OnboardLogs"\RTDC4052\*4052*20170120* | grep -SE "(Enforcement Action)|(\[TIMEOUT)|(CHR.+\|PRM\|1\|D.+(SWITCH|SIGNAL).+UNKNOWN)" - &gt;&gt; 2017-01-19-UncaughtWiMAX.txt</v>
      </c>
    </row>
    <row r="231" spans="1:91" x14ac:dyDescent="0.25">
      <c r="A231" s="34" t="s">
        <v>657</v>
      </c>
      <c r="B231" s="7">
        <v>4028</v>
      </c>
      <c r="C231" s="22" t="s">
        <v>196</v>
      </c>
      <c r="D231" s="22" t="s">
        <v>789</v>
      </c>
      <c r="E231" s="13">
        <v>42754.740023148152</v>
      </c>
      <c r="F231" s="13">
        <v>42754.748171296298</v>
      </c>
      <c r="G231" s="7">
        <v>11</v>
      </c>
      <c r="H231" s="22" t="s">
        <v>790</v>
      </c>
      <c r="I231" s="13">
        <v>42754.759699074071</v>
      </c>
      <c r="J231" s="7">
        <v>5</v>
      </c>
      <c r="K231" s="105" t="str">
        <f t="shared" si="115"/>
        <v>4027/4028</v>
      </c>
      <c r="L231" s="22" t="str">
        <f>VLOOKUP(A231,'Trips&amp;Operators'!$C$1:$G$99999,5,FALSE)</f>
        <v>MACDONALD THOMAS</v>
      </c>
      <c r="M231" s="6">
        <f t="shared" si="116"/>
        <v>1.1527777773153502E-2</v>
      </c>
      <c r="N231" s="7">
        <f t="shared" si="117"/>
        <v>16.599999993341044</v>
      </c>
      <c r="O231" s="7"/>
      <c r="P231" s="7"/>
      <c r="Q231" s="23"/>
      <c r="R231" s="23"/>
      <c r="S231" s="32">
        <f t="shared" si="118"/>
        <v>0</v>
      </c>
      <c r="T231" s="47" t="e">
        <f t="shared" si="119"/>
        <v>#VALUE!</v>
      </c>
      <c r="U231" s="164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94" t="str">
        <f t="shared" si="109"/>
        <v>https://d0f6bd738d7f1b3e5a7ca70fe4ff75f0.us-east-1.aws.found.io/app/kibana#/discover/Steve-Slow-Train-Analysis-(2080s-and-2083s)?_g=(refreshInterval:(display:Off,pause:!f,section:0,value:0),time:(from:'2017-01-19T16:45:38-0700',mode:absolute,to:'2017-01-19T19:13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31" s="49" t="str">
        <f t="shared" si="120"/>
        <v>Y</v>
      </c>
      <c r="X231" s="170" t="e">
        <f t="shared" si="121"/>
        <v>#VALUE!</v>
      </c>
      <c r="Y231" s="64">
        <f t="shared" si="122"/>
        <v>2.1787999999999998</v>
      </c>
      <c r="Z231" s="64">
        <f t="shared" si="123"/>
        <v>0.15179999999999999</v>
      </c>
      <c r="AA231" s="64">
        <f t="shared" si="124"/>
        <v>2.0269999999999997</v>
      </c>
      <c r="AB231" s="61" t="e">
        <f>VLOOKUP(A231,Enforcements!$C$7:$K$15,8,0)</f>
        <v>#N/A</v>
      </c>
      <c r="AC231" s="57" t="e">
        <f>VLOOKUP(A231,Enforcements!$C$7:$E$15,3,0)</f>
        <v>#N/A</v>
      </c>
      <c r="AD231" s="58" t="str">
        <f t="shared" si="125"/>
        <v>76-19</v>
      </c>
      <c r="AE231" s="87" t="str">
        <f t="shared" si="110"/>
        <v>aws s3 cp s3://rtdc.mdm.uploadarchive.raw/RTDC4028/ "%USERPROFILE%\AppData\Local\Temp\OnboardLogs"\RTDC4028\2017-01-19 --exclude "*" --recursive --include "*20170119*" &amp; "%USERPROFILE%\Documents\GitHub\mrs-test-scripts\Headless Mode &amp; Sideloading\WalkAndUnGZ.bat" "%USERPROFILE%\AppData\Local\Temp\OnboardLogs"\RTDC4028\2017-01-19 &amp; aws s3 cp s3://rtdc.mdm.uploadarchive.raw/RTDC4028/ "%USERPROFILE%\AppData\Local\Temp\OnboardLogs"\RTDC4028\2017-01-20 --exclude "*" --recursive --include "*20170120*" &amp; "%USERPROFILE%\Documents\GitHub\mrs-test-scripts\Headless Mode &amp; Sideloading\WalkAndUnGZ.bat" "%USERPROFILE%\AppData\Local\Temp\OnboardLogs"\RTDC4028\2017-01-20</v>
      </c>
      <c r="AF231" s="84" t="str">
        <f t="shared" si="111"/>
        <v>"C:\Program Files (x86)\AstroGrep\AstroGrep.exe" /spath="%USERPROFILE%\AppData\Local\Temp\OnboardLogs" /stypes="app*4028*20170120*" /stext=" 01:.+((SYSTEM_STATE.+slice.+state.+changed )|(ment ac)|(multiple cpu faults)|(system.+state.+changed )|(\[timeout)|(PRM\|1\|D)|(kpr)|(kdp)|(\|lc)|(penalty))" /e /r /s</v>
      </c>
      <c r="AG231" s="1" t="str">
        <f t="shared" si="126"/>
        <v>Other</v>
      </c>
      <c r="AH231" s="88" t="str">
        <f t="shared" si="112"/>
        <v>"%USERPROFILE%\Documents\GitHub\eaglep3\Utilities\RefineRTDCRunTimes.py" --tripid 76-19 --locoid 4028 --swversion DE.1.0.8.0 --startMP 300:21788 --initTime 2017-01-19T17:45:38 --startdatetime 2017-01-19T17:57:22 --delay 11 --endMP 204:1518 --enddatetime 2017-01-19T18:13:58 --enforcementcount 5 &gt;&gt;C:\Users\stu\Documents\GitHub\eaglep3-reporting\EC\2017-01-19-refined-times.txt</v>
      </c>
      <c r="AI231" s="115" t="str">
        <f t="shared" si="113"/>
        <v>echo {"issue":{"subject":"","project_id":79,"tracker_id":40,"status_id":1,"priority_id":2,"assigned_to_id":23,"start_date":"2017-01-19","description":"","custom_fields":[{"id":1,"name":"Subdivision","value":"Other"},{"id":4,"name":"Milepost","value":"0.1518"},{"id":17,"name":"Train ID","value":"76-19"},{"id":16,"name":"Locomotive ID","value":"4028"},{"id":130,"name":"Impact","value":""},{"id":150,"name":"Time of Event (Mountain Time)","value":"18:13:58"},{"id":151,"name":"Denver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0"/>
      <c r="AK231" s="50"/>
      <c r="AL231" s="50"/>
      <c r="AM231" s="177" t="str">
        <f t="shared" si="114"/>
        <v>start /low /b %USERPROFILE%\Documents\GitHub\eaglep3\Utilities\DownloadLogsFromS3.py --loco 4028 --day 2017-01-19</v>
      </c>
      <c r="AN231" s="186" t="str">
        <f>"grep -SE -B400 ""CHR.+\|PRM\|1\|D.+(SWITCH|SIGNAL).+UNKNOWN"" "&amp;search_path&amp;"\RTDC"&amp;B231&amp;"\*"&amp;B231&amp;"*"&amp;TEXT(AVERAGE(F231,I231)-utc_offset/24,"YYYYMMDD")&amp;"*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"%USERPROFILE%\AppData\Local\Temp\OnboardLogs"\RTDC4028\*4028*20170120* | grep -SE "(Enforcement Action)|(\[TIMEOUT)|(CHR.+\|PRM\|1\|D.+(SWITCH|SIGNAL).+UNKNOWN)" - &gt;&gt; 2017-01-19-UncaughtWiMAX.txt</v>
      </c>
    </row>
    <row r="232" spans="1:91" s="21" customFormat="1" x14ac:dyDescent="0.25">
      <c r="A232" s="34" t="s">
        <v>668</v>
      </c>
      <c r="B232" s="7">
        <v>4003</v>
      </c>
      <c r="C232" s="22" t="s">
        <v>196</v>
      </c>
      <c r="D232" s="22" t="s">
        <v>791</v>
      </c>
      <c r="E232" s="13">
        <v>42754.759479166663</v>
      </c>
      <c r="F232" s="13">
        <v>25568.708333333332</v>
      </c>
      <c r="G232" s="7">
        <v>1</v>
      </c>
      <c r="H232" s="22" t="s">
        <v>792</v>
      </c>
      <c r="I232" s="13">
        <v>25568.708333333332</v>
      </c>
      <c r="J232" s="7">
        <v>5</v>
      </c>
      <c r="K232" s="105" t="str">
        <f t="shared" si="115"/>
        <v>4003/4004</v>
      </c>
      <c r="L232" s="22" t="str">
        <f>VLOOKUP(A232,'Trips&amp;Operators'!$C$1:$G$99999,5,FALSE)</f>
        <v>KILLION DAVID</v>
      </c>
      <c r="M232" s="6">
        <f t="shared" si="116"/>
        <v>0</v>
      </c>
      <c r="N232" s="7">
        <f t="shared" si="117"/>
        <v>0</v>
      </c>
      <c r="O232" s="7"/>
      <c r="P232" s="7"/>
      <c r="Q232" s="23"/>
      <c r="R232" s="23"/>
      <c r="S232" s="32">
        <f t="shared" si="118"/>
        <v>0</v>
      </c>
      <c r="T232" s="47" t="e">
        <f t="shared" si="119"/>
        <v>#VALUE!</v>
      </c>
      <c r="U232" s="164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94" t="str">
        <f t="shared" si="109"/>
        <v>https://d0f6bd738d7f1b3e5a7ca70fe4ff75f0.us-east-1.aws.found.io/app/kibana#/discover/Steve-Slow-Train-Analysis-(2080s-and-2083s)?_g=(refreshInterval:(display:Off,pause:!f,section:0,value:0),time:(from:'2017-01-19T17:13:39-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32" s="49" t="str">
        <f t="shared" si="120"/>
        <v>Y</v>
      </c>
      <c r="X232" s="170" t="e">
        <f t="shared" si="121"/>
        <v>#VALUE!</v>
      </c>
      <c r="Y232" s="64">
        <f t="shared" si="122"/>
        <v>4.1200000000000001E-2</v>
      </c>
      <c r="Z232" s="64">
        <f t="shared" si="123"/>
        <v>2.3296999999999999</v>
      </c>
      <c r="AA232" s="64">
        <f t="shared" si="124"/>
        <v>2.2885</v>
      </c>
      <c r="AB232" s="61" t="e">
        <f>VLOOKUP(A232,Enforcements!$C$7:$K$15,8,0)</f>
        <v>#N/A</v>
      </c>
      <c r="AC232" s="57" t="e">
        <f>VLOOKUP(A232,Enforcements!$C$7:$E$15,3,0)</f>
        <v>#N/A</v>
      </c>
      <c r="AD232" s="58" t="str">
        <f t="shared" si="125"/>
        <v>77-19</v>
      </c>
      <c r="AE232" s="87" t="str">
        <f t="shared" si="110"/>
        <v>aws s3 cp s3://rtdc.mdm.uploadarchive.raw/RTDC4003/ "%USERPROFILE%\AppData\Local\Temp\OnboardLogs"\RTDC4003\1969-12-31 --exclude "*" --recursive --include "*19691231*" &amp; "%USERPROFILE%\Documents\GitHub\mrs-test-scripts\Headless Mode &amp; Sideloading\WalkAndUnGZ.bat" "%USERPROFILE%\AppData\Local\Temp\OnboardLogs"\RTDC4003\1969-12-31 &amp; aws s3 cp s3://rtdc.mdm.uploadarchive.raw/RTDC4003/ "%USERPROFILE%\AppData\Local\Temp\OnboardLogs"\RTDC4003\1970-01-01 --exclude "*" --recursive --include "*19700101*" &amp; "%USERPROFILE%\Documents\GitHub\mrs-test-scripts\Headless Mode &amp; Sideloading\WalkAndUnGZ.bat" "%USERPROFILE%\AppData\Local\Temp\OnboardLogs"\RTDC4003\1970-01-01</v>
      </c>
      <c r="AF232" s="84" t="str">
        <f t="shared" si="111"/>
        <v>"C:\Program Files (x86)\AstroGrep\AstroGrep.exe" /spath="%USERPROFILE%\AppData\Local\Temp\OnboardLogs" /stypes="app*4003*19700101*" /stext=" 00:.+((SYSTEM_STATE.+slice.+state.+changed )|(ment ac)|(multiple cpu faults)|(system.+state.+changed )|(\[timeout)|(PRM\|1\|D)|(kpr)|(kdp)|(\|lc)|(penalty))" /e /r /s</v>
      </c>
      <c r="AG232" s="1" t="str">
        <f t="shared" si="126"/>
        <v>Other</v>
      </c>
      <c r="AH232" s="88" t="str">
        <f t="shared" si="112"/>
        <v>"%USERPROFILE%\Documents\GitHub\eaglep3\Utilities\RefineRTDCRunTimes.py" --tripid 77-19 --locoid 4003 --swversion DE.1.0.8.0 --startMP 204:412 --initTime 2017-01-19T18:13:39 --startdatetime 1969-12-31T17:00:00 --delay 1 --endMP 300:23297 --enddatetime 1969-12-31T17:00:00 --enforcementcount 5 &gt;&gt;C:\Users\stu\Documents\GitHub\eaglep3-reporting\EC\2017-01-19-refined-times.txt</v>
      </c>
      <c r="AI232" s="115" t="str">
        <f t="shared" si="113"/>
        <v>echo {"issue":{"subject":"","project_id":79,"tracker_id":40,"status_id":1,"priority_id":2,"assigned_to_id":23,"start_date":"1969-12-31","description":"","custom_fields":[{"id":1,"name":"Subdivision","value":"Other"},{"id":4,"name":"Milepost","value":"2.3297"},{"id":17,"name":"Train ID","value":"77-19"},{"id":16,"name":"Locomotive ID","value":"4003"},{"id":130,"name":"Impact","value":""},{"id":150,"name":"Time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50"/>
      <c r="AK232" s="50"/>
      <c r="AL232" s="50"/>
      <c r="AM232" s="177" t="str">
        <f t="shared" si="114"/>
        <v>start /low /b %USERPROFILE%\Documents\GitHub\eaglep3\Utilities\DownloadLogsFromS3.py --loco 4003 --day 1969-12-31</v>
      </c>
      <c r="AN232" s="186" t="str">
        <f>"grep -SE -B400 ""CHR.+\|PRM\|1\|D.+(SWITCH|SIGNAL).+UNKNOWN"" "&amp;search_path&amp;"\RTDC"&amp;B232&amp;"\*"&amp;B232&amp;"*"&amp;TEXT(AVERAGE(F232,I232)-utc_offset/24,"YYYYMMDD")&amp;"*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"%USERPROFILE%\AppData\Local\Temp\OnboardLogs"\RTDC4003\*4003*19700101* | grep -SE "(Enforcement Action)|(\[TIMEOUT)|(CHR.+\|PRM\|1\|D.+(SWITCH|SIGNAL).+UNKNOWN)" - &gt;&gt; 2017-01-19-UncaughtWiMAX.txt</v>
      </c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x14ac:dyDescent="0.25">
      <c r="A233" s="34" t="s">
        <v>355</v>
      </c>
      <c r="B233" s="7">
        <v>4053</v>
      </c>
      <c r="C233" s="22" t="s">
        <v>404</v>
      </c>
      <c r="D233" s="22" t="s">
        <v>272</v>
      </c>
      <c r="E233" s="13">
        <v>42754.196192129632</v>
      </c>
      <c r="F233" s="13">
        <v>42754.197708333333</v>
      </c>
      <c r="G233" s="7">
        <v>0</v>
      </c>
      <c r="H233" s="22" t="s">
        <v>283</v>
      </c>
      <c r="I233" s="13">
        <v>42754.208194444444</v>
      </c>
      <c r="J233" s="7">
        <v>5</v>
      </c>
      <c r="K233" s="105" t="str">
        <f t="shared" si="115"/>
        <v>4053/4054</v>
      </c>
      <c r="L233" s="22" t="str">
        <f>VLOOKUP(A233,'Trips&amp;Operators'!$C$1:$G$99999,5,FALSE)</f>
        <v>COMELLA JUSTIN</v>
      </c>
      <c r="M233" s="6">
        <f t="shared" si="116"/>
        <v>1.0486111110367347E-2</v>
      </c>
      <c r="N233" s="7">
        <f t="shared" si="117"/>
        <v>15.099999998928979</v>
      </c>
      <c r="O233" s="7"/>
      <c r="P233" s="7"/>
      <c r="Q233" s="23"/>
      <c r="R233" s="23"/>
      <c r="S233" s="32">
        <f t="shared" si="118"/>
        <v>0</v>
      </c>
      <c r="T233" s="47" t="e">
        <f t="shared" si="119"/>
        <v>#VALUE!</v>
      </c>
      <c r="U233" s="164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94" t="str">
        <f t="shared" si="109"/>
        <v>https://d0f6bd738d7f1b3e5a7ca70fe4ff75f0.us-east-1.aws.found.io/app/kibana#/discover/Steve-Slow-Train-Analysis-(2080s-and-2083s)?_g=(refreshInterval:(display:Off,pause:!f,section:0,value:0),time:(from:'2017-01-19T03:42:31-0700',mode:absolute,to:'2017-01-19T05:59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33" s="49" t="str">
        <f t="shared" si="120"/>
        <v>N</v>
      </c>
      <c r="X233" s="170" t="e">
        <f t="shared" si="121"/>
        <v>#VALUE!</v>
      </c>
      <c r="Y233" s="64">
        <f t="shared" si="122"/>
        <v>4.6600000000000003E-2</v>
      </c>
      <c r="Z233" s="64">
        <f t="shared" si="123"/>
        <v>5.8935000000000004</v>
      </c>
      <c r="AA233" s="64">
        <f t="shared" si="124"/>
        <v>5.8469000000000007</v>
      </c>
      <c r="AB233" s="61" t="e">
        <f>VLOOKUP(A233,Enforcements!$C$7:$K$15,8,0)</f>
        <v>#N/A</v>
      </c>
      <c r="AC233" s="57" t="e">
        <f>VLOOKUP(A233,Enforcements!$C$7:$E$15,3,0)</f>
        <v>#N/A</v>
      </c>
      <c r="AD233" s="58" t="str">
        <f t="shared" si="125"/>
        <v>85-18</v>
      </c>
      <c r="AE233" s="87" t="str">
        <f t="shared" si="110"/>
        <v>aws s3 cp s3://rtdc.mdm.uploadarchive.raw/RTDC4053/ "%USERPROFILE%\AppData\Local\Temp\OnboardLogs"\RTDC4053\2017-01-19 --exclude "*" --recursive --include "*20170119*" &amp; "%USERPROFILE%\Documents\GitHub\mrs-test-scripts\Headless Mode &amp; Sideloading\WalkAndUnGZ.bat" "%USERPROFILE%\AppData\Local\Temp\OnboardLogs"\RTDC4053\2017-01-19 &amp; aws s3 cp s3://rtdc.mdm.uploadarchive.raw/RTDC4053/ "%USERPROFILE%\AppData\Local\Temp\OnboardLogs"\RTDC4053\2017-01-20 --exclude "*" --recursive --include "*20170120*" &amp; "%USERPROFILE%\Documents\GitHub\mrs-test-scripts\Headless Mode &amp; Sideloading\WalkAndUnGZ.bat" "%USERPROFILE%\AppData\Local\Temp\OnboardLogs"\RTDC4053\2017-01-20</v>
      </c>
      <c r="AF233" s="84" t="str">
        <f t="shared" si="111"/>
        <v>"C:\Program Files (x86)\AstroGrep\AstroGrep.exe" /spath="%USERPROFILE%\AppData\Local\Temp\OnboardLogs" /stypes="app*4053*20170119*" /stext=" 11:.+((SYSTEM_STATE.+slice.+state.+changed )|(ment ac)|(multiple cpu faults)|(system.+state.+changed )|(\[timeout)|(PRM\|1\|D)|(kpr)|(kdp)|(\|lc)|(penalty))" /e /r /s</v>
      </c>
      <c r="AG233" s="1" t="str">
        <f t="shared" si="126"/>
        <v>Other</v>
      </c>
      <c r="AH233" s="88" t="str">
        <f t="shared" si="112"/>
        <v>"%USERPROFILE%\Documents\GitHub\eaglep3\Utilities\RefineRTDCRunTimes.py" --tripid 85-18 --locoid 4053 --swversion DE.1.0.9.0 --startMP 204:466 --initTime 2017-01-19T04:42:31 --startdatetime 2017-01-19T04:44:42 --delay 0 --endMP 300:58935 --enddatetime 2017-01-19T04:59:48 --enforcementcount 5 &gt;&gt;C:\Users\stu\Documents\GitHub\eaglep3-reporting\EC\2017-01-19-refined-times.txt</v>
      </c>
      <c r="AI233" s="115" t="str">
        <f t="shared" si="113"/>
        <v>echo {"issue":{"subject":"","project_id":79,"tracker_id":40,"status_id":1,"priority_id":2,"assigned_to_id":23,"start_date":"2017-01-19","description":"","custom_fields":[{"id":1,"name":"Subdivision","value":"Other"},{"id":4,"name":"Milepost","value":"5.8935"},{"id":17,"name":"Train ID","value":"85-18"},{"id":16,"name":"Locomotive ID","value":"4053"},{"id":130,"name":"Impact","value":""},{"id":150,"name":"Time of Event (Mountain Time)","value":"04:59:48"},{"id":151,"name":"Denver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50"/>
      <c r="AK233" s="50"/>
      <c r="AL233" s="50"/>
      <c r="AM233" s="177" t="str">
        <f t="shared" si="114"/>
        <v>start /low /b %USERPROFILE%\Documents\GitHub\eaglep3\Utilities\DownloadLogsFromS3.py --loco 4053 --day 2017-01-19</v>
      </c>
      <c r="AN233" s="186" t="str">
        <f>"grep -SE -B400 ""CHR.+\|PRM\|1\|D.+(SWITCH|SIGNAL).+UNKNOWN"" "&amp;search_path&amp;"\RTDC"&amp;B233&amp;"\*"&amp;B233&amp;"*"&amp;TEXT(AVERAGE(F233,I233)-utc_offset/24,"YYYYMMDD")&amp;"*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"%USERPROFILE%\AppData\Local\Temp\OnboardLogs"\RTDC4053\*4053*20170119* | grep -SE "(Enforcement Action)|(\[TIMEOUT)|(CHR.+\|PRM\|1\|D.+(SWITCH|SIGNAL).+UNKNOWN)" - &gt;&gt; 2017-01-19-UncaughtWiMAX.txt</v>
      </c>
    </row>
    <row r="234" spans="1:91" s="21" customFormat="1" x14ac:dyDescent="0.25">
      <c r="A234" s="34" t="s">
        <v>355</v>
      </c>
      <c r="B234" s="7">
        <v>4053</v>
      </c>
      <c r="C234" s="22" t="s">
        <v>404</v>
      </c>
      <c r="D234" s="22" t="s">
        <v>749</v>
      </c>
      <c r="E234" s="13">
        <v>42754.169733796298</v>
      </c>
      <c r="F234" s="13">
        <v>42754.197708333333</v>
      </c>
      <c r="G234" s="7">
        <v>2</v>
      </c>
      <c r="H234" s="22" t="s">
        <v>829</v>
      </c>
      <c r="I234" s="13">
        <v>42754.208194444444</v>
      </c>
      <c r="J234" s="7">
        <v>5</v>
      </c>
      <c r="K234" s="105" t="str">
        <f t="shared" si="115"/>
        <v>4053/4054</v>
      </c>
      <c r="L234" s="22" t="str">
        <f>VLOOKUP(A234,'Trips&amp;Operators'!$C$1:$G$99999,5,FALSE)</f>
        <v>COMELLA JUSTIN</v>
      </c>
      <c r="M234" s="6">
        <f t="shared" si="116"/>
        <v>1.0486111110367347E-2</v>
      </c>
      <c r="N234" s="7">
        <f t="shared" si="117"/>
        <v>15.099999998928979</v>
      </c>
      <c r="O234" s="7"/>
      <c r="P234" s="7"/>
      <c r="Q234" s="23"/>
      <c r="R234" s="23"/>
      <c r="S234" s="32">
        <f t="shared" si="118"/>
        <v>0</v>
      </c>
      <c r="T234" s="47" t="e">
        <f t="shared" si="119"/>
        <v>#VALUE!</v>
      </c>
      <c r="U234" s="164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94" t="str">
        <f t="shared" si="109"/>
        <v>https://d0f6bd738d7f1b3e5a7ca70fe4ff75f0.us-east-1.aws.found.io/app/kibana#/discover/Steve-Slow-Train-Analysis-(2080s-and-2083s)?_g=(refreshInterval:(display:Off,pause:!f,section:0,value:0),time:(from:'2017-01-19T03:04:25-0700',mode:absolute,to:'2017-01-19T05:59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34" s="49" t="str">
        <f t="shared" si="120"/>
        <v>N</v>
      </c>
      <c r="X234" s="170" t="e">
        <f t="shared" si="121"/>
        <v>#VALUE!</v>
      </c>
      <c r="Y234" s="64">
        <f t="shared" si="122"/>
        <v>4.7300000000000002E-2</v>
      </c>
      <c r="Z234" s="64">
        <f t="shared" si="123"/>
        <v>5.8952</v>
      </c>
      <c r="AA234" s="64">
        <f t="shared" si="124"/>
        <v>5.8479000000000001</v>
      </c>
      <c r="AB234" s="61" t="e">
        <f>VLOOKUP(A234,Enforcements!$C$7:$K$15,8,0)</f>
        <v>#N/A</v>
      </c>
      <c r="AC234" s="57" t="e">
        <f>VLOOKUP(A234,Enforcements!$C$7:$E$15,3,0)</f>
        <v>#N/A</v>
      </c>
      <c r="AD234" s="58" t="str">
        <f t="shared" si="125"/>
        <v>85-18</v>
      </c>
      <c r="AE234" s="87" t="str">
        <f t="shared" si="110"/>
        <v>aws s3 cp s3://rtdc.mdm.uploadarchive.raw/RTDC4053/ "%USERPROFILE%\AppData\Local\Temp\OnboardLogs"\RTDC4053\2017-01-19 --exclude "*" --recursive --include "*20170119*" &amp; "%USERPROFILE%\Documents\GitHub\mrs-test-scripts\Headless Mode &amp; Sideloading\WalkAndUnGZ.bat" "%USERPROFILE%\AppData\Local\Temp\OnboardLogs"\RTDC4053\2017-01-19 &amp; aws s3 cp s3://rtdc.mdm.uploadarchive.raw/RTDC4053/ "%USERPROFILE%\AppData\Local\Temp\OnboardLogs"\RTDC4053\2017-01-20 --exclude "*" --recursive --include "*20170120*" &amp; "%USERPROFILE%\Documents\GitHub\mrs-test-scripts\Headless Mode &amp; Sideloading\WalkAndUnGZ.bat" "%USERPROFILE%\AppData\Local\Temp\OnboardLogs"\RTDC4053\2017-01-20</v>
      </c>
      <c r="AF234" s="84" t="str">
        <f t="shared" si="111"/>
        <v>"C:\Program Files (x86)\AstroGrep\AstroGrep.exe" /spath="%USERPROFILE%\AppData\Local\Temp\OnboardLogs" /stypes="app*4053*20170119*" /stext=" 11:.+((SYSTEM_STATE.+slice.+state.+changed )|(ment ac)|(multiple cpu faults)|(system.+state.+changed )|(\[timeout)|(PRM\|1\|D)|(kpr)|(kdp)|(\|lc)|(penalty))" /e /r /s</v>
      </c>
      <c r="AG234" s="1" t="str">
        <f t="shared" si="126"/>
        <v>Other</v>
      </c>
      <c r="AH234" s="88" t="str">
        <f t="shared" si="112"/>
        <v>"%USERPROFILE%\Documents\GitHub\eaglep3\Utilities\RefineRTDCRunTimes.py" --tripid 85-18 --locoid 4053 --swversion DE.1.0.9.0 --startMP 204:473 --initTime 2017-01-19T04:04:25 --startdatetime 2017-01-19T04:44:42 --delay 2 --endMP 300:58952 --enddatetime 2017-01-19T04:59:48 --enforcementcount 5 &gt;&gt;C:\Users\stu\Documents\GitHub\eaglep3-reporting\EC\2017-01-19-refined-times.txt</v>
      </c>
      <c r="AI234" s="115" t="str">
        <f t="shared" si="113"/>
        <v>echo {"issue":{"subject":"","project_id":79,"tracker_id":40,"status_id":1,"priority_id":2,"assigned_to_id":23,"start_date":"2017-01-19","description":"","custom_fields":[{"id":1,"name":"Subdivision","value":"Other"},{"id":4,"name":"Milepost","value":"5.8952"},{"id":17,"name":"Train ID","value":"85-18"},{"id":16,"name":"Locomotive ID","value":"4053"},{"id":130,"name":"Impact","value":""},{"id":150,"name":"Time of Event (Mountain Time)","value":"04:59:48"},{"id":151,"name":"Denver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50"/>
      <c r="AK234" s="50"/>
      <c r="AL234" s="50"/>
      <c r="AM234" s="177" t="str">
        <f t="shared" si="114"/>
        <v>start /low /b %USERPROFILE%\Documents\GitHub\eaglep3\Utilities\DownloadLogsFromS3.py --loco 4053 --day 2017-01-19</v>
      </c>
      <c r="AN234" s="186" t="str">
        <f>"grep -SE -B400 ""CHR.+\|PRM\|1\|D.+(SWITCH|SIGNAL).+UNKNOWN"" "&amp;search_path&amp;"\RTDC"&amp;B234&amp;"\*"&amp;B234&amp;"*"&amp;TEXT(AVERAGE(F234,I234)-utc_offset/24,"YYYYMMDD")&amp;"*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"%USERPROFILE%\AppData\Local\Temp\OnboardLogs"\RTDC4053\*4053*20170119* | grep -SE "(Enforcement Action)|(\[TIMEOUT)|(CHR.+\|PRM\|1\|D.+(SWITCH|SIGNAL).+UNKNOWN)" - &gt;&gt; 2017-01-19-UncaughtWiMAX.txt</v>
      </c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x14ac:dyDescent="0.25">
      <c r="A235" s="34" t="s">
        <v>358</v>
      </c>
      <c r="B235" s="7">
        <v>4054</v>
      </c>
      <c r="C235" s="22" t="s">
        <v>404</v>
      </c>
      <c r="D235" s="22" t="s">
        <v>836</v>
      </c>
      <c r="E235" s="13">
        <v>42754.208958333336</v>
      </c>
      <c r="F235" s="13">
        <v>42754.215532407405</v>
      </c>
      <c r="G235" s="7">
        <v>0</v>
      </c>
      <c r="H235" s="22" t="s">
        <v>837</v>
      </c>
      <c r="I235" s="13">
        <v>42754.225532407407</v>
      </c>
      <c r="J235" s="7">
        <v>5</v>
      </c>
      <c r="K235" s="105" t="str">
        <f t="shared" si="115"/>
        <v>4053/4054</v>
      </c>
      <c r="L235" s="22" t="str">
        <f>VLOOKUP(A235,'Trips&amp;Operators'!$C$1:$G$99999,5,FALSE)</f>
        <v>COMELLA JUSTIN</v>
      </c>
      <c r="M235" s="6">
        <f t="shared" si="116"/>
        <v>1.0000000002037268E-2</v>
      </c>
      <c r="N235" s="7">
        <f t="shared" si="117"/>
        <v>14.400000002933666</v>
      </c>
      <c r="O235" s="7"/>
      <c r="P235" s="7"/>
      <c r="Q235" s="23"/>
      <c r="R235" s="23"/>
      <c r="S235" s="32">
        <f t="shared" si="118"/>
        <v>0</v>
      </c>
      <c r="T235" s="47" t="e">
        <f t="shared" si="119"/>
        <v>#VALUE!</v>
      </c>
      <c r="U235" s="164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94" t="str">
        <f t="shared" si="109"/>
        <v>https://d0f6bd738d7f1b3e5a7ca70fe4ff75f0.us-east-1.aws.found.io/app/kibana#/discover/Steve-Slow-Train-Analysis-(2080s-and-2083s)?_g=(refreshInterval:(display:Off,pause:!f,section:0,value:0),time:(from:'2017-01-19T04:00:54-0700',mode:absolute,to:'2017-01-19T06:24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35" s="49" t="str">
        <f t="shared" si="120"/>
        <v>N</v>
      </c>
      <c r="X235" s="170" t="e">
        <f t="shared" si="121"/>
        <v>#VALUE!</v>
      </c>
      <c r="Y235" s="64">
        <f t="shared" si="122"/>
        <v>5.8611000000000004</v>
      </c>
      <c r="Z235" s="64">
        <f t="shared" si="123"/>
        <v>1.5699999999999999E-2</v>
      </c>
      <c r="AA235" s="64">
        <f t="shared" si="124"/>
        <v>5.8454000000000006</v>
      </c>
      <c r="AB235" s="61" t="e">
        <f>VLOOKUP(A235,Enforcements!$C$7:$K$15,8,0)</f>
        <v>#N/A</v>
      </c>
      <c r="AC235" s="57" t="e">
        <f>VLOOKUP(A235,Enforcements!$C$7:$E$15,3,0)</f>
        <v>#N/A</v>
      </c>
      <c r="AD235" s="58" t="str">
        <f t="shared" si="125"/>
        <v>86-18</v>
      </c>
      <c r="AE235" s="87" t="str">
        <f t="shared" si="110"/>
        <v>aws s3 cp s3://rtdc.mdm.uploadarchive.raw/RTDC4054/ "%USERPROFILE%\AppData\Local\Temp\OnboardLogs"\RTDC4054\2017-01-19 --exclude "*" --recursive --include "*20170119*" &amp; "%USERPROFILE%\Documents\GitHub\mrs-test-scripts\Headless Mode &amp; Sideloading\WalkAndUnGZ.bat" "%USERPROFILE%\AppData\Local\Temp\OnboardLogs"\RTDC4054\2017-01-19 &amp; aws s3 cp s3://rtdc.mdm.uploadarchive.raw/RTDC4054/ "%USERPROFILE%\AppData\Local\Temp\OnboardLogs"\RTDC4054\2017-01-20 --exclude "*" --recursive --include "*20170120*" &amp; "%USERPROFILE%\Documents\GitHub\mrs-test-scripts\Headless Mode &amp; Sideloading\WalkAndUnGZ.bat" "%USERPROFILE%\AppData\Local\Temp\OnboardLogs"\RTDC4054\2017-01-20</v>
      </c>
      <c r="AF235" s="84" t="str">
        <f t="shared" si="111"/>
        <v>"C:\Program Files (x86)\AstroGrep\AstroGrep.exe" /spath="%USERPROFILE%\AppData\Local\Temp\OnboardLogs" /stypes="app*4054*20170119*" /stext=" 12:.+((SYSTEM_STATE.+slice.+state.+changed )|(ment ac)|(multiple cpu faults)|(system.+state.+changed )|(\[timeout)|(PRM\|1\|D)|(kpr)|(kdp)|(\|lc)|(penalty))" /e /r /s</v>
      </c>
      <c r="AG235" s="1" t="str">
        <f t="shared" si="126"/>
        <v>Other</v>
      </c>
      <c r="AH235" s="88" t="str">
        <f t="shared" si="112"/>
        <v>"%USERPROFILE%\Documents\GitHub\eaglep3\Utilities\RefineRTDCRunTimes.py" --tripid 86-18 --locoid 4054 --swversion DE.1.0.9.0 --startMP 300:58611 --initTime 2017-01-19T05:00:54 --startdatetime 2017-01-19T05:10:22 --delay 0 --endMP 204:157 --enddatetime 2017-01-19T05:24:46 --enforcementcount 5 &gt;&gt;C:\Users\stu\Documents\GitHub\eaglep3-reporting\EC\2017-01-19-refined-times.txt</v>
      </c>
      <c r="AI235" s="115" t="str">
        <f t="shared" si="113"/>
        <v>echo {"issue":{"subject":"","project_id":79,"tracker_id":40,"status_id":1,"priority_id":2,"assigned_to_id":23,"start_date":"2017-01-19","description":"","custom_fields":[{"id":1,"name":"Subdivision","value":"Other"},{"id":4,"name":"Milepost","value":"0.0157"},{"id":17,"name":"Train ID","value":"86-18"},{"id":16,"name":"Locomotive ID","value":"4054"},{"id":130,"name":"Impact","value":""},{"id":150,"name":"Time of Event (Mountain Time)","value":"05:24:46"},{"id":151,"name":"Denver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50"/>
      <c r="AK235" s="50"/>
      <c r="AL235" s="50"/>
      <c r="AM235" s="177" t="str">
        <f t="shared" si="114"/>
        <v>start /low /b %USERPROFILE%\Documents\GitHub\eaglep3\Utilities\DownloadLogsFromS3.py --loco 4054 --day 2017-01-19</v>
      </c>
      <c r="AN235" s="186" t="str">
        <f>"grep -SE -B400 ""CHR.+\|PRM\|1\|D.+(SWITCH|SIGNAL).+UNKNOWN"" "&amp;search_path&amp;"\RTDC"&amp;B235&amp;"\*"&amp;B235&amp;"*"&amp;TEXT(AVERAGE(F235,I235)-utc_offset/24,"YYYYMMDD")&amp;"*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"%USERPROFILE%\AppData\Local\Temp\OnboardLogs"\RTDC4054\*4054*20170119* | grep -SE "(Enforcement Action)|(\[TIMEOUT)|(CHR.+\|PRM\|1\|D.+(SWITCH|SIGNAL).+UNKNOWN)" - &gt;&gt; 2017-01-19-UncaughtWiMAX.txt</v>
      </c>
    </row>
    <row r="236" spans="1:91" x14ac:dyDescent="0.25">
      <c r="A236" s="34" t="s">
        <v>358</v>
      </c>
      <c r="B236" s="7">
        <v>4054</v>
      </c>
      <c r="C236" s="22" t="s">
        <v>404</v>
      </c>
      <c r="D236" s="22" t="s">
        <v>838</v>
      </c>
      <c r="E236" s="13">
        <v>42754.18341435185</v>
      </c>
      <c r="F236" s="13">
        <v>42754.215532407405</v>
      </c>
      <c r="G236" s="7">
        <v>1</v>
      </c>
      <c r="H236" s="22" t="s">
        <v>839</v>
      </c>
      <c r="I236" s="13">
        <v>42754.225532407407</v>
      </c>
      <c r="J236" s="7">
        <v>5</v>
      </c>
      <c r="K236" s="105" t="str">
        <f t="shared" si="115"/>
        <v>4053/4054</v>
      </c>
      <c r="L236" s="22" t="str">
        <f>VLOOKUP(A236,'Trips&amp;Operators'!$C$1:$G$99999,5,FALSE)</f>
        <v>COMELLA JUSTIN</v>
      </c>
      <c r="M236" s="6">
        <f t="shared" si="116"/>
        <v>1.0000000002037268E-2</v>
      </c>
      <c r="N236" s="7">
        <f t="shared" si="117"/>
        <v>14.400000002933666</v>
      </c>
      <c r="O236" s="7"/>
      <c r="P236" s="7"/>
      <c r="Q236" s="23"/>
      <c r="R236" s="23"/>
      <c r="S236" s="32">
        <f t="shared" si="118"/>
        <v>0</v>
      </c>
      <c r="T236" s="47" t="e">
        <f t="shared" si="119"/>
        <v>#VALUE!</v>
      </c>
      <c r="U236" s="164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94" t="str">
        <f t="shared" si="109"/>
        <v>https://d0f6bd738d7f1b3e5a7ca70fe4ff75f0.us-east-1.aws.found.io/app/kibana#/discover/Steve-Slow-Train-Analysis-(2080s-and-2083s)?_g=(refreshInterval:(display:Off,pause:!f,section:0,value:0),time:(from:'2017-01-19T03:24:07-0700',mode:absolute,to:'2017-01-19T06:24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36" s="49" t="str">
        <f t="shared" si="120"/>
        <v>N</v>
      </c>
      <c r="X236" s="170" t="e">
        <f t="shared" si="121"/>
        <v>#VALUE!</v>
      </c>
      <c r="Y236" s="64">
        <f t="shared" si="122"/>
        <v>5.8630000000000004</v>
      </c>
      <c r="Z236" s="64">
        <f t="shared" si="123"/>
        <v>1.6400000000000001E-2</v>
      </c>
      <c r="AA236" s="64">
        <f t="shared" si="124"/>
        <v>5.8466000000000005</v>
      </c>
      <c r="AB236" s="61" t="e">
        <f>VLOOKUP(A236,Enforcements!$C$7:$K$15,8,0)</f>
        <v>#N/A</v>
      </c>
      <c r="AC236" s="57" t="e">
        <f>VLOOKUP(A236,Enforcements!$C$7:$E$15,3,0)</f>
        <v>#N/A</v>
      </c>
      <c r="AD236" s="58" t="str">
        <f t="shared" si="125"/>
        <v>86-18</v>
      </c>
      <c r="AE236" s="87" t="str">
        <f t="shared" si="110"/>
        <v>aws s3 cp s3://rtdc.mdm.uploadarchive.raw/RTDC4054/ "%USERPROFILE%\AppData\Local\Temp\OnboardLogs"\RTDC4054\2017-01-19 --exclude "*" --recursive --include "*20170119*" &amp; "%USERPROFILE%\Documents\GitHub\mrs-test-scripts\Headless Mode &amp; Sideloading\WalkAndUnGZ.bat" "%USERPROFILE%\AppData\Local\Temp\OnboardLogs"\RTDC4054\2017-01-19 &amp; aws s3 cp s3://rtdc.mdm.uploadarchive.raw/RTDC4054/ "%USERPROFILE%\AppData\Local\Temp\OnboardLogs"\RTDC4054\2017-01-20 --exclude "*" --recursive --include "*20170120*" &amp; "%USERPROFILE%\Documents\GitHub\mrs-test-scripts\Headless Mode &amp; Sideloading\WalkAndUnGZ.bat" "%USERPROFILE%\AppData\Local\Temp\OnboardLogs"\RTDC4054\2017-01-20</v>
      </c>
      <c r="AF236" s="84" t="str">
        <f t="shared" si="111"/>
        <v>"C:\Program Files (x86)\AstroGrep\AstroGrep.exe" /spath="%USERPROFILE%\AppData\Local\Temp\OnboardLogs" /stypes="app*4054*20170119*" /stext=" 12:.+((SYSTEM_STATE.+slice.+state.+changed )|(ment ac)|(multiple cpu faults)|(system.+state.+changed )|(\[timeout)|(PRM\|1\|D)|(kpr)|(kdp)|(\|lc)|(penalty))" /e /r /s</v>
      </c>
      <c r="AG236" s="1" t="str">
        <f t="shared" si="126"/>
        <v>Other</v>
      </c>
      <c r="AH236" s="88" t="str">
        <f t="shared" si="112"/>
        <v>"%USERPROFILE%\Documents\GitHub\eaglep3\Utilities\RefineRTDCRunTimes.py" --tripid 86-18 --locoid 4054 --swversion DE.1.0.9.0 --startMP 300:58630 --initTime 2017-01-19T04:24:07 --startdatetime 2017-01-19T05:10:22 --delay 1 --endMP 204:164 --enddatetime 2017-01-19T05:24:46 --enforcementcount 5 &gt;&gt;C:\Users\stu\Documents\GitHub\eaglep3-reporting\EC\2017-01-19-refined-times.txt</v>
      </c>
      <c r="AI236" s="115" t="str">
        <f t="shared" si="113"/>
        <v>echo {"issue":{"subject":"","project_id":79,"tracker_id":40,"status_id":1,"priority_id":2,"assigned_to_id":23,"start_date":"2017-01-19","description":"","custom_fields":[{"id":1,"name":"Subdivision","value":"Other"},{"id":4,"name":"Milepost","value":"0.0164"},{"id":17,"name":"Train ID","value":"86-18"},{"id":16,"name":"Locomotive ID","value":"4054"},{"id":130,"name":"Impact","value":""},{"id":150,"name":"Time of Event (Mountain Time)","value":"05:24:46"},{"id":151,"name":"Denver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50"/>
      <c r="AK236" s="50"/>
      <c r="AL236" s="50"/>
      <c r="AM236" s="177" t="str">
        <f t="shared" si="114"/>
        <v>start /low /b %USERPROFILE%\Documents\GitHub\eaglep3\Utilities\DownloadLogsFromS3.py --loco 4054 --day 2017-01-19</v>
      </c>
      <c r="AN236" s="186" t="str">
        <f>"grep -SE -B400 ""CHR.+\|PRM\|1\|D.+(SWITCH|SIGNAL).+UNKNOWN"" "&amp;search_path&amp;"\RTDC"&amp;B236&amp;"\*"&amp;B236&amp;"*"&amp;TEXT(AVERAGE(F236,I236)-utc_offset/24,"YYYYMMDD")&amp;"*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"%USERPROFILE%\AppData\Local\Temp\OnboardLogs"\RTDC4054\*4054*20170119* | grep -SE "(Enforcement Action)|(\[TIMEOUT)|(CHR.+\|PRM\|1\|D.+(SWITCH|SIGNAL).+UNKNOWN)" - &gt;&gt; 2017-01-19-UncaughtWiMAX.txt</v>
      </c>
    </row>
    <row r="237" spans="1:91" x14ac:dyDescent="0.25">
      <c r="A237" s="34" t="s">
        <v>701</v>
      </c>
      <c r="B237" s="7">
        <v>4042</v>
      </c>
      <c r="C237" s="22" t="s">
        <v>196</v>
      </c>
      <c r="D237" s="22" t="s">
        <v>840</v>
      </c>
      <c r="E237" s="13">
        <v>42755.031180555554</v>
      </c>
      <c r="F237" s="13">
        <v>42755.041261574072</v>
      </c>
      <c r="G237" s="7">
        <v>1</v>
      </c>
      <c r="H237" s="22" t="s">
        <v>841</v>
      </c>
      <c r="I237" s="13">
        <v>42755.056076388886</v>
      </c>
      <c r="J237" s="7">
        <v>5</v>
      </c>
      <c r="K237" s="105" t="str">
        <f t="shared" si="115"/>
        <v>4041/4042</v>
      </c>
      <c r="L237" s="22" t="str">
        <f>VLOOKUP(A237,'Trips&amp;Operators'!$C$1:$G$99999,5,FALSE)</f>
        <v>COMELLA JUSTIN</v>
      </c>
      <c r="M237" s="6">
        <f t="shared" si="116"/>
        <v>1.4814814814599231E-2</v>
      </c>
      <c r="N237" s="7">
        <f t="shared" si="117"/>
        <v>21.333333333022892</v>
      </c>
      <c r="O237" s="7"/>
      <c r="P237" s="7"/>
      <c r="Q237" s="23"/>
      <c r="R237" s="23"/>
      <c r="S237" s="32">
        <f t="shared" si="118"/>
        <v>0</v>
      </c>
      <c r="T237" s="47" t="e">
        <f t="shared" si="119"/>
        <v>#VALUE!</v>
      </c>
      <c r="U237" s="164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94" t="str">
        <f t="shared" si="109"/>
        <v>https://d0f6bd738d7f1b3e5a7ca70fe4ff75f0.us-east-1.aws.found.io/app/kibana#/discover/Steve-Slow-Train-Analysis-(2080s-and-2083s)?_g=(refreshInterval:(display:Off,pause:!f,section:0,value:0),time:(from:'2017-01-19T23:44:54-0700',mode:absolute,to:'2017-01-20T02:20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7" s="49" t="str">
        <f t="shared" si="120"/>
        <v>N</v>
      </c>
      <c r="X237" s="170" t="e">
        <f t="shared" si="121"/>
        <v>#VALUE!</v>
      </c>
      <c r="Y237" s="64">
        <f t="shared" si="122"/>
        <v>0.95930000000000004</v>
      </c>
      <c r="Z237" s="64">
        <f t="shared" si="123"/>
        <v>10.7125</v>
      </c>
      <c r="AA237" s="64">
        <f t="shared" si="124"/>
        <v>9.7531999999999996</v>
      </c>
      <c r="AB237" s="61" t="e">
        <f>VLOOKUP(A237,Enforcements!$C$7:$K$15,8,0)</f>
        <v>#N/A</v>
      </c>
      <c r="AC237" s="57" t="e">
        <f>VLOOKUP(A237,Enforcements!$C$7:$E$15,3,0)</f>
        <v>#N/A</v>
      </c>
      <c r="AD237" s="58" t="str">
        <f t="shared" si="125"/>
        <v>87-19</v>
      </c>
      <c r="AE237" s="87" t="str">
        <f t="shared" si="110"/>
        <v>aws s3 cp s3://rtdc.mdm.uploadarchive.raw/RTDC4042/ "%USERPROFILE%\AppData\Local\Temp\OnboardLogs"\RTDC4042\2017-01-20 --exclude "*" --recursive --include "*20170120*" &amp; "%USERPROFILE%\Documents\GitHub\mrs-test-scripts\Headless Mode &amp; Sideloading\WalkAndUnGZ.bat" "%USERPROFILE%\AppData\Local\Temp\OnboardLogs"\RTDC4042\2017-01-20 &amp; aws s3 cp s3://rtdc.mdm.uploadarchive.raw/RTDC4042/ "%USERPROFILE%\AppData\Local\Temp\OnboardLogs"\RTDC4042\2017-01-21 --exclude "*" --recursive --include "*20170121*" &amp; "%USERPROFILE%\Documents\GitHub\mrs-test-scripts\Headless Mode &amp; Sideloading\WalkAndUnGZ.bat" "%USERPROFILE%\AppData\Local\Temp\OnboardLogs"\RTDC4042\2017-01-21</v>
      </c>
      <c r="AF237" s="84" t="str">
        <f t="shared" si="111"/>
        <v>"C:\Program Files (x86)\AstroGrep\AstroGrep.exe" /spath="%USERPROFILE%\AppData\Local\Temp\OnboardLogs" /stypes="app*4042*20170120*" /stext=" 08:.+((SYSTEM_STATE.+slice.+state.+changed )|(ment ac)|(multiple cpu faults)|(system.+state.+changed )|(\[timeout)|(PRM\|1\|D)|(kpr)|(kdp)|(\|lc)|(penalty))" /e /r /s</v>
      </c>
      <c r="AG237" s="1" t="str">
        <f t="shared" si="126"/>
        <v>Other</v>
      </c>
      <c r="AH237" s="88" t="str">
        <f t="shared" si="112"/>
        <v>"%USERPROFILE%\Documents\GitHub\eaglep3\Utilities\RefineRTDCRunTimes.py" --tripid 87-19 --locoid 4042 --swversion DE.1.0.8.0 --startMP 204:9593 --initTime 2017-01-20T00:44:54 --startdatetime 2017-01-20T00:59:25 --delay 1 --endMP 204:107125 --enddatetime 2017-01-20T01:20:45 --enforcementcount 5 &gt;&gt;C:\Users\stu\Documents\GitHub\eaglep3-reporting\EC\2017-01-19-refined-times.txt</v>
      </c>
      <c r="AI237" s="115" t="str">
        <f t="shared" si="113"/>
        <v>echo {"issue":{"subject":"","project_id":79,"tracker_id":40,"status_id":1,"priority_id":2,"assigned_to_id":23,"start_date":"2017-01-20","description":"","custom_fields":[{"id":1,"name":"Subdivision","value":"Other"},{"id":4,"name":"Milepost","value":"10.7125"},{"id":17,"name":"Train ID","value":"87-19"},{"id":16,"name":"Locomotive ID","value":"4042"},{"id":130,"name":"Impact","value":""},{"id":150,"name":"Time of Event (Mountain Time)","value":"01:20:45"},{"id":151,"name":"Denver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50"/>
      <c r="AK237" s="50"/>
      <c r="AL237" s="50"/>
      <c r="AM237" s="177" t="str">
        <f t="shared" si="114"/>
        <v>start /low /b %USERPROFILE%\Documents\GitHub\eaglep3\Utilities\DownloadLogsFromS3.py --loco 4042 --day 2017-01-20</v>
      </c>
      <c r="AN237" s="186" t="str">
        <f>"grep -SE -B400 ""CHR.+\|PRM\|1\|D.+(SWITCH|SIGNAL).+UNKNOWN"" "&amp;search_path&amp;"\RTDC"&amp;B237&amp;"\*"&amp;B237&amp;"*"&amp;TEXT(AVERAGE(F237,I237)-utc_offset/24,"YYYYMMDD")&amp;"*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"%USERPROFILE%\AppData\Local\Temp\OnboardLogs"\RTDC4042\*4042*20170120* | grep -SE "(Enforcement Action)|(\[TIMEOUT)|(CHR.+\|PRM\|1\|D.+(SWITCH|SIGNAL).+UNKNOWN)" - &gt;&gt; 2017-01-19-UncaughtWiMAX.txt</v>
      </c>
    </row>
    <row r="238" spans="1:91" x14ac:dyDescent="0.25">
      <c r="A238" s="34" t="s">
        <v>701</v>
      </c>
      <c r="B238" s="7">
        <v>4042</v>
      </c>
      <c r="C238" s="22" t="s">
        <v>196</v>
      </c>
      <c r="D238" s="22" t="s">
        <v>842</v>
      </c>
      <c r="E238" s="13">
        <v>42755.079467592594</v>
      </c>
      <c r="F238" s="13">
        <v>42755.120983796296</v>
      </c>
      <c r="G238" s="7">
        <v>1</v>
      </c>
      <c r="H238" s="22" t="s">
        <v>843</v>
      </c>
      <c r="I238" s="13">
        <v>42755.123831018522</v>
      </c>
      <c r="J238" s="7">
        <v>5</v>
      </c>
      <c r="K238" s="105" t="str">
        <f t="shared" si="115"/>
        <v>4041/4042</v>
      </c>
      <c r="L238" s="22" t="str">
        <f>VLOOKUP(A238,'Trips&amp;Operators'!$C$1:$G$99999,5,FALSE)</f>
        <v>COMELLA JUSTIN</v>
      </c>
      <c r="M238" s="6">
        <f t="shared" si="116"/>
        <v>2.8472222256823443E-3</v>
      </c>
      <c r="N238" s="7">
        <f t="shared" si="117"/>
        <v>4.1000000049825758</v>
      </c>
      <c r="O238" s="7"/>
      <c r="P238" s="7"/>
      <c r="Q238" s="23"/>
      <c r="R238" s="23"/>
      <c r="S238" s="32">
        <f t="shared" si="118"/>
        <v>0</v>
      </c>
      <c r="T238" s="47" t="e">
        <f t="shared" si="119"/>
        <v>#VALUE!</v>
      </c>
      <c r="U238" s="164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94" t="str">
        <f t="shared" si="109"/>
        <v>https://d0f6bd738d7f1b3e5a7ca70fe4ff75f0.us-east-1.aws.found.io/app/kibana#/discover/Steve-Slow-Train-Analysis-(2080s-and-2083s)?_g=(refreshInterval:(display:Off,pause:!f,section:0,value:0),time:(from:'2017-01-20T00:54:26-0700',mode:absolute,to:'2017-01-20T03:58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8" s="49" t="str">
        <f t="shared" si="120"/>
        <v>N</v>
      </c>
      <c r="X238" s="170" t="e">
        <f t="shared" si="121"/>
        <v>#VALUE!</v>
      </c>
      <c r="Y238" s="64">
        <f t="shared" si="122"/>
        <v>0.96560000000000001</v>
      </c>
      <c r="Z238" s="64">
        <f t="shared" si="123"/>
        <v>10.700100000000001</v>
      </c>
      <c r="AA238" s="64">
        <f t="shared" si="124"/>
        <v>9.7345000000000006</v>
      </c>
      <c r="AB238" s="61" t="e">
        <f>VLOOKUP(A238,Enforcements!$C$7:$K$15,8,0)</f>
        <v>#N/A</v>
      </c>
      <c r="AC238" s="57" t="e">
        <f>VLOOKUP(A238,Enforcements!$C$7:$E$15,3,0)</f>
        <v>#N/A</v>
      </c>
      <c r="AD238" s="58" t="str">
        <f t="shared" si="125"/>
        <v>87-19</v>
      </c>
      <c r="AE238" s="87" t="str">
        <f t="shared" si="110"/>
        <v>aws s3 cp s3://rtdc.mdm.uploadarchive.raw/RTDC4042/ "%USERPROFILE%\AppData\Local\Temp\OnboardLogs"\RTDC4042\2017-01-20 --exclude "*" --recursive --include "*20170120*" &amp; "%USERPROFILE%\Documents\GitHub\mrs-test-scripts\Headless Mode &amp; Sideloading\WalkAndUnGZ.bat" "%USERPROFILE%\AppData\Local\Temp\OnboardLogs"\RTDC4042\2017-01-20 &amp; aws s3 cp s3://rtdc.mdm.uploadarchive.raw/RTDC4042/ "%USERPROFILE%\AppData\Local\Temp\OnboardLogs"\RTDC4042\2017-01-21 --exclude "*" --recursive --include "*20170121*" &amp; "%USERPROFILE%\Documents\GitHub\mrs-test-scripts\Headless Mode &amp; Sideloading\WalkAndUnGZ.bat" "%USERPROFILE%\AppData\Local\Temp\OnboardLogs"\RTDC4042\2017-01-21</v>
      </c>
      <c r="AF238" s="84" t="str">
        <f t="shared" si="111"/>
        <v>"C:\Program Files (x86)\AstroGrep\AstroGrep.exe" /spath="%USERPROFILE%\AppData\Local\Temp\OnboardLogs" /stypes="app*4042*20170120*" /stext=" 09:.+((SYSTEM_STATE.+slice.+state.+changed )|(ment ac)|(multiple cpu faults)|(system.+state.+changed )|(\[timeout)|(PRM\|1\|D)|(kpr)|(kdp)|(\|lc)|(penalty))" /e /r /s</v>
      </c>
      <c r="AG238" s="1" t="str">
        <f t="shared" si="126"/>
        <v>Other</v>
      </c>
      <c r="AH238" s="88" t="str">
        <f t="shared" si="112"/>
        <v>"%USERPROFILE%\Documents\GitHub\eaglep3\Utilities\RefineRTDCRunTimes.py" --tripid 87-19 --locoid 4042 --swversion DE.1.0.8.0 --startMP 204:9656 --initTime 2017-01-20T01:54:26 --startdatetime 2017-01-20T02:54:13 --delay 1 --endMP 204:107001 --enddatetime 2017-01-20T02:58:19 --enforcementcount 5 &gt;&gt;C:\Users\stu\Documents\GitHub\eaglep3-reporting\EC\2017-01-19-refined-times.txt</v>
      </c>
      <c r="AI238" s="115" t="str">
        <f t="shared" si="113"/>
        <v>echo {"issue":{"subject":"","project_id":79,"tracker_id":40,"status_id":1,"priority_id":2,"assigned_to_id":23,"start_date":"2017-01-20","description":"","custom_fields":[{"id":1,"name":"Subdivision","value":"Other"},{"id":4,"name":"Milepost","value":"10.7001"},{"id":17,"name":"Train ID","value":"87-19"},{"id":16,"name":"Locomotive ID","value":"4042"},{"id":130,"name":"Impact","value":""},{"id":150,"name":"Time of Event (Mountain Time)","value":"02:58:19"},{"id":151,"name":"Denver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50"/>
      <c r="AK238" s="50"/>
      <c r="AL238" s="50"/>
      <c r="AM238" s="177" t="str">
        <f t="shared" si="114"/>
        <v>start /low /b %USERPROFILE%\Documents\GitHub\eaglep3\Utilities\DownloadLogsFromS3.py --loco 4042 --day 2017-01-20</v>
      </c>
      <c r="AN238" s="186" t="str">
        <f>"grep -SE -B400 ""CHR.+\|PRM\|1\|D.+(SWITCH|SIGNAL).+UNKNOWN"" "&amp;search_path&amp;"\RTDC"&amp;B238&amp;"\*"&amp;B238&amp;"*"&amp;TEXT(AVERAGE(F238,I238)-utc_offset/24,"YYYYMMDD")&amp;"*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"%USERPROFILE%\AppData\Local\Temp\OnboardLogs"\RTDC4042\*4042*20170120* | grep -SE "(Enforcement Action)|(\[TIMEOUT)|(CHR.+\|PRM\|1\|D.+(SWITCH|SIGNAL).+UNKNOWN)" - &gt;&gt; 2017-01-19-UncaughtWiMAX.txt</v>
      </c>
    </row>
    <row r="239" spans="1:91" x14ac:dyDescent="0.25">
      <c r="A239" s="34" t="s">
        <v>696</v>
      </c>
      <c r="B239" s="7">
        <v>4041</v>
      </c>
      <c r="C239" s="22" t="s">
        <v>196</v>
      </c>
      <c r="D239" s="22" t="s">
        <v>844</v>
      </c>
      <c r="E239" s="13">
        <v>42755.109907407408</v>
      </c>
      <c r="F239" s="13">
        <v>42755.133414351854</v>
      </c>
      <c r="G239" s="7">
        <v>1</v>
      </c>
      <c r="H239" s="22" t="s">
        <v>845</v>
      </c>
      <c r="I239" s="13">
        <v>42755.150138888886</v>
      </c>
      <c r="J239" s="7">
        <v>5</v>
      </c>
      <c r="K239" s="105" t="str">
        <f t="shared" si="115"/>
        <v>4041/4042</v>
      </c>
      <c r="L239" s="22" t="str">
        <f>VLOOKUP(A239,'Trips&amp;Operators'!$C$1:$G$99999,5,FALSE)</f>
        <v>COMELLA JUSTIN</v>
      </c>
      <c r="M239" s="6">
        <f t="shared" si="116"/>
        <v>1.6724537032132503E-2</v>
      </c>
      <c r="N239" s="7">
        <f t="shared" si="117"/>
        <v>24.083333326270804</v>
      </c>
      <c r="O239" s="7"/>
      <c r="P239" s="7"/>
      <c r="Q239" s="23"/>
      <c r="R239" s="23"/>
      <c r="S239" s="32">
        <f t="shared" si="118"/>
        <v>0</v>
      </c>
      <c r="T239" s="47" t="e">
        <f t="shared" si="119"/>
        <v>#VALUE!</v>
      </c>
      <c r="U239" s="164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94" t="str">
        <f t="shared" si="109"/>
        <v>https://d0f6bd738d7f1b3e5a7ca70fe4ff75f0.us-east-1.aws.found.io/app/kibana#/discover/Steve-Slow-Train-Analysis-(2080s-and-2083s)?_g=(refreshInterval:(display:Off,pause:!f,section:0,value:0),time:(from:'2017-01-20T01:38:16-0700',mode:absolute,to:'2017-01-20T04:36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39" s="49" t="str">
        <f t="shared" si="120"/>
        <v>Y</v>
      </c>
      <c r="X239" s="170" t="e">
        <f t="shared" si="121"/>
        <v>#VALUE!</v>
      </c>
      <c r="Y239" s="64">
        <f t="shared" si="122"/>
        <v>10.6676</v>
      </c>
      <c r="Z239" s="64">
        <f t="shared" si="123"/>
        <v>10.4802</v>
      </c>
      <c r="AA239" s="64">
        <f t="shared" si="124"/>
        <v>0.18740000000000023</v>
      </c>
      <c r="AB239" s="61" t="e">
        <f>VLOOKUP(A239,Enforcements!$C$7:$K$15,8,0)</f>
        <v>#N/A</v>
      </c>
      <c r="AC239" s="57" t="e">
        <f>VLOOKUP(A239,Enforcements!$C$7:$E$15,3,0)</f>
        <v>#N/A</v>
      </c>
      <c r="AD239" s="58" t="str">
        <f t="shared" si="125"/>
        <v>88-19</v>
      </c>
      <c r="AE239" s="87" t="str">
        <f t="shared" si="110"/>
        <v>aws s3 cp s3://rtdc.mdm.uploadarchive.raw/RTDC4041/ "%USERPROFILE%\AppData\Local\Temp\OnboardLogs"\RTDC4041\2017-01-20 --exclude "*" --recursive --include "*20170120*" &amp; "%USERPROFILE%\Documents\GitHub\mrs-test-scripts\Headless Mode &amp; Sideloading\WalkAndUnGZ.bat" "%USERPROFILE%\AppData\Local\Temp\OnboardLogs"\RTDC4041\2017-01-20 &amp; aws s3 cp s3://rtdc.mdm.uploadarchive.raw/RTDC4041/ "%USERPROFILE%\AppData\Local\Temp\OnboardLogs"\RTDC4041\2017-01-21 --exclude "*" --recursive --include "*20170121*" &amp; "%USERPROFILE%\Documents\GitHub\mrs-test-scripts\Headless Mode &amp; Sideloading\WalkAndUnGZ.bat" "%USERPROFILE%\AppData\Local\Temp\OnboardLogs"\RTDC4041\2017-01-21</v>
      </c>
      <c r="AF239" s="84" t="str">
        <f t="shared" si="111"/>
        <v>"C:\Program Files (x86)\AstroGrep\AstroGrep.exe" /spath="%USERPROFILE%\AppData\Local\Temp\OnboardLogs" /stypes="app*4041*20170120*" /stext=" 10:.+((SYSTEM_STATE.+slice.+state.+changed )|(ment ac)|(multiple cpu faults)|(system.+state.+changed )|(\[timeout)|(PRM\|1\|D)|(kpr)|(kdp)|(\|lc)|(penalty))" /e /r /s</v>
      </c>
      <c r="AG239" s="1" t="str">
        <f t="shared" si="126"/>
        <v>Other</v>
      </c>
      <c r="AH239" s="88" t="str">
        <f t="shared" si="112"/>
        <v>"%USERPROFILE%\Documents\GitHub\eaglep3\Utilities\RefineRTDCRunTimes.py" --tripid 88-19 --locoid 4041 --swversion DE.1.0.8.0 --startMP 204:106676 --initTime 2017-01-20T02:38:16 --startdatetime 2017-01-20T03:12:07 --delay 1 --endMP 204:104802 --enddatetime 2017-01-20T03:36:12 --enforcementcount 5 &gt;&gt;C:\Users\stu\Documents\GitHub\eaglep3-reporting\EC\2017-01-19-refined-times.txt</v>
      </c>
      <c r="AI239" s="115" t="str">
        <f t="shared" si="113"/>
        <v>echo {"issue":{"subject":"","project_id":79,"tracker_id":40,"status_id":1,"priority_id":2,"assigned_to_id":23,"start_date":"2017-01-20","description":"","custom_fields":[{"id":1,"name":"Subdivision","value":"Other"},{"id":4,"name":"Milepost","value":"10.4802"},{"id":17,"name":"Train ID","value":"88-19"},{"id":16,"name":"Locomotive ID","value":"4041"},{"id":130,"name":"Impact","value":""},{"id":150,"name":"Time of Event (Mountain Time)","value":"03:36:12"},{"id":151,"name":"Denver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50"/>
      <c r="AK239" s="50"/>
      <c r="AL239" s="50"/>
      <c r="AM239" s="177" t="str">
        <f t="shared" si="114"/>
        <v>start /low /b %USERPROFILE%\Documents\GitHub\eaglep3\Utilities\DownloadLogsFromS3.py --loco 4041 --day 2017-01-20</v>
      </c>
      <c r="AN239" s="186" t="str">
        <f>"grep -SE -B400 ""CHR.+\|PRM\|1\|D.+(SWITCH|SIGNAL).+UNKNOWN"" "&amp;search_path&amp;"\RTDC"&amp;B239&amp;"\*"&amp;B239&amp;"*"&amp;TEXT(AVERAGE(F239,I239)-utc_offset/24,"YYYYMMDD")&amp;"*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"%USERPROFILE%\AppData\Local\Temp\OnboardLogs"\RTDC4041\*4041*20170120* | grep -SE "(Enforcement Action)|(\[TIMEOUT)|(CHR.+\|PRM\|1\|D.+(SWITCH|SIGNAL).+UNKNOWN)" - &gt;&gt; 2017-01-19-UncaughtWiMAX.txt</v>
      </c>
    </row>
    <row r="240" spans="1:91" x14ac:dyDescent="0.25">
      <c r="A240" s="34" t="s">
        <v>696</v>
      </c>
      <c r="B240" s="7">
        <v>4041</v>
      </c>
      <c r="C240" s="22" t="s">
        <v>196</v>
      </c>
      <c r="D240" s="22" t="s">
        <v>846</v>
      </c>
      <c r="E240" s="13">
        <v>42755.057164351849</v>
      </c>
      <c r="F240" s="13">
        <v>42755.059907407405</v>
      </c>
      <c r="G240" s="7">
        <v>1</v>
      </c>
      <c r="H240" s="22" t="s">
        <v>847</v>
      </c>
      <c r="I240" s="13">
        <v>42755.077847222223</v>
      </c>
      <c r="J240" s="7">
        <v>5</v>
      </c>
      <c r="K240" s="105" t="str">
        <f t="shared" si="115"/>
        <v>4041/4042</v>
      </c>
      <c r="L240" s="22" t="str">
        <f>VLOOKUP(A240,'Trips&amp;Operators'!$C$1:$G$99999,5,FALSE)</f>
        <v>COMELLA JUSTIN</v>
      </c>
      <c r="M240" s="6">
        <f t="shared" si="116"/>
        <v>1.7939814817509614E-2</v>
      </c>
      <c r="N240" s="7">
        <f t="shared" si="117"/>
        <v>25.833333337213844</v>
      </c>
      <c r="O240" s="7"/>
      <c r="P240" s="7"/>
      <c r="Q240" s="23"/>
      <c r="R240" s="23"/>
      <c r="S240" s="32">
        <f t="shared" si="118"/>
        <v>0</v>
      </c>
      <c r="T240" s="47" t="e">
        <f t="shared" si="119"/>
        <v>#VALUE!</v>
      </c>
      <c r="U240" s="164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94" t="str">
        <f t="shared" si="109"/>
        <v>https://d0f6bd738d7f1b3e5a7ca70fe4ff75f0.us-east-1.aws.found.io/app/kibana#/discover/Steve-Slow-Train-Analysis-(2080s-and-2083s)?_g=(refreshInterval:(display:Off,pause:!f,section:0,value:0),time:(from:'2017-01-20T00:22:19-0700',mode:absolute,to:'2017-01-20T02:52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40" s="49" t="str">
        <f t="shared" si="120"/>
        <v>N</v>
      </c>
      <c r="X240" s="170" t="e">
        <f t="shared" si="121"/>
        <v>#VALUE!</v>
      </c>
      <c r="Y240" s="64">
        <f t="shared" si="122"/>
        <v>10.679600000000001</v>
      </c>
      <c r="Z240" s="64">
        <f t="shared" si="123"/>
        <v>0.93369999999999997</v>
      </c>
      <c r="AA240" s="64">
        <f t="shared" si="124"/>
        <v>9.7459000000000007</v>
      </c>
      <c r="AB240" s="61" t="e">
        <f>VLOOKUP(A240,Enforcements!$C$7:$K$15,8,0)</f>
        <v>#N/A</v>
      </c>
      <c r="AC240" s="57" t="e">
        <f>VLOOKUP(A240,Enforcements!$C$7:$E$15,3,0)</f>
        <v>#N/A</v>
      </c>
      <c r="AD240" s="58" t="str">
        <f t="shared" si="125"/>
        <v>88-19</v>
      </c>
      <c r="AE240" s="87" t="str">
        <f t="shared" si="110"/>
        <v>aws s3 cp s3://rtdc.mdm.uploadarchive.raw/RTDC4041/ "%USERPROFILE%\AppData\Local\Temp\OnboardLogs"\RTDC4041\2017-01-20 --exclude "*" --recursive --include "*20170120*" &amp; "%USERPROFILE%\Documents\GitHub\mrs-test-scripts\Headless Mode &amp; Sideloading\WalkAndUnGZ.bat" "%USERPROFILE%\AppData\Local\Temp\OnboardLogs"\RTDC4041\2017-01-20 &amp; aws s3 cp s3://rtdc.mdm.uploadarchive.raw/RTDC4041/ "%USERPROFILE%\AppData\Local\Temp\OnboardLogs"\RTDC4041\2017-01-21 --exclude "*" --recursive --include "*20170121*" &amp; "%USERPROFILE%\Documents\GitHub\mrs-test-scripts\Headless Mode &amp; Sideloading\WalkAndUnGZ.bat" "%USERPROFILE%\AppData\Local\Temp\OnboardLogs"\RTDC4041\2017-01-21</v>
      </c>
      <c r="AF240" s="84" t="str">
        <f t="shared" si="111"/>
        <v>"C:\Program Files (x86)\AstroGrep\AstroGrep.exe" /spath="%USERPROFILE%\AppData\Local\Temp\OnboardLogs" /stypes="app*4041*20170120*" /stext=" 08:.+((SYSTEM_STATE.+slice.+state.+changed )|(ment ac)|(multiple cpu faults)|(system.+state.+changed )|(\[timeout)|(PRM\|1\|D)|(kpr)|(kdp)|(\|lc)|(penalty))" /e /r /s</v>
      </c>
      <c r="AG240" s="1" t="str">
        <f t="shared" si="126"/>
        <v>Other</v>
      </c>
      <c r="AH240" s="88" t="str">
        <f t="shared" si="112"/>
        <v>"%USERPROFILE%\Documents\GitHub\eaglep3\Utilities\RefineRTDCRunTimes.py" --tripid 88-19 --locoid 4041 --swversion DE.1.0.8.0 --startMP 204:106796 --initTime 2017-01-20T01:22:19 --startdatetime 2017-01-20T01:26:16 --delay 1 --endMP 204:9337 --enddatetime 2017-01-20T01:52:06 --enforcementcount 5 &gt;&gt;C:\Users\stu\Documents\GitHub\eaglep3-reporting\EC\2017-01-19-refined-times.txt</v>
      </c>
      <c r="AI240" s="115" t="str">
        <f t="shared" si="113"/>
        <v>echo {"issue":{"subject":"","project_id":79,"tracker_id":40,"status_id":1,"priority_id":2,"assigned_to_id":23,"start_date":"2017-01-20","description":"","custom_fields":[{"id":1,"name":"Subdivision","value":"Other"},{"id":4,"name":"Milepost","value":"0.9337"},{"id":17,"name":"Train ID","value":"88-19"},{"id":16,"name":"Locomotive ID","value":"4041"},{"id":130,"name":"Impact","value":""},{"id":150,"name":"Time of Event (Mountain Time)","value":"01:52:06"},{"id":151,"name":"Denver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50"/>
      <c r="AK240" s="50"/>
      <c r="AL240" s="50"/>
      <c r="AM240" s="177" t="str">
        <f t="shared" si="114"/>
        <v>start /low /b %USERPROFILE%\Documents\GitHub\eaglep3\Utilities\DownloadLogsFromS3.py --loco 4041 --day 2017-01-20</v>
      </c>
      <c r="AN240" s="186" t="str">
        <f>"grep -SE -B400 ""CHR.+\|PRM\|1\|D.+(SWITCH|SIGNAL).+UNKNOWN"" "&amp;search_path&amp;"\RTDC"&amp;B240&amp;"\*"&amp;B240&amp;"*"&amp;TEXT(AVERAGE(F240,I240)-utc_offset/24,"YYYYMMDD")&amp;"*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"%USERPROFILE%\AppData\Local\Temp\OnboardLogs"\RTDC4041\*4041*20170120* | grep -SE "(Enforcement Action)|(\[TIMEOUT)|(CHR.+\|PRM\|1\|D.+(SWITCH|SIGNAL).+UNKNOWN)" - &gt;&gt; 2017-01-19-UncaughtWiMAX.txt</v>
      </c>
    </row>
    <row r="241" spans="1:40" x14ac:dyDescent="0.25">
      <c r="A241" s="34" t="s">
        <v>696</v>
      </c>
      <c r="B241" s="7">
        <v>4041</v>
      </c>
      <c r="C241" s="22" t="s">
        <v>196</v>
      </c>
      <c r="D241" s="22" t="s">
        <v>848</v>
      </c>
      <c r="E241" s="13">
        <v>42754.993356481478</v>
      </c>
      <c r="F241" s="13">
        <v>42754.995000000003</v>
      </c>
      <c r="G241" s="7">
        <v>1</v>
      </c>
      <c r="H241" s="22" t="s">
        <v>849</v>
      </c>
      <c r="I241" s="13">
        <v>42755.026863425926</v>
      </c>
      <c r="J241" s="7">
        <v>5</v>
      </c>
      <c r="K241" s="105" t="str">
        <f t="shared" si="115"/>
        <v>4041/4042</v>
      </c>
      <c r="L241" s="22" t="str">
        <f>VLOOKUP(A241,'Trips&amp;Operators'!$C$1:$G$99999,5,FALSE)</f>
        <v>COMELLA JUSTIN</v>
      </c>
      <c r="M241" s="6">
        <f t="shared" si="116"/>
        <v>3.1863425923802424E-2</v>
      </c>
      <c r="N241" s="7">
        <f t="shared" si="117"/>
        <v>45.883333330275491</v>
      </c>
      <c r="O241" s="7"/>
      <c r="P241" s="7"/>
      <c r="Q241" s="23"/>
      <c r="R241" s="23"/>
      <c r="S241" s="32">
        <f t="shared" si="118"/>
        <v>0</v>
      </c>
      <c r="T241" s="47" t="e">
        <f t="shared" si="119"/>
        <v>#VALUE!</v>
      </c>
      <c r="U241" s="164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94" t="str">
        <f t="shared" si="109"/>
        <v>https://d0f6bd738d7f1b3e5a7ca70fe4ff75f0.us-east-1.aws.found.io/app/kibana#/discover/Steve-Slow-Train-Analysis-(2080s-and-2083s)?_g=(refreshInterval:(display:Off,pause:!f,section:0,value:0),time:(from:'2017-01-19T22:50:26-0700',mode:absolute,to:'2017-01-20T01:38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41" s="49" t="str">
        <f t="shared" si="120"/>
        <v>N</v>
      </c>
      <c r="X241" s="170" t="e">
        <f t="shared" si="121"/>
        <v>#VALUE!</v>
      </c>
      <c r="Y241" s="64">
        <f t="shared" si="122"/>
        <v>12.7866</v>
      </c>
      <c r="Z241" s="64">
        <f t="shared" si="123"/>
        <v>0.92620000000000002</v>
      </c>
      <c r="AA241" s="64">
        <f t="shared" si="124"/>
        <v>11.8604</v>
      </c>
      <c r="AB241" s="61" t="e">
        <f>VLOOKUP(A241,Enforcements!$C$7:$K$15,8,0)</f>
        <v>#N/A</v>
      </c>
      <c r="AC241" s="57" t="e">
        <f>VLOOKUP(A241,Enforcements!$C$7:$E$15,3,0)</f>
        <v>#N/A</v>
      </c>
      <c r="AD241" s="58" t="str">
        <f t="shared" si="125"/>
        <v>88-19</v>
      </c>
      <c r="AE241" s="87" t="str">
        <f t="shared" si="110"/>
        <v>aws s3 cp s3://rtdc.mdm.uploadarchive.raw/RTDC4041/ "%USERPROFILE%\AppData\Local\Temp\OnboardLogs"\RTDC4041\2017-01-19 --exclude "*" --recursive --include "*20170119*" &amp; "%USERPROFILE%\Documents\GitHub\mrs-test-scripts\Headless Mode &amp; Sideloading\WalkAndUnGZ.bat" "%USERPROFILE%\AppData\Local\Temp\OnboardLogs"\RTDC4041\2017-01-19 &amp; aws s3 cp s3://rtdc.mdm.uploadarchive.raw/RTDC4041/ "%USERPROFILE%\AppData\Local\Temp\OnboardLogs"\RTDC4041\2017-01-20 --exclude "*" --recursive --include "*20170120*" &amp; "%USERPROFILE%\Documents\GitHub\mrs-test-scripts\Headless Mode &amp; Sideloading\WalkAndUnGZ.bat" "%USERPROFILE%\AppData\Local\Temp\OnboardLogs"\RTDC4041\2017-01-20</v>
      </c>
      <c r="AF241" s="84" t="str">
        <f t="shared" si="111"/>
        <v>"C:\Program Files (x86)\AstroGrep\AstroGrep.exe" /spath="%USERPROFILE%\AppData\Local\Temp\OnboardLogs" /stypes="app*4041*20170120*" /stext=" 07:.+((SYSTEM_STATE.+slice.+state.+changed )|(ment ac)|(multiple cpu faults)|(system.+state.+changed )|(\[timeout)|(PRM\|1\|D)|(kpr)|(kdp)|(\|lc)|(penalty))" /e /r /s</v>
      </c>
      <c r="AG241" s="1" t="str">
        <f t="shared" si="126"/>
        <v>Other</v>
      </c>
      <c r="AH241" s="88" t="str">
        <f t="shared" si="112"/>
        <v>"%USERPROFILE%\Documents\GitHub\eaglep3\Utilities\RefineRTDCRunTimes.py" --tripid 88-19 --locoid 4041 --swversion DE.1.0.8.0 --startMP 204:127866 --initTime 2017-01-19T23:50:26 --startdatetime 2017-01-19T23:52:48 --delay 1 --endMP 204:9262 --enddatetime 2017-01-20T00:38:41 --enforcementcount 5 &gt;&gt;C:\Users\stu\Documents\GitHub\eaglep3-reporting\EC\2017-01-19-refined-times.txt</v>
      </c>
      <c r="AI241" s="115" t="str">
        <f t="shared" si="113"/>
        <v>echo {"issue":{"subject":"","project_id":79,"tracker_id":40,"status_id":1,"priority_id":2,"assigned_to_id":23,"start_date":"2017-01-20","description":"","custom_fields":[{"id":1,"name":"Subdivision","value":"Other"},{"id":4,"name":"Milepost","value":"0.9262"},{"id":17,"name":"Train ID","value":"88-19"},{"id":16,"name":"Locomotive ID","value":"4041"},{"id":130,"name":"Impact","value":""},{"id":150,"name":"Time of Event (Mountain Time)","value":"00:38:41"},{"id":151,"name":"Denver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50"/>
      <c r="AK241" s="50"/>
      <c r="AL241" s="50"/>
      <c r="AM241" s="177" t="str">
        <f t="shared" si="114"/>
        <v>start /low /b %USERPROFILE%\Documents\GitHub\eaglep3\Utilities\DownloadLogsFromS3.py --loco 4041 --day 2017-01-19</v>
      </c>
      <c r="AN241" s="186" t="str">
        <f>"grep -SE -B400 ""CHR.+\|PRM\|1\|D.+(SWITCH|SIGNAL).+UNKNOWN"" "&amp;search_path&amp;"\RTDC"&amp;B241&amp;"\*"&amp;B241&amp;"*"&amp;TEXT(AVERAGE(F241,I241)-utc_offset/24,"YYYYMMDD")&amp;"*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"%USERPROFILE%\AppData\Local\Temp\OnboardLogs"\RTDC4041\*4041*20170120* | grep -SE "(Enforcement Action)|(\[TIMEOUT)|(CHR.+\|PRM\|1\|D.+(SWITCH|SIGNAL).+UNKNOWN)" - &gt;&gt; 2017-01-19-UncaughtWiMAX.txt</v>
      </c>
    </row>
    <row r="242" spans="1:40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40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40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40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40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40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40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40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40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40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40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40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40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40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40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S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S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  <c r="AM272"/>
    </row>
    <row r="273" spans="1:3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S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  <c r="AM273"/>
    </row>
    <row r="274" spans="1:3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S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  <c r="AM274"/>
    </row>
    <row r="275" spans="1:39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S275"/>
      <c r="U275"/>
      <c r="V275"/>
      <c r="W275"/>
      <c r="X275"/>
      <c r="Y275"/>
      <c r="Z275"/>
      <c r="AA275"/>
      <c r="AB275"/>
      <c r="AC275"/>
      <c r="AD275"/>
      <c r="AE275"/>
      <c r="AF275"/>
      <c r="AH275"/>
      <c r="AI275"/>
      <c r="AM275"/>
    </row>
    <row r="276" spans="1:39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S276"/>
      <c r="U276"/>
      <c r="V276"/>
      <c r="W276"/>
      <c r="X276"/>
      <c r="Y276"/>
      <c r="Z276"/>
      <c r="AA276"/>
      <c r="AB276"/>
      <c r="AC276"/>
      <c r="AD276"/>
      <c r="AE276"/>
      <c r="AF276"/>
      <c r="AH276"/>
      <c r="AI276"/>
      <c r="AM276"/>
    </row>
    <row r="277" spans="1:39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S277"/>
      <c r="U277"/>
      <c r="V277"/>
      <c r="W277"/>
      <c r="X277"/>
      <c r="Y277"/>
      <c r="Z277"/>
      <c r="AA277"/>
      <c r="AB277"/>
      <c r="AC277"/>
      <c r="AD277"/>
      <c r="AE277"/>
      <c r="AF277"/>
      <c r="AH277"/>
      <c r="AI277"/>
      <c r="AM277"/>
    </row>
    <row r="278" spans="1:39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S278"/>
      <c r="U278"/>
      <c r="V278"/>
      <c r="W278"/>
      <c r="X278"/>
      <c r="Y278"/>
      <c r="Z278"/>
      <c r="AA278"/>
      <c r="AB278"/>
      <c r="AC278"/>
      <c r="AD278"/>
      <c r="AE278"/>
      <c r="AF278"/>
      <c r="AH278"/>
      <c r="AI278"/>
      <c r="AM278"/>
    </row>
  </sheetData>
  <autoFilter ref="A12:AG262"/>
  <sortState ref="A13:AH200">
    <sortCondition ref="AG13:AG200"/>
    <sortCondition ref="AD13:AD200"/>
  </sortState>
  <mergeCells count="1">
    <mergeCell ref="A11:P11"/>
  </mergeCells>
  <conditionalFormatting sqref="W11:W12 W279:X1048576 W13:X241">
    <cfRule type="cellIs" dxfId="10" priority="352" operator="equal">
      <formula>"Y"</formula>
    </cfRule>
  </conditionalFormatting>
  <conditionalFormatting sqref="X279:X1048576 X13:X241">
    <cfRule type="cellIs" dxfId="9" priority="335" operator="greaterThan">
      <formula>1</formula>
    </cfRule>
  </conditionalFormatting>
  <conditionalFormatting sqref="X279:X1048576 X12:X241">
    <cfRule type="cellIs" dxfId="8" priority="332" operator="equal">
      <formula>0</formula>
    </cfRule>
  </conditionalFormatting>
  <conditionalFormatting sqref="A13:S241">
    <cfRule type="expression" dxfId="7" priority="326" stopIfTrue="1">
      <formula>$P13&gt;0</formula>
    </cfRule>
    <cfRule type="expression" dxfId="6" priority="327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A13:S241</xm:sqref>
        </x14:conditionalFormatting>
        <x14:conditionalFormatting xmlns:xm="http://schemas.microsoft.com/office/excel/2006/main">
          <x14:cfRule type="expression" priority="1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AK13:AK241</xm:sqref>
        </x14:dataValidation>
        <x14:dataValidation type="list" allowBlank="1" showInputMessage="1" showErrorMessage="1">
          <x14:formula1>
            <xm:f>'Redmine List Values'!$C$2:$C$15</xm:f>
          </x14:formula1>
          <xm:sqref>AL13:AL241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F63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2" customWidth="1"/>
    <col min="5" max="5" width="18.5703125" style="132" customWidth="1"/>
    <col min="6" max="6" width="5.7109375" style="132" customWidth="1"/>
    <col min="7" max="7" width="5.85546875" style="132" customWidth="1"/>
    <col min="8" max="8" width="7.85546875" style="132" customWidth="1"/>
    <col min="9" max="9" width="9" style="132" customWidth="1"/>
    <col min="10" max="10" width="11.5703125" style="132" hidden="1" customWidth="1"/>
    <col min="11" max="11" width="9.140625" style="132" customWidth="1"/>
    <col min="12" max="12" width="7.85546875" style="132" customWidth="1"/>
    <col min="13" max="13" width="7.85546875" style="2" customWidth="1"/>
    <col min="14" max="14" width="14.28515625" style="131" customWidth="1"/>
    <col min="15" max="15" width="5.140625" style="162" customWidth="1"/>
    <col min="16" max="16" width="33.42578125" style="132" customWidth="1"/>
    <col min="17" max="17" width="5" hidden="1" customWidth="1"/>
    <col min="18" max="18" width="5.5703125" style="85" customWidth="1"/>
    <col min="19" max="19" width="5.5703125" style="97" customWidth="1"/>
    <col min="20" max="20" width="6" style="82" customWidth="1"/>
    <col min="21" max="21" width="5.140625" customWidth="1"/>
    <col min="22" max="22" width="21.42578125" style="45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4" customWidth="1"/>
    <col min="31" max="31" width="9.140625" style="177"/>
  </cols>
  <sheetData>
    <row r="1" spans="1:32" s="21" customFormat="1" ht="15.75" hidden="1" thickBot="1" x14ac:dyDescent="0.3">
      <c r="A1" s="8"/>
      <c r="D1" s="132"/>
      <c r="E1" s="132"/>
      <c r="F1" s="132"/>
      <c r="G1" s="132"/>
      <c r="H1" s="132"/>
      <c r="I1" s="132"/>
      <c r="J1" s="132"/>
      <c r="K1" s="132"/>
      <c r="L1" s="132"/>
      <c r="M1" s="2"/>
      <c r="N1" s="131"/>
      <c r="O1" s="162"/>
      <c r="P1" s="132"/>
      <c r="R1" s="85"/>
      <c r="S1" s="97"/>
      <c r="T1" s="82"/>
      <c r="V1" s="45"/>
      <c r="AC1" s="134"/>
      <c r="AE1" s="177"/>
    </row>
    <row r="2" spans="1:32" s="21" customFormat="1" x14ac:dyDescent="0.25">
      <c r="A2" s="8"/>
      <c r="D2" s="132"/>
      <c r="E2" s="132"/>
      <c r="F2" s="132"/>
      <c r="G2" s="132"/>
      <c r="H2" s="132"/>
      <c r="I2" s="132"/>
      <c r="J2" s="132"/>
      <c r="K2" s="132"/>
      <c r="L2" s="143" t="s">
        <v>80</v>
      </c>
      <c r="M2" s="127"/>
      <c r="N2" s="144"/>
      <c r="O2" s="173">
        <f>COUNTIF($O$7:$O$322,"=Y")</f>
        <v>6</v>
      </c>
      <c r="P2" s="129"/>
      <c r="R2" s="85"/>
      <c r="S2" s="97"/>
      <c r="T2" s="82"/>
      <c r="V2" s="45"/>
      <c r="AC2" s="135"/>
      <c r="AE2" s="177"/>
    </row>
    <row r="3" spans="1:32" s="21" customFormat="1" ht="15.75" thickBot="1" x14ac:dyDescent="0.3">
      <c r="A3" s="8"/>
      <c r="D3" s="132"/>
      <c r="E3" s="132"/>
      <c r="F3" s="132"/>
      <c r="G3" s="132"/>
      <c r="H3" s="132"/>
      <c r="I3" s="132"/>
      <c r="J3" s="132"/>
      <c r="K3" s="132"/>
      <c r="L3" s="145" t="s">
        <v>81</v>
      </c>
      <c r="M3" s="128"/>
      <c r="N3" s="146"/>
      <c r="O3" s="174">
        <f>COUNTA($O$7:$O$322)-O2</f>
        <v>28</v>
      </c>
      <c r="P3" s="129"/>
      <c r="R3" s="85"/>
      <c r="S3" s="97"/>
      <c r="T3" s="82"/>
      <c r="V3" s="45"/>
      <c r="AC3" s="135"/>
      <c r="AE3" s="177"/>
    </row>
    <row r="4" spans="1:32" s="21" customFormat="1" x14ac:dyDescent="0.25">
      <c r="A4" s="8"/>
      <c r="D4" s="132"/>
      <c r="E4" s="132"/>
      <c r="F4" s="132"/>
      <c r="G4" s="132"/>
      <c r="H4" s="132"/>
      <c r="I4" s="132"/>
      <c r="J4" s="132"/>
      <c r="K4" s="132"/>
      <c r="L4" s="132"/>
      <c r="M4" s="2"/>
      <c r="N4" s="131"/>
      <c r="O4" s="162"/>
      <c r="P4" s="132"/>
      <c r="R4" s="85"/>
      <c r="S4" s="97"/>
      <c r="T4" s="82"/>
      <c r="V4" s="45"/>
      <c r="AC4" s="135"/>
      <c r="AE4" s="177"/>
    </row>
    <row r="5" spans="1:32" s="10" customFormat="1" ht="15" customHeight="1" x14ac:dyDescent="0.25">
      <c r="A5" s="189" t="str">
        <f>"Eagle P3 Braking Events - "&amp;TEXT(Variables!$A$2,"YYYY-mm-dd")</f>
        <v>Eagle P3 Braking Events - 2017-01-19</v>
      </c>
      <c r="B5" s="189"/>
      <c r="C5" s="189"/>
      <c r="D5" s="189"/>
      <c r="E5" s="189"/>
      <c r="F5" s="189"/>
      <c r="G5" s="189"/>
      <c r="H5" s="189"/>
      <c r="I5" s="189"/>
      <c r="J5" s="189"/>
      <c r="K5" s="189"/>
      <c r="L5" s="189"/>
      <c r="M5" s="189"/>
      <c r="N5" s="189"/>
      <c r="O5" s="189"/>
      <c r="P5" s="147"/>
      <c r="R5" s="95"/>
      <c r="S5" s="98"/>
      <c r="T5" s="100"/>
      <c r="V5" s="46"/>
      <c r="AC5" s="136"/>
      <c r="AE5" s="179"/>
    </row>
    <row r="6" spans="1:32" s="126" customFormat="1" ht="69.75" customHeight="1" x14ac:dyDescent="0.2">
      <c r="A6" s="116" t="s">
        <v>38</v>
      </c>
      <c r="B6" s="117" t="s">
        <v>37</v>
      </c>
      <c r="C6" s="117" t="s">
        <v>36</v>
      </c>
      <c r="D6" s="133" t="s">
        <v>35</v>
      </c>
      <c r="E6" s="133" t="s">
        <v>34</v>
      </c>
      <c r="F6" s="133" t="s">
        <v>33</v>
      </c>
      <c r="G6" s="133" t="s">
        <v>32</v>
      </c>
      <c r="H6" s="133" t="s">
        <v>31</v>
      </c>
      <c r="I6" s="133" t="s">
        <v>155</v>
      </c>
      <c r="J6" s="133" t="s">
        <v>30</v>
      </c>
      <c r="K6" s="133" t="s">
        <v>29</v>
      </c>
      <c r="L6" s="133" t="s">
        <v>28</v>
      </c>
      <c r="M6" s="118" t="s">
        <v>156</v>
      </c>
      <c r="N6" s="148" t="s">
        <v>47</v>
      </c>
      <c r="O6" s="175" t="s">
        <v>27</v>
      </c>
      <c r="P6" s="133" t="s">
        <v>24</v>
      </c>
      <c r="Q6" s="119"/>
      <c r="R6" s="120" t="s">
        <v>89</v>
      </c>
      <c r="S6" s="121" t="s">
        <v>55</v>
      </c>
      <c r="T6" s="122" t="s">
        <v>88</v>
      </c>
      <c r="U6" s="117" t="s">
        <v>83</v>
      </c>
      <c r="V6" s="123" t="s">
        <v>84</v>
      </c>
      <c r="W6" s="119" t="s">
        <v>96</v>
      </c>
      <c r="X6" s="119" t="s">
        <v>97</v>
      </c>
      <c r="Y6" s="124" t="s">
        <v>147</v>
      </c>
      <c r="Z6" s="125" t="s">
        <v>148</v>
      </c>
      <c r="AA6" s="125" t="s">
        <v>121</v>
      </c>
      <c r="AB6" s="125" t="s">
        <v>149</v>
      </c>
      <c r="AC6" s="137" t="s">
        <v>175</v>
      </c>
      <c r="AD6" s="126" t="s">
        <v>204</v>
      </c>
      <c r="AE6" s="178" t="s">
        <v>229</v>
      </c>
    </row>
    <row r="7" spans="1:32" s="1" customFormat="1" x14ac:dyDescent="0.25">
      <c r="A7" s="33">
        <v>42754.341238425928</v>
      </c>
      <c r="B7" s="31" t="s">
        <v>482</v>
      </c>
      <c r="C7" s="31" t="s">
        <v>483</v>
      </c>
      <c r="D7" s="31" t="s">
        <v>98</v>
      </c>
      <c r="E7" s="31" t="s">
        <v>208</v>
      </c>
      <c r="F7" s="44">
        <v>120</v>
      </c>
      <c r="G7" s="44">
        <v>171</v>
      </c>
      <c r="H7" s="44">
        <v>27140</v>
      </c>
      <c r="I7" s="44">
        <v>26879</v>
      </c>
      <c r="J7" s="31" t="s">
        <v>209</v>
      </c>
      <c r="K7" s="44">
        <v>27350</v>
      </c>
      <c r="L7" s="150" t="s">
        <v>51</v>
      </c>
      <c r="M7" s="151">
        <f t="shared" ref="M7:M40" si="0">CONVERT((I7-K7)/10000,"mi","ft")*IF(L7="Increasing Mileposts (1)",-1,1)</f>
        <v>-248.68799999999999</v>
      </c>
      <c r="N7" s="152" t="str">
        <f>VLOOKUP(C7,'Trips&amp;Operators'!$C$1:$G$99999,5,FALSE)</f>
        <v>YORK EDGAR</v>
      </c>
      <c r="O7" s="176" t="s">
        <v>188</v>
      </c>
      <c r="P7" s="153" t="s">
        <v>410</v>
      </c>
      <c r="Q7" s="31"/>
      <c r="R7" s="96" t="str">
        <f>VLOOKUP(C7,'Train Runs'!$A$13:$AE$10000,31,0)</f>
        <v>aws s3 cp s3://rtdc.mdm.uploadarchive.raw/RTDC4032/ "%USERPROFILE%\AppData\Local\Temp\OnboardLogs"\RTDC4032\2017-01-19 --exclude "*" --recursive --include "*20170119*" &amp; "%USERPROFILE%\Documents\GitHub\mrs-test-scripts\Headless Mode &amp; Sideloading\WalkAndUnGZ.bat" "%USERPROFILE%\AppData\Local\Temp\OnboardLogs"\RTDC4032\2017-01-19 &amp; aws s3 cp s3://rtdc.mdm.uploadarchive.raw/RTDC4032/ "%USERPROFILE%\AppData\Local\Temp\OnboardLogs"\RTDC4032\2017-01-20 --exclude "*" --recursive --include "*20170120*" &amp; "%USERPROFILE%\Documents\GitHub\mrs-test-scripts\Headless Mode &amp; Sideloading\WalkAndUnGZ.bat" "%USERPROFILE%\AppData\Local\Temp\OnboardLogs"\RTDC4032\2017-01-20</v>
      </c>
      <c r="S7" s="99" t="str">
        <f>VLOOKUP(C7,'Train Runs'!$A$13:$AE$10000,22,0)</f>
        <v>https://d0f6bd738d7f1b3e5a7ca70fe4ff75f0.us-east-1.aws.found.io/app/kibana#/discover/Steve-Slow-Train-Analysis-(2080s-and-2083s)?_g=(refreshInterval:(display:Off,pause:!f,section:0,value:0),time:(from:'2017-01-19T06:32:08-0700',mode:absolute,to:'2017-01-19T09:18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7" s="101" t="str">
        <f t="shared" ref="T7:T40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/stypes="*4032*201701191*" /stext=" 15:.+((SYSTEM_STATE.+slice.+state.+changed )|(ment ac)|(multiple cpu faults)|(system.+state.+changed )|(\[timeout)|(PRM\|1\|D)|(kpr)|(kdp)|(\|lc)|(penalty))" /e /r /s</v>
      </c>
      <c r="U7" s="9" t="str">
        <f t="shared" ref="U7:U40" si="2">MID(B7,13,4)</f>
        <v>4032</v>
      </c>
      <c r="V7" s="33">
        <f t="shared" ref="V7:V40" si="3">A7-utc_offset/24</f>
        <v>42754.632905092592</v>
      </c>
      <c r="W7" s="47" t="str">
        <f t="shared" ref="W7:W40" si="4">IF(VALUE(LEFT(IF(LEN(C7)=6,"0"&amp;C7,C7),2))&lt;=2,"EC",IF(OR(VALUE(LEFT(IF(LEN(C7)=6,"0"&amp;C7,C7),2))=8,VALUE(LEFT(IF(LEN(C7)=6,"0"&amp;C7,C7),2))=18),"NW","Other"))</f>
        <v>EC</v>
      </c>
      <c r="X7" s="47" t="str">
        <f t="shared" ref="X7:X40" si="5">IF(AND(E7="TRACK WARRANT AUTHORITY",G7&lt;10),"OMIT","KEEP")</f>
        <v>KEEP</v>
      </c>
      <c r="Y7" s="115" t="str">
        <f t="shared" ref="Y7:Y40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arrival","project_id":79,"tracker_id":40,"status_id":1,"priority_id":2,"assigned_to_id":23,"start_date":"2017-01-19","description":"","custom_fields":[{"id":1,"name":"Subdivision","value":"EC"},{"id":4,"name":"Milepost","value":"2.735"},{"id":17,"name":"Train ID","value":"126-19"},{"id":16,"name":"Locomotive ID","value":"4032"},{"id":130,"name":"Impact","value":""},{"id":150,"name":"Time of Event (Mountain Time)","value":"08:11:23"},{"id":151,"name":"Denver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0"/>
      <c r="AA7" s="50"/>
      <c r="AB7" s="50"/>
      <c r="AC7" s="134" t="str">
        <f t="shared" ref="AC7:AC40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"%USERPROFILE%\AppData\Local\Temp\OnboardLogs"\RTDC4032\*4032*201701191*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"%USERPROFILE%\AppData\Local\Temp\OnboardLogs"\RTDC4032\*4032*201701191* &gt;&gt; 2017-01-19-SliceDisagreementCheck.txt</v>
      </c>
      <c r="AE7" s="180" t="str">
        <f t="shared" ref="AE7" si="8">"start /low /b "&amp;dls3logs&amp;" --loco "&amp;U7&amp;" --day "&amp;TEXT(V7,"YYYY-MM-DD")</f>
        <v>start /low /b %USERPROFILE%\Documents\GitHub\eaglep3\Utilities\DownloadLogsFromS3.py --loco 4032 --day 2017-01-19</v>
      </c>
    </row>
    <row r="8" spans="1:32" s="1" customFormat="1" x14ac:dyDescent="0.25">
      <c r="A8" s="33">
        <v>42754.831273148149</v>
      </c>
      <c r="B8" s="31" t="s">
        <v>472</v>
      </c>
      <c r="C8" s="31" t="s">
        <v>502</v>
      </c>
      <c r="D8" s="31" t="s">
        <v>49</v>
      </c>
      <c r="E8" s="31" t="s">
        <v>208</v>
      </c>
      <c r="F8" s="44">
        <v>510</v>
      </c>
      <c r="G8" s="44">
        <v>605</v>
      </c>
      <c r="H8" s="44">
        <v>49026</v>
      </c>
      <c r="I8" s="44">
        <v>47067</v>
      </c>
      <c r="J8" s="31" t="s">
        <v>209</v>
      </c>
      <c r="K8" s="44">
        <v>48048</v>
      </c>
      <c r="L8" s="150" t="s">
        <v>51</v>
      </c>
      <c r="M8" s="151">
        <f t="shared" si="0"/>
        <v>-517.96799999999996</v>
      </c>
      <c r="N8" s="152" t="str">
        <f>VLOOKUP(C8,'Trips&amp;Operators'!$C$1:$G$99999,5,FALSE)</f>
        <v>HILLS DUSTIN</v>
      </c>
      <c r="O8" s="176" t="s">
        <v>188</v>
      </c>
      <c r="P8" s="153" t="s">
        <v>410</v>
      </c>
      <c r="Q8" s="31"/>
      <c r="R8" s="96" t="str">
        <f>VLOOKUP(C8,'Train Runs'!$A$13:$AE$10000,31,0)</f>
        <v>aws s3 cp s3://rtdc.mdm.uploadarchive.raw/RTDC4041/ "%USERPROFILE%\AppData\Local\Temp\OnboardLogs"\RTDC4041\2017-01-19 --exclude "*" --recursive --include "*20170119*" &amp; "%USERPROFILE%\Documents\GitHub\mrs-test-scripts\Headless Mode &amp; Sideloading\WalkAndUnGZ.bat" "%USERPROFILE%\AppData\Local\Temp\OnboardLogs"\RTDC4041\2017-01-19 &amp; aws s3 cp s3://rtdc.mdm.uploadarchive.raw/RTDC4041/ "%USERPROFILE%\AppData\Local\Temp\OnboardLogs"\RTDC4041\2017-01-20 --exclude "*" --recursive --include "*20170120*" &amp; "%USERPROFILE%\Documents\GitHub\mrs-test-scripts\Headless Mode &amp; Sideloading\WalkAndUnGZ.bat" "%USERPROFILE%\AppData\Local\Temp\OnboardLogs"\RTDC4041\2017-01-20</v>
      </c>
      <c r="S8" s="99" t="str">
        <f>VLOOKUP(C8,'Train Runs'!$A$13:$AE$10000,22,0)</f>
        <v>https://d0f6bd738d7f1b3e5a7ca70fe4ff75f0.us-east-1.aws.found.io/app/kibana#/discover/Steve-Slow-Train-Analysis-(2080s-and-2083s)?_g=(refreshInterval:(display:Off,pause:!f,section:0,value:0),time:(from:'2017-01-19T18:08:05-0700',mode:absolute,to:'2017-01-19T21:11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8" s="101" t="str">
        <f t="shared" si="1"/>
        <v>"C:\Program Files (x86)\AstroGrep\AstroGrep.exe" /spath="%USERPROFILE%\AppData\Local\Temp\OnboardLogs" /stypes="*4041*201701200*" /stext=" 02:.+((SYSTEM_STATE.+slice.+state.+changed )|(ment ac)|(multiple cpu faults)|(system.+state.+changed )|(\[timeout)|(PRM\|1\|D)|(kpr)|(kdp)|(\|lc)|(penalty))" /e /r /s</v>
      </c>
      <c r="U8" s="9" t="str">
        <f t="shared" si="2"/>
        <v>4041</v>
      </c>
      <c r="V8" s="33">
        <f t="shared" si="3"/>
        <v>42755.122939814813</v>
      </c>
      <c r="W8" s="47" t="str">
        <f t="shared" si="4"/>
        <v>EC</v>
      </c>
      <c r="X8" s="47" t="str">
        <f t="shared" si="5"/>
        <v>KEEP</v>
      </c>
      <c r="Y8" s="115" t="str">
        <f t="shared" si="6"/>
        <v>echo {"issue":{"subject":"Early arrival","project_id":79,"tracker_id":40,"status_id":1,"priority_id":2,"assigned_to_id":23,"start_date":"2017-01-19","description":"","custom_fields":[{"id":1,"name":"Subdivision","value":"EC"},{"id":4,"name":"Milepost","value":"4.8048"},{"id":17,"name":"Train ID","value":"220-19"},{"id":16,"name":"Locomotive ID","value":"4041"},{"id":130,"name":"Impact","value":""},{"id":150,"name":"Time of Event (Mountain Time)","value":"19:57:02"},{"id":151,"name":"Denver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0"/>
      <c r="AA8" s="50"/>
      <c r="AB8" s="50"/>
      <c r="AC8" s="134" t="str">
        <f t="shared" si="7"/>
        <v>grep -hSE -A400 "Enforcement Action" "%USERPROFILE%\AppData\Local\Temp\OnboardLogs"\RTDC4041\*4041*201701200*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"%USERPROFILE%\AppData\Local\Temp\OnboardLogs"\RTDC4041\*4041*201701200* &gt;&gt; 2017-01-19-SliceDisagreementCheck.txt</v>
      </c>
      <c r="AE8" s="180" t="str">
        <f t="shared" ref="AE8:AE40" si="9">"start /low /b "&amp;dls3logs&amp;" --loco "&amp;U8&amp;" --day "&amp;TEXT(V8,"YYYY-MM-DD")</f>
        <v>start /low /b %USERPROFILE%\Documents\GitHub\eaglep3\Utilities\DownloadLogsFromS3.py --loco 4041 --day 2017-01-20</v>
      </c>
    </row>
    <row r="9" spans="1:32" s="1" customFormat="1" x14ac:dyDescent="0.25">
      <c r="A9" s="33">
        <v>42754.150347222225</v>
      </c>
      <c r="B9" s="31" t="s">
        <v>474</v>
      </c>
      <c r="C9" s="31" t="s">
        <v>475</v>
      </c>
      <c r="D9" s="31" t="s">
        <v>49</v>
      </c>
      <c r="E9" s="31" t="s">
        <v>208</v>
      </c>
      <c r="F9" s="44">
        <v>0</v>
      </c>
      <c r="G9" s="44">
        <v>514</v>
      </c>
      <c r="H9" s="44">
        <v>56466</v>
      </c>
      <c r="I9" s="44">
        <v>58402</v>
      </c>
      <c r="J9" s="31" t="s">
        <v>209</v>
      </c>
      <c r="K9" s="44">
        <v>58118</v>
      </c>
      <c r="L9" s="150" t="s">
        <v>50</v>
      </c>
      <c r="M9" s="151">
        <f t="shared" si="0"/>
        <v>-149.952</v>
      </c>
      <c r="N9" s="152" t="str">
        <f>VLOOKUP(C9,'Trips&amp;Operators'!$C$1:$G$99999,5,FALSE)</f>
        <v>CUSHING HARRY</v>
      </c>
      <c r="O9" s="176" t="s">
        <v>188</v>
      </c>
      <c r="P9" s="153" t="s">
        <v>410</v>
      </c>
      <c r="Q9" s="31"/>
      <c r="R9" s="96" t="str">
        <f>VLOOKUP(C9,'Train Runs'!$A$13:$AE$10000,31,0)</f>
        <v>aws s3 cp s3://rtdc.mdm.uploadarchive.raw/RTDC4044/ "%USERPROFILE%\AppData\Local\Temp\OnboardLogs"\RTDC4044\2017-01-19 --exclude "*" --recursive --include "*20170119*" &amp; "%USERPROFILE%\Documents\GitHub\mrs-test-scripts\Headless Mode &amp; Sideloading\WalkAndUnGZ.bat" "%USERPROFILE%\AppData\Local\Temp\OnboardLogs"\RTDC4044\2017-01-19 &amp; aws s3 cp s3://rtdc.mdm.uploadarchive.raw/RTDC4044/ "%USERPROFILE%\AppData\Local\Temp\OnboardLogs"\RTDC4044\2017-01-20 --exclude "*" --recursive --include "*20170120*" &amp; "%USERPROFILE%\Documents\GitHub\mrs-test-scripts\Headless Mode &amp; Sideloading\WalkAndUnGZ.bat" "%USERPROFILE%\AppData\Local\Temp\OnboardLogs"\RTDC4044\2017-01-20</v>
      </c>
      <c r="S9" s="99" t="str">
        <f>VLOOKUP(C9,'Train Runs'!$A$13:$AE$10000,22,0)</f>
        <v>https://d0f6bd738d7f1b3e5a7ca70fe4ff75f0.us-east-1.aws.found.io/app/kibana#/discover/Steve-Slow-Train-Analysis-(2080s-and-2083s)?_g=(refreshInterval:(display:Off,pause:!f,section:0,value:0),time:(from:'2017-01-19T02:18:18-0700',mode:absolute,to:'2017-01-19T04:57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9" s="101" t="str">
        <f t="shared" si="1"/>
        <v>"C:\Program Files (x86)\AstroGrep\AstroGrep.exe" /spath="%USERPROFILE%\AppData\Local\Temp\OnboardLogs" /stypes="*4044*201701191*" /stext=" 10:.+((SYSTEM_STATE.+slice.+state.+changed )|(ment ac)|(multiple cpu faults)|(system.+state.+changed )|(\[timeout)|(PRM\|1\|D)|(kpr)|(kdp)|(\|lc)|(penalty))" /e /r /s</v>
      </c>
      <c r="U9" s="9" t="str">
        <f t="shared" si="2"/>
        <v>4044</v>
      </c>
      <c r="V9" s="33">
        <f t="shared" si="3"/>
        <v>42754.442013888889</v>
      </c>
      <c r="W9" s="47" t="str">
        <f t="shared" si="4"/>
        <v>EC</v>
      </c>
      <c r="X9" s="47" t="str">
        <f t="shared" si="5"/>
        <v>KEEP</v>
      </c>
      <c r="Y9" s="115" t="str">
        <f t="shared" si="6"/>
        <v>echo {"issue":{"subject":"Early arrival","project_id":79,"tracker_id":40,"status_id":1,"priority_id":2,"assigned_to_id":23,"start_date":"2017-01-19","description":"","custom_fields":[{"id":1,"name":"Subdivision","value":"EC"},{"id":4,"name":"Milepost","value":"5.8118"},{"id":17,"name":"Train ID","value":"101-19"},{"id":16,"name":"Locomotive ID","value":"4044"},{"id":130,"name":"Impact","value":""},{"id":150,"name":"Time of Event (Mountain Time)","value":"03:36:30"},{"id":151,"name":"Denver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0"/>
      <c r="AA9" s="50"/>
      <c r="AB9" s="50"/>
      <c r="AC9" s="134" t="str">
        <f t="shared" si="7"/>
        <v>grep -hSE -A400 "Enforcement Action" "%USERPROFILE%\AppData\Local\Temp\OnboardLogs"\RTDC4044\*4044*201701191*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"%USERPROFILE%\AppData\Local\Temp\OnboardLogs"\RTDC4044\*4044*201701191* &gt;&gt; 2017-01-19-SliceDisagreementCheck.txt</v>
      </c>
      <c r="AE9" s="180" t="str">
        <f t="shared" si="9"/>
        <v>start /low /b %USERPROFILE%\Documents\GitHub\eaglep3\Utilities\DownloadLogsFromS3.py --loco 4044 --day 2017-01-19</v>
      </c>
    </row>
    <row r="10" spans="1:32" s="1" customFormat="1" x14ac:dyDescent="0.25">
      <c r="A10" s="33">
        <v>42754.824374999997</v>
      </c>
      <c r="B10" s="31" t="s">
        <v>472</v>
      </c>
      <c r="C10" s="31" t="s">
        <v>502</v>
      </c>
      <c r="D10" s="31" t="s">
        <v>49</v>
      </c>
      <c r="E10" s="31" t="s">
        <v>208</v>
      </c>
      <c r="F10" s="44">
        <v>0</v>
      </c>
      <c r="G10" s="44">
        <v>37</v>
      </c>
      <c r="H10" s="44">
        <v>109240</v>
      </c>
      <c r="I10" s="44">
        <v>109204</v>
      </c>
      <c r="J10" s="31" t="s">
        <v>209</v>
      </c>
      <c r="K10" s="44">
        <v>109135</v>
      </c>
      <c r="L10" s="150" t="s">
        <v>51</v>
      </c>
      <c r="M10" s="151">
        <f t="shared" si="0"/>
        <v>36.432000000000002</v>
      </c>
      <c r="N10" s="152" t="str">
        <f>VLOOKUP(C10,'Trips&amp;Operators'!$C$1:$G$99999,5,FALSE)</f>
        <v>HILLS DUSTIN</v>
      </c>
      <c r="O10" s="176" t="s">
        <v>188</v>
      </c>
      <c r="P10" s="153" t="s">
        <v>409</v>
      </c>
      <c r="Q10" s="31"/>
      <c r="R10" s="96" t="str">
        <f>VLOOKUP(C10,'Train Runs'!$A$13:$AE$10000,31,0)</f>
        <v>aws s3 cp s3://rtdc.mdm.uploadarchive.raw/RTDC4041/ "%USERPROFILE%\AppData\Local\Temp\OnboardLogs"\RTDC4041\2017-01-19 --exclude "*" --recursive --include "*20170119*" &amp; "%USERPROFILE%\Documents\GitHub\mrs-test-scripts\Headless Mode &amp; Sideloading\WalkAndUnGZ.bat" "%USERPROFILE%\AppData\Local\Temp\OnboardLogs"\RTDC4041\2017-01-19 &amp; aws s3 cp s3://rtdc.mdm.uploadarchive.raw/RTDC4041/ "%USERPROFILE%\AppData\Local\Temp\OnboardLogs"\RTDC4041\2017-01-20 --exclude "*" --recursive --include "*20170120*" &amp; "%USERPROFILE%\Documents\GitHub\mrs-test-scripts\Headless Mode &amp; Sideloading\WalkAndUnGZ.bat" "%USERPROFILE%\AppData\Local\Temp\OnboardLogs"\RTDC4041\2017-01-20</v>
      </c>
      <c r="S10" s="99" t="str">
        <f>VLOOKUP(C10,'Train Runs'!$A$13:$AE$10000,22,0)</f>
        <v>https://d0f6bd738d7f1b3e5a7ca70fe4ff75f0.us-east-1.aws.found.io/app/kibana#/discover/Steve-Slow-Train-Analysis-(2080s-and-2083s)?_g=(refreshInterval:(display:Off,pause:!f,section:0,value:0),time:(from:'2017-01-19T18:08:05-0700',mode:absolute,to:'2017-01-19T21:11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0" s="101" t="str">
        <f t="shared" si="1"/>
        <v>"C:\Program Files (x86)\AstroGrep\AstroGrep.exe" /spath="%USERPROFILE%\AppData\Local\Temp\OnboardLogs" /stypes="*4041*201701200*" /stext=" 02:.+((SYSTEM_STATE.+slice.+state.+changed )|(ment ac)|(multiple cpu faults)|(system.+state.+changed )|(\[timeout)|(PRM\|1\|D)|(kpr)|(kdp)|(\|lc)|(penalty))" /e /r /s</v>
      </c>
      <c r="U10" s="9" t="str">
        <f t="shared" si="2"/>
        <v>4041</v>
      </c>
      <c r="V10" s="33">
        <f t="shared" si="3"/>
        <v>42755.116041666661</v>
      </c>
      <c r="W10" s="47" t="str">
        <f t="shared" si="4"/>
        <v>EC</v>
      </c>
      <c r="X10" s="47" t="str">
        <f t="shared" si="5"/>
        <v>KEEP</v>
      </c>
      <c r="Y10" s="115" t="str">
        <f t="shared" si="6"/>
        <v>echo {"issue":{"subject":"Form C","project_id":79,"tracker_id":40,"status_id":1,"priority_id":2,"assigned_to_id":23,"start_date":"2017-01-19","description":"","custom_fields":[{"id":1,"name":"Subdivision","value":"EC"},{"id":4,"name":"Milepost","value":"10.9135"},{"id":17,"name":"Train ID","value":"220-19"},{"id":16,"name":"Locomotive ID","value":"4041"},{"id":130,"name":"Impact","value":""},{"id":150,"name":"Time of Event (Mountain Time)","value":"19:47:06"},{"id":151,"name":"Denver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0"/>
      <c r="AA10" s="50"/>
      <c r="AB10" s="50"/>
      <c r="AC10" s="134" t="str">
        <f t="shared" si="7"/>
        <v>grep -hSE -A400 "Enforcement Action" "%USERPROFILE%\AppData\Local\Temp\OnboardLogs"\RTDC4041\*4041*201701200*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"%USERPROFILE%\AppData\Local\Temp\OnboardLogs"\RTDC4041\*4041*201701200* &gt;&gt; 2017-01-19-SliceDisagreementCheck.txt</v>
      </c>
      <c r="AE10" s="180" t="str">
        <f t="shared" si="9"/>
        <v>start /low /b %USERPROFILE%\Documents\GitHub\eaglep3\Utilities\DownloadLogsFromS3.py --loco 4041 --day 2017-01-20</v>
      </c>
    </row>
    <row r="11" spans="1:32" s="1" customFormat="1" x14ac:dyDescent="0.25">
      <c r="A11" s="33">
        <v>42754.303252314814</v>
      </c>
      <c r="B11" s="31" t="s">
        <v>244</v>
      </c>
      <c r="C11" s="31" t="s">
        <v>480</v>
      </c>
      <c r="D11" s="31" t="s">
        <v>98</v>
      </c>
      <c r="E11" s="31" t="s">
        <v>236</v>
      </c>
      <c r="F11" s="44">
        <v>150</v>
      </c>
      <c r="G11" s="44">
        <v>200</v>
      </c>
      <c r="H11" s="44">
        <v>3388</v>
      </c>
      <c r="I11" s="44">
        <v>3653</v>
      </c>
      <c r="J11" s="31" t="s">
        <v>237</v>
      </c>
      <c r="K11" s="44">
        <v>0</v>
      </c>
      <c r="L11" s="150" t="s">
        <v>50</v>
      </c>
      <c r="M11" s="151">
        <f t="shared" si="0"/>
        <v>-1928.7840000000001</v>
      </c>
      <c r="N11" s="152" t="str">
        <f>VLOOKUP(C11,'Trips&amp;Operators'!$C$1:$G$99999,5,FALSE)</f>
        <v>STARKS ANGELINA</v>
      </c>
      <c r="O11" s="176" t="s">
        <v>188</v>
      </c>
      <c r="P11" s="153"/>
      <c r="Q11" s="31"/>
      <c r="R11" s="96" t="str">
        <f>VLOOKUP(C11,'Train Runs'!$A$13:$AE$10000,31,0)</f>
        <v>aws s3 cp s3://rtdc.mdm.uploadarchive.raw/RTDC4020/ "%USERPROFILE%\AppData\Local\Temp\OnboardLogs"\RTDC4020\2017-01-19 --exclude "*" --recursive --include "*20170119*" &amp; "%USERPROFILE%\Documents\GitHub\mrs-test-scripts\Headless Mode &amp; Sideloading\WalkAndUnGZ.bat" "%USERPROFILE%\AppData\Local\Temp\OnboardLogs"\RTDC4020\2017-01-19 &amp; aws s3 cp s3://rtdc.mdm.uploadarchive.raw/RTDC4020/ "%USERPROFILE%\AppData\Local\Temp\OnboardLogs"\RTDC4020\2017-01-20 --exclude "*" --recursive --include "*20170120*" &amp; "%USERPROFILE%\Documents\GitHub\mrs-test-scripts\Headless Mode &amp; Sideloading\WalkAndUnGZ.bat" "%USERPROFILE%\AppData\Local\Temp\OnboardLogs"\RTDC4020\2017-01-20</v>
      </c>
      <c r="S11" s="99" t="str">
        <f>VLOOKUP(C11,'Train Runs'!$A$13:$AE$10000,22,0)</f>
        <v>https://d0f6bd738d7f1b3e5a7ca70fe4ff75f0.us-east-1.aws.found.io/app/kibana#/discover/Steve-Slow-Train-Analysis-(2080s-and-2083s)?_g=(refreshInterval:(display:Off,pause:!f,section:0,value:0),time:(from:'2017-01-19T06:09:51-0700',mode:absolute,to:'2017-01-19T08:51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11" s="101" t="str">
        <f t="shared" si="1"/>
        <v>"C:\Program Files (x86)\AstroGrep\AstroGrep.exe" /spath="%USERPROFILE%\AppData\Local\Temp\OnboardLogs" /stypes="*4020*201701191*" /stext=" 14:.+((SYSTEM_STATE.+slice.+state.+changed )|(ment ac)|(multiple cpu faults)|(system.+state.+changed )|(\[timeout)|(PRM\|1\|D)|(kpr)|(kdp)|(\|lc)|(penalty))" /e /r /s</v>
      </c>
      <c r="U11" s="9" t="str">
        <f t="shared" si="2"/>
        <v>4020</v>
      </c>
      <c r="V11" s="33">
        <f t="shared" si="3"/>
        <v>42754.594918981478</v>
      </c>
      <c r="W11" s="47" t="str">
        <f t="shared" si="4"/>
        <v>EC</v>
      </c>
      <c r="X11" s="47" t="str">
        <f t="shared" si="5"/>
        <v>KEEP</v>
      </c>
      <c r="Y11" s="115" t="str">
        <f t="shared" si="6"/>
        <v>echo {"issue":{"subject":"","project_id":79,"tracker_id":40,"status_id":1,"priority_id":2,"assigned_to_id":23,"start_date":"2017-01-19","description":"","custom_fields":[{"id":1,"name":"Subdivision","value":"EC"},{"id":4,"name":"Milepost","value":"0"},{"id":17,"name":"Train ID","value":"129-19"},{"id":16,"name":"Locomotive ID","value":"4020"},{"id":130,"name":"Impact","value":""},{"id":150,"name":"Time of Event (Mountain Time)","value":"07:16:41"},{"id":151,"name":"Denver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0"/>
      <c r="AA11" s="50"/>
      <c r="AB11" s="50"/>
      <c r="AC11" s="134" t="str">
        <f t="shared" si="7"/>
        <v>grep -hSE -A400 "Enforcement Action" "%USERPROFILE%\AppData\Local\Temp\OnboardLogs"\RTDC4020\*4020*201701191*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"%USERPROFILE%\AppData\Local\Temp\OnboardLogs"\RTDC4020\*4020*201701191* &gt;&gt; 2017-01-19-SliceDisagreementCheck.txt</v>
      </c>
      <c r="AE11" s="180" t="str">
        <f t="shared" si="9"/>
        <v>start /low /b %USERPROFILE%\Documents\GitHub\eaglep3\Utilities\DownloadLogsFromS3.py --loco 4020 --day 2017-01-19</v>
      </c>
    </row>
    <row r="12" spans="1:32" s="1" customFormat="1" x14ac:dyDescent="0.25">
      <c r="A12" s="33">
        <v>42754.383252314816</v>
      </c>
      <c r="B12" s="31" t="s">
        <v>472</v>
      </c>
      <c r="C12" s="31" t="s">
        <v>484</v>
      </c>
      <c r="D12" s="31" t="s">
        <v>49</v>
      </c>
      <c r="E12" s="31" t="s">
        <v>236</v>
      </c>
      <c r="F12" s="44">
        <v>400</v>
      </c>
      <c r="G12" s="44">
        <v>450</v>
      </c>
      <c r="H12" s="44">
        <v>120827</v>
      </c>
      <c r="I12" s="44">
        <v>119506</v>
      </c>
      <c r="J12" s="31" t="s">
        <v>237</v>
      </c>
      <c r="K12" s="44">
        <v>119716</v>
      </c>
      <c r="L12" s="150" t="s">
        <v>51</v>
      </c>
      <c r="M12" s="151">
        <f t="shared" si="0"/>
        <v>-110.88</v>
      </c>
      <c r="N12" s="152" t="str">
        <f>VLOOKUP(C12,'Trips&amp;Operators'!$C$1:$G$99999,5,FALSE)</f>
        <v>COOLAHAN JOHN</v>
      </c>
      <c r="O12" s="176" t="s">
        <v>188</v>
      </c>
      <c r="P12" s="153"/>
      <c r="Q12" s="31"/>
      <c r="R12" s="96" t="str">
        <f>VLOOKUP(C12,'Train Runs'!$A$13:$AE$10000,31,0)</f>
        <v>aws s3 cp s3://rtdc.mdm.uploadarchive.raw/RTDC4041/ "%USERPROFILE%\AppData\Local\Temp\OnboardLogs"\RTDC4041\2017-01-19 --exclude "*" --recursive --include "*20170119*" &amp; "%USERPROFILE%\Documents\GitHub\mrs-test-scripts\Headless Mode &amp; Sideloading\WalkAndUnGZ.bat" "%USERPROFILE%\AppData\Local\Temp\OnboardLogs"\RTDC4041\2017-01-19 &amp; aws s3 cp s3://rtdc.mdm.uploadarchive.raw/RTDC4041/ "%USERPROFILE%\AppData\Local\Temp\OnboardLogs"\RTDC4041\2017-01-20 --exclude "*" --recursive --include "*20170120*" &amp; "%USERPROFILE%\Documents\GitHub\mrs-test-scripts\Headless Mode &amp; Sideloading\WalkAndUnGZ.bat" "%USERPROFILE%\AppData\Local\Temp\OnboardLogs"\RTDC4041\2017-01-20</v>
      </c>
      <c r="S12" s="99" t="str">
        <f>VLOOKUP(C12,'Train Runs'!$A$13:$AE$10000,22,0)</f>
        <v>https://d0f6bd738d7f1b3e5a7ca70fe4ff75f0.us-east-1.aws.found.io/app/kibana#/discover/Steve-Slow-Train-Analysis-(2080s-and-2083s)?_g=(refreshInterval:(display:Off,pause:!f,section:0,value:0),time:(from:'2017-01-19T07:45:45-0700',mode:absolute,to:'2017-01-19T10:35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2" s="101" t="str">
        <f t="shared" si="1"/>
        <v>"C:\Program Files (x86)\AstroGrep\AstroGrep.exe" /spath="%USERPROFILE%\AppData\Local\Temp\OnboardLogs" /stypes="*4041*201701191*" /stext=" 16:.+((SYSTEM_STATE.+slice.+state.+changed )|(ment ac)|(multiple cpu faults)|(system.+state.+changed )|(\[timeout)|(PRM\|1\|D)|(kpr)|(kdp)|(\|lc)|(penalty))" /e /r /s</v>
      </c>
      <c r="U12" s="9" t="str">
        <f t="shared" si="2"/>
        <v>4041</v>
      </c>
      <c r="V12" s="33">
        <f t="shared" si="3"/>
        <v>42754.67491898148</v>
      </c>
      <c r="W12" s="47" t="str">
        <f t="shared" si="4"/>
        <v>EC</v>
      </c>
      <c r="X12" s="47" t="str">
        <f t="shared" si="5"/>
        <v>KEEP</v>
      </c>
      <c r="Y12" s="115" t="str">
        <f t="shared" si="6"/>
        <v>echo {"issue":{"subject":"","project_id":79,"tracker_id":40,"status_id":1,"priority_id":2,"assigned_to_id":23,"start_date":"2017-01-19","description":"","custom_fields":[{"id":1,"name":"Subdivision","value":"EC"},{"id":4,"name":"Milepost","value":"11.9716"},{"id":17,"name":"Train ID","value":"136-19"},{"id":16,"name":"Locomotive ID","value":"4041"},{"id":130,"name":"Impact","value":""},{"id":150,"name":"Time of Event (Mountain Time)","value":"09:11:53"},{"id":151,"name":"Denver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0"/>
      <c r="AA12" s="50"/>
      <c r="AB12" s="50"/>
      <c r="AC12" s="134" t="str">
        <f t="shared" si="7"/>
        <v>grep -hSE -A400 "Enforcement Action" "%USERPROFILE%\AppData\Local\Temp\OnboardLogs"\RTDC4041\*4041*201701191*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"%USERPROFILE%\AppData\Local\Temp\OnboardLogs"\RTDC4041\*4041*201701191* &gt;&gt; 2017-01-19-SliceDisagreementCheck.txt</v>
      </c>
      <c r="AE12" s="180" t="str">
        <f t="shared" si="9"/>
        <v>start /low /b %USERPROFILE%\Documents\GitHub\eaglep3\Utilities\DownloadLogsFromS3.py --loco 4041 --day 2017-01-19</v>
      </c>
    </row>
    <row r="13" spans="1:32" s="1" customFormat="1" x14ac:dyDescent="0.25">
      <c r="A13" s="33">
        <v>42754.497997685183</v>
      </c>
      <c r="B13" s="31" t="s">
        <v>313</v>
      </c>
      <c r="C13" s="31" t="s">
        <v>487</v>
      </c>
      <c r="D13" s="31" t="s">
        <v>49</v>
      </c>
      <c r="E13" s="31" t="s">
        <v>236</v>
      </c>
      <c r="F13" s="44">
        <v>400</v>
      </c>
      <c r="G13" s="44">
        <v>490</v>
      </c>
      <c r="H13" s="44">
        <v>121151</v>
      </c>
      <c r="I13" s="44">
        <v>119480</v>
      </c>
      <c r="J13" s="31" t="s">
        <v>237</v>
      </c>
      <c r="K13" s="44">
        <v>119716</v>
      </c>
      <c r="L13" s="150" t="s">
        <v>51</v>
      </c>
      <c r="M13" s="151">
        <f t="shared" si="0"/>
        <v>-124.608</v>
      </c>
      <c r="N13" s="152" t="str">
        <f>VLOOKUP(C13,'Trips&amp;Operators'!$C$1:$G$99999,5,FALSE)</f>
        <v>STARKS ANGELINA</v>
      </c>
      <c r="O13" s="176" t="s">
        <v>188</v>
      </c>
      <c r="P13" s="153"/>
      <c r="Q13" s="31"/>
      <c r="R13" s="96" t="str">
        <f>VLOOKUP(C13,'Train Runs'!$A$13:$AE$10000,31,0)</f>
        <v>aws s3 cp s3://rtdc.mdm.uploadarchive.raw/RTDC4019/ "%USERPROFILE%\AppData\Local\Temp\OnboardLogs"\RTDC4019\2017-01-19 --exclude "*" --recursive --include "*20170119*" &amp; "%USERPROFILE%\Documents\GitHub\mrs-test-scripts\Headless Mode &amp; Sideloading\WalkAndUnGZ.bat" "%USERPROFILE%\AppData\Local\Temp\OnboardLogs"\RTDC4019\2017-01-19 &amp; aws s3 cp s3://rtdc.mdm.uploadarchive.raw/RTDC4019/ "%USERPROFILE%\AppData\Local\Temp\OnboardLogs"\RTDC4019\2017-01-20 --exclude "*" --recursive --include "*20170120*" &amp; "%USERPROFILE%\Documents\GitHub\mrs-test-scripts\Headless Mode &amp; Sideloading\WalkAndUnGZ.bat" "%USERPROFILE%\AppData\Local\Temp\OnboardLogs"\RTDC4019\2017-01-20</v>
      </c>
      <c r="S13" s="99" t="str">
        <f>VLOOKUP(C13,'Train Runs'!$A$13:$AE$10000,22,0)</f>
        <v>https://d0f6bd738d7f1b3e5a7ca70fe4ff75f0.us-east-1.aws.found.io/app/kibana#/discover/Steve-Slow-Train-Analysis-(2080s-and-2083s)?_g=(refreshInterval:(display:Off,pause:!f,section:0,value:0),time:(from:'2017-01-19T10:39:05-0700',mode:absolute,to:'2017-01-19T13:20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3" s="101" t="str">
        <f t="shared" si="1"/>
        <v>"C:\Program Files (x86)\AstroGrep\AstroGrep.exe" /spath="%USERPROFILE%\AppData\Local\Temp\OnboardLogs" /stypes="*4019*201701191*" /stext=" 18:.+((SYSTEM_STATE.+slice.+state.+changed )|(ment ac)|(multiple cpu faults)|(system.+state.+changed )|(\[timeout)|(PRM\|1\|D)|(kpr)|(kdp)|(\|lc)|(penalty))" /e /r /s</v>
      </c>
      <c r="U13" s="9" t="str">
        <f t="shared" si="2"/>
        <v>4019</v>
      </c>
      <c r="V13" s="33">
        <f t="shared" si="3"/>
        <v>42754.789664351847</v>
      </c>
      <c r="W13" s="47" t="str">
        <f t="shared" si="4"/>
        <v>EC</v>
      </c>
      <c r="X13" s="47" t="str">
        <f t="shared" si="5"/>
        <v>KEEP</v>
      </c>
      <c r="Y13" s="115" t="str">
        <f t="shared" si="6"/>
        <v>echo {"issue":{"subject":"","project_id":79,"tracker_id":40,"status_id":1,"priority_id":2,"assigned_to_id":23,"start_date":"2017-01-19","description":"","custom_fields":[{"id":1,"name":"Subdivision","value":"EC"},{"id":4,"name":"Milepost","value":"11.9716"},{"id":17,"name":"Train ID","value":"158-19"},{"id":16,"name":"Locomotive ID","value":"4019"},{"id":130,"name":"Impact","value":""},{"id":150,"name":"Time of Event (Mountain Time)","value":"11:57:07"},{"id":151,"name":"Denver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0"/>
      <c r="AA13" s="50"/>
      <c r="AB13" s="50"/>
      <c r="AC13" s="134" t="str">
        <f t="shared" si="7"/>
        <v>grep -hSE -A400 "Enforcement Action" "%USERPROFILE%\AppData\Local\Temp\OnboardLogs"\RTDC4019\*4019*201701191*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"%USERPROFILE%\AppData\Local\Temp\OnboardLogs"\RTDC4019\*4019*201701191* &gt;&gt; 2017-01-19-SliceDisagreementCheck.txt</v>
      </c>
      <c r="AE13" s="180" t="str">
        <f t="shared" si="9"/>
        <v>start /low /b %USERPROFILE%\Documents\GitHub\eaglep3\Utilities\DownloadLogsFromS3.py --loco 4019 --day 2017-01-19</v>
      </c>
    </row>
    <row r="14" spans="1:32" s="1" customFormat="1" x14ac:dyDescent="0.25">
      <c r="A14" s="33">
        <v>42754.146481481483</v>
      </c>
      <c r="B14" s="31" t="s">
        <v>474</v>
      </c>
      <c r="C14" s="31" t="s">
        <v>475</v>
      </c>
      <c r="D14" s="31" t="s">
        <v>49</v>
      </c>
      <c r="E14" s="31" t="s">
        <v>189</v>
      </c>
      <c r="F14" s="44">
        <v>0</v>
      </c>
      <c r="G14" s="44">
        <v>289</v>
      </c>
      <c r="H14" s="44">
        <v>36272</v>
      </c>
      <c r="I14" s="44">
        <v>36713</v>
      </c>
      <c r="J14" s="31" t="s">
        <v>190</v>
      </c>
      <c r="K14" s="44">
        <v>36645</v>
      </c>
      <c r="L14" s="150" t="s">
        <v>50</v>
      </c>
      <c r="M14" s="151">
        <f t="shared" si="0"/>
        <v>-35.904000000000003</v>
      </c>
      <c r="N14" s="152" t="str">
        <f>VLOOKUP(C14,'Trips&amp;Operators'!$C$1:$G$99999,5,FALSE)</f>
        <v>CUSHING HARRY</v>
      </c>
      <c r="O14" s="176" t="s">
        <v>238</v>
      </c>
      <c r="P14" s="153" t="s">
        <v>896</v>
      </c>
      <c r="Q14" s="31"/>
      <c r="R14" s="96" t="str">
        <f>VLOOKUP(C14,'Train Runs'!$A$13:$AE$10000,31,0)</f>
        <v>aws s3 cp s3://rtdc.mdm.uploadarchive.raw/RTDC4044/ "%USERPROFILE%\AppData\Local\Temp\OnboardLogs"\RTDC4044\2017-01-19 --exclude "*" --recursive --include "*20170119*" &amp; "%USERPROFILE%\Documents\GitHub\mrs-test-scripts\Headless Mode &amp; Sideloading\WalkAndUnGZ.bat" "%USERPROFILE%\AppData\Local\Temp\OnboardLogs"\RTDC4044\2017-01-19 &amp; aws s3 cp s3://rtdc.mdm.uploadarchive.raw/RTDC4044/ "%USERPROFILE%\AppData\Local\Temp\OnboardLogs"\RTDC4044\2017-01-20 --exclude "*" --recursive --include "*20170120*" &amp; "%USERPROFILE%\Documents\GitHub\mrs-test-scripts\Headless Mode &amp; Sideloading\WalkAndUnGZ.bat" "%USERPROFILE%\AppData\Local\Temp\OnboardLogs"\RTDC4044\2017-01-20</v>
      </c>
      <c r="S14" s="99" t="str">
        <f>VLOOKUP(C14,'Train Runs'!$A$13:$AE$10000,22,0)</f>
        <v>https://d0f6bd738d7f1b3e5a7ca70fe4ff75f0.us-east-1.aws.found.io/app/kibana#/discover/Steve-Slow-Train-Analysis-(2080s-and-2083s)?_g=(refreshInterval:(display:Off,pause:!f,section:0,value:0),time:(from:'2017-01-19T02:18:18-0700',mode:absolute,to:'2017-01-19T04:57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4" s="101" t="str">
        <f t="shared" si="1"/>
        <v>"C:\Program Files (x86)\AstroGrep\AstroGrep.exe" /spath="%USERPROFILE%\AppData\Local\Temp\OnboardLogs" /stypes="*4044*201701191*" /stext=" 10:.+((SYSTEM_STATE.+slice.+state.+changed )|(ment ac)|(multiple cpu faults)|(system.+state.+changed )|(\[timeout)|(PRM\|1\|D)|(kpr)|(kdp)|(\|lc)|(penalty))" /e /r /s</v>
      </c>
      <c r="U14" s="9" t="str">
        <f t="shared" si="2"/>
        <v>4044</v>
      </c>
      <c r="V14" s="33">
        <f t="shared" si="3"/>
        <v>42754.438148148147</v>
      </c>
      <c r="W14" s="47" t="str">
        <f t="shared" si="4"/>
        <v>EC</v>
      </c>
      <c r="X14" s="47" t="str">
        <f t="shared" si="5"/>
        <v>KEEP</v>
      </c>
      <c r="Y14" s="115" t="str">
        <f t="shared" si="6"/>
        <v>echo {"issue":{"subject":"Wi-MAX data drop, 4 car consist (correlation not causation, but still suspicious)","project_id":79,"tracker_id":40,"status_id":1,"priority_id":2,"assigned_to_id":23,"start_date":"2017-01-19","description":"","custom_fields":[{"id":1,"name":"Subdivision","value":"EC"},{"id":4,"name":"Milepost","value":"3.6645"},{"id":17,"name":"Train ID","value":"101-19"},{"id":16,"name":"Locomotive ID","value":"4044"},{"id":130,"name":"Impact","value":""},{"id":150,"name":"Time of Event (Mountain Time)","value":"03:30:56"},{"id":151,"name":"Denver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0"/>
      <c r="AA14" s="50"/>
      <c r="AB14" s="50"/>
      <c r="AC14" s="134" t="str">
        <f t="shared" si="7"/>
        <v>grep -hSE -A400 "Enforcement Action" "%USERPROFILE%\AppData\Local\Temp\OnboardLogs"\RTDC4044\*4044*201701191*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"%USERPROFILE%\AppData\Local\Temp\OnboardLogs"\RTDC4044\*4044*201701191* &gt;&gt; 2017-01-19-SliceDisagreementCheck.txt</v>
      </c>
      <c r="AE14" s="180" t="str">
        <f t="shared" si="9"/>
        <v>start /low /b %USERPROFILE%\Documents\GitHub\eaglep3\Utilities\DownloadLogsFromS3.py --loco 4044 --day 2017-01-19</v>
      </c>
    </row>
    <row r="15" spans="1:32" s="1" customFormat="1" x14ac:dyDescent="0.25">
      <c r="A15" s="33">
        <v>42754.23159722222</v>
      </c>
      <c r="B15" s="31" t="s">
        <v>474</v>
      </c>
      <c r="C15" s="31" t="s">
        <v>478</v>
      </c>
      <c r="D15" s="31" t="s">
        <v>49</v>
      </c>
      <c r="E15" s="31" t="s">
        <v>189</v>
      </c>
      <c r="F15" s="44">
        <v>0</v>
      </c>
      <c r="G15" s="44">
        <v>663</v>
      </c>
      <c r="H15" s="44">
        <v>79833</v>
      </c>
      <c r="I15" s="44">
        <v>82824</v>
      </c>
      <c r="J15" s="31" t="s">
        <v>190</v>
      </c>
      <c r="K15" s="44">
        <v>81738</v>
      </c>
      <c r="L15" s="150" t="s">
        <v>50</v>
      </c>
      <c r="M15" s="151">
        <f t="shared" si="0"/>
        <v>-573.40800000000002</v>
      </c>
      <c r="N15" s="152" t="str">
        <f>VLOOKUP(C15,'Trips&amp;Operators'!$C$1:$G$99999,5,FALSE)</f>
        <v>CUSHING HARRY</v>
      </c>
      <c r="O15" s="176" t="s">
        <v>238</v>
      </c>
      <c r="P15" s="153" t="s">
        <v>893</v>
      </c>
      <c r="Q15" s="31"/>
      <c r="R15" s="96" t="str">
        <f>VLOOKUP(C15,'Train Runs'!$A$13:$AE$10000,31,0)</f>
        <v>aws s3 cp s3://rtdc.mdm.uploadarchive.raw/RTDC4044/ "%USERPROFILE%\AppData\Local\Temp\OnboardLogs"\RTDC4044\2017-01-19 --exclude "*" --recursive --include "*20170119*" &amp; "%USERPROFILE%\Documents\GitHub\mrs-test-scripts\Headless Mode &amp; Sideloading\WalkAndUnGZ.bat" "%USERPROFILE%\AppData\Local\Temp\OnboardLogs"\RTDC4044\2017-01-19 &amp; aws s3 cp s3://rtdc.mdm.uploadarchive.raw/RTDC4044/ "%USERPROFILE%\AppData\Local\Temp\OnboardLogs"\RTDC4044\2017-01-20 --exclude "*" --recursive --include "*20170120*" &amp; "%USERPROFILE%\Documents\GitHub\mrs-test-scripts\Headless Mode &amp; Sideloading\WalkAndUnGZ.bat" "%USERPROFILE%\AppData\Local\Temp\OnboardLogs"\RTDC4044\2017-01-20</v>
      </c>
      <c r="S15" s="99" t="str">
        <f>VLOOKUP(C15,'Train Runs'!$A$13:$AE$10000,22,0)</f>
        <v>https://d0f6bd738d7f1b3e5a7ca70fe4ff75f0.us-east-1.aws.found.io/app/kibana#/discover/Steve-Slow-Train-Analysis-(2080s-and-2083s)?_g=(refreshInterval:(display:Off,pause:!f,section:0,value:0),time:(from:'2017-01-19T04:14:51-0700',mode:absolute,to:'2017-01-19T06:57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5" s="101" t="str">
        <f t="shared" si="1"/>
        <v>"C:\Program Files (x86)\AstroGrep\AstroGrep.exe" /spath="%USERPROFILE%\AppData\Local\Temp\OnboardLogs" /stypes="*4044*201701191*" /stext=" 12:.+((SYSTEM_STATE.+slice.+state.+changed )|(ment ac)|(multiple cpu faults)|(system.+state.+changed )|(\[timeout)|(PRM\|1\|D)|(kpr)|(kdp)|(\|lc)|(penalty))" /e /r /s</v>
      </c>
      <c r="U15" s="9" t="str">
        <f t="shared" si="2"/>
        <v>4044</v>
      </c>
      <c r="V15" s="33">
        <f t="shared" si="3"/>
        <v>42754.523263888885</v>
      </c>
      <c r="W15" s="47" t="str">
        <f t="shared" si="4"/>
        <v>EC</v>
      </c>
      <c r="X15" s="47" t="str">
        <f t="shared" si="5"/>
        <v>KEEP</v>
      </c>
      <c r="Y15" s="115" t="str">
        <f t="shared" si="6"/>
        <v>echo {"issue":{"subject":"Premature downgrade at EC0816RH 75-1T 1N","project_id":79,"tracker_id":40,"status_id":1,"priority_id":2,"assigned_to_id":23,"start_date":"2017-01-19","description":"At 05:33:00, EC0816RH 75-1T 1N downgraded from 270 to STOP &amp; PROCEED. Do logs tell of any issues at the time?","custom_fields":[{"id":1,"name":"Subdivision","value":"EC"},{"id":4,"name":"Milepost","value":"8.1738"},{"id":17,"name":"Train ID","value":"113-19"},{"id":16,"name":"Locomotive ID","value":"4044"},{"id":130,"name":"Impact","value":"Enforcement"},{"id":150,"name":"Time of Event (Mountain Time)","value":"05:33:30"},{"id":151,"name":"Denver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15" s="50" t="s">
        <v>894</v>
      </c>
      <c r="AA15" s="50" t="s">
        <v>124</v>
      </c>
      <c r="AB15" s="50" t="s">
        <v>129</v>
      </c>
      <c r="AC15" s="134" t="str">
        <f t="shared" si="7"/>
        <v>grep -hSE -A400 "Enforcement Action" "%USERPROFILE%\AppData\Local\Temp\OnboardLogs"\RTDC4044\*4044*201701191*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"%USERPROFILE%\AppData\Local\Temp\OnboardLogs"\RTDC4044\*4044*201701191* &gt;&gt; 2017-01-19-SliceDisagreementCheck.txt</v>
      </c>
      <c r="AE15" s="180" t="str">
        <f t="shared" si="9"/>
        <v>start /low /b %USERPROFILE%\Documents\GitHub\eaglep3\Utilities\DownloadLogsFromS3.py --loco 4044 --day 2017-01-19</v>
      </c>
    </row>
    <row r="16" spans="1:32" x14ac:dyDescent="0.25">
      <c r="A16" s="33">
        <v>42754.512719907405</v>
      </c>
      <c r="B16" s="31" t="s">
        <v>490</v>
      </c>
      <c r="C16" s="31" t="s">
        <v>491</v>
      </c>
      <c r="D16" s="31" t="s">
        <v>49</v>
      </c>
      <c r="E16" s="31" t="s">
        <v>189</v>
      </c>
      <c r="F16" s="44">
        <v>0</v>
      </c>
      <c r="G16" s="44">
        <v>772</v>
      </c>
      <c r="H16" s="44">
        <v>81133</v>
      </c>
      <c r="I16" s="44">
        <v>84508</v>
      </c>
      <c r="J16" s="31" t="s">
        <v>190</v>
      </c>
      <c r="K16" s="44">
        <v>81738</v>
      </c>
      <c r="L16" s="150" t="s">
        <v>50</v>
      </c>
      <c r="M16" s="151">
        <f t="shared" si="0"/>
        <v>-1462.56</v>
      </c>
      <c r="N16" s="152" t="str">
        <f>VLOOKUP(C16,'Trips&amp;Operators'!$C$1:$G$99999,5,FALSE)</f>
        <v>CRAYTON QUNTRELL</v>
      </c>
      <c r="O16" s="176" t="s">
        <v>238</v>
      </c>
      <c r="P16" s="153" t="s">
        <v>872</v>
      </c>
      <c r="Q16" s="31"/>
      <c r="R16" s="96" t="str">
        <f>VLOOKUP(C16,'Train Runs'!$A$13:$AE$10000,31,0)</f>
        <v>aws s3 cp s3://rtdc.mdm.uploadarchive.raw/RTDC4031/ "%USERPROFILE%\AppData\Local\Temp\OnboardLogs"\RTDC4031\2017-01-19 --exclude "*" --recursive --include "*20170119*" &amp; "%USERPROFILE%\Documents\GitHub\mrs-test-scripts\Headless Mode &amp; Sideloading\WalkAndUnGZ.bat" "%USERPROFILE%\AppData\Local\Temp\OnboardLogs"\RTDC4031\2017-01-19 &amp; aws s3 cp s3://rtdc.mdm.uploadarchive.raw/RTDC4031/ "%USERPROFILE%\AppData\Local\Temp\OnboardLogs"\RTDC4031\2017-01-20 --exclude "*" --recursive --include "*20170120*" &amp; "%USERPROFILE%\Documents\GitHub\mrs-test-scripts\Headless Mode &amp; Sideloading\WalkAndUnGZ.bat" "%USERPROFILE%\AppData\Local\Temp\OnboardLogs"\RTDC4031\2017-01-20</v>
      </c>
      <c r="S16" s="99" t="str">
        <f>VLOOKUP(C16,'Train Runs'!$A$13:$AE$10000,22,0)</f>
        <v>https://d0f6bd738d7f1b3e5a7ca70fe4ff75f0.us-east-1.aws.found.io/app/kibana#/discover/Steve-Slow-Train-Analysis-(2080s-and-2083s)?_g=(refreshInterval:(display:Off,pause:!f,section:0,value:0),time:(from:'2017-01-19T10:50:50-0700',mode:absolute,to:'2017-01-19T13:39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6" s="101" t="str">
        <f t="shared" si="1"/>
        <v>"C:\Program Files (x86)\AstroGrep\AstroGrep.exe" /spath="%USERPROFILE%\AppData\Local\Temp\OnboardLogs" /stypes="*4031*201701191*" /stext=" 19:.+((SYSTEM_STATE.+slice.+state.+changed )|(ment ac)|(multiple cpu faults)|(system.+state.+changed )|(\[timeout)|(PRM\|1\|D)|(kpr)|(kdp)|(\|lc)|(penalty))" /e /r /s</v>
      </c>
      <c r="U16" s="9" t="str">
        <f t="shared" si="2"/>
        <v>4031</v>
      </c>
      <c r="V16" s="33">
        <f t="shared" si="3"/>
        <v>42754.804386574069</v>
      </c>
      <c r="W16" s="47" t="str">
        <f t="shared" si="4"/>
        <v>EC</v>
      </c>
      <c r="X16" s="47" t="str">
        <f t="shared" si="5"/>
        <v>KEEP</v>
      </c>
      <c r="Y16" s="115" t="str">
        <f t="shared" si="6"/>
        <v>echo {"issue":{"subject":"Wi-MAX data drop","project_id":79,"tracker_id":40,"status_id":1,"priority_id":2,"assigned_to_id":23,"start_date":"2017-01-19","description":"","custom_fields":[{"id":1,"name":"Subdivision","value":"EC"},{"id":4,"name":"Milepost","value":"8.1738"},{"id":17,"name":"Train ID","value":"167-19"},{"id":16,"name":"Locomotive ID","value":"4031"},{"id":130,"name":"Impact","value":""},{"id":150,"name":"Time of Event (Mountain Time)","value":"12:18:19"},{"id":151,"name":"Denver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0"/>
      <c r="AA16" s="50"/>
      <c r="AB16" s="50"/>
      <c r="AC16" s="134" t="str">
        <f t="shared" si="7"/>
        <v>grep -hSE -A400 "Enforcement Action" "%USERPROFILE%\AppData\Local\Temp\OnboardLogs"\RTDC4031\*4031*201701191*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"%USERPROFILE%\AppData\Local\Temp\OnboardLogs"\RTDC4031\*4031*201701191* &gt;&gt; 2017-01-19-SliceDisagreementCheck.txt</v>
      </c>
      <c r="AE16" s="180" t="str">
        <f t="shared" si="9"/>
        <v>start /low /b %USERPROFILE%\Documents\GitHub\eaglep3\Utilities\DownloadLogsFromS3.py --loco 4031 --day 2017-01-19</v>
      </c>
      <c r="AF16" s="1"/>
    </row>
    <row r="17" spans="1:32" x14ac:dyDescent="0.25">
      <c r="A17" s="33">
        <v>42754.18608796296</v>
      </c>
      <c r="B17" s="31" t="s">
        <v>472</v>
      </c>
      <c r="C17" s="31" t="s">
        <v>476</v>
      </c>
      <c r="D17" s="31" t="s">
        <v>49</v>
      </c>
      <c r="E17" s="31" t="s">
        <v>189</v>
      </c>
      <c r="F17" s="44">
        <v>0</v>
      </c>
      <c r="G17" s="44">
        <v>590</v>
      </c>
      <c r="H17" s="44">
        <v>148722</v>
      </c>
      <c r="I17" s="44">
        <v>145923</v>
      </c>
      <c r="J17" s="31" t="s">
        <v>190</v>
      </c>
      <c r="K17" s="44">
        <v>144312</v>
      </c>
      <c r="L17" s="150" t="s">
        <v>51</v>
      </c>
      <c r="M17" s="151">
        <f t="shared" si="0"/>
        <v>850.60799999999995</v>
      </c>
      <c r="N17" s="152" t="str">
        <f>VLOOKUP(C17,'Trips&amp;Operators'!$C$1:$G$99999,5,FALSE)</f>
        <v>CUSHING HARRY</v>
      </c>
      <c r="O17" s="176" t="s">
        <v>238</v>
      </c>
      <c r="P17" s="153" t="s">
        <v>896</v>
      </c>
      <c r="Q17" s="31"/>
      <c r="R17" s="96" t="str">
        <f>VLOOKUP(C17,'Train Runs'!$A$13:$AE$10000,31,0)</f>
        <v>aws s3 cp s3://rtdc.mdm.uploadarchive.raw/RTDC4041/ "%USERPROFILE%\AppData\Local\Temp\OnboardLogs"\RTDC4041\2017-01-19 --exclude "*" --recursive --include "*20170119*" &amp; "%USERPROFILE%\Documents\GitHub\mrs-test-scripts\Headless Mode &amp; Sideloading\WalkAndUnGZ.bat" "%USERPROFILE%\AppData\Local\Temp\OnboardLogs"\RTDC4041\2017-01-19 &amp; aws s3 cp s3://rtdc.mdm.uploadarchive.raw/RTDC4041/ "%USERPROFILE%\AppData\Local\Temp\OnboardLogs"\RTDC4041\2017-01-20 --exclude "*" --recursive --include "*20170120*" &amp; "%USERPROFILE%\Documents\GitHub\mrs-test-scripts\Headless Mode &amp; Sideloading\WalkAndUnGZ.bat" "%USERPROFILE%\AppData\Local\Temp\OnboardLogs"\RTDC4041\2017-01-20</v>
      </c>
      <c r="S17" s="99" t="str">
        <f>VLOOKUP(C17,'Train Runs'!$A$13:$AE$10000,22,0)</f>
        <v>https://d0f6bd738d7f1b3e5a7ca70fe4ff75f0.us-east-1.aws.found.io/app/kibana#/discover/Steve-Slow-Train-Analysis-(2080s-and-2083s)?_g=(refreshInterval:(display:Off,pause:!f,section:0,value:0),time:(from:'2017-01-19T03:12:23-0700',mode:absolute,to:'2017-01-19T05:27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7" s="101" t="str">
        <f t="shared" si="1"/>
        <v>"C:\Program Files (x86)\AstroGrep\AstroGrep.exe" /spath="%USERPROFILE%\AppData\Local\Temp\OnboardLogs" /stypes="*4041*201701191*" /stext=" 11:.+((SYSTEM_STATE.+slice.+state.+changed )|(ment ac)|(multiple cpu faults)|(system.+state.+changed )|(\[timeout)|(PRM\|1\|D)|(kpr)|(kdp)|(\|lc)|(penalty))" /e /r /s</v>
      </c>
      <c r="U17" s="9" t="str">
        <f t="shared" si="2"/>
        <v>4041</v>
      </c>
      <c r="V17" s="33">
        <f t="shared" si="3"/>
        <v>42754.477754629625</v>
      </c>
      <c r="W17" s="47" t="str">
        <f t="shared" si="4"/>
        <v>EC</v>
      </c>
      <c r="X17" s="47" t="str">
        <f t="shared" si="5"/>
        <v>KEEP</v>
      </c>
      <c r="Y17" s="115" t="str">
        <f t="shared" si="6"/>
        <v>echo {"issue":{"subject":"Wi-MAX data drop, 4 car consist (correlation not causation, but still suspicious)","project_id":79,"tracker_id":40,"status_id":1,"priority_id":2,"assigned_to_id":23,"start_date":"2017-01-19","description":"","custom_fields":[{"id":1,"name":"Subdivision","value":"EC"},{"id":4,"name":"Milepost","value":"14.4312"},{"id":17,"name":"Train ID","value":"102-19"},{"id":16,"name":"Locomotive ID","value":"4041"},{"id":130,"name":"Impact","value":""},{"id":150,"name":"Time of Event (Mountain Time)","value":"04:27:58"},{"id":151,"name":"Denver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0"/>
      <c r="AA17" s="50"/>
      <c r="AB17" s="50"/>
      <c r="AC17" s="134" t="str">
        <f t="shared" si="7"/>
        <v>grep -hSE -A400 "Enforcement Action" "%USERPROFILE%\AppData\Local\Temp\OnboardLogs"\RTDC4041\*4041*201701191*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"%USERPROFILE%\AppData\Local\Temp\OnboardLogs"\RTDC4041\*4041*201701191* &gt;&gt; 2017-01-19-SliceDisagreementCheck.txt</v>
      </c>
      <c r="AE17" s="180" t="str">
        <f t="shared" si="9"/>
        <v>start /low /b %USERPROFILE%\Documents\GitHub\eaglep3\Utilities\DownloadLogsFromS3.py --loco 4041 --day 2017-01-19</v>
      </c>
      <c r="AF17" s="1"/>
    </row>
    <row r="18" spans="1:32" x14ac:dyDescent="0.25">
      <c r="A18" s="33">
        <v>42754.18178240741</v>
      </c>
      <c r="B18" s="31" t="s">
        <v>472</v>
      </c>
      <c r="C18" s="31" t="s">
        <v>476</v>
      </c>
      <c r="D18" s="31" t="s">
        <v>49</v>
      </c>
      <c r="E18" s="31" t="s">
        <v>189</v>
      </c>
      <c r="F18" s="44">
        <v>0</v>
      </c>
      <c r="G18" s="44">
        <v>645</v>
      </c>
      <c r="H18" s="44">
        <v>182154</v>
      </c>
      <c r="I18" s="44">
        <v>178667</v>
      </c>
      <c r="J18" s="31" t="s">
        <v>190</v>
      </c>
      <c r="K18" s="44">
        <v>175398</v>
      </c>
      <c r="L18" s="150" t="s">
        <v>51</v>
      </c>
      <c r="M18" s="151">
        <f t="shared" si="0"/>
        <v>1726.0319999999999</v>
      </c>
      <c r="N18" s="152" t="str">
        <f>VLOOKUP(C18,'Trips&amp;Operators'!$C$1:$G$99999,5,FALSE)</f>
        <v>CUSHING HARRY</v>
      </c>
      <c r="O18" s="176" t="s">
        <v>238</v>
      </c>
      <c r="P18" s="153" t="s">
        <v>896</v>
      </c>
      <c r="Q18" s="31"/>
      <c r="R18" s="96" t="str">
        <f>VLOOKUP(C18,'Train Runs'!$A$13:$AE$10000,31,0)</f>
        <v>aws s3 cp s3://rtdc.mdm.uploadarchive.raw/RTDC4041/ "%USERPROFILE%\AppData\Local\Temp\OnboardLogs"\RTDC4041\2017-01-19 --exclude "*" --recursive --include "*20170119*" &amp; "%USERPROFILE%\Documents\GitHub\mrs-test-scripts\Headless Mode &amp; Sideloading\WalkAndUnGZ.bat" "%USERPROFILE%\AppData\Local\Temp\OnboardLogs"\RTDC4041\2017-01-19 &amp; aws s3 cp s3://rtdc.mdm.uploadarchive.raw/RTDC4041/ "%USERPROFILE%\AppData\Local\Temp\OnboardLogs"\RTDC4041\2017-01-20 --exclude "*" --recursive --include "*20170120*" &amp; "%USERPROFILE%\Documents\GitHub\mrs-test-scripts\Headless Mode &amp; Sideloading\WalkAndUnGZ.bat" "%USERPROFILE%\AppData\Local\Temp\OnboardLogs"\RTDC4041\2017-01-20</v>
      </c>
      <c r="S18" s="99" t="str">
        <f>VLOOKUP(C18,'Train Runs'!$A$13:$AE$10000,22,0)</f>
        <v>https://d0f6bd738d7f1b3e5a7ca70fe4ff75f0.us-east-1.aws.found.io/app/kibana#/discover/Steve-Slow-Train-Analysis-(2080s-and-2083s)?_g=(refreshInterval:(display:Off,pause:!f,section:0,value:0),time:(from:'2017-01-19T03:12:23-0700',mode:absolute,to:'2017-01-19T05:27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8" s="101" t="str">
        <f t="shared" si="1"/>
        <v>"C:\Program Files (x86)\AstroGrep\AstroGrep.exe" /spath="%USERPROFILE%\AppData\Local\Temp\OnboardLogs" /stypes="*4041*201701191*" /stext=" 11:.+((SYSTEM_STATE.+slice.+state.+changed )|(ment ac)|(multiple cpu faults)|(system.+state.+changed )|(\[timeout)|(PRM\|1\|D)|(kpr)|(kdp)|(\|lc)|(penalty))" /e /r /s</v>
      </c>
      <c r="U18" s="9" t="str">
        <f t="shared" si="2"/>
        <v>4041</v>
      </c>
      <c r="V18" s="33">
        <f t="shared" si="3"/>
        <v>42754.473449074074</v>
      </c>
      <c r="W18" s="47" t="str">
        <f t="shared" si="4"/>
        <v>EC</v>
      </c>
      <c r="X18" s="47" t="str">
        <f t="shared" si="5"/>
        <v>KEEP</v>
      </c>
      <c r="Y18" s="115" t="str">
        <f t="shared" si="6"/>
        <v>echo {"issue":{"subject":"Wi-MAX data drop, 4 car consist (correlation not causation, but still suspicious)","project_id":79,"tracker_id":40,"status_id":1,"priority_id":2,"assigned_to_id":23,"start_date":"2017-01-19","description":"","custom_fields":[{"id":1,"name":"Subdivision","value":"EC"},{"id":4,"name":"Milepost","value":"17.5398"},{"id":17,"name":"Train ID","value":"102-19"},{"id":16,"name":"Locomotive ID","value":"4041"},{"id":130,"name":"Impact","value":""},{"id":150,"name":"Time of Event (Mountain Time)","value":"04:21:46"},{"id":151,"name":"Denver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0"/>
      <c r="AA18" s="50"/>
      <c r="AB18" s="50"/>
      <c r="AC18" s="134" t="str">
        <f t="shared" si="7"/>
        <v>grep -hSE -A400 "Enforcement Action" "%USERPROFILE%\AppData\Local\Temp\OnboardLogs"\RTDC4041\*4041*201701191*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"%USERPROFILE%\AppData\Local\Temp\OnboardLogs"\RTDC4041\*4041*201701191* &gt;&gt; 2017-01-19-SliceDisagreementCheck.txt</v>
      </c>
      <c r="AE18" s="180" t="str">
        <f t="shared" si="9"/>
        <v>start /low /b %USERPROFILE%\Documents\GitHub\eaglep3\Utilities\DownloadLogsFromS3.py --loco 4041 --day 2017-01-19</v>
      </c>
      <c r="AF18" s="1"/>
    </row>
    <row r="19" spans="1:32" x14ac:dyDescent="0.25">
      <c r="A19" s="33">
        <v>42754.164756944447</v>
      </c>
      <c r="B19" s="31" t="s">
        <v>474</v>
      </c>
      <c r="C19" s="31" t="s">
        <v>475</v>
      </c>
      <c r="D19" s="31" t="s">
        <v>49</v>
      </c>
      <c r="E19" s="31" t="s">
        <v>189</v>
      </c>
      <c r="F19" s="44">
        <v>0</v>
      </c>
      <c r="G19" s="44">
        <v>628</v>
      </c>
      <c r="H19" s="44">
        <v>192741</v>
      </c>
      <c r="I19" s="44">
        <v>195402</v>
      </c>
      <c r="J19" s="31" t="s">
        <v>190</v>
      </c>
      <c r="K19" s="44">
        <v>198242</v>
      </c>
      <c r="L19" s="150" t="s">
        <v>50</v>
      </c>
      <c r="M19" s="151">
        <f t="shared" si="0"/>
        <v>1499.52</v>
      </c>
      <c r="N19" s="152" t="str">
        <f>VLOOKUP(C19,'Trips&amp;Operators'!$C$1:$G$99999,5,FALSE)</f>
        <v>CUSHING HARRY</v>
      </c>
      <c r="O19" s="176" t="s">
        <v>238</v>
      </c>
      <c r="P19" s="153" t="s">
        <v>896</v>
      </c>
      <c r="Q19" s="31"/>
      <c r="R19" s="96" t="str">
        <f>VLOOKUP(C19,'Train Runs'!$A$13:$AE$10000,31,0)</f>
        <v>aws s3 cp s3://rtdc.mdm.uploadarchive.raw/RTDC4044/ "%USERPROFILE%\AppData\Local\Temp\OnboardLogs"\RTDC4044\2017-01-19 --exclude "*" --recursive --include "*20170119*" &amp; "%USERPROFILE%\Documents\GitHub\mrs-test-scripts\Headless Mode &amp; Sideloading\WalkAndUnGZ.bat" "%USERPROFILE%\AppData\Local\Temp\OnboardLogs"\RTDC4044\2017-01-19 &amp; aws s3 cp s3://rtdc.mdm.uploadarchive.raw/RTDC4044/ "%USERPROFILE%\AppData\Local\Temp\OnboardLogs"\RTDC4044\2017-01-20 --exclude "*" --recursive --include "*20170120*" &amp; "%USERPROFILE%\Documents\GitHub\mrs-test-scripts\Headless Mode &amp; Sideloading\WalkAndUnGZ.bat" "%USERPROFILE%\AppData\Local\Temp\OnboardLogs"\RTDC4044\2017-01-20</v>
      </c>
      <c r="S19" s="99" t="str">
        <f>VLOOKUP(C19,'Train Runs'!$A$13:$AE$10000,22,0)</f>
        <v>https://d0f6bd738d7f1b3e5a7ca70fe4ff75f0.us-east-1.aws.found.io/app/kibana#/discover/Steve-Slow-Train-Analysis-(2080s-and-2083s)?_g=(refreshInterval:(display:Off,pause:!f,section:0,value:0),time:(from:'2017-01-19T02:18:18-0700',mode:absolute,to:'2017-01-19T04:57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9" s="101" t="str">
        <f t="shared" si="1"/>
        <v>"C:\Program Files (x86)\AstroGrep\AstroGrep.exe" /spath="%USERPROFILE%\AppData\Local\Temp\OnboardLogs" /stypes="*4044*201701191*" /stext=" 10:.+((SYSTEM_STATE.+slice.+state.+changed )|(ment ac)|(multiple cpu faults)|(system.+state.+changed )|(\[timeout)|(PRM\|1\|D)|(kpr)|(kdp)|(\|lc)|(penalty))" /e /r /s</v>
      </c>
      <c r="U19" s="9" t="str">
        <f t="shared" si="2"/>
        <v>4044</v>
      </c>
      <c r="V19" s="33">
        <f t="shared" si="3"/>
        <v>42754.456423611111</v>
      </c>
      <c r="W19" s="47" t="str">
        <f t="shared" si="4"/>
        <v>EC</v>
      </c>
      <c r="X19" s="47" t="str">
        <f t="shared" si="5"/>
        <v>KEEP</v>
      </c>
      <c r="Y19" s="115" t="str">
        <f t="shared" si="6"/>
        <v>echo {"issue":{"subject":"Wi-MAX data drop, 4 car consist (correlation not causation, but still suspicious)","project_id":79,"tracker_id":40,"status_id":1,"priority_id":2,"assigned_to_id":23,"start_date":"2017-01-19","description":"","custom_fields":[{"id":1,"name":"Subdivision","value":"EC"},{"id":4,"name":"Milepost","value":"19.8242"},{"id":17,"name":"Train ID","value":"101-19"},{"id":16,"name":"Locomotive ID","value":"4044"},{"id":130,"name":"Impact","value":""},{"id":150,"name":"Time of Event (Mountain Time)","value":"03:57:15"},{"id":151,"name":"Denver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0"/>
      <c r="AA19" s="50"/>
      <c r="AB19" s="50"/>
      <c r="AC19" s="134" t="str">
        <f t="shared" si="7"/>
        <v>grep -hSE -A400 "Enforcement Action" "%USERPROFILE%\AppData\Local\Temp\OnboardLogs"\RTDC4044\*4044*201701191*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"%USERPROFILE%\AppData\Local\Temp\OnboardLogs"\RTDC4044\*4044*201701191* &gt;&gt; 2017-01-19-SliceDisagreementCheck.txt</v>
      </c>
      <c r="AE19" s="180" t="str">
        <f t="shared" si="9"/>
        <v>start /low /b %USERPROFILE%\Documents\GitHub\eaglep3\Utilities\DownloadLogsFromS3.py --loco 4044 --day 2017-01-19</v>
      </c>
      <c r="AF19" s="1"/>
    </row>
    <row r="20" spans="1:32" ht="15" customHeight="1" x14ac:dyDescent="0.25">
      <c r="A20" s="33">
        <v>42754.296122685184</v>
      </c>
      <c r="B20" s="31" t="s">
        <v>313</v>
      </c>
      <c r="C20" s="31" t="s">
        <v>479</v>
      </c>
      <c r="D20" s="31" t="s">
        <v>49</v>
      </c>
      <c r="E20" s="31" t="s">
        <v>191</v>
      </c>
      <c r="F20" s="44">
        <v>0</v>
      </c>
      <c r="G20" s="44">
        <v>84</v>
      </c>
      <c r="H20" s="44">
        <v>300</v>
      </c>
      <c r="I20" s="44">
        <v>211</v>
      </c>
      <c r="J20" s="31" t="s">
        <v>192</v>
      </c>
      <c r="K20" s="44">
        <v>1</v>
      </c>
      <c r="L20" s="150" t="s">
        <v>51</v>
      </c>
      <c r="M20" s="151">
        <f t="shared" si="0"/>
        <v>110.88</v>
      </c>
      <c r="N20" s="152" t="str">
        <f>VLOOKUP(C20,'Trips&amp;Operators'!$C$1:$G$99999,5,FALSE)</f>
        <v>STARKS ANGELINA</v>
      </c>
      <c r="O20" s="176" t="s">
        <v>188</v>
      </c>
      <c r="P20" s="153"/>
      <c r="Q20" s="31"/>
      <c r="R20" s="96" t="str">
        <f>VLOOKUP(C20,'Train Runs'!$A$13:$AE$10000,31,0)</f>
        <v>aws s3 cp s3://rtdc.mdm.uploadarchive.raw/RTDC4019/ "%USERPROFILE%\AppData\Local\Temp\OnboardLogs"\RTDC4019\2017-01-19 --exclude "*" --recursive --include "*20170119*" &amp; "%USERPROFILE%\Documents\GitHub\mrs-test-scripts\Headless Mode &amp; Sideloading\WalkAndUnGZ.bat" "%USERPROFILE%\AppData\Local\Temp\OnboardLogs"\RTDC4019\2017-01-19 &amp; aws s3 cp s3://rtdc.mdm.uploadarchive.raw/RTDC4019/ "%USERPROFILE%\AppData\Local\Temp\OnboardLogs"\RTDC4019\2017-01-20 --exclude "*" --recursive --include "*20170120*" &amp; "%USERPROFILE%\Documents\GitHub\mrs-test-scripts\Headless Mode &amp; Sideloading\WalkAndUnGZ.bat" "%USERPROFILE%\AppData\Local\Temp\OnboardLogs"\RTDC4019\2017-01-20</v>
      </c>
      <c r="S20" s="99" t="str">
        <f>VLOOKUP(C20,'Train Runs'!$A$13:$AE$10000,22,0)</f>
        <v>https://d0f6bd738d7f1b3e5a7ca70fe4ff75f0.us-east-1.aws.found.io/app/kibana#/discover/Steve-Slow-Train-Analysis-(2080s-and-2083s)?_g=(refreshInterval:(display:Off,pause:!f,section:0,value:0),time:(from:'2017-01-19T05:24:19-0700',mode:absolute,to:'2017-01-19T08:06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0" s="101" t="str">
        <f t="shared" si="1"/>
        <v>"C:\Program Files (x86)\AstroGrep\AstroGrep.exe" /spath="%USERPROFILE%\AppData\Local\Temp\OnboardLogs" /stypes="*4019*201701191*" /stext=" 14:.+((SYSTEM_STATE.+slice.+state.+changed )|(ment ac)|(multiple cpu faults)|(system.+state.+changed )|(\[timeout)|(PRM\|1\|D)|(kpr)|(kdp)|(\|lc)|(penalty))" /e /r /s</v>
      </c>
      <c r="U20" s="9" t="str">
        <f t="shared" si="2"/>
        <v>4019</v>
      </c>
      <c r="V20" s="33">
        <f t="shared" si="3"/>
        <v>42754.587789351848</v>
      </c>
      <c r="W20" s="47" t="str">
        <f t="shared" si="4"/>
        <v>EC</v>
      </c>
      <c r="X20" s="47" t="str">
        <f t="shared" si="5"/>
        <v>KEEP</v>
      </c>
      <c r="Y20" s="115" t="str">
        <f t="shared" si="6"/>
        <v>echo {"issue":{"subject":"","project_id":79,"tracker_id":40,"status_id":1,"priority_id":2,"assigned_to_id":23,"start_date":"2017-01-19","description":"","custom_fields":[{"id":1,"name":"Subdivision","value":"EC"},{"id":4,"name":"Milepost","value":"0.0001"},{"id":17,"name":"Train ID","value":"116-19"},{"id":16,"name":"Locomotive ID","value":"4019"},{"id":130,"name":"Impact","value":""},{"id":150,"name":"Time of Event (Mountain Time)","value":"07:06:25"},{"id":151,"name":"Denver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0"/>
      <c r="AA20" s="50"/>
      <c r="AB20" s="50"/>
      <c r="AC20" s="134" t="str">
        <f t="shared" si="7"/>
        <v>grep -hSE -A400 "Enforcement Action" "%USERPROFILE%\AppData\Local\Temp\OnboardLogs"\RTDC4019\*4019*201701191*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"%USERPROFILE%\AppData\Local\Temp\OnboardLogs"\RTDC4019\*4019*201701191* &gt;&gt; 2017-01-19-SliceDisagreementCheck.txt</v>
      </c>
      <c r="AE20" s="180" t="str">
        <f t="shared" si="9"/>
        <v>start /low /b %USERPROFILE%\Documents\GitHub\eaglep3\Utilities\DownloadLogsFromS3.py --loco 4019 --day 2017-01-19</v>
      </c>
      <c r="AF20" s="1"/>
    </row>
    <row r="21" spans="1:32" x14ac:dyDescent="0.25">
      <c r="A21" s="33">
        <v>42754.30704861111</v>
      </c>
      <c r="B21" s="31" t="s">
        <v>278</v>
      </c>
      <c r="C21" s="31" t="s">
        <v>481</v>
      </c>
      <c r="D21" s="31" t="s">
        <v>49</v>
      </c>
      <c r="E21" s="31" t="s">
        <v>191</v>
      </c>
      <c r="F21" s="44">
        <v>0</v>
      </c>
      <c r="G21" s="44">
        <v>53</v>
      </c>
      <c r="H21" s="44">
        <v>152</v>
      </c>
      <c r="I21" s="44">
        <v>114</v>
      </c>
      <c r="J21" s="31" t="s">
        <v>192</v>
      </c>
      <c r="K21" s="44">
        <v>1</v>
      </c>
      <c r="L21" s="150" t="s">
        <v>51</v>
      </c>
      <c r="M21" s="151">
        <f t="shared" si="0"/>
        <v>59.664000000000001</v>
      </c>
      <c r="N21" s="152" t="str">
        <f>VLOOKUP(C21,'Trips&amp;Operators'!$C$1:$G$99999,5,FALSE)</f>
        <v>ACKERMAN JARED</v>
      </c>
      <c r="O21" s="176" t="s">
        <v>188</v>
      </c>
      <c r="P21" s="153"/>
      <c r="Q21" s="31"/>
      <c r="R21" s="96" t="str">
        <f>VLOOKUP(C21,'Train Runs'!$A$13:$AE$10000,31,0)</f>
        <v>aws s3 cp s3://rtdc.mdm.uploadarchive.raw/RTDC4015/ "%USERPROFILE%\AppData\Local\Temp\OnboardLogs"\RTDC4015\2017-01-19 --exclude "*" --recursive --include "*20170119*" &amp; "%USERPROFILE%\Documents\GitHub\mrs-test-scripts\Headless Mode &amp; Sideloading\WalkAndUnGZ.bat" "%USERPROFILE%\AppData\Local\Temp\OnboardLogs"\RTDC4015\2017-01-19 &amp; aws s3 cp s3://rtdc.mdm.uploadarchive.raw/RTDC4015/ "%USERPROFILE%\AppData\Local\Temp\OnboardLogs"\RTDC4015\2017-01-20 --exclude "*" --recursive --include "*20170120*" &amp; "%USERPROFILE%\Documents\GitHub\mrs-test-scripts\Headless Mode &amp; Sideloading\WalkAndUnGZ.bat" "%USERPROFILE%\AppData\Local\Temp\OnboardLogs"\RTDC4015\2017-01-20</v>
      </c>
      <c r="S21" s="99" t="str">
        <f>VLOOKUP(C21,'Train Runs'!$A$13:$AE$10000,22,0)</f>
        <v>https://d0f6bd738d7f1b3e5a7ca70fe4ff75f0.us-east-1.aws.found.io/app/kibana#/discover/Steve-Slow-Train-Analysis-(2080s-and-2083s)?_g=(refreshInterval:(display:Off,pause:!f,section:0,value:0),time:(from:'2017-01-19T05:31:53-0700',mode:absolute,to:'2017-01-19T08:21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1" s="101" t="str">
        <f t="shared" si="1"/>
        <v>"C:\Program Files (x86)\AstroGrep\AstroGrep.exe" /spath="%USERPROFILE%\AppData\Local\Temp\OnboardLogs" /stypes="*4015*201701191*" /stext=" 14:.+((SYSTEM_STATE.+slice.+state.+changed )|(ment ac)|(multiple cpu faults)|(system.+state.+changed )|(\[timeout)|(PRM\|1\|D)|(kpr)|(kdp)|(\|lc)|(penalty))" /e /r /s</v>
      </c>
      <c r="U21" s="9" t="str">
        <f t="shared" si="2"/>
        <v>4015</v>
      </c>
      <c r="V21" s="33">
        <f t="shared" si="3"/>
        <v>42754.598715277774</v>
      </c>
      <c r="W21" s="47" t="str">
        <f t="shared" si="4"/>
        <v>EC</v>
      </c>
      <c r="X21" s="47" t="str">
        <f t="shared" si="5"/>
        <v>KEEP</v>
      </c>
      <c r="Y21" s="115" t="str">
        <f t="shared" si="6"/>
        <v>echo {"issue":{"subject":"","project_id":79,"tracker_id":40,"status_id":1,"priority_id":2,"assigned_to_id":23,"start_date":"2017-01-19","description":"","custom_fields":[{"id":1,"name":"Subdivision","value":"EC"},{"id":4,"name":"Milepost","value":"0.0001"},{"id":17,"name":"Train ID","value":"118-19"},{"id":16,"name":"Locomotive ID","value":"4015"},{"id":130,"name":"Impact","value":""},{"id":150,"name":"Time of Event (Mountain Time)","value":"07:22:09"},{"id":151,"name":"Denver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0"/>
      <c r="AA21" s="50"/>
      <c r="AB21" s="50"/>
      <c r="AC21" s="134" t="str">
        <f t="shared" si="7"/>
        <v>grep -hSE -A400 "Enforcement Action" "%USERPROFILE%\AppData\Local\Temp\OnboardLogs"\RTDC4015\*4015*201701191*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"%USERPROFILE%\AppData\Local\Temp\OnboardLogs"\RTDC4015\*4015*201701191* &gt;&gt; 2017-01-19-SliceDisagreementCheck.txt</v>
      </c>
      <c r="AE21" s="180" t="str">
        <f t="shared" si="9"/>
        <v>start /low /b %USERPROFILE%\Documents\GitHub\eaglep3\Utilities\DownloadLogsFromS3.py --loco 4015 --day 2017-01-19</v>
      </c>
      <c r="AF21" s="1"/>
    </row>
    <row r="22" spans="1:32" x14ac:dyDescent="0.25">
      <c r="A22" s="33">
        <v>42754.565393518518</v>
      </c>
      <c r="B22" s="31" t="s">
        <v>482</v>
      </c>
      <c r="C22" s="31" t="s">
        <v>492</v>
      </c>
      <c r="D22" s="31" t="s">
        <v>49</v>
      </c>
      <c r="E22" s="31" t="s">
        <v>191</v>
      </c>
      <c r="F22" s="44">
        <v>0</v>
      </c>
      <c r="G22" s="44">
        <v>83</v>
      </c>
      <c r="H22" s="44">
        <v>276</v>
      </c>
      <c r="I22" s="44">
        <v>201</v>
      </c>
      <c r="J22" s="31" t="s">
        <v>192</v>
      </c>
      <c r="K22" s="44">
        <v>1</v>
      </c>
      <c r="L22" s="150" t="s">
        <v>51</v>
      </c>
      <c r="M22" s="151">
        <f t="shared" si="0"/>
        <v>105.6</v>
      </c>
      <c r="N22" s="152" t="str">
        <f>VLOOKUP(C22,'Trips&amp;Operators'!$C$1:$G$99999,5,FALSE)</f>
        <v>CRAYTON QUNTRELL</v>
      </c>
      <c r="O22" s="176" t="s">
        <v>188</v>
      </c>
      <c r="P22" s="153"/>
      <c r="Q22" s="31"/>
      <c r="R22" s="96" t="str">
        <f>VLOOKUP(C22,'Train Runs'!$A$13:$AE$10000,31,0)</f>
        <v>aws s3 cp s3://rtdc.mdm.uploadarchive.raw/RTDC4032/ "%USERPROFILE%\AppData\Local\Temp\OnboardLogs"\RTDC4032\2017-01-19 --exclude "*" --recursive --include "*20170119*" &amp; "%USERPROFILE%\Documents\GitHub\mrs-test-scripts\Headless Mode &amp; Sideloading\WalkAndUnGZ.bat" "%USERPROFILE%\AppData\Local\Temp\OnboardLogs"\RTDC4032\2017-01-19 &amp; aws s3 cp s3://rtdc.mdm.uploadarchive.raw/RTDC4032/ "%USERPROFILE%\AppData\Local\Temp\OnboardLogs"\RTDC4032\2017-01-20 --exclude "*" --recursive --include "*20170120*" &amp; "%USERPROFILE%\Documents\GitHub\mrs-test-scripts\Headless Mode &amp; Sideloading\WalkAndUnGZ.bat" "%USERPROFILE%\AppData\Local\Temp\OnboardLogs"\RTDC4032\2017-01-20</v>
      </c>
      <c r="S22" s="99" t="str">
        <f>VLOOKUP(C22,'Train Runs'!$A$13:$AE$10000,22,0)</f>
        <v>https://d0f6bd738d7f1b3e5a7ca70fe4ff75f0.us-east-1.aws.found.io/app/kibana#/discover/Steve-Slow-Train-Analysis-(2080s-and-2083s)?_g=(refreshInterval:(display:Off,pause:!f,section:0,value:0),time:(from:'2017-01-19T11:46:02-0700',mode:absolute,to:'2017-01-19T14:34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2" s="101" t="str">
        <f t="shared" si="1"/>
        <v>"C:\Program Files (x86)\AstroGrep\AstroGrep.exe" /spath="%USERPROFILE%\AppData\Local\Temp\OnboardLogs" /stypes="*4032*201701192*" /stext=" 20:.+((SYSTEM_STATE.+slice.+state.+changed )|(ment ac)|(multiple cpu faults)|(system.+state.+changed )|(\[timeout)|(PRM\|1\|D)|(kpr)|(kdp)|(\|lc)|(penalty))" /e /r /s</v>
      </c>
      <c r="U22" s="9" t="str">
        <f t="shared" si="2"/>
        <v>4032</v>
      </c>
      <c r="V22" s="33">
        <f t="shared" si="3"/>
        <v>42754.857060185182</v>
      </c>
      <c r="W22" s="47" t="str">
        <f t="shared" si="4"/>
        <v>EC</v>
      </c>
      <c r="X22" s="47" t="str">
        <f t="shared" si="5"/>
        <v>KEEP</v>
      </c>
      <c r="Y22" s="115" t="str">
        <f t="shared" si="6"/>
        <v>echo {"issue":{"subject":"","project_id":79,"tracker_id":40,"status_id":1,"priority_id":2,"assigned_to_id":23,"start_date":"2017-01-19","description":"","custom_fields":[{"id":1,"name":"Subdivision","value":"EC"},{"id":4,"name":"Milepost","value":"0.0001"},{"id":17,"name":"Train ID","value":"168-19"},{"id":16,"name":"Locomotive ID","value":"4032"},{"id":130,"name":"Impact","value":""},{"id":150,"name":"Time of Event (Mountain Time)","value":"13:34:10"},{"id":151,"name":"Denver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0"/>
      <c r="AA22" s="50"/>
      <c r="AB22" s="50"/>
      <c r="AC22" s="134" t="str">
        <f t="shared" si="7"/>
        <v>grep -hSE -A400 "Enforcement Action" "%USERPROFILE%\AppData\Local\Temp\OnboardLogs"\RTDC4032\*4032*201701192*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"%USERPROFILE%\AppData\Local\Temp\OnboardLogs"\RTDC4032\*4032*201701192* &gt;&gt; 2017-01-19-SliceDisagreementCheck.txt</v>
      </c>
      <c r="AE22" s="180" t="str">
        <f t="shared" si="9"/>
        <v>start /low /b %USERPROFILE%\Documents\GitHub\eaglep3\Utilities\DownloadLogsFromS3.py --loco 4032 --day 2017-01-19</v>
      </c>
      <c r="AF22" s="1"/>
    </row>
    <row r="23" spans="1:32" x14ac:dyDescent="0.25">
      <c r="A23" s="33">
        <v>42754.712743055556</v>
      </c>
      <c r="B23" s="31" t="s">
        <v>482</v>
      </c>
      <c r="C23" s="31" t="s">
        <v>497</v>
      </c>
      <c r="D23" s="31" t="s">
        <v>49</v>
      </c>
      <c r="E23" s="31" t="s">
        <v>191</v>
      </c>
      <c r="F23" s="44">
        <v>0</v>
      </c>
      <c r="G23" s="44">
        <v>59</v>
      </c>
      <c r="H23" s="44">
        <v>276</v>
      </c>
      <c r="I23" s="44">
        <v>218</v>
      </c>
      <c r="J23" s="31" t="s">
        <v>192</v>
      </c>
      <c r="K23" s="44">
        <v>1</v>
      </c>
      <c r="L23" s="150" t="s">
        <v>51</v>
      </c>
      <c r="M23" s="151">
        <f t="shared" si="0"/>
        <v>114.57599999999999</v>
      </c>
      <c r="N23" s="152" t="str">
        <f>VLOOKUP(C23,'Trips&amp;Operators'!$C$1:$G$99999,5,FALSE)</f>
        <v>CRAYTON QUNTRELL</v>
      </c>
      <c r="O23" s="176" t="s">
        <v>188</v>
      </c>
      <c r="P23" s="153"/>
      <c r="Q23" s="31"/>
      <c r="R23" s="96" t="str">
        <f>VLOOKUP(C23,'Train Runs'!$A$13:$AE$10000,31,0)</f>
        <v>aws s3 cp s3://rtdc.mdm.uploadarchive.raw/RTDC4032/ "%USERPROFILE%\AppData\Local\Temp\OnboardLogs"\RTDC4032\2017-01-19 --exclude "*" --recursive --include "*20170119*" &amp; "%USERPROFILE%\Documents\GitHub\mrs-test-scripts\Headless Mode &amp; Sideloading\WalkAndUnGZ.bat" "%USERPROFILE%\AppData\Local\Temp\OnboardLogs"\RTDC4032\2017-01-19 &amp; aws s3 cp s3://rtdc.mdm.uploadarchive.raw/RTDC4032/ "%USERPROFILE%\AppData\Local\Temp\OnboardLogs"\RTDC4032\2017-01-20 --exclude "*" --recursive --include "*20170120*" &amp; "%USERPROFILE%\Documents\GitHub\mrs-test-scripts\Headless Mode &amp; Sideloading\WalkAndUnGZ.bat" "%USERPROFILE%\AppData\Local\Temp\OnboardLogs"\RTDC4032\2017-01-20</v>
      </c>
      <c r="S23" s="99" t="str">
        <f>VLOOKUP(C23,'Train Runs'!$A$13:$AE$10000,22,0)</f>
        <v>https://d0f6bd738d7f1b3e5a7ca70fe4ff75f0.us-east-1.aws.found.io/app/kibana#/discover/Steve-Slow-Train-Analysis-(2080s-and-2083s)?_g=(refreshInterval:(display:Off,pause:!f,section:0,value:0),time:(from:'2017-01-19T15:17:03-0700',mode:absolute,to:'2017-01-19T18:06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3" s="101" t="str">
        <f t="shared" si="1"/>
        <v>"C:\Program Files (x86)\AstroGrep\AstroGrep.exe" /spath="%USERPROFILE%\AppData\Local\Temp\OnboardLogs" /stypes="*4032*201701200*" /stext=" 00:.+((SYSTEM_STATE.+slice.+state.+changed )|(ment ac)|(multiple cpu faults)|(system.+state.+changed )|(\[timeout)|(PRM\|1\|D)|(kpr)|(kdp)|(\|lc)|(penalty))" /e /r /s</v>
      </c>
      <c r="U23" s="9" t="str">
        <f t="shared" si="2"/>
        <v>4032</v>
      </c>
      <c r="V23" s="33">
        <f t="shared" si="3"/>
        <v>42755.00440972222</v>
      </c>
      <c r="W23" s="47" t="str">
        <f t="shared" si="4"/>
        <v>EC</v>
      </c>
      <c r="X23" s="47" t="str">
        <f t="shared" si="5"/>
        <v>KEEP</v>
      </c>
      <c r="Y23" s="115" t="str">
        <f t="shared" si="6"/>
        <v>echo {"issue":{"subject":"","project_id":79,"tracker_id":40,"status_id":1,"priority_id":2,"assigned_to_id":23,"start_date":"2017-01-19","description":"","custom_fields":[{"id":1,"name":"Subdivision","value":"EC"},{"id":4,"name":"Milepost","value":"0.0001"},{"id":17,"name":"Train ID","value":"196-19"},{"id":16,"name":"Locomotive ID","value":"4032"},{"id":130,"name":"Impact","value":""},{"id":150,"name":"Time of Event (Mountain Time)","value":"17:06:21"},{"id":151,"name":"Denver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0"/>
      <c r="AA23" s="50"/>
      <c r="AB23" s="50"/>
      <c r="AC23" s="134" t="str">
        <f t="shared" si="7"/>
        <v>grep -hSE -A400 "Enforcement Action" "%USERPROFILE%\AppData\Local\Temp\OnboardLogs"\RTDC4032\*4032*201701200*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"%USERPROFILE%\AppData\Local\Temp\OnboardLogs"\RTDC4032\*4032*201701200* &gt;&gt; 2017-01-19-SliceDisagreementCheck.txt</v>
      </c>
      <c r="AE23" s="180" t="str">
        <f t="shared" si="9"/>
        <v>start /low /b %USERPROFILE%\Documents\GitHub\eaglep3\Utilities\DownloadLogsFromS3.py --loco 4032 --day 2017-01-20</v>
      </c>
      <c r="AF23" s="1"/>
    </row>
    <row r="24" spans="1:32" x14ac:dyDescent="0.25">
      <c r="A24" s="33">
        <v>42754.733900462961</v>
      </c>
      <c r="B24" s="31" t="s">
        <v>313</v>
      </c>
      <c r="C24" s="31" t="s">
        <v>500</v>
      </c>
      <c r="D24" s="31" t="s">
        <v>49</v>
      </c>
      <c r="E24" s="31" t="s">
        <v>191</v>
      </c>
      <c r="F24" s="44">
        <v>0</v>
      </c>
      <c r="G24" s="44">
        <v>51</v>
      </c>
      <c r="H24" s="44">
        <v>161</v>
      </c>
      <c r="I24" s="44">
        <v>112</v>
      </c>
      <c r="J24" s="31" t="s">
        <v>192</v>
      </c>
      <c r="K24" s="44">
        <v>1</v>
      </c>
      <c r="L24" s="150" t="s">
        <v>51</v>
      </c>
      <c r="M24" s="151">
        <f t="shared" si="0"/>
        <v>58.607999999999997</v>
      </c>
      <c r="N24" s="152" t="str">
        <f>VLOOKUP(C24,'Trips&amp;Operators'!$C$1:$G$99999,5,FALSE)</f>
        <v>BRANDNER MELINDA</v>
      </c>
      <c r="O24" s="176" t="s">
        <v>188</v>
      </c>
      <c r="P24" s="153"/>
      <c r="Q24" s="31"/>
      <c r="R24" s="96" t="str">
        <f>VLOOKUP(C24,'Train Runs'!$A$13:$AE$10000,31,0)</f>
        <v>aws s3 cp s3://rtdc.mdm.uploadarchive.raw/RTDC4019/ "%USERPROFILE%\AppData\Local\Temp\OnboardLogs"\RTDC4019\2017-01-19 --exclude "*" --recursive --include "*20170119*" &amp; "%USERPROFILE%\Documents\GitHub\mrs-test-scripts\Headless Mode &amp; Sideloading\WalkAndUnGZ.bat" "%USERPROFILE%\AppData\Local\Temp\OnboardLogs"\RTDC4019\2017-01-19 &amp; aws s3 cp s3://rtdc.mdm.uploadarchive.raw/RTDC4019/ "%USERPROFILE%\AppData\Local\Temp\OnboardLogs"\RTDC4019\2017-01-20 --exclude "*" --recursive --include "*20170120*" &amp; "%USERPROFILE%\Documents\GitHub\mrs-test-scripts\Headless Mode &amp; Sideloading\WalkAndUnGZ.bat" "%USERPROFILE%\AppData\Local\Temp\OnboardLogs"\RTDC4019\2017-01-20</v>
      </c>
      <c r="S24" s="99" t="str">
        <f>VLOOKUP(C24,'Train Runs'!$A$13:$AE$10000,22,0)</f>
        <v>https://d0f6bd738d7f1b3e5a7ca70fe4ff75f0.us-east-1.aws.found.io/app/kibana#/discover/Steve-Slow-Train-Analysis-(2080s-and-2083s)?_g=(refreshInterval:(display:Off,pause:!f,section:0,value:0),time:(from:'2017-01-19T15:51:18-0700',mode:absolute,to:'2017-01-19T18:36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4" s="101" t="str">
        <f t="shared" si="1"/>
        <v>"C:\Program Files (x86)\AstroGrep\AstroGrep.exe" /spath="%USERPROFILE%\AppData\Local\Temp\OnboardLogs" /stypes="*4019*201701200*" /stext=" 00:.+((SYSTEM_STATE.+slice.+state.+changed )|(ment ac)|(multiple cpu faults)|(system.+state.+changed )|(\[timeout)|(PRM\|1\|D)|(kpr)|(kdp)|(\|lc)|(penalty))" /e /r /s</v>
      </c>
      <c r="U24" s="9" t="str">
        <f t="shared" si="2"/>
        <v>4019</v>
      </c>
      <c r="V24" s="33">
        <f t="shared" si="3"/>
        <v>42755.025567129625</v>
      </c>
      <c r="W24" s="47" t="str">
        <f t="shared" si="4"/>
        <v>EC</v>
      </c>
      <c r="X24" s="47" t="str">
        <f t="shared" si="5"/>
        <v>KEEP</v>
      </c>
      <c r="Y24" s="115" t="str">
        <f t="shared" si="6"/>
        <v>echo {"issue":{"subject":"","project_id":79,"tracker_id":40,"status_id":1,"priority_id":2,"assigned_to_id":23,"start_date":"2017-01-19","description":"","custom_fields":[{"id":1,"name":"Subdivision","value":"EC"},{"id":4,"name":"Milepost","value":"0.0001"},{"id":17,"name":"Train ID","value":"200-19"},{"id":16,"name":"Locomotive ID","value":"4019"},{"id":130,"name":"Impact","value":""},{"id":150,"name":"Time of Event (Mountain Time)","value":"17:36:49"},{"id":151,"name":"Denver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0"/>
      <c r="AA24" s="50"/>
      <c r="AB24" s="50"/>
      <c r="AC24" s="134" t="str">
        <f t="shared" si="7"/>
        <v>grep -hSE -A400 "Enforcement Action" "%USERPROFILE%\AppData\Local\Temp\OnboardLogs"\RTDC4019\*4019*201701200*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"%USERPROFILE%\AppData\Local\Temp\OnboardLogs"\RTDC4019\*4019*201701200* &gt;&gt; 2017-01-19-SliceDisagreementCheck.txt</v>
      </c>
      <c r="AE24" s="180" t="str">
        <f t="shared" si="9"/>
        <v>start /low /b %USERPROFILE%\Documents\GitHub\eaglep3\Utilities\DownloadLogsFromS3.py --loco 4019 --day 2017-01-20</v>
      </c>
      <c r="AF24" s="1"/>
    </row>
    <row r="25" spans="1:32" x14ac:dyDescent="0.25">
      <c r="A25" s="33">
        <v>42754.879745370374</v>
      </c>
      <c r="B25" s="31" t="s">
        <v>313</v>
      </c>
      <c r="C25" s="31" t="s">
        <v>503</v>
      </c>
      <c r="D25" s="31" t="s">
        <v>49</v>
      </c>
      <c r="E25" s="31" t="s">
        <v>191</v>
      </c>
      <c r="F25" s="44">
        <v>0</v>
      </c>
      <c r="G25" s="44">
        <v>73</v>
      </c>
      <c r="H25" s="44">
        <v>258</v>
      </c>
      <c r="I25" s="44">
        <v>178</v>
      </c>
      <c r="J25" s="31" t="s">
        <v>192</v>
      </c>
      <c r="K25" s="44">
        <v>1</v>
      </c>
      <c r="L25" s="150" t="s">
        <v>51</v>
      </c>
      <c r="M25" s="151">
        <f t="shared" si="0"/>
        <v>93.456000000000003</v>
      </c>
      <c r="N25" s="152" t="str">
        <f>VLOOKUP(C25,'Trips&amp;Operators'!$C$1:$G$99999,5,FALSE)</f>
        <v>NEWELL JAMES</v>
      </c>
      <c r="O25" s="176" t="s">
        <v>188</v>
      </c>
      <c r="P25" s="153"/>
      <c r="Q25" s="31"/>
      <c r="R25" s="96" t="str">
        <f>VLOOKUP(C25,'Train Runs'!$A$13:$AE$10000,31,0)</f>
        <v>aws s3 cp s3://rtdc.mdm.uploadarchive.raw/RTDC4019/ "%USERPROFILE%\AppData\Local\Temp\OnboardLogs"\RTDC4019\2017-01-19 --exclude "*" --recursive --include "*20170119*" &amp; "%USERPROFILE%\Documents\GitHub\mrs-test-scripts\Headless Mode &amp; Sideloading\WalkAndUnGZ.bat" "%USERPROFILE%\AppData\Local\Temp\OnboardLogs"\RTDC4019\2017-01-19 &amp; aws s3 cp s3://rtdc.mdm.uploadarchive.raw/RTDC4019/ "%USERPROFILE%\AppData\Local\Temp\OnboardLogs"\RTDC4019\2017-01-20 --exclude "*" --recursive --include "*20170120*" &amp; "%USERPROFILE%\Documents\GitHub\mrs-test-scripts\Headless Mode &amp; Sideloading\WalkAndUnGZ.bat" "%USERPROFILE%\AppData\Local\Temp\OnboardLogs"\RTDC4019\2017-01-20</v>
      </c>
      <c r="S25" s="99" t="str">
        <f>VLOOKUP(C25,'Train Runs'!$A$13:$AE$10000,22,0)</f>
        <v>https://d0f6bd738d7f1b3e5a7ca70fe4ff75f0.us-east-1.aws.found.io/app/kibana#/discover/Steve-Slow-Train-Analysis-(2080s-and-2083s)?_g=(refreshInterval:(display:Off,pause:!f,section:0,value:0),time:(from:'2017-01-19T19:19:07-0700',mode:absolute,to:'2017-01-19T22:06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5" s="101" t="str">
        <f t="shared" si="1"/>
        <v>"C:\Program Files (x86)\AstroGrep\AstroGrep.exe" /spath="%USERPROFILE%\AppData\Local\Temp\OnboardLogs" /stypes="*4019*201701200*" /stext=" 04:.+((SYSTEM_STATE.+slice.+state.+changed )|(ment ac)|(multiple cpu faults)|(system.+state.+changed )|(\[timeout)|(PRM\|1\|D)|(kpr)|(kdp)|(\|lc)|(penalty))" /e /r /s</v>
      </c>
      <c r="U25" s="9" t="str">
        <f t="shared" si="2"/>
        <v>4019</v>
      </c>
      <c r="V25" s="33">
        <f t="shared" si="3"/>
        <v>42755.171412037038</v>
      </c>
      <c r="W25" s="47" t="str">
        <f t="shared" si="4"/>
        <v>EC</v>
      </c>
      <c r="X25" s="47" t="str">
        <f t="shared" si="5"/>
        <v>KEEP</v>
      </c>
      <c r="Y25" s="115" t="str">
        <f t="shared" si="6"/>
        <v>echo {"issue":{"subject":"","project_id":79,"tracker_id":40,"status_id":1,"priority_id":2,"assigned_to_id":23,"start_date":"2017-01-19","description":"","custom_fields":[{"id":1,"name":"Subdivision","value":"EC"},{"id":4,"name":"Milepost","value":"0.0001"},{"id":17,"name":"Train ID","value":"224-19"},{"id":16,"name":"Locomotive ID","value":"4019"},{"id":130,"name":"Impact","value":""},{"id":150,"name":"Time of Event (Mountain Time)","value":"21:06:50"},{"id":151,"name":"Denver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0"/>
      <c r="AA25" s="50"/>
      <c r="AB25" s="50"/>
      <c r="AC25" s="134" t="str">
        <f t="shared" si="7"/>
        <v>grep -hSE -A400 "Enforcement Action" "%USERPROFILE%\AppData\Local\Temp\OnboardLogs"\RTDC4019\*4019*201701200*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"%USERPROFILE%\AppData\Local\Temp\OnboardLogs"\RTDC4019\*4019*201701200* &gt;&gt; 2017-01-19-SliceDisagreementCheck.txt</v>
      </c>
      <c r="AE25" s="180" t="str">
        <f t="shared" si="9"/>
        <v>start /low /b %USERPROFILE%\Documents\GitHub\eaglep3\Utilities\DownloadLogsFromS3.py --loco 4019 --day 2017-01-20</v>
      </c>
      <c r="AF25" s="1"/>
    </row>
    <row r="26" spans="1:32" x14ac:dyDescent="0.25">
      <c r="A26" s="33">
        <v>42754.504004629627</v>
      </c>
      <c r="B26" s="31" t="s">
        <v>488</v>
      </c>
      <c r="C26" s="31" t="s">
        <v>489</v>
      </c>
      <c r="D26" s="31" t="s">
        <v>49</v>
      </c>
      <c r="E26" s="31" t="s">
        <v>191</v>
      </c>
      <c r="F26" s="44">
        <v>0</v>
      </c>
      <c r="G26" s="44">
        <v>36</v>
      </c>
      <c r="H26" s="44">
        <v>233303</v>
      </c>
      <c r="I26" s="44">
        <v>233326</v>
      </c>
      <c r="J26" s="31" t="s">
        <v>192</v>
      </c>
      <c r="K26" s="44">
        <v>233491</v>
      </c>
      <c r="L26" s="150" t="s">
        <v>50</v>
      </c>
      <c r="M26" s="151">
        <f t="shared" si="0"/>
        <v>87.12</v>
      </c>
      <c r="N26" s="152" t="str">
        <f>VLOOKUP(C26,'Trips&amp;Operators'!$C$1:$G$99999,5,FALSE)</f>
        <v>BRUDER RICHARD</v>
      </c>
      <c r="O26" s="176" t="s">
        <v>188</v>
      </c>
      <c r="P26" s="153"/>
      <c r="Q26" s="31"/>
      <c r="R26" s="96" t="str">
        <f>VLOOKUP(C26,'Train Runs'!$A$13:$AE$10000,31,0)</f>
        <v>aws s3 cp s3://rtdc.mdm.uploadarchive.raw/RTDC4042/ "%USERPROFILE%\AppData\Local\Temp\OnboardLogs"\RTDC4042\2017-01-19 --exclude "*" --recursive --include "*20170119*" &amp; "%USERPROFILE%\Documents\GitHub\mrs-test-scripts\Headless Mode &amp; Sideloading\WalkAndUnGZ.bat" "%USERPROFILE%\AppData\Local\Temp\OnboardLogs"\RTDC4042\2017-01-19 &amp; aws s3 cp s3://rtdc.mdm.uploadarchive.raw/RTDC4042/ "%USERPROFILE%\AppData\Local\Temp\OnboardLogs"\RTDC4042\2017-01-20 --exclude "*" --recursive --include "*20170120*" &amp; "%USERPROFILE%\Documents\GitHub\mrs-test-scripts\Headless Mode &amp; Sideloading\WalkAndUnGZ.bat" "%USERPROFILE%\AppData\Local\Temp\OnboardLogs"\RTDC4042\2017-01-20</v>
      </c>
      <c r="S26" s="99" t="str">
        <f>VLOOKUP(C26,'Train Runs'!$A$13:$AE$10000,22,0)</f>
        <v>https://d0f6bd738d7f1b3e5a7ca70fe4ff75f0.us-east-1.aws.found.io/app/kibana#/discover/Steve-Slow-Train-Analysis-(2080s-and-2083s)?_g=(refreshInterval:(display:Off,pause:!f,section:0,value:0),time:(from:'2017-01-19T10:26:11-0700',mode:absolute,to:'2017-01-19T13:05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6" s="101" t="str">
        <f t="shared" si="1"/>
        <v>"C:\Program Files (x86)\AstroGrep\AstroGrep.exe" /spath="%USERPROFILE%\AppData\Local\Temp\OnboardLogs" /stypes="*4042*201701191*" /stext=" 19:.+((SYSTEM_STATE.+slice.+state.+changed )|(ment ac)|(multiple cpu faults)|(system.+state.+changed )|(\[timeout)|(PRM\|1\|D)|(kpr)|(kdp)|(\|lc)|(penalty))" /e /r /s</v>
      </c>
      <c r="U26" s="9" t="str">
        <f t="shared" si="2"/>
        <v>4042</v>
      </c>
      <c r="V26" s="33">
        <f t="shared" si="3"/>
        <v>42754.795671296291</v>
      </c>
      <c r="W26" s="47" t="str">
        <f t="shared" si="4"/>
        <v>EC</v>
      </c>
      <c r="X26" s="47" t="str">
        <f t="shared" si="5"/>
        <v>KEEP</v>
      </c>
      <c r="Y26" s="115" t="str">
        <f t="shared" si="6"/>
        <v>echo {"issue":{"subject":"","project_id":79,"tracker_id":40,"status_id":1,"priority_id":2,"assigned_to_id":23,"start_date":"2017-01-19","description":"","custom_fields":[{"id":1,"name":"Subdivision","value":"EC"},{"id":4,"name":"Milepost","value":"23.3491"},{"id":17,"name":"Train ID","value":"163-19"},{"id":16,"name":"Locomotive ID","value":"4042"},{"id":130,"name":"Impact","value":""},{"id":150,"name":"Time of Event (Mountain Time)","value":"12:05:46"},{"id":151,"name":"Denver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0"/>
      <c r="AA26" s="50"/>
      <c r="AB26" s="50"/>
      <c r="AC26" s="134" t="str">
        <f t="shared" si="7"/>
        <v>grep -hSE -A400 "Enforcement Action" "%USERPROFILE%\AppData\Local\Temp\OnboardLogs"\RTDC4042\*4042*201701191*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"%USERPROFILE%\AppData\Local\Temp\OnboardLogs"\RTDC4042\*4042*201701191* &gt;&gt; 2017-01-19-SliceDisagreementCheck.txt</v>
      </c>
      <c r="AE26" s="180" t="str">
        <f t="shared" si="9"/>
        <v>start /low /b %USERPROFILE%\Documents\GitHub\eaglep3\Utilities\DownloadLogsFromS3.py --loco 4042 --day 2017-01-19</v>
      </c>
      <c r="AF26" s="1"/>
    </row>
    <row r="27" spans="1:32" x14ac:dyDescent="0.25">
      <c r="A27" s="33">
        <v>42754.682291666664</v>
      </c>
      <c r="B27" s="31" t="s">
        <v>203</v>
      </c>
      <c r="C27" s="31" t="s">
        <v>495</v>
      </c>
      <c r="D27" s="31" t="s">
        <v>98</v>
      </c>
      <c r="E27" s="31" t="s">
        <v>189</v>
      </c>
      <c r="F27" s="44">
        <v>200</v>
      </c>
      <c r="G27" s="44">
        <v>253</v>
      </c>
      <c r="H27" s="44">
        <v>9338</v>
      </c>
      <c r="I27" s="44">
        <v>8854</v>
      </c>
      <c r="J27" s="31" t="s">
        <v>190</v>
      </c>
      <c r="K27" s="44">
        <v>9680</v>
      </c>
      <c r="L27" s="150" t="s">
        <v>51</v>
      </c>
      <c r="M27" s="151">
        <f t="shared" si="0"/>
        <v>-436.12799999999999</v>
      </c>
      <c r="N27" s="152" t="str">
        <f>VLOOKUP(C27,'Trips&amp;Operators'!$C$1:$G$99999,5,FALSE)</f>
        <v>STORY SAMANTHA</v>
      </c>
      <c r="O27" s="176" t="s">
        <v>188</v>
      </c>
      <c r="P27" s="153" t="s">
        <v>895</v>
      </c>
      <c r="Q27" s="31"/>
      <c r="R27" s="96" t="str">
        <f>VLOOKUP(C27,'Train Runs'!$A$13:$AE$10000,31,0)</f>
        <v>aws s3 cp s3://rtdc.mdm.uploadarchive.raw/RTDC4037/ "%USERPROFILE%\AppData\Local\Temp\OnboardLogs"\RTDC4037\2017-01-19 --exclude "*" --recursive --include "*20170119*" &amp; "%USERPROFILE%\Documents\GitHub\mrs-test-scripts\Headless Mode &amp; Sideloading\WalkAndUnGZ.bat" "%USERPROFILE%\AppData\Local\Temp\OnboardLogs"\RTDC4037\2017-01-19 &amp; aws s3 cp s3://rtdc.mdm.uploadarchive.raw/RTDC4037/ "%USERPROFILE%\AppData\Local\Temp\OnboardLogs"\RTDC4037\2017-01-20 --exclude "*" --recursive --include "*20170120*" &amp; "%USERPROFILE%\Documents\GitHub\mrs-test-scripts\Headless Mode &amp; Sideloading\WalkAndUnGZ.bat" "%USERPROFILE%\AppData\Local\Temp\OnboardLogs"\RTDC4037\2017-01-20</v>
      </c>
      <c r="S27" s="99" t="str">
        <f>VLOOKUP(C27,'Train Runs'!$A$13:$AE$10000,22,0)</f>
        <v>https://d0f6bd738d7f1b3e5a7ca70fe4ff75f0.us-east-1.aws.found.io/app/kibana#/discover/Steve-Slow-Train-Analysis-(2080s-and-2083s)?_g=(refreshInterval:(display:Off,pause:!f,section:0,value:0),time:(from:'2017-01-19T15:08:28-0700',mode:absolute,to:'2017-01-19T17:26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T27" s="101" t="str">
        <f t="shared" si="1"/>
        <v>"C:\Program Files (x86)\AstroGrep\AstroGrep.exe" /spath="%USERPROFILE%\AppData\Local\Temp\OnboardLogs" /stypes="*4037*201701192*" /stext=" 23:.+((SYSTEM_STATE.+slice.+state.+changed )|(ment ac)|(multiple cpu faults)|(system.+state.+changed )|(\[timeout)|(PRM\|1\|D)|(kpr)|(kdp)|(\|lc)|(penalty))" /e /r /s</v>
      </c>
      <c r="U27" s="9" t="str">
        <f t="shared" si="2"/>
        <v>4037</v>
      </c>
      <c r="V27" s="33">
        <f t="shared" si="3"/>
        <v>42754.973958333328</v>
      </c>
      <c r="W27" s="47" t="str">
        <f t="shared" si="4"/>
        <v>NW</v>
      </c>
      <c r="X27" s="47" t="str">
        <f t="shared" si="5"/>
        <v>KEEP</v>
      </c>
      <c r="Y27" s="115" t="str">
        <f t="shared" si="6"/>
        <v>echo {"issue":{"subject":"RESTRICTED aspect","project_id":79,"tracker_id":40,"status_id":1,"priority_id":2,"assigned_to_id":23,"start_date":"2017-01-19","description":"","custom_fields":[{"id":1,"name":"Subdivision","value":"NW"},{"id":4,"name":"Milepost","value":"0.968"},{"id":17,"name":"Train ID","value":"828-19"},{"id":16,"name":"Locomotive ID","value":"4037"},{"id":130,"name":"Impact","value":""},{"id":150,"name":"Time of Event (Mountain Time)","value":"16:22:30"},{"id":151,"name":"Denver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0"/>
      <c r="AA27" s="50"/>
      <c r="AB27" s="50"/>
      <c r="AC27" s="134" t="str">
        <f t="shared" si="7"/>
        <v>grep -hSE -A400 "Enforcement Action" "%USERPROFILE%\AppData\Local\Temp\OnboardLogs"\RTDC4037\*4037*201701192*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"%USERPROFILE%\AppData\Local\Temp\OnboardLogs"\RTDC4037\*4037*201701192* &gt;&gt; 2017-01-19-SliceDisagreementCheck.txt</v>
      </c>
      <c r="AE27" s="180" t="str">
        <f t="shared" si="9"/>
        <v>start /low /b %USERPROFILE%\Documents\GitHub\eaglep3\Utilities\DownloadLogsFromS3.py --loco 4037 --day 2017-01-19</v>
      </c>
      <c r="AF27" s="1"/>
    </row>
    <row r="28" spans="1:32" x14ac:dyDescent="0.25">
      <c r="A28" s="33">
        <v>42754.727094907408</v>
      </c>
      <c r="B28" s="31" t="s">
        <v>203</v>
      </c>
      <c r="C28" s="31" t="s">
        <v>499</v>
      </c>
      <c r="D28" s="31" t="s">
        <v>49</v>
      </c>
      <c r="E28" s="31" t="s">
        <v>191</v>
      </c>
      <c r="F28" s="44">
        <v>0</v>
      </c>
      <c r="G28" s="44">
        <v>51</v>
      </c>
      <c r="H28" s="44">
        <v>727</v>
      </c>
      <c r="I28" s="44">
        <v>682</v>
      </c>
      <c r="J28" s="31" t="s">
        <v>192</v>
      </c>
      <c r="K28" s="44">
        <v>575</v>
      </c>
      <c r="L28" s="150" t="s">
        <v>51</v>
      </c>
      <c r="M28" s="151">
        <f t="shared" si="0"/>
        <v>56.496000000000002</v>
      </c>
      <c r="N28" s="152" t="str">
        <f>VLOOKUP(C28,'Trips&amp;Operators'!$C$1:$G$99999,5,FALSE)</f>
        <v>STORY SAMANTHA</v>
      </c>
      <c r="O28" s="176" t="s">
        <v>188</v>
      </c>
      <c r="P28" s="153"/>
      <c r="Q28" s="31"/>
      <c r="R28" s="96" t="str">
        <f>VLOOKUP(C28,'Train Runs'!$A$13:$AE$10000,31,0)</f>
        <v>aws s3 cp s3://rtdc.mdm.uploadarchive.raw/RTDC4037/ "%USERPROFILE%\AppData\Local\Temp\OnboardLogs"\RTDC4037\2017-01-19 --exclude "*" --recursive --include "*20170119*" &amp; "%USERPROFILE%\Documents\GitHub\mrs-test-scripts\Headless Mode &amp; Sideloading\WalkAndUnGZ.bat" "%USERPROFILE%\AppData\Local\Temp\OnboardLogs"\RTDC4037\2017-01-19 &amp; aws s3 cp s3://rtdc.mdm.uploadarchive.raw/RTDC4037/ "%USERPROFILE%\AppData\Local\Temp\OnboardLogs"\RTDC4037\2017-01-20 --exclude "*" --recursive --include "*20170120*" &amp; "%USERPROFILE%\Documents\GitHub\mrs-test-scripts\Headless Mode &amp; Sideloading\WalkAndUnGZ.bat" "%USERPROFILE%\AppData\Local\Temp\OnboardLogs"\RTDC4037\2017-01-20</v>
      </c>
      <c r="S28" s="99" t="str">
        <f>VLOOKUP(C28,'Train Runs'!$A$13:$AE$10000,22,0)</f>
        <v>https://d0f6bd738d7f1b3e5a7ca70fe4ff75f0.us-east-1.aws.found.io/app/kibana#/discover/Steve-Slow-Train-Analysis-(2080s-and-2083s)?_g=(refreshInterval:(display:Off,pause:!f,section:0,value:0),time:(from:'2017-01-19T16:09:19-0700',mode:absolute,to:'2017-01-19T18:27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T28" s="101" t="str">
        <f t="shared" si="1"/>
        <v>"C:\Program Files (x86)\AstroGrep\AstroGrep.exe" /spath="%USERPROFILE%\AppData\Local\Temp\OnboardLogs" /stypes="*4037*201701200*" /stext=" 00:.+((SYSTEM_STATE.+slice.+state.+changed )|(ment ac)|(multiple cpu faults)|(system.+state.+changed )|(\[timeout)|(PRM\|1\|D)|(kpr)|(kdp)|(\|lc)|(penalty))" /e /r /s</v>
      </c>
      <c r="U28" s="9" t="str">
        <f t="shared" si="2"/>
        <v>4037</v>
      </c>
      <c r="V28" s="33">
        <f t="shared" si="3"/>
        <v>42755.018761574072</v>
      </c>
      <c r="W28" s="47" t="str">
        <f t="shared" si="4"/>
        <v>NW</v>
      </c>
      <c r="X28" s="47" t="str">
        <f t="shared" si="5"/>
        <v>KEEP</v>
      </c>
      <c r="Y28" s="115" t="str">
        <f t="shared" si="6"/>
        <v>echo {"issue":{"subject":"","project_id":79,"tracker_id":40,"status_id":1,"priority_id":2,"assigned_to_id":23,"start_date":"2017-01-19","description":"","custom_fields":[{"id":1,"name":"Subdivision","value":"NW"},{"id":4,"name":"Milepost","value":"0.0575"},{"id":17,"name":"Train ID","value":"832-19"},{"id":16,"name":"Locomotive ID","value":"4037"},{"id":130,"name":"Impact","value":""},{"id":150,"name":"Time of Event (Mountain Time)","value":"17:27:01"},{"id":151,"name":"Denver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0"/>
      <c r="AA28" s="50"/>
      <c r="AB28" s="50"/>
      <c r="AC28" s="134" t="str">
        <f t="shared" si="7"/>
        <v>grep -hSE -A400 "Enforcement Action" "%USERPROFILE%\AppData\Local\Temp\OnboardLogs"\RTDC4037\*4037*201701200*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"%USERPROFILE%\AppData\Local\Temp\OnboardLogs"\RTDC4037\*4037*201701200* &gt;&gt; 2017-01-19-SliceDisagreementCheck.txt</v>
      </c>
      <c r="AE28" s="180" t="str">
        <f t="shared" si="9"/>
        <v>start /low /b %USERPROFILE%\Documents\GitHub\eaglep3\Utilities\DownloadLogsFromS3.py --loco 4037 --day 2017-01-20</v>
      </c>
      <c r="AF28" s="1"/>
    </row>
    <row r="29" spans="1:32" x14ac:dyDescent="0.25">
      <c r="A29" s="33">
        <v>42754.770671296297</v>
      </c>
      <c r="B29" s="31" t="s">
        <v>203</v>
      </c>
      <c r="C29" s="31" t="s">
        <v>501</v>
      </c>
      <c r="D29" s="31" t="s">
        <v>49</v>
      </c>
      <c r="E29" s="31" t="s">
        <v>191</v>
      </c>
      <c r="F29" s="44">
        <v>0</v>
      </c>
      <c r="G29" s="44">
        <v>20</v>
      </c>
      <c r="H29" s="44">
        <v>607</v>
      </c>
      <c r="I29" s="44">
        <v>598</v>
      </c>
      <c r="J29" s="31" t="s">
        <v>192</v>
      </c>
      <c r="K29" s="44">
        <v>575</v>
      </c>
      <c r="L29" s="150" t="s">
        <v>51</v>
      </c>
      <c r="M29" s="151">
        <f t="shared" si="0"/>
        <v>12.144</v>
      </c>
      <c r="N29" s="152" t="str">
        <f>VLOOKUP(C29,'Trips&amp;Operators'!$C$1:$G$99999,5,FALSE)</f>
        <v>STORY SAMANTHA</v>
      </c>
      <c r="O29" s="176" t="s">
        <v>188</v>
      </c>
      <c r="P29" s="153"/>
      <c r="Q29" s="31"/>
      <c r="R29" s="96" t="str">
        <f>VLOOKUP(C29,'Train Runs'!$A$13:$AE$10000,31,0)</f>
        <v>aws s3 cp s3://rtdc.mdm.uploadarchive.raw/RTDC4037/ "%USERPROFILE%\AppData\Local\Temp\OnboardLogs"\RTDC4037\2017-01-19 --exclude "*" --recursive --include "*20170119*" &amp; "%USERPROFILE%\Documents\GitHub\mrs-test-scripts\Headless Mode &amp; Sideloading\WalkAndUnGZ.bat" "%USERPROFILE%\AppData\Local\Temp\OnboardLogs"\RTDC4037\2017-01-19 &amp; aws s3 cp s3://rtdc.mdm.uploadarchive.raw/RTDC4037/ "%USERPROFILE%\AppData\Local\Temp\OnboardLogs"\RTDC4037\2017-01-20 --exclude "*" --recursive --include "*20170120*" &amp; "%USERPROFILE%\Documents\GitHub\mrs-test-scripts\Headless Mode &amp; Sideloading\WalkAndUnGZ.bat" "%USERPROFILE%\AppData\Local\Temp\OnboardLogs"\RTDC4037\2017-01-20</v>
      </c>
      <c r="S29" s="99" t="str">
        <f>VLOOKUP(C29,'Train Runs'!$A$13:$AE$10000,22,0)</f>
        <v>https://d0f6bd738d7f1b3e5a7ca70fe4ff75f0.us-east-1.aws.found.io/app/kibana#/discover/Steve-Slow-Train-Analysis-(2080s-and-2083s)?_g=(refreshInterval:(display:Off,pause:!f,section:0,value:0),time:(from:'2017-01-19T17:08:25-0700',mode:absolute,to:'2017-01-19T19:29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T29" s="101" t="str">
        <f t="shared" si="1"/>
        <v>"C:\Program Files (x86)\AstroGrep\AstroGrep.exe" /spath="%USERPROFILE%\AppData\Local\Temp\OnboardLogs" /stypes="*4037*201701200*" /stext=" 01:.+((SYSTEM_STATE.+slice.+state.+changed )|(ment ac)|(multiple cpu faults)|(system.+state.+changed )|(\[timeout)|(PRM\|1\|D)|(kpr)|(kdp)|(\|lc)|(penalty))" /e /r /s</v>
      </c>
      <c r="U29" s="9" t="str">
        <f t="shared" si="2"/>
        <v>4037</v>
      </c>
      <c r="V29" s="33">
        <f t="shared" si="3"/>
        <v>42755.062337962961</v>
      </c>
      <c r="W29" s="47" t="str">
        <f t="shared" si="4"/>
        <v>NW</v>
      </c>
      <c r="X29" s="47" t="str">
        <f t="shared" si="5"/>
        <v>KEEP</v>
      </c>
      <c r="Y29" s="115" t="str">
        <f t="shared" si="6"/>
        <v>echo {"issue":{"subject":"","project_id":79,"tracker_id":40,"status_id":1,"priority_id":2,"assigned_to_id":23,"start_date":"2017-01-19","description":"","custom_fields":[{"id":1,"name":"Subdivision","value":"NW"},{"id":4,"name":"Milepost","value":"0.0575"},{"id":17,"name":"Train ID","value":"836-19"},{"id":16,"name":"Locomotive ID","value":"4037"},{"id":130,"name":"Impact","value":""},{"id":150,"name":"Time of Event (Mountain Time)","value":"18:29:46"},{"id":151,"name":"Denver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0"/>
      <c r="AA29" s="50"/>
      <c r="AB29" s="50"/>
      <c r="AC29" s="134" t="str">
        <f t="shared" si="7"/>
        <v>grep -hSE -A400 "Enforcement Action" "%USERPROFILE%\AppData\Local\Temp\OnboardLogs"\RTDC4037\*4037*201701200*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"%USERPROFILE%\AppData\Local\Temp\OnboardLogs"\RTDC4037\*4037*201701200* &gt;&gt; 2017-01-19-SliceDisagreementCheck.txt</v>
      </c>
      <c r="AE29" s="180" t="str">
        <f t="shared" si="9"/>
        <v>start /low /b %USERPROFILE%\Documents\GitHub\eaglep3\Utilities\DownloadLogsFromS3.py --loco 4037 --day 2017-01-20</v>
      </c>
      <c r="AF29" s="1"/>
    </row>
    <row r="30" spans="1:32" x14ac:dyDescent="0.25">
      <c r="A30" s="33">
        <v>42754.670567129629</v>
      </c>
      <c r="B30" s="31" t="s">
        <v>202</v>
      </c>
      <c r="C30" s="31" t="s">
        <v>494</v>
      </c>
      <c r="D30" s="31" t="s">
        <v>49</v>
      </c>
      <c r="E30" s="31" t="s">
        <v>191</v>
      </c>
      <c r="F30" s="44">
        <v>0</v>
      </c>
      <c r="G30" s="44">
        <v>148</v>
      </c>
      <c r="H30" s="44">
        <v>57925</v>
      </c>
      <c r="I30" s="44">
        <v>58099</v>
      </c>
      <c r="J30" s="31" t="s">
        <v>192</v>
      </c>
      <c r="K30" s="44">
        <v>59048</v>
      </c>
      <c r="L30" s="150" t="s">
        <v>50</v>
      </c>
      <c r="M30" s="151">
        <f t="shared" si="0"/>
        <v>501.072</v>
      </c>
      <c r="N30" s="152" t="str">
        <f>VLOOKUP(C30,'Trips&amp;Operators'!$C$1:$G$99999,5,FALSE)</f>
        <v>STORY SAMANTHA</v>
      </c>
      <c r="O30" s="176" t="s">
        <v>188</v>
      </c>
      <c r="P30" s="153"/>
      <c r="Q30" s="31"/>
      <c r="R30" s="96" t="str">
        <f>VLOOKUP(C30,'Train Runs'!$A$13:$AE$10000,31,0)</f>
        <v>aws s3 cp s3://rtdc.mdm.uploadarchive.raw/RTDC4038/ "%USERPROFILE%\AppData\Local\Temp\OnboardLogs"\RTDC4038\2017-01-19 --exclude "*" --recursive --include "*20170119*" &amp; "%USERPROFILE%\Documents\GitHub\mrs-test-scripts\Headless Mode &amp; Sideloading\WalkAndUnGZ.bat" "%USERPROFILE%\AppData\Local\Temp\OnboardLogs"\RTDC4038\2017-01-19 &amp; aws s3 cp s3://rtdc.mdm.uploadarchive.raw/RTDC4038/ "%USERPROFILE%\AppData\Local\Temp\OnboardLogs"\RTDC4038\2017-01-20 --exclude "*" --recursive --include "*20170120*" &amp; "%USERPROFILE%\Documents\GitHub\mrs-test-scripts\Headless Mode &amp; Sideloading\WalkAndUnGZ.bat" "%USERPROFILE%\AppData\Local\Temp\OnboardLogs"\RTDC4038\2017-01-20</v>
      </c>
      <c r="S30" s="99" t="str">
        <f>VLOOKUP(C30,'Train Runs'!$A$13:$AE$10000,22,0)</f>
        <v>https://d0f6bd738d7f1b3e5a7ca70fe4ff75f0.us-east-1.aws.found.io/app/kibana#/discover/Steve-Slow-Train-Analysis-(2080s-and-2083s)?_g=(refreshInterval:(display:Off,pause:!f,section:0,value:0),time:(from:'2017-01-19T14:44:45-0700',mode:absolute,to:'2017-01-19T17:07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T30" s="101" t="str">
        <f t="shared" si="1"/>
        <v>"C:\Program Files (x86)\AstroGrep\AstroGrep.exe" /spath="%USERPROFILE%\AppData\Local\Temp\OnboardLogs" /stypes="*4038*201701192*" /stext=" 23:.+((SYSTEM_STATE.+slice.+state.+changed )|(ment ac)|(multiple cpu faults)|(system.+state.+changed )|(\[timeout)|(PRM\|1\|D)|(kpr)|(kdp)|(\|lc)|(penalty))" /e /r /s</v>
      </c>
      <c r="U30" s="9" t="str">
        <f t="shared" si="2"/>
        <v>4038</v>
      </c>
      <c r="V30" s="33">
        <f t="shared" si="3"/>
        <v>42754.962233796294</v>
      </c>
      <c r="W30" s="47" t="str">
        <f t="shared" si="4"/>
        <v>NW</v>
      </c>
      <c r="X30" s="47" t="str">
        <f t="shared" si="5"/>
        <v>KEEP</v>
      </c>
      <c r="Y30" s="115" t="str">
        <f t="shared" si="6"/>
        <v>echo {"issue":{"subject":"","project_id":79,"tracker_id":40,"status_id":1,"priority_id":2,"assigned_to_id":23,"start_date":"2017-01-19","description":"","custom_fields":[{"id":1,"name":"Subdivision","value":"NW"},{"id":4,"name":"Milepost","value":"5.9048"},{"id":17,"name":"Train ID","value":"827-19"},{"id":16,"name":"Locomotive ID","value":"4038"},{"id":130,"name":"Impact","value":""},{"id":150,"name":"Time of Event (Mountain Time)","value":"16:05:37"},{"id":151,"name":"Denver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0"/>
      <c r="AA30" s="50"/>
      <c r="AB30" s="50"/>
      <c r="AC30" s="134" t="str">
        <f t="shared" si="7"/>
        <v>grep -hSE -A400 "Enforcement Action" "%USERPROFILE%\AppData\Local\Temp\OnboardLogs"\RTDC4038\*4038*201701192*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"%USERPROFILE%\AppData\Local\Temp\OnboardLogs"\RTDC4038\*4038*201701192* &gt;&gt; 2017-01-19-SliceDisagreementCheck.txt</v>
      </c>
      <c r="AE30" s="180" t="str">
        <f t="shared" si="9"/>
        <v>start /low /b %USERPROFILE%\Documents\GitHub\eaglep3\Utilities\DownloadLogsFromS3.py --loco 4038 --day 2017-01-19</v>
      </c>
      <c r="AF30" s="1"/>
    </row>
    <row r="31" spans="1:32" x14ac:dyDescent="0.25">
      <c r="A31" s="33">
        <v>42754.712581018517</v>
      </c>
      <c r="B31" s="31" t="s">
        <v>202</v>
      </c>
      <c r="C31" s="31" t="s">
        <v>496</v>
      </c>
      <c r="D31" s="31" t="s">
        <v>49</v>
      </c>
      <c r="E31" s="31" t="s">
        <v>191</v>
      </c>
      <c r="F31" s="44">
        <v>0</v>
      </c>
      <c r="G31" s="44">
        <v>142</v>
      </c>
      <c r="H31" s="44">
        <v>57867</v>
      </c>
      <c r="I31" s="44">
        <v>58018</v>
      </c>
      <c r="J31" s="31" t="s">
        <v>192</v>
      </c>
      <c r="K31" s="44">
        <v>59048</v>
      </c>
      <c r="L31" s="150" t="s">
        <v>50</v>
      </c>
      <c r="M31" s="151">
        <f t="shared" si="0"/>
        <v>543.84</v>
      </c>
      <c r="N31" s="152" t="str">
        <f>VLOOKUP(C31,'Trips&amp;Operators'!$C$1:$G$99999,5,FALSE)</f>
        <v>STORY SAMANTHA</v>
      </c>
      <c r="O31" s="176" t="s">
        <v>188</v>
      </c>
      <c r="P31" s="153"/>
      <c r="Q31" s="31"/>
      <c r="R31" s="96" t="str">
        <f>VLOOKUP(C31,'Train Runs'!$A$13:$AE$10000,31,0)</f>
        <v>aws s3 cp s3://rtdc.mdm.uploadarchive.raw/RTDC4038/ "%USERPROFILE%\AppData\Local\Temp\OnboardLogs"\RTDC4038\2017-01-19 --exclude "*" --recursive --include "*20170119*" &amp; "%USERPROFILE%\Documents\GitHub\mrs-test-scripts\Headless Mode &amp; Sideloading\WalkAndUnGZ.bat" "%USERPROFILE%\AppData\Local\Temp\OnboardLogs"\RTDC4038\2017-01-19 &amp; aws s3 cp s3://rtdc.mdm.uploadarchive.raw/RTDC4038/ "%USERPROFILE%\AppData\Local\Temp\OnboardLogs"\RTDC4038\2017-01-20 --exclude "*" --recursive --include "*20170120*" &amp; "%USERPROFILE%\Documents\GitHub\mrs-test-scripts\Headless Mode &amp; Sideloading\WalkAndUnGZ.bat" "%USERPROFILE%\AppData\Local\Temp\OnboardLogs"\RTDC4038\2017-01-20</v>
      </c>
      <c r="S31" s="99" t="str">
        <f>VLOOKUP(C31,'Train Runs'!$A$13:$AE$10000,22,0)</f>
        <v>https://d0f6bd738d7f1b3e5a7ca70fe4ff75f0.us-east-1.aws.found.io/app/kibana#/discover/Steve-Slow-Train-Analysis-(2080s-and-2083s)?_g=(refreshInterval:(display:Off,pause:!f,section:0,value:0),time:(from:'2017-01-19T15:43:41-0700',mode:absolute,to:'2017-01-19T18:08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T31" s="101" t="str">
        <f t="shared" si="1"/>
        <v>"C:\Program Files (x86)\AstroGrep\AstroGrep.exe" /spath="%USERPROFILE%\AppData\Local\Temp\OnboardLogs" /stypes="*4038*201701200*" /stext=" 00:.+((SYSTEM_STATE.+slice.+state.+changed )|(ment ac)|(multiple cpu faults)|(system.+state.+changed )|(\[timeout)|(PRM\|1\|D)|(kpr)|(kdp)|(\|lc)|(penalty))" /e /r /s</v>
      </c>
      <c r="U31" s="9" t="str">
        <f t="shared" si="2"/>
        <v>4038</v>
      </c>
      <c r="V31" s="33">
        <f t="shared" si="3"/>
        <v>42755.004247685181</v>
      </c>
      <c r="W31" s="47" t="str">
        <f t="shared" si="4"/>
        <v>NW</v>
      </c>
      <c r="X31" s="47" t="str">
        <f t="shared" si="5"/>
        <v>KEEP</v>
      </c>
      <c r="Y31" s="115" t="str">
        <f t="shared" si="6"/>
        <v>echo {"issue":{"subject":"","project_id":79,"tracker_id":40,"status_id":1,"priority_id":2,"assigned_to_id":23,"start_date":"2017-01-19","description":"","custom_fields":[{"id":1,"name":"Subdivision","value":"NW"},{"id":4,"name":"Milepost","value":"5.9048"},{"id":17,"name":"Train ID","value":"831-19"},{"id":16,"name":"Locomotive ID","value":"4038"},{"id":130,"name":"Impact","value":""},{"id":150,"name":"Time of Event (Mountain Time)","value":"17:06:07"},{"id":151,"name":"Denver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0"/>
      <c r="AA31" s="50"/>
      <c r="AB31" s="50"/>
      <c r="AC31" s="134" t="str">
        <f t="shared" si="7"/>
        <v>grep -hSE -A400 "Enforcement Action" "%USERPROFILE%\AppData\Local\Temp\OnboardLogs"\RTDC4038\*4038*201701200*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"%USERPROFILE%\AppData\Local\Temp\OnboardLogs"\RTDC4038\*4038*201701200* &gt;&gt; 2017-01-19-SliceDisagreementCheck.txt</v>
      </c>
      <c r="AE31" s="180" t="str">
        <f t="shared" si="9"/>
        <v>start /low /b %USERPROFILE%\Documents\GitHub\eaglep3\Utilities\DownloadLogsFromS3.py --loco 4038 --day 2017-01-20</v>
      </c>
      <c r="AF31" s="1"/>
    </row>
    <row r="32" spans="1:32" x14ac:dyDescent="0.25">
      <c r="A32" s="33">
        <v>42754.712997685187</v>
      </c>
      <c r="B32" s="31" t="s">
        <v>202</v>
      </c>
      <c r="C32" s="31" t="s">
        <v>496</v>
      </c>
      <c r="D32" s="31" t="s">
        <v>49</v>
      </c>
      <c r="E32" s="31" t="s">
        <v>191</v>
      </c>
      <c r="F32" s="44">
        <v>0</v>
      </c>
      <c r="G32" s="44">
        <v>103</v>
      </c>
      <c r="H32" s="44">
        <v>58135</v>
      </c>
      <c r="I32" s="44">
        <v>58231</v>
      </c>
      <c r="J32" s="31" t="s">
        <v>192</v>
      </c>
      <c r="K32" s="44">
        <v>59048</v>
      </c>
      <c r="L32" s="150" t="s">
        <v>50</v>
      </c>
      <c r="M32" s="151">
        <f t="shared" si="0"/>
        <v>431.37599999999998</v>
      </c>
      <c r="N32" s="152" t="str">
        <f>VLOOKUP(C32,'Trips&amp;Operators'!$C$1:$G$99999,5,FALSE)</f>
        <v>STORY SAMANTHA</v>
      </c>
      <c r="O32" s="176" t="s">
        <v>188</v>
      </c>
      <c r="P32" s="153"/>
      <c r="Q32" s="31"/>
      <c r="R32" s="96" t="str">
        <f>VLOOKUP(C32,'Train Runs'!$A$13:$AE$10000,31,0)</f>
        <v>aws s3 cp s3://rtdc.mdm.uploadarchive.raw/RTDC4038/ "%USERPROFILE%\AppData\Local\Temp\OnboardLogs"\RTDC4038\2017-01-19 --exclude "*" --recursive --include "*20170119*" &amp; "%USERPROFILE%\Documents\GitHub\mrs-test-scripts\Headless Mode &amp; Sideloading\WalkAndUnGZ.bat" "%USERPROFILE%\AppData\Local\Temp\OnboardLogs"\RTDC4038\2017-01-19 &amp; aws s3 cp s3://rtdc.mdm.uploadarchive.raw/RTDC4038/ "%USERPROFILE%\AppData\Local\Temp\OnboardLogs"\RTDC4038\2017-01-20 --exclude "*" --recursive --include "*20170120*" &amp; "%USERPROFILE%\Documents\GitHub\mrs-test-scripts\Headless Mode &amp; Sideloading\WalkAndUnGZ.bat" "%USERPROFILE%\AppData\Local\Temp\OnboardLogs"\RTDC4038\2017-01-20</v>
      </c>
      <c r="S32" s="99" t="str">
        <f>VLOOKUP(C32,'Train Runs'!$A$13:$AE$10000,22,0)</f>
        <v>https://d0f6bd738d7f1b3e5a7ca70fe4ff75f0.us-east-1.aws.found.io/app/kibana#/discover/Steve-Slow-Train-Analysis-(2080s-and-2083s)?_g=(refreshInterval:(display:Off,pause:!f,section:0,value:0),time:(from:'2017-01-19T15:43:41-0700',mode:absolute,to:'2017-01-19T18:08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T32" s="101" t="str">
        <f t="shared" si="1"/>
        <v>"C:\Program Files (x86)\AstroGrep\AstroGrep.exe" /spath="%USERPROFILE%\AppData\Local\Temp\OnboardLogs" /stypes="*4038*201701200*" /stext=" 00:.+((SYSTEM_STATE.+slice.+state.+changed )|(ment ac)|(multiple cpu faults)|(system.+state.+changed )|(\[timeout)|(PRM\|1\|D)|(kpr)|(kdp)|(\|lc)|(penalty))" /e /r /s</v>
      </c>
      <c r="U32" s="9" t="str">
        <f t="shared" si="2"/>
        <v>4038</v>
      </c>
      <c r="V32" s="33">
        <f t="shared" si="3"/>
        <v>42755.004664351851</v>
      </c>
      <c r="W32" s="47" t="str">
        <f t="shared" si="4"/>
        <v>NW</v>
      </c>
      <c r="X32" s="47" t="str">
        <f t="shared" si="5"/>
        <v>KEEP</v>
      </c>
      <c r="Y32" s="115" t="str">
        <f t="shared" si="6"/>
        <v>echo {"issue":{"subject":"","project_id":79,"tracker_id":40,"status_id":1,"priority_id":2,"assigned_to_id":23,"start_date":"2017-01-19","description":"","custom_fields":[{"id":1,"name":"Subdivision","value":"NW"},{"id":4,"name":"Milepost","value":"5.9048"},{"id":17,"name":"Train ID","value":"831-19"},{"id":16,"name":"Locomotive ID","value":"4038"},{"id":130,"name":"Impact","value":""},{"id":150,"name":"Time of Event (Mountain Time)","value":"17:06:43"},{"id":151,"name":"Denver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0"/>
      <c r="AA32" s="50"/>
      <c r="AB32" s="50"/>
      <c r="AC32" s="134" t="str">
        <f t="shared" si="7"/>
        <v>grep -hSE -A400 "Enforcement Action" "%USERPROFILE%\AppData\Local\Temp\OnboardLogs"\RTDC4038\*4038*201701200*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"%USERPROFILE%\AppData\Local\Temp\OnboardLogs"\RTDC4038\*4038*201701200* &gt;&gt; 2017-01-19-SliceDisagreementCheck.txt</v>
      </c>
      <c r="AE32" s="180" t="str">
        <f t="shared" si="9"/>
        <v>start /low /b %USERPROFILE%\Documents\GitHub\eaglep3\Utilities\DownloadLogsFromS3.py --loco 4038 --day 2017-01-20</v>
      </c>
      <c r="AF32" s="1"/>
    </row>
    <row r="33" spans="1:32" x14ac:dyDescent="0.25">
      <c r="A33" s="33">
        <v>42754.442372685182</v>
      </c>
      <c r="B33" s="31" t="s">
        <v>197</v>
      </c>
      <c r="C33" s="31" t="s">
        <v>485</v>
      </c>
      <c r="D33" s="31" t="s">
        <v>49</v>
      </c>
      <c r="E33" s="31" t="s">
        <v>191</v>
      </c>
      <c r="F33" s="44">
        <v>0</v>
      </c>
      <c r="G33" s="44">
        <v>32</v>
      </c>
      <c r="H33" s="44">
        <v>58984</v>
      </c>
      <c r="I33" s="44">
        <v>59005</v>
      </c>
      <c r="J33" s="31" t="s">
        <v>192</v>
      </c>
      <c r="K33" s="44">
        <v>59058</v>
      </c>
      <c r="L33" s="150" t="s">
        <v>50</v>
      </c>
      <c r="M33" s="151">
        <f t="shared" si="0"/>
        <v>27.984000000000002</v>
      </c>
      <c r="N33" s="152" t="str">
        <f>VLOOKUP(C33,'Trips&amp;Operators'!$C$1:$G$99999,5,FALSE)</f>
        <v>LOZA FIDEL</v>
      </c>
      <c r="O33" s="176" t="s">
        <v>188</v>
      </c>
      <c r="P33" s="153"/>
      <c r="Q33" s="31"/>
      <c r="R33" s="96" t="str">
        <f>VLOOKUP(C33,'Train Runs'!$A$13:$AE$10000,31,0)</f>
        <v>aws s3 cp s3://rtdc.mdm.uploadarchive.raw/RTDC4040/ "%USERPROFILE%\AppData\Local\Temp\OnboardLogs"\RTDC4040\2017-01-19 --exclude "*" --recursive --include "*20170119*" &amp; "%USERPROFILE%\Documents\GitHub\mrs-test-scripts\Headless Mode &amp; Sideloading\WalkAndUnGZ.bat" "%USERPROFILE%\AppData\Local\Temp\OnboardLogs"\RTDC4040\2017-01-19 &amp; aws s3 cp s3://rtdc.mdm.uploadarchive.raw/RTDC4040/ "%USERPROFILE%\AppData\Local\Temp\OnboardLogs"\RTDC4040\2017-01-20 --exclude "*" --recursive --include "*20170120*" &amp; "%USERPROFILE%\Documents\GitHub\mrs-test-scripts\Headless Mode &amp; Sideloading\WalkAndUnGZ.bat" "%USERPROFILE%\AppData\Local\Temp\OnboardLogs"\RTDC4040\2017-01-20</v>
      </c>
      <c r="S33" s="99" t="str">
        <f>VLOOKUP(C33,'Train Runs'!$A$13:$AE$10000,22,0)</f>
        <v>https://d0f6bd738d7f1b3e5a7ca70fe4ff75f0.us-east-1.aws.found.io/app/kibana#/discover/Steve-Slow-Train-Analysis-(2080s-and-2083s)?_g=(refreshInterval:(display:Off,pause:!f,section:0,value:0),time:(from:'2017-01-19T09:08:32-0700',mode:absolute,to:'2017-01-19T11:37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33" s="101" t="str">
        <f t="shared" si="1"/>
        <v>"C:\Program Files (x86)\AstroGrep\AstroGrep.exe" /spath="%USERPROFILE%\AppData\Local\Temp\OnboardLogs" /stypes="*4040*201701191*" /stext=" 17:.+((SYSTEM_STATE.+slice.+state.+changed )|(ment ac)|(multiple cpu faults)|(system.+state.+changed )|(\[timeout)|(PRM\|1\|D)|(kpr)|(kdp)|(\|lc)|(penalty))" /e /r /s</v>
      </c>
      <c r="U33" s="9" t="str">
        <f t="shared" si="2"/>
        <v>4040</v>
      </c>
      <c r="V33" s="33">
        <f t="shared" si="3"/>
        <v>42754.734039351846</v>
      </c>
      <c r="W33" s="47" t="str">
        <f t="shared" si="4"/>
        <v>NW</v>
      </c>
      <c r="X33" s="47" t="str">
        <f t="shared" si="5"/>
        <v>KEEP</v>
      </c>
      <c r="Y33" s="115" t="str">
        <f t="shared" si="6"/>
        <v>echo {"issue":{"subject":"","project_id":79,"tracker_id":40,"status_id":1,"priority_id":2,"assigned_to_id":23,"start_date":"2017-01-19","description":"","custom_fields":[{"id":1,"name":"Subdivision","value":"NW"},{"id":4,"name":"Milepost","value":"5.9058"},{"id":17,"name":"Train ID","value":"815-19"},{"id":16,"name":"Locomotive ID","value":"4040"},{"id":130,"name":"Impact","value":""},{"id":150,"name":"Time of Event (Mountain Time)","value":"10:37:01"},{"id":151,"name":"Denver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0"/>
      <c r="AA33" s="50"/>
      <c r="AB33" s="50"/>
      <c r="AC33" s="134" t="str">
        <f t="shared" si="7"/>
        <v>grep -hSE -A400 "Enforcement Action" "%USERPROFILE%\AppData\Local\Temp\OnboardLogs"\RTDC4040\*4040*201701191*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"%USERPROFILE%\AppData\Local\Temp\OnboardLogs"\RTDC4040\*4040*201701191* &gt;&gt; 2017-01-19-SliceDisagreementCheck.txt</v>
      </c>
      <c r="AE33" s="180" t="str">
        <f t="shared" si="9"/>
        <v>start /low /b %USERPROFILE%\Documents\GitHub\eaglep3\Utilities\DownloadLogsFromS3.py --loco 4040 --day 2017-01-19</v>
      </c>
      <c r="AF33" s="1"/>
    </row>
    <row r="34" spans="1:32" x14ac:dyDescent="0.25">
      <c r="A34" s="33">
        <v>42754.644074074073</v>
      </c>
      <c r="B34" s="31" t="s">
        <v>203</v>
      </c>
      <c r="C34" s="31" t="s">
        <v>493</v>
      </c>
      <c r="D34" s="31" t="s">
        <v>49</v>
      </c>
      <c r="E34" s="31" t="s">
        <v>208</v>
      </c>
      <c r="F34" s="44">
        <v>90</v>
      </c>
      <c r="G34" s="44">
        <v>268</v>
      </c>
      <c r="H34" s="44">
        <v>12495</v>
      </c>
      <c r="I34" s="44">
        <v>11860</v>
      </c>
      <c r="J34" s="31" t="s">
        <v>209</v>
      </c>
      <c r="K34" s="44">
        <v>10988</v>
      </c>
      <c r="L34" s="150" t="s">
        <v>51</v>
      </c>
      <c r="M34" s="151">
        <f t="shared" si="0"/>
        <v>460.416</v>
      </c>
      <c r="N34" s="152" t="str">
        <f>VLOOKUP(C34,'Trips&amp;Operators'!$C$1:$G$99999,5,FALSE)</f>
        <v>STORY SAMANTHA</v>
      </c>
      <c r="O34" s="176" t="s">
        <v>188</v>
      </c>
      <c r="P34" s="153"/>
      <c r="Q34" s="31"/>
      <c r="R34" s="96" t="str">
        <f>VLOOKUP(C34,'Train Runs'!$A$13:$AE$10000,31,0)</f>
        <v>aws s3 cp s3://rtdc.mdm.uploadarchive.raw/RTDC4037/ "%USERPROFILE%\AppData\Local\Temp\OnboardLogs"\RTDC4037\2017-01-19 --exclude "*" --recursive --include "*20170119*" &amp; "%USERPROFILE%\Documents\GitHub\mrs-test-scripts\Headless Mode &amp; Sideloading\WalkAndUnGZ.bat" "%USERPROFILE%\AppData\Local\Temp\OnboardLogs"\RTDC4037\2017-01-19 &amp; aws s3 cp s3://rtdc.mdm.uploadarchive.raw/RTDC4037/ "%USERPROFILE%\AppData\Local\Temp\OnboardLogs"\RTDC4037\2017-01-20 --exclude "*" --recursive --include "*20170120*" &amp; "%USERPROFILE%\Documents\GitHub\mrs-test-scripts\Headless Mode &amp; Sideloading\WalkAndUnGZ.bat" "%USERPROFILE%\AppData\Local\Temp\OnboardLogs"\RTDC4037\2017-01-20</v>
      </c>
      <c r="S34" s="99" t="str">
        <f>VLOOKUP(C34,'Train Runs'!$A$13:$AE$10000,22,0)</f>
        <v>https://d0f6bd738d7f1b3e5a7ca70fe4ff75f0.us-east-1.aws.found.io/app/kibana#/discover/Steve-Slow-Train-Analysis-(2080s-and-2083s)?_g=(refreshInterval:(display:Off,pause:!f,section:0,value:0),time:(from:'2017-01-19T14:22:57-0700',mode:absolute,to:'2017-01-19T16:33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T34" s="101" t="str">
        <f t="shared" si="1"/>
        <v>"C:\Program Files (x86)\AstroGrep\AstroGrep.exe" /spath="%USERPROFILE%\AppData\Local\Temp\OnboardLogs" /stypes="*4037*201701192*" /stext=" 22:.+((SYSTEM_STATE.+slice.+state.+changed )|(ment ac)|(multiple cpu faults)|(system.+state.+changed )|(\[timeout)|(PRM\|1\|D)|(kpr)|(kdp)|(\|lc)|(penalty))" /e /r /s</v>
      </c>
      <c r="U34" s="9" t="str">
        <f t="shared" si="2"/>
        <v>4037</v>
      </c>
      <c r="V34" s="33">
        <f t="shared" si="3"/>
        <v>42754.935740740737</v>
      </c>
      <c r="W34" s="47" t="str">
        <f t="shared" si="4"/>
        <v>Other</v>
      </c>
      <c r="X34" s="47" t="str">
        <f t="shared" si="5"/>
        <v>KEEP</v>
      </c>
      <c r="Y34" s="115" t="str">
        <f t="shared" si="6"/>
        <v>echo {"issue":{"subject":"","project_id":79,"tracker_id":40,"status_id":1,"priority_id":2,"assigned_to_id":23,"start_date":"2017-01-19","description":"","custom_fields":[{"id":1,"name":"Subdivision","value":"Other"},{"id":4,"name":"Milepost","value":"1.0988"},{"id":17,"name":"Train ID","value":"904-19"},{"id":16,"name":"Locomotive ID","value":"4037"},{"id":130,"name":"Impact","value":""},{"id":150,"name":"Time of Event (Mountain Time)","value":"15:27:28"},{"id":151,"name":"Denver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0"/>
      <c r="AA34" s="50"/>
      <c r="AB34" s="50"/>
      <c r="AC34" s="134" t="str">
        <f t="shared" si="7"/>
        <v>grep -hSE -A400 "Enforcement Action" "%USERPROFILE%\AppData\Local\Temp\OnboardLogs"\RTDC4037\*4037*201701192*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"%USERPROFILE%\AppData\Local\Temp\OnboardLogs"\RTDC4037\*4037*201701192* &gt;&gt; 2017-01-19-SliceDisagreementCheck.txt</v>
      </c>
      <c r="AE34" s="180" t="str">
        <f t="shared" si="9"/>
        <v>start /low /b %USERPROFILE%\Documents\GitHub\eaglep3\Utilities\DownloadLogsFromS3.py --loco 4037 --day 2017-01-19</v>
      </c>
      <c r="AF34" s="1"/>
    </row>
    <row r="35" spans="1:32" x14ac:dyDescent="0.25">
      <c r="A35" s="33">
        <v>42754.494502314818</v>
      </c>
      <c r="B35" s="31" t="s">
        <v>220</v>
      </c>
      <c r="C35" s="31" t="s">
        <v>486</v>
      </c>
      <c r="D35" s="31" t="s">
        <v>98</v>
      </c>
      <c r="E35" s="31" t="s">
        <v>236</v>
      </c>
      <c r="F35" s="44">
        <v>150</v>
      </c>
      <c r="G35" s="44">
        <v>202</v>
      </c>
      <c r="H35" s="44">
        <v>5400</v>
      </c>
      <c r="I35" s="44">
        <v>5669</v>
      </c>
      <c r="J35" s="31" t="s">
        <v>237</v>
      </c>
      <c r="K35" s="44">
        <v>0</v>
      </c>
      <c r="L35" s="150" t="s">
        <v>50</v>
      </c>
      <c r="M35" s="151">
        <f t="shared" si="0"/>
        <v>-2993.232</v>
      </c>
      <c r="N35" s="152" t="str">
        <f>VLOOKUP(C35,'Trips&amp;Operators'!$C$1:$G$99999,5,FALSE)</f>
        <v>ROBINSON KADDIBA</v>
      </c>
      <c r="O35" s="176" t="s">
        <v>188</v>
      </c>
      <c r="P35" s="153"/>
      <c r="Q35" s="31"/>
      <c r="R35" s="96" t="str">
        <f>VLOOKUP(C35,'Train Runs'!$A$13:$AE$10000,31,0)</f>
        <v>aws s3 cp s3://rtdc.mdm.uploadarchive.raw/RTDC4003/ "%USERPROFILE%\AppData\Local\Temp\OnboardLogs"\RTDC4003\1969-12-31 --exclude "*" --recursive --include "*19691231*" &amp; "%USERPROFILE%\Documents\GitHub\mrs-test-scripts\Headless Mode &amp; Sideloading\WalkAndUnGZ.bat" "%USERPROFILE%\AppData\Local\Temp\OnboardLogs"\RTDC4003\1969-12-31 &amp; aws s3 cp s3://rtdc.mdm.uploadarchive.raw/RTDC4003/ "%USERPROFILE%\AppData\Local\Temp\OnboardLogs"\RTDC4003\1970-01-01 --exclude "*" --recursive --include "*19700101*" &amp; "%USERPROFILE%\Documents\GitHub\mrs-test-scripts\Headless Mode &amp; Sideloading\WalkAndUnGZ.bat" "%USERPROFILE%\AppData\Local\Temp\OnboardLogs"\RTDC4003\1970-01-01</v>
      </c>
      <c r="S35" s="99" t="str">
        <f>VLOOKUP(C35,'Train Runs'!$A$13:$AE$10000,22,0)</f>
        <v>https://d0f6bd738d7f1b3e5a7ca70fe4ff75f0.us-east-1.aws.found.io/app/kibana#/discover/Steve-Slow-Train-Analysis-(2080s-and-2083s)?_g=(refreshInterval:(display:Off,pause:!f,section:0,value:0),time:(from:'2017-01-19T10:33:52-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35" s="101" t="str">
        <f t="shared" si="1"/>
        <v>"C:\Program Files (x86)\AstroGrep\AstroGrep.exe" /spath="%USERPROFILE%\AppData\Local\Temp\OnboardLogs" /stypes="*4003*201701191*" /stext=" 18:.+((SYSTEM_STATE.+slice.+state.+changed )|(ment ac)|(multiple cpu faults)|(system.+state.+changed )|(\[timeout)|(PRM\|1\|D)|(kpr)|(kdp)|(\|lc)|(penalty))" /e /r /s</v>
      </c>
      <c r="U35" s="9" t="str">
        <f t="shared" si="2"/>
        <v>4003</v>
      </c>
      <c r="V35" s="33">
        <f t="shared" si="3"/>
        <v>42754.786168981482</v>
      </c>
      <c r="W35" s="47" t="str">
        <f t="shared" si="4"/>
        <v>Other</v>
      </c>
      <c r="X35" s="47" t="str">
        <f t="shared" si="5"/>
        <v>KEEP</v>
      </c>
      <c r="Y35" s="115" t="str">
        <f t="shared" si="6"/>
        <v>echo {"issue":{"subject":"","project_id":79,"tracker_id":40,"status_id":1,"priority_id":2,"assigned_to_id":23,"start_date":"2017-01-19","description":"","custom_fields":[{"id":1,"name":"Subdivision","value":"Other"},{"id":4,"name":"Milepost","value":"0"},{"id":17,"name":"Train ID","value":"51-19"},{"id":16,"name":"Locomotive ID","value":"4003"},{"id":130,"name":"Impact","value":""},{"id":150,"name":"Time of Event (Mountain Time)","value":"11:52:05"},{"id":151,"name":"Denver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0"/>
      <c r="AA35" s="50"/>
      <c r="AB35" s="50"/>
      <c r="AC35" s="134" t="str">
        <f t="shared" si="7"/>
        <v>grep -hSE -A400 "Enforcement Action" "%USERPROFILE%\AppData\Local\Temp\OnboardLogs"\RTDC4003\*4003*201701191*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"%USERPROFILE%\AppData\Local\Temp\OnboardLogs"\RTDC4003\*4003*201701191* &gt;&gt; 2017-01-19-SliceDisagreementCheck.txt</v>
      </c>
      <c r="AE35" s="180" t="str">
        <f t="shared" si="9"/>
        <v>start /low /b %USERPROFILE%\Documents\GitHub\eaglep3\Utilities\DownloadLogsFromS3.py --loco 4003 --day 2017-01-19</v>
      </c>
      <c r="AF35" s="1"/>
    </row>
    <row r="36" spans="1:32" x14ac:dyDescent="0.25">
      <c r="A36" s="33">
        <v>42754.495196759257</v>
      </c>
      <c r="B36" s="31" t="s">
        <v>220</v>
      </c>
      <c r="C36" s="31" t="s">
        <v>486</v>
      </c>
      <c r="D36" s="31" t="s">
        <v>98</v>
      </c>
      <c r="E36" s="31" t="s">
        <v>236</v>
      </c>
      <c r="F36" s="44">
        <v>150</v>
      </c>
      <c r="G36" s="44">
        <v>202</v>
      </c>
      <c r="H36" s="44">
        <v>5400</v>
      </c>
      <c r="I36" s="44">
        <v>6109</v>
      </c>
      <c r="J36" s="31" t="s">
        <v>237</v>
      </c>
      <c r="K36" s="44">
        <v>0</v>
      </c>
      <c r="L36" s="150" t="s">
        <v>50</v>
      </c>
      <c r="M36" s="151">
        <f t="shared" si="0"/>
        <v>-3225.5520000000001</v>
      </c>
      <c r="N36" s="152" t="str">
        <f>VLOOKUP(C36,'Trips&amp;Operators'!$C$1:$G$99999,5,FALSE)</f>
        <v>ROBINSON KADDIBA</v>
      </c>
      <c r="O36" s="176" t="s">
        <v>188</v>
      </c>
      <c r="P36" s="153"/>
      <c r="Q36" s="31"/>
      <c r="R36" s="96" t="str">
        <f>VLOOKUP(C36,'Train Runs'!$A$13:$AE$10000,31,0)</f>
        <v>aws s3 cp s3://rtdc.mdm.uploadarchive.raw/RTDC4003/ "%USERPROFILE%\AppData\Local\Temp\OnboardLogs"\RTDC4003\1969-12-31 --exclude "*" --recursive --include "*19691231*" &amp; "%USERPROFILE%\Documents\GitHub\mrs-test-scripts\Headless Mode &amp; Sideloading\WalkAndUnGZ.bat" "%USERPROFILE%\AppData\Local\Temp\OnboardLogs"\RTDC4003\1969-12-31 &amp; aws s3 cp s3://rtdc.mdm.uploadarchive.raw/RTDC4003/ "%USERPROFILE%\AppData\Local\Temp\OnboardLogs"\RTDC4003\1970-01-01 --exclude "*" --recursive --include "*19700101*" &amp; "%USERPROFILE%\Documents\GitHub\mrs-test-scripts\Headless Mode &amp; Sideloading\WalkAndUnGZ.bat" "%USERPROFILE%\AppData\Local\Temp\OnboardLogs"\RTDC4003\1970-01-01</v>
      </c>
      <c r="S36" s="99" t="str">
        <f>VLOOKUP(C36,'Train Runs'!$A$13:$AE$10000,22,0)</f>
        <v>https://d0f6bd738d7f1b3e5a7ca70fe4ff75f0.us-east-1.aws.found.io/app/kibana#/discover/Steve-Slow-Train-Analysis-(2080s-and-2083s)?_g=(refreshInterval:(display:Off,pause:!f,section:0,value:0),time:(from:'2017-01-19T10:33:52-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36" s="101" t="str">
        <f t="shared" si="1"/>
        <v>"C:\Program Files (x86)\AstroGrep\AstroGrep.exe" /spath="%USERPROFILE%\AppData\Local\Temp\OnboardLogs" /stypes="*4003*201701191*" /stext=" 18:.+((SYSTEM_STATE.+slice.+state.+changed )|(ment ac)|(multiple cpu faults)|(system.+state.+changed )|(\[timeout)|(PRM\|1\|D)|(kpr)|(kdp)|(\|lc)|(penalty))" /e /r /s</v>
      </c>
      <c r="U36" s="9" t="str">
        <f t="shared" si="2"/>
        <v>4003</v>
      </c>
      <c r="V36" s="33">
        <f t="shared" si="3"/>
        <v>42754.786863425921</v>
      </c>
      <c r="W36" s="47" t="str">
        <f t="shared" si="4"/>
        <v>Other</v>
      </c>
      <c r="X36" s="47" t="str">
        <f t="shared" si="5"/>
        <v>KEEP</v>
      </c>
      <c r="Y36" s="115" t="str">
        <f t="shared" si="6"/>
        <v>echo {"issue":{"subject":"","project_id":79,"tracker_id":40,"status_id":1,"priority_id":2,"assigned_to_id":23,"start_date":"2017-01-19","description":"","custom_fields":[{"id":1,"name":"Subdivision","value":"Other"},{"id":4,"name":"Milepost","value":"0"},{"id":17,"name":"Train ID","value":"51-19"},{"id":16,"name":"Locomotive ID","value":"4003"},{"id":130,"name":"Impact","value":""},{"id":150,"name":"Time of Event (Mountain Time)","value":"11:53:05"},{"id":151,"name":"Denver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0"/>
      <c r="AA36" s="50"/>
      <c r="AB36" s="50"/>
      <c r="AC36" s="134" t="str">
        <f t="shared" si="7"/>
        <v>grep -hSE -A400 "Enforcement Action" "%USERPROFILE%\AppData\Local\Temp\OnboardLogs"\RTDC4003\*4003*201701191*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"%USERPROFILE%\AppData\Local\Temp\OnboardLogs"\RTDC4003\*4003*201701191* &gt;&gt; 2017-01-19-SliceDisagreementCheck.txt</v>
      </c>
      <c r="AE36" s="180" t="str">
        <f t="shared" si="9"/>
        <v>start /low /b %USERPROFILE%\Documents\GitHub\eaglep3\Utilities\DownloadLogsFromS3.py --loco 4003 --day 2017-01-19</v>
      </c>
      <c r="AF36" s="1"/>
    </row>
    <row r="37" spans="1:32" x14ac:dyDescent="0.25">
      <c r="A37" s="33">
        <v>42754.12427083333</v>
      </c>
      <c r="B37" s="31" t="s">
        <v>336</v>
      </c>
      <c r="C37" s="31" t="s">
        <v>353</v>
      </c>
      <c r="D37" s="31" t="s">
        <v>49</v>
      </c>
      <c r="E37" s="31" t="s">
        <v>189</v>
      </c>
      <c r="F37" s="44">
        <v>0</v>
      </c>
      <c r="G37" s="44">
        <v>61</v>
      </c>
      <c r="H37" s="44">
        <v>8926</v>
      </c>
      <c r="I37" s="44">
        <v>8994</v>
      </c>
      <c r="J37" s="31" t="s">
        <v>190</v>
      </c>
      <c r="K37" s="44">
        <v>9499</v>
      </c>
      <c r="L37" s="150" t="s">
        <v>50</v>
      </c>
      <c r="M37" s="151">
        <f t="shared" si="0"/>
        <v>266.64</v>
      </c>
      <c r="N37" s="152" t="str">
        <f>VLOOKUP(C37,'Trips&amp;Operators'!$C$1:$G$99999,5,FALSE)</f>
        <v>NELSON ARIANE</v>
      </c>
      <c r="O37" s="176" t="s">
        <v>188</v>
      </c>
      <c r="P37" s="153"/>
      <c r="Q37" s="31"/>
      <c r="R37" s="96" t="e">
        <f>VLOOKUP(C37,'Train Runs'!$A$13:$AE$10000,31,0)</f>
        <v>#N/A</v>
      </c>
      <c r="S37" s="99" t="e">
        <f>VLOOKUP(C37,'Train Runs'!$A$13:$AE$10000,22,0)</f>
        <v>#N/A</v>
      </c>
      <c r="T37" s="101" t="str">
        <f t="shared" si="1"/>
        <v>"C:\Program Files (x86)\AstroGrep\AstroGrep.exe" /spath="%USERPROFILE%\AppData\Local\Temp\OnboardLogs" /stypes="*4025*201701190*" /stext=" 09:.+((SYSTEM_STATE.+slice.+state.+changed )|(ment ac)|(multiple cpu faults)|(system.+state.+changed )|(\[timeout)|(PRM\|1\|D)|(kpr)|(kdp)|(\|lc)|(penalty))" /e /r /s</v>
      </c>
      <c r="U37" s="9" t="str">
        <f t="shared" si="2"/>
        <v>4025</v>
      </c>
      <c r="V37" s="33">
        <f t="shared" si="3"/>
        <v>42754.415937499994</v>
      </c>
      <c r="W37" s="47" t="str">
        <f t="shared" si="4"/>
        <v>Other</v>
      </c>
      <c r="X37" s="47" t="str">
        <f t="shared" si="5"/>
        <v>KEEP</v>
      </c>
      <c r="Y37" s="115" t="str">
        <f t="shared" si="6"/>
        <v>echo {"issue":{"subject":"","project_id":79,"tracker_id":40,"status_id":1,"priority_id":2,"assigned_to_id":23,"start_date":"2017-01-19","description":"","custom_fields":[{"id":1,"name":"Subdivision","value":"Other"},{"id":4,"name":"Milepost","value":"0.9499"},{"id":17,"name":"Train ID","value":"77-18"},{"id":16,"name":"Locomotive ID","value":"4025"},{"id":130,"name":"Impact","value":""},{"id":150,"name":"Time of Event (Mountain Time)","value":"02:58:57"},{"id":151,"name":"Denver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0"/>
      <c r="AA37" s="50"/>
      <c r="AB37" s="50"/>
      <c r="AC37" s="134" t="str">
        <f t="shared" si="7"/>
        <v>grep -hSE -A400 "Enforcement Action" "%USERPROFILE%\AppData\Local\Temp\OnboardLogs"\RTDC4025\*4025*201701190*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"%USERPROFILE%\AppData\Local\Temp\OnboardLogs"\RTDC4025\*4025*201701190* &gt;&gt; 2017-01-19-SliceDisagreementCheck.txt</v>
      </c>
      <c r="AE37" s="180" t="str">
        <f t="shared" si="9"/>
        <v>start /low /b %USERPROFILE%\Documents\GitHub\eaglep3\Utilities\DownloadLogsFromS3.py --loco 4025 --day 2017-01-19</v>
      </c>
      <c r="AF37" s="1"/>
    </row>
    <row r="38" spans="1:32" x14ac:dyDescent="0.25">
      <c r="A38" s="33">
        <v>42754.127175925925</v>
      </c>
      <c r="B38" s="31" t="s">
        <v>472</v>
      </c>
      <c r="C38" s="31" t="s">
        <v>473</v>
      </c>
      <c r="D38" s="31" t="s">
        <v>49</v>
      </c>
      <c r="E38" s="31" t="s">
        <v>189</v>
      </c>
      <c r="F38" s="44">
        <v>0</v>
      </c>
      <c r="G38" s="44">
        <v>268</v>
      </c>
      <c r="H38" s="44">
        <v>18090</v>
      </c>
      <c r="I38" s="44">
        <v>17204</v>
      </c>
      <c r="J38" s="31" t="s">
        <v>190</v>
      </c>
      <c r="K38" s="44">
        <v>16590</v>
      </c>
      <c r="L38" s="150" t="s">
        <v>51</v>
      </c>
      <c r="M38" s="151">
        <f t="shared" si="0"/>
        <v>324.19200000000001</v>
      </c>
      <c r="N38" s="152" t="str">
        <f>VLOOKUP(C38,'Trips&amp;Operators'!$C$1:$G$99999,5,FALSE)</f>
        <v>CUSHING HARRY</v>
      </c>
      <c r="O38" s="176" t="s">
        <v>188</v>
      </c>
      <c r="P38" s="153"/>
      <c r="Q38" s="31"/>
      <c r="R38" s="96" t="e">
        <f>VLOOKUP(C38,'Train Runs'!$A$13:$AE$10000,31,0)</f>
        <v>#N/A</v>
      </c>
      <c r="S38" s="99" t="e">
        <f>VLOOKUP(C38,'Train Runs'!$A$13:$AE$10000,22,0)</f>
        <v>#N/A</v>
      </c>
      <c r="T38" s="101" t="str">
        <f t="shared" si="1"/>
        <v>"C:\Program Files (x86)\AstroGrep\AstroGrep.exe" /spath="%USERPROFILE%\AppData\Local\Temp\OnboardLogs" /stypes="*4041*201701191*" /stext=" 10:.+((SYSTEM_STATE.+slice.+state.+changed )|(ment ac)|(multiple cpu faults)|(system.+state.+changed )|(\[timeout)|(PRM\|1\|D)|(kpr)|(kdp)|(\|lc)|(penalty))" /e /r /s</v>
      </c>
      <c r="U38" s="9" t="str">
        <f t="shared" si="2"/>
        <v>4041</v>
      </c>
      <c r="V38" s="33">
        <f t="shared" si="3"/>
        <v>42754.418842592589</v>
      </c>
      <c r="W38" s="47" t="str">
        <f t="shared" si="4"/>
        <v>Other</v>
      </c>
      <c r="X38" s="47" t="str">
        <f t="shared" si="5"/>
        <v>KEEP</v>
      </c>
      <c r="Y38" s="115" t="str">
        <f t="shared" si="6"/>
        <v>echo {"issue":{"subject":"","project_id":79,"tracker_id":40,"status_id":1,"priority_id":2,"assigned_to_id":23,"start_date":"2017-01-19","description":"","custom_fields":[{"id":1,"name":"Subdivision","value":"Other"},{"id":4,"name":"Milepost","value":"1.659"},{"id":17,"name":"Train ID","value":"302-19"},{"id":16,"name":"Locomotive ID","value":"4041"},{"id":130,"name":"Impact","value":""},{"id":150,"name":"Time of Event (Mountain Time)","value":"03:03:08"},{"id":151,"name":"Denver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0"/>
      <c r="AA38" s="50"/>
      <c r="AB38" s="50"/>
      <c r="AC38" s="134" t="str">
        <f t="shared" si="7"/>
        <v>grep -hSE -A400 "Enforcement Action" "%USERPROFILE%\AppData\Local\Temp\OnboardLogs"\RTDC4041\*4041*201701191*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"%USERPROFILE%\AppData\Local\Temp\OnboardLogs"\RTDC4041\*4041*201701191* &gt;&gt; 2017-01-19-SliceDisagreementCheck.txt</v>
      </c>
      <c r="AE38" s="180" t="str">
        <f t="shared" si="9"/>
        <v>start /low /b %USERPROFILE%\Documents\GitHub\eaglep3\Utilities\DownloadLogsFromS3.py --loco 4041 --day 2017-01-19</v>
      </c>
      <c r="AF38" s="1"/>
    </row>
    <row r="39" spans="1:32" x14ac:dyDescent="0.25">
      <c r="A39" s="33">
        <v>42754.721192129633</v>
      </c>
      <c r="B39" s="31" t="s">
        <v>154</v>
      </c>
      <c r="C39" s="31" t="s">
        <v>498</v>
      </c>
      <c r="D39" s="31" t="s">
        <v>49</v>
      </c>
      <c r="E39" s="31" t="s">
        <v>191</v>
      </c>
      <c r="F39" s="44">
        <v>0</v>
      </c>
      <c r="G39" s="44">
        <v>18</v>
      </c>
      <c r="H39" s="44">
        <v>854</v>
      </c>
      <c r="I39" s="44">
        <v>843</v>
      </c>
      <c r="J39" s="31" t="s">
        <v>192</v>
      </c>
      <c r="K39" s="44">
        <v>826</v>
      </c>
      <c r="L39" s="150" t="s">
        <v>51</v>
      </c>
      <c r="M39" s="151">
        <f t="shared" si="0"/>
        <v>8.9760000000000009</v>
      </c>
      <c r="N39" s="152" t="str">
        <f>VLOOKUP(C39,'Trips&amp;Operators'!$C$1:$G$99999,5,FALSE)</f>
        <v>NEWELL JAMES</v>
      </c>
      <c r="O39" s="176" t="s">
        <v>188</v>
      </c>
      <c r="P39" s="153"/>
      <c r="Q39" s="31"/>
      <c r="R39" s="96" t="str">
        <f>VLOOKUP(C39,'Train Runs'!$A$13:$AE$10000,31,0)</f>
        <v>aws s3 cp s3://rtdc.mdm.uploadarchive.raw/RTDC4052/ "%USERPROFILE%\AppData\Local\Temp\OnboardLogs"\RTDC4052\2017-01-19 --exclude "*" --recursive --include "*20170119*" &amp; "%USERPROFILE%\Documents\GitHub\mrs-test-scripts\Headless Mode &amp; Sideloading\WalkAndUnGZ.bat" "%USERPROFILE%\AppData\Local\Temp\OnboardLogs"\RTDC4052\2017-01-19 &amp; aws s3 cp s3://rtdc.mdm.uploadarchive.raw/RTDC4052/ "%USERPROFILE%\AppData\Local\Temp\OnboardLogs"\RTDC4052\2017-01-20 --exclude "*" --recursive --include "*20170120*" &amp; "%USERPROFILE%\Documents\GitHub\mrs-test-scripts\Headless Mode &amp; Sideloading\WalkAndUnGZ.bat" "%USERPROFILE%\AppData\Local\Temp\OnboardLogs"\RTDC4052\2017-01-20</v>
      </c>
      <c r="S39" s="99" t="str">
        <f>VLOOKUP(C39,'Train Runs'!$A$13:$AE$10000,22,0)</f>
        <v>https://d0f6bd738d7f1b3e5a7ca70fe4ff75f0.us-east-1.aws.found.io/app/kibana#/discover/Steve-Slow-Train-Analysis-(2080s-and-2083s)?_g=(refreshInterval:(display:Off,pause:!f,section:0,value:0),time:(from:'2017-01-19T16:07:28-0700',mode:absolute,to:'2017-01-19T18:18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39" s="101" t="str">
        <f t="shared" si="1"/>
        <v>"C:\Program Files (x86)\AstroGrep\AstroGrep.exe" /spath="%USERPROFILE%\AppData\Local\Temp\OnboardLogs" /stypes="*4052*201701200*" /stext=" 00:.+((SYSTEM_STATE.+slice.+state.+changed )|(ment ac)|(multiple cpu faults)|(system.+state.+changed )|(\[timeout)|(PRM\|1\|D)|(kpr)|(kdp)|(\|lc)|(penalty))" /e /r /s</v>
      </c>
      <c r="U39" s="9" t="str">
        <f t="shared" si="2"/>
        <v>4052</v>
      </c>
      <c r="V39" s="33">
        <f t="shared" si="3"/>
        <v>42755.012858796297</v>
      </c>
      <c r="W39" s="47" t="str">
        <f t="shared" si="4"/>
        <v>Other</v>
      </c>
      <c r="X39" s="47" t="str">
        <f t="shared" si="5"/>
        <v>KEEP</v>
      </c>
      <c r="Y39" s="115" t="str">
        <f t="shared" si="6"/>
        <v>echo {"issue":{"subject":"","project_id":79,"tracker_id":40,"status_id":1,"priority_id":2,"assigned_to_id":23,"start_date":"2017-01-19","description":"","custom_fields":[{"id":1,"name":"Subdivision","value":"Other"},{"id":4,"name":"Milepost","value":"0.0826"},{"id":17,"name":"Train ID","value":"74-19"},{"id":16,"name":"Locomotive ID","value":"4052"},{"id":130,"name":"Impact","value":""},{"id":150,"name":"Time of Event (Mountain Time)","value":"17:18:31"},{"id":151,"name":"Denver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0"/>
      <c r="AA39" s="50"/>
      <c r="AB39" s="50"/>
      <c r="AC39" s="134" t="str">
        <f t="shared" si="7"/>
        <v>grep -hSE -A400 "Enforcement Action" "%USERPROFILE%\AppData\Local\Temp\OnboardLogs"\RTDC4052\*4052*201701200*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"%USERPROFILE%\AppData\Local\Temp\OnboardLogs"\RTDC4052\*4052*201701200* &gt;&gt; 2017-01-19-SliceDisagreementCheck.txt</v>
      </c>
      <c r="AE39" s="180" t="str">
        <f t="shared" si="9"/>
        <v>start /low /b %USERPROFILE%\Documents\GitHub\eaglep3\Utilities\DownloadLogsFromS3.py --loco 4052 --day 2017-01-20</v>
      </c>
      <c r="AF39" s="1"/>
    </row>
    <row r="40" spans="1:32" x14ac:dyDescent="0.25">
      <c r="A40" s="33">
        <v>42754.214490740742</v>
      </c>
      <c r="B40" s="31" t="s">
        <v>202</v>
      </c>
      <c r="C40" s="31" t="s">
        <v>477</v>
      </c>
      <c r="D40" s="31" t="s">
        <v>49</v>
      </c>
      <c r="E40" s="31" t="s">
        <v>191</v>
      </c>
      <c r="F40" s="44">
        <v>0</v>
      </c>
      <c r="G40" s="44">
        <v>44</v>
      </c>
      <c r="H40" s="44">
        <v>58944</v>
      </c>
      <c r="I40" s="44">
        <v>58975</v>
      </c>
      <c r="J40" s="31" t="s">
        <v>192</v>
      </c>
      <c r="K40" s="44">
        <v>59058</v>
      </c>
      <c r="L40" s="150" t="s">
        <v>50</v>
      </c>
      <c r="M40" s="151">
        <f t="shared" si="0"/>
        <v>43.823999999999998</v>
      </c>
      <c r="N40" s="152" t="str">
        <f>VLOOKUP(C40,'Trips&amp;Operators'!$C$1:$G$99999,5,FALSE)</f>
        <v>SHOOK JOHN</v>
      </c>
      <c r="O40" s="176" t="s">
        <v>188</v>
      </c>
      <c r="P40" s="153"/>
      <c r="Q40" s="31"/>
      <c r="R40" s="96" t="str">
        <f>VLOOKUP(C40,'Train Runs'!$A$13:$AE$10000,31,0)</f>
        <v>aws s3 cp s3://rtdc.mdm.uploadarchive.raw/RTDC4038/ "%USERPROFILE%\AppData\Local\Temp\OnboardLogs"\RTDC4038\2017-01-19 --exclude "*" --recursive --include "*20170119*" &amp; "%USERPROFILE%\Documents\GitHub\mrs-test-scripts\Headless Mode &amp; Sideloading\WalkAndUnGZ.bat" "%USERPROFILE%\AppData\Local\Temp\OnboardLogs"\RTDC4038\2017-01-19 &amp; aws s3 cp s3://rtdc.mdm.uploadarchive.raw/RTDC4038/ "%USERPROFILE%\AppData\Local\Temp\OnboardLogs"\RTDC4038\2017-01-20 --exclude "*" --recursive --include "*20170120*" &amp; "%USERPROFILE%\Documents\GitHub\mrs-test-scripts\Headless Mode &amp; Sideloading\WalkAndUnGZ.bat" "%USERPROFILE%\AppData\Local\Temp\OnboardLogs"\RTDC4038\2017-01-20</v>
      </c>
      <c r="S40" s="99" t="str">
        <f>VLOOKUP(C40,'Train Runs'!$A$13:$AE$10000,22,0)</f>
        <v>https://d0f6bd738d7f1b3e5a7ca70fe4ff75f0.us-east-1.aws.found.io/app/kibana#/discover/Steve-Slow-Train-Analysis-(2080s-and-2083s)?_g=(refreshInterval:(display:Off,pause:!f,section:0,value:0),time:(from:'2017-01-19T03:57:52-0700',mode:absolute,to:'2017-01-19T06:08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T40" s="101" t="str">
        <f t="shared" si="1"/>
        <v>"C:\Program Files (x86)\AstroGrep\AstroGrep.exe" /spath="%USERPROFILE%\AppData\Local\Temp\OnboardLogs" /stypes="*4038*201701191*" /stext=" 12:.+((SYSTEM_STATE.+slice.+state.+changed )|(ment ac)|(multiple cpu faults)|(system.+state.+changed )|(\[timeout)|(PRM\|1\|D)|(kpr)|(kdp)|(\|lc)|(penalty))" /e /r /s</v>
      </c>
      <c r="U40" s="9" t="str">
        <f t="shared" si="2"/>
        <v>4038</v>
      </c>
      <c r="V40" s="33">
        <f t="shared" si="3"/>
        <v>42754.506157407406</v>
      </c>
      <c r="W40" s="47" t="str">
        <f t="shared" si="4"/>
        <v>Other</v>
      </c>
      <c r="X40" s="47" t="str">
        <f t="shared" si="5"/>
        <v>KEEP</v>
      </c>
      <c r="Y40" s="115" t="str">
        <f t="shared" si="6"/>
        <v>echo {"issue":{"subject":"","project_id":79,"tracker_id":40,"status_id":1,"priority_id":2,"assigned_to_id":23,"start_date":"2017-01-19","description":"","custom_fields":[{"id":1,"name":"Subdivision","value":"Other"},{"id":4,"name":"Milepost","value":"5.9058"},{"id":17,"name":"Train ID","value":"901-19"},{"id":16,"name":"Locomotive ID","value":"4038"},{"id":130,"name":"Impact","value":""},{"id":150,"name":"Time of Event (Mountain Time)","value":"05:08:52"},{"id":151,"name":"Denver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0"/>
      <c r="AA40" s="50"/>
      <c r="AB40" s="50"/>
      <c r="AC40" s="134" t="str">
        <f t="shared" si="7"/>
        <v>grep -hSE -A400 "Enforcement Action" "%USERPROFILE%\AppData\Local\Temp\OnboardLogs"\RTDC4038\*4038*201701191*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"%USERPROFILE%\AppData\Local\Temp\OnboardLogs"\RTDC4038\*4038*201701191* &gt;&gt; 2017-01-19-SliceDisagreementCheck.txt</v>
      </c>
      <c r="AE40" s="180" t="str">
        <f t="shared" si="9"/>
        <v>start /low /b %USERPROFILE%\Documents\GitHub\eaglep3\Utilities\DownloadLogsFromS3.py --loco 4038 --day 2017-01-19</v>
      </c>
      <c r="AF40" s="1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  <c r="AE63"/>
    </row>
  </sheetData>
  <autoFilter ref="A6:AC34">
    <sortState ref="A7:AC43">
      <sortCondition ref="W7:W43"/>
      <sortCondition ref="E7:E43"/>
      <sortCondition ref="K7:K43"/>
      <sortCondition ref="F7:F43"/>
    </sortState>
  </autoFilter>
  <sortState ref="B7:AE38">
    <sortCondition ref="W7:W38"/>
    <sortCondition ref="E7:E38"/>
    <sortCondition ref="K7:K38"/>
    <sortCondition ref="C7:C38"/>
    <sortCondition ref="F7:F38"/>
  </sortState>
  <mergeCells count="1">
    <mergeCell ref="A5:O5"/>
  </mergeCells>
  <conditionalFormatting sqref="O6:P6 R6 O64:O1048576 O7:O40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0">
    <cfRule type="expression" dxfId="1" priority="20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AA7:AA40</xm:sqref>
        </x14:dataValidation>
        <x14:dataValidation type="list" allowBlank="1" showInputMessage="1" showErrorMessage="1">
          <x14:formula1>
            <xm:f>'Redmine List Values'!$C$2:$C$15</xm:f>
          </x14:formula1>
          <xm:sqref>AB7:AB40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5"/>
  <sheetViews>
    <sheetView workbookViewId="0">
      <selection activeCell="A4" sqref="A4"/>
    </sheetView>
  </sheetViews>
  <sheetFormatPr defaultRowHeight="15" x14ac:dyDescent="0.25"/>
  <cols>
    <col min="1" max="1" width="9.140625" style="162"/>
    <col min="2" max="2" width="9.140625" style="2" customWidth="1"/>
    <col min="3" max="3" width="8" style="104" bestFit="1" customWidth="1"/>
    <col min="4" max="4" width="9.85546875" style="158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0" s="21" customFormat="1" x14ac:dyDescent="0.25">
      <c r="A1" s="162"/>
      <c r="B1" s="190" t="str">
        <f>"Trips that did not appear in PTC Data "&amp;TEXT(Variables!$A$2,"YYYY-mm-dd")</f>
        <v>Trips that did not appear in PTC Data 2017-01-19</v>
      </c>
      <c r="C1" s="190"/>
      <c r="D1" s="190"/>
      <c r="E1" s="190"/>
      <c r="F1" s="190"/>
    </row>
    <row r="2" spans="1:10" s="24" customFormat="1" ht="45" x14ac:dyDescent="0.25">
      <c r="A2" s="171" t="s">
        <v>152</v>
      </c>
      <c r="B2" s="106" t="s">
        <v>58</v>
      </c>
      <c r="C2" s="103" t="s">
        <v>59</v>
      </c>
      <c r="D2" s="187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0" x14ac:dyDescent="0.25">
      <c r="A3" s="164">
        <v>119</v>
      </c>
      <c r="B3" s="44" t="str">
        <f>A3&amp;"-"&amp;IF(DAY(Variables!$A$2)&lt;10,0,"")&amp;DAY(Variables!$A$2)</f>
        <v>119-19</v>
      </c>
      <c r="C3" s="154"/>
      <c r="D3" s="188"/>
      <c r="E3" s="31" t="s">
        <v>873</v>
      </c>
      <c r="F3" s="22" t="str">
        <f>VLOOKUP(B3,'Trips&amp;Operators'!$C$2:$E$10000,3,FALSE)</f>
        <v>ROBINSON</v>
      </c>
      <c r="G3" s="22" t="str">
        <f>VLOOKUP(B3,'Trips&amp;Operators'!$C$1:$F$10000,4,FALSE)</f>
        <v>KADDIBA</v>
      </c>
      <c r="H3" s="30" t="str">
        <f>VLOOKUP(B3,'Trips&amp;Operators'!$C$1:$H$10000,5,FALSE)</f>
        <v>ROBINSON KADDIBA</v>
      </c>
      <c r="I3" s="47" t="str">
        <f t="shared" ref="I3:I14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22119-19%22)),sort:!(Time.ISO8601,asc))</v>
      </c>
      <c r="J3" s="31" t="e">
        <f>VLOOKUP(B3,'Train Runs'!$A$13:$A$99997,1,FALSE)</f>
        <v>#N/A</v>
      </c>
    </row>
    <row r="4" spans="1:10" x14ac:dyDescent="0.25">
      <c r="A4" s="164"/>
      <c r="B4" s="44" t="str">
        <f>A4&amp;"-"&amp;IF(DAY(Variables!$A$2)&lt;10,0,"")&amp;DAY(Variables!$A$2)</f>
        <v>-19</v>
      </c>
      <c r="C4" s="154"/>
      <c r="D4" s="188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" s="31" t="e">
        <f>VLOOKUP(B4,'Train Runs'!$A$13:$A$99997,1,FALSE)</f>
        <v>#N/A</v>
      </c>
    </row>
    <row r="5" spans="1:10" x14ac:dyDescent="0.25">
      <c r="A5" s="164"/>
      <c r="B5" s="44" t="str">
        <f>A5&amp;"-"&amp;IF(DAY(Variables!$A$2)&lt;10,0,"")&amp;DAY(Variables!$A$2)</f>
        <v>-19</v>
      </c>
      <c r="C5" s="154"/>
      <c r="D5" s="188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" s="31" t="e">
        <f>VLOOKUP(B5,'Train Runs'!$A$13:$A$99997,1,FALSE)</f>
        <v>#N/A</v>
      </c>
    </row>
    <row r="6" spans="1:10" x14ac:dyDescent="0.25">
      <c r="A6" s="164"/>
      <c r="B6" s="44" t="str">
        <f>A6&amp;"-"&amp;IF(DAY(Variables!$A$2)&lt;10,0,"")&amp;DAY(Variables!$A$2)</f>
        <v>-19</v>
      </c>
      <c r="C6" s="154"/>
      <c r="D6" s="188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" s="31" t="e">
        <f>VLOOKUP(B6,'Train Runs'!$A$13:$A$99997,1,FALSE)</f>
        <v>#N/A</v>
      </c>
    </row>
    <row r="7" spans="1:10" x14ac:dyDescent="0.25">
      <c r="A7" s="164"/>
      <c r="B7" s="44" t="str">
        <f>A7&amp;"-"&amp;IF(DAY(Variables!$A$2)&lt;10,0,"")&amp;DAY(Variables!$A$2)</f>
        <v>-19</v>
      </c>
      <c r="C7" s="154"/>
      <c r="D7" s="188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" s="31" t="e">
        <f>VLOOKUP(B7,'Train Runs'!$A$13:$A$99997,1,FALSE)</f>
        <v>#N/A</v>
      </c>
    </row>
    <row r="8" spans="1:10" x14ac:dyDescent="0.25">
      <c r="A8" s="164"/>
      <c r="B8" s="44" t="str">
        <f>A8&amp;"-"&amp;IF(DAY(Variables!$A$2)&lt;10,0,"")&amp;DAY(Variables!$A$2)</f>
        <v>-19</v>
      </c>
      <c r="C8" s="154"/>
      <c r="D8" s="188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8" s="31" t="e">
        <f>VLOOKUP(B8,'Train Runs'!$A$13:$A$99997,1,FALSE)</f>
        <v>#N/A</v>
      </c>
    </row>
    <row r="9" spans="1:10" x14ac:dyDescent="0.25">
      <c r="A9" s="164"/>
      <c r="B9" s="44" t="str">
        <f>A9&amp;"-"&amp;IF(DAY(Variables!$A$2)&lt;10,0,"")&amp;DAY(Variables!$A$2)</f>
        <v>-19</v>
      </c>
      <c r="C9" s="154"/>
      <c r="D9" s="188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9" s="31" t="e">
        <f>VLOOKUP(B9,'Train Runs'!$A$13:$A$99997,1,FALSE)</f>
        <v>#N/A</v>
      </c>
    </row>
    <row r="10" spans="1:10" x14ac:dyDescent="0.25">
      <c r="A10" s="164"/>
      <c r="B10" s="44" t="str">
        <f>A10&amp;"-"&amp;IF(DAY(Variables!$A$2)&lt;10,0,"")&amp;DAY(Variables!$A$2)</f>
        <v>-19</v>
      </c>
      <c r="C10" s="154"/>
      <c r="D10" s="188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0" s="31" t="e">
        <f>VLOOKUP(B10,'Train Runs'!$A$13:$A$99997,1,FALSE)</f>
        <v>#N/A</v>
      </c>
    </row>
    <row r="11" spans="1:10" x14ac:dyDescent="0.25">
      <c r="A11" s="164"/>
      <c r="B11" s="44" t="str">
        <f>A11&amp;"-"&amp;IF(DAY(Variables!$A$2)&lt;10,0,"")&amp;DAY(Variables!$A$2)</f>
        <v>-19</v>
      </c>
      <c r="C11" s="154"/>
      <c r="D11" s="188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1" s="31" t="e">
        <f>VLOOKUP(B11,'Train Runs'!$A$13:$A$99997,1,FALSE)</f>
        <v>#N/A</v>
      </c>
    </row>
    <row r="12" spans="1:10" x14ac:dyDescent="0.25">
      <c r="A12" s="164"/>
      <c r="B12" s="44" t="str">
        <f>A12&amp;"-"&amp;IF(DAY(Variables!$A$2)&lt;10,0,"")&amp;DAY(Variables!$A$2)</f>
        <v>-19</v>
      </c>
      <c r="C12" s="154"/>
      <c r="D12" s="188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2" s="31" t="e">
        <f>VLOOKUP(B12,'Train Runs'!$A$13:$A$99997,1,FALSE)</f>
        <v>#N/A</v>
      </c>
    </row>
    <row r="13" spans="1:10" x14ac:dyDescent="0.25">
      <c r="A13" s="164"/>
      <c r="B13" s="44" t="str">
        <f>A13&amp;"-"&amp;IF(DAY(Variables!$A$2)&lt;10,0,"")&amp;DAY(Variables!$A$2)</f>
        <v>-19</v>
      </c>
      <c r="C13" s="154"/>
      <c r="D13" s="188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3" s="31" t="e">
        <f>VLOOKUP(B13,'Train Runs'!$A$13:$A$99997,1,FALSE)</f>
        <v>#N/A</v>
      </c>
    </row>
    <row r="14" spans="1:10" x14ac:dyDescent="0.25">
      <c r="A14" s="164"/>
      <c r="B14" s="44" t="str">
        <f>A14&amp;"-"&amp;IF(DAY(Variables!$A$2)&lt;10,0,"")&amp;DAY(Variables!$A$2)</f>
        <v>-19</v>
      </c>
      <c r="C14" s="154"/>
      <c r="D14" s="188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4" s="31" t="e">
        <f>VLOOKUP(B14,'Train Runs'!$A$13:$A$99997,1,FALSE)</f>
        <v>#N/A</v>
      </c>
    </row>
    <row r="15" spans="1:10" x14ac:dyDescent="0.25">
      <c r="A15" s="164"/>
      <c r="B15" s="44" t="str">
        <f>A15&amp;"-"&amp;IF(DAY(Variables!$A$2)&lt;10,0,"")&amp;DAY(Variables!$A$2)</f>
        <v>-19</v>
      </c>
      <c r="C15" s="154"/>
      <c r="D15" s="188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47" t="str">
        <f t="shared" ref="I15:I78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5" s="31" t="e">
        <f>VLOOKUP(B15,'Train Runs'!$A$13:$A$99997,1,FALSE)</f>
        <v>#N/A</v>
      </c>
    </row>
    <row r="16" spans="1:10" x14ac:dyDescent="0.25">
      <c r="A16" s="164"/>
      <c r="B16" s="44" t="str">
        <f>A16&amp;"-"&amp;IF(DAY(Variables!$A$2)&lt;10,0,"")&amp;DAY(Variables!$A$2)</f>
        <v>-19</v>
      </c>
      <c r="C16" s="154"/>
      <c r="D16" s="188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6" s="31" t="e">
        <f>VLOOKUP(B16,'Train Runs'!$A$13:$A$99997,1,FALSE)</f>
        <v>#N/A</v>
      </c>
    </row>
    <row r="17" spans="1:10" x14ac:dyDescent="0.25">
      <c r="A17" s="164"/>
      <c r="B17" s="44" t="str">
        <f>A17&amp;"-"&amp;IF(DAY(Variables!$A$2)&lt;10,0,"")&amp;DAY(Variables!$A$2)</f>
        <v>-19</v>
      </c>
      <c r="C17" s="154"/>
      <c r="D17" s="188"/>
      <c r="E17" s="31"/>
      <c r="F17" s="22" t="e">
        <f>VLOOKUP(B17,'Trips&amp;Operators'!$C$2:$E$10000,3,FALSE)</f>
        <v>#N/A</v>
      </c>
      <c r="G17" s="22" t="e">
        <f>VLOOKUP(B17,'Trips&amp;Operators'!$C$1:$F$10000,4,FALSE)</f>
        <v>#N/A</v>
      </c>
      <c r="H17" s="30" t="e">
        <f>VLOOKUP(B17,'Trips&amp;Operators'!$C$1:$H$10000,5,FALSE)</f>
        <v>#N/A</v>
      </c>
      <c r="I1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7" s="31" t="e">
        <f>VLOOKUP(B17,'Train Runs'!$A$13:$A$99997,1,FALSE)</f>
        <v>#N/A</v>
      </c>
    </row>
    <row r="18" spans="1:10" x14ac:dyDescent="0.25">
      <c r="A18" s="164"/>
      <c r="B18" s="44" t="str">
        <f>A18&amp;"-"&amp;IF(DAY(Variables!$A$2)&lt;10,0,"")&amp;DAY(Variables!$A$2)</f>
        <v>-19</v>
      </c>
      <c r="C18" s="154"/>
      <c r="D18" s="188"/>
      <c r="E18" s="31"/>
      <c r="F18" s="22" t="e">
        <f>VLOOKUP(B18,'Trips&amp;Operators'!$C$2:$E$10000,3,FALSE)</f>
        <v>#N/A</v>
      </c>
      <c r="G18" s="22" t="e">
        <f>VLOOKUP(B18,'Trips&amp;Operators'!$C$1:$F$10000,4,FALSE)</f>
        <v>#N/A</v>
      </c>
      <c r="H18" s="30" t="e">
        <f>VLOOKUP(B18,'Trips&amp;Operators'!$C$1:$H$10000,5,FALSE)</f>
        <v>#N/A</v>
      </c>
      <c r="I1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8" s="31" t="e">
        <f>VLOOKUP(B18,'Train Runs'!$A$13:$A$99997,1,FALSE)</f>
        <v>#N/A</v>
      </c>
    </row>
    <row r="19" spans="1:10" x14ac:dyDescent="0.25">
      <c r="A19" s="164"/>
      <c r="B19" s="44" t="str">
        <f>A19&amp;"-"&amp;IF(DAY(Variables!$A$2)&lt;10,0,"")&amp;DAY(Variables!$A$2)</f>
        <v>-19</v>
      </c>
      <c r="C19" s="154"/>
      <c r="D19" s="188"/>
      <c r="E19" s="31"/>
      <c r="F19" s="22" t="e">
        <f>VLOOKUP(B19,'Trips&amp;Operators'!$C$2:$E$10000,3,FALSE)</f>
        <v>#N/A</v>
      </c>
      <c r="G19" s="22" t="e">
        <f>VLOOKUP(B19,'Trips&amp;Operators'!$C$1:$F$10000,4,FALSE)</f>
        <v>#N/A</v>
      </c>
      <c r="H19" s="30" t="e">
        <f>VLOOKUP(B19,'Trips&amp;Operators'!$C$1:$H$10000,5,FALSE)</f>
        <v>#N/A</v>
      </c>
      <c r="I1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9" s="31" t="e">
        <f>VLOOKUP(B19,'Train Runs'!$A$13:$A$99997,1,FALSE)</f>
        <v>#N/A</v>
      </c>
    </row>
    <row r="20" spans="1:10" x14ac:dyDescent="0.25">
      <c r="A20" s="164"/>
      <c r="B20" s="44" t="str">
        <f>A20&amp;"-"&amp;IF(DAY(Variables!$A$2)&lt;10,0,"")&amp;DAY(Variables!$A$2)</f>
        <v>-19</v>
      </c>
      <c r="C20" s="154"/>
      <c r="D20" s="188"/>
      <c r="E20" s="31"/>
      <c r="F20" s="22" t="e">
        <f>VLOOKUP(B20,'Trips&amp;Operators'!$C$2:$E$10000,3,FALSE)</f>
        <v>#N/A</v>
      </c>
      <c r="G20" s="22" t="e">
        <f>VLOOKUP(B20,'Trips&amp;Operators'!$C$1:$F$10000,4,FALSE)</f>
        <v>#N/A</v>
      </c>
      <c r="H20" s="30" t="e">
        <f>VLOOKUP(B20,'Trips&amp;Operators'!$C$1:$H$10000,5,FALSE)</f>
        <v>#N/A</v>
      </c>
      <c r="I2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0" s="31" t="e">
        <f>VLOOKUP(B20,'Train Runs'!$A$13:$A$99997,1,FALSE)</f>
        <v>#N/A</v>
      </c>
    </row>
    <row r="21" spans="1:10" x14ac:dyDescent="0.25">
      <c r="A21" s="164"/>
      <c r="B21" s="44" t="str">
        <f>A21&amp;"-"&amp;IF(DAY(Variables!$A$2)&lt;10,0,"")&amp;DAY(Variables!$A$2)</f>
        <v>-19</v>
      </c>
      <c r="C21" s="154"/>
      <c r="D21" s="188"/>
      <c r="E21" s="31"/>
      <c r="F21" s="22" t="e">
        <f>VLOOKUP(B21,'Trips&amp;Operators'!$C$2:$E$10000,3,FALSE)</f>
        <v>#N/A</v>
      </c>
      <c r="G21" s="22" t="e">
        <f>VLOOKUP(B21,'Trips&amp;Operators'!$C$1:$F$10000,4,FALSE)</f>
        <v>#N/A</v>
      </c>
      <c r="H21" s="30" t="e">
        <f>VLOOKUP(B21,'Trips&amp;Operators'!$C$1:$H$10000,5,FALSE)</f>
        <v>#N/A</v>
      </c>
      <c r="I2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1" s="31" t="e">
        <f>VLOOKUP(B21,'Train Runs'!$A$13:$A$99997,1,FALSE)</f>
        <v>#N/A</v>
      </c>
    </row>
    <row r="22" spans="1:10" x14ac:dyDescent="0.25">
      <c r="A22" s="164"/>
      <c r="B22" s="44" t="str">
        <f>A22&amp;"-"&amp;IF(DAY(Variables!$A$2)&lt;10,0,"")&amp;DAY(Variables!$A$2)</f>
        <v>-19</v>
      </c>
      <c r="C22" s="154"/>
      <c r="D22" s="188"/>
      <c r="E22" s="31"/>
      <c r="F22" s="22" t="e">
        <f>VLOOKUP(B22,'Trips&amp;Operators'!$C$2:$E$10000,3,FALSE)</f>
        <v>#N/A</v>
      </c>
      <c r="G22" s="22" t="e">
        <f>VLOOKUP(B22,'Trips&amp;Operators'!$C$1:$F$10000,4,FALSE)</f>
        <v>#N/A</v>
      </c>
      <c r="H22" s="30" t="e">
        <f>VLOOKUP(B22,'Trips&amp;Operators'!$C$1:$H$10000,5,FALSE)</f>
        <v>#N/A</v>
      </c>
      <c r="I2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2" s="31" t="e">
        <f>VLOOKUP(B22,'Train Runs'!$A$13:$A$99997,1,FALSE)</f>
        <v>#N/A</v>
      </c>
    </row>
    <row r="23" spans="1:10" x14ac:dyDescent="0.25">
      <c r="A23" s="164"/>
      <c r="B23" s="44" t="str">
        <f>A23&amp;"-"&amp;IF(DAY(Variables!$A$2)&lt;10,0,"")&amp;DAY(Variables!$A$2)</f>
        <v>-19</v>
      </c>
      <c r="C23" s="154"/>
      <c r="D23" s="188"/>
      <c r="E23" s="31"/>
      <c r="F23" s="22" t="e">
        <f>VLOOKUP(B23,'Trips&amp;Operators'!$C$2:$E$10000,3,FALSE)</f>
        <v>#N/A</v>
      </c>
      <c r="G23" s="22" t="e">
        <f>VLOOKUP(B23,'Trips&amp;Operators'!$C$1:$F$10000,4,FALSE)</f>
        <v>#N/A</v>
      </c>
      <c r="H23" s="30" t="e">
        <f>VLOOKUP(B23,'Trips&amp;Operators'!$C$1:$H$10000,5,FALSE)</f>
        <v>#N/A</v>
      </c>
      <c r="I2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3" s="31" t="e">
        <f>VLOOKUP(B23,'Train Runs'!$A$13:$A$99997,1,FALSE)</f>
        <v>#N/A</v>
      </c>
    </row>
    <row r="24" spans="1:10" x14ac:dyDescent="0.25">
      <c r="A24" s="164"/>
      <c r="B24" s="44" t="str">
        <f>A24&amp;"-"&amp;IF(DAY(Variables!$A$2)&lt;10,0,"")&amp;DAY(Variables!$A$2)</f>
        <v>-19</v>
      </c>
      <c r="C24" s="154"/>
      <c r="D24" s="188"/>
      <c r="E24" s="31"/>
      <c r="F24" s="22" t="e">
        <f>VLOOKUP(B24,'Trips&amp;Operators'!$C$2:$E$10000,3,FALSE)</f>
        <v>#N/A</v>
      </c>
      <c r="G24" s="22" t="e">
        <f>VLOOKUP(B24,'Trips&amp;Operators'!$C$1:$F$10000,4,FALSE)</f>
        <v>#N/A</v>
      </c>
      <c r="H24" s="30" t="e">
        <f>VLOOKUP(B24,'Trips&amp;Operators'!$C$1:$H$10000,5,FALSE)</f>
        <v>#N/A</v>
      </c>
      <c r="I2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4" s="31" t="e">
        <f>VLOOKUP(B24,'Train Runs'!$A$13:$A$99997,1,FALSE)</f>
        <v>#N/A</v>
      </c>
    </row>
    <row r="25" spans="1:10" x14ac:dyDescent="0.25">
      <c r="A25" s="164"/>
      <c r="B25" s="44" t="str">
        <f>A25&amp;"-"&amp;IF(DAY(Variables!$A$2)&lt;10,0,"")&amp;DAY(Variables!$A$2)</f>
        <v>-19</v>
      </c>
      <c r="C25" s="154"/>
      <c r="D25" s="188"/>
      <c r="E25" s="31"/>
      <c r="F25" s="22" t="e">
        <f>VLOOKUP(B25,'Trips&amp;Operators'!$C$2:$E$10000,3,FALSE)</f>
        <v>#N/A</v>
      </c>
      <c r="G25" s="22" t="e">
        <f>VLOOKUP(B25,'Trips&amp;Operators'!$C$1:$F$10000,4,FALSE)</f>
        <v>#N/A</v>
      </c>
      <c r="H25" s="30" t="e">
        <f>VLOOKUP(B25,'Trips&amp;Operators'!$C$1:$H$10000,5,FALSE)</f>
        <v>#N/A</v>
      </c>
      <c r="I2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5" s="31" t="e">
        <f>VLOOKUP(B25,'Train Runs'!$A$13:$A$99997,1,FALSE)</f>
        <v>#N/A</v>
      </c>
    </row>
    <row r="26" spans="1:10" x14ac:dyDescent="0.25">
      <c r="A26" s="164"/>
      <c r="B26" s="44" t="str">
        <f>A26&amp;"-"&amp;IF(DAY(Variables!$A$2)&lt;10,0,"")&amp;DAY(Variables!$A$2)</f>
        <v>-19</v>
      </c>
      <c r="C26" s="154"/>
      <c r="D26" s="188"/>
      <c r="E26" s="31"/>
      <c r="F26" s="22" t="e">
        <f>VLOOKUP(B26,'Trips&amp;Operators'!$C$2:$E$10000,3,FALSE)</f>
        <v>#N/A</v>
      </c>
      <c r="G26" s="22" t="e">
        <f>VLOOKUP(B26,'Trips&amp;Operators'!$C$1:$F$10000,4,FALSE)</f>
        <v>#N/A</v>
      </c>
      <c r="H26" s="30" t="e">
        <f>VLOOKUP(B26,'Trips&amp;Operators'!$C$1:$H$10000,5,FALSE)</f>
        <v>#N/A</v>
      </c>
      <c r="I2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6" s="31" t="e">
        <f>VLOOKUP(B26,'Train Runs'!$A$13:$A$99997,1,FALSE)</f>
        <v>#N/A</v>
      </c>
    </row>
    <row r="27" spans="1:10" x14ac:dyDescent="0.25">
      <c r="A27" s="164"/>
      <c r="B27" s="44" t="str">
        <f>A27&amp;"-"&amp;IF(DAY(Variables!$A$2)&lt;10,0,"")&amp;DAY(Variables!$A$2)</f>
        <v>-19</v>
      </c>
      <c r="C27" s="154"/>
      <c r="D27" s="188"/>
      <c r="E27" s="31"/>
      <c r="F27" s="22" t="e">
        <f>VLOOKUP(B27,'Trips&amp;Operators'!$C$2:$E$10000,3,FALSE)</f>
        <v>#N/A</v>
      </c>
      <c r="G27" s="22" t="e">
        <f>VLOOKUP(B27,'Trips&amp;Operators'!$C$1:$F$10000,4,FALSE)</f>
        <v>#N/A</v>
      </c>
      <c r="H27" s="30" t="e">
        <f>VLOOKUP(B27,'Trips&amp;Operators'!$C$1:$H$10000,5,FALSE)</f>
        <v>#N/A</v>
      </c>
      <c r="I2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7" s="31" t="e">
        <f>VLOOKUP(B27,'Train Runs'!$A$13:$A$99997,1,FALSE)</f>
        <v>#N/A</v>
      </c>
    </row>
    <row r="28" spans="1:10" x14ac:dyDescent="0.25">
      <c r="A28" s="164"/>
      <c r="B28" s="44" t="str">
        <f>A28&amp;"-"&amp;IF(DAY(Variables!$A$2)&lt;10,0,"")&amp;DAY(Variables!$A$2)</f>
        <v>-19</v>
      </c>
      <c r="C28" s="154"/>
      <c r="D28" s="188"/>
      <c r="E28" s="31"/>
      <c r="F28" s="22" t="e">
        <f>VLOOKUP(B28,'Trips&amp;Operators'!$C$2:$E$10000,3,FALSE)</f>
        <v>#N/A</v>
      </c>
      <c r="G28" s="22" t="e">
        <f>VLOOKUP(B28,'Trips&amp;Operators'!$C$1:$F$10000,4,FALSE)</f>
        <v>#N/A</v>
      </c>
      <c r="H28" s="30" t="e">
        <f>VLOOKUP(B28,'Trips&amp;Operators'!$C$1:$H$10000,5,FALSE)</f>
        <v>#N/A</v>
      </c>
      <c r="I2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8" s="31" t="e">
        <f>VLOOKUP(B28,'Train Runs'!$A$13:$A$99997,1,FALSE)</f>
        <v>#N/A</v>
      </c>
    </row>
    <row r="29" spans="1:10" x14ac:dyDescent="0.25">
      <c r="A29" s="164"/>
      <c r="B29" s="44" t="str">
        <f>A29&amp;"-"&amp;IF(DAY(Variables!$A$2)&lt;10,0,"")&amp;DAY(Variables!$A$2)</f>
        <v>-19</v>
      </c>
      <c r="C29" s="154"/>
      <c r="D29" s="188"/>
      <c r="E29" s="31"/>
      <c r="F29" s="22" t="e">
        <f>VLOOKUP(B29,'Trips&amp;Operators'!$C$2:$E$10000,3,FALSE)</f>
        <v>#N/A</v>
      </c>
      <c r="G29" s="22" t="e">
        <f>VLOOKUP(B29,'Trips&amp;Operators'!$C$1:$F$10000,4,FALSE)</f>
        <v>#N/A</v>
      </c>
      <c r="H29" s="30" t="e">
        <f>VLOOKUP(B29,'Trips&amp;Operators'!$C$1:$H$10000,5,FALSE)</f>
        <v>#N/A</v>
      </c>
      <c r="I2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9" s="31" t="e">
        <f>VLOOKUP(B29,'Train Runs'!$A$13:$A$99997,1,FALSE)</f>
        <v>#N/A</v>
      </c>
    </row>
    <row r="30" spans="1:10" x14ac:dyDescent="0.25">
      <c r="A30" s="164"/>
      <c r="B30" s="44" t="str">
        <f>A30&amp;"-"&amp;IF(DAY(Variables!$A$2)&lt;10,0,"")&amp;DAY(Variables!$A$2)</f>
        <v>-19</v>
      </c>
      <c r="C30" s="154"/>
      <c r="D30" s="188"/>
      <c r="E30" s="31"/>
      <c r="F30" s="22" t="e">
        <f>VLOOKUP(B30,'Trips&amp;Operators'!$C$2:$E$10000,3,FALSE)</f>
        <v>#N/A</v>
      </c>
      <c r="G30" s="22" t="e">
        <f>VLOOKUP(B30,'Trips&amp;Operators'!$C$1:$F$10000,4,FALSE)</f>
        <v>#N/A</v>
      </c>
      <c r="H30" s="30" t="e">
        <f>VLOOKUP(B30,'Trips&amp;Operators'!$C$1:$H$10000,5,FALSE)</f>
        <v>#N/A</v>
      </c>
      <c r="I3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0" s="31" t="e">
        <f>VLOOKUP(B30,'Train Runs'!$A$13:$A$99997,1,FALSE)</f>
        <v>#N/A</v>
      </c>
    </row>
    <row r="31" spans="1:10" x14ac:dyDescent="0.25">
      <c r="A31" s="164"/>
      <c r="B31" s="44" t="str">
        <f>A31&amp;"-"&amp;IF(DAY(Variables!$A$2)&lt;10,0,"")&amp;DAY(Variables!$A$2)</f>
        <v>-19</v>
      </c>
      <c r="C31" s="154"/>
      <c r="D31" s="188"/>
      <c r="E31" s="31"/>
      <c r="F31" s="22" t="e">
        <f>VLOOKUP(B31,'Trips&amp;Operators'!$C$2:$E$10000,3,FALSE)</f>
        <v>#N/A</v>
      </c>
      <c r="G31" s="22" t="e">
        <f>VLOOKUP(B31,'Trips&amp;Operators'!$C$1:$F$10000,4,FALSE)</f>
        <v>#N/A</v>
      </c>
      <c r="H31" s="30" t="e">
        <f>VLOOKUP(B31,'Trips&amp;Operators'!$C$1:$H$10000,5,FALSE)</f>
        <v>#N/A</v>
      </c>
      <c r="I3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1" s="31" t="e">
        <f>VLOOKUP(B31,'Train Runs'!$A$13:$A$99997,1,FALSE)</f>
        <v>#N/A</v>
      </c>
    </row>
    <row r="32" spans="1:10" x14ac:dyDescent="0.25">
      <c r="A32" s="164"/>
      <c r="B32" s="44" t="str">
        <f>A32&amp;"-"&amp;IF(DAY(Variables!$A$2)&lt;10,0,"")&amp;DAY(Variables!$A$2)</f>
        <v>-19</v>
      </c>
      <c r="C32" s="154"/>
      <c r="D32" s="188"/>
      <c r="E32" s="31"/>
      <c r="F32" s="22" t="e">
        <f>VLOOKUP(B32,'Trips&amp;Operators'!$C$2:$E$10000,3,FALSE)</f>
        <v>#N/A</v>
      </c>
      <c r="G32" s="22" t="e">
        <f>VLOOKUP(B32,'Trips&amp;Operators'!$C$1:$F$10000,4,FALSE)</f>
        <v>#N/A</v>
      </c>
      <c r="H32" s="30" t="e">
        <f>VLOOKUP(B32,'Trips&amp;Operators'!$C$1:$H$10000,5,FALSE)</f>
        <v>#N/A</v>
      </c>
      <c r="I3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2" s="31" t="e">
        <f>VLOOKUP(B32,'Train Runs'!$A$13:$A$99997,1,FALSE)</f>
        <v>#N/A</v>
      </c>
    </row>
    <row r="33" spans="1:10" x14ac:dyDescent="0.25">
      <c r="A33" s="164"/>
      <c r="B33" s="44" t="str">
        <f>A33&amp;"-"&amp;IF(DAY(Variables!$A$2)&lt;10,0,"")&amp;DAY(Variables!$A$2)</f>
        <v>-19</v>
      </c>
      <c r="C33" s="154"/>
      <c r="D33" s="188"/>
      <c r="E33" s="31"/>
      <c r="F33" s="22" t="e">
        <f>VLOOKUP(B33,'Trips&amp;Operators'!$C$2:$E$10000,3,FALSE)</f>
        <v>#N/A</v>
      </c>
      <c r="G33" s="22" t="e">
        <f>VLOOKUP(B33,'Trips&amp;Operators'!$C$1:$F$10000,4,FALSE)</f>
        <v>#N/A</v>
      </c>
      <c r="H33" s="30" t="e">
        <f>VLOOKUP(B33,'Trips&amp;Operators'!$C$1:$H$10000,5,FALSE)</f>
        <v>#N/A</v>
      </c>
      <c r="I3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3" s="31" t="e">
        <f>VLOOKUP(B33,'Train Runs'!$A$13:$A$99997,1,FALSE)</f>
        <v>#N/A</v>
      </c>
    </row>
    <row r="34" spans="1:10" x14ac:dyDescent="0.25">
      <c r="A34" s="164"/>
      <c r="B34" s="44" t="str">
        <f>A34&amp;"-"&amp;IF(DAY(Variables!$A$2)&lt;10,0,"")&amp;DAY(Variables!$A$2)</f>
        <v>-19</v>
      </c>
      <c r="C34" s="154"/>
      <c r="D34" s="188"/>
      <c r="E34" s="31"/>
      <c r="F34" s="22" t="e">
        <f>VLOOKUP(B34,'Trips&amp;Operators'!$C$2:$E$10000,3,FALSE)</f>
        <v>#N/A</v>
      </c>
      <c r="G34" s="22" t="e">
        <f>VLOOKUP(B34,'Trips&amp;Operators'!$C$1:$F$10000,4,FALSE)</f>
        <v>#N/A</v>
      </c>
      <c r="H34" s="30" t="e">
        <f>VLOOKUP(B34,'Trips&amp;Operators'!$C$1:$H$10000,5,FALSE)</f>
        <v>#N/A</v>
      </c>
      <c r="I3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4" s="31" t="e">
        <f>VLOOKUP(B34,'Train Runs'!$A$13:$A$99997,1,FALSE)</f>
        <v>#N/A</v>
      </c>
    </row>
    <row r="35" spans="1:10" x14ac:dyDescent="0.25">
      <c r="A35" s="164"/>
      <c r="B35" s="44" t="str">
        <f>A35&amp;"-"&amp;IF(DAY(Variables!$A$2)&lt;10,0,"")&amp;DAY(Variables!$A$2)</f>
        <v>-19</v>
      </c>
      <c r="C35" s="154"/>
      <c r="D35" s="188"/>
      <c r="E35" s="31"/>
      <c r="F35" s="22" t="e">
        <f>VLOOKUP(B35,'Trips&amp;Operators'!$C$2:$E$10000,3,FALSE)</f>
        <v>#N/A</v>
      </c>
      <c r="G35" s="22" t="e">
        <f>VLOOKUP(B35,'Trips&amp;Operators'!$C$1:$F$10000,4,FALSE)</f>
        <v>#N/A</v>
      </c>
      <c r="H35" s="30" t="e">
        <f>VLOOKUP(B35,'Trips&amp;Operators'!$C$1:$H$10000,5,FALSE)</f>
        <v>#N/A</v>
      </c>
      <c r="I3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5" s="31" t="e">
        <f>VLOOKUP(B35,'Train Runs'!$A$13:$A$99997,1,FALSE)</f>
        <v>#N/A</v>
      </c>
    </row>
    <row r="36" spans="1:10" x14ac:dyDescent="0.25">
      <c r="A36" s="164"/>
      <c r="B36" s="44" t="str">
        <f>A36&amp;"-"&amp;IF(DAY(Variables!$A$2)&lt;10,0,"")&amp;DAY(Variables!$A$2)</f>
        <v>-19</v>
      </c>
      <c r="C36" s="154"/>
      <c r="D36" s="188"/>
      <c r="E36" s="31"/>
      <c r="F36" s="22" t="e">
        <f>VLOOKUP(B36,'Trips&amp;Operators'!$C$2:$E$10000,3,FALSE)</f>
        <v>#N/A</v>
      </c>
      <c r="G36" s="22" t="e">
        <f>VLOOKUP(B36,'Trips&amp;Operators'!$C$1:$F$10000,4,FALSE)</f>
        <v>#N/A</v>
      </c>
      <c r="H36" s="30" t="e">
        <f>VLOOKUP(B36,'Trips&amp;Operators'!$C$1:$H$10000,5,FALSE)</f>
        <v>#N/A</v>
      </c>
      <c r="I3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6" s="31" t="e">
        <f>VLOOKUP(B36,'Train Runs'!$A$13:$A$99997,1,FALSE)</f>
        <v>#N/A</v>
      </c>
    </row>
    <row r="37" spans="1:10" x14ac:dyDescent="0.25">
      <c r="A37" s="164"/>
      <c r="B37" s="44" t="str">
        <f>A37&amp;"-"&amp;IF(DAY(Variables!$A$2)&lt;10,0,"")&amp;DAY(Variables!$A$2)</f>
        <v>-19</v>
      </c>
      <c r="C37" s="154"/>
      <c r="D37" s="188"/>
      <c r="E37" s="31"/>
      <c r="F37" s="22" t="e">
        <f>VLOOKUP(B37,'Trips&amp;Operators'!$C$2:$E$10000,3,FALSE)</f>
        <v>#N/A</v>
      </c>
      <c r="G37" s="22" t="e">
        <f>VLOOKUP(B37,'Trips&amp;Operators'!$C$1:$F$10000,4,FALSE)</f>
        <v>#N/A</v>
      </c>
      <c r="H37" s="30" t="e">
        <f>VLOOKUP(B37,'Trips&amp;Operators'!$C$1:$H$10000,5,FALSE)</f>
        <v>#N/A</v>
      </c>
      <c r="I3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7" s="31" t="e">
        <f>VLOOKUP(B37,'Train Runs'!$A$13:$A$99997,1,FALSE)</f>
        <v>#N/A</v>
      </c>
    </row>
    <row r="38" spans="1:10" x14ac:dyDescent="0.25">
      <c r="A38" s="164"/>
      <c r="B38" s="44" t="str">
        <f>A38&amp;"-"&amp;IF(DAY(Variables!$A$2)&lt;10,0,"")&amp;DAY(Variables!$A$2)</f>
        <v>-19</v>
      </c>
      <c r="C38" s="154"/>
      <c r="D38" s="188"/>
      <c r="E38" s="31"/>
      <c r="F38" s="22" t="e">
        <f>VLOOKUP(B38,'Trips&amp;Operators'!$C$2:$E$10000,3,FALSE)</f>
        <v>#N/A</v>
      </c>
      <c r="G38" s="22" t="e">
        <f>VLOOKUP(B38,'Trips&amp;Operators'!$C$1:$F$10000,4,FALSE)</f>
        <v>#N/A</v>
      </c>
      <c r="H38" s="30" t="e">
        <f>VLOOKUP(B38,'Trips&amp;Operators'!$C$1:$H$10000,5,FALSE)</f>
        <v>#N/A</v>
      </c>
      <c r="I3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8" s="31" t="e">
        <f>VLOOKUP(B38,'Train Runs'!$A$13:$A$99997,1,FALSE)</f>
        <v>#N/A</v>
      </c>
    </row>
    <row r="39" spans="1:10" x14ac:dyDescent="0.25">
      <c r="A39" s="164"/>
      <c r="B39" s="44" t="str">
        <f>A39&amp;"-"&amp;IF(DAY(Variables!$A$2)&lt;10,0,"")&amp;DAY(Variables!$A$2)</f>
        <v>-19</v>
      </c>
      <c r="C39" s="154"/>
      <c r="D39" s="188"/>
      <c r="E39" s="31"/>
      <c r="F39" s="22" t="e">
        <f>VLOOKUP(B39,'Trips&amp;Operators'!$C$2:$E$10000,3,FALSE)</f>
        <v>#N/A</v>
      </c>
      <c r="G39" s="22" t="e">
        <f>VLOOKUP(B39,'Trips&amp;Operators'!$C$1:$F$10000,4,FALSE)</f>
        <v>#N/A</v>
      </c>
      <c r="H39" s="30" t="e">
        <f>VLOOKUP(B39,'Trips&amp;Operators'!$C$1:$H$10000,5,FALSE)</f>
        <v>#N/A</v>
      </c>
      <c r="I3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9" s="31" t="e">
        <f>VLOOKUP(B39,'Train Runs'!$A$13:$A$99997,1,FALSE)</f>
        <v>#N/A</v>
      </c>
    </row>
    <row r="40" spans="1:10" x14ac:dyDescent="0.25">
      <c r="A40" s="164"/>
      <c r="B40" s="44" t="str">
        <f>A40&amp;"-"&amp;IF(DAY(Variables!$A$2)&lt;10,0,"")&amp;DAY(Variables!$A$2)</f>
        <v>-19</v>
      </c>
      <c r="C40" s="154"/>
      <c r="D40" s="188"/>
      <c r="E40" s="31"/>
      <c r="F40" s="22" t="e">
        <f>VLOOKUP(B40,'Trips&amp;Operators'!$C$2:$E$10000,3,FALSE)</f>
        <v>#N/A</v>
      </c>
      <c r="G40" s="22" t="e">
        <f>VLOOKUP(B40,'Trips&amp;Operators'!$C$1:$F$10000,4,FALSE)</f>
        <v>#N/A</v>
      </c>
      <c r="H40" s="30" t="e">
        <f>VLOOKUP(B40,'Trips&amp;Operators'!$C$1:$H$10000,5,FALSE)</f>
        <v>#N/A</v>
      </c>
      <c r="I4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0" s="31" t="e">
        <f>VLOOKUP(B40,'Train Runs'!$A$13:$A$99997,1,FALSE)</f>
        <v>#N/A</v>
      </c>
    </row>
    <row r="41" spans="1:10" x14ac:dyDescent="0.25">
      <c r="A41" s="164"/>
      <c r="B41" s="44" t="str">
        <f>A41&amp;"-"&amp;IF(DAY(Variables!$A$2)&lt;10,0,"")&amp;DAY(Variables!$A$2)</f>
        <v>-19</v>
      </c>
      <c r="C41" s="154"/>
      <c r="D41" s="188"/>
      <c r="E41" s="31"/>
      <c r="F41" s="22" t="e">
        <f>VLOOKUP(B41,'Trips&amp;Operators'!$C$2:$E$10000,3,FALSE)</f>
        <v>#N/A</v>
      </c>
      <c r="G41" s="22" t="e">
        <f>VLOOKUP(B41,'Trips&amp;Operators'!$C$1:$F$10000,4,FALSE)</f>
        <v>#N/A</v>
      </c>
      <c r="H41" s="30" t="e">
        <f>VLOOKUP(B41,'Trips&amp;Operators'!$C$1:$H$10000,5,FALSE)</f>
        <v>#N/A</v>
      </c>
      <c r="I4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1" s="31" t="e">
        <f>VLOOKUP(B41,'Train Runs'!$A$13:$A$99997,1,FALSE)</f>
        <v>#N/A</v>
      </c>
    </row>
    <row r="42" spans="1:10" x14ac:dyDescent="0.25">
      <c r="A42" s="164"/>
      <c r="B42" s="44" t="str">
        <f>A42&amp;"-"&amp;IF(DAY(Variables!$A$2)&lt;10,0,"")&amp;DAY(Variables!$A$2)</f>
        <v>-19</v>
      </c>
      <c r="C42" s="154"/>
      <c r="D42" s="188"/>
      <c r="E42" s="31"/>
      <c r="F42" s="22" t="e">
        <f>VLOOKUP(B42,'Trips&amp;Operators'!$C$2:$E$10000,3,FALSE)</f>
        <v>#N/A</v>
      </c>
      <c r="G42" s="22" t="e">
        <f>VLOOKUP(B42,'Trips&amp;Operators'!$C$1:$F$10000,4,FALSE)</f>
        <v>#N/A</v>
      </c>
      <c r="H42" s="30" t="e">
        <f>VLOOKUP(B42,'Trips&amp;Operators'!$C$1:$H$10000,5,FALSE)</f>
        <v>#N/A</v>
      </c>
      <c r="I4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2" s="31" t="e">
        <f>VLOOKUP(B42,'Train Runs'!$A$13:$A$99997,1,FALSE)</f>
        <v>#N/A</v>
      </c>
    </row>
    <row r="43" spans="1:10" x14ac:dyDescent="0.25">
      <c r="A43" s="164"/>
      <c r="B43" s="44" t="str">
        <f>A43&amp;"-"&amp;IF(DAY(Variables!$A$2)&lt;10,0,"")&amp;DAY(Variables!$A$2)</f>
        <v>-19</v>
      </c>
      <c r="C43" s="154"/>
      <c r="D43" s="188"/>
      <c r="E43" s="31"/>
      <c r="F43" s="22" t="e">
        <f>VLOOKUP(B43,'Trips&amp;Operators'!$C$2:$E$10000,3,FALSE)</f>
        <v>#N/A</v>
      </c>
      <c r="G43" s="22" t="e">
        <f>VLOOKUP(B43,'Trips&amp;Operators'!$C$1:$F$10000,4,FALSE)</f>
        <v>#N/A</v>
      </c>
      <c r="H43" s="30" t="e">
        <f>VLOOKUP(B43,'Trips&amp;Operators'!$C$1:$H$10000,5,FALSE)</f>
        <v>#N/A</v>
      </c>
      <c r="I4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3" s="31" t="e">
        <f>VLOOKUP(B43,'Train Runs'!$A$13:$A$99997,1,FALSE)</f>
        <v>#N/A</v>
      </c>
    </row>
    <row r="44" spans="1:10" x14ac:dyDescent="0.25">
      <c r="A44" s="164"/>
      <c r="B44" s="44" t="str">
        <f>A44&amp;"-"&amp;IF(DAY(Variables!$A$2)&lt;10,0,"")&amp;DAY(Variables!$A$2)</f>
        <v>-19</v>
      </c>
      <c r="C44" s="154"/>
      <c r="D44" s="188"/>
      <c r="E44" s="31"/>
      <c r="F44" s="22" t="e">
        <f>VLOOKUP(B44,'Trips&amp;Operators'!$C$2:$E$10000,3,FALSE)</f>
        <v>#N/A</v>
      </c>
      <c r="G44" s="22" t="e">
        <f>VLOOKUP(B44,'Trips&amp;Operators'!$C$1:$F$10000,4,FALSE)</f>
        <v>#N/A</v>
      </c>
      <c r="H44" s="30" t="e">
        <f>VLOOKUP(B44,'Trips&amp;Operators'!$C$1:$H$10000,5,FALSE)</f>
        <v>#N/A</v>
      </c>
      <c r="I4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4" s="31" t="e">
        <f>VLOOKUP(B44,'Train Runs'!$A$13:$A$99997,1,FALSE)</f>
        <v>#N/A</v>
      </c>
    </row>
    <row r="45" spans="1:10" x14ac:dyDescent="0.25">
      <c r="A45" s="164"/>
      <c r="B45" s="44" t="str">
        <f>A45&amp;"-"&amp;IF(DAY(Variables!$A$2)&lt;10,0,"")&amp;DAY(Variables!$A$2)</f>
        <v>-19</v>
      </c>
      <c r="C45" s="154"/>
      <c r="D45" s="188"/>
      <c r="E45" s="31"/>
      <c r="F45" s="22" t="e">
        <f>VLOOKUP(B45,'Trips&amp;Operators'!$C$2:$E$10000,3,FALSE)</f>
        <v>#N/A</v>
      </c>
      <c r="G45" s="22" t="e">
        <f>VLOOKUP(B45,'Trips&amp;Operators'!$C$1:$F$10000,4,FALSE)</f>
        <v>#N/A</v>
      </c>
      <c r="H45" s="30" t="e">
        <f>VLOOKUP(B45,'Trips&amp;Operators'!$C$1:$H$10000,5,FALSE)</f>
        <v>#N/A</v>
      </c>
      <c r="I4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5" s="31" t="e">
        <f>VLOOKUP(B45,'Train Runs'!$A$13:$A$99997,1,FALSE)</f>
        <v>#N/A</v>
      </c>
    </row>
    <row r="46" spans="1:10" x14ac:dyDescent="0.25">
      <c r="A46" s="164"/>
      <c r="B46" s="44" t="str">
        <f>A46&amp;"-"&amp;IF(DAY(Variables!$A$2)&lt;10,0,"")&amp;DAY(Variables!$A$2)</f>
        <v>-19</v>
      </c>
      <c r="C46" s="154"/>
      <c r="D46" s="188"/>
      <c r="E46" s="31"/>
      <c r="F46" s="22" t="e">
        <f>VLOOKUP(B46,'Trips&amp;Operators'!$C$2:$E$10000,3,FALSE)</f>
        <v>#N/A</v>
      </c>
      <c r="G46" s="22" t="e">
        <f>VLOOKUP(B46,'Trips&amp;Operators'!$C$1:$F$10000,4,FALSE)</f>
        <v>#N/A</v>
      </c>
      <c r="H46" s="30" t="e">
        <f>VLOOKUP(B46,'Trips&amp;Operators'!$C$1:$H$10000,5,FALSE)</f>
        <v>#N/A</v>
      </c>
      <c r="I4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6" s="31" t="e">
        <f>VLOOKUP(B46,'Train Runs'!$A$13:$A$99997,1,FALSE)</f>
        <v>#N/A</v>
      </c>
    </row>
    <row r="47" spans="1:10" x14ac:dyDescent="0.25">
      <c r="A47" s="164"/>
      <c r="B47" s="44" t="str">
        <f>A47&amp;"-"&amp;IF(DAY(Variables!$A$2)&lt;10,0,"")&amp;DAY(Variables!$A$2)</f>
        <v>-19</v>
      </c>
      <c r="C47" s="154"/>
      <c r="D47" s="188"/>
      <c r="E47" s="31"/>
      <c r="F47" s="22" t="e">
        <f>VLOOKUP(B47,'Trips&amp;Operators'!$C$2:$E$10000,3,FALSE)</f>
        <v>#N/A</v>
      </c>
      <c r="G47" s="22" t="e">
        <f>VLOOKUP(B47,'Trips&amp;Operators'!$C$1:$F$10000,4,FALSE)</f>
        <v>#N/A</v>
      </c>
      <c r="H47" s="30" t="e">
        <f>VLOOKUP(B47,'Trips&amp;Operators'!$C$1:$H$10000,5,FALSE)</f>
        <v>#N/A</v>
      </c>
      <c r="I4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7" s="31" t="e">
        <f>VLOOKUP(B47,'Train Runs'!$A$13:$A$99997,1,FALSE)</f>
        <v>#N/A</v>
      </c>
    </row>
    <row r="48" spans="1:10" x14ac:dyDescent="0.25">
      <c r="A48" s="164"/>
      <c r="B48" s="44" t="str">
        <f>A48&amp;"-"&amp;IF(DAY(Variables!$A$2)&lt;10,0,"")&amp;DAY(Variables!$A$2)</f>
        <v>-19</v>
      </c>
      <c r="C48" s="154"/>
      <c r="D48" s="188"/>
      <c r="E48" s="31"/>
      <c r="F48" s="22" t="e">
        <f>VLOOKUP(B48,'Trips&amp;Operators'!$C$2:$E$10000,3,FALSE)</f>
        <v>#N/A</v>
      </c>
      <c r="G48" s="22" t="e">
        <f>VLOOKUP(B48,'Trips&amp;Operators'!$C$1:$F$10000,4,FALSE)</f>
        <v>#N/A</v>
      </c>
      <c r="H48" s="30" t="e">
        <f>VLOOKUP(B48,'Trips&amp;Operators'!$C$1:$H$10000,5,FALSE)</f>
        <v>#N/A</v>
      </c>
      <c r="I4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8" s="31" t="e">
        <f>VLOOKUP(B48,'Train Runs'!$A$13:$A$99997,1,FALSE)</f>
        <v>#N/A</v>
      </c>
    </row>
    <row r="49" spans="1:10" x14ac:dyDescent="0.25">
      <c r="A49" s="164"/>
      <c r="B49" s="44" t="str">
        <f>A49&amp;"-"&amp;IF(DAY(Variables!$A$2)&lt;10,0,"")&amp;DAY(Variables!$A$2)</f>
        <v>-19</v>
      </c>
      <c r="C49" s="154"/>
      <c r="D49" s="188"/>
      <c r="E49" s="31"/>
      <c r="F49" s="22" t="e">
        <f>VLOOKUP(B49,'Trips&amp;Operators'!$C$2:$E$10000,3,FALSE)</f>
        <v>#N/A</v>
      </c>
      <c r="G49" s="22" t="e">
        <f>VLOOKUP(B49,'Trips&amp;Operators'!$C$1:$F$10000,4,FALSE)</f>
        <v>#N/A</v>
      </c>
      <c r="H49" s="30" t="e">
        <f>VLOOKUP(B49,'Trips&amp;Operators'!$C$1:$H$10000,5,FALSE)</f>
        <v>#N/A</v>
      </c>
      <c r="I4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9" s="31" t="e">
        <f>VLOOKUP(B49,'Train Runs'!$A$13:$A$99997,1,FALSE)</f>
        <v>#N/A</v>
      </c>
    </row>
    <row r="50" spans="1:10" x14ac:dyDescent="0.25">
      <c r="A50" s="164"/>
      <c r="B50" s="44" t="str">
        <f>A50&amp;"-"&amp;IF(DAY(Variables!$A$2)&lt;10,0,"")&amp;DAY(Variables!$A$2)</f>
        <v>-19</v>
      </c>
      <c r="C50" s="154"/>
      <c r="D50" s="188"/>
      <c r="E50" s="31"/>
      <c r="F50" s="22" t="e">
        <f>VLOOKUP(B50,'Trips&amp;Operators'!$C$2:$E$10000,3,FALSE)</f>
        <v>#N/A</v>
      </c>
      <c r="G50" s="22" t="e">
        <f>VLOOKUP(B50,'Trips&amp;Operators'!$C$1:$F$10000,4,FALSE)</f>
        <v>#N/A</v>
      </c>
      <c r="H50" s="30" t="e">
        <f>VLOOKUP(B50,'Trips&amp;Operators'!$C$1:$H$10000,5,FALSE)</f>
        <v>#N/A</v>
      </c>
      <c r="I5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0" s="31" t="e">
        <f>VLOOKUP(B50,'Train Runs'!$A$13:$A$99997,1,FALSE)</f>
        <v>#N/A</v>
      </c>
    </row>
    <row r="51" spans="1:10" x14ac:dyDescent="0.25">
      <c r="A51" s="164"/>
      <c r="B51" s="44" t="str">
        <f>A51&amp;"-"&amp;IF(DAY(Variables!$A$2)&lt;10,0,"")&amp;DAY(Variables!$A$2)</f>
        <v>-19</v>
      </c>
      <c r="C51" s="154"/>
      <c r="D51" s="188"/>
      <c r="E51" s="31"/>
      <c r="F51" s="22" t="e">
        <f>VLOOKUP(B51,'Trips&amp;Operators'!$C$2:$E$10000,3,FALSE)</f>
        <v>#N/A</v>
      </c>
      <c r="G51" s="22" t="e">
        <f>VLOOKUP(B51,'Trips&amp;Operators'!$C$1:$F$10000,4,FALSE)</f>
        <v>#N/A</v>
      </c>
      <c r="H51" s="30" t="e">
        <f>VLOOKUP(B51,'Trips&amp;Operators'!$C$1:$H$10000,5,FALSE)</f>
        <v>#N/A</v>
      </c>
      <c r="I5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1" s="31" t="e">
        <f>VLOOKUP(B51,'Train Runs'!$A$13:$A$99997,1,FALSE)</f>
        <v>#N/A</v>
      </c>
    </row>
    <row r="52" spans="1:10" x14ac:dyDescent="0.25">
      <c r="A52" s="164"/>
      <c r="B52" s="44" t="str">
        <f>A52&amp;"-"&amp;IF(DAY(Variables!$A$2)&lt;10,0,"")&amp;DAY(Variables!$A$2)</f>
        <v>-19</v>
      </c>
      <c r="C52" s="154"/>
      <c r="D52" s="188"/>
      <c r="E52" s="31"/>
      <c r="F52" s="22" t="e">
        <f>VLOOKUP(B52,'Trips&amp;Operators'!$C$2:$E$10000,3,FALSE)</f>
        <v>#N/A</v>
      </c>
      <c r="G52" s="22" t="e">
        <f>VLOOKUP(B52,'Trips&amp;Operators'!$C$1:$F$10000,4,FALSE)</f>
        <v>#N/A</v>
      </c>
      <c r="H52" s="30" t="e">
        <f>VLOOKUP(B52,'Trips&amp;Operators'!$C$1:$H$10000,5,FALSE)</f>
        <v>#N/A</v>
      </c>
      <c r="I5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2" s="31" t="e">
        <f>VLOOKUP(B52,'Train Runs'!$A$13:$A$99997,1,FALSE)</f>
        <v>#N/A</v>
      </c>
    </row>
    <row r="53" spans="1:10" x14ac:dyDescent="0.25">
      <c r="A53" s="164"/>
      <c r="B53" s="44" t="str">
        <f>A53&amp;"-"&amp;IF(DAY(Variables!$A$2)&lt;10,0,"")&amp;DAY(Variables!$A$2)</f>
        <v>-19</v>
      </c>
      <c r="C53" s="154"/>
      <c r="D53" s="188"/>
      <c r="E53" s="31"/>
      <c r="F53" s="22" t="e">
        <f>VLOOKUP(B53,'Trips&amp;Operators'!$C$2:$E$10000,3,FALSE)</f>
        <v>#N/A</v>
      </c>
      <c r="G53" s="22" t="e">
        <f>VLOOKUP(B53,'Trips&amp;Operators'!$C$1:$F$10000,4,FALSE)</f>
        <v>#N/A</v>
      </c>
      <c r="H53" s="30" t="e">
        <f>VLOOKUP(B53,'Trips&amp;Operators'!$C$1:$H$10000,5,FALSE)</f>
        <v>#N/A</v>
      </c>
      <c r="I5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3" s="31" t="e">
        <f>VLOOKUP(B53,'Train Runs'!$A$13:$A$99997,1,FALSE)</f>
        <v>#N/A</v>
      </c>
    </row>
    <row r="54" spans="1:10" x14ac:dyDescent="0.25">
      <c r="A54" s="164"/>
      <c r="B54" s="44" t="str">
        <f>A54&amp;"-"&amp;IF(DAY(Variables!$A$2)&lt;10,0,"")&amp;DAY(Variables!$A$2)</f>
        <v>-19</v>
      </c>
      <c r="C54" s="154"/>
      <c r="D54" s="188"/>
      <c r="E54" s="31"/>
      <c r="F54" s="22" t="e">
        <f>VLOOKUP(B54,'Trips&amp;Operators'!$C$2:$E$10000,3,FALSE)</f>
        <v>#N/A</v>
      </c>
      <c r="G54" s="22" t="e">
        <f>VLOOKUP(B54,'Trips&amp;Operators'!$C$1:$F$10000,4,FALSE)</f>
        <v>#N/A</v>
      </c>
      <c r="H54" s="30" t="e">
        <f>VLOOKUP(B54,'Trips&amp;Operators'!$C$1:$H$10000,5,FALSE)</f>
        <v>#N/A</v>
      </c>
      <c r="I5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4" s="31" t="e">
        <f>VLOOKUP(B54,'Train Runs'!$A$13:$A$99997,1,FALSE)</f>
        <v>#N/A</v>
      </c>
    </row>
    <row r="55" spans="1:10" x14ac:dyDescent="0.25">
      <c r="A55" s="164"/>
      <c r="B55" s="44" t="str">
        <f>A55&amp;"-"&amp;IF(DAY(Variables!$A$2)&lt;10,0,"")&amp;DAY(Variables!$A$2)</f>
        <v>-19</v>
      </c>
      <c r="C55" s="154"/>
      <c r="D55" s="188"/>
      <c r="E55" s="31"/>
      <c r="F55" s="22" t="e">
        <f>VLOOKUP(B55,'Trips&amp;Operators'!$C$2:$E$10000,3,FALSE)</f>
        <v>#N/A</v>
      </c>
      <c r="G55" s="22" t="e">
        <f>VLOOKUP(B55,'Trips&amp;Operators'!$C$1:$F$10000,4,FALSE)</f>
        <v>#N/A</v>
      </c>
      <c r="H55" s="30" t="e">
        <f>VLOOKUP(B55,'Trips&amp;Operators'!$C$1:$H$10000,5,FALSE)</f>
        <v>#N/A</v>
      </c>
      <c r="I5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5" s="31" t="e">
        <f>VLOOKUP(B55,'Train Runs'!$A$13:$A$99997,1,FALSE)</f>
        <v>#N/A</v>
      </c>
    </row>
    <row r="56" spans="1:10" x14ac:dyDescent="0.25">
      <c r="A56" s="164"/>
      <c r="B56" s="44" t="str">
        <f>A56&amp;"-"&amp;IF(DAY(Variables!$A$2)&lt;10,0,"")&amp;DAY(Variables!$A$2)</f>
        <v>-19</v>
      </c>
      <c r="C56" s="154"/>
      <c r="D56" s="188"/>
      <c r="E56" s="31"/>
      <c r="F56" s="22" t="e">
        <f>VLOOKUP(B56,'Trips&amp;Operators'!$C$2:$E$10000,3,FALSE)</f>
        <v>#N/A</v>
      </c>
      <c r="G56" s="22" t="e">
        <f>VLOOKUP(B56,'Trips&amp;Operators'!$C$1:$F$10000,4,FALSE)</f>
        <v>#N/A</v>
      </c>
      <c r="H56" s="30" t="e">
        <f>VLOOKUP(B56,'Trips&amp;Operators'!$C$1:$H$10000,5,FALSE)</f>
        <v>#N/A</v>
      </c>
      <c r="I5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6" s="31" t="e">
        <f>VLOOKUP(B56,'Train Runs'!$A$13:$A$99997,1,FALSE)</f>
        <v>#N/A</v>
      </c>
    </row>
    <row r="57" spans="1:10" x14ac:dyDescent="0.25">
      <c r="A57" s="164"/>
      <c r="B57" s="44" t="str">
        <f>A57&amp;"-"&amp;IF(DAY(Variables!$A$2)&lt;10,0,"")&amp;DAY(Variables!$A$2)</f>
        <v>-19</v>
      </c>
      <c r="C57" s="154"/>
      <c r="D57" s="188"/>
      <c r="E57" s="31"/>
      <c r="F57" s="22" t="e">
        <f>VLOOKUP(B57,'Trips&amp;Operators'!$C$2:$E$10000,3,FALSE)</f>
        <v>#N/A</v>
      </c>
      <c r="G57" s="22" t="e">
        <f>VLOOKUP(B57,'Trips&amp;Operators'!$C$1:$F$10000,4,FALSE)</f>
        <v>#N/A</v>
      </c>
      <c r="H57" s="30" t="e">
        <f>VLOOKUP(B57,'Trips&amp;Operators'!$C$1:$H$10000,5,FALSE)</f>
        <v>#N/A</v>
      </c>
      <c r="I5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7" s="31" t="e">
        <f>VLOOKUP(B57,'Train Runs'!$A$13:$A$99997,1,FALSE)</f>
        <v>#N/A</v>
      </c>
    </row>
    <row r="58" spans="1:10" x14ac:dyDescent="0.25">
      <c r="A58" s="164"/>
      <c r="B58" s="44" t="str">
        <f>A58&amp;"-"&amp;IF(DAY(Variables!$A$2)&lt;10,0,"")&amp;DAY(Variables!$A$2)</f>
        <v>-19</v>
      </c>
      <c r="C58" s="154"/>
      <c r="D58" s="188"/>
      <c r="E58" s="31"/>
      <c r="F58" s="22" t="e">
        <f>VLOOKUP(B58,'Trips&amp;Operators'!$C$2:$E$10000,3,FALSE)</f>
        <v>#N/A</v>
      </c>
      <c r="G58" s="22" t="e">
        <f>VLOOKUP(B58,'Trips&amp;Operators'!$C$1:$F$10000,4,FALSE)</f>
        <v>#N/A</v>
      </c>
      <c r="H58" s="30" t="e">
        <f>VLOOKUP(B58,'Trips&amp;Operators'!$C$1:$H$10000,5,FALSE)</f>
        <v>#N/A</v>
      </c>
      <c r="I5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8" s="31" t="e">
        <f>VLOOKUP(B58,'Train Runs'!$A$13:$A$99997,1,FALSE)</f>
        <v>#N/A</v>
      </c>
    </row>
    <row r="59" spans="1:10" x14ac:dyDescent="0.25">
      <c r="A59" s="164"/>
      <c r="B59" s="44" t="str">
        <f>A59&amp;"-"&amp;IF(DAY(Variables!$A$2)&lt;10,0,"")&amp;DAY(Variables!$A$2)</f>
        <v>-19</v>
      </c>
      <c r="C59" s="154"/>
      <c r="D59" s="188"/>
      <c r="E59" s="31"/>
      <c r="F59" s="22" t="e">
        <f>VLOOKUP(B59,'Trips&amp;Operators'!$C$2:$E$10000,3,FALSE)</f>
        <v>#N/A</v>
      </c>
      <c r="G59" s="22" t="e">
        <f>VLOOKUP(B59,'Trips&amp;Operators'!$C$1:$F$10000,4,FALSE)</f>
        <v>#N/A</v>
      </c>
      <c r="H59" s="30" t="e">
        <f>VLOOKUP(B59,'Trips&amp;Operators'!$C$1:$H$10000,5,FALSE)</f>
        <v>#N/A</v>
      </c>
      <c r="I5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9" s="31" t="e">
        <f>VLOOKUP(B59,'Train Runs'!$A$13:$A$99997,1,FALSE)</f>
        <v>#N/A</v>
      </c>
    </row>
    <row r="60" spans="1:10" x14ac:dyDescent="0.25">
      <c r="A60" s="164"/>
      <c r="B60" s="44" t="str">
        <f>A60&amp;"-"&amp;IF(DAY(Variables!$A$2)&lt;10,0,"")&amp;DAY(Variables!$A$2)</f>
        <v>-19</v>
      </c>
      <c r="C60" s="154"/>
      <c r="D60" s="188"/>
      <c r="E60" s="31"/>
      <c r="F60" s="22" t="e">
        <f>VLOOKUP(B60,'Trips&amp;Operators'!$C$2:$E$10000,3,FALSE)</f>
        <v>#N/A</v>
      </c>
      <c r="G60" s="22" t="e">
        <f>VLOOKUP(B60,'Trips&amp;Operators'!$C$1:$F$10000,4,FALSE)</f>
        <v>#N/A</v>
      </c>
      <c r="H60" s="30" t="e">
        <f>VLOOKUP(B60,'Trips&amp;Operators'!$C$1:$H$10000,5,FALSE)</f>
        <v>#N/A</v>
      </c>
      <c r="I6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0" s="31" t="e">
        <f>VLOOKUP(B60,'Train Runs'!$A$13:$A$99997,1,FALSE)</f>
        <v>#N/A</v>
      </c>
    </row>
    <row r="61" spans="1:10" x14ac:dyDescent="0.25">
      <c r="A61" s="164"/>
      <c r="B61" s="44" t="str">
        <f>A61&amp;"-"&amp;IF(DAY(Variables!$A$2)&lt;10,0,"")&amp;DAY(Variables!$A$2)</f>
        <v>-19</v>
      </c>
      <c r="C61" s="154"/>
      <c r="D61" s="188"/>
      <c r="E61" s="31"/>
      <c r="F61" s="22" t="e">
        <f>VLOOKUP(B61,'Trips&amp;Operators'!$C$2:$E$10000,3,FALSE)</f>
        <v>#N/A</v>
      </c>
      <c r="G61" s="22" t="e">
        <f>VLOOKUP(B61,'Trips&amp;Operators'!$C$1:$F$10000,4,FALSE)</f>
        <v>#N/A</v>
      </c>
      <c r="H61" s="30" t="e">
        <f>VLOOKUP(B61,'Trips&amp;Operators'!$C$1:$H$10000,5,FALSE)</f>
        <v>#N/A</v>
      </c>
      <c r="I6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1" s="31" t="e">
        <f>VLOOKUP(B61,'Train Runs'!$A$13:$A$99997,1,FALSE)</f>
        <v>#N/A</v>
      </c>
    </row>
    <row r="62" spans="1:10" x14ac:dyDescent="0.25">
      <c r="A62" s="164"/>
      <c r="B62" s="44" t="str">
        <f>A62&amp;"-"&amp;IF(DAY(Variables!$A$2)&lt;10,0,"")&amp;DAY(Variables!$A$2)</f>
        <v>-19</v>
      </c>
      <c r="C62" s="154"/>
      <c r="D62" s="188"/>
      <c r="E62" s="31"/>
      <c r="F62" s="22" t="e">
        <f>VLOOKUP(B62,'Trips&amp;Operators'!$C$2:$E$10000,3,FALSE)</f>
        <v>#N/A</v>
      </c>
      <c r="G62" s="22" t="e">
        <f>VLOOKUP(B62,'Trips&amp;Operators'!$C$1:$F$10000,4,FALSE)</f>
        <v>#N/A</v>
      </c>
      <c r="H62" s="30" t="e">
        <f>VLOOKUP(B62,'Trips&amp;Operators'!$C$1:$H$10000,5,FALSE)</f>
        <v>#N/A</v>
      </c>
      <c r="I6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2" s="31" t="e">
        <f>VLOOKUP(B62,'Train Runs'!$A$13:$A$99997,1,FALSE)</f>
        <v>#N/A</v>
      </c>
    </row>
    <row r="63" spans="1:10" x14ac:dyDescent="0.25">
      <c r="A63" s="164"/>
      <c r="B63" s="44" t="str">
        <f>A63&amp;"-"&amp;IF(DAY(Variables!$A$2)&lt;10,0,"")&amp;DAY(Variables!$A$2)</f>
        <v>-19</v>
      </c>
      <c r="C63" s="154"/>
      <c r="D63" s="188"/>
      <c r="E63" s="31"/>
      <c r="F63" s="22" t="e">
        <f>VLOOKUP(B63,'Trips&amp;Operators'!$C$2:$E$10000,3,FALSE)</f>
        <v>#N/A</v>
      </c>
      <c r="G63" s="22" t="e">
        <f>VLOOKUP(B63,'Trips&amp;Operators'!$C$1:$F$10000,4,FALSE)</f>
        <v>#N/A</v>
      </c>
      <c r="H63" s="30" t="e">
        <f>VLOOKUP(B63,'Trips&amp;Operators'!$C$1:$H$10000,5,FALSE)</f>
        <v>#N/A</v>
      </c>
      <c r="I6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3" s="31" t="e">
        <f>VLOOKUP(B63,'Train Runs'!$A$13:$A$99997,1,FALSE)</f>
        <v>#N/A</v>
      </c>
    </row>
    <row r="64" spans="1:10" x14ac:dyDescent="0.25">
      <c r="A64" s="164"/>
      <c r="B64" s="44" t="str">
        <f>A64&amp;"-"&amp;IF(DAY(Variables!$A$2)&lt;10,0,"")&amp;DAY(Variables!$A$2)</f>
        <v>-19</v>
      </c>
      <c r="C64" s="154"/>
      <c r="D64" s="188"/>
      <c r="E64" s="31"/>
      <c r="F64" s="22" t="e">
        <f>VLOOKUP(B64,'Trips&amp;Operators'!$C$2:$E$10000,3,FALSE)</f>
        <v>#N/A</v>
      </c>
      <c r="G64" s="22" t="e">
        <f>VLOOKUP(B64,'Trips&amp;Operators'!$C$1:$F$10000,4,FALSE)</f>
        <v>#N/A</v>
      </c>
      <c r="H64" s="30" t="e">
        <f>VLOOKUP(B64,'Trips&amp;Operators'!$C$1:$H$10000,5,FALSE)</f>
        <v>#N/A</v>
      </c>
      <c r="I6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4" s="31" t="e">
        <f>VLOOKUP(B64,'Train Runs'!$A$13:$A$99997,1,FALSE)</f>
        <v>#N/A</v>
      </c>
    </row>
    <row r="65" spans="1:10" x14ac:dyDescent="0.25">
      <c r="A65" s="164"/>
      <c r="B65" s="44" t="str">
        <f>A65&amp;"-"&amp;IF(DAY(Variables!$A$2)&lt;10,0,"")&amp;DAY(Variables!$A$2)</f>
        <v>-19</v>
      </c>
      <c r="C65" s="154"/>
      <c r="D65" s="188"/>
      <c r="E65" s="31"/>
      <c r="F65" s="22" t="e">
        <f>VLOOKUP(B65,'Trips&amp;Operators'!$C$2:$E$10000,3,FALSE)</f>
        <v>#N/A</v>
      </c>
      <c r="G65" s="22" t="e">
        <f>VLOOKUP(B65,'Trips&amp;Operators'!$C$1:$F$10000,4,FALSE)</f>
        <v>#N/A</v>
      </c>
      <c r="H65" s="30" t="e">
        <f>VLOOKUP(B65,'Trips&amp;Operators'!$C$1:$H$10000,5,FALSE)</f>
        <v>#N/A</v>
      </c>
      <c r="I6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5" s="31" t="e">
        <f>VLOOKUP(B65,'Train Runs'!$A$13:$A$99997,1,FALSE)</f>
        <v>#N/A</v>
      </c>
    </row>
    <row r="66" spans="1:10" x14ac:dyDescent="0.25">
      <c r="A66" s="164"/>
      <c r="B66" s="44" t="str">
        <f>A66&amp;"-"&amp;IF(DAY(Variables!$A$2)&lt;10,0,"")&amp;DAY(Variables!$A$2)</f>
        <v>-19</v>
      </c>
      <c r="C66" s="154"/>
      <c r="D66" s="188"/>
      <c r="E66" s="31"/>
      <c r="F66" s="22" t="e">
        <f>VLOOKUP(B66,'Trips&amp;Operators'!$C$2:$E$10000,3,FALSE)</f>
        <v>#N/A</v>
      </c>
      <c r="G66" s="22" t="e">
        <f>VLOOKUP(B66,'Trips&amp;Operators'!$C$1:$F$10000,4,FALSE)</f>
        <v>#N/A</v>
      </c>
      <c r="H66" s="30" t="e">
        <f>VLOOKUP(B66,'Trips&amp;Operators'!$C$1:$H$10000,5,FALSE)</f>
        <v>#N/A</v>
      </c>
      <c r="I6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6" s="31" t="e">
        <f>VLOOKUP(B66,'Train Runs'!$A$13:$A$99997,1,FALSE)</f>
        <v>#N/A</v>
      </c>
    </row>
    <row r="67" spans="1:10" x14ac:dyDescent="0.25">
      <c r="A67" s="164"/>
      <c r="B67" s="44" t="str">
        <f>A67&amp;"-"&amp;IF(DAY(Variables!$A$2)&lt;10,0,"")&amp;DAY(Variables!$A$2)</f>
        <v>-19</v>
      </c>
      <c r="C67" s="154"/>
      <c r="D67" s="188"/>
      <c r="E67" s="31"/>
      <c r="F67" s="22" t="e">
        <f>VLOOKUP(B67,'Trips&amp;Operators'!$C$2:$E$10000,3,FALSE)</f>
        <v>#N/A</v>
      </c>
      <c r="G67" s="22" t="e">
        <f>VLOOKUP(B67,'Trips&amp;Operators'!$C$1:$F$10000,4,FALSE)</f>
        <v>#N/A</v>
      </c>
      <c r="H67" s="30" t="e">
        <f>VLOOKUP(B67,'Trips&amp;Operators'!$C$1:$H$10000,5,FALSE)</f>
        <v>#N/A</v>
      </c>
      <c r="I6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7" s="31" t="e">
        <f>VLOOKUP(B67,'Train Runs'!$A$13:$A$99997,1,FALSE)</f>
        <v>#N/A</v>
      </c>
    </row>
    <row r="68" spans="1:10" x14ac:dyDescent="0.25">
      <c r="A68" s="164"/>
      <c r="B68" s="44" t="str">
        <f>A68&amp;"-"&amp;IF(DAY(Variables!$A$2)&lt;10,0,"")&amp;DAY(Variables!$A$2)</f>
        <v>-19</v>
      </c>
      <c r="C68" s="154"/>
      <c r="D68" s="188"/>
      <c r="E68" s="31"/>
      <c r="F68" s="22" t="e">
        <f>VLOOKUP(B68,'Trips&amp;Operators'!$C$2:$E$10000,3,FALSE)</f>
        <v>#N/A</v>
      </c>
      <c r="G68" s="22" t="e">
        <f>VLOOKUP(B68,'Trips&amp;Operators'!$C$1:$F$10000,4,FALSE)</f>
        <v>#N/A</v>
      </c>
      <c r="H68" s="30" t="e">
        <f>VLOOKUP(B68,'Trips&amp;Operators'!$C$1:$H$10000,5,FALSE)</f>
        <v>#N/A</v>
      </c>
      <c r="I6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8" s="31" t="e">
        <f>VLOOKUP(B68,'Train Runs'!$A$13:$A$99997,1,FALSE)</f>
        <v>#N/A</v>
      </c>
    </row>
    <row r="69" spans="1:10" x14ac:dyDescent="0.25">
      <c r="A69" s="164"/>
      <c r="B69" s="44" t="str">
        <f>A69&amp;"-"&amp;IF(DAY(Variables!$A$2)&lt;10,0,"")&amp;DAY(Variables!$A$2)</f>
        <v>-19</v>
      </c>
      <c r="C69" s="154"/>
      <c r="D69" s="188"/>
      <c r="E69" s="31"/>
      <c r="F69" s="22" t="e">
        <f>VLOOKUP(B69,'Trips&amp;Operators'!$C$2:$E$10000,3,FALSE)</f>
        <v>#N/A</v>
      </c>
      <c r="G69" s="22" t="e">
        <f>VLOOKUP(B69,'Trips&amp;Operators'!$C$1:$F$10000,4,FALSE)</f>
        <v>#N/A</v>
      </c>
      <c r="H69" s="30" t="e">
        <f>VLOOKUP(B69,'Trips&amp;Operators'!$C$1:$H$10000,5,FALSE)</f>
        <v>#N/A</v>
      </c>
      <c r="I6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9" s="31" t="e">
        <f>VLOOKUP(B69,'Train Runs'!$A$13:$A$99997,1,FALSE)</f>
        <v>#N/A</v>
      </c>
    </row>
    <row r="70" spans="1:10" x14ac:dyDescent="0.25">
      <c r="A70" s="164"/>
      <c r="B70" s="44" t="str">
        <f>A70&amp;"-"&amp;IF(DAY(Variables!$A$2)&lt;10,0,"")&amp;DAY(Variables!$A$2)</f>
        <v>-19</v>
      </c>
      <c r="C70" s="154"/>
      <c r="D70" s="188"/>
      <c r="E70" s="31"/>
      <c r="F70" s="22" t="e">
        <f>VLOOKUP(B70,'Trips&amp;Operators'!$C$2:$E$10000,3,FALSE)</f>
        <v>#N/A</v>
      </c>
      <c r="G70" s="22" t="e">
        <f>VLOOKUP(B70,'Trips&amp;Operators'!$C$1:$F$10000,4,FALSE)</f>
        <v>#N/A</v>
      </c>
      <c r="H70" s="30" t="e">
        <f>VLOOKUP(B70,'Trips&amp;Operators'!$C$1:$H$10000,5,FALSE)</f>
        <v>#N/A</v>
      </c>
      <c r="I7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0" s="31" t="e">
        <f>VLOOKUP(B70,'Train Runs'!$A$13:$A$99997,1,FALSE)</f>
        <v>#N/A</v>
      </c>
    </row>
    <row r="71" spans="1:10" x14ac:dyDescent="0.25">
      <c r="A71" s="164"/>
      <c r="B71" s="44" t="str">
        <f>A71&amp;"-"&amp;IF(DAY(Variables!$A$2)&lt;10,0,"")&amp;DAY(Variables!$A$2)</f>
        <v>-19</v>
      </c>
      <c r="C71" s="154"/>
      <c r="D71" s="188"/>
      <c r="E71" s="31"/>
      <c r="F71" s="22" t="e">
        <f>VLOOKUP(B71,'Trips&amp;Operators'!$C$2:$E$10000,3,FALSE)</f>
        <v>#N/A</v>
      </c>
      <c r="G71" s="22" t="e">
        <f>VLOOKUP(B71,'Trips&amp;Operators'!$C$1:$F$10000,4,FALSE)</f>
        <v>#N/A</v>
      </c>
      <c r="H71" s="30" t="e">
        <f>VLOOKUP(B71,'Trips&amp;Operators'!$C$1:$H$10000,5,FALSE)</f>
        <v>#N/A</v>
      </c>
      <c r="I7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1" s="31" t="e">
        <f>VLOOKUP(B71,'Train Runs'!$A$13:$A$99997,1,FALSE)</f>
        <v>#N/A</v>
      </c>
    </row>
    <row r="72" spans="1:10" x14ac:dyDescent="0.25">
      <c r="A72" s="164"/>
      <c r="B72" s="44" t="str">
        <f>A72&amp;"-"&amp;IF(DAY(Variables!$A$2)&lt;10,0,"")&amp;DAY(Variables!$A$2)</f>
        <v>-19</v>
      </c>
      <c r="C72" s="154"/>
      <c r="D72" s="188"/>
      <c r="E72" s="31"/>
      <c r="F72" s="22" t="e">
        <f>VLOOKUP(B72,'Trips&amp;Operators'!$C$2:$E$10000,3,FALSE)</f>
        <v>#N/A</v>
      </c>
      <c r="G72" s="22" t="e">
        <f>VLOOKUP(B72,'Trips&amp;Operators'!$C$1:$F$10000,4,FALSE)</f>
        <v>#N/A</v>
      </c>
      <c r="H72" s="30" t="e">
        <f>VLOOKUP(B72,'Trips&amp;Operators'!$C$1:$H$10000,5,FALSE)</f>
        <v>#N/A</v>
      </c>
      <c r="I7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2" s="31" t="e">
        <f>VLOOKUP(B72,'Train Runs'!$A$13:$A$99997,1,FALSE)</f>
        <v>#N/A</v>
      </c>
    </row>
    <row r="73" spans="1:10" x14ac:dyDescent="0.25">
      <c r="A73" s="164"/>
      <c r="B73" s="44" t="str">
        <f>A73&amp;"-"&amp;IF(DAY(Variables!$A$2)&lt;10,0,"")&amp;DAY(Variables!$A$2)</f>
        <v>-19</v>
      </c>
      <c r="C73" s="154"/>
      <c r="D73" s="188"/>
      <c r="E73" s="31"/>
      <c r="F73" s="22" t="e">
        <f>VLOOKUP(B73,'Trips&amp;Operators'!$C$2:$E$10000,3,FALSE)</f>
        <v>#N/A</v>
      </c>
      <c r="G73" s="22" t="e">
        <f>VLOOKUP(B73,'Trips&amp;Operators'!$C$1:$F$10000,4,FALSE)</f>
        <v>#N/A</v>
      </c>
      <c r="H73" s="30" t="e">
        <f>VLOOKUP(B73,'Trips&amp;Operators'!$C$1:$H$10000,5,FALSE)</f>
        <v>#N/A</v>
      </c>
      <c r="I7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3" s="31" t="e">
        <f>VLOOKUP(B73,'Train Runs'!$A$13:$A$99997,1,FALSE)</f>
        <v>#N/A</v>
      </c>
    </row>
    <row r="74" spans="1:10" x14ac:dyDescent="0.25">
      <c r="A74" s="164"/>
      <c r="B74" s="44" t="str">
        <f>A74&amp;"-"&amp;IF(DAY(Variables!$A$2)&lt;10,0,"")&amp;DAY(Variables!$A$2)</f>
        <v>-19</v>
      </c>
      <c r="C74" s="154"/>
      <c r="D74" s="188"/>
      <c r="E74" s="31"/>
      <c r="F74" s="22" t="e">
        <f>VLOOKUP(B74,'Trips&amp;Operators'!$C$2:$E$10000,3,FALSE)</f>
        <v>#N/A</v>
      </c>
      <c r="G74" s="22" t="e">
        <f>VLOOKUP(B74,'Trips&amp;Operators'!$C$1:$F$10000,4,FALSE)</f>
        <v>#N/A</v>
      </c>
      <c r="H74" s="30" t="e">
        <f>VLOOKUP(B74,'Trips&amp;Operators'!$C$1:$H$10000,5,FALSE)</f>
        <v>#N/A</v>
      </c>
      <c r="I7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4" s="31" t="e">
        <f>VLOOKUP(B74,'Train Runs'!$A$13:$A$99997,1,FALSE)</f>
        <v>#N/A</v>
      </c>
    </row>
    <row r="75" spans="1:10" x14ac:dyDescent="0.25">
      <c r="A75" s="164"/>
      <c r="B75" s="44" t="str">
        <f>A75&amp;"-"&amp;IF(DAY(Variables!$A$2)&lt;10,0,"")&amp;DAY(Variables!$A$2)</f>
        <v>-19</v>
      </c>
      <c r="C75" s="154"/>
      <c r="D75" s="188"/>
      <c r="E75" s="31"/>
      <c r="F75" s="22" t="e">
        <f>VLOOKUP(B75,'Trips&amp;Operators'!$C$2:$E$10000,3,FALSE)</f>
        <v>#N/A</v>
      </c>
      <c r="G75" s="22" t="e">
        <f>VLOOKUP(B75,'Trips&amp;Operators'!$C$1:$F$10000,4,FALSE)</f>
        <v>#N/A</v>
      </c>
      <c r="H75" s="30" t="e">
        <f>VLOOKUP(B75,'Trips&amp;Operators'!$C$1:$H$10000,5,FALSE)</f>
        <v>#N/A</v>
      </c>
      <c r="I7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5" s="31" t="e">
        <f>VLOOKUP(B75,'Train Runs'!$A$13:$A$99997,1,FALSE)</f>
        <v>#N/A</v>
      </c>
    </row>
    <row r="76" spans="1:10" x14ac:dyDescent="0.25">
      <c r="A76" s="164"/>
      <c r="B76" s="44" t="str">
        <f>A76&amp;"-"&amp;IF(DAY(Variables!$A$2)&lt;10,0,"")&amp;DAY(Variables!$A$2)</f>
        <v>-19</v>
      </c>
      <c r="C76" s="154"/>
      <c r="D76" s="188"/>
      <c r="E76" s="31"/>
      <c r="F76" s="22" t="e">
        <f>VLOOKUP(B76,'Trips&amp;Operators'!$C$2:$E$10000,3,FALSE)</f>
        <v>#N/A</v>
      </c>
      <c r="G76" s="22" t="e">
        <f>VLOOKUP(B76,'Trips&amp;Operators'!$C$1:$F$10000,4,FALSE)</f>
        <v>#N/A</v>
      </c>
      <c r="H76" s="30" t="e">
        <f>VLOOKUP(B76,'Trips&amp;Operators'!$C$1:$H$10000,5,FALSE)</f>
        <v>#N/A</v>
      </c>
      <c r="I7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6" s="31" t="e">
        <f>VLOOKUP(B76,'Train Runs'!$A$13:$A$99997,1,FALSE)</f>
        <v>#N/A</v>
      </c>
    </row>
    <row r="77" spans="1:10" x14ac:dyDescent="0.25">
      <c r="A77" s="164"/>
      <c r="B77" s="44" t="str">
        <f>A77&amp;"-"&amp;IF(DAY(Variables!$A$2)&lt;10,0,"")&amp;DAY(Variables!$A$2)</f>
        <v>-19</v>
      </c>
      <c r="C77" s="154"/>
      <c r="D77" s="188"/>
      <c r="E77" s="31"/>
      <c r="F77" s="22" t="e">
        <f>VLOOKUP(B77,'Trips&amp;Operators'!$C$2:$E$10000,3,FALSE)</f>
        <v>#N/A</v>
      </c>
      <c r="G77" s="22" t="e">
        <f>VLOOKUP(B77,'Trips&amp;Operators'!$C$1:$F$10000,4,FALSE)</f>
        <v>#N/A</v>
      </c>
      <c r="H77" s="30" t="e">
        <f>VLOOKUP(B77,'Trips&amp;Operators'!$C$1:$H$10000,5,FALSE)</f>
        <v>#N/A</v>
      </c>
      <c r="I7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7" s="31" t="e">
        <f>VLOOKUP(B77,'Train Runs'!$A$13:$A$99997,1,FALSE)</f>
        <v>#N/A</v>
      </c>
    </row>
    <row r="78" spans="1:10" x14ac:dyDescent="0.25">
      <c r="A78" s="164"/>
      <c r="B78" s="44" t="str">
        <f>A78&amp;"-"&amp;IF(DAY(Variables!$A$2)&lt;10,0,"")&amp;DAY(Variables!$A$2)</f>
        <v>-19</v>
      </c>
      <c r="C78" s="154"/>
      <c r="D78" s="188"/>
      <c r="E78" s="31"/>
      <c r="F78" s="22" t="e">
        <f>VLOOKUP(B78,'Trips&amp;Operators'!$C$2:$E$10000,3,FALSE)</f>
        <v>#N/A</v>
      </c>
      <c r="G78" s="22" t="e">
        <f>VLOOKUP(B78,'Trips&amp;Operators'!$C$1:$F$10000,4,FALSE)</f>
        <v>#N/A</v>
      </c>
      <c r="H78" s="30" t="e">
        <f>VLOOKUP(B78,'Trips&amp;Operators'!$C$1:$H$10000,5,FALSE)</f>
        <v>#N/A</v>
      </c>
      <c r="I7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8" s="31" t="e">
        <f>VLOOKUP(B78,'Train Runs'!$A$13:$A$99997,1,FALSE)</f>
        <v>#N/A</v>
      </c>
    </row>
    <row r="79" spans="1:10" x14ac:dyDescent="0.25">
      <c r="A79" s="164"/>
      <c r="B79" s="44" t="str">
        <f>A79&amp;"-"&amp;IF(DAY(Variables!$A$2)&lt;10,0,"")&amp;DAY(Variables!$A$2)</f>
        <v>-19</v>
      </c>
      <c r="C79" s="154"/>
      <c r="D79" s="188"/>
      <c r="E79" s="31"/>
      <c r="F79" s="22" t="e">
        <f>VLOOKUP(B79,'Trips&amp;Operators'!$C$2:$E$10000,3,FALSE)</f>
        <v>#N/A</v>
      </c>
      <c r="G79" s="22" t="e">
        <f>VLOOKUP(B79,'Trips&amp;Operators'!$C$1:$F$10000,4,FALSE)</f>
        <v>#N/A</v>
      </c>
      <c r="H79" s="30" t="e">
        <f>VLOOKUP(B79,'Trips&amp;Operators'!$C$1:$H$10000,5,FALSE)</f>
        <v>#N/A</v>
      </c>
      <c r="I79" s="47" t="str">
        <f t="shared" ref="I79:I85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79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9" s="31" t="e">
        <f>VLOOKUP(B79,'Train Runs'!$A$13:$A$99997,1,FALSE)</f>
        <v>#N/A</v>
      </c>
    </row>
    <row r="80" spans="1:10" x14ac:dyDescent="0.25">
      <c r="A80" s="164"/>
      <c r="B80" s="44" t="str">
        <f>A80&amp;"-"&amp;IF(DAY(Variables!$A$2)&lt;10,0,"")&amp;DAY(Variables!$A$2)</f>
        <v>-19</v>
      </c>
      <c r="C80" s="154"/>
      <c r="D80" s="188"/>
      <c r="E80" s="31"/>
      <c r="F80" s="22" t="e">
        <f>VLOOKUP(B80,'Trips&amp;Operators'!$C$2:$E$10000,3,FALSE)</f>
        <v>#N/A</v>
      </c>
      <c r="G80" s="22" t="e">
        <f>VLOOKUP(B80,'Trips&amp;Operators'!$C$1:$F$10000,4,FALSE)</f>
        <v>#N/A</v>
      </c>
      <c r="H80" s="30" t="e">
        <f>VLOOKUP(B80,'Trips&amp;Operators'!$C$1:$H$10000,5,FALSE)</f>
        <v>#N/A</v>
      </c>
      <c r="I80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80" s="31" t="e">
        <f>VLOOKUP(B80,'Train Runs'!$A$13:$A$99997,1,FALSE)</f>
        <v>#N/A</v>
      </c>
    </row>
    <row r="81" spans="1:10" x14ac:dyDescent="0.25">
      <c r="A81" s="164"/>
      <c r="B81" s="44" t="str">
        <f>A81&amp;"-"&amp;IF(DAY(Variables!$A$2)&lt;10,0,"")&amp;DAY(Variables!$A$2)</f>
        <v>-19</v>
      </c>
      <c r="C81" s="154"/>
      <c r="D81" s="188"/>
      <c r="E81" s="31"/>
      <c r="F81" s="22" t="e">
        <f>VLOOKUP(B81,'Trips&amp;Operators'!$C$2:$E$10000,3,FALSE)</f>
        <v>#N/A</v>
      </c>
      <c r="G81" s="22" t="e">
        <f>VLOOKUP(B81,'Trips&amp;Operators'!$C$1:$F$10000,4,FALSE)</f>
        <v>#N/A</v>
      </c>
      <c r="H81" s="30" t="e">
        <f>VLOOKUP(B81,'Trips&amp;Operators'!$C$1:$H$10000,5,FALSE)</f>
        <v>#N/A</v>
      </c>
      <c r="I81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81" s="31" t="e">
        <f>VLOOKUP(B81,'Train Runs'!$A$13:$A$99997,1,FALSE)</f>
        <v>#N/A</v>
      </c>
    </row>
    <row r="82" spans="1:10" x14ac:dyDescent="0.25">
      <c r="A82" s="164"/>
      <c r="B82" s="44" t="str">
        <f>A82&amp;"-"&amp;IF(DAY(Variables!$A$2)&lt;10,0,"")&amp;DAY(Variables!$A$2)</f>
        <v>-19</v>
      </c>
      <c r="C82" s="154"/>
      <c r="D82" s="188"/>
      <c r="E82" s="31"/>
      <c r="F82" s="22" t="e">
        <f>VLOOKUP(B82,'Trips&amp;Operators'!$C$2:$E$10000,3,FALSE)</f>
        <v>#N/A</v>
      </c>
      <c r="G82" s="22" t="e">
        <f>VLOOKUP(B82,'Trips&amp;Operators'!$C$1:$F$10000,4,FALSE)</f>
        <v>#N/A</v>
      </c>
      <c r="H82" s="30" t="e">
        <f>VLOOKUP(B82,'Trips&amp;Operators'!$C$1:$H$10000,5,FALSE)</f>
        <v>#N/A</v>
      </c>
      <c r="I82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82" s="31" t="e">
        <f>VLOOKUP(B82,'Train Runs'!$A$13:$A$99997,1,FALSE)</f>
        <v>#N/A</v>
      </c>
    </row>
    <row r="83" spans="1:10" x14ac:dyDescent="0.25">
      <c r="A83" s="164"/>
      <c r="B83" s="44" t="str">
        <f>A83&amp;"-"&amp;IF(DAY(Variables!$A$2)&lt;10,0,"")&amp;DAY(Variables!$A$2)</f>
        <v>-19</v>
      </c>
      <c r="C83" s="154"/>
      <c r="D83" s="188"/>
      <c r="E83" s="31"/>
      <c r="F83" s="22" t="e">
        <f>VLOOKUP(B83,'Trips&amp;Operators'!$C$2:$E$10000,3,FALSE)</f>
        <v>#N/A</v>
      </c>
      <c r="G83" s="22" t="e">
        <f>VLOOKUP(B83,'Trips&amp;Operators'!$C$1:$F$10000,4,FALSE)</f>
        <v>#N/A</v>
      </c>
      <c r="H83" s="30" t="e">
        <f>VLOOKUP(B83,'Trips&amp;Operators'!$C$1:$H$10000,5,FALSE)</f>
        <v>#N/A</v>
      </c>
      <c r="I83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83" s="31" t="e">
        <f>VLOOKUP(B83,'Train Runs'!$A$13:$A$99997,1,FALSE)</f>
        <v>#N/A</v>
      </c>
    </row>
    <row r="84" spans="1:10" x14ac:dyDescent="0.25">
      <c r="A84" s="164"/>
      <c r="B84" s="44" t="str">
        <f>A84&amp;"-"&amp;IF(DAY(Variables!$A$2)&lt;10,0,"")&amp;DAY(Variables!$A$2)</f>
        <v>-19</v>
      </c>
      <c r="C84" s="154"/>
      <c r="D84" s="188"/>
      <c r="E84" s="31"/>
      <c r="F84" s="22" t="e">
        <f>VLOOKUP(B84,'Trips&amp;Operators'!$C$2:$E$10000,3,FALSE)</f>
        <v>#N/A</v>
      </c>
      <c r="G84" s="22" t="e">
        <f>VLOOKUP(B84,'Trips&amp;Operators'!$C$1:$F$10000,4,FALSE)</f>
        <v>#N/A</v>
      </c>
      <c r="H84" s="30" t="e">
        <f>VLOOKUP(B84,'Trips&amp;Operators'!$C$1:$H$10000,5,FALSE)</f>
        <v>#N/A</v>
      </c>
      <c r="I84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84" s="31" t="e">
        <f>VLOOKUP(B84,'Train Runs'!$A$13:$A$99997,1,FALSE)</f>
        <v>#N/A</v>
      </c>
    </row>
    <row r="85" spans="1:10" x14ac:dyDescent="0.25">
      <c r="A85" s="164"/>
      <c r="B85" s="44" t="str">
        <f>A85&amp;"-"&amp;IF(DAY(Variables!$A$2)&lt;10,0,"")&amp;DAY(Variables!$A$2)</f>
        <v>-19</v>
      </c>
      <c r="C85" s="154"/>
      <c r="D85" s="188"/>
      <c r="E85" s="31"/>
      <c r="F85" s="22" t="e">
        <f>VLOOKUP(B85,'Trips&amp;Operators'!$C$2:$E$10000,3,FALSE)</f>
        <v>#N/A</v>
      </c>
      <c r="G85" s="22" t="e">
        <f>VLOOKUP(B85,'Trips&amp;Operators'!$C$1:$F$10000,4,FALSE)</f>
        <v>#N/A</v>
      </c>
      <c r="H85" s="30" t="e">
        <f>VLOOKUP(B85,'Trips&amp;Operators'!$C$1:$H$10000,5,FALSE)</f>
        <v>#N/A</v>
      </c>
      <c r="I85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85" s="31" t="e">
        <f>VLOOKUP(B85,'Train Runs'!$A$13:$A$99997,1,FALSE)</f>
        <v>#N/A</v>
      </c>
    </row>
  </sheetData>
  <autoFilter ref="A2:J85"/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50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7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176</v>
      </c>
      <c r="B1" s="21" t="s">
        <v>177</v>
      </c>
      <c r="C1" s="21" t="s">
        <v>0</v>
      </c>
      <c r="D1" s="157" t="s">
        <v>178</v>
      </c>
      <c r="E1" s="21" t="s">
        <v>179</v>
      </c>
      <c r="F1" s="21" t="s">
        <v>212</v>
      </c>
      <c r="G1" s="8" t="s">
        <v>211</v>
      </c>
    </row>
    <row r="2" spans="1:7" x14ac:dyDescent="0.25">
      <c r="A2" s="8">
        <v>42754.035069444442</v>
      </c>
      <c r="B2" s="21" t="s">
        <v>258</v>
      </c>
      <c r="C2" s="21" t="s">
        <v>361</v>
      </c>
      <c r="D2" s="157">
        <v>2270000</v>
      </c>
      <c r="E2" s="21" t="s">
        <v>319</v>
      </c>
      <c r="F2" s="21" t="s">
        <v>320</v>
      </c>
      <c r="G2" s="8" t="str">
        <f>E2&amp;" "&amp;F2</f>
        <v>BROWN JACOB</v>
      </c>
    </row>
    <row r="3" spans="1:7" x14ac:dyDescent="0.25">
      <c r="A3" s="8">
        <v>42754.036631944444</v>
      </c>
      <c r="B3" s="21" t="s">
        <v>336</v>
      </c>
      <c r="C3" s="21" t="s">
        <v>353</v>
      </c>
      <c r="D3" s="157">
        <v>2450000</v>
      </c>
      <c r="E3" s="21" t="s">
        <v>349</v>
      </c>
      <c r="F3" s="21" t="s">
        <v>350</v>
      </c>
      <c r="G3" s="8" t="str">
        <f t="shared" ref="G3:G66" si="0">E3&amp;" "&amp;F3</f>
        <v>NELSON ARIANE</v>
      </c>
    </row>
    <row r="4" spans="1:7" x14ac:dyDescent="0.25">
      <c r="A4" s="8">
        <v>42754.041458333333</v>
      </c>
      <c r="B4" s="21" t="s">
        <v>261</v>
      </c>
      <c r="C4" s="21" t="s">
        <v>352</v>
      </c>
      <c r="D4" s="157">
        <v>2540000</v>
      </c>
      <c r="E4" s="21" t="s">
        <v>269</v>
      </c>
      <c r="F4" s="21" t="s">
        <v>270</v>
      </c>
      <c r="G4" s="8" t="str">
        <f t="shared" si="0"/>
        <v>MCREYNOLDS KYLE</v>
      </c>
    </row>
    <row r="5" spans="1:7" x14ac:dyDescent="0.25">
      <c r="A5" s="8">
        <v>42754.044722222221</v>
      </c>
      <c r="B5" s="21" t="s">
        <v>248</v>
      </c>
      <c r="C5" s="21" t="s">
        <v>348</v>
      </c>
      <c r="D5" s="157">
        <v>2450000</v>
      </c>
      <c r="E5" s="21" t="s">
        <v>349</v>
      </c>
      <c r="F5" s="21" t="s">
        <v>350</v>
      </c>
      <c r="G5" s="8" t="str">
        <f t="shared" si="0"/>
        <v>NELSON ARIANE</v>
      </c>
    </row>
    <row r="6" spans="1:7" x14ac:dyDescent="0.25">
      <c r="A6" s="8">
        <v>42754.047627314816</v>
      </c>
      <c r="B6" s="21" t="s">
        <v>262</v>
      </c>
      <c r="C6" s="21" t="s">
        <v>351</v>
      </c>
      <c r="D6" s="157">
        <v>2540000</v>
      </c>
      <c r="E6" s="21" t="s">
        <v>269</v>
      </c>
      <c r="F6" s="21" t="s">
        <v>270</v>
      </c>
      <c r="G6" s="8" t="str">
        <f t="shared" si="0"/>
        <v>MCREYNOLDS KYLE</v>
      </c>
    </row>
    <row r="7" spans="1:7" x14ac:dyDescent="0.25">
      <c r="A7" s="8">
        <v>42754.05332175926</v>
      </c>
      <c r="B7" s="21" t="s">
        <v>336</v>
      </c>
      <c r="C7" s="21" t="s">
        <v>353</v>
      </c>
      <c r="D7" s="157">
        <v>2450000</v>
      </c>
      <c r="E7" s="21" t="s">
        <v>349</v>
      </c>
      <c r="F7" s="21" t="s">
        <v>350</v>
      </c>
      <c r="G7" s="8" t="str">
        <f t="shared" si="0"/>
        <v>NELSON ARIANE</v>
      </c>
    </row>
    <row r="8" spans="1:7" x14ac:dyDescent="0.25">
      <c r="A8" s="8">
        <v>42754.057476851849</v>
      </c>
      <c r="B8" s="21" t="s">
        <v>266</v>
      </c>
      <c r="C8" s="21" t="s">
        <v>362</v>
      </c>
      <c r="D8" s="157">
        <v>1810000</v>
      </c>
      <c r="E8" s="21" t="s">
        <v>223</v>
      </c>
      <c r="F8" s="21" t="s">
        <v>210</v>
      </c>
      <c r="G8" s="8" t="str">
        <f t="shared" si="0"/>
        <v>NEWELL JAMES</v>
      </c>
    </row>
    <row r="9" spans="1:7" ht="15.75" thickBot="1" x14ac:dyDescent="0.3">
      <c r="A9" s="25">
        <v>42754.060081018521</v>
      </c>
      <c r="B9" s="21" t="s">
        <v>354</v>
      </c>
      <c r="C9" s="21" t="s">
        <v>358</v>
      </c>
      <c r="D9" s="157">
        <v>2670000</v>
      </c>
      <c r="E9" s="21" t="s">
        <v>356</v>
      </c>
      <c r="F9" s="21" t="s">
        <v>357</v>
      </c>
      <c r="G9" s="8" t="str">
        <f t="shared" si="0"/>
        <v>COMELLA JUSTIN</v>
      </c>
    </row>
    <row r="10" spans="1:7" x14ac:dyDescent="0.25">
      <c r="A10" s="8">
        <v>42754.060555555552</v>
      </c>
      <c r="B10" s="21" t="s">
        <v>261</v>
      </c>
      <c r="C10" s="21" t="s">
        <v>352</v>
      </c>
      <c r="D10" s="157">
        <v>2540000</v>
      </c>
      <c r="E10" s="21" t="s">
        <v>269</v>
      </c>
      <c r="F10" s="21" t="s">
        <v>270</v>
      </c>
      <c r="G10" s="8" t="str">
        <f t="shared" si="0"/>
        <v>MCREYNOLDS KYLE</v>
      </c>
    </row>
    <row r="11" spans="1:7" x14ac:dyDescent="0.25">
      <c r="A11" s="8">
        <v>42754.068148148152</v>
      </c>
      <c r="B11" s="21" t="s">
        <v>248</v>
      </c>
      <c r="C11" s="21" t="s">
        <v>348</v>
      </c>
      <c r="D11" s="157">
        <v>2450000</v>
      </c>
      <c r="E11" s="21" t="s">
        <v>349</v>
      </c>
      <c r="F11" s="21" t="s">
        <v>350</v>
      </c>
      <c r="G11" s="8" t="str">
        <f t="shared" si="0"/>
        <v>NELSON ARIANE</v>
      </c>
    </row>
    <row r="12" spans="1:7" x14ac:dyDescent="0.25">
      <c r="A12" s="8">
        <v>42754.069988425923</v>
      </c>
      <c r="B12" s="21" t="s">
        <v>314</v>
      </c>
      <c r="C12" s="21" t="s">
        <v>363</v>
      </c>
      <c r="D12" s="157">
        <v>2270000</v>
      </c>
      <c r="E12" s="21" t="s">
        <v>319</v>
      </c>
      <c r="F12" s="21" t="s">
        <v>320</v>
      </c>
      <c r="G12" s="8" t="str">
        <f t="shared" si="0"/>
        <v>BROWN JACOB</v>
      </c>
    </row>
    <row r="13" spans="1:7" x14ac:dyDescent="0.25">
      <c r="A13" s="8">
        <v>42754.070185185185</v>
      </c>
      <c r="B13" s="21" t="s">
        <v>262</v>
      </c>
      <c r="C13" s="21" t="s">
        <v>351</v>
      </c>
      <c r="D13" s="157">
        <v>2540000</v>
      </c>
      <c r="E13" s="21" t="s">
        <v>269</v>
      </c>
      <c r="F13" s="21" t="s">
        <v>270</v>
      </c>
      <c r="G13" s="8" t="str">
        <f t="shared" si="0"/>
        <v>MCREYNOLDS KYLE</v>
      </c>
    </row>
    <row r="14" spans="1:7" x14ac:dyDescent="0.25">
      <c r="A14" s="8">
        <v>42754.077326388891</v>
      </c>
      <c r="B14" s="21" t="s">
        <v>336</v>
      </c>
      <c r="C14" s="21" t="s">
        <v>353</v>
      </c>
      <c r="D14" s="157">
        <v>2450000</v>
      </c>
      <c r="E14" s="21" t="s">
        <v>349</v>
      </c>
      <c r="F14" s="21" t="s">
        <v>350</v>
      </c>
      <c r="G14" s="8" t="str">
        <f t="shared" si="0"/>
        <v>NELSON ARIANE</v>
      </c>
    </row>
    <row r="15" spans="1:7" x14ac:dyDescent="0.25">
      <c r="A15" s="8">
        <v>42754.08556712963</v>
      </c>
      <c r="B15" s="21" t="s">
        <v>314</v>
      </c>
      <c r="C15" s="21" t="s">
        <v>363</v>
      </c>
      <c r="D15" s="157">
        <v>2270000</v>
      </c>
      <c r="E15" s="21" t="s">
        <v>319</v>
      </c>
      <c r="F15" s="21" t="s">
        <v>320</v>
      </c>
      <c r="G15" s="8" t="str">
        <f t="shared" si="0"/>
        <v>BROWN JACOB</v>
      </c>
    </row>
    <row r="16" spans="1:7" x14ac:dyDescent="0.25">
      <c r="A16" s="8">
        <v>42754.092013888891</v>
      </c>
      <c r="B16" s="21" t="s">
        <v>261</v>
      </c>
      <c r="C16" s="21" t="s">
        <v>352</v>
      </c>
      <c r="D16" s="157">
        <v>2540000</v>
      </c>
      <c r="E16" s="21" t="s">
        <v>269</v>
      </c>
      <c r="F16" s="21" t="s">
        <v>270</v>
      </c>
      <c r="G16" s="8" t="str">
        <f t="shared" si="0"/>
        <v>MCREYNOLDS KYLE</v>
      </c>
    </row>
    <row r="17" spans="1:7" x14ac:dyDescent="0.25">
      <c r="A17" s="8">
        <v>42754.093356481484</v>
      </c>
      <c r="B17" s="21" t="s">
        <v>267</v>
      </c>
      <c r="C17" s="21" t="s">
        <v>364</v>
      </c>
      <c r="D17" s="157">
        <v>1810000</v>
      </c>
      <c r="E17" s="21" t="s">
        <v>223</v>
      </c>
      <c r="F17" s="21" t="s">
        <v>210</v>
      </c>
      <c r="G17" s="8" t="str">
        <f t="shared" si="0"/>
        <v>NEWELL JAMES</v>
      </c>
    </row>
    <row r="18" spans="1:7" x14ac:dyDescent="0.25">
      <c r="A18" s="8">
        <v>42754.098680555559</v>
      </c>
      <c r="B18" s="21" t="s">
        <v>359</v>
      </c>
      <c r="C18" s="21" t="s">
        <v>355</v>
      </c>
      <c r="D18" s="157">
        <v>2670000</v>
      </c>
      <c r="E18" s="21" t="s">
        <v>356</v>
      </c>
      <c r="F18" s="21" t="s">
        <v>357</v>
      </c>
      <c r="G18" s="8" t="str">
        <f t="shared" si="0"/>
        <v>COMELLA JUSTIN</v>
      </c>
    </row>
    <row r="19" spans="1:7" x14ac:dyDescent="0.25">
      <c r="A19" s="8">
        <v>42754.108900462961</v>
      </c>
      <c r="B19" s="21" t="s">
        <v>248</v>
      </c>
      <c r="C19" s="21" t="s">
        <v>348</v>
      </c>
      <c r="D19" s="157">
        <v>2450000</v>
      </c>
      <c r="E19" s="21" t="s">
        <v>349</v>
      </c>
      <c r="F19" s="21" t="s">
        <v>350</v>
      </c>
      <c r="G19" s="8" t="str">
        <f t="shared" si="0"/>
        <v>NELSON ARIANE</v>
      </c>
    </row>
    <row r="20" spans="1:7" x14ac:dyDescent="0.25">
      <c r="A20" s="8">
        <v>42754.109803240739</v>
      </c>
      <c r="B20" s="21" t="s">
        <v>262</v>
      </c>
      <c r="C20" s="21" t="s">
        <v>351</v>
      </c>
      <c r="D20" s="157">
        <v>2540000</v>
      </c>
      <c r="E20" s="21" t="s">
        <v>269</v>
      </c>
      <c r="F20" s="21" t="s">
        <v>270</v>
      </c>
      <c r="G20" s="8" t="str">
        <f t="shared" si="0"/>
        <v>MCREYNOLDS KYLE</v>
      </c>
    </row>
    <row r="21" spans="1:7" x14ac:dyDescent="0.25">
      <c r="A21" s="8">
        <v>42754.116261574076</v>
      </c>
      <c r="B21" s="21" t="s">
        <v>261</v>
      </c>
      <c r="C21" s="21" t="s">
        <v>352</v>
      </c>
      <c r="D21" s="157">
        <v>2540000</v>
      </c>
      <c r="E21" s="21" t="s">
        <v>269</v>
      </c>
      <c r="F21" s="21" t="s">
        <v>270</v>
      </c>
      <c r="G21" s="8" t="str">
        <f t="shared" si="0"/>
        <v>MCREYNOLDS KYLE</v>
      </c>
    </row>
    <row r="22" spans="1:7" x14ac:dyDescent="0.25">
      <c r="A22" s="27">
        <v>42754.122118055559</v>
      </c>
      <c r="B22" s="21" t="s">
        <v>336</v>
      </c>
      <c r="C22" s="21" t="s">
        <v>353</v>
      </c>
      <c r="D22" s="157">
        <v>2450000</v>
      </c>
      <c r="E22" s="21" t="s">
        <v>349</v>
      </c>
      <c r="F22" s="21" t="s">
        <v>350</v>
      </c>
      <c r="G22" s="8" t="str">
        <f t="shared" si="0"/>
        <v>NELSON ARIANE</v>
      </c>
    </row>
    <row r="23" spans="1:7" x14ac:dyDescent="0.25">
      <c r="A23" s="8">
        <v>42754.123425925929</v>
      </c>
      <c r="B23" s="21" t="s">
        <v>262</v>
      </c>
      <c r="C23" s="21" t="s">
        <v>351</v>
      </c>
      <c r="D23" s="157">
        <v>2540000</v>
      </c>
      <c r="E23" s="21" t="s">
        <v>269</v>
      </c>
      <c r="F23" s="21" t="s">
        <v>270</v>
      </c>
      <c r="G23" s="8" t="str">
        <f t="shared" si="0"/>
        <v>MCREYNOLDS KYLE</v>
      </c>
    </row>
    <row r="24" spans="1:7" x14ac:dyDescent="0.25">
      <c r="A24" s="8">
        <v>42754.124548611115</v>
      </c>
      <c r="B24" s="21" t="s">
        <v>472</v>
      </c>
      <c r="C24" s="21" t="s">
        <v>473</v>
      </c>
      <c r="D24" s="157">
        <v>1200000</v>
      </c>
      <c r="E24" s="21" t="s">
        <v>504</v>
      </c>
      <c r="F24" s="21" t="s">
        <v>505</v>
      </c>
      <c r="G24" s="8" t="str">
        <f t="shared" si="0"/>
        <v>CUSHING HARRY</v>
      </c>
    </row>
    <row r="25" spans="1:7" x14ac:dyDescent="0.25">
      <c r="A25" s="8">
        <v>42754.12940972222</v>
      </c>
      <c r="B25" s="21" t="s">
        <v>354</v>
      </c>
      <c r="C25" s="21" t="s">
        <v>358</v>
      </c>
      <c r="D25" s="157">
        <v>2670000</v>
      </c>
      <c r="E25" s="21" t="s">
        <v>356</v>
      </c>
      <c r="F25" s="21" t="s">
        <v>357</v>
      </c>
      <c r="G25" s="8" t="str">
        <f t="shared" si="0"/>
        <v>COMELLA JUSTIN</v>
      </c>
    </row>
    <row r="26" spans="1:7" x14ac:dyDescent="0.25">
      <c r="A26" s="8">
        <v>42754.138229166667</v>
      </c>
      <c r="B26" s="21" t="s">
        <v>474</v>
      </c>
      <c r="C26" s="21" t="s">
        <v>475</v>
      </c>
      <c r="D26" s="157">
        <v>1200000</v>
      </c>
      <c r="E26" s="21" t="s">
        <v>504</v>
      </c>
      <c r="F26" s="21" t="s">
        <v>505</v>
      </c>
      <c r="G26" s="8" t="str">
        <f t="shared" si="0"/>
        <v>CUSHING HARRY</v>
      </c>
    </row>
    <row r="27" spans="1:7" x14ac:dyDescent="0.25">
      <c r="A27" s="8">
        <v>42754.143472222226</v>
      </c>
      <c r="B27" s="21" t="s">
        <v>278</v>
      </c>
      <c r="C27" s="21" t="s">
        <v>506</v>
      </c>
      <c r="D27" s="157">
        <v>1260000</v>
      </c>
      <c r="E27" s="21" t="s">
        <v>507</v>
      </c>
      <c r="F27" s="21" t="s">
        <v>508</v>
      </c>
      <c r="G27" s="8" t="str">
        <f t="shared" si="0"/>
        <v>ACKERMAN JARED</v>
      </c>
    </row>
    <row r="28" spans="1:7" x14ac:dyDescent="0.25">
      <c r="A28" s="8">
        <v>42754.153912037036</v>
      </c>
      <c r="B28" s="21" t="s">
        <v>244</v>
      </c>
      <c r="C28" s="21" t="s">
        <v>509</v>
      </c>
      <c r="D28" s="157">
        <v>1260000</v>
      </c>
      <c r="E28" s="21" t="s">
        <v>507</v>
      </c>
      <c r="F28" s="21" t="s">
        <v>508</v>
      </c>
      <c r="G28" s="8" t="str">
        <f t="shared" si="0"/>
        <v>ACKERMAN JARED</v>
      </c>
    </row>
    <row r="29" spans="1:7" x14ac:dyDescent="0.25">
      <c r="A29" s="8">
        <v>42754.156817129631</v>
      </c>
      <c r="B29" s="21" t="s">
        <v>228</v>
      </c>
      <c r="C29" s="21" t="s">
        <v>510</v>
      </c>
      <c r="D29" s="157">
        <v>2140000</v>
      </c>
      <c r="E29" s="21" t="s">
        <v>511</v>
      </c>
      <c r="F29" s="21" t="s">
        <v>512</v>
      </c>
      <c r="G29" s="8" t="str">
        <f t="shared" si="0"/>
        <v>ROBINSON KADDIBA</v>
      </c>
    </row>
    <row r="30" spans="1:7" x14ac:dyDescent="0.25">
      <c r="A30" s="8">
        <v>42754.165763888886</v>
      </c>
      <c r="B30" s="21" t="s">
        <v>264</v>
      </c>
      <c r="C30" s="21" t="s">
        <v>513</v>
      </c>
      <c r="D30" s="157">
        <v>1340000</v>
      </c>
      <c r="E30" s="21" t="s">
        <v>514</v>
      </c>
      <c r="F30" s="21" t="s">
        <v>515</v>
      </c>
      <c r="G30" s="8" t="str">
        <f t="shared" si="0"/>
        <v>BEAM ROSS</v>
      </c>
    </row>
    <row r="31" spans="1:7" x14ac:dyDescent="0.25">
      <c r="A31" s="8">
        <v>42754.17087962963</v>
      </c>
      <c r="B31" s="21" t="s">
        <v>359</v>
      </c>
      <c r="C31" s="21" t="s">
        <v>355</v>
      </c>
      <c r="D31" s="157">
        <v>2670000</v>
      </c>
      <c r="E31" s="21" t="s">
        <v>356</v>
      </c>
      <c r="F31" s="21" t="s">
        <v>357</v>
      </c>
      <c r="G31" s="8" t="str">
        <f t="shared" si="0"/>
        <v>COMELLA JUSTIN</v>
      </c>
    </row>
    <row r="32" spans="1:7" x14ac:dyDescent="0.25">
      <c r="A32" s="8">
        <v>42754.171932870369</v>
      </c>
      <c r="B32" s="21" t="s">
        <v>490</v>
      </c>
      <c r="C32" s="21" t="s">
        <v>516</v>
      </c>
      <c r="D32" s="157">
        <v>2140000</v>
      </c>
      <c r="E32" s="21" t="s">
        <v>511</v>
      </c>
      <c r="F32" s="21" t="s">
        <v>512</v>
      </c>
      <c r="G32" s="8" t="str">
        <f t="shared" si="0"/>
        <v>ROBINSON KADDIBA</v>
      </c>
    </row>
    <row r="33" spans="1:7" x14ac:dyDescent="0.25">
      <c r="A33" s="8">
        <v>42754.176354166666</v>
      </c>
      <c r="B33" s="21" t="s">
        <v>472</v>
      </c>
      <c r="C33" s="21" t="s">
        <v>476</v>
      </c>
      <c r="D33" s="157">
        <v>1200000</v>
      </c>
      <c r="E33" s="21" t="s">
        <v>504</v>
      </c>
      <c r="F33" s="21" t="s">
        <v>505</v>
      </c>
      <c r="G33" s="8" t="str">
        <f t="shared" si="0"/>
        <v>CUSHING HARRY</v>
      </c>
    </row>
    <row r="34" spans="1:7" x14ac:dyDescent="0.25">
      <c r="A34" s="8">
        <v>42754.179861111108</v>
      </c>
      <c r="B34" s="21" t="s">
        <v>199</v>
      </c>
      <c r="C34" s="21" t="s">
        <v>517</v>
      </c>
      <c r="D34" s="157">
        <v>1760000</v>
      </c>
      <c r="E34" s="21" t="s">
        <v>337</v>
      </c>
      <c r="F34" s="21" t="s">
        <v>338</v>
      </c>
      <c r="G34" s="8" t="str">
        <f t="shared" si="0"/>
        <v>STRICKLAND EVAN</v>
      </c>
    </row>
    <row r="35" spans="1:7" x14ac:dyDescent="0.25">
      <c r="A35" s="8">
        <v>42754.183703703704</v>
      </c>
      <c r="B35" s="21" t="s">
        <v>354</v>
      </c>
      <c r="C35" s="21" t="s">
        <v>358</v>
      </c>
      <c r="D35" s="157">
        <v>2670000</v>
      </c>
      <c r="E35" s="21" t="s">
        <v>356</v>
      </c>
      <c r="F35" s="21" t="s">
        <v>357</v>
      </c>
      <c r="G35" s="8" t="str">
        <f t="shared" si="0"/>
        <v>COMELLA JUSTIN</v>
      </c>
    </row>
    <row r="36" spans="1:7" x14ac:dyDescent="0.25">
      <c r="A36" s="8">
        <v>42754.183900462966</v>
      </c>
      <c r="B36" s="21" t="s">
        <v>201</v>
      </c>
      <c r="C36" s="21" t="s">
        <v>518</v>
      </c>
      <c r="D36" s="157">
        <v>1340000</v>
      </c>
      <c r="E36" s="21" t="s">
        <v>514</v>
      </c>
      <c r="F36" s="21" t="s">
        <v>515</v>
      </c>
      <c r="G36" s="8" t="str">
        <f t="shared" si="0"/>
        <v>BEAM ROSS</v>
      </c>
    </row>
    <row r="37" spans="1:7" x14ac:dyDescent="0.25">
      <c r="A37" s="8">
        <v>42754.189525462964</v>
      </c>
      <c r="B37" s="21" t="s">
        <v>278</v>
      </c>
      <c r="C37" s="21" t="s">
        <v>519</v>
      </c>
      <c r="D37" s="157">
        <v>1260000</v>
      </c>
      <c r="E37" s="21" t="s">
        <v>507</v>
      </c>
      <c r="F37" s="21" t="s">
        <v>508</v>
      </c>
      <c r="G37" s="8" t="str">
        <f t="shared" si="0"/>
        <v>ACKERMAN JARED</v>
      </c>
    </row>
    <row r="38" spans="1:7" x14ac:dyDescent="0.25">
      <c r="A38" s="8">
        <v>42754.193784722222</v>
      </c>
      <c r="B38" s="21" t="s">
        <v>195</v>
      </c>
      <c r="C38" s="21" t="s">
        <v>520</v>
      </c>
      <c r="D38" s="157">
        <v>1760000</v>
      </c>
      <c r="E38" s="21" t="s">
        <v>337</v>
      </c>
      <c r="F38" s="21" t="s">
        <v>338</v>
      </c>
      <c r="G38" s="8" t="str">
        <f t="shared" si="0"/>
        <v>STRICKLAND EVAN</v>
      </c>
    </row>
    <row r="39" spans="1:7" x14ac:dyDescent="0.25">
      <c r="A39" s="8">
        <v>42754.19630787037</v>
      </c>
      <c r="B39" s="21" t="s">
        <v>359</v>
      </c>
      <c r="C39" s="21" t="s">
        <v>355</v>
      </c>
      <c r="D39" s="157">
        <v>2670000</v>
      </c>
      <c r="E39" s="21" t="s">
        <v>356</v>
      </c>
      <c r="F39" s="21" t="s">
        <v>357</v>
      </c>
      <c r="G39" s="8" t="str">
        <f t="shared" si="0"/>
        <v>COMELLA JUSTIN</v>
      </c>
    </row>
    <row r="40" spans="1:7" x14ac:dyDescent="0.25">
      <c r="A40" s="8">
        <v>42754.204895833333</v>
      </c>
      <c r="B40" s="26" t="s">
        <v>521</v>
      </c>
      <c r="C40" s="21" t="s">
        <v>522</v>
      </c>
      <c r="D40" s="157">
        <v>1830000</v>
      </c>
      <c r="E40" s="21" t="s">
        <v>293</v>
      </c>
      <c r="F40" s="21" t="s">
        <v>294</v>
      </c>
      <c r="G40" s="8" t="str">
        <f t="shared" si="0"/>
        <v>YORK EDGAR</v>
      </c>
    </row>
    <row r="41" spans="1:7" x14ac:dyDescent="0.25">
      <c r="A41" s="8">
        <v>42754.207337962966</v>
      </c>
      <c r="B41" s="21" t="s">
        <v>202</v>
      </c>
      <c r="C41" s="21" t="s">
        <v>477</v>
      </c>
      <c r="D41" s="157">
        <v>2020000</v>
      </c>
      <c r="E41" s="21" t="s">
        <v>523</v>
      </c>
      <c r="F41" s="21" t="s">
        <v>316</v>
      </c>
      <c r="G41" s="8" t="str">
        <f t="shared" si="0"/>
        <v>SHOOK JOHN</v>
      </c>
    </row>
    <row r="42" spans="1:7" x14ac:dyDescent="0.25">
      <c r="A42" s="8">
        <v>42754.209074074075</v>
      </c>
      <c r="B42" s="21" t="s">
        <v>354</v>
      </c>
      <c r="C42" s="21" t="s">
        <v>358</v>
      </c>
      <c r="D42" s="157">
        <v>2670000</v>
      </c>
      <c r="E42" s="21" t="s">
        <v>356</v>
      </c>
      <c r="F42" s="21" t="s">
        <v>357</v>
      </c>
      <c r="G42" s="8" t="str">
        <f t="shared" si="0"/>
        <v>COMELLA JUSTIN</v>
      </c>
    </row>
    <row r="43" spans="1:7" x14ac:dyDescent="0.25">
      <c r="A43" s="8">
        <v>42754.210706018515</v>
      </c>
      <c r="B43" s="21" t="s">
        <v>228</v>
      </c>
      <c r="C43" s="21" t="s">
        <v>524</v>
      </c>
      <c r="D43" s="157">
        <v>2140000</v>
      </c>
      <c r="E43" s="21" t="s">
        <v>511</v>
      </c>
      <c r="F43" s="21" t="s">
        <v>512</v>
      </c>
      <c r="G43" s="8" t="str">
        <f t="shared" si="0"/>
        <v>ROBINSON KADDIBA</v>
      </c>
    </row>
    <row r="44" spans="1:7" x14ac:dyDescent="0.25">
      <c r="A44" s="8">
        <v>42754.21665509259</v>
      </c>
      <c r="B44" s="21" t="s">
        <v>203</v>
      </c>
      <c r="C44" s="21" t="s">
        <v>525</v>
      </c>
      <c r="D44" s="157">
        <v>2020000</v>
      </c>
      <c r="E44" s="21" t="s">
        <v>523</v>
      </c>
      <c r="F44" s="21" t="s">
        <v>316</v>
      </c>
      <c r="G44" s="8" t="str">
        <f t="shared" si="0"/>
        <v>SHOOK JOHN</v>
      </c>
    </row>
    <row r="45" spans="1:7" x14ac:dyDescent="0.25">
      <c r="A45" s="8">
        <v>42754.219155092593</v>
      </c>
      <c r="B45" s="21" t="s">
        <v>474</v>
      </c>
      <c r="C45" s="21" t="s">
        <v>478</v>
      </c>
      <c r="D45" s="157">
        <v>1200000</v>
      </c>
      <c r="E45" s="21" t="s">
        <v>504</v>
      </c>
      <c r="F45" s="21" t="s">
        <v>505</v>
      </c>
      <c r="G45" s="8" t="str">
        <f t="shared" si="0"/>
        <v>CUSHING HARRY</v>
      </c>
    </row>
    <row r="46" spans="1:7" x14ac:dyDescent="0.25">
      <c r="A46" s="8">
        <v>42754.221782407411</v>
      </c>
      <c r="B46" s="21" t="s">
        <v>264</v>
      </c>
      <c r="C46" s="21" t="s">
        <v>526</v>
      </c>
      <c r="D46" s="157">
        <v>1340000</v>
      </c>
      <c r="E46" s="21" t="s">
        <v>514</v>
      </c>
      <c r="F46" s="21" t="s">
        <v>515</v>
      </c>
      <c r="G46" s="8" t="str">
        <f t="shared" si="0"/>
        <v>BEAM ROSS</v>
      </c>
    </row>
    <row r="47" spans="1:7" x14ac:dyDescent="0.25">
      <c r="A47" s="8">
        <v>42754.226840277777</v>
      </c>
      <c r="B47" s="21" t="s">
        <v>199</v>
      </c>
      <c r="C47" s="21" t="s">
        <v>527</v>
      </c>
      <c r="D47" s="157">
        <v>1760000</v>
      </c>
      <c r="E47" s="21" t="s">
        <v>337</v>
      </c>
      <c r="F47" s="21" t="s">
        <v>338</v>
      </c>
      <c r="G47" s="8" t="str">
        <f t="shared" si="0"/>
        <v>STRICKLAND EVAN</v>
      </c>
    </row>
    <row r="48" spans="1:7" x14ac:dyDescent="0.25">
      <c r="A48" s="8">
        <v>42754.227118055554</v>
      </c>
      <c r="B48" s="21" t="s">
        <v>244</v>
      </c>
      <c r="C48" s="21" t="s">
        <v>528</v>
      </c>
      <c r="D48" s="157">
        <v>1110000</v>
      </c>
      <c r="E48" s="21" t="s">
        <v>287</v>
      </c>
      <c r="F48" s="21" t="s">
        <v>288</v>
      </c>
      <c r="G48" s="8" t="str">
        <f t="shared" si="0"/>
        <v>STARKS ANGELINA</v>
      </c>
    </row>
    <row r="49" spans="1:7" x14ac:dyDescent="0.25">
      <c r="A49" s="8">
        <v>42754.23128472222</v>
      </c>
      <c r="B49" s="21" t="s">
        <v>202</v>
      </c>
      <c r="C49" s="21" t="s">
        <v>529</v>
      </c>
      <c r="D49" s="157">
        <v>2020000</v>
      </c>
      <c r="E49" s="21" t="s">
        <v>523</v>
      </c>
      <c r="F49" s="21" t="s">
        <v>316</v>
      </c>
      <c r="G49" s="8" t="str">
        <f t="shared" si="0"/>
        <v>SHOOK JOHN</v>
      </c>
    </row>
    <row r="50" spans="1:7" x14ac:dyDescent="0.25">
      <c r="A50" s="8">
        <v>42754.234282407408</v>
      </c>
      <c r="B50" s="21" t="s">
        <v>279</v>
      </c>
      <c r="C50" s="21" t="s">
        <v>530</v>
      </c>
      <c r="D50" s="157">
        <v>1260000</v>
      </c>
      <c r="E50" s="21" t="s">
        <v>507</v>
      </c>
      <c r="F50" s="21" t="s">
        <v>508</v>
      </c>
      <c r="G50" s="8" t="str">
        <f t="shared" si="0"/>
        <v>ACKERMAN JARED</v>
      </c>
    </row>
    <row r="51" spans="1:7" x14ac:dyDescent="0.25">
      <c r="A51" s="8">
        <v>42754.234814814816</v>
      </c>
      <c r="B51" s="21" t="s">
        <v>240</v>
      </c>
      <c r="C51" s="21" t="s">
        <v>531</v>
      </c>
      <c r="D51" s="157">
        <v>1830000</v>
      </c>
      <c r="E51" s="21" t="s">
        <v>293</v>
      </c>
      <c r="F51" s="21" t="s">
        <v>294</v>
      </c>
      <c r="G51" s="8" t="str">
        <f t="shared" si="0"/>
        <v>YORK EDGAR</v>
      </c>
    </row>
    <row r="52" spans="1:7" x14ac:dyDescent="0.25">
      <c r="A52" s="8">
        <v>42754.250393518516</v>
      </c>
      <c r="B52" s="21" t="s">
        <v>312</v>
      </c>
      <c r="C52" s="21" t="s">
        <v>532</v>
      </c>
      <c r="D52" s="157">
        <v>890000</v>
      </c>
      <c r="E52" s="21" t="s">
        <v>317</v>
      </c>
      <c r="F52" s="21" t="s">
        <v>318</v>
      </c>
      <c r="G52" s="8" t="str">
        <f t="shared" si="0"/>
        <v>LOZA FIDEL</v>
      </c>
    </row>
    <row r="53" spans="1:7" x14ac:dyDescent="0.25">
      <c r="A53" s="8">
        <v>42754.252106481479</v>
      </c>
      <c r="B53" s="21" t="s">
        <v>490</v>
      </c>
      <c r="C53" s="21" t="s">
        <v>533</v>
      </c>
      <c r="D53" s="157">
        <v>2140000</v>
      </c>
      <c r="E53" s="21" t="s">
        <v>511</v>
      </c>
      <c r="F53" s="21" t="s">
        <v>512</v>
      </c>
      <c r="G53" s="8" t="str">
        <f t="shared" si="0"/>
        <v>ROBINSON KADDIBA</v>
      </c>
    </row>
    <row r="54" spans="1:7" x14ac:dyDescent="0.25">
      <c r="A54" s="8">
        <v>42754.254467592589</v>
      </c>
      <c r="B54" s="21" t="s">
        <v>534</v>
      </c>
      <c r="C54" s="21" t="s">
        <v>535</v>
      </c>
      <c r="D54" s="157">
        <v>1200000</v>
      </c>
      <c r="E54" s="21" t="s">
        <v>504</v>
      </c>
      <c r="F54" s="21" t="s">
        <v>505</v>
      </c>
      <c r="G54" s="8" t="str">
        <f t="shared" si="0"/>
        <v>CUSHING HARRY</v>
      </c>
    </row>
    <row r="55" spans="1:7" x14ac:dyDescent="0.25">
      <c r="A55" s="8">
        <v>42754.257013888891</v>
      </c>
      <c r="B55" s="21" t="s">
        <v>203</v>
      </c>
      <c r="C55" s="21" t="s">
        <v>536</v>
      </c>
      <c r="D55" s="157">
        <v>2020000</v>
      </c>
      <c r="E55" s="21" t="s">
        <v>523</v>
      </c>
      <c r="F55" s="21" t="s">
        <v>316</v>
      </c>
      <c r="G55" s="8" t="str">
        <f t="shared" si="0"/>
        <v>SHOOK JOHN</v>
      </c>
    </row>
    <row r="56" spans="1:7" x14ac:dyDescent="0.25">
      <c r="A56" s="8">
        <v>42754.257326388892</v>
      </c>
      <c r="B56" s="21" t="s">
        <v>201</v>
      </c>
      <c r="C56" s="21" t="s">
        <v>537</v>
      </c>
      <c r="D56" s="157">
        <v>1340000</v>
      </c>
      <c r="E56" s="21" t="s">
        <v>514</v>
      </c>
      <c r="F56" s="21" t="s">
        <v>515</v>
      </c>
      <c r="G56" s="8" t="str">
        <f t="shared" si="0"/>
        <v>BEAM ROSS</v>
      </c>
    </row>
    <row r="57" spans="1:7" x14ac:dyDescent="0.25">
      <c r="A57" s="8">
        <v>42754.261805555558</v>
      </c>
      <c r="B57" s="21" t="s">
        <v>197</v>
      </c>
      <c r="C57" s="21" t="s">
        <v>538</v>
      </c>
      <c r="D57" s="157">
        <v>890000</v>
      </c>
      <c r="E57" s="21" t="s">
        <v>317</v>
      </c>
      <c r="F57" s="21" t="s">
        <v>318</v>
      </c>
      <c r="G57" s="8" t="str">
        <f t="shared" si="0"/>
        <v>LOZA FIDEL</v>
      </c>
    </row>
    <row r="58" spans="1:7" x14ac:dyDescent="0.25">
      <c r="A58" s="8">
        <v>42754.267731481479</v>
      </c>
      <c r="B58" s="21" t="s">
        <v>313</v>
      </c>
      <c r="C58" s="21" t="s">
        <v>479</v>
      </c>
      <c r="D58" s="157">
        <v>1110000</v>
      </c>
      <c r="E58" s="21" t="s">
        <v>287</v>
      </c>
      <c r="F58" s="21" t="s">
        <v>288</v>
      </c>
      <c r="G58" s="8" t="str">
        <f t="shared" si="0"/>
        <v>STARKS ANGELINA</v>
      </c>
    </row>
    <row r="59" spans="1:7" x14ac:dyDescent="0.25">
      <c r="A59" s="8">
        <v>42754.270428240743</v>
      </c>
      <c r="B59" s="21" t="s">
        <v>195</v>
      </c>
      <c r="C59" s="21" t="s">
        <v>539</v>
      </c>
      <c r="D59" s="157">
        <v>1760000</v>
      </c>
      <c r="E59" s="21" t="s">
        <v>337</v>
      </c>
      <c r="F59" s="21" t="s">
        <v>338</v>
      </c>
      <c r="G59" s="8" t="str">
        <f t="shared" si="0"/>
        <v>STRICKLAND EVAN</v>
      </c>
    </row>
    <row r="60" spans="1:7" x14ac:dyDescent="0.25">
      <c r="A60" s="8">
        <v>42754.271620370368</v>
      </c>
      <c r="B60" s="21" t="s">
        <v>202</v>
      </c>
      <c r="C60" s="21" t="s">
        <v>540</v>
      </c>
      <c r="D60" s="157">
        <v>2020000</v>
      </c>
      <c r="E60" s="21" t="s">
        <v>523</v>
      </c>
      <c r="F60" s="21" t="s">
        <v>316</v>
      </c>
      <c r="G60" s="8" t="str">
        <f t="shared" si="0"/>
        <v>SHOOK JOHN</v>
      </c>
    </row>
    <row r="61" spans="1:7" x14ac:dyDescent="0.25">
      <c r="A61" s="8">
        <v>42754.273032407407</v>
      </c>
      <c r="B61" s="21" t="s">
        <v>278</v>
      </c>
      <c r="C61" s="21" t="s">
        <v>481</v>
      </c>
      <c r="D61" s="157">
        <v>1260000</v>
      </c>
      <c r="E61" s="21" t="s">
        <v>507</v>
      </c>
      <c r="F61" s="21" t="s">
        <v>508</v>
      </c>
      <c r="G61" s="8" t="str">
        <f t="shared" si="0"/>
        <v>ACKERMAN JARED</v>
      </c>
    </row>
    <row r="62" spans="1:7" x14ac:dyDescent="0.25">
      <c r="A62" s="8">
        <v>42754.275659722225</v>
      </c>
      <c r="B62" s="21" t="s">
        <v>312</v>
      </c>
      <c r="C62" s="21" t="s">
        <v>541</v>
      </c>
      <c r="D62" s="157">
        <v>890000</v>
      </c>
      <c r="E62" s="21" t="s">
        <v>317</v>
      </c>
      <c r="F62" s="21" t="s">
        <v>318</v>
      </c>
      <c r="G62" s="8" t="str">
        <f t="shared" si="0"/>
        <v>LOZA FIDEL</v>
      </c>
    </row>
    <row r="63" spans="1:7" x14ac:dyDescent="0.25">
      <c r="A63" s="8">
        <v>42754.276585648149</v>
      </c>
      <c r="B63" s="21" t="s">
        <v>490</v>
      </c>
      <c r="C63" s="21" t="s">
        <v>542</v>
      </c>
      <c r="D63" s="157">
        <v>1830000</v>
      </c>
      <c r="E63" s="21" t="s">
        <v>293</v>
      </c>
      <c r="F63" s="21" t="s">
        <v>294</v>
      </c>
      <c r="G63" s="8" t="str">
        <f t="shared" si="0"/>
        <v>YORK EDGAR</v>
      </c>
    </row>
    <row r="64" spans="1:7" x14ac:dyDescent="0.25">
      <c r="A64" s="27">
        <v>42754.288344907407</v>
      </c>
      <c r="B64" s="21" t="s">
        <v>264</v>
      </c>
      <c r="C64" s="21" t="s">
        <v>543</v>
      </c>
      <c r="D64" s="157">
        <v>1340000</v>
      </c>
      <c r="E64" s="21" t="s">
        <v>514</v>
      </c>
      <c r="F64" s="21" t="s">
        <v>515</v>
      </c>
      <c r="G64" s="8" t="str">
        <f t="shared" si="0"/>
        <v>BEAM ROSS</v>
      </c>
    </row>
    <row r="65" spans="1:7" x14ac:dyDescent="0.25">
      <c r="A65" s="8">
        <v>42754.290648148148</v>
      </c>
      <c r="B65" s="21" t="s">
        <v>474</v>
      </c>
      <c r="C65" s="21" t="s">
        <v>544</v>
      </c>
      <c r="D65" s="157">
        <v>1200000</v>
      </c>
      <c r="E65" s="21" t="s">
        <v>504</v>
      </c>
      <c r="F65" s="21" t="s">
        <v>505</v>
      </c>
      <c r="G65" s="8" t="str">
        <f t="shared" si="0"/>
        <v>CUSHING HARRY</v>
      </c>
    </row>
    <row r="66" spans="1:7" x14ac:dyDescent="0.25">
      <c r="A66" s="8">
        <v>42754.297407407408</v>
      </c>
      <c r="B66" s="21" t="s">
        <v>472</v>
      </c>
      <c r="C66" s="21" t="s">
        <v>545</v>
      </c>
      <c r="D66" s="157">
        <v>1290000</v>
      </c>
      <c r="E66" s="21" t="s">
        <v>315</v>
      </c>
      <c r="F66" s="21" t="s">
        <v>316</v>
      </c>
      <c r="G66" s="8" t="str">
        <f t="shared" si="0"/>
        <v>COOLAHAN JOHN</v>
      </c>
    </row>
    <row r="67" spans="1:7" x14ac:dyDescent="0.25">
      <c r="A67" s="8">
        <v>42754.298368055555</v>
      </c>
      <c r="B67" s="21" t="s">
        <v>203</v>
      </c>
      <c r="C67" s="21" t="s">
        <v>546</v>
      </c>
      <c r="D67" s="157">
        <v>2020000</v>
      </c>
      <c r="E67" s="21" t="s">
        <v>523</v>
      </c>
      <c r="F67" s="21" t="s">
        <v>316</v>
      </c>
      <c r="G67" s="8" t="str">
        <f t="shared" ref="G67:G130" si="1">E67&amp;" "&amp;F67</f>
        <v>SHOOK JOHN</v>
      </c>
    </row>
    <row r="68" spans="1:7" x14ac:dyDescent="0.25">
      <c r="A68" s="8">
        <v>42754.299097222225</v>
      </c>
      <c r="B68" s="21" t="s">
        <v>244</v>
      </c>
      <c r="C68" s="21" t="s">
        <v>480</v>
      </c>
      <c r="D68" s="157">
        <v>1110000</v>
      </c>
      <c r="E68" s="21" t="s">
        <v>287</v>
      </c>
      <c r="F68" s="21" t="s">
        <v>288</v>
      </c>
      <c r="G68" s="8" t="str">
        <f t="shared" si="1"/>
        <v>STARKS ANGELINA</v>
      </c>
    </row>
    <row r="69" spans="1:7" x14ac:dyDescent="0.25">
      <c r="A69" s="8">
        <v>42754.299189814818</v>
      </c>
      <c r="B69" s="21" t="s">
        <v>199</v>
      </c>
      <c r="C69" s="21" t="s">
        <v>547</v>
      </c>
      <c r="D69" s="157">
        <v>1760000</v>
      </c>
      <c r="E69" s="21" t="s">
        <v>337</v>
      </c>
      <c r="F69" s="21" t="s">
        <v>338</v>
      </c>
      <c r="G69" s="8" t="str">
        <f t="shared" si="1"/>
        <v>STRICKLAND EVAN</v>
      </c>
    </row>
    <row r="70" spans="1:7" x14ac:dyDescent="0.25">
      <c r="A70" s="8">
        <v>42754.302986111114</v>
      </c>
      <c r="B70" s="21" t="s">
        <v>197</v>
      </c>
      <c r="C70" s="21" t="s">
        <v>548</v>
      </c>
      <c r="D70" s="157">
        <v>890000</v>
      </c>
      <c r="E70" s="21" t="s">
        <v>317</v>
      </c>
      <c r="F70" s="21" t="s">
        <v>318</v>
      </c>
      <c r="G70" s="8" t="str">
        <f t="shared" si="1"/>
        <v>LOZA FIDEL</v>
      </c>
    </row>
    <row r="71" spans="1:7" x14ac:dyDescent="0.25">
      <c r="A71" s="8">
        <v>42754.309513888889</v>
      </c>
      <c r="B71" s="21" t="s">
        <v>279</v>
      </c>
      <c r="C71" s="21" t="s">
        <v>549</v>
      </c>
      <c r="D71" s="157">
        <v>1260000</v>
      </c>
      <c r="E71" s="21" t="s">
        <v>507</v>
      </c>
      <c r="F71" s="21" t="s">
        <v>508</v>
      </c>
      <c r="G71" s="8" t="str">
        <f t="shared" si="1"/>
        <v>ACKERMAN JARED</v>
      </c>
    </row>
    <row r="72" spans="1:7" x14ac:dyDescent="0.25">
      <c r="A72" s="8">
        <v>42754.313206018516</v>
      </c>
      <c r="B72" s="21" t="s">
        <v>202</v>
      </c>
      <c r="C72" s="21" t="s">
        <v>550</v>
      </c>
      <c r="D72" s="157">
        <v>2020000</v>
      </c>
      <c r="E72" s="21" t="s">
        <v>523</v>
      </c>
      <c r="F72" s="21" t="s">
        <v>316</v>
      </c>
      <c r="G72" s="8" t="str">
        <f t="shared" si="1"/>
        <v>SHOOK JOHN</v>
      </c>
    </row>
    <row r="73" spans="1:7" x14ac:dyDescent="0.25">
      <c r="A73" s="8">
        <v>42754.314479166664</v>
      </c>
      <c r="B73" s="21" t="s">
        <v>482</v>
      </c>
      <c r="C73" s="21" t="s">
        <v>483</v>
      </c>
      <c r="D73" s="157">
        <v>1830000</v>
      </c>
      <c r="E73" s="21" t="s">
        <v>293</v>
      </c>
      <c r="F73" s="21" t="s">
        <v>294</v>
      </c>
      <c r="G73" s="8" t="str">
        <f t="shared" si="1"/>
        <v>YORK EDGAR</v>
      </c>
    </row>
    <row r="74" spans="1:7" x14ac:dyDescent="0.25">
      <c r="A74" s="8">
        <v>42754.317442129628</v>
      </c>
      <c r="B74" s="21" t="s">
        <v>312</v>
      </c>
      <c r="C74" s="21" t="s">
        <v>551</v>
      </c>
      <c r="D74" s="157">
        <v>890000</v>
      </c>
      <c r="E74" s="21" t="s">
        <v>317</v>
      </c>
      <c r="F74" s="21" t="s">
        <v>318</v>
      </c>
      <c r="G74" s="8" t="str">
        <f t="shared" si="1"/>
        <v>LOZA FIDEL</v>
      </c>
    </row>
    <row r="75" spans="1:7" x14ac:dyDescent="0.25">
      <c r="A75" s="8">
        <v>42754.319189814814</v>
      </c>
      <c r="B75" s="21" t="s">
        <v>201</v>
      </c>
      <c r="C75" s="21" t="s">
        <v>552</v>
      </c>
      <c r="D75" s="157">
        <v>1340000</v>
      </c>
      <c r="E75" s="21" t="s">
        <v>514</v>
      </c>
      <c r="F75" s="21" t="s">
        <v>515</v>
      </c>
      <c r="G75" s="8" t="str">
        <f t="shared" si="1"/>
        <v>BEAM ROSS</v>
      </c>
    </row>
    <row r="76" spans="1:7" x14ac:dyDescent="0.25">
      <c r="A76" s="8">
        <v>42754.326597222222</v>
      </c>
      <c r="B76" s="21" t="s">
        <v>534</v>
      </c>
      <c r="C76" s="21" t="s">
        <v>553</v>
      </c>
      <c r="D76" s="157">
        <v>1200000</v>
      </c>
      <c r="E76" s="21" t="s">
        <v>504</v>
      </c>
      <c r="F76" s="21" t="s">
        <v>505</v>
      </c>
      <c r="G76" s="8" t="str">
        <f t="shared" si="1"/>
        <v>CUSHING HARRY</v>
      </c>
    </row>
    <row r="77" spans="1:7" x14ac:dyDescent="0.25">
      <c r="A77" s="8">
        <v>42754.329652777778</v>
      </c>
      <c r="B77" s="21" t="s">
        <v>488</v>
      </c>
      <c r="C77" s="21" t="s">
        <v>554</v>
      </c>
      <c r="D77" s="157">
        <v>2140000</v>
      </c>
      <c r="E77" s="21" t="s">
        <v>511</v>
      </c>
      <c r="F77" s="21" t="s">
        <v>512</v>
      </c>
      <c r="G77" s="8" t="str">
        <f t="shared" si="1"/>
        <v>ROBINSON KADDIBA</v>
      </c>
    </row>
    <row r="78" spans="1:7" x14ac:dyDescent="0.25">
      <c r="A78" s="8">
        <v>42754.333368055559</v>
      </c>
      <c r="B78" s="21" t="s">
        <v>197</v>
      </c>
      <c r="C78" s="21" t="s">
        <v>555</v>
      </c>
      <c r="D78" s="157">
        <v>890000</v>
      </c>
      <c r="E78" s="21" t="s">
        <v>317</v>
      </c>
      <c r="F78" s="21" t="s">
        <v>318</v>
      </c>
      <c r="G78" s="8" t="str">
        <f t="shared" si="1"/>
        <v>LOZA FIDEL</v>
      </c>
    </row>
    <row r="79" spans="1:7" x14ac:dyDescent="0.25">
      <c r="A79" s="8">
        <v>42754.339606481481</v>
      </c>
      <c r="B79" s="21" t="s">
        <v>195</v>
      </c>
      <c r="C79" s="21" t="s">
        <v>556</v>
      </c>
      <c r="D79" s="157">
        <v>1760000</v>
      </c>
      <c r="E79" s="21" t="s">
        <v>337</v>
      </c>
      <c r="F79" s="21" t="s">
        <v>338</v>
      </c>
      <c r="G79" s="8" t="str">
        <f t="shared" si="1"/>
        <v>STRICKLAND EVAN</v>
      </c>
    </row>
    <row r="80" spans="1:7" x14ac:dyDescent="0.25">
      <c r="A80" s="8">
        <v>42754.340104166666</v>
      </c>
      <c r="B80" s="21" t="s">
        <v>203</v>
      </c>
      <c r="C80" s="21" t="s">
        <v>557</v>
      </c>
      <c r="D80" s="157">
        <v>2020000</v>
      </c>
      <c r="E80" s="21" t="s">
        <v>523</v>
      </c>
      <c r="F80" s="21" t="s">
        <v>316</v>
      </c>
      <c r="G80" s="8" t="str">
        <f t="shared" si="1"/>
        <v>SHOOK JOHN</v>
      </c>
    </row>
    <row r="81" spans="1:7" x14ac:dyDescent="0.25">
      <c r="A81" s="8">
        <v>42754.340300925927</v>
      </c>
      <c r="B81" s="21" t="s">
        <v>313</v>
      </c>
      <c r="C81" s="21" t="s">
        <v>558</v>
      </c>
      <c r="D81" s="157">
        <v>1110000</v>
      </c>
      <c r="E81" s="21" t="s">
        <v>287</v>
      </c>
      <c r="F81" s="21" t="s">
        <v>288</v>
      </c>
      <c r="G81" s="8" t="str">
        <f t="shared" si="1"/>
        <v>STARKS ANGELINA</v>
      </c>
    </row>
    <row r="82" spans="1:7" x14ac:dyDescent="0.25">
      <c r="A82" s="8">
        <v>42754.345358796294</v>
      </c>
      <c r="B82" s="21" t="s">
        <v>278</v>
      </c>
      <c r="C82" s="21" t="s">
        <v>559</v>
      </c>
      <c r="D82" s="157">
        <v>1260000</v>
      </c>
      <c r="E82" s="21" t="s">
        <v>507</v>
      </c>
      <c r="F82" s="21" t="s">
        <v>508</v>
      </c>
      <c r="G82" s="8" t="str">
        <f t="shared" si="1"/>
        <v>ACKERMAN JARED</v>
      </c>
    </row>
    <row r="83" spans="1:7" x14ac:dyDescent="0.25">
      <c r="A83" s="8">
        <v>42754.347800925927</v>
      </c>
      <c r="B83" s="21" t="s">
        <v>490</v>
      </c>
      <c r="C83" s="21" t="s">
        <v>560</v>
      </c>
      <c r="D83" s="157">
        <v>1830000</v>
      </c>
      <c r="E83" s="21" t="s">
        <v>293</v>
      </c>
      <c r="F83" s="21" t="s">
        <v>294</v>
      </c>
      <c r="G83" s="8" t="str">
        <f t="shared" si="1"/>
        <v>YORK EDGAR</v>
      </c>
    </row>
    <row r="84" spans="1:7" x14ac:dyDescent="0.25">
      <c r="A84" s="8">
        <v>42754.354050925926</v>
      </c>
      <c r="B84" s="21" t="s">
        <v>202</v>
      </c>
      <c r="C84" s="21" t="s">
        <v>561</v>
      </c>
      <c r="D84" s="157">
        <v>2020000</v>
      </c>
      <c r="E84" s="21" t="s">
        <v>523</v>
      </c>
      <c r="F84" s="21" t="s">
        <v>316</v>
      </c>
      <c r="G84" s="8" t="str">
        <f t="shared" si="1"/>
        <v>SHOOK JOHN</v>
      </c>
    </row>
    <row r="85" spans="1:7" x14ac:dyDescent="0.25">
      <c r="A85" s="8">
        <v>42754.356712962966</v>
      </c>
      <c r="B85" s="21" t="s">
        <v>264</v>
      </c>
      <c r="C85" s="21" t="s">
        <v>562</v>
      </c>
      <c r="D85" s="157">
        <v>1340000</v>
      </c>
      <c r="E85" s="21" t="s">
        <v>514</v>
      </c>
      <c r="F85" s="21" t="s">
        <v>515</v>
      </c>
      <c r="G85" s="8" t="str">
        <f t="shared" si="1"/>
        <v>BEAM ROSS</v>
      </c>
    </row>
    <row r="86" spans="1:7" x14ac:dyDescent="0.25">
      <c r="A86" s="8">
        <v>42754.3594212963</v>
      </c>
      <c r="B86" s="21" t="s">
        <v>312</v>
      </c>
      <c r="C86" s="21" t="s">
        <v>563</v>
      </c>
      <c r="D86" s="157">
        <v>890000</v>
      </c>
      <c r="E86" s="21" t="s">
        <v>317</v>
      </c>
      <c r="F86" s="21" t="s">
        <v>318</v>
      </c>
      <c r="G86" s="8" t="str">
        <f t="shared" si="1"/>
        <v>LOZA FIDEL</v>
      </c>
    </row>
    <row r="87" spans="1:7" x14ac:dyDescent="0.25">
      <c r="A87" s="8">
        <v>42754.362893518519</v>
      </c>
      <c r="B87" s="21" t="s">
        <v>474</v>
      </c>
      <c r="C87" s="21" t="s">
        <v>564</v>
      </c>
      <c r="D87" s="157">
        <v>1200000</v>
      </c>
      <c r="E87" s="21" t="s">
        <v>504</v>
      </c>
      <c r="F87" s="21" t="s">
        <v>505</v>
      </c>
      <c r="G87" s="8" t="str">
        <f t="shared" si="1"/>
        <v>CUSHING HARRY</v>
      </c>
    </row>
    <row r="88" spans="1:7" x14ac:dyDescent="0.25">
      <c r="A88" s="8">
        <v>42754.365694444445</v>
      </c>
      <c r="B88" s="21" t="s">
        <v>472</v>
      </c>
      <c r="C88" s="21" t="s">
        <v>484</v>
      </c>
      <c r="D88" s="157">
        <v>1290000</v>
      </c>
      <c r="E88" s="21" t="s">
        <v>315</v>
      </c>
      <c r="F88" s="21" t="s">
        <v>316</v>
      </c>
      <c r="G88" s="8" t="str">
        <f t="shared" si="1"/>
        <v>COOLAHAN JOHN</v>
      </c>
    </row>
    <row r="89" spans="1:7" x14ac:dyDescent="0.25">
      <c r="A89" s="8">
        <v>42754.372685185182</v>
      </c>
      <c r="B89" s="21" t="s">
        <v>244</v>
      </c>
      <c r="C89" s="21" t="s">
        <v>565</v>
      </c>
      <c r="D89" s="157">
        <v>1110000</v>
      </c>
      <c r="E89" s="21" t="s">
        <v>287</v>
      </c>
      <c r="F89" s="21" t="s">
        <v>288</v>
      </c>
      <c r="G89" s="8" t="str">
        <f t="shared" si="1"/>
        <v>STARKS ANGELINA</v>
      </c>
    </row>
    <row r="90" spans="1:7" x14ac:dyDescent="0.25">
      <c r="A90" s="8">
        <v>42754.372777777775</v>
      </c>
      <c r="B90" s="21" t="s">
        <v>199</v>
      </c>
      <c r="C90" s="21" t="s">
        <v>566</v>
      </c>
      <c r="D90" s="157">
        <v>1760000</v>
      </c>
      <c r="E90" s="21" t="s">
        <v>337</v>
      </c>
      <c r="F90" s="21" t="s">
        <v>338</v>
      </c>
      <c r="G90" s="8" t="str">
        <f t="shared" si="1"/>
        <v>STRICKLAND EVAN</v>
      </c>
    </row>
    <row r="91" spans="1:7" x14ac:dyDescent="0.25">
      <c r="A91" s="8">
        <v>42754.379791666666</v>
      </c>
      <c r="B91" s="21" t="s">
        <v>482</v>
      </c>
      <c r="C91" s="21" t="s">
        <v>567</v>
      </c>
      <c r="D91" s="157">
        <v>1830000</v>
      </c>
      <c r="E91" s="21" t="s">
        <v>293</v>
      </c>
      <c r="F91" s="21" t="s">
        <v>294</v>
      </c>
      <c r="G91" s="8" t="str">
        <f t="shared" si="1"/>
        <v>YORK EDGAR</v>
      </c>
    </row>
    <row r="92" spans="1:7" x14ac:dyDescent="0.25">
      <c r="A92" s="8">
        <v>42754.380393518521</v>
      </c>
      <c r="B92" s="21" t="s">
        <v>197</v>
      </c>
      <c r="C92" s="21" t="s">
        <v>568</v>
      </c>
      <c r="D92" s="157">
        <v>890000</v>
      </c>
      <c r="E92" s="21" t="s">
        <v>317</v>
      </c>
      <c r="F92" s="21" t="s">
        <v>318</v>
      </c>
      <c r="G92" s="8" t="str">
        <f t="shared" si="1"/>
        <v>LOZA FIDEL</v>
      </c>
    </row>
    <row r="93" spans="1:7" x14ac:dyDescent="0.25">
      <c r="A93" s="8">
        <v>42754.381921296299</v>
      </c>
      <c r="B93" s="21" t="s">
        <v>279</v>
      </c>
      <c r="C93" s="21" t="s">
        <v>569</v>
      </c>
      <c r="D93" s="157">
        <v>1260000</v>
      </c>
      <c r="E93" s="21" t="s">
        <v>507</v>
      </c>
      <c r="F93" s="21" t="s">
        <v>508</v>
      </c>
      <c r="G93" s="8" t="str">
        <f t="shared" si="1"/>
        <v>ACKERMAN JARED</v>
      </c>
    </row>
    <row r="94" spans="1:7" x14ac:dyDescent="0.25">
      <c r="A94" s="8">
        <v>42754.391793981478</v>
      </c>
      <c r="B94" s="21" t="s">
        <v>201</v>
      </c>
      <c r="C94" s="21" t="s">
        <v>570</v>
      </c>
      <c r="D94" s="157">
        <v>1340000</v>
      </c>
      <c r="E94" s="21" t="s">
        <v>514</v>
      </c>
      <c r="F94" s="21" t="s">
        <v>515</v>
      </c>
      <c r="G94" s="8" t="str">
        <f t="shared" si="1"/>
        <v>BEAM ROSS</v>
      </c>
    </row>
    <row r="95" spans="1:7" x14ac:dyDescent="0.25">
      <c r="A95" s="8">
        <v>42754.397002314814</v>
      </c>
      <c r="B95" s="21" t="s">
        <v>534</v>
      </c>
      <c r="C95" s="21" t="s">
        <v>571</v>
      </c>
      <c r="D95" s="157">
        <v>1200000</v>
      </c>
      <c r="E95" s="21" t="s">
        <v>504</v>
      </c>
      <c r="F95" s="21" t="s">
        <v>505</v>
      </c>
      <c r="G95" s="8" t="str">
        <f t="shared" si="1"/>
        <v>CUSHING HARRY</v>
      </c>
    </row>
    <row r="96" spans="1:7" x14ac:dyDescent="0.25">
      <c r="A96" s="8">
        <v>42754.401666666665</v>
      </c>
      <c r="B96" s="21" t="s">
        <v>312</v>
      </c>
      <c r="C96" s="21" t="s">
        <v>572</v>
      </c>
      <c r="D96" s="157">
        <v>890000</v>
      </c>
      <c r="E96" s="21" t="s">
        <v>317</v>
      </c>
      <c r="F96" s="21" t="s">
        <v>318</v>
      </c>
      <c r="G96" s="8" t="str">
        <f t="shared" si="1"/>
        <v>LOZA FIDEL</v>
      </c>
    </row>
    <row r="97" spans="1:7" x14ac:dyDescent="0.25">
      <c r="A97" s="8">
        <v>42754.402511574073</v>
      </c>
      <c r="B97" s="21" t="s">
        <v>488</v>
      </c>
      <c r="C97" s="21" t="s">
        <v>573</v>
      </c>
      <c r="D97" s="157">
        <v>2140000</v>
      </c>
      <c r="E97" s="21" t="s">
        <v>511</v>
      </c>
      <c r="F97" s="21" t="s">
        <v>512</v>
      </c>
      <c r="G97" s="8" t="str">
        <f t="shared" si="1"/>
        <v>ROBINSON KADDIBA</v>
      </c>
    </row>
    <row r="98" spans="1:7" x14ac:dyDescent="0.25">
      <c r="A98" s="8">
        <v>42754.411863425928</v>
      </c>
      <c r="B98" s="21" t="s">
        <v>195</v>
      </c>
      <c r="C98" s="21" t="s">
        <v>574</v>
      </c>
      <c r="D98" s="157">
        <v>1760000</v>
      </c>
      <c r="E98" s="21" t="s">
        <v>337</v>
      </c>
      <c r="F98" s="21" t="s">
        <v>338</v>
      </c>
      <c r="G98" s="8" t="str">
        <f t="shared" si="1"/>
        <v>STRICKLAND EVAN</v>
      </c>
    </row>
    <row r="99" spans="1:7" x14ac:dyDescent="0.25">
      <c r="A99" s="8">
        <v>42754.413449074076</v>
      </c>
      <c r="B99" s="21" t="s">
        <v>313</v>
      </c>
      <c r="C99" s="21" t="s">
        <v>575</v>
      </c>
      <c r="D99" s="157">
        <v>1110000</v>
      </c>
      <c r="E99" s="21" t="s">
        <v>287</v>
      </c>
      <c r="F99" s="21" t="s">
        <v>288</v>
      </c>
      <c r="G99" s="8" t="str">
        <f t="shared" si="1"/>
        <v>STARKS ANGELINA</v>
      </c>
    </row>
    <row r="100" spans="1:7" x14ac:dyDescent="0.25">
      <c r="A100" s="8">
        <v>42754.41777777778</v>
      </c>
      <c r="B100" s="21" t="s">
        <v>278</v>
      </c>
      <c r="C100" s="21" t="s">
        <v>576</v>
      </c>
      <c r="D100" s="157">
        <v>1260000</v>
      </c>
      <c r="E100" s="21" t="s">
        <v>507</v>
      </c>
      <c r="F100" s="21" t="s">
        <v>508</v>
      </c>
      <c r="G100" s="8" t="str">
        <f t="shared" si="1"/>
        <v>ACKERMAN JARED</v>
      </c>
    </row>
    <row r="101" spans="1:7" x14ac:dyDescent="0.25">
      <c r="A101" s="8">
        <v>42754.420277777775</v>
      </c>
      <c r="B101" s="21" t="s">
        <v>490</v>
      </c>
      <c r="C101" s="21" t="s">
        <v>577</v>
      </c>
      <c r="D101" s="157">
        <v>1830000</v>
      </c>
      <c r="E101" s="21" t="s">
        <v>293</v>
      </c>
      <c r="F101" s="21" t="s">
        <v>294</v>
      </c>
      <c r="G101" s="8" t="str">
        <f t="shared" si="1"/>
        <v>YORK EDGAR</v>
      </c>
    </row>
    <row r="102" spans="1:7" x14ac:dyDescent="0.25">
      <c r="A102" s="8">
        <v>42754.421793981484</v>
      </c>
      <c r="B102" s="21" t="s">
        <v>195</v>
      </c>
      <c r="C102" s="21" t="s">
        <v>574</v>
      </c>
      <c r="D102" s="157">
        <v>1760000</v>
      </c>
      <c r="E102" s="21" t="s">
        <v>337</v>
      </c>
      <c r="F102" s="21" t="s">
        <v>338</v>
      </c>
      <c r="G102" s="8" t="str">
        <f t="shared" si="1"/>
        <v>STRICKLAND EVAN</v>
      </c>
    </row>
    <row r="103" spans="1:7" x14ac:dyDescent="0.25">
      <c r="A103" s="8">
        <v>42754.42292824074</v>
      </c>
      <c r="B103" s="21" t="s">
        <v>197</v>
      </c>
      <c r="C103" s="21" t="s">
        <v>485</v>
      </c>
      <c r="D103" s="157">
        <v>890000</v>
      </c>
      <c r="E103" s="21" t="s">
        <v>317</v>
      </c>
      <c r="F103" s="21" t="s">
        <v>318</v>
      </c>
      <c r="G103" s="8" t="str">
        <f t="shared" si="1"/>
        <v>LOZA FIDEL</v>
      </c>
    </row>
    <row r="104" spans="1:7" x14ac:dyDescent="0.25">
      <c r="A104" s="8">
        <v>42754.430717592593</v>
      </c>
      <c r="B104" s="21" t="s">
        <v>264</v>
      </c>
      <c r="C104" s="21" t="s">
        <v>578</v>
      </c>
      <c r="D104" s="157">
        <v>1340000</v>
      </c>
      <c r="E104" s="21" t="s">
        <v>514</v>
      </c>
      <c r="F104" s="21" t="s">
        <v>515</v>
      </c>
      <c r="G104" s="8" t="str">
        <f t="shared" si="1"/>
        <v>BEAM ROSS</v>
      </c>
    </row>
    <row r="105" spans="1:7" x14ac:dyDescent="0.25">
      <c r="A105" s="8">
        <v>42754.434756944444</v>
      </c>
      <c r="B105" s="21" t="s">
        <v>474</v>
      </c>
      <c r="C105" s="21" t="s">
        <v>579</v>
      </c>
      <c r="D105" s="157">
        <v>2020000</v>
      </c>
      <c r="E105" s="21" t="s">
        <v>523</v>
      </c>
      <c r="F105" s="21" t="s">
        <v>316</v>
      </c>
      <c r="G105" s="8" t="str">
        <f t="shared" si="1"/>
        <v>SHOOK JOHN</v>
      </c>
    </row>
    <row r="106" spans="1:7" x14ac:dyDescent="0.25">
      <c r="A106" s="8">
        <v>42754.440312500003</v>
      </c>
      <c r="B106" s="21" t="s">
        <v>472</v>
      </c>
      <c r="C106" s="21" t="s">
        <v>580</v>
      </c>
      <c r="D106" s="157">
        <v>1290000</v>
      </c>
      <c r="E106" s="21" t="s">
        <v>315</v>
      </c>
      <c r="F106" s="21" t="s">
        <v>316</v>
      </c>
      <c r="G106" s="8" t="str">
        <f t="shared" si="1"/>
        <v>COOLAHAN JOHN</v>
      </c>
    </row>
    <row r="107" spans="1:7" x14ac:dyDescent="0.25">
      <c r="A107" s="8">
        <v>42754.444166666668</v>
      </c>
      <c r="B107" s="21" t="s">
        <v>312</v>
      </c>
      <c r="C107" s="21" t="s">
        <v>581</v>
      </c>
      <c r="D107" s="157">
        <v>890000</v>
      </c>
      <c r="E107" s="21" t="s">
        <v>317</v>
      </c>
      <c r="F107" s="21" t="s">
        <v>318</v>
      </c>
      <c r="G107" s="8" t="str">
        <f t="shared" si="1"/>
        <v>LOZA FIDEL</v>
      </c>
    </row>
    <row r="108" spans="1:7" x14ac:dyDescent="0.25">
      <c r="A108" s="8">
        <v>42754.445462962962</v>
      </c>
      <c r="B108" s="21" t="s">
        <v>244</v>
      </c>
      <c r="C108" s="21" t="s">
        <v>582</v>
      </c>
      <c r="D108" s="157">
        <v>1110000</v>
      </c>
      <c r="E108" s="21" t="s">
        <v>287</v>
      </c>
      <c r="F108" s="21" t="s">
        <v>288</v>
      </c>
      <c r="G108" s="8" t="str">
        <f t="shared" si="1"/>
        <v>STARKS ANGELINA</v>
      </c>
    </row>
    <row r="109" spans="1:7" x14ac:dyDescent="0.25">
      <c r="A109" s="8">
        <v>42754.446608796294</v>
      </c>
      <c r="B109" s="21" t="s">
        <v>199</v>
      </c>
      <c r="C109" s="21" t="s">
        <v>583</v>
      </c>
      <c r="D109" s="157">
        <v>1760000</v>
      </c>
      <c r="E109" s="21" t="s">
        <v>337</v>
      </c>
      <c r="F109" s="21" t="s">
        <v>338</v>
      </c>
      <c r="G109" s="8" t="str">
        <f t="shared" si="1"/>
        <v>STRICKLAND EVAN</v>
      </c>
    </row>
    <row r="110" spans="1:7" x14ac:dyDescent="0.25">
      <c r="A110" s="8">
        <v>42754.453912037039</v>
      </c>
      <c r="B110" s="21" t="s">
        <v>482</v>
      </c>
      <c r="C110" s="21" t="s">
        <v>584</v>
      </c>
      <c r="D110" s="157">
        <v>1830000</v>
      </c>
      <c r="E110" s="21" t="s">
        <v>293</v>
      </c>
      <c r="F110" s="21" t="s">
        <v>294</v>
      </c>
      <c r="G110" s="8" t="str">
        <f t="shared" si="1"/>
        <v>YORK EDGAR</v>
      </c>
    </row>
    <row r="111" spans="1:7" x14ac:dyDescent="0.25">
      <c r="A111" s="8">
        <v>42754.455590277779</v>
      </c>
      <c r="B111" s="21" t="s">
        <v>335</v>
      </c>
      <c r="C111" s="21" t="s">
        <v>585</v>
      </c>
      <c r="D111" s="157">
        <v>2090000</v>
      </c>
      <c r="E111" s="21" t="s">
        <v>345</v>
      </c>
      <c r="F111" s="21" t="s">
        <v>216</v>
      </c>
      <c r="G111" s="8" t="str">
        <f t="shared" si="1"/>
        <v>HAITHCOX MICHAEL</v>
      </c>
    </row>
    <row r="112" spans="1:7" x14ac:dyDescent="0.25">
      <c r="A112" s="8">
        <v>42754.456006944441</v>
      </c>
      <c r="B112" s="21" t="s">
        <v>279</v>
      </c>
      <c r="C112" s="21" t="s">
        <v>586</v>
      </c>
      <c r="D112" s="157">
        <v>1780000</v>
      </c>
      <c r="E112" s="21" t="s">
        <v>587</v>
      </c>
      <c r="F112" s="21" t="s">
        <v>588</v>
      </c>
      <c r="G112" s="8" t="str">
        <f t="shared" si="1"/>
        <v>DE LA ROSA ALEX</v>
      </c>
    </row>
    <row r="113" spans="1:7" x14ac:dyDescent="0.25">
      <c r="A113" s="8">
        <v>42754.466041666667</v>
      </c>
      <c r="B113" s="21" t="s">
        <v>201</v>
      </c>
      <c r="C113" s="21" t="s">
        <v>589</v>
      </c>
      <c r="D113" s="157">
        <v>2030000</v>
      </c>
      <c r="E113" s="21" t="s">
        <v>590</v>
      </c>
      <c r="F113" s="21" t="s">
        <v>268</v>
      </c>
      <c r="G113" s="8" t="str">
        <f t="shared" si="1"/>
        <v>KILLION DAVID</v>
      </c>
    </row>
    <row r="114" spans="1:7" x14ac:dyDescent="0.25">
      <c r="A114" s="8">
        <v>42754.466562499998</v>
      </c>
      <c r="B114" s="21" t="s">
        <v>197</v>
      </c>
      <c r="C114" s="21" t="s">
        <v>591</v>
      </c>
      <c r="D114" s="157">
        <v>890000</v>
      </c>
      <c r="E114" s="21" t="s">
        <v>317</v>
      </c>
      <c r="F114" s="21" t="s">
        <v>318</v>
      </c>
      <c r="G114" s="8" t="str">
        <f t="shared" si="1"/>
        <v>LOZA FIDEL</v>
      </c>
    </row>
    <row r="115" spans="1:7" x14ac:dyDescent="0.25">
      <c r="A115" s="8">
        <v>42754.467557870368</v>
      </c>
      <c r="B115" s="21" t="s">
        <v>534</v>
      </c>
      <c r="C115" s="21" t="s">
        <v>592</v>
      </c>
      <c r="D115" s="157">
        <v>2020000</v>
      </c>
      <c r="E115" s="21" t="s">
        <v>523</v>
      </c>
      <c r="F115" s="21" t="s">
        <v>316</v>
      </c>
      <c r="G115" s="8" t="str">
        <f t="shared" si="1"/>
        <v>SHOOK JOHN</v>
      </c>
    </row>
    <row r="116" spans="1:7" x14ac:dyDescent="0.25">
      <c r="A116" s="8">
        <v>42754.477129629631</v>
      </c>
      <c r="B116" s="21" t="s">
        <v>488</v>
      </c>
      <c r="C116" s="21" t="s">
        <v>489</v>
      </c>
      <c r="D116" s="157">
        <v>1770000</v>
      </c>
      <c r="E116" s="21" t="s">
        <v>593</v>
      </c>
      <c r="F116" s="21" t="s">
        <v>594</v>
      </c>
      <c r="G116" s="8" t="str">
        <f t="shared" si="1"/>
        <v>BRUDER RICHARD</v>
      </c>
    </row>
    <row r="117" spans="1:7" x14ac:dyDescent="0.25">
      <c r="A117" s="8">
        <v>42754.479722222219</v>
      </c>
      <c r="B117" s="21" t="s">
        <v>154</v>
      </c>
      <c r="C117" s="21" t="s">
        <v>595</v>
      </c>
      <c r="D117" s="157">
        <v>1540000</v>
      </c>
      <c r="E117" s="21" t="s">
        <v>343</v>
      </c>
      <c r="F117" s="21" t="s">
        <v>344</v>
      </c>
      <c r="G117" s="8" t="str">
        <f t="shared" si="1"/>
        <v>HELVIE ADAM</v>
      </c>
    </row>
    <row r="118" spans="1:7" x14ac:dyDescent="0.25">
      <c r="A118" s="8">
        <v>42754.480624999997</v>
      </c>
      <c r="B118" s="21" t="s">
        <v>154</v>
      </c>
      <c r="C118" s="21" t="s">
        <v>595</v>
      </c>
      <c r="D118" s="157">
        <v>1540000</v>
      </c>
      <c r="E118" s="21" t="s">
        <v>343</v>
      </c>
      <c r="F118" s="21" t="s">
        <v>344</v>
      </c>
      <c r="G118" s="8" t="str">
        <f t="shared" si="1"/>
        <v>HELVIE ADAM</v>
      </c>
    </row>
    <row r="119" spans="1:7" x14ac:dyDescent="0.25">
      <c r="A119" s="8">
        <v>42754.481550925928</v>
      </c>
      <c r="B119" s="21" t="s">
        <v>220</v>
      </c>
      <c r="C119" s="21" t="s">
        <v>486</v>
      </c>
      <c r="D119" s="157">
        <v>2140000</v>
      </c>
      <c r="E119" s="21" t="s">
        <v>511</v>
      </c>
      <c r="F119" s="21" t="s">
        <v>512</v>
      </c>
      <c r="G119" s="8" t="str">
        <f t="shared" si="1"/>
        <v>ROBINSON KADDIBA</v>
      </c>
    </row>
    <row r="120" spans="1:7" x14ac:dyDescent="0.25">
      <c r="A120" s="8">
        <v>42754.482268518521</v>
      </c>
      <c r="B120" s="21" t="s">
        <v>220</v>
      </c>
      <c r="C120" s="21" t="s">
        <v>486</v>
      </c>
      <c r="D120" s="157">
        <v>2140000</v>
      </c>
      <c r="E120" s="21" t="s">
        <v>511</v>
      </c>
      <c r="F120" s="21" t="s">
        <v>512</v>
      </c>
      <c r="G120" s="8" t="str">
        <f t="shared" si="1"/>
        <v>ROBINSON KADDIBA</v>
      </c>
    </row>
    <row r="121" spans="1:7" x14ac:dyDescent="0.25">
      <c r="A121" s="8">
        <v>42754.484988425924</v>
      </c>
      <c r="B121" s="21" t="s">
        <v>312</v>
      </c>
      <c r="C121" s="21" t="s">
        <v>596</v>
      </c>
      <c r="D121" s="157">
        <v>890000</v>
      </c>
      <c r="E121" s="21" t="s">
        <v>317</v>
      </c>
      <c r="F121" s="21" t="s">
        <v>318</v>
      </c>
      <c r="G121" s="8" t="str">
        <f t="shared" si="1"/>
        <v>LOZA FIDEL</v>
      </c>
    </row>
    <row r="122" spans="1:7" x14ac:dyDescent="0.25">
      <c r="A122" s="8">
        <v>42754.485914351855</v>
      </c>
      <c r="B122" s="26" t="s">
        <v>313</v>
      </c>
      <c r="C122" s="21" t="s">
        <v>487</v>
      </c>
      <c r="D122" s="157">
        <v>1110000</v>
      </c>
      <c r="E122" s="21" t="s">
        <v>287</v>
      </c>
      <c r="F122" s="21" t="s">
        <v>288</v>
      </c>
      <c r="G122" s="8" t="str">
        <f t="shared" si="1"/>
        <v>STARKS ANGELINA</v>
      </c>
    </row>
    <row r="123" spans="1:7" x14ac:dyDescent="0.25">
      <c r="A123" s="8">
        <v>42754.487650462965</v>
      </c>
      <c r="B123" s="21" t="s">
        <v>195</v>
      </c>
      <c r="C123" s="21" t="s">
        <v>597</v>
      </c>
      <c r="D123" s="157">
        <v>2230000</v>
      </c>
      <c r="E123" s="21" t="s">
        <v>598</v>
      </c>
      <c r="F123" s="21" t="s">
        <v>216</v>
      </c>
      <c r="G123" s="8" t="str">
        <f t="shared" si="1"/>
        <v>SMITH MICHAEL</v>
      </c>
    </row>
    <row r="124" spans="1:7" x14ac:dyDescent="0.25">
      <c r="A124" s="8">
        <v>42754.491585648146</v>
      </c>
      <c r="B124" s="21" t="s">
        <v>278</v>
      </c>
      <c r="C124" s="21" t="s">
        <v>599</v>
      </c>
      <c r="D124" s="157">
        <v>1780000</v>
      </c>
      <c r="E124" s="21" t="s">
        <v>587</v>
      </c>
      <c r="F124" s="21" t="s">
        <v>588</v>
      </c>
      <c r="G124" s="8" t="str">
        <f t="shared" si="1"/>
        <v>DE LA ROSA ALEX</v>
      </c>
    </row>
    <row r="125" spans="1:7" x14ac:dyDescent="0.25">
      <c r="A125" s="8">
        <v>42754.494421296295</v>
      </c>
      <c r="B125" s="21" t="s">
        <v>490</v>
      </c>
      <c r="C125" s="21" t="s">
        <v>491</v>
      </c>
      <c r="D125" s="157">
        <v>2250000</v>
      </c>
      <c r="E125" s="21" t="s">
        <v>291</v>
      </c>
      <c r="F125" s="21" t="s">
        <v>292</v>
      </c>
      <c r="G125" s="8" t="str">
        <f t="shared" si="1"/>
        <v>CRAYTON QUNTRELL</v>
      </c>
    </row>
    <row r="126" spans="1:7" x14ac:dyDescent="0.25">
      <c r="A126" s="8">
        <v>42754.500127314815</v>
      </c>
      <c r="B126" s="21" t="s">
        <v>264</v>
      </c>
      <c r="C126" s="21" t="s">
        <v>600</v>
      </c>
      <c r="D126" s="157">
        <v>2030000</v>
      </c>
      <c r="E126" s="21" t="s">
        <v>590</v>
      </c>
      <c r="F126" s="21" t="s">
        <v>268</v>
      </c>
      <c r="G126" s="8" t="str">
        <f t="shared" si="1"/>
        <v>KILLION DAVID</v>
      </c>
    </row>
    <row r="127" spans="1:7" x14ac:dyDescent="0.25">
      <c r="A127" s="8">
        <v>42754.503622685188</v>
      </c>
      <c r="B127" s="21" t="s">
        <v>153</v>
      </c>
      <c r="C127" s="21" t="s">
        <v>601</v>
      </c>
      <c r="D127" s="157">
        <v>1830000</v>
      </c>
      <c r="E127" s="21" t="s">
        <v>293</v>
      </c>
      <c r="F127" s="21" t="s">
        <v>294</v>
      </c>
      <c r="G127" s="8" t="str">
        <f t="shared" si="1"/>
        <v>YORK EDGAR</v>
      </c>
    </row>
    <row r="128" spans="1:7" x14ac:dyDescent="0.25">
      <c r="A128" s="8">
        <v>42754.504120370373</v>
      </c>
      <c r="B128" s="21" t="s">
        <v>153</v>
      </c>
      <c r="C128" s="21" t="s">
        <v>601</v>
      </c>
      <c r="D128" s="157">
        <v>1830000</v>
      </c>
      <c r="E128" s="21" t="s">
        <v>293</v>
      </c>
      <c r="F128" s="21" t="s">
        <v>294</v>
      </c>
      <c r="G128" s="8" t="str">
        <f t="shared" si="1"/>
        <v>YORK EDGAR</v>
      </c>
    </row>
    <row r="129" spans="1:7" x14ac:dyDescent="0.25">
      <c r="A129" s="8">
        <v>42754.508020833331</v>
      </c>
      <c r="B129" s="21" t="s">
        <v>474</v>
      </c>
      <c r="C129" s="21" t="s">
        <v>602</v>
      </c>
      <c r="D129" s="157">
        <v>1540000</v>
      </c>
      <c r="E129" s="21" t="s">
        <v>343</v>
      </c>
      <c r="F129" s="21" t="s">
        <v>344</v>
      </c>
      <c r="G129" s="8" t="str">
        <f t="shared" si="1"/>
        <v>HELVIE ADAM</v>
      </c>
    </row>
    <row r="130" spans="1:7" x14ac:dyDescent="0.25">
      <c r="A130" s="8">
        <v>42754.51253472222</v>
      </c>
      <c r="B130" s="21" t="s">
        <v>197</v>
      </c>
      <c r="C130" s="21" t="s">
        <v>603</v>
      </c>
      <c r="D130" s="157">
        <v>890000</v>
      </c>
      <c r="E130" s="21" t="s">
        <v>317</v>
      </c>
      <c r="F130" s="21" t="s">
        <v>318</v>
      </c>
      <c r="G130" s="8" t="str">
        <f t="shared" si="1"/>
        <v>LOZA FIDEL</v>
      </c>
    </row>
    <row r="131" spans="1:7" x14ac:dyDescent="0.25">
      <c r="A131" s="8">
        <v>42754.513923611114</v>
      </c>
      <c r="B131" s="21" t="s">
        <v>472</v>
      </c>
      <c r="C131" s="21" t="s">
        <v>604</v>
      </c>
      <c r="D131" s="157">
        <v>1770000</v>
      </c>
      <c r="E131" s="21" t="s">
        <v>593</v>
      </c>
      <c r="F131" s="21" t="s">
        <v>594</v>
      </c>
      <c r="G131" s="8" t="str">
        <f t="shared" ref="G131:G194" si="2">E131&amp;" "&amp;F131</f>
        <v>BRUDER RICHARD</v>
      </c>
    </row>
    <row r="132" spans="1:7" x14ac:dyDescent="0.25">
      <c r="A132" s="8">
        <v>42754.517048611109</v>
      </c>
      <c r="B132" s="21" t="s">
        <v>244</v>
      </c>
      <c r="C132" s="21" t="s">
        <v>605</v>
      </c>
      <c r="D132" s="157">
        <v>2360000</v>
      </c>
      <c r="E132" s="21" t="s">
        <v>346</v>
      </c>
      <c r="F132" s="21" t="s">
        <v>347</v>
      </c>
      <c r="G132" s="8" t="str">
        <f t="shared" si="2"/>
        <v>BRANDNER MELINDA</v>
      </c>
    </row>
    <row r="133" spans="1:7" x14ac:dyDescent="0.25">
      <c r="A133" s="8">
        <v>42754.518252314818</v>
      </c>
      <c r="B133" s="21" t="s">
        <v>199</v>
      </c>
      <c r="C133" s="21" t="s">
        <v>606</v>
      </c>
      <c r="D133" s="157">
        <v>2230000</v>
      </c>
      <c r="E133" s="21" t="s">
        <v>598</v>
      </c>
      <c r="F133" s="21" t="s">
        <v>216</v>
      </c>
      <c r="G133" s="8" t="str">
        <f t="shared" si="2"/>
        <v>SMITH MICHAEL</v>
      </c>
    </row>
    <row r="134" spans="1:7" x14ac:dyDescent="0.25">
      <c r="A134" s="8">
        <v>42754.525949074072</v>
      </c>
      <c r="B134" s="21" t="s">
        <v>312</v>
      </c>
      <c r="C134" s="21" t="s">
        <v>607</v>
      </c>
      <c r="D134" s="157">
        <v>890000</v>
      </c>
      <c r="E134" s="21" t="s">
        <v>317</v>
      </c>
      <c r="F134" s="21" t="s">
        <v>318</v>
      </c>
      <c r="G134" s="8" t="str">
        <f t="shared" si="2"/>
        <v>LOZA FIDEL</v>
      </c>
    </row>
    <row r="135" spans="1:7" x14ac:dyDescent="0.25">
      <c r="A135" s="8">
        <v>42754.526435185187</v>
      </c>
      <c r="B135" s="21" t="s">
        <v>279</v>
      </c>
      <c r="C135" s="21" t="s">
        <v>608</v>
      </c>
      <c r="D135" s="157">
        <v>1780000</v>
      </c>
      <c r="E135" s="21" t="s">
        <v>587</v>
      </c>
      <c r="F135" s="21" t="s">
        <v>588</v>
      </c>
      <c r="G135" s="8" t="str">
        <f t="shared" si="2"/>
        <v>DE LA ROSA ALEX</v>
      </c>
    </row>
    <row r="136" spans="1:7" x14ac:dyDescent="0.25">
      <c r="A136" s="8">
        <v>42754.532546296294</v>
      </c>
      <c r="B136" s="21" t="s">
        <v>482</v>
      </c>
      <c r="C136" s="21" t="s">
        <v>492</v>
      </c>
      <c r="D136" s="157">
        <v>2250000</v>
      </c>
      <c r="E136" s="21" t="s">
        <v>291</v>
      </c>
      <c r="F136" s="21" t="s">
        <v>292</v>
      </c>
      <c r="G136" s="8" t="str">
        <f t="shared" si="2"/>
        <v>CRAYTON QUNTRELL</v>
      </c>
    </row>
    <row r="137" spans="1:7" x14ac:dyDescent="0.25">
      <c r="A137" s="8">
        <v>42754.536400462966</v>
      </c>
      <c r="B137" s="21" t="s">
        <v>201</v>
      </c>
      <c r="C137" s="21" t="s">
        <v>609</v>
      </c>
      <c r="D137" s="157">
        <v>2030000</v>
      </c>
      <c r="E137" s="21" t="s">
        <v>590</v>
      </c>
      <c r="F137" s="21" t="s">
        <v>268</v>
      </c>
      <c r="G137" s="8" t="str">
        <f t="shared" si="2"/>
        <v>KILLION DAVID</v>
      </c>
    </row>
    <row r="138" spans="1:7" x14ac:dyDescent="0.25">
      <c r="A138" s="8">
        <v>42754.54582175926</v>
      </c>
      <c r="B138" s="21" t="s">
        <v>197</v>
      </c>
      <c r="C138" s="21" t="s">
        <v>610</v>
      </c>
      <c r="D138" s="157">
        <v>1180000</v>
      </c>
      <c r="E138" s="21" t="s">
        <v>341</v>
      </c>
      <c r="F138" s="21" t="s">
        <v>342</v>
      </c>
      <c r="G138" s="8" t="str">
        <f t="shared" si="2"/>
        <v>LEVERE CRAIG</v>
      </c>
    </row>
    <row r="139" spans="1:7" x14ac:dyDescent="0.25">
      <c r="A139" s="8">
        <v>42754.546631944446</v>
      </c>
      <c r="B139" s="21" t="s">
        <v>534</v>
      </c>
      <c r="C139" s="21" t="s">
        <v>611</v>
      </c>
      <c r="D139" s="157">
        <v>1540000</v>
      </c>
      <c r="E139" s="21" t="s">
        <v>343</v>
      </c>
      <c r="F139" s="21" t="s">
        <v>344</v>
      </c>
      <c r="G139" s="8" t="str">
        <f t="shared" si="2"/>
        <v>HELVIE ADAM</v>
      </c>
    </row>
    <row r="140" spans="1:7" x14ac:dyDescent="0.25">
      <c r="A140" s="8">
        <v>42754.549409722225</v>
      </c>
      <c r="B140" s="21" t="s">
        <v>488</v>
      </c>
      <c r="C140" s="21" t="s">
        <v>612</v>
      </c>
      <c r="D140" s="157">
        <v>1770000</v>
      </c>
      <c r="E140" s="21" t="s">
        <v>593</v>
      </c>
      <c r="F140" s="21" t="s">
        <v>594</v>
      </c>
      <c r="G140" s="8" t="str">
        <f t="shared" si="2"/>
        <v>BRUDER RICHARD</v>
      </c>
    </row>
    <row r="141" spans="1:7" x14ac:dyDescent="0.25">
      <c r="A141" s="8">
        <v>42754.555439814816</v>
      </c>
      <c r="B141" s="21" t="s">
        <v>313</v>
      </c>
      <c r="C141" s="21" t="s">
        <v>613</v>
      </c>
      <c r="D141" s="157">
        <v>2360000</v>
      </c>
      <c r="E141" s="21" t="s">
        <v>346</v>
      </c>
      <c r="F141" s="21" t="s">
        <v>347</v>
      </c>
      <c r="G141" s="8" t="str">
        <f t="shared" si="2"/>
        <v>BRANDNER MELINDA</v>
      </c>
    </row>
    <row r="142" spans="1:7" x14ac:dyDescent="0.25">
      <c r="A142" s="8">
        <v>42754.557581018518</v>
      </c>
      <c r="B142" s="21" t="s">
        <v>195</v>
      </c>
      <c r="C142" s="21" t="s">
        <v>614</v>
      </c>
      <c r="D142" s="157">
        <v>2230000</v>
      </c>
      <c r="E142" s="21" t="s">
        <v>598</v>
      </c>
      <c r="F142" s="21" t="s">
        <v>216</v>
      </c>
      <c r="G142" s="8" t="str">
        <f t="shared" si="2"/>
        <v>SMITH MICHAEL</v>
      </c>
    </row>
    <row r="143" spans="1:7" x14ac:dyDescent="0.25">
      <c r="A143" s="8">
        <v>42754.565775462965</v>
      </c>
      <c r="B143" s="21" t="s">
        <v>278</v>
      </c>
      <c r="C143" s="21" t="s">
        <v>615</v>
      </c>
      <c r="D143" s="157">
        <v>1780000</v>
      </c>
      <c r="E143" s="21" t="s">
        <v>587</v>
      </c>
      <c r="F143" s="21" t="s">
        <v>588</v>
      </c>
      <c r="G143" s="8" t="str">
        <f t="shared" si="2"/>
        <v>DE LA ROSA ALEX</v>
      </c>
    </row>
    <row r="144" spans="1:7" x14ac:dyDescent="0.25">
      <c r="A144" s="8">
        <v>42754.568055555559</v>
      </c>
      <c r="B144" s="21" t="s">
        <v>312</v>
      </c>
      <c r="C144" s="21" t="s">
        <v>616</v>
      </c>
      <c r="D144" s="157">
        <v>1180000</v>
      </c>
      <c r="E144" s="21" t="s">
        <v>341</v>
      </c>
      <c r="F144" s="21" t="s">
        <v>342</v>
      </c>
      <c r="G144" s="8" t="str">
        <f t="shared" si="2"/>
        <v>LEVERE CRAIG</v>
      </c>
    </row>
    <row r="145" spans="1:7" x14ac:dyDescent="0.25">
      <c r="A145" s="8">
        <v>42754.568113425928</v>
      </c>
      <c r="B145" s="21" t="s">
        <v>490</v>
      </c>
      <c r="C145" s="21" t="s">
        <v>617</v>
      </c>
      <c r="D145" s="157">
        <v>2250000</v>
      </c>
      <c r="E145" s="21" t="s">
        <v>291</v>
      </c>
      <c r="F145" s="21" t="s">
        <v>292</v>
      </c>
      <c r="G145" s="8" t="str">
        <f t="shared" si="2"/>
        <v>CRAYTON QUNTRELL</v>
      </c>
    </row>
    <row r="146" spans="1:7" x14ac:dyDescent="0.25">
      <c r="A146" s="8">
        <v>42754.574675925927</v>
      </c>
      <c r="B146" s="21" t="s">
        <v>264</v>
      </c>
      <c r="C146" s="21" t="s">
        <v>618</v>
      </c>
      <c r="D146" s="157">
        <v>2030000</v>
      </c>
      <c r="E146" s="21" t="s">
        <v>590</v>
      </c>
      <c r="F146" s="21" t="s">
        <v>268</v>
      </c>
      <c r="G146" s="8" t="str">
        <f t="shared" si="2"/>
        <v>KILLION DAVID</v>
      </c>
    </row>
    <row r="147" spans="1:7" x14ac:dyDescent="0.25">
      <c r="A147" s="8">
        <v>42754.58148148148</v>
      </c>
      <c r="B147" s="21" t="s">
        <v>474</v>
      </c>
      <c r="C147" s="21" t="s">
        <v>619</v>
      </c>
      <c r="D147" s="157">
        <v>1540000</v>
      </c>
      <c r="E147" s="21" t="s">
        <v>343</v>
      </c>
      <c r="F147" s="21" t="s">
        <v>344</v>
      </c>
      <c r="G147" s="8" t="str">
        <f t="shared" si="2"/>
        <v>HELVIE ADAM</v>
      </c>
    </row>
    <row r="148" spans="1:7" x14ac:dyDescent="0.25">
      <c r="A148" s="8">
        <v>42754.58321759259</v>
      </c>
      <c r="B148" s="21" t="s">
        <v>472</v>
      </c>
      <c r="C148" s="21" t="s">
        <v>620</v>
      </c>
      <c r="D148" s="157">
        <v>1770000</v>
      </c>
      <c r="E148" s="21" t="s">
        <v>593</v>
      </c>
      <c r="F148" s="21" t="s">
        <v>594</v>
      </c>
      <c r="G148" s="8" t="str">
        <f t="shared" si="2"/>
        <v>BRUDER RICHARD</v>
      </c>
    </row>
    <row r="149" spans="1:7" x14ac:dyDescent="0.25">
      <c r="A149" s="8">
        <v>42754.589479166665</v>
      </c>
      <c r="B149" s="21" t="s">
        <v>197</v>
      </c>
      <c r="C149" s="21" t="s">
        <v>621</v>
      </c>
      <c r="D149" s="157">
        <v>1180000</v>
      </c>
      <c r="E149" s="21" t="s">
        <v>341</v>
      </c>
      <c r="F149" s="21" t="s">
        <v>342</v>
      </c>
      <c r="G149" s="8" t="str">
        <f t="shared" si="2"/>
        <v>LEVERE CRAIG</v>
      </c>
    </row>
    <row r="150" spans="1:7" x14ac:dyDescent="0.25">
      <c r="A150" s="8">
        <v>42754.592106481483</v>
      </c>
      <c r="B150" s="21" t="s">
        <v>244</v>
      </c>
      <c r="C150" s="21" t="s">
        <v>622</v>
      </c>
      <c r="D150" s="157">
        <v>2360000</v>
      </c>
      <c r="E150" s="21" t="s">
        <v>346</v>
      </c>
      <c r="F150" s="21" t="s">
        <v>347</v>
      </c>
      <c r="G150" s="8" t="str">
        <f t="shared" si="2"/>
        <v>BRANDNER MELINDA</v>
      </c>
    </row>
    <row r="151" spans="1:7" x14ac:dyDescent="0.25">
      <c r="A151" s="8">
        <v>42754.592488425929</v>
      </c>
      <c r="B151" s="21" t="s">
        <v>199</v>
      </c>
      <c r="C151" s="21" t="s">
        <v>623</v>
      </c>
      <c r="D151" s="157">
        <v>2230000</v>
      </c>
      <c r="E151" s="21" t="s">
        <v>598</v>
      </c>
      <c r="F151" s="21" t="s">
        <v>216</v>
      </c>
      <c r="G151" s="8" t="str">
        <f t="shared" si="2"/>
        <v>SMITH MICHAEL</v>
      </c>
    </row>
    <row r="152" spans="1:7" x14ac:dyDescent="0.25">
      <c r="A152" s="8">
        <v>42754.601168981484</v>
      </c>
      <c r="B152" s="21" t="s">
        <v>279</v>
      </c>
      <c r="C152" s="21" t="s">
        <v>624</v>
      </c>
      <c r="D152" s="157">
        <v>1780000</v>
      </c>
      <c r="E152" s="21" t="s">
        <v>587</v>
      </c>
      <c r="F152" s="21" t="s">
        <v>588</v>
      </c>
      <c r="G152" s="8" t="str">
        <f t="shared" si="2"/>
        <v>DE LA ROSA ALEX</v>
      </c>
    </row>
    <row r="153" spans="1:7" x14ac:dyDescent="0.25">
      <c r="A153" s="8">
        <v>42754.608136574076</v>
      </c>
      <c r="B153" s="21" t="s">
        <v>482</v>
      </c>
      <c r="C153" s="21" t="s">
        <v>625</v>
      </c>
      <c r="D153" s="157">
        <v>2250000</v>
      </c>
      <c r="E153" s="21" t="s">
        <v>291</v>
      </c>
      <c r="F153" s="21" t="s">
        <v>292</v>
      </c>
      <c r="G153" s="8" t="str">
        <f t="shared" si="2"/>
        <v>CRAYTON QUNTRELL</v>
      </c>
    </row>
    <row r="154" spans="1:7" x14ac:dyDescent="0.25">
      <c r="A154" s="8">
        <v>42754.609606481485</v>
      </c>
      <c r="B154" s="21" t="s">
        <v>312</v>
      </c>
      <c r="C154" s="21" t="s">
        <v>626</v>
      </c>
      <c r="D154" s="157">
        <v>1180000</v>
      </c>
      <c r="E154" s="21" t="s">
        <v>341</v>
      </c>
      <c r="F154" s="21" t="s">
        <v>342</v>
      </c>
      <c r="G154" s="8" t="str">
        <f t="shared" si="2"/>
        <v>LEVERE CRAIG</v>
      </c>
    </row>
    <row r="155" spans="1:7" x14ac:dyDescent="0.25">
      <c r="A155" s="8">
        <v>42754.612210648149</v>
      </c>
      <c r="B155" s="21" t="s">
        <v>201</v>
      </c>
      <c r="C155" s="21" t="s">
        <v>627</v>
      </c>
      <c r="D155" s="157">
        <v>2030000</v>
      </c>
      <c r="E155" s="21" t="s">
        <v>590</v>
      </c>
      <c r="F155" s="21" t="s">
        <v>268</v>
      </c>
      <c r="G155" s="8" t="str">
        <f t="shared" si="2"/>
        <v>KILLION DAVID</v>
      </c>
    </row>
    <row r="156" spans="1:7" x14ac:dyDescent="0.25">
      <c r="A156" s="8">
        <v>42754.619629629633</v>
      </c>
      <c r="B156" s="21" t="s">
        <v>488</v>
      </c>
      <c r="C156" s="21" t="s">
        <v>628</v>
      </c>
      <c r="D156" s="157">
        <v>1770000</v>
      </c>
      <c r="E156" s="21" t="s">
        <v>593</v>
      </c>
      <c r="F156" s="21" t="s">
        <v>594</v>
      </c>
      <c r="G156" s="8" t="str">
        <f t="shared" si="2"/>
        <v>BRUDER RICHARD</v>
      </c>
    </row>
    <row r="157" spans="1:7" x14ac:dyDescent="0.25">
      <c r="A157" s="8">
        <v>42754.620405092595</v>
      </c>
      <c r="B157" s="21" t="s">
        <v>534</v>
      </c>
      <c r="C157" s="21" t="s">
        <v>629</v>
      </c>
      <c r="D157" s="157">
        <v>1540000</v>
      </c>
      <c r="E157" s="21" t="s">
        <v>343</v>
      </c>
      <c r="F157" s="21" t="s">
        <v>344</v>
      </c>
      <c r="G157" s="8" t="str">
        <f t="shared" si="2"/>
        <v>HELVIE ADAM</v>
      </c>
    </row>
    <row r="158" spans="1:7" x14ac:dyDescent="0.25">
      <c r="A158" s="8">
        <v>42754.627847222226</v>
      </c>
      <c r="B158" s="21" t="s">
        <v>313</v>
      </c>
      <c r="C158" s="21" t="s">
        <v>630</v>
      </c>
      <c r="D158" s="157">
        <v>2360000</v>
      </c>
      <c r="E158" s="21" t="s">
        <v>346</v>
      </c>
      <c r="F158" s="21" t="s">
        <v>347</v>
      </c>
      <c r="G158" s="8" t="str">
        <f t="shared" si="2"/>
        <v>BRANDNER MELINDA</v>
      </c>
    </row>
    <row r="159" spans="1:7" x14ac:dyDescent="0.25">
      <c r="A159" s="8">
        <v>42754.630439814813</v>
      </c>
      <c r="B159" s="21" t="s">
        <v>195</v>
      </c>
      <c r="C159" s="21" t="s">
        <v>631</v>
      </c>
      <c r="D159" s="157">
        <v>2230000</v>
      </c>
      <c r="E159" s="21" t="s">
        <v>598</v>
      </c>
      <c r="F159" s="21" t="s">
        <v>216</v>
      </c>
      <c r="G159" s="8" t="str">
        <f t="shared" si="2"/>
        <v>SMITH MICHAEL</v>
      </c>
    </row>
    <row r="160" spans="1:7" x14ac:dyDescent="0.25">
      <c r="A160" s="8">
        <v>42754.633194444446</v>
      </c>
      <c r="B160" s="21" t="s">
        <v>197</v>
      </c>
      <c r="C160" s="21" t="s">
        <v>632</v>
      </c>
      <c r="D160" s="157">
        <v>1180000</v>
      </c>
      <c r="E160" s="21" t="s">
        <v>341</v>
      </c>
      <c r="F160" s="21" t="s">
        <v>342</v>
      </c>
      <c r="G160" s="8" t="str">
        <f t="shared" si="2"/>
        <v>LEVERE CRAIG</v>
      </c>
    </row>
    <row r="161" spans="1:7" x14ac:dyDescent="0.25">
      <c r="A161" s="8">
        <v>42754.638379629629</v>
      </c>
      <c r="B161" s="21" t="s">
        <v>278</v>
      </c>
      <c r="C161" s="21" t="s">
        <v>633</v>
      </c>
      <c r="D161" s="157">
        <v>1780000</v>
      </c>
      <c r="E161" s="21" t="s">
        <v>587</v>
      </c>
      <c r="F161" s="21" t="s">
        <v>588</v>
      </c>
      <c r="G161" s="8" t="str">
        <f t="shared" si="2"/>
        <v>DE LA ROSA ALEX</v>
      </c>
    </row>
    <row r="162" spans="1:7" x14ac:dyDescent="0.25">
      <c r="A162" s="8">
        <v>42754.641435185185</v>
      </c>
      <c r="B162" s="21" t="s">
        <v>203</v>
      </c>
      <c r="C162" s="21" t="s">
        <v>493</v>
      </c>
      <c r="D162" s="157">
        <v>1740000</v>
      </c>
      <c r="E162" s="21" t="s">
        <v>295</v>
      </c>
      <c r="F162" s="21" t="s">
        <v>296</v>
      </c>
      <c r="G162" s="8" t="str">
        <f t="shared" si="2"/>
        <v>STORY SAMANTHA</v>
      </c>
    </row>
    <row r="163" spans="1:7" x14ac:dyDescent="0.25">
      <c r="A163" s="8">
        <v>42754.641562500001</v>
      </c>
      <c r="B163" s="21" t="s">
        <v>490</v>
      </c>
      <c r="C163" s="21" t="s">
        <v>634</v>
      </c>
      <c r="D163" s="157">
        <v>2250000</v>
      </c>
      <c r="E163" s="21" t="s">
        <v>291</v>
      </c>
      <c r="F163" s="21" t="s">
        <v>292</v>
      </c>
      <c r="G163" s="8" t="str">
        <f t="shared" si="2"/>
        <v>CRAYTON QUNTRELL</v>
      </c>
    </row>
    <row r="164" spans="1:7" x14ac:dyDescent="0.25">
      <c r="A164" s="8">
        <v>42754.646689814814</v>
      </c>
      <c r="B164" s="21" t="s">
        <v>264</v>
      </c>
      <c r="C164" s="21" t="s">
        <v>635</v>
      </c>
      <c r="D164" s="157">
        <v>2030000</v>
      </c>
      <c r="E164" s="21" t="s">
        <v>590</v>
      </c>
      <c r="F164" s="21" t="s">
        <v>268</v>
      </c>
      <c r="G164" s="8" t="str">
        <f t="shared" si="2"/>
        <v>KILLION DAVID</v>
      </c>
    </row>
    <row r="165" spans="1:7" x14ac:dyDescent="0.25">
      <c r="A165" s="8">
        <v>42754.651030092595</v>
      </c>
      <c r="B165" s="21" t="s">
        <v>312</v>
      </c>
      <c r="C165" s="21" t="s">
        <v>636</v>
      </c>
      <c r="D165" s="157">
        <v>1180000</v>
      </c>
      <c r="E165" s="21" t="s">
        <v>341</v>
      </c>
      <c r="F165" s="21" t="s">
        <v>342</v>
      </c>
      <c r="G165" s="8" t="str">
        <f t="shared" si="2"/>
        <v>LEVERE CRAIG</v>
      </c>
    </row>
    <row r="166" spans="1:7" x14ac:dyDescent="0.25">
      <c r="A166" s="8">
        <v>42754.654409722221</v>
      </c>
      <c r="B166" s="21" t="s">
        <v>474</v>
      </c>
      <c r="C166" s="21" t="s">
        <v>637</v>
      </c>
      <c r="D166" s="157">
        <v>1540000</v>
      </c>
      <c r="E166" s="21" t="s">
        <v>343</v>
      </c>
      <c r="F166" s="21" t="s">
        <v>344</v>
      </c>
      <c r="G166" s="8" t="str">
        <f t="shared" si="2"/>
        <v>HELVIE ADAM</v>
      </c>
    </row>
    <row r="167" spans="1:7" x14ac:dyDescent="0.25">
      <c r="A167" s="8">
        <v>42754.656724537039</v>
      </c>
      <c r="B167" s="21" t="s">
        <v>202</v>
      </c>
      <c r="C167" s="21" t="s">
        <v>494</v>
      </c>
      <c r="D167" s="157">
        <v>1740000</v>
      </c>
      <c r="E167" s="21" t="s">
        <v>295</v>
      </c>
      <c r="F167" s="21" t="s">
        <v>296</v>
      </c>
      <c r="G167" s="8" t="str">
        <f t="shared" si="2"/>
        <v>STORY SAMANTHA</v>
      </c>
    </row>
    <row r="168" spans="1:7" x14ac:dyDescent="0.25">
      <c r="A168" s="8">
        <v>42754.658356481479</v>
      </c>
      <c r="B168" s="21" t="s">
        <v>472</v>
      </c>
      <c r="C168" s="21" t="s">
        <v>638</v>
      </c>
      <c r="D168" s="157">
        <v>1770000</v>
      </c>
      <c r="E168" s="21" t="s">
        <v>593</v>
      </c>
      <c r="F168" s="21" t="s">
        <v>594</v>
      </c>
      <c r="G168" s="8" t="str">
        <f t="shared" si="2"/>
        <v>BRUDER RICHARD</v>
      </c>
    </row>
    <row r="169" spans="1:7" x14ac:dyDescent="0.25">
      <c r="A169" s="8">
        <v>42754.663425925923</v>
      </c>
      <c r="B169" s="21" t="s">
        <v>244</v>
      </c>
      <c r="C169" s="21" t="s">
        <v>639</v>
      </c>
      <c r="D169" s="157">
        <v>2360000</v>
      </c>
      <c r="E169" s="21" t="s">
        <v>346</v>
      </c>
      <c r="F169" s="21" t="s">
        <v>347</v>
      </c>
      <c r="G169" s="8" t="str">
        <f t="shared" si="2"/>
        <v>BRANDNER MELINDA</v>
      </c>
    </row>
    <row r="170" spans="1:7" x14ac:dyDescent="0.25">
      <c r="A170" s="8">
        <v>42754.667083333334</v>
      </c>
      <c r="B170" s="21" t="s">
        <v>199</v>
      </c>
      <c r="C170" s="21" t="s">
        <v>640</v>
      </c>
      <c r="D170" s="157">
        <v>2230000</v>
      </c>
      <c r="E170" s="21" t="s">
        <v>598</v>
      </c>
      <c r="F170" s="21" t="s">
        <v>216</v>
      </c>
      <c r="G170" s="8" t="str">
        <f t="shared" si="2"/>
        <v>SMITH MICHAEL</v>
      </c>
    </row>
    <row r="171" spans="1:7" x14ac:dyDescent="0.25">
      <c r="A171" s="8">
        <v>42754.673009259262</v>
      </c>
      <c r="B171" s="21" t="s">
        <v>203</v>
      </c>
      <c r="C171" s="21" t="s">
        <v>495</v>
      </c>
      <c r="D171" s="157">
        <v>1740000</v>
      </c>
      <c r="E171" s="21" t="s">
        <v>295</v>
      </c>
      <c r="F171" s="21" t="s">
        <v>296</v>
      </c>
      <c r="G171" s="8" t="str">
        <f t="shared" si="2"/>
        <v>STORY SAMANTHA</v>
      </c>
    </row>
    <row r="172" spans="1:7" x14ac:dyDescent="0.25">
      <c r="A172" s="8">
        <v>42754.67324074074</v>
      </c>
      <c r="B172" s="21" t="s">
        <v>279</v>
      </c>
      <c r="C172" s="21" t="s">
        <v>641</v>
      </c>
      <c r="D172" s="157">
        <v>1780000</v>
      </c>
      <c r="E172" s="21" t="s">
        <v>587</v>
      </c>
      <c r="F172" s="21" t="s">
        <v>588</v>
      </c>
      <c r="G172" s="8" t="str">
        <f t="shared" si="2"/>
        <v>DE LA ROSA ALEX</v>
      </c>
    </row>
    <row r="173" spans="1:7" x14ac:dyDescent="0.25">
      <c r="A173" s="8">
        <v>42754.676261574074</v>
      </c>
      <c r="B173" s="21" t="s">
        <v>197</v>
      </c>
      <c r="C173" s="21" t="s">
        <v>642</v>
      </c>
      <c r="D173" s="157">
        <v>1180000</v>
      </c>
      <c r="E173" s="21" t="s">
        <v>341</v>
      </c>
      <c r="F173" s="21" t="s">
        <v>342</v>
      </c>
      <c r="G173" s="8" t="str">
        <f t="shared" si="2"/>
        <v>LEVERE CRAIG</v>
      </c>
    </row>
    <row r="174" spans="1:7" x14ac:dyDescent="0.25">
      <c r="A174" s="8">
        <v>42754.678854166668</v>
      </c>
      <c r="B174" s="21" t="s">
        <v>482</v>
      </c>
      <c r="C174" s="21" t="s">
        <v>497</v>
      </c>
      <c r="D174" s="157">
        <v>2250000</v>
      </c>
      <c r="E174" s="21" t="s">
        <v>291</v>
      </c>
      <c r="F174" s="21" t="s">
        <v>292</v>
      </c>
      <c r="G174" s="8" t="str">
        <f t="shared" si="2"/>
        <v>CRAYTON QUNTRELL</v>
      </c>
    </row>
    <row r="175" spans="1:7" x14ac:dyDescent="0.25">
      <c r="A175" s="8">
        <v>42754.682141203702</v>
      </c>
      <c r="B175" s="21" t="s">
        <v>201</v>
      </c>
      <c r="C175" s="21" t="s">
        <v>643</v>
      </c>
      <c r="D175" s="157">
        <v>2030000</v>
      </c>
      <c r="E175" s="21" t="s">
        <v>590</v>
      </c>
      <c r="F175" s="21" t="s">
        <v>268</v>
      </c>
      <c r="G175" s="8" t="str">
        <f t="shared" si="2"/>
        <v>KILLION DAVID</v>
      </c>
    </row>
    <row r="176" spans="1:7" x14ac:dyDescent="0.25">
      <c r="A176" s="8">
        <v>42754.692511574074</v>
      </c>
      <c r="B176" s="21" t="s">
        <v>488</v>
      </c>
      <c r="C176" s="21" t="s">
        <v>644</v>
      </c>
      <c r="D176" s="157">
        <v>1770000</v>
      </c>
      <c r="E176" s="21" t="s">
        <v>593</v>
      </c>
      <c r="F176" s="21" t="s">
        <v>594</v>
      </c>
      <c r="G176" s="8" t="str">
        <f t="shared" si="2"/>
        <v>BRUDER RICHARD</v>
      </c>
    </row>
    <row r="177" spans="1:7" x14ac:dyDescent="0.25">
      <c r="A177" s="8">
        <v>42754.692650462966</v>
      </c>
      <c r="B177" s="21" t="s">
        <v>534</v>
      </c>
      <c r="C177" s="21" t="s">
        <v>645</v>
      </c>
      <c r="D177" s="157">
        <v>1540000</v>
      </c>
      <c r="E177" s="21" t="s">
        <v>343</v>
      </c>
      <c r="F177" s="21" t="s">
        <v>344</v>
      </c>
      <c r="G177" s="8" t="str">
        <f t="shared" si="2"/>
        <v>HELVIE ADAM</v>
      </c>
    </row>
    <row r="178" spans="1:7" x14ac:dyDescent="0.25">
      <c r="A178" s="8">
        <v>42754.693194444444</v>
      </c>
      <c r="B178" s="21" t="s">
        <v>312</v>
      </c>
      <c r="C178" s="21" t="s">
        <v>646</v>
      </c>
      <c r="D178" s="157">
        <v>1180000</v>
      </c>
      <c r="E178" s="21" t="s">
        <v>341</v>
      </c>
      <c r="F178" s="21" t="s">
        <v>342</v>
      </c>
      <c r="G178" s="8" t="str">
        <f t="shared" si="2"/>
        <v>LEVERE CRAIG</v>
      </c>
    </row>
    <row r="179" spans="1:7" x14ac:dyDescent="0.25">
      <c r="A179" s="8">
        <v>42754.697442129633</v>
      </c>
      <c r="B179" s="21" t="s">
        <v>202</v>
      </c>
      <c r="C179" s="21" t="s">
        <v>496</v>
      </c>
      <c r="D179" s="157">
        <v>1740000</v>
      </c>
      <c r="E179" s="21" t="s">
        <v>295</v>
      </c>
      <c r="F179" s="21" t="s">
        <v>296</v>
      </c>
      <c r="G179" s="8" t="str">
        <f t="shared" si="2"/>
        <v>STORY SAMANTHA</v>
      </c>
    </row>
    <row r="180" spans="1:7" x14ac:dyDescent="0.25">
      <c r="A180" s="8">
        <v>42754.702731481484</v>
      </c>
      <c r="B180" s="21" t="s">
        <v>313</v>
      </c>
      <c r="C180" s="21" t="s">
        <v>500</v>
      </c>
      <c r="D180" s="157">
        <v>2360000</v>
      </c>
      <c r="E180" s="21" t="s">
        <v>346</v>
      </c>
      <c r="F180" s="21" t="s">
        <v>347</v>
      </c>
      <c r="G180" s="8" t="str">
        <f t="shared" si="2"/>
        <v>BRANDNER MELINDA</v>
      </c>
    </row>
    <row r="181" spans="1:7" x14ac:dyDescent="0.25">
      <c r="A181" s="8">
        <v>42754.703738425924</v>
      </c>
      <c r="B181" s="21" t="s">
        <v>195</v>
      </c>
      <c r="C181" s="21" t="s">
        <v>647</v>
      </c>
      <c r="D181" s="157">
        <v>2230000</v>
      </c>
      <c r="E181" s="21" t="s">
        <v>598</v>
      </c>
      <c r="F181" s="21" t="s">
        <v>216</v>
      </c>
      <c r="G181" s="8" t="str">
        <f t="shared" si="2"/>
        <v>SMITH MICHAEL</v>
      </c>
    </row>
    <row r="182" spans="1:7" x14ac:dyDescent="0.25">
      <c r="A182" s="8">
        <v>42754.712673611109</v>
      </c>
      <c r="B182" s="21" t="s">
        <v>278</v>
      </c>
      <c r="C182" s="21" t="s">
        <v>648</v>
      </c>
      <c r="D182" s="157">
        <v>1780000</v>
      </c>
      <c r="E182" s="21" t="s">
        <v>587</v>
      </c>
      <c r="F182" s="21" t="s">
        <v>588</v>
      </c>
      <c r="G182" s="8" t="str">
        <f t="shared" si="2"/>
        <v>DE LA ROSA ALEX</v>
      </c>
    </row>
    <row r="183" spans="1:7" x14ac:dyDescent="0.25">
      <c r="A183" s="8">
        <v>42754.712824074071</v>
      </c>
      <c r="B183" s="21" t="s">
        <v>197</v>
      </c>
      <c r="C183" s="21" t="s">
        <v>649</v>
      </c>
      <c r="D183" s="157">
        <v>1180000</v>
      </c>
      <c r="E183" s="21" t="s">
        <v>341</v>
      </c>
      <c r="F183" s="21" t="s">
        <v>342</v>
      </c>
      <c r="G183" s="8" t="str">
        <f t="shared" si="2"/>
        <v>LEVERE CRAIG</v>
      </c>
    </row>
    <row r="184" spans="1:7" x14ac:dyDescent="0.25">
      <c r="A184" s="8">
        <v>42754.714004629626</v>
      </c>
      <c r="B184" s="21" t="s">
        <v>154</v>
      </c>
      <c r="C184" s="21" t="s">
        <v>498</v>
      </c>
      <c r="D184" s="157">
        <v>1810000</v>
      </c>
      <c r="E184" s="21" t="s">
        <v>223</v>
      </c>
      <c r="F184" s="21" t="s">
        <v>210</v>
      </c>
      <c r="G184" s="8" t="str">
        <f t="shared" si="2"/>
        <v>NEWELL JAMES</v>
      </c>
    </row>
    <row r="185" spans="1:7" x14ac:dyDescent="0.25">
      <c r="A185" s="8">
        <v>42754.715138888889</v>
      </c>
      <c r="B185" s="21" t="s">
        <v>203</v>
      </c>
      <c r="C185" s="21" t="s">
        <v>499</v>
      </c>
      <c r="D185" s="157">
        <v>1740000</v>
      </c>
      <c r="E185" s="21" t="s">
        <v>295</v>
      </c>
      <c r="F185" s="21" t="s">
        <v>296</v>
      </c>
      <c r="G185" s="8" t="str">
        <f t="shared" si="2"/>
        <v>STORY SAMANTHA</v>
      </c>
    </row>
    <row r="186" spans="1:7" x14ac:dyDescent="0.25">
      <c r="A186" s="8">
        <v>42754.717777777776</v>
      </c>
      <c r="B186" s="21" t="s">
        <v>490</v>
      </c>
      <c r="C186" s="21" t="s">
        <v>650</v>
      </c>
      <c r="D186" s="157">
        <v>1800000</v>
      </c>
      <c r="E186" s="21" t="s">
        <v>207</v>
      </c>
      <c r="F186" s="21" t="s">
        <v>213</v>
      </c>
      <c r="G186" s="8" t="str">
        <f t="shared" si="2"/>
        <v>CHANDLER KELVIN</v>
      </c>
    </row>
    <row r="187" spans="1:7" x14ac:dyDescent="0.25">
      <c r="A187" s="8">
        <v>42754.724004629628</v>
      </c>
      <c r="B187" s="21" t="s">
        <v>264</v>
      </c>
      <c r="C187" s="21" t="s">
        <v>651</v>
      </c>
      <c r="D187" s="157">
        <v>2030000</v>
      </c>
      <c r="E187" s="21" t="s">
        <v>590</v>
      </c>
      <c r="F187" s="21" t="s">
        <v>268</v>
      </c>
      <c r="G187" s="8" t="str">
        <f t="shared" si="2"/>
        <v>KILLION DAVID</v>
      </c>
    </row>
    <row r="188" spans="1:7" x14ac:dyDescent="0.25">
      <c r="A188" s="8">
        <v>42754.724664351852</v>
      </c>
      <c r="B188" s="21" t="s">
        <v>474</v>
      </c>
      <c r="C188" s="21" t="s">
        <v>652</v>
      </c>
      <c r="D188" s="157">
        <v>2250000</v>
      </c>
      <c r="E188" s="21" t="s">
        <v>291</v>
      </c>
      <c r="F188" s="21" t="s">
        <v>292</v>
      </c>
      <c r="G188" s="8" t="str">
        <f t="shared" si="2"/>
        <v>CRAYTON QUNTRELL</v>
      </c>
    </row>
    <row r="189" spans="1:7" x14ac:dyDescent="0.25">
      <c r="A189" s="8">
        <v>42754.728263888886</v>
      </c>
      <c r="B189" s="21" t="s">
        <v>472</v>
      </c>
      <c r="C189" s="21" t="s">
        <v>653</v>
      </c>
      <c r="D189" s="157">
        <v>1770000</v>
      </c>
      <c r="E189" s="21" t="s">
        <v>593</v>
      </c>
      <c r="F189" s="21" t="s">
        <v>594</v>
      </c>
      <c r="G189" s="8" t="str">
        <f t="shared" si="2"/>
        <v>BRUDER RICHARD</v>
      </c>
    </row>
    <row r="190" spans="1:7" x14ac:dyDescent="0.25">
      <c r="A190" s="8">
        <v>42754.735335648147</v>
      </c>
      <c r="B190" s="21" t="s">
        <v>312</v>
      </c>
      <c r="C190" s="21" t="s">
        <v>654</v>
      </c>
      <c r="D190" s="157">
        <v>1180000</v>
      </c>
      <c r="E190" s="21" t="s">
        <v>341</v>
      </c>
      <c r="F190" s="21" t="s">
        <v>342</v>
      </c>
      <c r="G190" s="8" t="str">
        <f t="shared" si="2"/>
        <v>LEVERE CRAIG</v>
      </c>
    </row>
    <row r="191" spans="1:7" x14ac:dyDescent="0.25">
      <c r="A191" s="8">
        <v>42754.737268518518</v>
      </c>
      <c r="B191" s="21" t="s">
        <v>244</v>
      </c>
      <c r="C191" s="21" t="s">
        <v>655</v>
      </c>
      <c r="D191" s="157">
        <v>1810000</v>
      </c>
      <c r="E191" s="21" t="s">
        <v>223</v>
      </c>
      <c r="F191" s="21" t="s">
        <v>210</v>
      </c>
      <c r="G191" s="8" t="str">
        <f t="shared" si="2"/>
        <v>NEWELL JAMES</v>
      </c>
    </row>
    <row r="192" spans="1:7" x14ac:dyDescent="0.25">
      <c r="A192" s="8">
        <v>42754.737893518519</v>
      </c>
      <c r="B192" s="21" t="s">
        <v>199</v>
      </c>
      <c r="C192" s="21" t="s">
        <v>656</v>
      </c>
      <c r="D192" s="157">
        <v>2230000</v>
      </c>
      <c r="E192" s="21" t="s">
        <v>598</v>
      </c>
      <c r="F192" s="21" t="s">
        <v>216</v>
      </c>
      <c r="G192" s="8" t="str">
        <f t="shared" si="2"/>
        <v>SMITH MICHAEL</v>
      </c>
    </row>
    <row r="193" spans="1:7" x14ac:dyDescent="0.25">
      <c r="A193" s="8">
        <v>42754.74046296296</v>
      </c>
      <c r="B193" s="21" t="s">
        <v>266</v>
      </c>
      <c r="C193" s="21" t="s">
        <v>657</v>
      </c>
      <c r="D193" s="157">
        <v>2560000</v>
      </c>
      <c r="E193" s="21" t="s">
        <v>658</v>
      </c>
      <c r="F193" s="21" t="s">
        <v>659</v>
      </c>
      <c r="G193" s="8" t="str">
        <f t="shared" si="2"/>
        <v>MACDONALD THOMAS</v>
      </c>
    </row>
    <row r="194" spans="1:7" x14ac:dyDescent="0.25">
      <c r="A194" s="8">
        <v>42754.741030092591</v>
      </c>
      <c r="B194" s="21" t="s">
        <v>202</v>
      </c>
      <c r="C194" s="21" t="s">
        <v>660</v>
      </c>
      <c r="D194" s="157">
        <v>1740000</v>
      </c>
      <c r="E194" s="21" t="s">
        <v>295</v>
      </c>
      <c r="F194" s="21" t="s">
        <v>296</v>
      </c>
      <c r="G194" s="8" t="str">
        <f t="shared" si="2"/>
        <v>STORY SAMANTHA</v>
      </c>
    </row>
    <row r="195" spans="1:7" x14ac:dyDescent="0.25">
      <c r="A195" s="8">
        <v>42754.741516203707</v>
      </c>
      <c r="B195" s="21" t="s">
        <v>280</v>
      </c>
      <c r="C195" s="21" t="s">
        <v>661</v>
      </c>
      <c r="D195" s="157">
        <v>2040000</v>
      </c>
      <c r="E195" s="21" t="s">
        <v>339</v>
      </c>
      <c r="F195" s="21" t="s">
        <v>340</v>
      </c>
      <c r="G195" s="8" t="str">
        <f t="shared" ref="G195:G258" si="3">E195&amp;" "&amp;F195</f>
        <v>MOSES BRADLEY</v>
      </c>
    </row>
    <row r="196" spans="1:7" x14ac:dyDescent="0.25">
      <c r="A196" s="8">
        <v>42754.7422337963</v>
      </c>
      <c r="B196" s="21" t="s">
        <v>521</v>
      </c>
      <c r="C196" s="21" t="s">
        <v>662</v>
      </c>
      <c r="D196" s="157">
        <v>2150000</v>
      </c>
      <c r="E196" s="21" t="s">
        <v>289</v>
      </c>
      <c r="F196" s="21" t="s">
        <v>290</v>
      </c>
      <c r="G196" s="8" t="str">
        <f t="shared" si="3"/>
        <v>SWANSON BRYCE</v>
      </c>
    </row>
    <row r="197" spans="1:7" x14ac:dyDescent="0.25">
      <c r="A197" s="8">
        <v>42754.743738425925</v>
      </c>
      <c r="B197" s="21" t="s">
        <v>335</v>
      </c>
      <c r="C197" s="21" t="s">
        <v>663</v>
      </c>
      <c r="D197" s="157">
        <v>2270000</v>
      </c>
      <c r="E197" s="21" t="s">
        <v>319</v>
      </c>
      <c r="F197" s="21" t="s">
        <v>320</v>
      </c>
      <c r="G197" s="8" t="str">
        <f t="shared" si="3"/>
        <v>BROWN JACOB</v>
      </c>
    </row>
    <row r="198" spans="1:7" x14ac:dyDescent="0.25">
      <c r="A198" s="8">
        <v>42754.74659722222</v>
      </c>
      <c r="B198" s="21" t="s">
        <v>279</v>
      </c>
      <c r="C198" s="21" t="s">
        <v>664</v>
      </c>
      <c r="D198" s="157">
        <v>2360000</v>
      </c>
      <c r="E198" s="21" t="s">
        <v>346</v>
      </c>
      <c r="F198" s="21" t="s">
        <v>347</v>
      </c>
      <c r="G198" s="8" t="str">
        <f t="shared" si="3"/>
        <v>BRANDNER MELINDA</v>
      </c>
    </row>
    <row r="199" spans="1:7" x14ac:dyDescent="0.25">
      <c r="A199" s="8">
        <v>42754.747557870367</v>
      </c>
      <c r="B199" s="21" t="s">
        <v>266</v>
      </c>
      <c r="C199" s="21" t="s">
        <v>657</v>
      </c>
      <c r="D199" s="157">
        <v>2560000</v>
      </c>
      <c r="E199" s="21" t="s">
        <v>658</v>
      </c>
      <c r="F199" s="21" t="s">
        <v>659</v>
      </c>
      <c r="G199" s="8" t="str">
        <f t="shared" si="3"/>
        <v>MACDONALD THOMAS</v>
      </c>
    </row>
    <row r="200" spans="1:7" x14ac:dyDescent="0.25">
      <c r="A200" s="8">
        <v>42754.749282407407</v>
      </c>
      <c r="B200" s="21" t="s">
        <v>153</v>
      </c>
      <c r="C200" s="21" t="s">
        <v>665</v>
      </c>
      <c r="D200" s="157">
        <v>1780000</v>
      </c>
      <c r="E200" s="21" t="s">
        <v>587</v>
      </c>
      <c r="F200" s="21" t="s">
        <v>588</v>
      </c>
      <c r="G200" s="8" t="str">
        <f t="shared" si="3"/>
        <v>DE LA ROSA ALEX</v>
      </c>
    </row>
    <row r="201" spans="1:7" x14ac:dyDescent="0.25">
      <c r="A201" s="8">
        <v>42754.754317129627</v>
      </c>
      <c r="B201" s="21" t="s">
        <v>482</v>
      </c>
      <c r="C201" s="21" t="s">
        <v>666</v>
      </c>
      <c r="D201" s="157">
        <v>1800000</v>
      </c>
      <c r="E201" s="21" t="s">
        <v>207</v>
      </c>
      <c r="F201" s="21" t="s">
        <v>213</v>
      </c>
      <c r="G201" s="8" t="str">
        <f t="shared" si="3"/>
        <v>CHANDLER KELVIN</v>
      </c>
    </row>
    <row r="202" spans="1:7" x14ac:dyDescent="0.25">
      <c r="A202" s="27">
        <v>42754.756203703706</v>
      </c>
      <c r="B202" s="21" t="s">
        <v>203</v>
      </c>
      <c r="C202" s="21" t="s">
        <v>501</v>
      </c>
      <c r="D202" s="157">
        <v>1740000</v>
      </c>
      <c r="E202" s="21" t="s">
        <v>295</v>
      </c>
      <c r="F202" s="21" t="s">
        <v>296</v>
      </c>
      <c r="G202" s="8" t="str">
        <f t="shared" si="3"/>
        <v>STORY SAMANTHA</v>
      </c>
    </row>
    <row r="203" spans="1:7" x14ac:dyDescent="0.25">
      <c r="A203" s="8">
        <v>42754.756539351853</v>
      </c>
      <c r="B203" s="21" t="s">
        <v>201</v>
      </c>
      <c r="C203" s="21" t="s">
        <v>667</v>
      </c>
      <c r="D203" s="157">
        <v>2270000</v>
      </c>
      <c r="E203" s="21" t="s">
        <v>319</v>
      </c>
      <c r="F203" s="21" t="s">
        <v>320</v>
      </c>
      <c r="G203" s="8" t="str">
        <f t="shared" si="3"/>
        <v>BROWN JACOB</v>
      </c>
    </row>
    <row r="204" spans="1:7" x14ac:dyDescent="0.25">
      <c r="A204" s="8">
        <v>42754.760277777779</v>
      </c>
      <c r="B204" s="21" t="s">
        <v>220</v>
      </c>
      <c r="C204" s="21" t="s">
        <v>668</v>
      </c>
      <c r="D204" s="157">
        <v>2030000</v>
      </c>
      <c r="E204" s="21" t="s">
        <v>590</v>
      </c>
      <c r="F204" s="21" t="s">
        <v>268</v>
      </c>
      <c r="G204" s="8" t="str">
        <f t="shared" si="3"/>
        <v>KILLION DAVID</v>
      </c>
    </row>
    <row r="205" spans="1:7" x14ac:dyDescent="0.25">
      <c r="A205" s="8">
        <v>42754.760497685187</v>
      </c>
      <c r="B205" s="21" t="s">
        <v>197</v>
      </c>
      <c r="C205" s="21" t="s">
        <v>669</v>
      </c>
      <c r="D205" s="157">
        <v>1180000</v>
      </c>
      <c r="E205" s="21" t="s">
        <v>341</v>
      </c>
      <c r="F205" s="21" t="s">
        <v>342</v>
      </c>
      <c r="G205" s="8" t="str">
        <f t="shared" si="3"/>
        <v>LEVERE CRAIG</v>
      </c>
    </row>
    <row r="206" spans="1:7" x14ac:dyDescent="0.25">
      <c r="A206" s="8">
        <v>42754.763368055559</v>
      </c>
      <c r="B206" s="21" t="s">
        <v>534</v>
      </c>
      <c r="C206" s="21" t="s">
        <v>670</v>
      </c>
      <c r="D206" s="157">
        <v>2250000</v>
      </c>
      <c r="E206" s="21" t="s">
        <v>291</v>
      </c>
      <c r="F206" s="21" t="s">
        <v>292</v>
      </c>
      <c r="G206" s="8" t="str">
        <f t="shared" si="3"/>
        <v>CRAYTON QUNTRELL</v>
      </c>
    </row>
    <row r="207" spans="1:7" x14ac:dyDescent="0.25">
      <c r="A207" s="8">
        <v>42754.768460648149</v>
      </c>
      <c r="B207" s="21" t="s">
        <v>488</v>
      </c>
      <c r="C207" s="21" t="s">
        <v>671</v>
      </c>
      <c r="D207" s="157">
        <v>2220000</v>
      </c>
      <c r="E207" s="21" t="s">
        <v>259</v>
      </c>
      <c r="F207" s="21" t="s">
        <v>260</v>
      </c>
      <c r="G207" s="8" t="str">
        <f t="shared" si="3"/>
        <v>HILLS DUSTIN</v>
      </c>
    </row>
    <row r="208" spans="1:7" x14ac:dyDescent="0.25">
      <c r="A208" s="8">
        <v>42754.769618055558</v>
      </c>
      <c r="B208" s="21" t="s">
        <v>313</v>
      </c>
      <c r="C208" s="21" t="s">
        <v>672</v>
      </c>
      <c r="D208" s="157">
        <v>1810000</v>
      </c>
      <c r="E208" s="21" t="s">
        <v>223</v>
      </c>
      <c r="F208" s="21" t="s">
        <v>210</v>
      </c>
      <c r="G208" s="8" t="str">
        <f t="shared" si="3"/>
        <v>NEWELL JAMES</v>
      </c>
    </row>
    <row r="209" spans="1:7" x14ac:dyDescent="0.25">
      <c r="A209" s="8">
        <v>42754.777361111112</v>
      </c>
      <c r="B209" s="21" t="s">
        <v>312</v>
      </c>
      <c r="C209" s="21" t="s">
        <v>673</v>
      </c>
      <c r="D209" s="157">
        <v>1180000</v>
      </c>
      <c r="E209" s="21" t="s">
        <v>341</v>
      </c>
      <c r="F209" s="21" t="s">
        <v>342</v>
      </c>
      <c r="G209" s="8" t="str">
        <f t="shared" si="3"/>
        <v>LEVERE CRAIG</v>
      </c>
    </row>
    <row r="210" spans="1:7" x14ac:dyDescent="0.25">
      <c r="A210" s="8">
        <v>42754.781111111108</v>
      </c>
      <c r="B210" s="21" t="s">
        <v>278</v>
      </c>
      <c r="C210" s="21" t="s">
        <v>674</v>
      </c>
      <c r="D210" s="157">
        <v>2360000</v>
      </c>
      <c r="E210" s="21" t="s">
        <v>346</v>
      </c>
      <c r="F210" s="21" t="s">
        <v>347</v>
      </c>
      <c r="G210" s="8" t="str">
        <f t="shared" si="3"/>
        <v>BRANDNER MELINDA</v>
      </c>
    </row>
    <row r="211" spans="1:7" x14ac:dyDescent="0.25">
      <c r="A211" s="8">
        <v>42754.781157407408</v>
      </c>
      <c r="B211" s="21" t="s">
        <v>195</v>
      </c>
      <c r="C211" s="21" t="s">
        <v>675</v>
      </c>
      <c r="D211" s="157">
        <v>2230000</v>
      </c>
      <c r="E211" s="21" t="s">
        <v>598</v>
      </c>
      <c r="F211" s="21" t="s">
        <v>216</v>
      </c>
      <c r="G211" s="8" t="str">
        <f t="shared" si="3"/>
        <v>SMITH MICHAEL</v>
      </c>
    </row>
    <row r="212" spans="1:7" x14ac:dyDescent="0.25">
      <c r="A212" s="8">
        <v>42754.783182870371</v>
      </c>
      <c r="B212" s="21" t="s">
        <v>202</v>
      </c>
      <c r="C212" s="21" t="s">
        <v>676</v>
      </c>
      <c r="D212" s="157">
        <v>1740000</v>
      </c>
      <c r="E212" s="21" t="s">
        <v>295</v>
      </c>
      <c r="F212" s="21" t="s">
        <v>296</v>
      </c>
      <c r="G212" s="8" t="str">
        <f t="shared" si="3"/>
        <v>STORY SAMANTHA</v>
      </c>
    </row>
    <row r="213" spans="1:7" x14ac:dyDescent="0.25">
      <c r="A213" s="8">
        <v>42754.788148148145</v>
      </c>
      <c r="B213" s="21" t="s">
        <v>490</v>
      </c>
      <c r="C213" s="21" t="s">
        <v>677</v>
      </c>
      <c r="D213" s="157">
        <v>1800000</v>
      </c>
      <c r="E213" s="21" t="s">
        <v>207</v>
      </c>
      <c r="F213" s="21" t="s">
        <v>213</v>
      </c>
      <c r="G213" s="8" t="str">
        <f t="shared" si="3"/>
        <v>CHANDLER KELVIN</v>
      </c>
    </row>
    <row r="214" spans="1:7" x14ac:dyDescent="0.25">
      <c r="A214" s="8">
        <v>42754.795300925929</v>
      </c>
      <c r="B214" s="21" t="s">
        <v>264</v>
      </c>
      <c r="C214" s="21" t="s">
        <v>678</v>
      </c>
      <c r="D214" s="157">
        <v>2270000</v>
      </c>
      <c r="E214" s="21" t="s">
        <v>319</v>
      </c>
      <c r="F214" s="21" t="s">
        <v>320</v>
      </c>
      <c r="G214" s="8" t="str">
        <f t="shared" si="3"/>
        <v>BROWN JACOB</v>
      </c>
    </row>
    <row r="215" spans="1:7" x14ac:dyDescent="0.25">
      <c r="A215" s="8">
        <v>42754.797847222224</v>
      </c>
      <c r="B215" s="21" t="s">
        <v>472</v>
      </c>
      <c r="C215" s="21" t="s">
        <v>502</v>
      </c>
      <c r="D215" s="157">
        <v>2220000</v>
      </c>
      <c r="E215" s="21" t="s">
        <v>259</v>
      </c>
      <c r="F215" s="21" t="s">
        <v>260</v>
      </c>
      <c r="G215" s="8" t="str">
        <f t="shared" si="3"/>
        <v>HILLS DUSTIN</v>
      </c>
    </row>
    <row r="216" spans="1:7" x14ac:dyDescent="0.25">
      <c r="A216" s="8">
        <v>42754.798020833332</v>
      </c>
      <c r="B216" s="21" t="s">
        <v>203</v>
      </c>
      <c r="C216" s="21" t="s">
        <v>679</v>
      </c>
      <c r="D216" s="157">
        <v>1740000</v>
      </c>
      <c r="E216" s="21" t="s">
        <v>295</v>
      </c>
      <c r="F216" s="21" t="s">
        <v>296</v>
      </c>
      <c r="G216" s="8" t="str">
        <f t="shared" si="3"/>
        <v>STORY SAMANTHA</v>
      </c>
    </row>
    <row r="217" spans="1:7" x14ac:dyDescent="0.25">
      <c r="A217" s="8">
        <v>42754.798449074071</v>
      </c>
      <c r="B217" s="21" t="s">
        <v>197</v>
      </c>
      <c r="C217" s="21" t="s">
        <v>680</v>
      </c>
      <c r="D217" s="157">
        <v>1180000</v>
      </c>
      <c r="E217" s="21" t="s">
        <v>341</v>
      </c>
      <c r="F217" s="21" t="s">
        <v>342</v>
      </c>
      <c r="G217" s="8" t="str">
        <f t="shared" si="3"/>
        <v>LEVERE CRAIG</v>
      </c>
    </row>
    <row r="218" spans="1:7" x14ac:dyDescent="0.25">
      <c r="A218" s="8">
        <v>42754.798472222225</v>
      </c>
      <c r="B218" s="21" t="s">
        <v>474</v>
      </c>
      <c r="C218" s="21" t="s">
        <v>681</v>
      </c>
      <c r="D218" s="157">
        <v>2250000</v>
      </c>
      <c r="E218" s="21" t="s">
        <v>291</v>
      </c>
      <c r="F218" s="21" t="s">
        <v>292</v>
      </c>
      <c r="G218" s="8" t="str">
        <f t="shared" si="3"/>
        <v>CRAYTON QUNTRELL</v>
      </c>
    </row>
    <row r="219" spans="1:7" x14ac:dyDescent="0.25">
      <c r="A219" s="8">
        <v>42754.805706018517</v>
      </c>
      <c r="B219" s="21" t="s">
        <v>202</v>
      </c>
      <c r="C219" s="21" t="s">
        <v>679</v>
      </c>
      <c r="D219" s="157">
        <v>1740000</v>
      </c>
      <c r="E219" s="21" t="s">
        <v>295</v>
      </c>
      <c r="F219" s="21" t="s">
        <v>296</v>
      </c>
      <c r="G219" s="8" t="str">
        <f t="shared" si="3"/>
        <v>STORY SAMANTHA</v>
      </c>
    </row>
    <row r="220" spans="1:7" x14ac:dyDescent="0.25">
      <c r="A220" s="8">
        <v>42754.806770833333</v>
      </c>
      <c r="B220" s="21" t="s">
        <v>244</v>
      </c>
      <c r="C220" s="21" t="s">
        <v>682</v>
      </c>
      <c r="D220" s="157">
        <v>1810000</v>
      </c>
      <c r="E220" s="21" t="s">
        <v>223</v>
      </c>
      <c r="F220" s="21" t="s">
        <v>210</v>
      </c>
      <c r="G220" s="8" t="str">
        <f t="shared" si="3"/>
        <v>NEWELL JAMES</v>
      </c>
    </row>
    <row r="221" spans="1:7" x14ac:dyDescent="0.25">
      <c r="A221" s="8">
        <v>42754.822453703702</v>
      </c>
      <c r="B221" s="21" t="s">
        <v>312</v>
      </c>
      <c r="C221" s="21" t="s">
        <v>683</v>
      </c>
      <c r="D221" s="157">
        <v>1180000</v>
      </c>
      <c r="E221" s="21" t="s">
        <v>341</v>
      </c>
      <c r="F221" s="21" t="s">
        <v>342</v>
      </c>
      <c r="G221" s="8" t="str">
        <f t="shared" si="3"/>
        <v>LEVERE CRAIG</v>
      </c>
    </row>
    <row r="222" spans="1:7" x14ac:dyDescent="0.25">
      <c r="A222" s="8">
        <v>42754.823379629626</v>
      </c>
      <c r="B222" s="21" t="s">
        <v>279</v>
      </c>
      <c r="C222" s="21" t="s">
        <v>684</v>
      </c>
      <c r="D222" s="157">
        <v>2360000</v>
      </c>
      <c r="E222" s="21" t="s">
        <v>346</v>
      </c>
      <c r="F222" s="21" t="s">
        <v>347</v>
      </c>
      <c r="G222" s="8" t="str">
        <f t="shared" si="3"/>
        <v>BRANDNER MELINDA</v>
      </c>
    </row>
    <row r="223" spans="1:7" x14ac:dyDescent="0.25">
      <c r="A223" s="8">
        <v>42754.829456018517</v>
      </c>
      <c r="B223" s="21" t="s">
        <v>482</v>
      </c>
      <c r="C223" s="21" t="s">
        <v>685</v>
      </c>
      <c r="D223" s="157">
        <v>1800000</v>
      </c>
      <c r="E223" s="21" t="s">
        <v>207</v>
      </c>
      <c r="F223" s="21" t="s">
        <v>213</v>
      </c>
      <c r="G223" s="8" t="str">
        <f t="shared" si="3"/>
        <v>CHANDLER KELVIN</v>
      </c>
    </row>
    <row r="224" spans="1:7" x14ac:dyDescent="0.25">
      <c r="A224" s="8">
        <v>42754.83320601852</v>
      </c>
      <c r="B224" t="s">
        <v>201</v>
      </c>
      <c r="C224" t="s">
        <v>686</v>
      </c>
      <c r="D224" s="157">
        <v>2270000</v>
      </c>
      <c r="E224" t="s">
        <v>319</v>
      </c>
      <c r="F224" s="21" t="s">
        <v>320</v>
      </c>
      <c r="G224" s="8" t="str">
        <f t="shared" si="3"/>
        <v>BROWN JACOB</v>
      </c>
    </row>
    <row r="225" spans="1:7" x14ac:dyDescent="0.25">
      <c r="A225" s="8">
        <v>42754.843807870369</v>
      </c>
      <c r="B225" t="s">
        <v>197</v>
      </c>
      <c r="C225" t="s">
        <v>687</v>
      </c>
      <c r="D225" s="157">
        <v>1180000</v>
      </c>
      <c r="E225" t="s">
        <v>341</v>
      </c>
      <c r="F225" s="21" t="s">
        <v>342</v>
      </c>
      <c r="G225" s="8" t="str">
        <f t="shared" si="3"/>
        <v>LEVERE CRAIG</v>
      </c>
    </row>
    <row r="226" spans="1:7" x14ac:dyDescent="0.25">
      <c r="A226" s="8">
        <v>42754.845231481479</v>
      </c>
      <c r="B226" t="s">
        <v>488</v>
      </c>
      <c r="C226" t="s">
        <v>688</v>
      </c>
      <c r="D226" s="157">
        <v>2220000</v>
      </c>
      <c r="E226" t="s">
        <v>259</v>
      </c>
      <c r="F226" s="21" t="s">
        <v>260</v>
      </c>
      <c r="G226" s="8" t="str">
        <f t="shared" si="3"/>
        <v>HILLS DUSTIN</v>
      </c>
    </row>
    <row r="227" spans="1:7" x14ac:dyDescent="0.25">
      <c r="A227" s="8">
        <v>42754.847094907411</v>
      </c>
      <c r="B227" t="s">
        <v>313</v>
      </c>
      <c r="C227" t="s">
        <v>503</v>
      </c>
      <c r="D227" s="157">
        <v>1810000</v>
      </c>
      <c r="E227" t="s">
        <v>223</v>
      </c>
      <c r="F227" s="21" t="s">
        <v>210</v>
      </c>
      <c r="G227" s="8" t="str">
        <f t="shared" si="3"/>
        <v>NEWELL JAMES</v>
      </c>
    </row>
    <row r="228" spans="1:7" x14ac:dyDescent="0.25">
      <c r="A228" s="8">
        <v>42754.860405092593</v>
      </c>
      <c r="B228" t="s">
        <v>312</v>
      </c>
      <c r="C228" t="s">
        <v>689</v>
      </c>
      <c r="D228" s="157">
        <v>1180000</v>
      </c>
      <c r="E228" t="s">
        <v>341</v>
      </c>
      <c r="F228" s="21" t="s">
        <v>342</v>
      </c>
      <c r="G228" s="8" t="str">
        <f t="shared" si="3"/>
        <v>LEVERE CRAIG</v>
      </c>
    </row>
    <row r="229" spans="1:7" x14ac:dyDescent="0.25">
      <c r="A229" s="8">
        <v>42754.869270833333</v>
      </c>
      <c r="B229" t="s">
        <v>264</v>
      </c>
      <c r="C229" t="s">
        <v>690</v>
      </c>
      <c r="D229" s="157">
        <v>2270000</v>
      </c>
      <c r="E229" t="s">
        <v>319</v>
      </c>
      <c r="F229" s="21" t="s">
        <v>320</v>
      </c>
      <c r="G229" s="8" t="str">
        <f t="shared" si="3"/>
        <v>BROWN JACOB</v>
      </c>
    </row>
    <row r="230" spans="1:7" x14ac:dyDescent="0.25">
      <c r="A230" s="8">
        <v>42754.872997685183</v>
      </c>
      <c r="B230" t="s">
        <v>490</v>
      </c>
      <c r="C230" t="s">
        <v>691</v>
      </c>
      <c r="D230" s="157">
        <v>1800000</v>
      </c>
      <c r="E230" t="s">
        <v>207</v>
      </c>
      <c r="F230" s="21" t="s">
        <v>213</v>
      </c>
      <c r="G230" s="8" t="str">
        <f t="shared" si="3"/>
        <v>CHANDLER KELVIN</v>
      </c>
    </row>
    <row r="231" spans="1:7" x14ac:dyDescent="0.25">
      <c r="A231" s="8">
        <v>42754.878877314812</v>
      </c>
      <c r="B231" t="s">
        <v>197</v>
      </c>
      <c r="C231" t="s">
        <v>692</v>
      </c>
      <c r="D231" s="157">
        <v>1740000</v>
      </c>
      <c r="E231" t="s">
        <v>295</v>
      </c>
      <c r="F231" s="21" t="s">
        <v>296</v>
      </c>
      <c r="G231" s="8" t="str">
        <f t="shared" si="3"/>
        <v>STORY SAMANTHA</v>
      </c>
    </row>
    <row r="232" spans="1:7" x14ac:dyDescent="0.25">
      <c r="A232" s="8">
        <v>42754.902754629627</v>
      </c>
      <c r="B232" t="s">
        <v>312</v>
      </c>
      <c r="C232" t="s">
        <v>693</v>
      </c>
      <c r="D232" s="157">
        <v>1740000</v>
      </c>
      <c r="E232" t="s">
        <v>295</v>
      </c>
      <c r="F232" s="21" t="s">
        <v>296</v>
      </c>
      <c r="G232" s="8" t="str">
        <f t="shared" si="3"/>
        <v>STORY SAMANTHA</v>
      </c>
    </row>
    <row r="233" spans="1:7" x14ac:dyDescent="0.25">
      <c r="A233" s="8">
        <v>42754.903680555559</v>
      </c>
      <c r="B233" t="s">
        <v>312</v>
      </c>
      <c r="C233" t="s">
        <v>694</v>
      </c>
      <c r="D233" s="157">
        <v>1740000</v>
      </c>
      <c r="E233" t="s">
        <v>295</v>
      </c>
      <c r="F233" s="21" t="s">
        <v>296</v>
      </c>
      <c r="G233" s="8" t="str">
        <f t="shared" si="3"/>
        <v>STORY SAMANTHA</v>
      </c>
    </row>
    <row r="234" spans="1:7" x14ac:dyDescent="0.25">
      <c r="A234" s="8">
        <v>42754.920254629629</v>
      </c>
      <c r="B234" t="s">
        <v>197</v>
      </c>
      <c r="C234" t="s">
        <v>693</v>
      </c>
      <c r="D234" s="157">
        <v>1740000</v>
      </c>
      <c r="E234" t="s">
        <v>295</v>
      </c>
      <c r="F234" s="21" t="s">
        <v>296</v>
      </c>
      <c r="G234" s="8" t="str">
        <f t="shared" si="3"/>
        <v>STORY SAMANTHA</v>
      </c>
    </row>
    <row r="235" spans="1:7" x14ac:dyDescent="0.25">
      <c r="A235" s="8">
        <v>42754.950196759259</v>
      </c>
      <c r="B235" t="s">
        <v>197</v>
      </c>
      <c r="C235" t="s">
        <v>693</v>
      </c>
      <c r="D235" s="157">
        <v>1740000</v>
      </c>
      <c r="E235" t="s">
        <v>295</v>
      </c>
      <c r="F235" s="21" t="s">
        <v>296</v>
      </c>
      <c r="G235" s="8" t="str">
        <f t="shared" si="3"/>
        <v>STORY SAMANTHA</v>
      </c>
    </row>
    <row r="236" spans="1:7" x14ac:dyDescent="0.25">
      <c r="A236" s="8">
        <v>42754.962581018517</v>
      </c>
      <c r="B236" t="s">
        <v>312</v>
      </c>
      <c r="C236" t="s">
        <v>695</v>
      </c>
      <c r="D236" s="157">
        <v>1740000</v>
      </c>
      <c r="E236" t="s">
        <v>295</v>
      </c>
      <c r="F236" s="21" t="s">
        <v>296</v>
      </c>
      <c r="G236" s="8" t="str">
        <f t="shared" si="3"/>
        <v>STORY SAMANTHA</v>
      </c>
    </row>
    <row r="237" spans="1:7" x14ac:dyDescent="0.25">
      <c r="A237" s="8">
        <v>42754.993900462963</v>
      </c>
      <c r="B237" t="s">
        <v>472</v>
      </c>
      <c r="C237" t="s">
        <v>696</v>
      </c>
      <c r="D237" s="157">
        <v>2670000</v>
      </c>
      <c r="E237" t="s">
        <v>356</v>
      </c>
      <c r="F237" s="21" t="s">
        <v>357</v>
      </c>
      <c r="G237" s="8" t="str">
        <f t="shared" si="3"/>
        <v>COMELLA JUSTIN</v>
      </c>
    </row>
    <row r="238" spans="1:7" x14ac:dyDescent="0.25">
      <c r="A238" s="8">
        <v>42754.994768518518</v>
      </c>
      <c r="B238" t="s">
        <v>267</v>
      </c>
      <c r="C238" t="s">
        <v>697</v>
      </c>
      <c r="D238" s="157">
        <v>2620000</v>
      </c>
      <c r="E238" t="s">
        <v>698</v>
      </c>
      <c r="F238" s="21" t="s">
        <v>699</v>
      </c>
      <c r="G238" s="8" t="str">
        <f t="shared" si="3"/>
        <v>PERKINS DARREN</v>
      </c>
    </row>
    <row r="239" spans="1:7" x14ac:dyDescent="0.25">
      <c r="A239" s="8">
        <v>42755.020844907405</v>
      </c>
      <c r="B239" t="s">
        <v>266</v>
      </c>
      <c r="C239" t="s">
        <v>700</v>
      </c>
      <c r="D239" s="157">
        <v>2620000</v>
      </c>
      <c r="E239" t="s">
        <v>698</v>
      </c>
      <c r="F239" s="21" t="s">
        <v>699</v>
      </c>
      <c r="G239" s="8" t="str">
        <f t="shared" si="3"/>
        <v>PERKINS DARREN</v>
      </c>
    </row>
    <row r="240" spans="1:7" x14ac:dyDescent="0.25">
      <c r="A240" s="8">
        <v>42755.028784722221</v>
      </c>
      <c r="B240" t="s">
        <v>266</v>
      </c>
      <c r="C240" t="s">
        <v>700</v>
      </c>
      <c r="D240" s="157">
        <v>2620000</v>
      </c>
      <c r="E240" t="s">
        <v>698</v>
      </c>
      <c r="F240" s="21" t="s">
        <v>699</v>
      </c>
      <c r="G240" s="8" t="str">
        <f t="shared" si="3"/>
        <v>PERKINS DARREN</v>
      </c>
    </row>
    <row r="241" spans="1:7" x14ac:dyDescent="0.25">
      <c r="A241" s="8">
        <v>42755.031574074077</v>
      </c>
      <c r="B241" t="s">
        <v>488</v>
      </c>
      <c r="C241" t="s">
        <v>701</v>
      </c>
      <c r="D241" s="157">
        <v>2670000</v>
      </c>
      <c r="E241" t="s">
        <v>356</v>
      </c>
      <c r="F241" s="21" t="s">
        <v>357</v>
      </c>
      <c r="G241" s="8" t="str">
        <f t="shared" si="3"/>
        <v>COMELLA JUSTIN</v>
      </c>
    </row>
    <row r="242" spans="1:7" x14ac:dyDescent="0.25">
      <c r="A242" s="8">
        <v>42755.048715277779</v>
      </c>
      <c r="B242" t="s">
        <v>267</v>
      </c>
      <c r="C242" t="s">
        <v>697</v>
      </c>
      <c r="D242" s="157">
        <v>2620000</v>
      </c>
      <c r="E242" t="s">
        <v>698</v>
      </c>
      <c r="F242" s="21" t="s">
        <v>699</v>
      </c>
      <c r="G242" s="8" t="str">
        <f t="shared" si="3"/>
        <v>PERKINS DARREN</v>
      </c>
    </row>
    <row r="243" spans="1:7" x14ac:dyDescent="0.25">
      <c r="A243" s="8">
        <v>42755.057546296295</v>
      </c>
      <c r="B243" t="s">
        <v>472</v>
      </c>
      <c r="C243" t="s">
        <v>696</v>
      </c>
      <c r="D243" s="157">
        <v>2670000</v>
      </c>
      <c r="E243" t="s">
        <v>356</v>
      </c>
      <c r="F243" s="21" t="s">
        <v>357</v>
      </c>
      <c r="G243" s="8" t="str">
        <f t="shared" si="3"/>
        <v>COMELLA JUSTIN</v>
      </c>
    </row>
    <row r="244" spans="1:7" x14ac:dyDescent="0.25">
      <c r="A244" s="8">
        <v>42755.077210648145</v>
      </c>
      <c r="B244" t="s">
        <v>266</v>
      </c>
      <c r="C244" t="s">
        <v>700</v>
      </c>
      <c r="D244" s="157">
        <v>2620000</v>
      </c>
      <c r="E244" t="s">
        <v>698</v>
      </c>
      <c r="F244" s="21" t="s">
        <v>699</v>
      </c>
      <c r="G244" s="8" t="str">
        <f t="shared" si="3"/>
        <v>PERKINS DARREN</v>
      </c>
    </row>
    <row r="245" spans="1:7" x14ac:dyDescent="0.25">
      <c r="A245" s="8">
        <v>42755.079930555556</v>
      </c>
      <c r="B245" t="s">
        <v>488</v>
      </c>
      <c r="C245" t="s">
        <v>701</v>
      </c>
      <c r="D245" s="157">
        <v>2670000</v>
      </c>
      <c r="E245" t="s">
        <v>356</v>
      </c>
      <c r="F245" s="21" t="s">
        <v>357</v>
      </c>
      <c r="G245" s="8" t="str">
        <f t="shared" si="3"/>
        <v>COMELLA JUSTIN</v>
      </c>
    </row>
    <row r="246" spans="1:7" x14ac:dyDescent="0.25">
      <c r="A246" s="8">
        <v>42755.096388888887</v>
      </c>
      <c r="B246" t="s">
        <v>267</v>
      </c>
      <c r="C246" t="s">
        <v>697</v>
      </c>
      <c r="D246" s="157">
        <v>2620000</v>
      </c>
      <c r="E246" t="s">
        <v>698</v>
      </c>
      <c r="F246" s="21" t="s">
        <v>699</v>
      </c>
      <c r="G246" s="8" t="str">
        <f t="shared" si="3"/>
        <v>PERKINS DARREN</v>
      </c>
    </row>
    <row r="247" spans="1:7" x14ac:dyDescent="0.25">
      <c r="A247" s="8">
        <v>42755.107395833336</v>
      </c>
      <c r="B247" t="s">
        <v>472</v>
      </c>
      <c r="C247" t="s">
        <v>701</v>
      </c>
      <c r="D247" s="157">
        <v>2670000</v>
      </c>
      <c r="E247" t="s">
        <v>356</v>
      </c>
      <c r="F247" s="21" t="s">
        <v>357</v>
      </c>
      <c r="G247" s="8" t="str">
        <f t="shared" si="3"/>
        <v>COMELLA JUSTIN</v>
      </c>
    </row>
    <row r="248" spans="1:7" x14ac:dyDescent="0.25">
      <c r="A248" s="8">
        <v>42755.107951388891</v>
      </c>
      <c r="B248" t="s">
        <v>472</v>
      </c>
      <c r="C248" t="s">
        <v>701</v>
      </c>
      <c r="D248" s="157">
        <v>2670000</v>
      </c>
      <c r="E248" t="s">
        <v>356</v>
      </c>
      <c r="F248" s="21" t="s">
        <v>357</v>
      </c>
      <c r="G248" s="8" t="str">
        <f t="shared" si="3"/>
        <v>COMELLA JUSTIN</v>
      </c>
    </row>
    <row r="249" spans="1:7" x14ac:dyDescent="0.25">
      <c r="A249" s="8">
        <v>42755.1094212963</v>
      </c>
      <c r="B249" t="s">
        <v>472</v>
      </c>
      <c r="C249" t="s">
        <v>701</v>
      </c>
      <c r="D249" s="157">
        <v>2670000</v>
      </c>
      <c r="E249" t="s">
        <v>356</v>
      </c>
      <c r="F249" s="21" t="s">
        <v>357</v>
      </c>
      <c r="G249" s="8" t="str">
        <f t="shared" si="3"/>
        <v>COMELLA JUSTIN</v>
      </c>
    </row>
    <row r="250" spans="1:7" x14ac:dyDescent="0.25">
      <c r="A250" s="8">
        <v>42755.110254629632</v>
      </c>
      <c r="B250" t="s">
        <v>472</v>
      </c>
      <c r="C250" t="s">
        <v>696</v>
      </c>
      <c r="D250" s="157">
        <v>2670000</v>
      </c>
      <c r="E250" t="s">
        <v>356</v>
      </c>
      <c r="F250" s="21" t="s">
        <v>357</v>
      </c>
      <c r="G250" s="8" t="str">
        <f t="shared" si="3"/>
        <v>COMELLA JUSTIN</v>
      </c>
    </row>
    <row r="251" spans="1:7" x14ac:dyDescent="0.25">
      <c r="A251" s="8">
        <v>42754.026261574072</v>
      </c>
      <c r="B251" t="s">
        <v>262</v>
      </c>
      <c r="C251" t="s">
        <v>351</v>
      </c>
      <c r="D251" s="157">
        <v>2540000</v>
      </c>
      <c r="E251" t="s">
        <v>269</v>
      </c>
      <c r="F251" s="21" t="s">
        <v>270</v>
      </c>
      <c r="G251" s="8" t="str">
        <f t="shared" si="3"/>
        <v>MCREYNOLDS KYLE</v>
      </c>
    </row>
    <row r="252" spans="1:7" x14ac:dyDescent="0.25">
      <c r="A252" s="8">
        <v>42754.028275462966</v>
      </c>
      <c r="B252" t="s">
        <v>311</v>
      </c>
      <c r="C252" t="s">
        <v>360</v>
      </c>
      <c r="D252" s="157">
        <v>2220000</v>
      </c>
      <c r="E252" t="s">
        <v>259</v>
      </c>
      <c r="F252" s="21" t="s">
        <v>260</v>
      </c>
      <c r="G252" s="8" t="str">
        <f t="shared" si="3"/>
        <v>HILLS DUSTIN</v>
      </c>
    </row>
    <row r="253" spans="1:7" x14ac:dyDescent="0.25">
      <c r="A253" s="8">
        <v>42754.029583333337</v>
      </c>
      <c r="B253" t="s">
        <v>359</v>
      </c>
      <c r="C253" t="s">
        <v>355</v>
      </c>
      <c r="D253" s="157">
        <v>2670000</v>
      </c>
      <c r="E253" t="s">
        <v>356</v>
      </c>
      <c r="F253" s="21" t="s">
        <v>357</v>
      </c>
      <c r="G253" s="8" t="str">
        <f t="shared" si="3"/>
        <v>COMELLA JUSTIN</v>
      </c>
    </row>
    <row r="254" spans="1:7" x14ac:dyDescent="0.25">
      <c r="A254" s="8">
        <v>42754.029803240737</v>
      </c>
      <c r="B254" t="s">
        <v>311</v>
      </c>
      <c r="C254" t="s">
        <v>360</v>
      </c>
      <c r="D254" s="157">
        <v>2220000</v>
      </c>
      <c r="E254" t="s">
        <v>259</v>
      </c>
      <c r="F254" s="21" t="s">
        <v>260</v>
      </c>
      <c r="G254" s="8" t="str">
        <f t="shared" si="3"/>
        <v>HILLS DUSTIN</v>
      </c>
    </row>
    <row r="255" spans="1:7" x14ac:dyDescent="0.25">
      <c r="A255" s="8">
        <v>42754.035069444442</v>
      </c>
      <c r="B255" t="s">
        <v>258</v>
      </c>
      <c r="C255" t="s">
        <v>361</v>
      </c>
      <c r="D255" s="157">
        <v>2270000</v>
      </c>
      <c r="E255" t="s">
        <v>319</v>
      </c>
      <c r="F255" s="21" t="s">
        <v>320</v>
      </c>
      <c r="G255" s="8" t="str">
        <f t="shared" si="3"/>
        <v>BROWN JACOB</v>
      </c>
    </row>
    <row r="256" spans="1:7" x14ac:dyDescent="0.25">
      <c r="A256" s="8">
        <v>42754.036631944444</v>
      </c>
      <c r="B256" t="s">
        <v>336</v>
      </c>
      <c r="C256" t="s">
        <v>353</v>
      </c>
      <c r="D256" s="157">
        <v>2450000</v>
      </c>
      <c r="E256" t="s">
        <v>349</v>
      </c>
      <c r="F256" s="21" t="s">
        <v>350</v>
      </c>
      <c r="G256" s="8" t="str">
        <f t="shared" si="3"/>
        <v>NELSON ARIANE</v>
      </c>
    </row>
    <row r="257" spans="1:7" x14ac:dyDescent="0.25">
      <c r="A257" s="8">
        <v>42754.041458333333</v>
      </c>
      <c r="B257" t="s">
        <v>261</v>
      </c>
      <c r="C257" t="s">
        <v>352</v>
      </c>
      <c r="D257" s="157">
        <v>2540000</v>
      </c>
      <c r="E257" t="s">
        <v>269</v>
      </c>
      <c r="F257" s="21" t="s">
        <v>270</v>
      </c>
      <c r="G257" s="8" t="str">
        <f t="shared" si="3"/>
        <v>MCREYNOLDS KYLE</v>
      </c>
    </row>
    <row r="258" spans="1:7" x14ac:dyDescent="0.25">
      <c r="A258" s="8">
        <v>42754.044722222221</v>
      </c>
      <c r="B258" t="s">
        <v>248</v>
      </c>
      <c r="C258" t="s">
        <v>348</v>
      </c>
      <c r="D258" s="157">
        <v>2450000</v>
      </c>
      <c r="E258" t="s">
        <v>349</v>
      </c>
      <c r="F258" s="21" t="s">
        <v>350</v>
      </c>
      <c r="G258" s="8" t="str">
        <f t="shared" si="3"/>
        <v>NELSON ARIANE</v>
      </c>
    </row>
    <row r="259" spans="1:7" x14ac:dyDescent="0.25">
      <c r="A259" s="8">
        <v>42754.047627314816</v>
      </c>
      <c r="B259" t="s">
        <v>262</v>
      </c>
      <c r="C259" t="s">
        <v>351</v>
      </c>
      <c r="D259" s="157">
        <v>2540000</v>
      </c>
      <c r="E259" t="s">
        <v>269</v>
      </c>
      <c r="F259" s="21" t="s">
        <v>270</v>
      </c>
      <c r="G259" s="8" t="str">
        <f t="shared" ref="G259:G322" si="4">E259&amp;" "&amp;F259</f>
        <v>MCREYNOLDS KYLE</v>
      </c>
    </row>
    <row r="260" spans="1:7" x14ac:dyDescent="0.25">
      <c r="A260" s="8">
        <v>42754.05332175926</v>
      </c>
      <c r="B260" t="s">
        <v>336</v>
      </c>
      <c r="C260" t="s">
        <v>353</v>
      </c>
      <c r="D260" s="157">
        <v>2450000</v>
      </c>
      <c r="E260" t="s">
        <v>349</v>
      </c>
      <c r="F260" s="21" t="s">
        <v>350</v>
      </c>
      <c r="G260" s="8" t="str">
        <f t="shared" si="4"/>
        <v>NELSON ARIANE</v>
      </c>
    </row>
    <row r="261" spans="1:7" x14ac:dyDescent="0.25">
      <c r="A261" s="8">
        <v>42754.057476851849</v>
      </c>
      <c r="B261" t="s">
        <v>266</v>
      </c>
      <c r="C261" t="s">
        <v>362</v>
      </c>
      <c r="D261" s="157">
        <v>1810000</v>
      </c>
      <c r="E261" t="s">
        <v>223</v>
      </c>
      <c r="F261" s="21" t="s">
        <v>210</v>
      </c>
      <c r="G261" s="8" t="str">
        <f t="shared" si="4"/>
        <v>NEWELL JAMES</v>
      </c>
    </row>
    <row r="262" spans="1:7" x14ac:dyDescent="0.25">
      <c r="A262" s="8">
        <v>42754.060081018521</v>
      </c>
      <c r="B262" t="s">
        <v>354</v>
      </c>
      <c r="C262" t="s">
        <v>358</v>
      </c>
      <c r="D262" s="157">
        <v>2670000</v>
      </c>
      <c r="E262" t="s">
        <v>356</v>
      </c>
      <c r="F262" s="21" t="s">
        <v>357</v>
      </c>
      <c r="G262" s="8" t="str">
        <f t="shared" si="4"/>
        <v>COMELLA JUSTIN</v>
      </c>
    </row>
    <row r="263" spans="1:7" x14ac:dyDescent="0.25">
      <c r="A263" s="8">
        <v>42754.060555555552</v>
      </c>
      <c r="B263" t="s">
        <v>261</v>
      </c>
      <c r="C263" t="s">
        <v>352</v>
      </c>
      <c r="D263" s="157">
        <v>2540000</v>
      </c>
      <c r="E263" t="s">
        <v>269</v>
      </c>
      <c r="F263" s="21" t="s">
        <v>270</v>
      </c>
      <c r="G263" s="8" t="str">
        <f t="shared" si="4"/>
        <v>MCREYNOLDS KYLE</v>
      </c>
    </row>
    <row r="264" spans="1:7" x14ac:dyDescent="0.25">
      <c r="A264" s="8">
        <v>42754.068148148152</v>
      </c>
      <c r="B264" t="s">
        <v>248</v>
      </c>
      <c r="C264" t="s">
        <v>348</v>
      </c>
      <c r="D264" s="157">
        <v>2450000</v>
      </c>
      <c r="E264" t="s">
        <v>349</v>
      </c>
      <c r="F264" s="21" t="s">
        <v>350</v>
      </c>
      <c r="G264" s="8" t="str">
        <f t="shared" si="4"/>
        <v>NELSON ARIANE</v>
      </c>
    </row>
    <row r="265" spans="1:7" x14ac:dyDescent="0.25">
      <c r="A265" s="8">
        <v>42754.069988425923</v>
      </c>
      <c r="B265" t="s">
        <v>314</v>
      </c>
      <c r="C265" t="s">
        <v>363</v>
      </c>
      <c r="D265" s="157">
        <v>2270000</v>
      </c>
      <c r="E265" t="s">
        <v>319</v>
      </c>
      <c r="F265" s="21" t="s">
        <v>320</v>
      </c>
      <c r="G265" s="8" t="str">
        <f t="shared" si="4"/>
        <v>BROWN JACOB</v>
      </c>
    </row>
    <row r="266" spans="1:7" x14ac:dyDescent="0.25">
      <c r="A266" s="8">
        <v>42754.070185185185</v>
      </c>
      <c r="B266" t="s">
        <v>262</v>
      </c>
      <c r="C266" t="s">
        <v>351</v>
      </c>
      <c r="D266" s="157">
        <v>2540000</v>
      </c>
      <c r="E266" t="s">
        <v>269</v>
      </c>
      <c r="F266" s="21" t="s">
        <v>270</v>
      </c>
      <c r="G266" s="8" t="str">
        <f t="shared" si="4"/>
        <v>MCREYNOLDS KYLE</v>
      </c>
    </row>
    <row r="267" spans="1:7" x14ac:dyDescent="0.25">
      <c r="A267" s="8">
        <v>42754.077326388891</v>
      </c>
      <c r="B267" t="s">
        <v>336</v>
      </c>
      <c r="C267" t="s">
        <v>353</v>
      </c>
      <c r="D267" s="157">
        <v>2450000</v>
      </c>
      <c r="E267" t="s">
        <v>349</v>
      </c>
      <c r="F267" s="21" t="s">
        <v>350</v>
      </c>
      <c r="G267" s="8" t="str">
        <f t="shared" si="4"/>
        <v>NELSON ARIANE</v>
      </c>
    </row>
    <row r="268" spans="1:7" x14ac:dyDescent="0.25">
      <c r="A268" s="8">
        <v>42754.08556712963</v>
      </c>
      <c r="B268" t="s">
        <v>314</v>
      </c>
      <c r="C268" t="s">
        <v>363</v>
      </c>
      <c r="D268" s="157">
        <v>2270000</v>
      </c>
      <c r="E268" t="s">
        <v>319</v>
      </c>
      <c r="F268" s="21" t="s">
        <v>320</v>
      </c>
      <c r="G268" s="8" t="str">
        <f t="shared" si="4"/>
        <v>BROWN JACOB</v>
      </c>
    </row>
    <row r="269" spans="1:7" x14ac:dyDescent="0.25">
      <c r="A269" s="8">
        <v>42754.092013888891</v>
      </c>
      <c r="B269" t="s">
        <v>261</v>
      </c>
      <c r="C269" t="s">
        <v>352</v>
      </c>
      <c r="D269" s="157">
        <v>2540000</v>
      </c>
      <c r="E269" t="s">
        <v>269</v>
      </c>
      <c r="F269" s="21" t="s">
        <v>270</v>
      </c>
      <c r="G269" s="8" t="str">
        <f t="shared" si="4"/>
        <v>MCREYNOLDS KYLE</v>
      </c>
    </row>
    <row r="270" spans="1:7" x14ac:dyDescent="0.25">
      <c r="A270" s="8">
        <v>42754.093356481484</v>
      </c>
      <c r="B270" t="s">
        <v>267</v>
      </c>
      <c r="C270" t="s">
        <v>364</v>
      </c>
      <c r="D270" s="157">
        <v>1810000</v>
      </c>
      <c r="E270" t="s">
        <v>223</v>
      </c>
      <c r="F270" s="21" t="s">
        <v>210</v>
      </c>
      <c r="G270" s="8" t="str">
        <f t="shared" si="4"/>
        <v>NEWELL JAMES</v>
      </c>
    </row>
    <row r="271" spans="1:7" x14ac:dyDescent="0.25">
      <c r="A271" s="8">
        <v>42754.098680555559</v>
      </c>
      <c r="B271" t="s">
        <v>359</v>
      </c>
      <c r="C271" t="s">
        <v>355</v>
      </c>
      <c r="D271" s="157">
        <v>2670000</v>
      </c>
      <c r="E271" t="s">
        <v>356</v>
      </c>
      <c r="F271" s="21" t="s">
        <v>357</v>
      </c>
      <c r="G271" s="8" t="str">
        <f t="shared" si="4"/>
        <v>COMELLA JUSTIN</v>
      </c>
    </row>
    <row r="272" spans="1:7" x14ac:dyDescent="0.25">
      <c r="A272" s="8">
        <v>42754.108900462961</v>
      </c>
      <c r="B272" t="s">
        <v>248</v>
      </c>
      <c r="C272" t="s">
        <v>348</v>
      </c>
      <c r="D272" s="157">
        <v>2450000</v>
      </c>
      <c r="E272" t="s">
        <v>349</v>
      </c>
      <c r="F272" s="21" t="s">
        <v>350</v>
      </c>
      <c r="G272" s="8" t="str">
        <f t="shared" si="4"/>
        <v>NELSON ARIANE</v>
      </c>
    </row>
    <row r="273" spans="1:7" x14ac:dyDescent="0.25">
      <c r="A273" s="8">
        <v>42754.109803240739</v>
      </c>
      <c r="B273" t="s">
        <v>262</v>
      </c>
      <c r="C273" t="s">
        <v>351</v>
      </c>
      <c r="D273" s="157">
        <v>2540000</v>
      </c>
      <c r="E273" t="s">
        <v>269</v>
      </c>
      <c r="F273" s="21" t="s">
        <v>270</v>
      </c>
      <c r="G273" s="8" t="str">
        <f t="shared" si="4"/>
        <v>MCREYNOLDS KYLE</v>
      </c>
    </row>
    <row r="274" spans="1:7" x14ac:dyDescent="0.25">
      <c r="F274" s="21">
        <f t="shared" ref="F274:F281" si="5">B274</f>
        <v>0</v>
      </c>
      <c r="G274" s="8" t="str">
        <f t="shared" si="4"/>
        <v xml:space="preserve"> 0</v>
      </c>
    </row>
    <row r="275" spans="1:7" x14ac:dyDescent="0.25">
      <c r="F275" s="21">
        <f t="shared" si="5"/>
        <v>0</v>
      </c>
      <c r="G275" s="8" t="str">
        <f t="shared" si="4"/>
        <v xml:space="preserve"> 0</v>
      </c>
    </row>
    <row r="276" spans="1:7" x14ac:dyDescent="0.25">
      <c r="F276" s="21">
        <f t="shared" si="5"/>
        <v>0</v>
      </c>
      <c r="G276" s="8" t="str">
        <f t="shared" si="4"/>
        <v xml:space="preserve"> 0</v>
      </c>
    </row>
    <row r="277" spans="1:7" x14ac:dyDescent="0.25">
      <c r="F277" s="21">
        <f t="shared" si="5"/>
        <v>0</v>
      </c>
      <c r="G277" s="8" t="str">
        <f t="shared" si="4"/>
        <v xml:space="preserve"> 0</v>
      </c>
    </row>
    <row r="278" spans="1:7" x14ac:dyDescent="0.25">
      <c r="F278" s="21">
        <f t="shared" si="5"/>
        <v>0</v>
      </c>
      <c r="G278" s="8" t="str">
        <f t="shared" si="4"/>
        <v xml:space="preserve"> 0</v>
      </c>
    </row>
    <row r="279" spans="1:7" x14ac:dyDescent="0.25">
      <c r="F279" s="21">
        <f t="shared" si="5"/>
        <v>0</v>
      </c>
      <c r="G279" s="8" t="str">
        <f t="shared" si="4"/>
        <v xml:space="preserve"> 0</v>
      </c>
    </row>
    <row r="280" spans="1:7" x14ac:dyDescent="0.25">
      <c r="F280" s="21">
        <f t="shared" si="5"/>
        <v>0</v>
      </c>
      <c r="G280" s="8" t="str">
        <f t="shared" si="4"/>
        <v xml:space="preserve"> 0</v>
      </c>
    </row>
    <row r="281" spans="1:7" x14ac:dyDescent="0.25">
      <c r="F281" s="21">
        <f t="shared" si="5"/>
        <v>0</v>
      </c>
      <c r="G281" s="8" t="str">
        <f t="shared" si="4"/>
        <v xml:space="preserve"> 0</v>
      </c>
    </row>
    <row r="282" spans="1:7" x14ac:dyDescent="0.25">
      <c r="F282" s="21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1">
        <f t="shared" si="6"/>
        <v>0</v>
      </c>
      <c r="G283" s="8" t="str">
        <f t="shared" si="4"/>
        <v xml:space="preserve"> 0</v>
      </c>
    </row>
    <row r="284" spans="1:7" x14ac:dyDescent="0.25">
      <c r="F284" s="21">
        <f t="shared" si="6"/>
        <v>0</v>
      </c>
      <c r="G284" s="8" t="str">
        <f t="shared" si="4"/>
        <v xml:space="preserve"> 0</v>
      </c>
    </row>
    <row r="285" spans="1:7" x14ac:dyDescent="0.25">
      <c r="F285" s="21">
        <f t="shared" si="6"/>
        <v>0</v>
      </c>
      <c r="G285" s="8" t="str">
        <f t="shared" si="4"/>
        <v xml:space="preserve"> 0</v>
      </c>
    </row>
    <row r="286" spans="1:7" x14ac:dyDescent="0.25">
      <c r="F286" s="21">
        <f t="shared" si="6"/>
        <v>0</v>
      </c>
      <c r="G286" s="8" t="str">
        <f t="shared" si="4"/>
        <v xml:space="preserve"> 0</v>
      </c>
    </row>
    <row r="287" spans="1:7" x14ac:dyDescent="0.25">
      <c r="F287" s="21">
        <f t="shared" si="6"/>
        <v>0</v>
      </c>
      <c r="G287" s="8" t="str">
        <f t="shared" si="4"/>
        <v xml:space="preserve"> 0</v>
      </c>
    </row>
    <row r="288" spans="1:7" x14ac:dyDescent="0.25">
      <c r="F288" s="21">
        <f t="shared" si="6"/>
        <v>0</v>
      </c>
      <c r="G288" s="8" t="str">
        <f t="shared" si="4"/>
        <v xml:space="preserve"> 0</v>
      </c>
    </row>
    <row r="289" spans="6:7" x14ac:dyDescent="0.25">
      <c r="F289" s="21">
        <f t="shared" si="6"/>
        <v>0</v>
      </c>
      <c r="G289" s="8" t="str">
        <f t="shared" si="4"/>
        <v xml:space="preserve"> 0</v>
      </c>
    </row>
    <row r="290" spans="6:7" x14ac:dyDescent="0.25">
      <c r="F290" s="21">
        <f t="shared" si="6"/>
        <v>0</v>
      </c>
      <c r="G290" s="8" t="str">
        <f t="shared" si="4"/>
        <v xml:space="preserve"> 0</v>
      </c>
    </row>
    <row r="291" spans="6:7" x14ac:dyDescent="0.25">
      <c r="F291" s="21">
        <f t="shared" si="6"/>
        <v>0</v>
      </c>
      <c r="G291" s="8" t="str">
        <f t="shared" si="4"/>
        <v xml:space="preserve"> 0</v>
      </c>
    </row>
    <row r="292" spans="6:7" x14ac:dyDescent="0.25">
      <c r="F292" s="21">
        <f t="shared" si="6"/>
        <v>0</v>
      </c>
      <c r="G292" s="8" t="str">
        <f t="shared" si="4"/>
        <v xml:space="preserve"> 0</v>
      </c>
    </row>
    <row r="293" spans="6:7" x14ac:dyDescent="0.25">
      <c r="F293" s="21">
        <f t="shared" si="6"/>
        <v>0</v>
      </c>
      <c r="G293" s="8" t="str">
        <f t="shared" si="4"/>
        <v xml:space="preserve"> 0</v>
      </c>
    </row>
    <row r="294" spans="6:7" x14ac:dyDescent="0.25">
      <c r="F294" s="21">
        <f t="shared" si="6"/>
        <v>0</v>
      </c>
      <c r="G294" s="8" t="str">
        <f t="shared" si="4"/>
        <v xml:space="preserve"> 0</v>
      </c>
    </row>
    <row r="295" spans="6:7" x14ac:dyDescent="0.25">
      <c r="F295" s="21">
        <f t="shared" si="6"/>
        <v>0</v>
      </c>
      <c r="G295" s="8" t="str">
        <f t="shared" si="4"/>
        <v xml:space="preserve"> 0</v>
      </c>
    </row>
    <row r="296" spans="6:7" x14ac:dyDescent="0.25">
      <c r="F296" s="21">
        <f t="shared" si="6"/>
        <v>0</v>
      </c>
      <c r="G296" s="8" t="str">
        <f t="shared" si="4"/>
        <v xml:space="preserve"> 0</v>
      </c>
    </row>
    <row r="297" spans="6:7" x14ac:dyDescent="0.25">
      <c r="F297" s="21">
        <f t="shared" si="6"/>
        <v>0</v>
      </c>
      <c r="G297" s="8" t="str">
        <f t="shared" si="4"/>
        <v xml:space="preserve"> 0</v>
      </c>
    </row>
    <row r="298" spans="6:7" x14ac:dyDescent="0.25">
      <c r="F298" s="21">
        <f t="shared" si="6"/>
        <v>0</v>
      </c>
      <c r="G298" s="8" t="str">
        <f t="shared" si="4"/>
        <v xml:space="preserve"> 0</v>
      </c>
    </row>
    <row r="299" spans="6:7" x14ac:dyDescent="0.25">
      <c r="F299" s="21">
        <f t="shared" si="6"/>
        <v>0</v>
      </c>
      <c r="G299" s="8" t="str">
        <f t="shared" si="4"/>
        <v xml:space="preserve"> 0</v>
      </c>
    </row>
    <row r="300" spans="6:7" x14ac:dyDescent="0.25">
      <c r="F300" s="21">
        <f t="shared" si="6"/>
        <v>0</v>
      </c>
      <c r="G300" s="8" t="str">
        <f t="shared" si="4"/>
        <v xml:space="preserve"> 0</v>
      </c>
    </row>
    <row r="301" spans="6:7" x14ac:dyDescent="0.25">
      <c r="F301" s="21">
        <f t="shared" si="6"/>
        <v>0</v>
      </c>
      <c r="G301" s="8" t="str">
        <f t="shared" si="4"/>
        <v xml:space="preserve"> 0</v>
      </c>
    </row>
    <row r="302" spans="6:7" x14ac:dyDescent="0.25">
      <c r="F302" s="21">
        <f t="shared" si="6"/>
        <v>0</v>
      </c>
      <c r="G302" s="8" t="str">
        <f t="shared" si="4"/>
        <v xml:space="preserve"> 0</v>
      </c>
    </row>
    <row r="303" spans="6:7" x14ac:dyDescent="0.25">
      <c r="F303" s="21">
        <f t="shared" si="6"/>
        <v>0</v>
      </c>
      <c r="G303" s="8" t="str">
        <f t="shared" si="4"/>
        <v xml:space="preserve"> 0</v>
      </c>
    </row>
    <row r="304" spans="6:7" x14ac:dyDescent="0.25">
      <c r="F304" s="21">
        <f t="shared" si="6"/>
        <v>0</v>
      </c>
      <c r="G304" s="8" t="str">
        <f t="shared" si="4"/>
        <v xml:space="preserve"> 0</v>
      </c>
    </row>
    <row r="305" spans="6:7" x14ac:dyDescent="0.25">
      <c r="F305" s="21">
        <f t="shared" si="6"/>
        <v>0</v>
      </c>
      <c r="G305" s="8" t="str">
        <f t="shared" si="4"/>
        <v xml:space="preserve"> 0</v>
      </c>
    </row>
    <row r="306" spans="6:7" x14ac:dyDescent="0.25">
      <c r="F306" s="21">
        <f t="shared" si="6"/>
        <v>0</v>
      </c>
      <c r="G306" s="8" t="str">
        <f t="shared" si="4"/>
        <v xml:space="preserve"> 0</v>
      </c>
    </row>
    <row r="307" spans="6:7" x14ac:dyDescent="0.25">
      <c r="F307" s="21">
        <f t="shared" si="6"/>
        <v>0</v>
      </c>
      <c r="G307" s="8" t="str">
        <f t="shared" si="4"/>
        <v xml:space="preserve"> 0</v>
      </c>
    </row>
    <row r="308" spans="6:7" x14ac:dyDescent="0.25">
      <c r="F308" s="21">
        <f t="shared" si="6"/>
        <v>0</v>
      </c>
      <c r="G308" s="8" t="str">
        <f t="shared" si="4"/>
        <v xml:space="preserve"> 0</v>
      </c>
    </row>
    <row r="309" spans="6:7" x14ac:dyDescent="0.25">
      <c r="F309" s="21">
        <f t="shared" si="6"/>
        <v>0</v>
      </c>
      <c r="G309" s="8" t="str">
        <f t="shared" si="4"/>
        <v xml:space="preserve"> 0</v>
      </c>
    </row>
    <row r="310" spans="6:7" x14ac:dyDescent="0.25">
      <c r="F310" s="21">
        <f t="shared" si="6"/>
        <v>0</v>
      </c>
      <c r="G310" s="8" t="str">
        <f t="shared" si="4"/>
        <v xml:space="preserve"> 0</v>
      </c>
    </row>
    <row r="311" spans="6:7" x14ac:dyDescent="0.25">
      <c r="F311" s="21">
        <f t="shared" si="6"/>
        <v>0</v>
      </c>
      <c r="G311" s="8" t="str">
        <f t="shared" si="4"/>
        <v xml:space="preserve"> 0</v>
      </c>
    </row>
    <row r="312" spans="6:7" x14ac:dyDescent="0.25">
      <c r="F312" s="21">
        <f t="shared" si="6"/>
        <v>0</v>
      </c>
      <c r="G312" s="8" t="str">
        <f t="shared" si="4"/>
        <v xml:space="preserve"> 0</v>
      </c>
    </row>
    <row r="313" spans="6:7" x14ac:dyDescent="0.25">
      <c r="F313" s="21">
        <f t="shared" si="6"/>
        <v>0</v>
      </c>
      <c r="G313" s="8" t="str">
        <f t="shared" si="4"/>
        <v xml:space="preserve"> 0</v>
      </c>
    </row>
    <row r="314" spans="6:7" x14ac:dyDescent="0.25">
      <c r="F314" s="21">
        <f t="shared" si="6"/>
        <v>0</v>
      </c>
      <c r="G314" s="8" t="str">
        <f t="shared" si="4"/>
        <v xml:space="preserve"> 0</v>
      </c>
    </row>
    <row r="315" spans="6:7" x14ac:dyDescent="0.25">
      <c r="F315" s="21">
        <f t="shared" si="6"/>
        <v>0</v>
      </c>
      <c r="G315" s="8" t="str">
        <f t="shared" si="4"/>
        <v xml:space="preserve"> 0</v>
      </c>
    </row>
    <row r="316" spans="6:7" x14ac:dyDescent="0.25">
      <c r="F316" s="21">
        <f t="shared" si="6"/>
        <v>0</v>
      </c>
      <c r="G316" s="8" t="str">
        <f t="shared" si="4"/>
        <v xml:space="preserve"> 0</v>
      </c>
    </row>
    <row r="317" spans="6:7" x14ac:dyDescent="0.25">
      <c r="F317" s="21">
        <f t="shared" si="6"/>
        <v>0</v>
      </c>
      <c r="G317" s="8" t="str">
        <f t="shared" si="4"/>
        <v xml:space="preserve"> 0</v>
      </c>
    </row>
    <row r="318" spans="6:7" x14ac:dyDescent="0.25">
      <c r="F318" s="21">
        <f t="shared" si="6"/>
        <v>0</v>
      </c>
      <c r="G318" s="8" t="str">
        <f t="shared" si="4"/>
        <v xml:space="preserve"> 0</v>
      </c>
    </row>
    <row r="319" spans="6:7" x14ac:dyDescent="0.25">
      <c r="F319" s="21">
        <f t="shared" si="6"/>
        <v>0</v>
      </c>
      <c r="G319" s="8" t="str">
        <f t="shared" si="4"/>
        <v xml:space="preserve"> 0</v>
      </c>
    </row>
    <row r="320" spans="6:7" x14ac:dyDescent="0.25">
      <c r="F320" s="21">
        <f t="shared" si="6"/>
        <v>0</v>
      </c>
      <c r="G320" s="8" t="str">
        <f t="shared" si="4"/>
        <v xml:space="preserve"> 0</v>
      </c>
    </row>
    <row r="321" spans="6:7" x14ac:dyDescent="0.25">
      <c r="F321" s="21">
        <f t="shared" si="6"/>
        <v>0</v>
      </c>
      <c r="G321" s="8" t="str">
        <f t="shared" si="4"/>
        <v xml:space="preserve"> 0</v>
      </c>
    </row>
    <row r="322" spans="6:7" x14ac:dyDescent="0.25">
      <c r="F322" s="21">
        <f t="shared" si="6"/>
        <v>0</v>
      </c>
      <c r="G322" s="8" t="str">
        <f t="shared" si="4"/>
        <v xml:space="preserve"> 0</v>
      </c>
    </row>
    <row r="323" spans="6:7" x14ac:dyDescent="0.25">
      <c r="F323" s="21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1">
        <f t="shared" si="6"/>
        <v>0</v>
      </c>
      <c r="G324" s="8" t="str">
        <f t="shared" si="7"/>
        <v xml:space="preserve"> 0</v>
      </c>
    </row>
    <row r="325" spans="6:7" x14ac:dyDescent="0.25">
      <c r="F325" s="21">
        <f t="shared" si="6"/>
        <v>0</v>
      </c>
      <c r="G325" s="8" t="str">
        <f t="shared" si="7"/>
        <v xml:space="preserve"> 0</v>
      </c>
    </row>
    <row r="326" spans="6:7" x14ac:dyDescent="0.25">
      <c r="F326" s="21">
        <f t="shared" si="6"/>
        <v>0</v>
      </c>
      <c r="G326" s="8" t="str">
        <f t="shared" si="7"/>
        <v xml:space="preserve"> 0</v>
      </c>
    </row>
    <row r="327" spans="6:7" x14ac:dyDescent="0.25">
      <c r="F327" s="21">
        <f t="shared" si="6"/>
        <v>0</v>
      </c>
      <c r="G327" s="8" t="str">
        <f t="shared" si="7"/>
        <v xml:space="preserve"> 0</v>
      </c>
    </row>
    <row r="328" spans="6:7" x14ac:dyDescent="0.25">
      <c r="F328" s="21">
        <f t="shared" si="6"/>
        <v>0</v>
      </c>
      <c r="G328" s="8" t="str">
        <f t="shared" si="7"/>
        <v xml:space="preserve"> 0</v>
      </c>
    </row>
    <row r="329" spans="6:7" x14ac:dyDescent="0.25">
      <c r="F329" s="21">
        <f t="shared" si="6"/>
        <v>0</v>
      </c>
      <c r="G329" s="8" t="str">
        <f t="shared" si="7"/>
        <v xml:space="preserve"> 0</v>
      </c>
    </row>
    <row r="330" spans="6:7" x14ac:dyDescent="0.25">
      <c r="F330" s="21">
        <f t="shared" si="6"/>
        <v>0</v>
      </c>
      <c r="G330" s="8" t="str">
        <f t="shared" si="7"/>
        <v xml:space="preserve"> 0</v>
      </c>
    </row>
    <row r="331" spans="6:7" x14ac:dyDescent="0.25">
      <c r="F331" s="21">
        <f t="shared" si="6"/>
        <v>0</v>
      </c>
      <c r="G331" s="8" t="str">
        <f t="shared" si="7"/>
        <v xml:space="preserve"> 0</v>
      </c>
    </row>
    <row r="332" spans="6:7" x14ac:dyDescent="0.25">
      <c r="F332" s="21">
        <f t="shared" si="6"/>
        <v>0</v>
      </c>
      <c r="G332" s="8" t="str">
        <f t="shared" si="7"/>
        <v xml:space="preserve"> 0</v>
      </c>
    </row>
    <row r="333" spans="6:7" x14ac:dyDescent="0.25">
      <c r="F333" s="21">
        <f t="shared" si="6"/>
        <v>0</v>
      </c>
      <c r="G333" s="8" t="str">
        <f t="shared" si="7"/>
        <v xml:space="preserve"> 0</v>
      </c>
    </row>
    <row r="334" spans="6:7" x14ac:dyDescent="0.25">
      <c r="F334" s="21">
        <f t="shared" si="6"/>
        <v>0</v>
      </c>
      <c r="G334" s="8" t="str">
        <f t="shared" si="7"/>
        <v xml:space="preserve"> 0</v>
      </c>
    </row>
    <row r="335" spans="6:7" x14ac:dyDescent="0.25">
      <c r="F335" s="21">
        <f t="shared" si="6"/>
        <v>0</v>
      </c>
      <c r="G335" s="8" t="str">
        <f t="shared" si="7"/>
        <v xml:space="preserve"> 0</v>
      </c>
    </row>
    <row r="336" spans="6:7" x14ac:dyDescent="0.25">
      <c r="F336" s="21">
        <f t="shared" si="6"/>
        <v>0</v>
      </c>
      <c r="G336" s="8" t="str">
        <f t="shared" si="7"/>
        <v xml:space="preserve"> 0</v>
      </c>
    </row>
    <row r="337" spans="6:7" x14ac:dyDescent="0.25">
      <c r="F337" s="21">
        <f t="shared" si="6"/>
        <v>0</v>
      </c>
      <c r="G337" s="8" t="str">
        <f t="shared" si="7"/>
        <v xml:space="preserve"> 0</v>
      </c>
    </row>
    <row r="338" spans="6:7" x14ac:dyDescent="0.25">
      <c r="F338" s="21">
        <f t="shared" si="6"/>
        <v>0</v>
      </c>
      <c r="G338" s="8" t="str">
        <f t="shared" si="7"/>
        <v xml:space="preserve"> 0</v>
      </c>
    </row>
    <row r="339" spans="6:7" x14ac:dyDescent="0.25">
      <c r="F339" s="21">
        <f t="shared" si="6"/>
        <v>0</v>
      </c>
      <c r="G339" s="8" t="str">
        <f t="shared" si="7"/>
        <v xml:space="preserve"> 0</v>
      </c>
    </row>
    <row r="340" spans="6:7" x14ac:dyDescent="0.25">
      <c r="F340" s="21">
        <f t="shared" si="6"/>
        <v>0</v>
      </c>
      <c r="G340" s="8" t="str">
        <f t="shared" si="7"/>
        <v xml:space="preserve"> 0</v>
      </c>
    </row>
    <row r="341" spans="6:7" x14ac:dyDescent="0.25">
      <c r="F341" s="21">
        <f t="shared" si="6"/>
        <v>0</v>
      </c>
      <c r="G341" s="8" t="str">
        <f t="shared" si="7"/>
        <v xml:space="preserve"> 0</v>
      </c>
    </row>
    <row r="342" spans="6:7" x14ac:dyDescent="0.25">
      <c r="F342" s="21">
        <f t="shared" si="6"/>
        <v>0</v>
      </c>
      <c r="G342" s="8" t="str">
        <f t="shared" si="7"/>
        <v xml:space="preserve"> 0</v>
      </c>
    </row>
    <row r="343" spans="6:7" x14ac:dyDescent="0.25">
      <c r="F343" s="21">
        <f t="shared" si="6"/>
        <v>0</v>
      </c>
      <c r="G343" s="8" t="str">
        <f t="shared" si="7"/>
        <v xml:space="preserve"> 0</v>
      </c>
    </row>
    <row r="344" spans="6:7" x14ac:dyDescent="0.25">
      <c r="F344" s="21">
        <f t="shared" si="6"/>
        <v>0</v>
      </c>
      <c r="G344" s="8" t="str">
        <f t="shared" si="7"/>
        <v xml:space="preserve"> 0</v>
      </c>
    </row>
    <row r="345" spans="6:7" x14ac:dyDescent="0.25">
      <c r="F345" s="21">
        <f t="shared" si="6"/>
        <v>0</v>
      </c>
      <c r="G345" s="8" t="str">
        <f t="shared" si="7"/>
        <v xml:space="preserve"> 0</v>
      </c>
    </row>
    <row r="346" spans="6:7" x14ac:dyDescent="0.25">
      <c r="F346" s="21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1">
        <f t="shared" si="8"/>
        <v>0</v>
      </c>
      <c r="G347" s="8" t="str">
        <f t="shared" si="7"/>
        <v xml:space="preserve"> 0</v>
      </c>
    </row>
    <row r="348" spans="6:7" x14ac:dyDescent="0.25">
      <c r="F348" s="21">
        <f t="shared" si="8"/>
        <v>0</v>
      </c>
      <c r="G348" s="8" t="str">
        <f t="shared" si="7"/>
        <v xml:space="preserve"> 0</v>
      </c>
    </row>
    <row r="349" spans="6:7" x14ac:dyDescent="0.25">
      <c r="F349" s="21">
        <f t="shared" si="8"/>
        <v>0</v>
      </c>
      <c r="G349" s="8" t="str">
        <f t="shared" si="7"/>
        <v xml:space="preserve"> 0</v>
      </c>
    </row>
    <row r="350" spans="6:7" x14ac:dyDescent="0.25">
      <c r="F350" s="21">
        <f t="shared" si="8"/>
        <v>0</v>
      </c>
      <c r="G350" s="8" t="str">
        <f t="shared" si="7"/>
        <v xml:space="preserve"> 0</v>
      </c>
    </row>
    <row r="351" spans="6:7" x14ac:dyDescent="0.25">
      <c r="F351" s="21">
        <f t="shared" si="8"/>
        <v>0</v>
      </c>
      <c r="G351" s="8" t="str">
        <f t="shared" si="7"/>
        <v xml:space="preserve"> 0</v>
      </c>
    </row>
    <row r="352" spans="6:7" x14ac:dyDescent="0.25">
      <c r="F352" s="21">
        <f t="shared" si="8"/>
        <v>0</v>
      </c>
      <c r="G352" s="8" t="str">
        <f t="shared" si="7"/>
        <v xml:space="preserve"> 0</v>
      </c>
    </row>
    <row r="353" spans="6:7" x14ac:dyDescent="0.25">
      <c r="F353" s="21">
        <f t="shared" si="8"/>
        <v>0</v>
      </c>
      <c r="G353" s="8" t="str">
        <f t="shared" si="7"/>
        <v xml:space="preserve"> 0</v>
      </c>
    </row>
    <row r="354" spans="6:7" x14ac:dyDescent="0.25">
      <c r="F354" s="21">
        <f t="shared" si="8"/>
        <v>0</v>
      </c>
      <c r="G354" s="8" t="str">
        <f t="shared" si="7"/>
        <v xml:space="preserve"> 0</v>
      </c>
    </row>
    <row r="355" spans="6:7" x14ac:dyDescent="0.25">
      <c r="F355" s="21">
        <f t="shared" si="8"/>
        <v>0</v>
      </c>
      <c r="G355" s="8" t="str">
        <f t="shared" si="7"/>
        <v xml:space="preserve"> 0</v>
      </c>
    </row>
    <row r="356" spans="6:7" x14ac:dyDescent="0.25">
      <c r="F356" s="21">
        <f t="shared" si="8"/>
        <v>0</v>
      </c>
      <c r="G356" s="8" t="str">
        <f t="shared" si="7"/>
        <v xml:space="preserve"> 0</v>
      </c>
    </row>
    <row r="357" spans="6:7" x14ac:dyDescent="0.25">
      <c r="F357" s="21">
        <f t="shared" si="8"/>
        <v>0</v>
      </c>
      <c r="G357" s="8" t="str">
        <f t="shared" si="7"/>
        <v xml:space="preserve"> 0</v>
      </c>
    </row>
    <row r="358" spans="6:7" x14ac:dyDescent="0.25">
      <c r="F358" s="21">
        <f t="shared" si="8"/>
        <v>0</v>
      </c>
      <c r="G358" s="8" t="str">
        <f t="shared" si="7"/>
        <v xml:space="preserve"> 0</v>
      </c>
    </row>
    <row r="359" spans="6:7" x14ac:dyDescent="0.25">
      <c r="F359" s="21">
        <f t="shared" si="8"/>
        <v>0</v>
      </c>
      <c r="G359" s="8" t="str">
        <f t="shared" si="7"/>
        <v xml:space="preserve"> 0</v>
      </c>
    </row>
    <row r="360" spans="6:7" x14ac:dyDescent="0.25">
      <c r="F360" s="21">
        <f t="shared" si="8"/>
        <v>0</v>
      </c>
      <c r="G360" s="8" t="str">
        <f t="shared" si="7"/>
        <v xml:space="preserve"> 0</v>
      </c>
    </row>
    <row r="361" spans="6:7" x14ac:dyDescent="0.25">
      <c r="F361" s="21">
        <f t="shared" si="8"/>
        <v>0</v>
      </c>
      <c r="G361" s="8" t="str">
        <f t="shared" si="7"/>
        <v xml:space="preserve"> 0</v>
      </c>
    </row>
    <row r="362" spans="6:7" x14ac:dyDescent="0.25">
      <c r="F362" s="21">
        <f t="shared" si="8"/>
        <v>0</v>
      </c>
      <c r="G362" s="8" t="str">
        <f t="shared" si="7"/>
        <v xml:space="preserve"> 0</v>
      </c>
    </row>
    <row r="363" spans="6:7" x14ac:dyDescent="0.25">
      <c r="F363" s="21">
        <f t="shared" si="8"/>
        <v>0</v>
      </c>
      <c r="G363" s="8" t="str">
        <f t="shared" si="7"/>
        <v xml:space="preserve"> 0</v>
      </c>
    </row>
    <row r="364" spans="6:7" x14ac:dyDescent="0.25">
      <c r="F364" s="21">
        <f t="shared" si="8"/>
        <v>0</v>
      </c>
      <c r="G364" s="8" t="str">
        <f t="shared" si="7"/>
        <v xml:space="preserve"> 0</v>
      </c>
    </row>
    <row r="365" spans="6:7" x14ac:dyDescent="0.25">
      <c r="F365" s="21">
        <f t="shared" si="8"/>
        <v>0</v>
      </c>
      <c r="G365" s="8" t="str">
        <f t="shared" si="7"/>
        <v xml:space="preserve"> 0</v>
      </c>
    </row>
    <row r="366" spans="6:7" x14ac:dyDescent="0.25">
      <c r="F366" s="21">
        <f t="shared" si="8"/>
        <v>0</v>
      </c>
      <c r="G366" s="8" t="str">
        <f t="shared" si="7"/>
        <v xml:space="preserve"> 0</v>
      </c>
    </row>
    <row r="367" spans="6:7" x14ac:dyDescent="0.25">
      <c r="F367" s="21">
        <f t="shared" si="8"/>
        <v>0</v>
      </c>
      <c r="G367" s="8" t="str">
        <f t="shared" si="7"/>
        <v xml:space="preserve"> 0</v>
      </c>
    </row>
    <row r="368" spans="6:7" x14ac:dyDescent="0.25">
      <c r="F368" s="21">
        <f t="shared" si="8"/>
        <v>0</v>
      </c>
      <c r="G368" s="8" t="str">
        <f t="shared" si="7"/>
        <v xml:space="preserve"> 0</v>
      </c>
    </row>
    <row r="369" spans="6:7" x14ac:dyDescent="0.25">
      <c r="F369" s="21">
        <f t="shared" si="8"/>
        <v>0</v>
      </c>
      <c r="G369" s="8" t="str">
        <f t="shared" si="7"/>
        <v xml:space="preserve"> 0</v>
      </c>
    </row>
    <row r="370" spans="6:7" x14ac:dyDescent="0.25">
      <c r="F370" s="21">
        <f t="shared" si="8"/>
        <v>0</v>
      </c>
      <c r="G370" s="8" t="str">
        <f t="shared" si="7"/>
        <v xml:space="preserve"> 0</v>
      </c>
    </row>
    <row r="371" spans="6:7" x14ac:dyDescent="0.25">
      <c r="F371" s="21">
        <f t="shared" si="8"/>
        <v>0</v>
      </c>
      <c r="G371" s="8" t="str">
        <f t="shared" si="7"/>
        <v xml:space="preserve"> 0</v>
      </c>
    </row>
    <row r="372" spans="6:7" x14ac:dyDescent="0.25">
      <c r="F372" s="21">
        <f t="shared" si="8"/>
        <v>0</v>
      </c>
      <c r="G372" s="8" t="str">
        <f t="shared" si="7"/>
        <v xml:space="preserve"> 0</v>
      </c>
    </row>
    <row r="373" spans="6:7" x14ac:dyDescent="0.25">
      <c r="F373" s="21">
        <f t="shared" si="8"/>
        <v>0</v>
      </c>
      <c r="G373" s="8" t="str">
        <f t="shared" si="7"/>
        <v xml:space="preserve"> 0</v>
      </c>
    </row>
    <row r="374" spans="6:7" x14ac:dyDescent="0.25">
      <c r="F374" s="21">
        <f t="shared" si="8"/>
        <v>0</v>
      </c>
      <c r="G374" s="8" t="str">
        <f t="shared" si="7"/>
        <v xml:space="preserve"> 0</v>
      </c>
    </row>
    <row r="375" spans="6:7" x14ac:dyDescent="0.25">
      <c r="F375" s="21">
        <f t="shared" si="8"/>
        <v>0</v>
      </c>
      <c r="G375" s="8" t="str">
        <f t="shared" si="7"/>
        <v xml:space="preserve"> 0</v>
      </c>
    </row>
    <row r="376" spans="6:7" x14ac:dyDescent="0.25">
      <c r="F376" s="21">
        <f t="shared" si="8"/>
        <v>0</v>
      </c>
      <c r="G376" s="8" t="str">
        <f t="shared" si="7"/>
        <v xml:space="preserve"> 0</v>
      </c>
    </row>
    <row r="377" spans="6:7" x14ac:dyDescent="0.25">
      <c r="F377" s="21">
        <f t="shared" si="8"/>
        <v>0</v>
      </c>
      <c r="G377" s="8" t="str">
        <f t="shared" si="7"/>
        <v xml:space="preserve"> 0</v>
      </c>
    </row>
    <row r="378" spans="6:7" x14ac:dyDescent="0.25">
      <c r="F378" s="21">
        <f t="shared" si="8"/>
        <v>0</v>
      </c>
      <c r="G378" s="8" t="str">
        <f t="shared" si="7"/>
        <v xml:space="preserve"> 0</v>
      </c>
    </row>
    <row r="379" spans="6:7" x14ac:dyDescent="0.25">
      <c r="F379" s="21">
        <f t="shared" si="8"/>
        <v>0</v>
      </c>
      <c r="G379" s="8" t="str">
        <f t="shared" si="7"/>
        <v xml:space="preserve"> 0</v>
      </c>
    </row>
    <row r="380" spans="6:7" x14ac:dyDescent="0.25">
      <c r="F380" s="21">
        <f t="shared" si="8"/>
        <v>0</v>
      </c>
      <c r="G380" s="8" t="str">
        <f t="shared" si="7"/>
        <v xml:space="preserve"> 0</v>
      </c>
    </row>
    <row r="381" spans="6:7" x14ac:dyDescent="0.25">
      <c r="F381" s="21">
        <f t="shared" si="8"/>
        <v>0</v>
      </c>
      <c r="G381" s="8" t="str">
        <f t="shared" si="7"/>
        <v xml:space="preserve"> 0</v>
      </c>
    </row>
    <row r="382" spans="6:7" x14ac:dyDescent="0.25">
      <c r="F382" s="21">
        <f t="shared" si="8"/>
        <v>0</v>
      </c>
      <c r="G382" s="8" t="str">
        <f t="shared" si="7"/>
        <v xml:space="preserve"> 0</v>
      </c>
    </row>
    <row r="383" spans="6:7" x14ac:dyDescent="0.25">
      <c r="F383" s="21">
        <f t="shared" si="8"/>
        <v>0</v>
      </c>
      <c r="G383" s="8" t="str">
        <f t="shared" si="7"/>
        <v xml:space="preserve"> 0</v>
      </c>
    </row>
    <row r="384" spans="6:7" x14ac:dyDescent="0.25">
      <c r="F384" s="21">
        <f t="shared" si="8"/>
        <v>0</v>
      </c>
      <c r="G384" s="8" t="str">
        <f t="shared" si="7"/>
        <v xml:space="preserve"> 0</v>
      </c>
    </row>
    <row r="385" spans="6:7" x14ac:dyDescent="0.25">
      <c r="F385" s="21">
        <f t="shared" si="8"/>
        <v>0</v>
      </c>
      <c r="G385" s="8" t="str">
        <f t="shared" si="7"/>
        <v xml:space="preserve"> 0</v>
      </c>
    </row>
    <row r="386" spans="6:7" x14ac:dyDescent="0.25">
      <c r="F386" s="21">
        <f t="shared" si="8"/>
        <v>0</v>
      </c>
      <c r="G386" s="8" t="str">
        <f t="shared" si="7"/>
        <v xml:space="preserve"> 0</v>
      </c>
    </row>
    <row r="387" spans="6:7" x14ac:dyDescent="0.25">
      <c r="F387" s="21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1">
        <f t="shared" si="8"/>
        <v>0</v>
      </c>
      <c r="G388" s="8" t="str">
        <f t="shared" si="9"/>
        <v xml:space="preserve"> 0</v>
      </c>
    </row>
    <row r="389" spans="6:7" x14ac:dyDescent="0.25">
      <c r="F389" s="21">
        <f t="shared" si="8"/>
        <v>0</v>
      </c>
      <c r="G389" s="8" t="str">
        <f t="shared" si="9"/>
        <v xml:space="preserve"> 0</v>
      </c>
    </row>
    <row r="390" spans="6:7" x14ac:dyDescent="0.25">
      <c r="F390" s="21">
        <f t="shared" si="8"/>
        <v>0</v>
      </c>
      <c r="G390" s="8" t="str">
        <f t="shared" si="9"/>
        <v xml:space="preserve"> 0</v>
      </c>
    </row>
    <row r="391" spans="6:7" x14ac:dyDescent="0.25">
      <c r="F391" s="21">
        <f t="shared" si="8"/>
        <v>0</v>
      </c>
      <c r="G391" s="8" t="str">
        <f t="shared" si="9"/>
        <v xml:space="preserve"> 0</v>
      </c>
    </row>
    <row r="392" spans="6:7" x14ac:dyDescent="0.25">
      <c r="F392" s="21">
        <f t="shared" si="8"/>
        <v>0</v>
      </c>
      <c r="G392" s="8" t="str">
        <f t="shared" si="9"/>
        <v xml:space="preserve"> 0</v>
      </c>
    </row>
    <row r="393" spans="6:7" x14ac:dyDescent="0.25">
      <c r="F393" s="21">
        <f t="shared" si="8"/>
        <v>0</v>
      </c>
      <c r="G393" s="8" t="str">
        <f t="shared" si="9"/>
        <v xml:space="preserve"> 0</v>
      </c>
    </row>
    <row r="394" spans="6:7" x14ac:dyDescent="0.25">
      <c r="F394" s="21">
        <f t="shared" si="8"/>
        <v>0</v>
      </c>
      <c r="G394" s="8" t="str">
        <f t="shared" si="9"/>
        <v xml:space="preserve"> 0</v>
      </c>
    </row>
    <row r="395" spans="6:7" x14ac:dyDescent="0.25">
      <c r="F395" s="21">
        <f t="shared" si="8"/>
        <v>0</v>
      </c>
      <c r="G395" s="8" t="str">
        <f t="shared" si="9"/>
        <v xml:space="preserve"> 0</v>
      </c>
    </row>
    <row r="396" spans="6:7" x14ac:dyDescent="0.25">
      <c r="F396" s="21">
        <f t="shared" si="8"/>
        <v>0</v>
      </c>
      <c r="G396" s="8" t="str">
        <f t="shared" si="9"/>
        <v xml:space="preserve"> 0</v>
      </c>
    </row>
    <row r="397" spans="6:7" x14ac:dyDescent="0.25">
      <c r="F397" s="21">
        <f t="shared" si="8"/>
        <v>0</v>
      </c>
      <c r="G397" s="8" t="str">
        <f t="shared" si="9"/>
        <v xml:space="preserve"> 0</v>
      </c>
    </row>
    <row r="398" spans="6:7" x14ac:dyDescent="0.25">
      <c r="F398" s="21">
        <f t="shared" si="8"/>
        <v>0</v>
      </c>
      <c r="G398" s="8" t="str">
        <f t="shared" si="9"/>
        <v xml:space="preserve"> 0</v>
      </c>
    </row>
    <row r="399" spans="6:7" x14ac:dyDescent="0.25">
      <c r="F399" s="21">
        <f t="shared" si="8"/>
        <v>0</v>
      </c>
      <c r="G399" s="8" t="str">
        <f t="shared" si="9"/>
        <v xml:space="preserve"> 0</v>
      </c>
    </row>
    <row r="400" spans="6:7" x14ac:dyDescent="0.25">
      <c r="F400" s="21">
        <f t="shared" si="8"/>
        <v>0</v>
      </c>
      <c r="G400" s="8" t="str">
        <f t="shared" si="9"/>
        <v xml:space="preserve"> 0</v>
      </c>
    </row>
    <row r="401" spans="6:7" x14ac:dyDescent="0.25">
      <c r="F401" s="21">
        <f t="shared" si="8"/>
        <v>0</v>
      </c>
      <c r="G401" s="8" t="str">
        <f t="shared" si="9"/>
        <v xml:space="preserve"> 0</v>
      </c>
    </row>
    <row r="402" spans="6:7" x14ac:dyDescent="0.25">
      <c r="F402" s="21">
        <f t="shared" si="8"/>
        <v>0</v>
      </c>
      <c r="G402" s="8" t="str">
        <f t="shared" si="9"/>
        <v xml:space="preserve"> 0</v>
      </c>
    </row>
    <row r="403" spans="6:7" x14ac:dyDescent="0.25">
      <c r="F403" s="21">
        <f t="shared" si="8"/>
        <v>0</v>
      </c>
      <c r="G403" s="8" t="str">
        <f t="shared" si="9"/>
        <v xml:space="preserve"> 0</v>
      </c>
    </row>
    <row r="404" spans="6:7" x14ac:dyDescent="0.25">
      <c r="F404" s="21">
        <f t="shared" si="8"/>
        <v>0</v>
      </c>
      <c r="G404" s="8" t="str">
        <f t="shared" si="9"/>
        <v xml:space="preserve"> 0</v>
      </c>
    </row>
    <row r="405" spans="6:7" x14ac:dyDescent="0.25">
      <c r="F405" s="21">
        <f t="shared" si="8"/>
        <v>0</v>
      </c>
      <c r="G405" s="8" t="str">
        <f t="shared" si="9"/>
        <v xml:space="preserve"> 0</v>
      </c>
    </row>
    <row r="406" spans="6:7" x14ac:dyDescent="0.25">
      <c r="F406" s="21">
        <f t="shared" si="8"/>
        <v>0</v>
      </c>
      <c r="G406" s="8" t="str">
        <f t="shared" si="9"/>
        <v xml:space="preserve"> 0</v>
      </c>
    </row>
    <row r="407" spans="6:7" x14ac:dyDescent="0.25">
      <c r="F407" s="21">
        <f t="shared" si="8"/>
        <v>0</v>
      </c>
      <c r="G407" s="8" t="str">
        <f t="shared" si="9"/>
        <v xml:space="preserve"> 0</v>
      </c>
    </row>
    <row r="408" spans="6:7" x14ac:dyDescent="0.25">
      <c r="F408" s="21">
        <f t="shared" si="8"/>
        <v>0</v>
      </c>
      <c r="G408" s="8" t="str">
        <f t="shared" si="9"/>
        <v xml:space="preserve"> 0</v>
      </c>
    </row>
    <row r="409" spans="6:7" x14ac:dyDescent="0.25">
      <c r="F409" s="21">
        <f t="shared" si="8"/>
        <v>0</v>
      </c>
      <c r="G409" s="8" t="str">
        <f t="shared" si="9"/>
        <v xml:space="preserve"> 0</v>
      </c>
    </row>
    <row r="410" spans="6:7" x14ac:dyDescent="0.25">
      <c r="F410" s="21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1">
        <f t="shared" si="10"/>
        <v>0</v>
      </c>
      <c r="G411" s="8" t="str">
        <f t="shared" si="9"/>
        <v xml:space="preserve"> 0</v>
      </c>
    </row>
    <row r="412" spans="6:7" x14ac:dyDescent="0.25">
      <c r="F412" s="21">
        <f t="shared" si="10"/>
        <v>0</v>
      </c>
      <c r="G412" s="8" t="str">
        <f t="shared" si="9"/>
        <v xml:space="preserve"> 0</v>
      </c>
    </row>
    <row r="413" spans="6:7" x14ac:dyDescent="0.25">
      <c r="F413" s="21">
        <f t="shared" si="10"/>
        <v>0</v>
      </c>
      <c r="G413" s="8" t="str">
        <f t="shared" si="9"/>
        <v xml:space="preserve"> 0</v>
      </c>
    </row>
    <row r="414" spans="6:7" x14ac:dyDescent="0.25">
      <c r="F414" s="21">
        <f t="shared" si="10"/>
        <v>0</v>
      </c>
      <c r="G414" s="8" t="str">
        <f t="shared" si="9"/>
        <v xml:space="preserve"> 0</v>
      </c>
    </row>
    <row r="415" spans="6:7" x14ac:dyDescent="0.25">
      <c r="F415" s="21">
        <f t="shared" si="10"/>
        <v>0</v>
      </c>
      <c r="G415" s="8" t="str">
        <f t="shared" si="9"/>
        <v xml:space="preserve"> 0</v>
      </c>
    </row>
    <row r="416" spans="6:7" x14ac:dyDescent="0.25">
      <c r="F416" s="21">
        <f t="shared" si="10"/>
        <v>0</v>
      </c>
      <c r="G416" s="8" t="str">
        <f t="shared" si="9"/>
        <v xml:space="preserve"> 0</v>
      </c>
    </row>
    <row r="417" spans="6:7" x14ac:dyDescent="0.25">
      <c r="F417" s="21">
        <f t="shared" si="10"/>
        <v>0</v>
      </c>
      <c r="G417" s="8" t="str">
        <f t="shared" si="9"/>
        <v xml:space="preserve"> 0</v>
      </c>
    </row>
    <row r="418" spans="6:7" x14ac:dyDescent="0.25">
      <c r="F418" s="21">
        <f t="shared" si="10"/>
        <v>0</v>
      </c>
      <c r="G418" s="8" t="str">
        <f t="shared" si="9"/>
        <v xml:space="preserve"> 0</v>
      </c>
    </row>
    <row r="419" spans="6:7" x14ac:dyDescent="0.25">
      <c r="F419" s="21">
        <f t="shared" si="10"/>
        <v>0</v>
      </c>
      <c r="G419" s="8" t="str">
        <f t="shared" si="9"/>
        <v xml:space="preserve"> 0</v>
      </c>
    </row>
    <row r="420" spans="6:7" x14ac:dyDescent="0.25">
      <c r="F420" s="21">
        <f t="shared" si="10"/>
        <v>0</v>
      </c>
      <c r="G420" s="8" t="str">
        <f t="shared" si="9"/>
        <v xml:space="preserve"> 0</v>
      </c>
    </row>
    <row r="421" spans="6:7" x14ac:dyDescent="0.25">
      <c r="F421" s="21">
        <f t="shared" si="10"/>
        <v>0</v>
      </c>
      <c r="G421" s="8" t="str">
        <f t="shared" si="9"/>
        <v xml:space="preserve"> 0</v>
      </c>
    </row>
    <row r="422" spans="6:7" x14ac:dyDescent="0.25">
      <c r="F422" s="21">
        <f t="shared" si="10"/>
        <v>0</v>
      </c>
      <c r="G422" s="8" t="str">
        <f t="shared" si="9"/>
        <v xml:space="preserve"> 0</v>
      </c>
    </row>
    <row r="423" spans="6:7" x14ac:dyDescent="0.25">
      <c r="F423" s="21">
        <f t="shared" si="10"/>
        <v>0</v>
      </c>
      <c r="G423" s="8" t="str">
        <f t="shared" si="9"/>
        <v xml:space="preserve"> 0</v>
      </c>
    </row>
    <row r="424" spans="6:7" x14ac:dyDescent="0.25">
      <c r="F424" s="21">
        <f t="shared" si="10"/>
        <v>0</v>
      </c>
      <c r="G424" s="8" t="str">
        <f t="shared" si="9"/>
        <v xml:space="preserve"> 0</v>
      </c>
    </row>
    <row r="425" spans="6:7" x14ac:dyDescent="0.25">
      <c r="F425" s="21">
        <f t="shared" si="10"/>
        <v>0</v>
      </c>
      <c r="G425" s="8" t="str">
        <f t="shared" si="9"/>
        <v xml:space="preserve"> 0</v>
      </c>
    </row>
    <row r="426" spans="6:7" x14ac:dyDescent="0.25">
      <c r="F426" s="21">
        <f t="shared" si="10"/>
        <v>0</v>
      </c>
      <c r="G426" s="8" t="str">
        <f t="shared" si="9"/>
        <v xml:space="preserve"> 0</v>
      </c>
    </row>
    <row r="427" spans="6:7" x14ac:dyDescent="0.25">
      <c r="F427" s="21">
        <f t="shared" si="10"/>
        <v>0</v>
      </c>
      <c r="G427" s="8" t="str">
        <f t="shared" si="9"/>
        <v xml:space="preserve"> 0</v>
      </c>
    </row>
    <row r="428" spans="6:7" x14ac:dyDescent="0.25">
      <c r="F428" s="21">
        <f t="shared" si="10"/>
        <v>0</v>
      </c>
      <c r="G428" s="8" t="str">
        <f t="shared" si="9"/>
        <v xml:space="preserve"> 0</v>
      </c>
    </row>
    <row r="429" spans="6:7" x14ac:dyDescent="0.25">
      <c r="F429" s="21">
        <f t="shared" si="10"/>
        <v>0</v>
      </c>
      <c r="G429" s="8" t="str">
        <f t="shared" si="9"/>
        <v xml:space="preserve"> 0</v>
      </c>
    </row>
    <row r="430" spans="6:7" x14ac:dyDescent="0.25">
      <c r="F430" s="21">
        <f t="shared" si="10"/>
        <v>0</v>
      </c>
      <c r="G430" s="8" t="str">
        <f t="shared" si="9"/>
        <v xml:space="preserve"> 0</v>
      </c>
    </row>
    <row r="431" spans="6:7" x14ac:dyDescent="0.25">
      <c r="F431" s="21">
        <f t="shared" si="10"/>
        <v>0</v>
      </c>
      <c r="G431" s="8" t="str">
        <f t="shared" si="9"/>
        <v xml:space="preserve"> 0</v>
      </c>
    </row>
    <row r="432" spans="6:7" x14ac:dyDescent="0.25">
      <c r="F432" s="21">
        <f t="shared" si="10"/>
        <v>0</v>
      </c>
      <c r="G432" s="8" t="str">
        <f t="shared" si="9"/>
        <v xml:space="preserve"> 0</v>
      </c>
    </row>
    <row r="433" spans="6:7" x14ac:dyDescent="0.25">
      <c r="F433" s="21">
        <f t="shared" si="10"/>
        <v>0</v>
      </c>
      <c r="G433" s="8" t="str">
        <f t="shared" si="9"/>
        <v xml:space="preserve"> 0</v>
      </c>
    </row>
    <row r="434" spans="6:7" x14ac:dyDescent="0.25">
      <c r="F434" s="21">
        <f t="shared" si="10"/>
        <v>0</v>
      </c>
      <c r="G434" s="8" t="str">
        <f t="shared" si="9"/>
        <v xml:space="preserve"> 0</v>
      </c>
    </row>
    <row r="435" spans="6:7" x14ac:dyDescent="0.25">
      <c r="F435" s="21">
        <f t="shared" si="10"/>
        <v>0</v>
      </c>
      <c r="G435" s="8" t="str">
        <f t="shared" si="9"/>
        <v xml:space="preserve"> 0</v>
      </c>
    </row>
    <row r="436" spans="6:7" x14ac:dyDescent="0.25">
      <c r="F436" s="21">
        <f t="shared" si="10"/>
        <v>0</v>
      </c>
      <c r="G436" s="8" t="str">
        <f t="shared" si="9"/>
        <v xml:space="preserve"> 0</v>
      </c>
    </row>
    <row r="437" spans="6:7" x14ac:dyDescent="0.25">
      <c r="F437" s="21">
        <f t="shared" si="10"/>
        <v>0</v>
      </c>
      <c r="G437" s="8" t="str">
        <f t="shared" si="9"/>
        <v xml:space="preserve"> 0</v>
      </c>
    </row>
    <row r="438" spans="6:7" x14ac:dyDescent="0.25">
      <c r="F438" s="21">
        <f t="shared" si="10"/>
        <v>0</v>
      </c>
      <c r="G438" s="8" t="str">
        <f t="shared" si="9"/>
        <v xml:space="preserve"> 0</v>
      </c>
    </row>
    <row r="439" spans="6:7" x14ac:dyDescent="0.25">
      <c r="F439" s="21">
        <f t="shared" si="10"/>
        <v>0</v>
      </c>
      <c r="G439" s="8" t="str">
        <f t="shared" si="9"/>
        <v xml:space="preserve"> 0</v>
      </c>
    </row>
    <row r="440" spans="6:7" x14ac:dyDescent="0.25">
      <c r="F440" s="21">
        <f t="shared" si="10"/>
        <v>0</v>
      </c>
      <c r="G440" s="8" t="str">
        <f t="shared" si="9"/>
        <v xml:space="preserve"> 0</v>
      </c>
    </row>
    <row r="441" spans="6:7" x14ac:dyDescent="0.25">
      <c r="F441" s="21">
        <f t="shared" si="10"/>
        <v>0</v>
      </c>
      <c r="G441" s="8" t="str">
        <f t="shared" si="9"/>
        <v xml:space="preserve"> 0</v>
      </c>
    </row>
    <row r="442" spans="6:7" x14ac:dyDescent="0.25">
      <c r="F442" s="21">
        <f t="shared" si="10"/>
        <v>0</v>
      </c>
      <c r="G442" s="8" t="str">
        <f t="shared" si="9"/>
        <v xml:space="preserve"> 0</v>
      </c>
    </row>
    <row r="443" spans="6:7" x14ac:dyDescent="0.25">
      <c r="F443" s="21">
        <f t="shared" si="10"/>
        <v>0</v>
      </c>
      <c r="G443" s="8" t="str">
        <f t="shared" si="9"/>
        <v xml:space="preserve"> 0</v>
      </c>
    </row>
    <row r="444" spans="6:7" x14ac:dyDescent="0.25">
      <c r="F444" s="21">
        <f t="shared" si="10"/>
        <v>0</v>
      </c>
      <c r="G444" s="8" t="str">
        <f t="shared" si="9"/>
        <v xml:space="preserve"> 0</v>
      </c>
    </row>
    <row r="445" spans="6:7" x14ac:dyDescent="0.25">
      <c r="F445" s="21">
        <f t="shared" si="10"/>
        <v>0</v>
      </c>
      <c r="G445" s="8" t="str">
        <f t="shared" si="9"/>
        <v xml:space="preserve"> 0</v>
      </c>
    </row>
    <row r="446" spans="6:7" x14ac:dyDescent="0.25">
      <c r="F446" s="21">
        <f t="shared" si="10"/>
        <v>0</v>
      </c>
      <c r="G446" s="8" t="str">
        <f t="shared" si="9"/>
        <v xml:space="preserve"> 0</v>
      </c>
    </row>
    <row r="447" spans="6:7" x14ac:dyDescent="0.25">
      <c r="F447" s="21">
        <f t="shared" si="10"/>
        <v>0</v>
      </c>
      <c r="G447" s="8" t="str">
        <f t="shared" si="9"/>
        <v xml:space="preserve"> 0</v>
      </c>
    </row>
    <row r="448" spans="6:7" x14ac:dyDescent="0.25">
      <c r="F448" s="21">
        <f t="shared" si="10"/>
        <v>0</v>
      </c>
      <c r="G448" s="8" t="str">
        <f t="shared" si="9"/>
        <v xml:space="preserve"> 0</v>
      </c>
    </row>
    <row r="449" spans="6:7" x14ac:dyDescent="0.25">
      <c r="F449" s="21">
        <f t="shared" si="10"/>
        <v>0</v>
      </c>
      <c r="G449" s="8" t="str">
        <f t="shared" si="9"/>
        <v xml:space="preserve"> 0</v>
      </c>
    </row>
    <row r="450" spans="6:7" x14ac:dyDescent="0.25">
      <c r="F450" s="21">
        <f t="shared" si="10"/>
        <v>0</v>
      </c>
      <c r="G450" s="8" t="str">
        <f t="shared" si="9"/>
        <v xml:space="preserve"> 0</v>
      </c>
    </row>
    <row r="451" spans="6:7" x14ac:dyDescent="0.25">
      <c r="F451" s="21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1">
        <f t="shared" si="10"/>
        <v>0</v>
      </c>
      <c r="G452" s="8" t="str">
        <f t="shared" si="11"/>
        <v xml:space="preserve"> 0</v>
      </c>
    </row>
    <row r="453" spans="6:7" x14ac:dyDescent="0.25">
      <c r="F453" s="21">
        <f t="shared" si="10"/>
        <v>0</v>
      </c>
      <c r="G453" s="8" t="str">
        <f t="shared" si="11"/>
        <v xml:space="preserve"> 0</v>
      </c>
    </row>
    <row r="454" spans="6:7" x14ac:dyDescent="0.25">
      <c r="F454" s="21">
        <f t="shared" si="10"/>
        <v>0</v>
      </c>
      <c r="G454" s="8" t="str">
        <f t="shared" si="11"/>
        <v xml:space="preserve"> 0</v>
      </c>
    </row>
    <row r="455" spans="6:7" x14ac:dyDescent="0.25">
      <c r="F455" s="21">
        <f t="shared" si="10"/>
        <v>0</v>
      </c>
      <c r="G455" s="8" t="str">
        <f t="shared" si="11"/>
        <v xml:space="preserve"> 0</v>
      </c>
    </row>
    <row r="456" spans="6:7" x14ac:dyDescent="0.25">
      <c r="F456" s="21">
        <f t="shared" si="10"/>
        <v>0</v>
      </c>
      <c r="G456" s="8" t="str">
        <f t="shared" si="11"/>
        <v xml:space="preserve"> 0</v>
      </c>
    </row>
    <row r="457" spans="6:7" x14ac:dyDescent="0.25">
      <c r="F457" s="21">
        <f t="shared" si="10"/>
        <v>0</v>
      </c>
      <c r="G457" s="8" t="str">
        <f t="shared" si="11"/>
        <v xml:space="preserve"> 0</v>
      </c>
    </row>
    <row r="458" spans="6:7" x14ac:dyDescent="0.25">
      <c r="F458" s="21">
        <f t="shared" si="10"/>
        <v>0</v>
      </c>
      <c r="G458" s="8" t="str">
        <f t="shared" si="11"/>
        <v xml:space="preserve"> 0</v>
      </c>
    </row>
    <row r="459" spans="6:7" x14ac:dyDescent="0.25">
      <c r="F459" s="21">
        <f t="shared" si="10"/>
        <v>0</v>
      </c>
      <c r="G459" s="8" t="str">
        <f t="shared" si="11"/>
        <v xml:space="preserve"> 0</v>
      </c>
    </row>
    <row r="460" spans="6:7" x14ac:dyDescent="0.25">
      <c r="F460" s="21">
        <f t="shared" si="10"/>
        <v>0</v>
      </c>
      <c r="G460" s="8" t="str">
        <f t="shared" si="11"/>
        <v xml:space="preserve"> 0</v>
      </c>
    </row>
    <row r="461" spans="6:7" x14ac:dyDescent="0.25">
      <c r="F461" s="21">
        <f t="shared" si="10"/>
        <v>0</v>
      </c>
      <c r="G461" s="8" t="str">
        <f t="shared" si="11"/>
        <v xml:space="preserve"> 0</v>
      </c>
    </row>
    <row r="462" spans="6:7" x14ac:dyDescent="0.25">
      <c r="F462" s="21">
        <f t="shared" si="10"/>
        <v>0</v>
      </c>
      <c r="G462" s="8" t="str">
        <f t="shared" si="11"/>
        <v xml:space="preserve"> 0</v>
      </c>
    </row>
    <row r="463" spans="6:7" x14ac:dyDescent="0.25">
      <c r="F463" s="21">
        <f t="shared" si="10"/>
        <v>0</v>
      </c>
      <c r="G463" s="8" t="str">
        <f t="shared" si="11"/>
        <v xml:space="preserve"> 0</v>
      </c>
    </row>
    <row r="464" spans="6:7" x14ac:dyDescent="0.25">
      <c r="F464" s="21">
        <f t="shared" si="10"/>
        <v>0</v>
      </c>
      <c r="G464" s="8" t="str">
        <f t="shared" si="11"/>
        <v xml:space="preserve"> 0</v>
      </c>
    </row>
    <row r="465" spans="6:7" x14ac:dyDescent="0.25">
      <c r="F465" s="21">
        <f t="shared" si="10"/>
        <v>0</v>
      </c>
      <c r="G465" s="8" t="str">
        <f t="shared" si="11"/>
        <v xml:space="preserve"> 0</v>
      </c>
    </row>
    <row r="466" spans="6:7" x14ac:dyDescent="0.25">
      <c r="F466" s="21">
        <f t="shared" si="10"/>
        <v>0</v>
      </c>
      <c r="G466" s="8" t="str">
        <f t="shared" si="11"/>
        <v xml:space="preserve"> 0</v>
      </c>
    </row>
    <row r="467" spans="6:7" x14ac:dyDescent="0.25">
      <c r="F467" s="21">
        <f t="shared" si="10"/>
        <v>0</v>
      </c>
      <c r="G467" s="8" t="str">
        <f t="shared" si="11"/>
        <v xml:space="preserve"> 0</v>
      </c>
    </row>
    <row r="468" spans="6:7" x14ac:dyDescent="0.25">
      <c r="F468" s="21">
        <f t="shared" si="10"/>
        <v>0</v>
      </c>
      <c r="G468" s="8" t="str">
        <f t="shared" si="11"/>
        <v xml:space="preserve"> 0</v>
      </c>
    </row>
    <row r="469" spans="6:7" x14ac:dyDescent="0.25">
      <c r="F469" s="21">
        <f t="shared" si="10"/>
        <v>0</v>
      </c>
      <c r="G469" s="8" t="str">
        <f t="shared" si="11"/>
        <v xml:space="preserve"> 0</v>
      </c>
    </row>
    <row r="470" spans="6:7" x14ac:dyDescent="0.25">
      <c r="F470" s="21">
        <f t="shared" si="10"/>
        <v>0</v>
      </c>
      <c r="G470" s="8" t="str">
        <f t="shared" si="11"/>
        <v xml:space="preserve"> 0</v>
      </c>
    </row>
    <row r="471" spans="6:7" x14ac:dyDescent="0.25">
      <c r="F471" s="21">
        <f t="shared" si="10"/>
        <v>0</v>
      </c>
      <c r="G471" s="8" t="str">
        <f t="shared" si="11"/>
        <v xml:space="preserve"> 0</v>
      </c>
    </row>
    <row r="472" spans="6:7" x14ac:dyDescent="0.25">
      <c r="F472" s="21">
        <f t="shared" si="10"/>
        <v>0</v>
      </c>
      <c r="G472" s="8" t="str">
        <f t="shared" si="11"/>
        <v xml:space="preserve"> 0</v>
      </c>
    </row>
    <row r="473" spans="6:7" x14ac:dyDescent="0.25">
      <c r="F473" s="21">
        <f t="shared" si="10"/>
        <v>0</v>
      </c>
      <c r="G473" s="8" t="str">
        <f t="shared" si="11"/>
        <v xml:space="preserve"> 0</v>
      </c>
    </row>
    <row r="474" spans="6:7" x14ac:dyDescent="0.25">
      <c r="F474" s="21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1">
        <f t="shared" si="12"/>
        <v>0</v>
      </c>
      <c r="G475" s="8" t="str">
        <f t="shared" si="11"/>
        <v xml:space="preserve"> 0</v>
      </c>
    </row>
    <row r="476" spans="6:7" x14ac:dyDescent="0.25">
      <c r="F476" s="21">
        <f t="shared" si="12"/>
        <v>0</v>
      </c>
      <c r="G476" s="8" t="str">
        <f t="shared" si="11"/>
        <v xml:space="preserve"> 0</v>
      </c>
    </row>
    <row r="477" spans="6:7" x14ac:dyDescent="0.25">
      <c r="F477" s="21">
        <f t="shared" si="12"/>
        <v>0</v>
      </c>
      <c r="G477" s="8" t="str">
        <f t="shared" si="11"/>
        <v xml:space="preserve"> 0</v>
      </c>
    </row>
    <row r="478" spans="6:7" x14ac:dyDescent="0.25">
      <c r="F478" s="21">
        <f t="shared" si="12"/>
        <v>0</v>
      </c>
      <c r="G478" s="8" t="str">
        <f t="shared" si="11"/>
        <v xml:space="preserve"> 0</v>
      </c>
    </row>
    <row r="479" spans="6:7" x14ac:dyDescent="0.25">
      <c r="F479" s="21">
        <f t="shared" si="12"/>
        <v>0</v>
      </c>
      <c r="G479" s="8" t="str">
        <f t="shared" si="11"/>
        <v xml:space="preserve"> 0</v>
      </c>
    </row>
    <row r="480" spans="6:7" x14ac:dyDescent="0.25">
      <c r="F480" s="21">
        <f t="shared" si="12"/>
        <v>0</v>
      </c>
      <c r="G480" s="8" t="str">
        <f t="shared" si="11"/>
        <v xml:space="preserve"> 0</v>
      </c>
    </row>
    <row r="481" spans="6:7" x14ac:dyDescent="0.25">
      <c r="F481" s="21">
        <f t="shared" si="12"/>
        <v>0</v>
      </c>
      <c r="G481" s="8" t="str">
        <f t="shared" si="11"/>
        <v xml:space="preserve"> 0</v>
      </c>
    </row>
    <row r="482" spans="6:7" x14ac:dyDescent="0.25">
      <c r="F482" s="21">
        <f t="shared" si="12"/>
        <v>0</v>
      </c>
      <c r="G482" s="8" t="str">
        <f t="shared" si="11"/>
        <v xml:space="preserve"> 0</v>
      </c>
    </row>
    <row r="483" spans="6:7" x14ac:dyDescent="0.25">
      <c r="F483" s="21">
        <f t="shared" si="12"/>
        <v>0</v>
      </c>
      <c r="G483" s="8" t="str">
        <f t="shared" si="11"/>
        <v xml:space="preserve"> 0</v>
      </c>
    </row>
    <row r="484" spans="6:7" x14ac:dyDescent="0.25">
      <c r="F484" s="21">
        <f t="shared" si="12"/>
        <v>0</v>
      </c>
      <c r="G484" s="8" t="str">
        <f t="shared" si="11"/>
        <v xml:space="preserve"> 0</v>
      </c>
    </row>
    <row r="485" spans="6:7" x14ac:dyDescent="0.25">
      <c r="F485" s="21">
        <f t="shared" si="12"/>
        <v>0</v>
      </c>
      <c r="G485" s="8" t="str">
        <f t="shared" si="11"/>
        <v xml:space="preserve"> 0</v>
      </c>
    </row>
    <row r="486" spans="6:7" x14ac:dyDescent="0.25">
      <c r="F486" s="21">
        <f t="shared" si="12"/>
        <v>0</v>
      </c>
      <c r="G486" s="8" t="str">
        <f t="shared" si="11"/>
        <v xml:space="preserve"> 0</v>
      </c>
    </row>
    <row r="487" spans="6:7" x14ac:dyDescent="0.25">
      <c r="F487" s="21">
        <f t="shared" si="12"/>
        <v>0</v>
      </c>
      <c r="G487" s="8" t="str">
        <f t="shared" si="11"/>
        <v xml:space="preserve"> 0</v>
      </c>
    </row>
    <row r="488" spans="6:7" x14ac:dyDescent="0.25">
      <c r="F488" s="21">
        <f t="shared" si="12"/>
        <v>0</v>
      </c>
      <c r="G488" s="8" t="str">
        <f t="shared" si="11"/>
        <v xml:space="preserve"> 0</v>
      </c>
    </row>
    <row r="489" spans="6:7" x14ac:dyDescent="0.25">
      <c r="F489" s="21">
        <f t="shared" si="12"/>
        <v>0</v>
      </c>
      <c r="G489" s="8" t="str">
        <f t="shared" si="11"/>
        <v xml:space="preserve"> 0</v>
      </c>
    </row>
    <row r="490" spans="6:7" x14ac:dyDescent="0.25">
      <c r="F490" s="21">
        <f t="shared" si="12"/>
        <v>0</v>
      </c>
      <c r="G490" s="8" t="str">
        <f t="shared" si="11"/>
        <v xml:space="preserve"> 0</v>
      </c>
    </row>
    <row r="491" spans="6:7" x14ac:dyDescent="0.25">
      <c r="F491" s="21">
        <f t="shared" si="12"/>
        <v>0</v>
      </c>
      <c r="G491" s="8" t="str">
        <f t="shared" si="11"/>
        <v xml:space="preserve"> 0</v>
      </c>
    </row>
    <row r="492" spans="6:7" x14ac:dyDescent="0.25">
      <c r="F492" s="21">
        <f t="shared" si="12"/>
        <v>0</v>
      </c>
      <c r="G492" s="8" t="str">
        <f t="shared" si="11"/>
        <v xml:space="preserve"> 0</v>
      </c>
    </row>
    <row r="493" spans="6:7" x14ac:dyDescent="0.25">
      <c r="F493" s="21">
        <f t="shared" si="12"/>
        <v>0</v>
      </c>
      <c r="G493" s="8" t="str">
        <f t="shared" si="11"/>
        <v xml:space="preserve"> 0</v>
      </c>
    </row>
    <row r="494" spans="6:7" x14ac:dyDescent="0.25">
      <c r="F494" s="21">
        <f t="shared" si="12"/>
        <v>0</v>
      </c>
      <c r="G494" s="8" t="str">
        <f t="shared" si="11"/>
        <v xml:space="preserve"> 0</v>
      </c>
    </row>
    <row r="495" spans="6:7" x14ac:dyDescent="0.25">
      <c r="F495" s="21">
        <f t="shared" si="12"/>
        <v>0</v>
      </c>
      <c r="G495" s="8" t="str">
        <f t="shared" si="11"/>
        <v xml:space="preserve"> 0</v>
      </c>
    </row>
    <row r="496" spans="6:7" x14ac:dyDescent="0.25">
      <c r="F496" s="21">
        <f t="shared" si="12"/>
        <v>0</v>
      </c>
      <c r="G496" s="8" t="str">
        <f t="shared" si="11"/>
        <v xml:space="preserve"> 0</v>
      </c>
    </row>
    <row r="497" spans="6:7" x14ac:dyDescent="0.25">
      <c r="F497" s="21">
        <f t="shared" si="12"/>
        <v>0</v>
      </c>
      <c r="G497" s="8" t="str">
        <f t="shared" si="11"/>
        <v xml:space="preserve"> 0</v>
      </c>
    </row>
    <row r="498" spans="6:7" x14ac:dyDescent="0.25">
      <c r="F498" s="21">
        <f t="shared" si="12"/>
        <v>0</v>
      </c>
      <c r="G498" s="8" t="str">
        <f t="shared" si="11"/>
        <v xml:space="preserve"> 0</v>
      </c>
    </row>
    <row r="499" spans="6:7" x14ac:dyDescent="0.25">
      <c r="F499" s="21">
        <f t="shared" si="12"/>
        <v>0</v>
      </c>
      <c r="G499" s="8" t="str">
        <f t="shared" si="11"/>
        <v xml:space="preserve"> 0</v>
      </c>
    </row>
    <row r="500" spans="6:7" x14ac:dyDescent="0.25">
      <c r="F500" s="21">
        <f t="shared" si="12"/>
        <v>0</v>
      </c>
      <c r="G500" s="8" t="str">
        <f t="shared" si="11"/>
        <v xml:space="preserve"> 0</v>
      </c>
    </row>
    <row r="501" spans="6:7" x14ac:dyDescent="0.25">
      <c r="F501" s="21">
        <f t="shared" si="12"/>
        <v>0</v>
      </c>
      <c r="G501" s="8" t="str">
        <f t="shared" si="11"/>
        <v xml:space="preserve"> 0</v>
      </c>
    </row>
    <row r="502" spans="6:7" x14ac:dyDescent="0.25">
      <c r="F502" s="21">
        <f t="shared" si="12"/>
        <v>0</v>
      </c>
      <c r="G502" s="8" t="str">
        <f t="shared" si="11"/>
        <v xml:space="preserve"> 0</v>
      </c>
    </row>
    <row r="503" spans="6:7" x14ac:dyDescent="0.25">
      <c r="F503" s="21">
        <f t="shared" si="12"/>
        <v>0</v>
      </c>
      <c r="G503" s="8" t="str">
        <f t="shared" si="11"/>
        <v xml:space="preserve"> 0</v>
      </c>
    </row>
    <row r="504" spans="6:7" x14ac:dyDescent="0.25">
      <c r="F504" s="21">
        <f t="shared" si="12"/>
        <v>0</v>
      </c>
      <c r="G504" s="8" t="str">
        <f t="shared" si="11"/>
        <v xml:space="preserve"> 0</v>
      </c>
    </row>
    <row r="505" spans="6:7" x14ac:dyDescent="0.25">
      <c r="F505" s="21">
        <f t="shared" si="12"/>
        <v>0</v>
      </c>
      <c r="G505" s="8" t="str">
        <f t="shared" si="11"/>
        <v xml:space="preserve"> 0</v>
      </c>
    </row>
    <row r="506" spans="6:7" x14ac:dyDescent="0.25">
      <c r="F506" s="21">
        <f t="shared" si="12"/>
        <v>0</v>
      </c>
      <c r="G506" s="8" t="str">
        <f t="shared" si="11"/>
        <v xml:space="preserve"> 0</v>
      </c>
    </row>
    <row r="507" spans="6:7" x14ac:dyDescent="0.25">
      <c r="F507" s="21">
        <f t="shared" si="12"/>
        <v>0</v>
      </c>
      <c r="G507" s="8" t="str">
        <f t="shared" si="11"/>
        <v xml:space="preserve"> 0</v>
      </c>
    </row>
    <row r="508" spans="6:7" x14ac:dyDescent="0.25">
      <c r="F508" s="21">
        <f t="shared" si="12"/>
        <v>0</v>
      </c>
      <c r="G508" s="8" t="str">
        <f t="shared" si="11"/>
        <v xml:space="preserve"> 0</v>
      </c>
    </row>
    <row r="509" spans="6:7" x14ac:dyDescent="0.25">
      <c r="F509" s="21">
        <f t="shared" si="12"/>
        <v>0</v>
      </c>
      <c r="G509" s="8" t="str">
        <f t="shared" si="11"/>
        <v xml:space="preserve"> 0</v>
      </c>
    </row>
    <row r="510" spans="6:7" x14ac:dyDescent="0.25">
      <c r="F510" s="21">
        <f t="shared" si="12"/>
        <v>0</v>
      </c>
      <c r="G510" s="8" t="str">
        <f t="shared" si="11"/>
        <v xml:space="preserve"> 0</v>
      </c>
    </row>
    <row r="511" spans="6:7" x14ac:dyDescent="0.25">
      <c r="F511" s="21">
        <f t="shared" si="12"/>
        <v>0</v>
      </c>
      <c r="G511" s="8" t="str">
        <f t="shared" si="11"/>
        <v xml:space="preserve"> 0</v>
      </c>
    </row>
    <row r="512" spans="6:7" x14ac:dyDescent="0.25">
      <c r="F512" s="21">
        <f t="shared" si="12"/>
        <v>0</v>
      </c>
      <c r="G512" s="8" t="str">
        <f t="shared" si="11"/>
        <v xml:space="preserve"> 0</v>
      </c>
    </row>
    <row r="513" spans="6:7" x14ac:dyDescent="0.25">
      <c r="F513" s="21">
        <f t="shared" si="12"/>
        <v>0</v>
      </c>
      <c r="G513" s="8" t="str">
        <f t="shared" si="11"/>
        <v xml:space="preserve"> 0</v>
      </c>
    </row>
    <row r="514" spans="6:7" x14ac:dyDescent="0.25">
      <c r="F514" s="21">
        <f t="shared" si="12"/>
        <v>0</v>
      </c>
      <c r="G514" s="8" t="str">
        <f t="shared" si="11"/>
        <v xml:space="preserve"> 0</v>
      </c>
    </row>
    <row r="515" spans="6:7" x14ac:dyDescent="0.25">
      <c r="F515" s="21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1">
        <f t="shared" si="12"/>
        <v>0</v>
      </c>
      <c r="G516" s="8" t="str">
        <f t="shared" si="13"/>
        <v xml:space="preserve"> 0</v>
      </c>
    </row>
    <row r="517" spans="6:7" x14ac:dyDescent="0.25">
      <c r="F517" s="21">
        <f t="shared" si="12"/>
        <v>0</v>
      </c>
      <c r="G517" s="8" t="str">
        <f t="shared" si="13"/>
        <v xml:space="preserve"> 0</v>
      </c>
    </row>
    <row r="518" spans="6:7" x14ac:dyDescent="0.25">
      <c r="F518" s="21">
        <f t="shared" si="12"/>
        <v>0</v>
      </c>
      <c r="G518" s="8" t="str">
        <f t="shared" si="13"/>
        <v xml:space="preserve"> 0</v>
      </c>
    </row>
    <row r="519" spans="6:7" x14ac:dyDescent="0.25">
      <c r="F519" s="21">
        <f t="shared" si="12"/>
        <v>0</v>
      </c>
      <c r="G519" s="8" t="str">
        <f t="shared" si="13"/>
        <v xml:space="preserve"> 0</v>
      </c>
    </row>
    <row r="520" spans="6:7" x14ac:dyDescent="0.25">
      <c r="F520" s="21">
        <f t="shared" si="12"/>
        <v>0</v>
      </c>
      <c r="G520" s="8" t="str">
        <f t="shared" si="13"/>
        <v xml:space="preserve"> 0</v>
      </c>
    </row>
    <row r="521" spans="6:7" x14ac:dyDescent="0.25">
      <c r="F521" s="21">
        <f t="shared" si="12"/>
        <v>0</v>
      </c>
      <c r="G521" s="8" t="str">
        <f t="shared" si="13"/>
        <v xml:space="preserve"> 0</v>
      </c>
    </row>
    <row r="522" spans="6:7" x14ac:dyDescent="0.25">
      <c r="F522" s="21">
        <f t="shared" si="12"/>
        <v>0</v>
      </c>
      <c r="G522" s="8" t="str">
        <f t="shared" si="13"/>
        <v xml:space="preserve"> 0</v>
      </c>
    </row>
    <row r="523" spans="6:7" x14ac:dyDescent="0.25">
      <c r="F523" s="21">
        <f t="shared" si="12"/>
        <v>0</v>
      </c>
      <c r="G523" s="8" t="str">
        <f t="shared" si="13"/>
        <v xml:space="preserve"> 0</v>
      </c>
    </row>
    <row r="524" spans="6:7" x14ac:dyDescent="0.25">
      <c r="F524" s="21">
        <f t="shared" si="12"/>
        <v>0</v>
      </c>
      <c r="G524" s="8" t="str">
        <f t="shared" si="13"/>
        <v xml:space="preserve"> 0</v>
      </c>
    </row>
    <row r="525" spans="6:7" x14ac:dyDescent="0.25">
      <c r="F525" s="21">
        <f t="shared" si="12"/>
        <v>0</v>
      </c>
      <c r="G525" s="8" t="str">
        <f t="shared" si="13"/>
        <v xml:space="preserve"> 0</v>
      </c>
    </row>
    <row r="526" spans="6:7" x14ac:dyDescent="0.25">
      <c r="F526" s="21">
        <f t="shared" si="12"/>
        <v>0</v>
      </c>
      <c r="G526" s="8" t="str">
        <f t="shared" si="13"/>
        <v xml:space="preserve"> 0</v>
      </c>
    </row>
    <row r="527" spans="6:7" x14ac:dyDescent="0.25">
      <c r="F527" s="21">
        <f t="shared" si="12"/>
        <v>0</v>
      </c>
      <c r="G527" s="8" t="str">
        <f t="shared" si="13"/>
        <v xml:space="preserve"> 0</v>
      </c>
    </row>
    <row r="528" spans="6:7" x14ac:dyDescent="0.25">
      <c r="F528" s="21">
        <f t="shared" si="12"/>
        <v>0</v>
      </c>
      <c r="G528" s="8" t="str">
        <f t="shared" si="13"/>
        <v xml:space="preserve"> 0</v>
      </c>
    </row>
    <row r="529" spans="6:7" x14ac:dyDescent="0.25">
      <c r="F529" s="21">
        <f t="shared" si="12"/>
        <v>0</v>
      </c>
      <c r="G529" s="8" t="str">
        <f t="shared" si="13"/>
        <v xml:space="preserve"> 0</v>
      </c>
    </row>
    <row r="530" spans="6:7" x14ac:dyDescent="0.25">
      <c r="F530" s="21">
        <f t="shared" si="12"/>
        <v>0</v>
      </c>
      <c r="G530" s="8" t="str">
        <f t="shared" si="13"/>
        <v xml:space="preserve"> 0</v>
      </c>
    </row>
    <row r="531" spans="6:7" x14ac:dyDescent="0.25">
      <c r="F531" s="21">
        <f t="shared" si="12"/>
        <v>0</v>
      </c>
      <c r="G531" s="8" t="str">
        <f t="shared" si="13"/>
        <v xml:space="preserve"> 0</v>
      </c>
    </row>
    <row r="532" spans="6:7" x14ac:dyDescent="0.25">
      <c r="F532" s="21">
        <f t="shared" si="12"/>
        <v>0</v>
      </c>
      <c r="G532" s="8" t="str">
        <f t="shared" si="13"/>
        <v xml:space="preserve"> 0</v>
      </c>
    </row>
    <row r="533" spans="6:7" x14ac:dyDescent="0.25">
      <c r="F533" s="21">
        <f t="shared" si="12"/>
        <v>0</v>
      </c>
      <c r="G533" s="8" t="str">
        <f t="shared" si="13"/>
        <v xml:space="preserve"> 0</v>
      </c>
    </row>
    <row r="534" spans="6:7" x14ac:dyDescent="0.25">
      <c r="F534" s="21">
        <f t="shared" si="12"/>
        <v>0</v>
      </c>
      <c r="G534" s="8" t="str">
        <f t="shared" si="13"/>
        <v xml:space="preserve"> 0</v>
      </c>
    </row>
    <row r="535" spans="6:7" x14ac:dyDescent="0.25">
      <c r="F535" s="21">
        <f t="shared" si="12"/>
        <v>0</v>
      </c>
      <c r="G535" s="8" t="str">
        <f t="shared" si="13"/>
        <v xml:space="preserve"> 0</v>
      </c>
    </row>
    <row r="536" spans="6:7" x14ac:dyDescent="0.25">
      <c r="F536" s="21">
        <f t="shared" si="12"/>
        <v>0</v>
      </c>
      <c r="G536" s="8" t="str">
        <f t="shared" si="13"/>
        <v xml:space="preserve"> 0</v>
      </c>
    </row>
    <row r="537" spans="6:7" x14ac:dyDescent="0.25">
      <c r="F537" s="21">
        <f t="shared" si="12"/>
        <v>0</v>
      </c>
      <c r="G537" s="8" t="str">
        <f t="shared" si="13"/>
        <v xml:space="preserve"> 0</v>
      </c>
    </row>
    <row r="538" spans="6:7" x14ac:dyDescent="0.25">
      <c r="F538" s="21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1">
        <f t="shared" si="14"/>
        <v>0</v>
      </c>
      <c r="G539" s="8" t="str">
        <f t="shared" si="13"/>
        <v xml:space="preserve"> 0</v>
      </c>
    </row>
    <row r="540" spans="6:7" x14ac:dyDescent="0.25">
      <c r="F540" s="21">
        <f t="shared" si="14"/>
        <v>0</v>
      </c>
      <c r="G540" s="8" t="str">
        <f t="shared" si="13"/>
        <v xml:space="preserve"> 0</v>
      </c>
    </row>
    <row r="541" spans="6:7" x14ac:dyDescent="0.25">
      <c r="F541" s="21">
        <f t="shared" si="14"/>
        <v>0</v>
      </c>
      <c r="G541" s="8" t="str">
        <f t="shared" si="13"/>
        <v xml:space="preserve"> 0</v>
      </c>
    </row>
    <row r="542" spans="6:7" x14ac:dyDescent="0.25">
      <c r="F542" s="21">
        <f t="shared" si="14"/>
        <v>0</v>
      </c>
      <c r="G542" s="8" t="str">
        <f t="shared" si="13"/>
        <v xml:space="preserve"> 0</v>
      </c>
    </row>
    <row r="543" spans="6:7" x14ac:dyDescent="0.25">
      <c r="F543" s="21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R29"/>
    </sheetView>
  </sheetViews>
  <sheetFormatPr defaultRowHeight="15" x14ac:dyDescent="0.25"/>
  <cols>
    <col min="1" max="1" width="22.5703125" style="167" customWidth="1"/>
    <col min="2" max="2" width="8.42578125" style="167" bestFit="1" customWidth="1"/>
    <col min="3" max="3" width="12.5703125" style="167" bestFit="1" customWidth="1"/>
    <col min="4" max="4" width="18.5703125" style="149" bestFit="1" customWidth="1"/>
    <col min="5" max="5" width="9.85546875" style="167" bestFit="1" customWidth="1"/>
    <col min="6" max="6" width="9" style="167" bestFit="1" customWidth="1"/>
    <col min="7" max="7" width="8.85546875" style="167" bestFit="1" customWidth="1"/>
    <col min="8" max="8" width="14" style="167" bestFit="1" customWidth="1"/>
    <col min="9" max="9" width="21.140625" style="167" bestFit="1" customWidth="1"/>
    <col min="10" max="10" width="8.7109375" style="167" bestFit="1" customWidth="1"/>
    <col min="11" max="11" width="11.28515625" style="167" bestFit="1" customWidth="1"/>
    <col min="12" max="12" width="11" style="167" bestFit="1" customWidth="1"/>
    <col min="13" max="13" width="11.28515625" style="167" bestFit="1" customWidth="1"/>
    <col min="14" max="14" width="13.7109375" style="167" bestFit="1" customWidth="1"/>
    <col min="15" max="15" width="14.85546875" style="167" bestFit="1" customWidth="1"/>
    <col min="16" max="16" width="16.7109375" style="167" bestFit="1" customWidth="1"/>
    <col min="17" max="17" width="9.42578125" style="129" bestFit="1" customWidth="1"/>
    <col min="18" max="16384" width="9.140625" style="129"/>
  </cols>
  <sheetData>
    <row r="1" spans="1:18" s="130" customFormat="1" x14ac:dyDescent="0.25">
      <c r="A1" s="172" t="s">
        <v>164</v>
      </c>
      <c r="B1" s="172" t="s">
        <v>167</v>
      </c>
      <c r="C1" s="172" t="s">
        <v>160</v>
      </c>
      <c r="D1" s="155" t="s">
        <v>172</v>
      </c>
      <c r="E1" s="172" t="s">
        <v>161</v>
      </c>
      <c r="F1" s="172" t="s">
        <v>159</v>
      </c>
      <c r="G1" s="172" t="s">
        <v>157</v>
      </c>
      <c r="H1" s="172" t="s">
        <v>702</v>
      </c>
      <c r="I1" s="172" t="s">
        <v>170</v>
      </c>
      <c r="J1" s="172" t="s">
        <v>171</v>
      </c>
      <c r="K1" s="172" t="s">
        <v>703</v>
      </c>
      <c r="L1" s="172" t="s">
        <v>165</v>
      </c>
      <c r="M1" s="172" t="s">
        <v>163</v>
      </c>
      <c r="N1" s="172" t="s">
        <v>158</v>
      </c>
      <c r="O1" s="172" t="s">
        <v>168</v>
      </c>
      <c r="P1" s="172" t="s">
        <v>162</v>
      </c>
      <c r="Q1" s="172" t="s">
        <v>169</v>
      </c>
      <c r="R1" s="172" t="s">
        <v>166</v>
      </c>
    </row>
    <row r="2" spans="1:18" x14ac:dyDescent="0.25">
      <c r="A2" s="162">
        <v>31.21</v>
      </c>
      <c r="B2" s="162">
        <v>0.2</v>
      </c>
      <c r="C2" s="162">
        <v>18.86</v>
      </c>
      <c r="D2" s="8">
        <v>42754</v>
      </c>
      <c r="E2" s="162">
        <v>0.6</v>
      </c>
      <c r="F2" s="162" t="s">
        <v>321</v>
      </c>
      <c r="G2" s="162">
        <v>295.35000000000002</v>
      </c>
      <c r="H2" s="162"/>
      <c r="I2" s="162">
        <v>0</v>
      </c>
      <c r="J2" s="162">
        <v>0</v>
      </c>
      <c r="K2" s="162"/>
      <c r="L2" s="162">
        <v>1008.68</v>
      </c>
      <c r="M2" s="162" t="s">
        <v>322</v>
      </c>
      <c r="N2" s="162">
        <v>31.21</v>
      </c>
      <c r="O2" s="162">
        <v>1484809200</v>
      </c>
      <c r="P2" s="162">
        <v>4.25</v>
      </c>
      <c r="Q2" s="162">
        <v>237</v>
      </c>
      <c r="R2" s="162">
        <v>1.66</v>
      </c>
    </row>
    <row r="3" spans="1:18" x14ac:dyDescent="0.25">
      <c r="A3" s="162">
        <v>30.4</v>
      </c>
      <c r="B3" s="162">
        <v>0.3</v>
      </c>
      <c r="C3" s="162">
        <v>19.760000000000002</v>
      </c>
      <c r="D3" s="8">
        <v>42754.041666666664</v>
      </c>
      <c r="E3" s="162">
        <v>0.64</v>
      </c>
      <c r="F3" s="162" t="s">
        <v>704</v>
      </c>
      <c r="G3" s="162">
        <v>296.19</v>
      </c>
      <c r="H3" s="162"/>
      <c r="I3" s="162">
        <v>0</v>
      </c>
      <c r="J3" s="162">
        <v>0</v>
      </c>
      <c r="K3" s="162"/>
      <c r="L3" s="162">
        <v>1008.9</v>
      </c>
      <c r="M3" s="162" t="s">
        <v>705</v>
      </c>
      <c r="N3" s="162">
        <v>30.4</v>
      </c>
      <c r="O3" s="162">
        <v>1484812800</v>
      </c>
      <c r="P3" s="162">
        <v>4.28</v>
      </c>
      <c r="Q3" s="162">
        <v>229</v>
      </c>
      <c r="R3" s="162">
        <v>2.4</v>
      </c>
    </row>
    <row r="4" spans="1:18" x14ac:dyDescent="0.25">
      <c r="A4" s="162">
        <v>28.69</v>
      </c>
      <c r="B4" s="162">
        <v>0.3</v>
      </c>
      <c r="C4" s="162">
        <v>18.04</v>
      </c>
      <c r="D4" s="8">
        <v>42754.083333333336</v>
      </c>
      <c r="E4" s="162">
        <v>0.64</v>
      </c>
      <c r="F4" s="162" t="s">
        <v>704</v>
      </c>
      <c r="G4" s="162">
        <v>297.02</v>
      </c>
      <c r="H4" s="162"/>
      <c r="I4" s="162">
        <v>0</v>
      </c>
      <c r="J4" s="162">
        <v>0</v>
      </c>
      <c r="K4" s="162"/>
      <c r="L4" s="162">
        <v>1008.98</v>
      </c>
      <c r="M4" s="162" t="s">
        <v>705</v>
      </c>
      <c r="N4" s="162">
        <v>28.69</v>
      </c>
      <c r="O4" s="162">
        <v>1484816400</v>
      </c>
      <c r="P4" s="162">
        <v>3.59</v>
      </c>
      <c r="Q4" s="162">
        <v>230</v>
      </c>
      <c r="R4" s="162">
        <v>2.29</v>
      </c>
    </row>
    <row r="5" spans="1:18" x14ac:dyDescent="0.25">
      <c r="A5" s="162">
        <v>27.82</v>
      </c>
      <c r="B5" s="162">
        <v>0.31</v>
      </c>
      <c r="C5" s="162">
        <v>16.91</v>
      </c>
      <c r="D5" s="8">
        <v>42754.125</v>
      </c>
      <c r="E5" s="162">
        <v>0.63</v>
      </c>
      <c r="F5" s="162" t="s">
        <v>704</v>
      </c>
      <c r="G5" s="162">
        <v>297.8</v>
      </c>
      <c r="H5" s="162"/>
      <c r="I5" s="162">
        <v>0</v>
      </c>
      <c r="J5" s="162">
        <v>0</v>
      </c>
      <c r="K5" s="162"/>
      <c r="L5" s="162">
        <v>1008.53</v>
      </c>
      <c r="M5" s="162" t="s">
        <v>705</v>
      </c>
      <c r="N5" s="162">
        <v>27.82</v>
      </c>
      <c r="O5" s="162">
        <v>1484820000</v>
      </c>
      <c r="P5" s="162">
        <v>3.24</v>
      </c>
      <c r="Q5" s="162">
        <v>216</v>
      </c>
      <c r="R5" s="162">
        <v>2.29</v>
      </c>
    </row>
    <row r="6" spans="1:18" x14ac:dyDescent="0.25">
      <c r="A6" s="162">
        <v>28.68</v>
      </c>
      <c r="B6" s="162">
        <v>0.31</v>
      </c>
      <c r="C6" s="162">
        <v>16.989999999999998</v>
      </c>
      <c r="D6" s="8">
        <v>42754.166666666664</v>
      </c>
      <c r="E6" s="162">
        <v>0.61</v>
      </c>
      <c r="F6" s="162" t="s">
        <v>704</v>
      </c>
      <c r="G6" s="162">
        <v>298.54000000000002</v>
      </c>
      <c r="H6" s="162"/>
      <c r="I6" s="162">
        <v>0</v>
      </c>
      <c r="J6" s="162">
        <v>0</v>
      </c>
      <c r="K6" s="162"/>
      <c r="L6" s="162">
        <v>1007.65</v>
      </c>
      <c r="M6" s="162" t="s">
        <v>705</v>
      </c>
      <c r="N6" s="162">
        <v>28.68</v>
      </c>
      <c r="O6" s="162">
        <v>1484823600</v>
      </c>
      <c r="P6" s="162">
        <v>3.31</v>
      </c>
      <c r="Q6" s="162">
        <v>219</v>
      </c>
      <c r="R6" s="162">
        <v>1.69</v>
      </c>
    </row>
    <row r="7" spans="1:18" x14ac:dyDescent="0.25">
      <c r="A7" s="162">
        <v>26.89</v>
      </c>
      <c r="B7" s="162">
        <v>0.31</v>
      </c>
      <c r="C7" s="162">
        <v>15.88</v>
      </c>
      <c r="D7" s="8">
        <v>42754.208333333336</v>
      </c>
      <c r="E7" s="162">
        <v>0.63</v>
      </c>
      <c r="F7" s="162" t="s">
        <v>704</v>
      </c>
      <c r="G7" s="162">
        <v>299.12</v>
      </c>
      <c r="H7" s="162"/>
      <c r="I7" s="162">
        <v>0</v>
      </c>
      <c r="J7" s="162">
        <v>0</v>
      </c>
      <c r="K7" s="162"/>
      <c r="L7" s="162">
        <v>1007.02</v>
      </c>
      <c r="M7" s="162" t="s">
        <v>705</v>
      </c>
      <c r="N7" s="162">
        <v>26.89</v>
      </c>
      <c r="O7" s="162">
        <v>1484827200</v>
      </c>
      <c r="P7" s="162">
        <v>4.21</v>
      </c>
      <c r="Q7" s="162">
        <v>215</v>
      </c>
      <c r="R7" s="162">
        <v>2.93</v>
      </c>
    </row>
    <row r="8" spans="1:18" x14ac:dyDescent="0.25">
      <c r="A8" s="162">
        <v>23.83</v>
      </c>
      <c r="B8" s="162">
        <v>0.32</v>
      </c>
      <c r="C8" s="162">
        <v>18.12</v>
      </c>
      <c r="D8" s="8">
        <v>42754.25</v>
      </c>
      <c r="E8" s="162">
        <v>0.68</v>
      </c>
      <c r="F8" s="162" t="s">
        <v>704</v>
      </c>
      <c r="G8" s="162">
        <v>299.58</v>
      </c>
      <c r="H8" s="162"/>
      <c r="I8" s="162">
        <v>0</v>
      </c>
      <c r="J8" s="162">
        <v>0</v>
      </c>
      <c r="K8" s="162"/>
      <c r="L8" s="162">
        <v>1007.05</v>
      </c>
      <c r="M8" s="162" t="s">
        <v>705</v>
      </c>
      <c r="N8" s="162">
        <v>27.2</v>
      </c>
      <c r="O8" s="162">
        <v>1484830800</v>
      </c>
      <c r="P8" s="162">
        <v>4.88</v>
      </c>
      <c r="Q8" s="162">
        <v>221</v>
      </c>
      <c r="R8" s="162">
        <v>3.04</v>
      </c>
    </row>
    <row r="9" spans="1:18" x14ac:dyDescent="0.25">
      <c r="A9" s="162">
        <v>26.91</v>
      </c>
      <c r="B9" s="162">
        <v>0.32</v>
      </c>
      <c r="C9" s="162">
        <v>17.45</v>
      </c>
      <c r="D9" s="8">
        <v>42754.291666666664</v>
      </c>
      <c r="E9" s="162">
        <v>0.67</v>
      </c>
      <c r="F9" s="162" t="s">
        <v>704</v>
      </c>
      <c r="G9" s="162">
        <v>299.89</v>
      </c>
      <c r="H9" s="162"/>
      <c r="I9" s="162">
        <v>0</v>
      </c>
      <c r="J9" s="162">
        <v>0</v>
      </c>
      <c r="K9" s="162"/>
      <c r="L9" s="162">
        <v>1007.41</v>
      </c>
      <c r="M9" s="162" t="s">
        <v>705</v>
      </c>
      <c r="N9" s="162">
        <v>26.91</v>
      </c>
      <c r="O9" s="162">
        <v>1484834400</v>
      </c>
      <c r="P9" s="162">
        <v>3.69</v>
      </c>
      <c r="Q9" s="162">
        <v>227</v>
      </c>
      <c r="R9" s="162">
        <v>2.99</v>
      </c>
    </row>
    <row r="10" spans="1:18" x14ac:dyDescent="0.25">
      <c r="A10" s="162">
        <v>27.19</v>
      </c>
      <c r="B10" s="162">
        <v>0.32</v>
      </c>
      <c r="C10" s="162">
        <v>17.579999999999998</v>
      </c>
      <c r="D10" s="8">
        <v>42754.333333333336</v>
      </c>
      <c r="E10" s="162">
        <v>0.67</v>
      </c>
      <c r="F10" s="162" t="s">
        <v>706</v>
      </c>
      <c r="G10" s="162">
        <v>299.87</v>
      </c>
      <c r="H10" s="162"/>
      <c r="I10" s="162">
        <v>0</v>
      </c>
      <c r="J10" s="162">
        <v>0</v>
      </c>
      <c r="K10" s="162"/>
      <c r="L10" s="162">
        <v>1007.04</v>
      </c>
      <c r="M10" s="162" t="s">
        <v>705</v>
      </c>
      <c r="N10" s="162">
        <v>27.19</v>
      </c>
      <c r="O10" s="162">
        <v>1484838000</v>
      </c>
      <c r="P10" s="162">
        <v>3.25</v>
      </c>
      <c r="Q10" s="162">
        <v>208</v>
      </c>
      <c r="R10" s="162">
        <v>2.21</v>
      </c>
    </row>
    <row r="11" spans="1:18" x14ac:dyDescent="0.25">
      <c r="A11" s="162">
        <v>28.47</v>
      </c>
      <c r="B11" s="162">
        <v>0.32</v>
      </c>
      <c r="C11" s="162">
        <v>20.2</v>
      </c>
      <c r="D11" s="8">
        <v>42754.375</v>
      </c>
      <c r="E11" s="162">
        <v>0.63</v>
      </c>
      <c r="F11" s="162" t="s">
        <v>706</v>
      </c>
      <c r="G11" s="162">
        <v>299.44</v>
      </c>
      <c r="H11" s="162"/>
      <c r="I11" s="162">
        <v>0</v>
      </c>
      <c r="J11" s="162">
        <v>0</v>
      </c>
      <c r="K11" s="162"/>
      <c r="L11" s="162">
        <v>1005.13</v>
      </c>
      <c r="M11" s="162" t="s">
        <v>705</v>
      </c>
      <c r="N11" s="162">
        <v>31.35</v>
      </c>
      <c r="O11" s="162">
        <v>1484841600</v>
      </c>
      <c r="P11" s="162">
        <v>3.08</v>
      </c>
      <c r="Q11" s="162">
        <v>208</v>
      </c>
      <c r="R11" s="162">
        <v>3.08</v>
      </c>
    </row>
    <row r="12" spans="1:18" x14ac:dyDescent="0.25">
      <c r="A12" s="162">
        <v>37.04</v>
      </c>
      <c r="B12" s="162">
        <v>0.32</v>
      </c>
      <c r="C12" s="162">
        <v>22.57</v>
      </c>
      <c r="D12" s="8">
        <v>42754.416666666664</v>
      </c>
      <c r="E12" s="162">
        <v>0.55000000000000004</v>
      </c>
      <c r="F12" s="162" t="s">
        <v>706</v>
      </c>
      <c r="G12" s="162">
        <v>298.68</v>
      </c>
      <c r="H12" s="162"/>
      <c r="I12" s="162">
        <v>0</v>
      </c>
      <c r="J12" s="162">
        <v>0</v>
      </c>
      <c r="K12" s="162"/>
      <c r="L12" s="162">
        <v>1002.59</v>
      </c>
      <c r="M12" s="162" t="s">
        <v>705</v>
      </c>
      <c r="N12" s="162">
        <v>37.04</v>
      </c>
      <c r="O12" s="162">
        <v>1484845200</v>
      </c>
      <c r="P12" s="162">
        <v>3.02</v>
      </c>
      <c r="Q12" s="162">
        <v>196</v>
      </c>
      <c r="R12" s="162">
        <v>2.6</v>
      </c>
    </row>
    <row r="13" spans="1:18" x14ac:dyDescent="0.25">
      <c r="A13" s="162">
        <v>44.18</v>
      </c>
      <c r="B13" s="162">
        <v>0.32</v>
      </c>
      <c r="C13" s="162">
        <v>22.63</v>
      </c>
      <c r="D13" s="8">
        <v>42754.458333333336</v>
      </c>
      <c r="E13" s="162">
        <v>0.42</v>
      </c>
      <c r="F13" s="162" t="s">
        <v>706</v>
      </c>
      <c r="G13" s="162">
        <v>297.77</v>
      </c>
      <c r="H13" s="162"/>
      <c r="I13" s="162">
        <v>0</v>
      </c>
      <c r="J13" s="162">
        <v>0</v>
      </c>
      <c r="K13" s="162"/>
      <c r="L13" s="162">
        <v>1000.67</v>
      </c>
      <c r="M13" s="162" t="s">
        <v>705</v>
      </c>
      <c r="N13" s="162">
        <v>44.18</v>
      </c>
      <c r="O13" s="162">
        <v>1484848800</v>
      </c>
      <c r="P13" s="162">
        <v>3.01</v>
      </c>
      <c r="Q13" s="162">
        <v>192</v>
      </c>
      <c r="R13" s="162">
        <v>1.27</v>
      </c>
    </row>
    <row r="14" spans="1:18" x14ac:dyDescent="0.25">
      <c r="A14" s="162">
        <v>48.11</v>
      </c>
      <c r="B14" s="162">
        <v>0.32</v>
      </c>
      <c r="C14" s="162">
        <v>21.01</v>
      </c>
      <c r="D14" s="8">
        <v>42754.5</v>
      </c>
      <c r="E14" s="162">
        <v>0.34</v>
      </c>
      <c r="F14" s="162" t="s">
        <v>706</v>
      </c>
      <c r="G14" s="162">
        <v>296.7</v>
      </c>
      <c r="H14" s="162"/>
      <c r="I14" s="162">
        <v>0</v>
      </c>
      <c r="J14" s="162">
        <v>0</v>
      </c>
      <c r="K14" s="162"/>
      <c r="L14" s="162">
        <v>999.65</v>
      </c>
      <c r="M14" s="162" t="s">
        <v>705</v>
      </c>
      <c r="N14" s="162">
        <v>48.11</v>
      </c>
      <c r="O14" s="162">
        <v>1484852400</v>
      </c>
      <c r="P14" s="162">
        <v>3.06</v>
      </c>
      <c r="Q14" s="162">
        <v>25</v>
      </c>
      <c r="R14" s="162">
        <v>0.2</v>
      </c>
    </row>
    <row r="15" spans="1:18" x14ac:dyDescent="0.25">
      <c r="A15" s="162">
        <v>50.72</v>
      </c>
      <c r="B15" s="162">
        <v>0.31</v>
      </c>
      <c r="C15" s="162">
        <v>23.71</v>
      </c>
      <c r="D15" s="8">
        <v>42754.541666666664</v>
      </c>
      <c r="E15" s="162">
        <v>0.34</v>
      </c>
      <c r="F15" s="162" t="s">
        <v>706</v>
      </c>
      <c r="G15" s="162">
        <v>295.47000000000003</v>
      </c>
      <c r="H15" s="162"/>
      <c r="I15" s="162">
        <v>0</v>
      </c>
      <c r="J15" s="162">
        <v>0</v>
      </c>
      <c r="K15" s="162"/>
      <c r="L15" s="162">
        <v>999.03</v>
      </c>
      <c r="M15" s="162" t="s">
        <v>705</v>
      </c>
      <c r="N15" s="162">
        <v>50.72</v>
      </c>
      <c r="O15" s="162">
        <v>1484856000</v>
      </c>
      <c r="P15" s="162">
        <v>3.1</v>
      </c>
      <c r="Q15" s="162">
        <v>3</v>
      </c>
      <c r="R15" s="162">
        <v>1.58</v>
      </c>
    </row>
    <row r="16" spans="1:18" x14ac:dyDescent="0.25">
      <c r="A16" s="162">
        <v>50.18</v>
      </c>
      <c r="B16" s="162">
        <v>0.3</v>
      </c>
      <c r="C16" s="162">
        <v>23.9</v>
      </c>
      <c r="D16" s="8">
        <v>42754.583333333336</v>
      </c>
      <c r="E16" s="162">
        <v>0.35</v>
      </c>
      <c r="F16" s="162" t="s">
        <v>706</v>
      </c>
      <c r="G16" s="162">
        <v>294.22000000000003</v>
      </c>
      <c r="H16" s="162"/>
      <c r="I16" s="162">
        <v>0</v>
      </c>
      <c r="J16" s="162">
        <v>0</v>
      </c>
      <c r="K16" s="162"/>
      <c r="L16" s="162">
        <v>998.6</v>
      </c>
      <c r="M16" s="162" t="s">
        <v>705</v>
      </c>
      <c r="N16" s="162">
        <v>50.18</v>
      </c>
      <c r="O16" s="162">
        <v>1484859600</v>
      </c>
      <c r="P16" s="162">
        <v>3.19</v>
      </c>
      <c r="Q16" s="162">
        <v>33</v>
      </c>
      <c r="R16" s="162">
        <v>1.54</v>
      </c>
    </row>
    <row r="17" spans="1:18" x14ac:dyDescent="0.25">
      <c r="A17" s="162">
        <v>50.35</v>
      </c>
      <c r="B17" s="162">
        <v>0.27</v>
      </c>
      <c r="C17" s="162">
        <v>24.39</v>
      </c>
      <c r="D17" s="8">
        <v>42754.625</v>
      </c>
      <c r="E17" s="162">
        <v>0.36</v>
      </c>
      <c r="F17" s="162" t="s">
        <v>706</v>
      </c>
      <c r="G17" s="162">
        <v>292.81</v>
      </c>
      <c r="H17" s="162"/>
      <c r="I17" s="162">
        <v>0</v>
      </c>
      <c r="J17" s="162">
        <v>0</v>
      </c>
      <c r="K17" s="162"/>
      <c r="L17" s="162">
        <v>998.21</v>
      </c>
      <c r="M17" s="162" t="s">
        <v>705</v>
      </c>
      <c r="N17" s="162">
        <v>50.35</v>
      </c>
      <c r="O17" s="162">
        <v>1484863200</v>
      </c>
      <c r="P17" s="162">
        <v>3.33</v>
      </c>
      <c r="Q17" s="162">
        <v>48</v>
      </c>
      <c r="R17" s="162">
        <v>2.99</v>
      </c>
    </row>
    <row r="18" spans="1:18" x14ac:dyDescent="0.25">
      <c r="A18" s="162">
        <v>46.93</v>
      </c>
      <c r="B18" s="162">
        <v>0.27</v>
      </c>
      <c r="C18" s="162">
        <v>20.32</v>
      </c>
      <c r="D18" s="8">
        <v>42754.666666666664</v>
      </c>
      <c r="E18" s="162">
        <v>0.34</v>
      </c>
      <c r="F18" s="162" t="s">
        <v>706</v>
      </c>
      <c r="G18" s="162">
        <v>291.38</v>
      </c>
      <c r="H18" s="162"/>
      <c r="I18" s="162">
        <v>0</v>
      </c>
      <c r="J18" s="162">
        <v>0</v>
      </c>
      <c r="K18" s="162"/>
      <c r="L18" s="162">
        <v>998.03</v>
      </c>
      <c r="M18" s="162" t="s">
        <v>705</v>
      </c>
      <c r="N18" s="162">
        <v>46.93</v>
      </c>
      <c r="O18" s="162">
        <v>1484866800</v>
      </c>
      <c r="P18" s="162">
        <v>6.06</v>
      </c>
      <c r="Q18" s="162">
        <v>50</v>
      </c>
      <c r="R18" s="162">
        <v>2.36</v>
      </c>
    </row>
    <row r="19" spans="1:18" x14ac:dyDescent="0.25">
      <c r="A19" s="162">
        <v>44.21</v>
      </c>
      <c r="B19" s="162">
        <v>0.21</v>
      </c>
      <c r="C19" s="162">
        <v>18.73</v>
      </c>
      <c r="D19" s="8">
        <v>42754.708333333336</v>
      </c>
      <c r="E19" s="162">
        <v>0.36</v>
      </c>
      <c r="F19" s="162" t="s">
        <v>323</v>
      </c>
      <c r="G19" s="162">
        <v>290.52</v>
      </c>
      <c r="H19" s="162"/>
      <c r="I19" s="162">
        <v>0</v>
      </c>
      <c r="J19" s="162">
        <v>0</v>
      </c>
      <c r="K19" s="162"/>
      <c r="L19" s="162">
        <v>998.26</v>
      </c>
      <c r="M19" s="162" t="s">
        <v>322</v>
      </c>
      <c r="N19" s="162">
        <v>44.21</v>
      </c>
      <c r="O19" s="162">
        <v>1484870400</v>
      </c>
      <c r="P19" s="162">
        <v>6.54</v>
      </c>
      <c r="Q19" s="162">
        <v>72</v>
      </c>
      <c r="R19" s="162">
        <v>2.46</v>
      </c>
    </row>
    <row r="20" spans="1:18" x14ac:dyDescent="0.25">
      <c r="A20" s="162">
        <v>42.21</v>
      </c>
      <c r="B20" s="162">
        <v>0.04</v>
      </c>
      <c r="C20" s="162">
        <v>19.23</v>
      </c>
      <c r="D20" s="8">
        <v>42754.75</v>
      </c>
      <c r="E20" s="162">
        <v>0.39</v>
      </c>
      <c r="F20" s="162" t="s">
        <v>321</v>
      </c>
      <c r="G20" s="162">
        <v>290.69</v>
      </c>
      <c r="H20" s="162"/>
      <c r="I20" s="162">
        <v>0</v>
      </c>
      <c r="J20" s="162">
        <v>0</v>
      </c>
      <c r="K20" s="162"/>
      <c r="L20" s="162">
        <v>999.06</v>
      </c>
      <c r="M20" s="162" t="s">
        <v>322</v>
      </c>
      <c r="N20" s="162">
        <v>42.21</v>
      </c>
      <c r="O20" s="162">
        <v>1484874000</v>
      </c>
      <c r="P20" s="162">
        <v>7.44</v>
      </c>
      <c r="Q20" s="162">
        <v>52</v>
      </c>
      <c r="R20" s="162">
        <v>1.57</v>
      </c>
    </row>
    <row r="21" spans="1:18" x14ac:dyDescent="0.25">
      <c r="A21" s="162">
        <v>39.33</v>
      </c>
      <c r="B21" s="162">
        <v>0.02</v>
      </c>
      <c r="C21" s="162">
        <v>20.54</v>
      </c>
      <c r="D21" s="8">
        <v>42754.791666666664</v>
      </c>
      <c r="E21" s="162">
        <v>0.46</v>
      </c>
      <c r="F21" s="162" t="s">
        <v>321</v>
      </c>
      <c r="G21" s="162">
        <v>291.42</v>
      </c>
      <c r="H21" s="162"/>
      <c r="I21" s="162">
        <v>0</v>
      </c>
      <c r="J21" s="162">
        <v>0</v>
      </c>
      <c r="K21" s="162"/>
      <c r="L21" s="162">
        <v>1000.64</v>
      </c>
      <c r="M21" s="162" t="s">
        <v>322</v>
      </c>
      <c r="N21" s="162">
        <v>39.33</v>
      </c>
      <c r="O21" s="162">
        <v>1484877600</v>
      </c>
      <c r="P21" s="162">
        <v>7.55</v>
      </c>
      <c r="Q21" s="162">
        <v>295</v>
      </c>
      <c r="R21" s="162">
        <v>0.82</v>
      </c>
    </row>
    <row r="22" spans="1:18" x14ac:dyDescent="0.25">
      <c r="A22" s="162">
        <v>36.619999999999997</v>
      </c>
      <c r="B22" s="162">
        <v>0.06</v>
      </c>
      <c r="C22" s="162">
        <v>21.62</v>
      </c>
      <c r="D22" s="8">
        <v>42754.833333333336</v>
      </c>
      <c r="E22" s="162">
        <v>0.54</v>
      </c>
      <c r="F22" s="162" t="s">
        <v>321</v>
      </c>
      <c r="G22" s="162">
        <v>291.97000000000003</v>
      </c>
      <c r="H22" s="162"/>
      <c r="I22" s="162">
        <v>0</v>
      </c>
      <c r="J22" s="162">
        <v>0</v>
      </c>
      <c r="K22" s="162"/>
      <c r="L22" s="162">
        <v>1001.87</v>
      </c>
      <c r="M22" s="162" t="s">
        <v>322</v>
      </c>
      <c r="N22" s="162">
        <v>36.619999999999997</v>
      </c>
      <c r="O22" s="162">
        <v>1484881200</v>
      </c>
      <c r="P22" s="162">
        <v>6.7</v>
      </c>
      <c r="Q22" s="162">
        <v>249</v>
      </c>
      <c r="R22" s="162">
        <v>1.4</v>
      </c>
    </row>
    <row r="23" spans="1:18" x14ac:dyDescent="0.25">
      <c r="A23" s="162">
        <v>34.520000000000003</v>
      </c>
      <c r="B23" s="162">
        <v>0.25</v>
      </c>
      <c r="C23" s="162">
        <v>20.34</v>
      </c>
      <c r="D23" s="8">
        <v>42754.875</v>
      </c>
      <c r="E23" s="162">
        <v>0.56000000000000005</v>
      </c>
      <c r="F23" s="162" t="s">
        <v>704</v>
      </c>
      <c r="G23" s="162">
        <v>291.98</v>
      </c>
      <c r="H23" s="162"/>
      <c r="I23" s="162">
        <v>0</v>
      </c>
      <c r="J23" s="162">
        <v>0</v>
      </c>
      <c r="K23" s="162"/>
      <c r="L23" s="162">
        <v>1002.06</v>
      </c>
      <c r="M23" s="162" t="s">
        <v>705</v>
      </c>
      <c r="N23" s="162">
        <v>34.520000000000003</v>
      </c>
      <c r="O23" s="162">
        <v>1484884800</v>
      </c>
      <c r="P23" s="162">
        <v>10</v>
      </c>
      <c r="Q23" s="162">
        <v>255</v>
      </c>
      <c r="R23" s="162">
        <v>1.18</v>
      </c>
    </row>
    <row r="24" spans="1:18" x14ac:dyDescent="0.25">
      <c r="A24" s="162">
        <v>32.93</v>
      </c>
      <c r="B24" s="162">
        <v>0.5</v>
      </c>
      <c r="C24" s="162">
        <v>20.440000000000001</v>
      </c>
      <c r="D24" s="8">
        <v>42754.916666666664</v>
      </c>
      <c r="E24" s="162">
        <v>0.6</v>
      </c>
      <c r="F24" s="162" t="s">
        <v>704</v>
      </c>
      <c r="G24" s="162">
        <v>291.8</v>
      </c>
      <c r="H24" s="162"/>
      <c r="I24" s="162">
        <v>0</v>
      </c>
      <c r="J24" s="162">
        <v>0</v>
      </c>
      <c r="K24" s="162"/>
      <c r="L24" s="162">
        <v>1001.71</v>
      </c>
      <c r="M24" s="162" t="s">
        <v>705</v>
      </c>
      <c r="N24" s="162">
        <v>32.93</v>
      </c>
      <c r="O24" s="162">
        <v>1484888400</v>
      </c>
      <c r="P24" s="162">
        <v>6.16</v>
      </c>
      <c r="Q24" s="162">
        <v>265</v>
      </c>
      <c r="R24" s="162">
        <v>1.3</v>
      </c>
    </row>
    <row r="25" spans="1:18" x14ac:dyDescent="0.25">
      <c r="A25" s="162">
        <v>31.78</v>
      </c>
      <c r="B25" s="162">
        <v>0.68</v>
      </c>
      <c r="C25" s="162">
        <v>19.29</v>
      </c>
      <c r="D25" s="8">
        <v>42754.958333333336</v>
      </c>
      <c r="E25" s="162">
        <v>0.59</v>
      </c>
      <c r="F25" s="162" t="s">
        <v>704</v>
      </c>
      <c r="G25" s="162">
        <v>291.73</v>
      </c>
      <c r="H25" s="162"/>
      <c r="I25" s="162">
        <v>0</v>
      </c>
      <c r="J25" s="162">
        <v>0</v>
      </c>
      <c r="K25" s="162"/>
      <c r="L25" s="162">
        <v>1001.3</v>
      </c>
      <c r="M25" s="162" t="s">
        <v>707</v>
      </c>
      <c r="N25" s="162">
        <v>31.78</v>
      </c>
      <c r="O25" s="162">
        <v>1484892000</v>
      </c>
      <c r="P25" s="162">
        <v>6.56</v>
      </c>
      <c r="Q25" s="162">
        <v>267</v>
      </c>
      <c r="R25" s="162">
        <v>1.1000000000000001</v>
      </c>
    </row>
    <row r="26" spans="1:18" x14ac:dyDescent="0.25">
      <c r="A26" s="162">
        <v>31.55</v>
      </c>
      <c r="B26" s="162">
        <v>0.66</v>
      </c>
      <c r="C26" s="162">
        <v>20.43</v>
      </c>
      <c r="D26" s="8">
        <v>42755</v>
      </c>
      <c r="E26" s="162">
        <v>0.63</v>
      </c>
      <c r="F26" s="162" t="s">
        <v>704</v>
      </c>
      <c r="G26" s="162">
        <v>292.01</v>
      </c>
      <c r="H26" s="162">
        <v>8.0000000000000002E-3</v>
      </c>
      <c r="I26" s="162">
        <v>1E-3</v>
      </c>
      <c r="J26" s="162">
        <v>0.01</v>
      </c>
      <c r="K26" s="162" t="s">
        <v>708</v>
      </c>
      <c r="L26" s="162">
        <v>1000.96</v>
      </c>
      <c r="M26" s="162" t="s">
        <v>707</v>
      </c>
      <c r="N26" s="162">
        <v>31.55</v>
      </c>
      <c r="O26" s="162">
        <v>1484895600</v>
      </c>
      <c r="P26" s="162">
        <v>6.84</v>
      </c>
      <c r="Q26" s="162">
        <v>259</v>
      </c>
      <c r="R26" s="162">
        <v>1.25</v>
      </c>
    </row>
    <row r="27" spans="1:18" x14ac:dyDescent="0.25">
      <c r="A27" s="162">
        <v>31.4</v>
      </c>
      <c r="B27" s="162">
        <v>0.73</v>
      </c>
      <c r="C27" s="162">
        <v>20.77</v>
      </c>
      <c r="D27" s="8">
        <v>42755.041666666664</v>
      </c>
      <c r="E27" s="162">
        <v>0.64</v>
      </c>
      <c r="F27" s="162" t="s">
        <v>704</v>
      </c>
      <c r="G27" s="162">
        <v>292.3</v>
      </c>
      <c r="H27" s="162">
        <v>1.2999999999999999E-2</v>
      </c>
      <c r="I27" s="162">
        <v>1.6000000000000001E-3</v>
      </c>
      <c r="J27" s="162">
        <v>0.04</v>
      </c>
      <c r="K27" s="162" t="s">
        <v>708</v>
      </c>
      <c r="L27" s="162">
        <v>1000.61</v>
      </c>
      <c r="M27" s="162" t="s">
        <v>707</v>
      </c>
      <c r="N27" s="162">
        <v>31.4</v>
      </c>
      <c r="O27" s="162">
        <v>1484899200</v>
      </c>
      <c r="P27" s="162">
        <v>6.7</v>
      </c>
      <c r="Q27" s="162">
        <v>252</v>
      </c>
      <c r="R27" s="162">
        <v>1.66</v>
      </c>
    </row>
    <row r="28" spans="1:18" x14ac:dyDescent="0.25">
      <c r="A28" s="162">
        <v>32.61</v>
      </c>
      <c r="B28" s="162">
        <v>0.8</v>
      </c>
      <c r="C28" s="162">
        <v>22.55</v>
      </c>
      <c r="D28" s="8">
        <v>42755.083333333336</v>
      </c>
      <c r="E28" s="162">
        <v>0.66</v>
      </c>
      <c r="F28" s="162" t="s">
        <v>708</v>
      </c>
      <c r="G28" s="162">
        <v>292.58</v>
      </c>
      <c r="H28" s="162">
        <v>2.1000000000000001E-2</v>
      </c>
      <c r="I28" s="162">
        <v>2.8E-3</v>
      </c>
      <c r="J28" s="162">
        <v>0.09</v>
      </c>
      <c r="K28" s="162" t="s">
        <v>708</v>
      </c>
      <c r="L28" s="162">
        <v>1000.25</v>
      </c>
      <c r="M28" s="162" t="s">
        <v>709</v>
      </c>
      <c r="N28" s="162">
        <v>32.61</v>
      </c>
      <c r="O28" s="162">
        <v>1484902800</v>
      </c>
      <c r="P28" s="162">
        <v>4.91</v>
      </c>
      <c r="Q28" s="162">
        <v>264</v>
      </c>
      <c r="R28" s="162">
        <v>1.1100000000000001</v>
      </c>
    </row>
    <row r="29" spans="1:18" x14ac:dyDescent="0.25">
      <c r="A29" s="162">
        <v>30.62</v>
      </c>
      <c r="B29" s="162">
        <v>0.87</v>
      </c>
      <c r="C29" s="162">
        <v>21.77</v>
      </c>
      <c r="D29" s="8">
        <v>42755.125</v>
      </c>
      <c r="E29" s="162">
        <v>0.69</v>
      </c>
      <c r="F29" s="162" t="s">
        <v>708</v>
      </c>
      <c r="G29" s="162">
        <v>293.04000000000002</v>
      </c>
      <c r="H29" s="162">
        <v>4.1000000000000002E-2</v>
      </c>
      <c r="I29" s="162">
        <v>4.7999999999999996E-3</v>
      </c>
      <c r="J29" s="162">
        <v>0.2</v>
      </c>
      <c r="K29" s="162" t="s">
        <v>708</v>
      </c>
      <c r="L29" s="162">
        <v>1000.27</v>
      </c>
      <c r="M29" s="162" t="s">
        <v>710</v>
      </c>
      <c r="N29" s="162">
        <v>30.62</v>
      </c>
      <c r="O29" s="162">
        <v>1484906400</v>
      </c>
      <c r="P29" s="162">
        <v>6.87</v>
      </c>
      <c r="Q29" s="162">
        <v>264</v>
      </c>
      <c r="R29" s="162">
        <v>1.69</v>
      </c>
    </row>
    <row r="30" spans="1:18" x14ac:dyDescent="0.25">
      <c r="A30" s="162"/>
      <c r="B30" s="162"/>
      <c r="C30" s="162"/>
      <c r="D30" s="8"/>
      <c r="E30" s="162"/>
      <c r="F30" s="162"/>
      <c r="G30" s="162"/>
      <c r="H30" s="162"/>
      <c r="I30" s="162"/>
      <c r="J30" s="162"/>
      <c r="K30" s="162"/>
      <c r="L30" s="162"/>
      <c r="M30" s="162"/>
      <c r="N30" s="162"/>
      <c r="O30" s="162"/>
      <c r="P30" s="162"/>
    </row>
    <row r="31" spans="1:18" x14ac:dyDescent="0.25">
      <c r="A31" s="167" t="s">
        <v>193</v>
      </c>
    </row>
    <row r="33" spans="1:1" x14ac:dyDescent="0.25">
      <c r="A33" s="167" t="s">
        <v>181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35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66" customWidth="1"/>
    <col min="10" max="10" width="24.28515625" style="162" bestFit="1" customWidth="1"/>
    <col min="11" max="11" width="15.28515625" style="162" hidden="1" customWidth="1"/>
    <col min="12" max="12" width="13.5703125" style="162" hidden="1" customWidth="1"/>
    <col min="13" max="13" width="9" style="162" bestFit="1" customWidth="1"/>
    <col min="14" max="17" width="9.140625" style="162"/>
  </cols>
  <sheetData>
    <row r="1" spans="1:16" ht="45.75" x14ac:dyDescent="0.3">
      <c r="A1" s="11" t="s">
        <v>25</v>
      </c>
      <c r="C1" s="138" t="s">
        <v>99</v>
      </c>
      <c r="D1" s="139" t="s">
        <v>100</v>
      </c>
      <c r="J1" s="181" t="s">
        <v>101</v>
      </c>
      <c r="K1" s="181" t="s">
        <v>66</v>
      </c>
      <c r="L1" s="181" t="s">
        <v>67</v>
      </c>
      <c r="O1" s="182" t="s">
        <v>102</v>
      </c>
    </row>
    <row r="2" spans="1:16" ht="15.75" thickBot="1" x14ac:dyDescent="0.3">
      <c r="A2" s="12">
        <v>42754</v>
      </c>
      <c r="B2" s="4"/>
      <c r="C2" s="140">
        <v>50</v>
      </c>
      <c r="D2" s="141">
        <v>25</v>
      </c>
      <c r="F2" t="s">
        <v>113</v>
      </c>
      <c r="J2" s="181"/>
      <c r="K2" s="181" t="s">
        <v>66</v>
      </c>
      <c r="L2" s="181" t="s">
        <v>67</v>
      </c>
    </row>
    <row r="3" spans="1:16" x14ac:dyDescent="0.25">
      <c r="C3" s="66"/>
      <c r="F3" t="s">
        <v>52</v>
      </c>
      <c r="J3" s="183" t="s">
        <v>68</v>
      </c>
      <c r="K3" s="184">
        <v>2.7052</v>
      </c>
      <c r="L3" s="184">
        <v>2.7349999999999999</v>
      </c>
      <c r="M3" s="162">
        <f t="shared" ref="M3:M14" si="0">AVERAGE(K3:L3)</f>
        <v>2.7201</v>
      </c>
      <c r="O3" s="162" t="s">
        <v>103</v>
      </c>
      <c r="P3" s="162">
        <f>AVERAGE(1.0714,1.1016)</f>
        <v>1.0865</v>
      </c>
    </row>
    <row r="4" spans="1:16" ht="45" x14ac:dyDescent="0.25">
      <c r="C4" s="138" t="s">
        <v>99</v>
      </c>
      <c r="D4" s="139" t="s">
        <v>100</v>
      </c>
      <c r="F4" t="s">
        <v>53</v>
      </c>
      <c r="J4" s="183" t="s">
        <v>69</v>
      </c>
      <c r="K4" s="184">
        <v>3.0830000000000002</v>
      </c>
      <c r="L4" s="184">
        <v>3.097</v>
      </c>
      <c r="M4" s="162">
        <f t="shared" si="0"/>
        <v>3.09</v>
      </c>
    </row>
    <row r="5" spans="1:16" x14ac:dyDescent="0.25">
      <c r="C5" s="66">
        <v>30</v>
      </c>
      <c r="D5" s="66">
        <v>9</v>
      </c>
      <c r="J5" s="183" t="s">
        <v>70</v>
      </c>
      <c r="K5" s="184">
        <v>3.3136000000000001</v>
      </c>
      <c r="L5" s="184">
        <v>3.3256999999999999</v>
      </c>
      <c r="M5" s="162">
        <f t="shared" si="0"/>
        <v>3.3196500000000002</v>
      </c>
    </row>
    <row r="6" spans="1:16" x14ac:dyDescent="0.25">
      <c r="C6" s="66"/>
      <c r="F6" t="s">
        <v>114</v>
      </c>
      <c r="J6" s="183" t="s">
        <v>71</v>
      </c>
      <c r="K6" s="184">
        <v>4.2778999999999998</v>
      </c>
      <c r="L6" s="184">
        <v>4.2961</v>
      </c>
      <c r="M6" s="162">
        <f t="shared" si="0"/>
        <v>4.2869999999999999</v>
      </c>
    </row>
    <row r="7" spans="1:16" x14ac:dyDescent="0.25">
      <c r="C7" s="66"/>
      <c r="F7" t="s">
        <v>115</v>
      </c>
      <c r="J7" s="183" t="s">
        <v>72</v>
      </c>
      <c r="K7" s="184">
        <v>4.7865000000000002</v>
      </c>
      <c r="L7" s="184">
        <v>4.8048000000000002</v>
      </c>
      <c r="M7" s="162">
        <f t="shared" si="0"/>
        <v>4.7956500000000002</v>
      </c>
    </row>
    <row r="8" spans="1:16" x14ac:dyDescent="0.25">
      <c r="C8" s="66"/>
      <c r="F8" t="s">
        <v>116</v>
      </c>
      <c r="J8" s="183" t="s">
        <v>73</v>
      </c>
      <c r="K8" s="184">
        <v>5.3155000000000001</v>
      </c>
      <c r="L8" s="184">
        <v>5.3277000000000001</v>
      </c>
      <c r="M8" s="162">
        <f t="shared" si="0"/>
        <v>5.3216000000000001</v>
      </c>
    </row>
    <row r="9" spans="1:16" x14ac:dyDescent="0.25">
      <c r="C9" s="66"/>
      <c r="J9" s="183" t="s">
        <v>74</v>
      </c>
      <c r="K9" s="184">
        <v>5.8117000000000001</v>
      </c>
      <c r="L9" s="184">
        <v>5.8300999999999998</v>
      </c>
      <c r="M9" s="162">
        <f t="shared" si="0"/>
        <v>5.8209</v>
      </c>
    </row>
    <row r="10" spans="1:16" x14ac:dyDescent="0.25">
      <c r="C10" s="66"/>
      <c r="J10" s="183" t="s">
        <v>75</v>
      </c>
      <c r="K10" s="184">
        <v>5.8783000000000003</v>
      </c>
      <c r="L10" s="184">
        <v>5.8903999999999996</v>
      </c>
      <c r="M10" s="162">
        <f t="shared" si="0"/>
        <v>5.8843499999999995</v>
      </c>
    </row>
    <row r="11" spans="1:16" x14ac:dyDescent="0.25">
      <c r="C11" s="66"/>
      <c r="J11" s="183" t="s">
        <v>76</v>
      </c>
      <c r="K11" s="184">
        <v>6.3068</v>
      </c>
      <c r="L11" s="184">
        <v>6.3308999999999997</v>
      </c>
      <c r="M11" s="162">
        <f t="shared" si="0"/>
        <v>6.3188499999999994</v>
      </c>
    </row>
    <row r="12" spans="1:16" x14ac:dyDescent="0.25">
      <c r="C12" s="66"/>
      <c r="J12" s="183" t="s">
        <v>77</v>
      </c>
      <c r="K12" s="184">
        <v>7.8349000000000002</v>
      </c>
      <c r="L12" s="184">
        <v>7.8468999999999998</v>
      </c>
      <c r="M12" s="162">
        <f t="shared" si="0"/>
        <v>7.8408999999999995</v>
      </c>
    </row>
    <row r="13" spans="1:16" x14ac:dyDescent="0.25">
      <c r="C13" s="66"/>
      <c r="J13" s="183" t="s">
        <v>78</v>
      </c>
      <c r="K13" s="184">
        <v>10.373799999999999</v>
      </c>
      <c r="L13" s="184">
        <v>10.38</v>
      </c>
      <c r="M13" s="162">
        <f t="shared" si="0"/>
        <v>10.376899999999999</v>
      </c>
    </row>
    <row r="14" spans="1:16" x14ac:dyDescent="0.25">
      <c r="C14" s="66"/>
      <c r="J14" s="183" t="s">
        <v>79</v>
      </c>
      <c r="K14" s="184">
        <v>10.8954</v>
      </c>
      <c r="L14" s="184">
        <v>10.913500000000001</v>
      </c>
      <c r="M14" s="162">
        <f t="shared" si="0"/>
        <v>10.904450000000001</v>
      </c>
    </row>
    <row r="15" spans="1:16" x14ac:dyDescent="0.25">
      <c r="C15" s="66"/>
      <c r="J15" s="183"/>
      <c r="K15" s="184"/>
      <c r="L15" s="184"/>
    </row>
    <row r="16" spans="1:16" x14ac:dyDescent="0.25">
      <c r="C16" s="66"/>
      <c r="J16" s="183"/>
      <c r="K16" s="184"/>
      <c r="L16" s="184"/>
    </row>
    <row r="17" spans="3:13" x14ac:dyDescent="0.25">
      <c r="C17" s="156" t="s">
        <v>194</v>
      </c>
      <c r="J17" s="183"/>
      <c r="K17" s="184"/>
      <c r="L17" s="184"/>
    </row>
    <row r="18" spans="3:13" x14ac:dyDescent="0.25">
      <c r="C18" t="s">
        <v>856</v>
      </c>
      <c r="J18" s="183" t="s">
        <v>85</v>
      </c>
      <c r="K18" s="184"/>
      <c r="L18" s="184"/>
      <c r="M18" s="162" t="str">
        <f>"""C:\Program Files (x86)\AstroGrep\AstroGrep.exe"""</f>
        <v>"C:\Program Files (x86)\AstroGrep\AstroGrep.exe"</v>
      </c>
    </row>
    <row r="19" spans="3:13" x14ac:dyDescent="0.25">
      <c r="C19" t="s">
        <v>857</v>
      </c>
      <c r="J19" s="183" t="s">
        <v>86</v>
      </c>
      <c r="K19" s="184"/>
      <c r="L19" s="184"/>
      <c r="M19" s="162" t="s">
        <v>112</v>
      </c>
    </row>
    <row r="20" spans="3:13" x14ac:dyDescent="0.25">
      <c r="C20" t="s">
        <v>858</v>
      </c>
      <c r="J20" s="162" t="s">
        <v>87</v>
      </c>
      <c r="M20" s="162" t="s">
        <v>232</v>
      </c>
    </row>
    <row r="21" spans="3:13" x14ac:dyDescent="0.25">
      <c r="C21" t="s">
        <v>859</v>
      </c>
      <c r="J21" s="162" t="s">
        <v>90</v>
      </c>
      <c r="K21" s="162" t="s">
        <v>91</v>
      </c>
      <c r="M21" s="162" t="s">
        <v>180</v>
      </c>
    </row>
    <row r="22" spans="3:13" x14ac:dyDescent="0.25">
      <c r="C22" t="s">
        <v>860</v>
      </c>
      <c r="J22" s="162" t="s">
        <v>92</v>
      </c>
      <c r="K22" s="162" t="s">
        <v>93</v>
      </c>
      <c r="M22" s="162" t="s">
        <v>111</v>
      </c>
    </row>
    <row r="23" spans="3:13" x14ac:dyDescent="0.25">
      <c r="C23" t="s">
        <v>408</v>
      </c>
      <c r="J23" s="185" t="s">
        <v>95</v>
      </c>
      <c r="M23" s="162" t="str">
        <f>"-07"</f>
        <v>-07</v>
      </c>
    </row>
    <row r="24" spans="3:13" x14ac:dyDescent="0.25">
      <c r="C24" t="s">
        <v>861</v>
      </c>
      <c r="J24" s="162" t="s">
        <v>108</v>
      </c>
      <c r="M24" s="162" t="s">
        <v>110</v>
      </c>
    </row>
    <row r="25" spans="3:13" x14ac:dyDescent="0.25">
      <c r="C25" t="s">
        <v>862</v>
      </c>
      <c r="J25" s="162" t="s">
        <v>150</v>
      </c>
      <c r="M25" s="162" t="b">
        <v>1</v>
      </c>
    </row>
    <row r="26" spans="3:13" x14ac:dyDescent="0.25">
      <c r="C26" t="s">
        <v>863</v>
      </c>
      <c r="J26" s="162" t="s">
        <v>151</v>
      </c>
      <c r="M26" s="162" t="str">
        <f>"C:\Users\stu\Documents\GitHub\eaglep3-reporting\EC\"&amp;TEXT(A2,"yyyy-mm-dd")&amp;"-refined-times.txt"</f>
        <v>C:\Users\stu\Documents\GitHub\eaglep3-reporting\EC\2017-01-19-refined-times.txt</v>
      </c>
    </row>
    <row r="27" spans="3:13" x14ac:dyDescent="0.25">
      <c r="C27" t="s">
        <v>407</v>
      </c>
      <c r="J27" s="162" t="s">
        <v>182</v>
      </c>
      <c r="M27" s="162" t="str">
        <f>"C:\Users\stu\Documents\GitHub\eaglep3-reporting\EC\"&amp;TEXT(A2,"YYYY-MM-DD")&amp;"-Enforcements.txt"</f>
        <v>C:\Users\stu\Documents\GitHub\eaglep3-reporting\EC\2017-01-19-Enforcements.txt</v>
      </c>
    </row>
    <row r="28" spans="3:13" x14ac:dyDescent="0.25">
      <c r="C28" t="s">
        <v>864</v>
      </c>
      <c r="J28" s="162" t="s">
        <v>183</v>
      </c>
      <c r="M28" s="162" t="str">
        <f>"C:\Users\stu\Documents\GitHub\eaglep3-reporting\EC\"&amp;TEXT(A2,"YYYY-MM-DD")&amp;"-Runs-refined.txt"</f>
        <v>C:\Users\stu\Documents\GitHub\eaglep3-reporting\EC\2017-01-19-Runs-refined.txt</v>
      </c>
    </row>
    <row r="29" spans="3:13" x14ac:dyDescent="0.25">
      <c r="C29" t="s">
        <v>865</v>
      </c>
      <c r="J29" s="162" t="s">
        <v>184</v>
      </c>
      <c r="M29" s="162" t="str">
        <f>"C:\Users\stu\Documents\GitHub\eaglep3-reporting\EC\"&amp;TEXT(A2,"YYYY-MM-DD")&amp;"-Trips.txt"</f>
        <v>C:\Users\stu\Documents\GitHub\eaglep3-reporting\EC\2017-01-19-Trips.txt</v>
      </c>
    </row>
    <row r="30" spans="3:13" x14ac:dyDescent="0.25">
      <c r="C30" t="s">
        <v>866</v>
      </c>
      <c r="J30" s="162" t="s">
        <v>185</v>
      </c>
      <c r="M30" s="162" t="str">
        <f>"C:\Users\stu\Documents\GitHub\eaglep3-reporting\EC\"&amp;TEXT(A2,"YYYY-MM-DD")&amp;"-Weather.txt"</f>
        <v>C:\Users\stu\Documents\GitHub\eaglep3-reporting\EC\2017-01-19-Weather.txt</v>
      </c>
    </row>
    <row r="31" spans="3:13" x14ac:dyDescent="0.25">
      <c r="C31" t="s">
        <v>867</v>
      </c>
      <c r="J31" s="162" t="s">
        <v>230</v>
      </c>
      <c r="M31" s="162" t="s">
        <v>231</v>
      </c>
    </row>
    <row r="32" spans="3:13" x14ac:dyDescent="0.25">
      <c r="C32" t="s">
        <v>868</v>
      </c>
    </row>
    <row r="33" spans="3:3" x14ac:dyDescent="0.25">
      <c r="C33" t="s">
        <v>869</v>
      </c>
    </row>
    <row r="34" spans="3:3" x14ac:dyDescent="0.25">
      <c r="C34" t="s">
        <v>870</v>
      </c>
    </row>
    <row r="35" spans="3:3" x14ac:dyDescent="0.25">
      <c r="C35" t="s">
        <v>871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9" bestFit="1" customWidth="1"/>
    <col min="2" max="7" width="9.140625" style="109"/>
    <col min="8" max="8" width="17.7109375" style="109" bestFit="1" customWidth="1"/>
    <col min="9" max="9" width="9.140625" style="111"/>
    <col min="10" max="16384" width="9.140625" style="109"/>
  </cols>
  <sheetData>
    <row r="1" spans="1:11" x14ac:dyDescent="0.25">
      <c r="A1" s="108" t="s">
        <v>121</v>
      </c>
      <c r="B1" s="108" t="s">
        <v>122</v>
      </c>
      <c r="C1" s="109" t="s">
        <v>123</v>
      </c>
      <c r="H1" t="s">
        <v>117</v>
      </c>
      <c r="I1" s="110" t="s">
        <v>119</v>
      </c>
      <c r="J1"/>
    </row>
    <row r="2" spans="1:11" x14ac:dyDescent="0.25">
      <c r="A2" s="109" t="s">
        <v>124</v>
      </c>
      <c r="B2" s="109" t="s">
        <v>125</v>
      </c>
      <c r="C2" s="109" t="s">
        <v>126</v>
      </c>
      <c r="H2" t="s">
        <v>118</v>
      </c>
      <c r="I2" s="102" t="s">
        <v>120</v>
      </c>
      <c r="J2"/>
    </row>
    <row r="3" spans="1:11" x14ac:dyDescent="0.25">
      <c r="A3" s="109" t="s">
        <v>127</v>
      </c>
      <c r="B3" s="109" t="s">
        <v>128</v>
      </c>
      <c r="C3" s="109" t="s">
        <v>129</v>
      </c>
      <c r="H3" t="s">
        <v>143</v>
      </c>
      <c r="I3" s="102">
        <v>1</v>
      </c>
      <c r="J3"/>
      <c r="K3" s="65"/>
    </row>
    <row r="4" spans="1:11" x14ac:dyDescent="0.25">
      <c r="A4" s="109" t="s">
        <v>130</v>
      </c>
      <c r="C4" s="109" t="s">
        <v>131</v>
      </c>
      <c r="H4" t="s">
        <v>144</v>
      </c>
      <c r="I4" s="102">
        <v>2</v>
      </c>
      <c r="J4"/>
      <c r="K4" s="65"/>
    </row>
    <row r="5" spans="1:11" x14ac:dyDescent="0.25">
      <c r="A5" s="109" t="s">
        <v>132</v>
      </c>
      <c r="C5" s="109" t="s">
        <v>133</v>
      </c>
      <c r="H5" t="s">
        <v>145</v>
      </c>
      <c r="I5" s="102">
        <v>23</v>
      </c>
      <c r="J5"/>
      <c r="K5" s="65"/>
    </row>
    <row r="6" spans="1:11" x14ac:dyDescent="0.25">
      <c r="A6" s="109" t="s">
        <v>134</v>
      </c>
      <c r="C6" s="109" t="s">
        <v>135</v>
      </c>
      <c r="H6" s="112" t="s">
        <v>146</v>
      </c>
      <c r="I6" s="113" t="s">
        <v>125</v>
      </c>
    </row>
    <row r="7" spans="1:11" x14ac:dyDescent="0.25">
      <c r="A7" s="109" t="s">
        <v>136</v>
      </c>
      <c r="C7" s="109" t="s">
        <v>137</v>
      </c>
    </row>
    <row r="8" spans="1:11" x14ac:dyDescent="0.25">
      <c r="C8" s="109" t="s">
        <v>138</v>
      </c>
    </row>
    <row r="9" spans="1:11" x14ac:dyDescent="0.25">
      <c r="C9" s="112" t="s">
        <v>173</v>
      </c>
    </row>
    <row r="10" spans="1:11" x14ac:dyDescent="0.25">
      <c r="C10" s="109" t="s">
        <v>139</v>
      </c>
    </row>
    <row r="11" spans="1:11" x14ac:dyDescent="0.25">
      <c r="C11" s="109" t="s">
        <v>140</v>
      </c>
    </row>
    <row r="12" spans="1:11" x14ac:dyDescent="0.25">
      <c r="C12" s="109" t="s">
        <v>141</v>
      </c>
    </row>
    <row r="13" spans="1:11" x14ac:dyDescent="0.25">
      <c r="C13" s="109" t="s">
        <v>142</v>
      </c>
    </row>
    <row r="14" spans="1:11" x14ac:dyDescent="0.25">
      <c r="C14" s="112" t="s">
        <v>174</v>
      </c>
    </row>
    <row r="15" spans="1:11" x14ac:dyDescent="0.25">
      <c r="C15" s="112" t="s">
        <v>198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topLeftCell="A31" workbookViewId="0">
      <selection activeCell="C68" sqref="C68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411</v>
      </c>
      <c r="B1" t="str">
        <f t="shared" ref="B1:B30" si="0">MID(A1,6,23)</f>
        <v>2017/01/18 09:58:52.675</v>
      </c>
      <c r="C1" t="e">
        <f>ABS(B1-#REF!)</f>
        <v>#REF!</v>
      </c>
    </row>
    <row r="2" spans="1:3" x14ac:dyDescent="0.25">
      <c r="A2" t="s">
        <v>412</v>
      </c>
      <c r="B2" s="21" t="str">
        <f t="shared" si="0"/>
        <v>2017/01/18 09:58:52.816</v>
      </c>
      <c r="C2">
        <f>ABS(B2-B1)</f>
        <v>1.6319463611580431E-6</v>
      </c>
    </row>
    <row r="3" spans="1:3" x14ac:dyDescent="0.25">
      <c r="A3" t="s">
        <v>413</v>
      </c>
      <c r="B3" s="21" t="str">
        <f t="shared" si="0"/>
        <v>2017/01/18 09:58:53.243</v>
      </c>
      <c r="C3" s="21">
        <f t="shared" ref="C3:C30" si="1">ABS(B3-B2)</f>
        <v>4.9421287258155644E-6</v>
      </c>
    </row>
    <row r="4" spans="1:3" x14ac:dyDescent="0.25">
      <c r="A4" t="s">
        <v>414</v>
      </c>
      <c r="B4" s="21" t="str">
        <f t="shared" si="0"/>
        <v>2017/01/18 11:15:25.888</v>
      </c>
      <c r="C4" s="21">
        <f t="shared" si="1"/>
        <v>5.3155613430135418E-2</v>
      </c>
    </row>
    <row r="5" spans="1:3" x14ac:dyDescent="0.25">
      <c r="A5" t="s">
        <v>415</v>
      </c>
      <c r="B5" s="21" t="str">
        <f t="shared" si="0"/>
        <v>2017/01/18 11:15:26.270</v>
      </c>
      <c r="C5" s="21">
        <f t="shared" si="1"/>
        <v>4.4212938519194722E-6</v>
      </c>
    </row>
    <row r="6" spans="1:3" x14ac:dyDescent="0.25">
      <c r="A6" t="s">
        <v>416</v>
      </c>
      <c r="B6" s="21" t="str">
        <f t="shared" si="0"/>
        <v>2017/01/18 11:15:26.441</v>
      </c>
      <c r="C6" s="21">
        <f t="shared" si="1"/>
        <v>1.9791696104221046E-6</v>
      </c>
    </row>
    <row r="7" spans="1:3" x14ac:dyDescent="0.25">
      <c r="A7" t="s">
        <v>417</v>
      </c>
      <c r="B7" s="21" t="str">
        <f t="shared" si="0"/>
        <v>2017/01/18 13:52:30.507</v>
      </c>
      <c r="C7" s="21">
        <f t="shared" si="1"/>
        <v>0.10907483795745065</v>
      </c>
    </row>
    <row r="8" spans="1:3" x14ac:dyDescent="0.25">
      <c r="A8" t="s">
        <v>418</v>
      </c>
      <c r="B8" s="21" t="str">
        <f t="shared" si="0"/>
        <v>2017/01/18 13:52:30.738</v>
      </c>
      <c r="C8" s="21">
        <f t="shared" si="1"/>
        <v>2.6736161089502275E-6</v>
      </c>
    </row>
    <row r="9" spans="1:3" x14ac:dyDescent="0.25">
      <c r="A9" t="s">
        <v>419</v>
      </c>
      <c r="B9" s="21" t="str">
        <f t="shared" si="0"/>
        <v>2017/01/18 13:53:06.738</v>
      </c>
      <c r="C9" s="21">
        <f t="shared" si="1"/>
        <v>4.1666666220407933E-4</v>
      </c>
    </row>
    <row r="10" spans="1:3" x14ac:dyDescent="0.25">
      <c r="A10" t="s">
        <v>420</v>
      </c>
      <c r="B10" s="21" t="str">
        <f t="shared" si="0"/>
        <v>2017/01/18 13:53:09.506</v>
      </c>
      <c r="C10" s="21">
        <f t="shared" si="1"/>
        <v>3.2037038181442767E-5</v>
      </c>
    </row>
    <row r="11" spans="1:3" x14ac:dyDescent="0.25">
      <c r="A11" t="s">
        <v>421</v>
      </c>
      <c r="B11" s="21" t="str">
        <f t="shared" si="0"/>
        <v>2017/01/18 15:19:28.712</v>
      </c>
      <c r="C11" s="21">
        <f t="shared" si="1"/>
        <v>5.9944513886875939E-2</v>
      </c>
    </row>
    <row r="12" spans="1:3" x14ac:dyDescent="0.25">
      <c r="A12" t="s">
        <v>422</v>
      </c>
      <c r="B12" s="21" t="str">
        <f t="shared" si="0"/>
        <v>2017/01/18 15:19:28.747</v>
      </c>
      <c r="C12" s="21">
        <f t="shared" si="1"/>
        <v>4.0509621612727642E-7</v>
      </c>
    </row>
    <row r="13" spans="1:3" x14ac:dyDescent="0.25">
      <c r="A13" t="s">
        <v>423</v>
      </c>
      <c r="B13" s="21" t="str">
        <f t="shared" si="0"/>
        <v>2017/01/18 15:34:57.876</v>
      </c>
      <c r="C13" s="21">
        <f t="shared" si="1"/>
        <v>1.0753807873697951E-2</v>
      </c>
    </row>
    <row r="14" spans="1:3" x14ac:dyDescent="0.25">
      <c r="A14" t="s">
        <v>424</v>
      </c>
      <c r="B14" s="21" t="str">
        <f t="shared" si="0"/>
        <v>2017/01/18 15:34:58.083</v>
      </c>
      <c r="C14" s="21">
        <f t="shared" si="1"/>
        <v>2.3958273231983185E-6</v>
      </c>
    </row>
    <row r="15" spans="1:3" x14ac:dyDescent="0.25">
      <c r="A15" t="s">
        <v>425</v>
      </c>
      <c r="B15" s="21" t="str">
        <f t="shared" si="0"/>
        <v>2017/01/18 15:34:58.903</v>
      </c>
      <c r="C15" s="21">
        <f t="shared" si="1"/>
        <v>9.4907445600256324E-6</v>
      </c>
    </row>
    <row r="16" spans="1:3" x14ac:dyDescent="0.25">
      <c r="A16" t="s">
        <v>426</v>
      </c>
      <c r="B16" s="21" t="str">
        <f t="shared" si="0"/>
        <v>2017/01/18 15:36:44.136</v>
      </c>
      <c r="C16" s="21">
        <f t="shared" si="1"/>
        <v>1.2179745390312746E-3</v>
      </c>
    </row>
    <row r="17" spans="1:3" x14ac:dyDescent="0.25">
      <c r="A17" t="s">
        <v>427</v>
      </c>
      <c r="B17" s="21" t="str">
        <f t="shared" si="0"/>
        <v>2017/01/18 15:36:44.551</v>
      </c>
      <c r="C17" s="21">
        <f t="shared" si="1"/>
        <v>4.803237970918417E-6</v>
      </c>
    </row>
    <row r="18" spans="1:3" x14ac:dyDescent="0.25">
      <c r="A18" t="s">
        <v>428</v>
      </c>
      <c r="B18" s="21" t="str">
        <f t="shared" si="0"/>
        <v>2017/01/18 15:36:45.566</v>
      </c>
      <c r="C18" s="21">
        <f t="shared" si="1"/>
        <v>1.1747681128326803E-5</v>
      </c>
    </row>
    <row r="19" spans="1:3" x14ac:dyDescent="0.25">
      <c r="A19" t="s">
        <v>429</v>
      </c>
      <c r="B19" s="21" t="str">
        <f t="shared" si="0"/>
        <v>2017/01/18 16:40:12.999</v>
      </c>
      <c r="C19" s="21">
        <f t="shared" si="1"/>
        <v>4.4067511575121898E-2</v>
      </c>
    </row>
    <row r="20" spans="1:3" x14ac:dyDescent="0.25">
      <c r="A20" t="s">
        <v>430</v>
      </c>
      <c r="B20" s="21" t="str">
        <f t="shared" si="0"/>
        <v>2017/01/18 16:40:13.709</v>
      </c>
      <c r="C20" s="21">
        <f t="shared" si="1"/>
        <v>8.2175974966958165E-6</v>
      </c>
    </row>
    <row r="21" spans="1:3" x14ac:dyDescent="0.25">
      <c r="A21" t="s">
        <v>431</v>
      </c>
      <c r="B21" s="21" t="str">
        <f t="shared" si="0"/>
        <v>2017/01/18 17:02:18.713</v>
      </c>
      <c r="C21" s="21">
        <f t="shared" si="1"/>
        <v>1.5335694442910608E-2</v>
      </c>
    </row>
    <row r="22" spans="1:3" x14ac:dyDescent="0.25">
      <c r="A22" t="s">
        <v>432</v>
      </c>
      <c r="B22" s="21" t="str">
        <f t="shared" si="0"/>
        <v>2017/01/18 17:02:18.994</v>
      </c>
      <c r="C22" s="21">
        <f t="shared" si="1"/>
        <v>3.2523166737519205E-6</v>
      </c>
    </row>
    <row r="23" spans="1:3" x14ac:dyDescent="0.25">
      <c r="A23" t="s">
        <v>433</v>
      </c>
      <c r="B23" s="21" t="str">
        <f t="shared" si="0"/>
        <v>2017/01/18 17:13:56.683</v>
      </c>
      <c r="C23" s="21">
        <f t="shared" si="1"/>
        <v>8.0751041605253704E-3</v>
      </c>
    </row>
    <row r="24" spans="1:3" x14ac:dyDescent="0.25">
      <c r="A24" t="s">
        <v>434</v>
      </c>
      <c r="B24" s="21" t="str">
        <f t="shared" si="0"/>
        <v>2017/01/18 17:13:56.828</v>
      </c>
      <c r="C24" s="21">
        <f t="shared" si="1"/>
        <v>1.6782432794570923E-6</v>
      </c>
    </row>
    <row r="25" spans="1:3" x14ac:dyDescent="0.25">
      <c r="A25" t="s">
        <v>435</v>
      </c>
      <c r="B25" s="21" t="str">
        <f t="shared" si="0"/>
        <v>2017/01/18 17:13:57.273</v>
      </c>
      <c r="C25" s="21">
        <f t="shared" si="1"/>
        <v>5.1504612201824784E-6</v>
      </c>
    </row>
    <row r="26" spans="1:3" x14ac:dyDescent="0.25">
      <c r="A26" t="s">
        <v>436</v>
      </c>
      <c r="B26" s="21" t="str">
        <f t="shared" si="0"/>
        <v>2017/01/18 18:19:52.883</v>
      </c>
      <c r="C26" s="21">
        <f t="shared" si="1"/>
        <v>4.5782523149682675E-2</v>
      </c>
    </row>
    <row r="27" spans="1:3" x14ac:dyDescent="0.25">
      <c r="A27" t="s">
        <v>437</v>
      </c>
      <c r="B27" s="21" t="str">
        <f t="shared" si="0"/>
        <v>2017/01/18 18:19:53.267</v>
      </c>
      <c r="C27" s="21">
        <f t="shared" si="1"/>
        <v>4.4444459490478039E-6</v>
      </c>
    </row>
    <row r="28" spans="1:3" x14ac:dyDescent="0.25">
      <c r="A28" t="s">
        <v>438</v>
      </c>
      <c r="B28" s="21" t="str">
        <f t="shared" si="0"/>
        <v>2017/01/18 18:19:53.456</v>
      </c>
      <c r="C28" s="21">
        <f t="shared" si="1"/>
        <v>2.1875021047890186E-6</v>
      </c>
    </row>
    <row r="29" spans="1:3" x14ac:dyDescent="0.25">
      <c r="A29" t="s">
        <v>439</v>
      </c>
      <c r="B29" s="21" t="str">
        <f t="shared" si="0"/>
        <v>2017/01/18 18:42:43.694</v>
      </c>
      <c r="C29" s="21">
        <f t="shared" si="1"/>
        <v>1.5859236111282371E-2</v>
      </c>
    </row>
    <row r="30" spans="1:3" x14ac:dyDescent="0.25">
      <c r="A30" t="s">
        <v>440</v>
      </c>
      <c r="B30" s="21" t="str">
        <f t="shared" si="0"/>
        <v>2017/01/18 19:59:43.722</v>
      </c>
      <c r="C30" s="21">
        <f t="shared" si="1"/>
        <v>5.3472546293050982E-2</v>
      </c>
    </row>
    <row r="31" spans="1:3" x14ac:dyDescent="0.25">
      <c r="A31" t="s">
        <v>441</v>
      </c>
      <c r="B31" s="21" t="str">
        <f t="shared" ref="B31:B57" si="2">MID(A31,6,23)</f>
        <v>2017/01/18 21:03:50.214</v>
      </c>
      <c r="C31" s="21">
        <f t="shared" ref="C31:C57" si="3">ABS(B31-B30)</f>
        <v>4.4519583330838941E-2</v>
      </c>
    </row>
    <row r="32" spans="1:3" x14ac:dyDescent="0.25">
      <c r="A32" t="s">
        <v>442</v>
      </c>
      <c r="B32" s="21" t="str">
        <f t="shared" si="2"/>
        <v>2017/01/18 21:03:50.440</v>
      </c>
      <c r="C32" s="21">
        <f t="shared" si="3"/>
        <v>2.6157431420870125E-6</v>
      </c>
    </row>
    <row r="33" spans="1:3" x14ac:dyDescent="0.25">
      <c r="A33" t="s">
        <v>443</v>
      </c>
      <c r="B33" s="21" t="str">
        <f t="shared" si="2"/>
        <v>2017/01/18 21:03:51.158</v>
      </c>
      <c r="C33" s="21">
        <f t="shared" si="3"/>
        <v>8.3101840573363006E-6</v>
      </c>
    </row>
    <row r="34" spans="1:3" x14ac:dyDescent="0.25">
      <c r="A34" t="s">
        <v>444</v>
      </c>
      <c r="B34" s="21" t="str">
        <f t="shared" si="2"/>
        <v>2017/01/18 21:51:20.275</v>
      </c>
      <c r="C34" s="21">
        <f t="shared" si="3"/>
        <v>3.2975891204841901E-2</v>
      </c>
    </row>
    <row r="35" spans="1:3" x14ac:dyDescent="0.25">
      <c r="A35" t="s">
        <v>445</v>
      </c>
      <c r="B35" s="21" t="str">
        <f t="shared" si="2"/>
        <v>2017/01/18 21:51:20.449</v>
      </c>
      <c r="C35" s="21">
        <f t="shared" si="3"/>
        <v>2.0138904801569879E-6</v>
      </c>
    </row>
    <row r="36" spans="1:3" x14ac:dyDescent="0.25">
      <c r="A36" t="s">
        <v>446</v>
      </c>
      <c r="B36" s="21" t="str">
        <f t="shared" si="2"/>
        <v>2017/01/18 22:33:29.836</v>
      </c>
      <c r="C36" s="21">
        <f t="shared" si="3"/>
        <v>2.9275312495883554E-2</v>
      </c>
    </row>
    <row r="37" spans="1:3" x14ac:dyDescent="0.25">
      <c r="A37" t="s">
        <v>447</v>
      </c>
      <c r="B37" s="21" t="str">
        <f t="shared" si="2"/>
        <v>2017/01/18 22:38:44.814</v>
      </c>
      <c r="C37" s="21">
        <f t="shared" si="3"/>
        <v>3.6455787048907951E-3</v>
      </c>
    </row>
    <row r="38" spans="1:3" x14ac:dyDescent="0.25">
      <c r="A38" t="s">
        <v>448</v>
      </c>
      <c r="B38" s="21" t="str">
        <f t="shared" si="2"/>
        <v>2017/01/18 22:38:45.246</v>
      </c>
      <c r="C38" s="21">
        <f t="shared" si="3"/>
        <v>5.0000016926787794E-6</v>
      </c>
    </row>
    <row r="39" spans="1:3" x14ac:dyDescent="0.25">
      <c r="A39" t="s">
        <v>449</v>
      </c>
      <c r="B39" s="21" t="str">
        <f t="shared" si="2"/>
        <v>2017/01/18 23:26:51.844</v>
      </c>
      <c r="C39" s="21">
        <f t="shared" si="3"/>
        <v>3.3409699077310506E-2</v>
      </c>
    </row>
    <row r="40" spans="1:3" x14ac:dyDescent="0.25">
      <c r="A40" t="s">
        <v>450</v>
      </c>
      <c r="B40" s="21" t="str">
        <f t="shared" si="2"/>
        <v>2017/01/18 23:26:51.959</v>
      </c>
      <c r="C40" s="21">
        <f t="shared" si="3"/>
        <v>1.3310127542354167E-6</v>
      </c>
    </row>
    <row r="41" spans="1:3" x14ac:dyDescent="0.25">
      <c r="A41" t="s">
        <v>451</v>
      </c>
      <c r="B41" s="21" t="str">
        <f t="shared" si="2"/>
        <v>2017/01/18 23:26:52.628</v>
      </c>
      <c r="C41" s="21">
        <f t="shared" si="3"/>
        <v>7.7430595410987735E-6</v>
      </c>
    </row>
    <row r="42" spans="1:3" x14ac:dyDescent="0.25">
      <c r="A42" t="s">
        <v>452</v>
      </c>
      <c r="B42" s="21" t="str">
        <f t="shared" si="2"/>
        <v>2017/01/19 00:20:12.823</v>
      </c>
      <c r="C42" s="21">
        <f t="shared" si="3"/>
        <v>3.7039293980342336E-2</v>
      </c>
    </row>
    <row r="43" spans="1:3" x14ac:dyDescent="0.25">
      <c r="A43" t="s">
        <v>453</v>
      </c>
      <c r="B43" s="21" t="str">
        <f t="shared" si="2"/>
        <v>2017/01/19 00:20:13.244</v>
      </c>
      <c r="C43" s="21">
        <f t="shared" si="3"/>
        <v>4.8726869863457978E-6</v>
      </c>
    </row>
    <row r="44" spans="1:3" x14ac:dyDescent="0.25">
      <c r="A44" t="s">
        <v>454</v>
      </c>
      <c r="B44" s="21" t="str">
        <f t="shared" si="2"/>
        <v>2017/01/19 00:51:07.407</v>
      </c>
      <c r="C44" s="21">
        <f t="shared" si="3"/>
        <v>2.1460219904838596E-2</v>
      </c>
    </row>
    <row r="45" spans="1:3" x14ac:dyDescent="0.25">
      <c r="A45" t="s">
        <v>455</v>
      </c>
      <c r="B45" s="21" t="str">
        <f t="shared" si="2"/>
        <v>2017/01/19 00:51:07.545</v>
      </c>
      <c r="C45" s="21">
        <f t="shared" si="3"/>
        <v>1.5972254914231598E-6</v>
      </c>
    </row>
    <row r="46" spans="1:3" x14ac:dyDescent="0.25">
      <c r="A46" t="s">
        <v>456</v>
      </c>
      <c r="B46" s="21" t="str">
        <f t="shared" si="2"/>
        <v>2017/01/19 01:06:26.274</v>
      </c>
      <c r="C46" s="21">
        <f t="shared" si="3"/>
        <v>1.0633437494107056E-2</v>
      </c>
    </row>
    <row r="47" spans="1:3" x14ac:dyDescent="0.25">
      <c r="A47" t="s">
        <v>457</v>
      </c>
      <c r="B47" s="21" t="str">
        <f t="shared" si="2"/>
        <v>2017/01/19 01:06:26.611</v>
      </c>
      <c r="C47" s="21">
        <f t="shared" si="3"/>
        <v>3.9004662539809942E-6</v>
      </c>
    </row>
    <row r="48" spans="1:3" x14ac:dyDescent="0.25">
      <c r="A48" t="s">
        <v>458</v>
      </c>
      <c r="B48" s="21" t="str">
        <f t="shared" si="2"/>
        <v>2017/01/19 01:21:04.823</v>
      </c>
      <c r="C48" s="21">
        <f t="shared" si="3"/>
        <v>1.0164490740862675E-2</v>
      </c>
    </row>
    <row r="49" spans="1:3" x14ac:dyDescent="0.25">
      <c r="A49" t="s">
        <v>459</v>
      </c>
      <c r="B49" s="21" t="str">
        <f t="shared" si="2"/>
        <v>2017/01/19 01:21:04.998</v>
      </c>
      <c r="C49" s="21">
        <f t="shared" si="3"/>
        <v>2.0254592527635396E-6</v>
      </c>
    </row>
    <row r="50" spans="1:3" x14ac:dyDescent="0.25">
      <c r="A50" t="s">
        <v>460</v>
      </c>
      <c r="B50" s="21" t="str">
        <f t="shared" si="2"/>
        <v>2017/01/19 01:21:05.269</v>
      </c>
      <c r="C50" s="21">
        <f t="shared" si="3"/>
        <v>3.1365780159831047E-6</v>
      </c>
    </row>
    <row r="51" spans="1:3" x14ac:dyDescent="0.25">
      <c r="A51" t="s">
        <v>461</v>
      </c>
      <c r="B51" s="21" t="str">
        <f t="shared" si="2"/>
        <v>2017/01/19 01:34:45.581</v>
      </c>
      <c r="C51" s="21">
        <f t="shared" si="3"/>
        <v>9.4943518488435075E-3</v>
      </c>
    </row>
    <row r="52" spans="1:3" x14ac:dyDescent="0.25">
      <c r="A52" t="s">
        <v>462</v>
      </c>
      <c r="B52" s="21" t="str">
        <f t="shared" si="2"/>
        <v>2017/01/19 01:34:45.892</v>
      </c>
      <c r="C52" s="21">
        <f t="shared" si="3"/>
        <v>3.5995399230159819E-6</v>
      </c>
    </row>
    <row r="53" spans="1:3" x14ac:dyDescent="0.25">
      <c r="A53" t="s">
        <v>463</v>
      </c>
      <c r="B53" s="21" t="str">
        <f t="shared" si="2"/>
        <v>2017/01/19 01:34:45.968</v>
      </c>
      <c r="C53" s="21">
        <f t="shared" si="3"/>
        <v>8.7962689576670527E-7</v>
      </c>
    </row>
    <row r="54" spans="1:3" x14ac:dyDescent="0.25">
      <c r="A54" t="s">
        <v>464</v>
      </c>
      <c r="B54" s="21" t="str">
        <f t="shared" si="2"/>
        <v>2017/01/19 02:19:01.191</v>
      </c>
      <c r="C54" s="21">
        <f t="shared" si="3"/>
        <v>3.0731747690879274E-2</v>
      </c>
    </row>
    <row r="55" spans="1:3" x14ac:dyDescent="0.25">
      <c r="A55" t="s">
        <v>465</v>
      </c>
      <c r="B55" s="21" t="str">
        <f t="shared" si="2"/>
        <v>2017/01/19 02:19:01.196</v>
      </c>
      <c r="C55" s="21">
        <f t="shared" si="3"/>
        <v>5.7865690905600786E-8</v>
      </c>
    </row>
    <row r="56" spans="1:3" x14ac:dyDescent="0.25">
      <c r="A56" t="s">
        <v>466</v>
      </c>
      <c r="B56" s="21" t="str">
        <f t="shared" si="2"/>
        <v>2017/01/19 02:35:31.541</v>
      </c>
      <c r="C56" s="21">
        <f t="shared" si="3"/>
        <v>1.1462326387118082E-2</v>
      </c>
    </row>
    <row r="57" spans="1:3" x14ac:dyDescent="0.25">
      <c r="A57" t="s">
        <v>467</v>
      </c>
      <c r="B57" s="21" t="str">
        <f t="shared" si="2"/>
        <v>2017/01/19 02:35:33.421</v>
      </c>
      <c r="C57" s="21">
        <f t="shared" si="3"/>
        <v>2.1759260562248528E-5</v>
      </c>
    </row>
    <row r="58" spans="1:3" x14ac:dyDescent="0.25">
      <c r="A58" t="s">
        <v>468</v>
      </c>
      <c r="B58" s="21" t="str">
        <f t="shared" ref="B58:B61" si="4">MID(A58,6,23)</f>
        <v>2017/01/19 03:06:10.269</v>
      </c>
      <c r="C58" s="21">
        <f t="shared" ref="C58:C61" si="5">ABS(B58-B57)</f>
        <v>2.1259814813674893E-2</v>
      </c>
    </row>
    <row r="59" spans="1:3" x14ac:dyDescent="0.25">
      <c r="A59" t="s">
        <v>469</v>
      </c>
      <c r="B59" s="21" t="str">
        <f t="shared" si="4"/>
        <v>2017/01/19 03:06:10.829</v>
      </c>
      <c r="C59" s="21">
        <f t="shared" si="5"/>
        <v>6.4814812503755093E-6</v>
      </c>
    </row>
    <row r="60" spans="1:3" x14ac:dyDescent="0.25">
      <c r="A60" t="s">
        <v>470</v>
      </c>
      <c r="B60" s="21" t="str">
        <f t="shared" si="4"/>
        <v>2017/01/19 05:00:20.003</v>
      </c>
      <c r="C60" s="21">
        <f t="shared" si="5"/>
        <v>7.9272847222455312E-2</v>
      </c>
    </row>
    <row r="61" spans="1:3" x14ac:dyDescent="0.25">
      <c r="A61" t="s">
        <v>471</v>
      </c>
      <c r="B61" s="21" t="str">
        <f t="shared" si="4"/>
        <v>2017/01/19 05:00:20.713</v>
      </c>
      <c r="C61" s="21">
        <f t="shared" si="5"/>
        <v>8.2175974966958165E-6</v>
      </c>
    </row>
    <row r="62" spans="1:3" x14ac:dyDescent="0.25">
      <c r="B62" s="21"/>
      <c r="C62" s="21"/>
    </row>
    <row r="63" spans="1:3" x14ac:dyDescent="0.25">
      <c r="B63" s="21"/>
      <c r="C63" s="21"/>
    </row>
    <row r="64" spans="1:3" x14ac:dyDescent="0.25">
      <c r="B64" s="21"/>
      <c r="C64" s="21"/>
    </row>
    <row r="65" spans="2:3" x14ac:dyDescent="0.25">
      <c r="B65" s="21"/>
      <c r="C65" s="21"/>
    </row>
    <row r="66" spans="2:3" x14ac:dyDescent="0.25">
      <c r="B66" s="21"/>
      <c r="C66" s="21"/>
    </row>
    <row r="67" spans="2:3" x14ac:dyDescent="0.25">
      <c r="B67" s="21"/>
      <c r="C67" s="21"/>
    </row>
    <row r="68" spans="2:3" x14ac:dyDescent="0.25">
      <c r="B68" s="21"/>
      <c r="C68" s="21"/>
    </row>
    <row r="69" spans="2:3" x14ac:dyDescent="0.25">
      <c r="B69" s="21"/>
      <c r="C69" s="21"/>
    </row>
    <row r="70" spans="2:3" x14ac:dyDescent="0.25">
      <c r="B70" s="21"/>
      <c r="C70" s="21"/>
    </row>
    <row r="71" spans="2:3" x14ac:dyDescent="0.25">
      <c r="B71" s="21"/>
      <c r="C71" s="21"/>
    </row>
    <row r="72" spans="2:3" x14ac:dyDescent="0.25">
      <c r="B72" s="21"/>
      <c r="C72" s="21"/>
    </row>
    <row r="73" spans="2:3" x14ac:dyDescent="0.25">
      <c r="B73" s="21"/>
      <c r="C73" s="21"/>
    </row>
    <row r="74" spans="2:3" x14ac:dyDescent="0.25">
      <c r="B74" s="21"/>
      <c r="C74" s="21"/>
    </row>
    <row r="75" spans="2:3" x14ac:dyDescent="0.25">
      <c r="B75" s="21"/>
      <c r="C75" s="21"/>
    </row>
    <row r="76" spans="2:3" x14ac:dyDescent="0.25">
      <c r="B76" s="21"/>
      <c r="C76" s="21"/>
    </row>
    <row r="77" spans="2:3" x14ac:dyDescent="0.25">
      <c r="B77" s="21"/>
      <c r="C77" s="21"/>
    </row>
    <row r="78" spans="2:3" x14ac:dyDescent="0.25">
      <c r="B78" s="21"/>
      <c r="C78" s="21"/>
    </row>
    <row r="79" spans="2:3" x14ac:dyDescent="0.25">
      <c r="B79" s="21"/>
      <c r="C79" s="21"/>
    </row>
    <row r="80" spans="2:3" x14ac:dyDescent="0.25">
      <c r="B80" s="21"/>
      <c r="C80" s="21"/>
    </row>
    <row r="81" spans="2:3" x14ac:dyDescent="0.25">
      <c r="B81" s="21"/>
      <c r="C81" s="21"/>
    </row>
    <row r="82" spans="2:3" x14ac:dyDescent="0.25">
      <c r="B82" s="21"/>
      <c r="C82" s="21"/>
    </row>
    <row r="83" spans="2:3" x14ac:dyDescent="0.25">
      <c r="B83" s="21"/>
      <c r="C83" s="21"/>
    </row>
    <row r="84" spans="2:3" x14ac:dyDescent="0.25">
      <c r="B84" s="21"/>
      <c r="C84" s="21"/>
    </row>
    <row r="85" spans="2:3" x14ac:dyDescent="0.25">
      <c r="B85" s="21"/>
      <c r="C85" s="21"/>
    </row>
    <row r="86" spans="2:3" x14ac:dyDescent="0.25">
      <c r="B86" s="21"/>
      <c r="C86" s="21"/>
    </row>
    <row r="87" spans="2:3" x14ac:dyDescent="0.25">
      <c r="B87" s="21"/>
      <c r="C87" s="21"/>
    </row>
    <row r="88" spans="2:3" x14ac:dyDescent="0.25">
      <c r="B88" s="21"/>
      <c r="C88" s="21"/>
    </row>
    <row r="89" spans="2:3" x14ac:dyDescent="0.25">
      <c r="B89" s="21"/>
      <c r="C89" s="21"/>
    </row>
    <row r="90" spans="2:3" x14ac:dyDescent="0.25">
      <c r="B90" s="21"/>
      <c r="C90" s="21"/>
    </row>
    <row r="91" spans="2:3" x14ac:dyDescent="0.25">
      <c r="B91" s="21"/>
      <c r="C91" s="21"/>
    </row>
    <row r="92" spans="2:3" x14ac:dyDescent="0.25">
      <c r="B92" s="21"/>
      <c r="C92" s="21"/>
    </row>
    <row r="93" spans="2:3" x14ac:dyDescent="0.25">
      <c r="B93" s="21"/>
      <c r="C93" s="21"/>
    </row>
    <row r="94" spans="2:3" x14ac:dyDescent="0.25">
      <c r="B94" s="21"/>
      <c r="C94" s="21"/>
    </row>
    <row r="95" spans="2:3" x14ac:dyDescent="0.25">
      <c r="B95" s="21"/>
      <c r="C95" s="21"/>
    </row>
    <row r="96" spans="2:3" x14ac:dyDescent="0.25">
      <c r="B96" s="21"/>
      <c r="C96" s="21"/>
    </row>
    <row r="97" spans="2:3" x14ac:dyDescent="0.25">
      <c r="B97" s="21"/>
      <c r="C97" s="21"/>
    </row>
    <row r="98" spans="2:3" x14ac:dyDescent="0.25">
      <c r="B98" s="21"/>
      <c r="C98" s="21"/>
    </row>
    <row r="99" spans="2:3" x14ac:dyDescent="0.25">
      <c r="B99" s="21"/>
      <c r="C99" s="21"/>
    </row>
    <row r="100" spans="2:3" x14ac:dyDescent="0.25">
      <c r="B100" s="21"/>
      <c r="C100" s="21"/>
    </row>
    <row r="101" spans="2:3" x14ac:dyDescent="0.25">
      <c r="B101" s="21"/>
      <c r="C101" s="21"/>
    </row>
    <row r="102" spans="2:3" x14ac:dyDescent="0.25">
      <c r="B102" s="21"/>
      <c r="C102" s="21"/>
    </row>
    <row r="103" spans="2:3" x14ac:dyDescent="0.25">
      <c r="B103" s="21"/>
      <c r="C103" s="21"/>
    </row>
    <row r="104" spans="2:3" x14ac:dyDescent="0.25">
      <c r="B104" s="21"/>
      <c r="C104" s="21"/>
    </row>
    <row r="105" spans="2:3" x14ac:dyDescent="0.25">
      <c r="B105" s="21"/>
      <c r="C105" s="21"/>
    </row>
    <row r="106" spans="2:3" x14ac:dyDescent="0.25">
      <c r="B106" s="21"/>
      <c r="C106" s="21"/>
    </row>
    <row r="107" spans="2:3" x14ac:dyDescent="0.25">
      <c r="B107" s="21"/>
      <c r="C107" s="21"/>
    </row>
    <row r="108" spans="2:3" x14ac:dyDescent="0.25">
      <c r="B108" s="21"/>
      <c r="C108" s="21"/>
    </row>
    <row r="109" spans="2:3" x14ac:dyDescent="0.25">
      <c r="B109" s="21"/>
      <c r="C109" s="21"/>
    </row>
    <row r="110" spans="2:3" x14ac:dyDescent="0.25">
      <c r="B110" s="21"/>
      <c r="C110" s="21"/>
    </row>
    <row r="111" spans="2:3" x14ac:dyDescent="0.25">
      <c r="B111" s="21"/>
      <c r="C111" s="21"/>
    </row>
    <row r="112" spans="2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2017-01-24T16:33:15Z</dcterms:modified>
</cp:coreProperties>
</file>