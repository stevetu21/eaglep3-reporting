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22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Runs'!$A$12:$AG$219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25" i="1" l="1"/>
  <c r="X126" i="1"/>
  <c r="X127" i="1"/>
  <c r="X128" i="1"/>
  <c r="X129" i="1"/>
  <c r="K13" i="1"/>
  <c r="L13" i="1"/>
  <c r="M13" i="1"/>
  <c r="N13" i="1" s="1"/>
  <c r="V13" i="1"/>
  <c r="Y13" i="1"/>
  <c r="Z13" i="1"/>
  <c r="AB13" i="1"/>
  <c r="AC13" i="1"/>
  <c r="AD13" i="1"/>
  <c r="AG13" i="1" s="1"/>
  <c r="AE13" i="1"/>
  <c r="AF13" i="1"/>
  <c r="AH13" i="1"/>
  <c r="AM13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K15" i="1"/>
  <c r="L15" i="1"/>
  <c r="M15" i="1"/>
  <c r="N15" i="1" s="1"/>
  <c r="V15" i="1"/>
  <c r="S20" i="3" s="1"/>
  <c r="Y15" i="1"/>
  <c r="Z15" i="1"/>
  <c r="AA15" i="1" s="1"/>
  <c r="AB15" i="1"/>
  <c r="AC15" i="1"/>
  <c r="AD15" i="1"/>
  <c r="AG15" i="1" s="1"/>
  <c r="AE15" i="1"/>
  <c r="R20" i="3" s="1"/>
  <c r="AF15" i="1"/>
  <c r="AH15" i="1"/>
  <c r="AM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K17" i="1"/>
  <c r="L17" i="1"/>
  <c r="M17" i="1"/>
  <c r="N17" i="1" s="1"/>
  <c r="V17" i="1"/>
  <c r="Y17" i="1"/>
  <c r="Z17" i="1"/>
  <c r="AA17" i="1" s="1"/>
  <c r="W17" i="1" s="1"/>
  <c r="AB17" i="1"/>
  <c r="AC17" i="1"/>
  <c r="AD17" i="1"/>
  <c r="AG17" i="1" s="1"/>
  <c r="AE17" i="1"/>
  <c r="AF17" i="1"/>
  <c r="AH17" i="1"/>
  <c r="AM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K19" i="1"/>
  <c r="L19" i="1"/>
  <c r="M19" i="1"/>
  <c r="N19" i="1"/>
  <c r="V19" i="1"/>
  <c r="Y19" i="1"/>
  <c r="Z19" i="1"/>
  <c r="AB19" i="1"/>
  <c r="AC19" i="1"/>
  <c r="AD19" i="1"/>
  <c r="AG19" i="1" s="1"/>
  <c r="AE19" i="1"/>
  <c r="AF19" i="1"/>
  <c r="AH19" i="1"/>
  <c r="AM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AM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K28" i="1"/>
  <c r="L28" i="1"/>
  <c r="M28" i="1"/>
  <c r="P28" i="1" s="1"/>
  <c r="V28" i="1"/>
  <c r="Y28" i="1"/>
  <c r="Z28" i="1"/>
  <c r="AB28" i="1"/>
  <c r="AC28" i="1"/>
  <c r="AD28" i="1"/>
  <c r="T28" i="1" s="1"/>
  <c r="AE28" i="1"/>
  <c r="AF28" i="1"/>
  <c r="AH28" i="1"/>
  <c r="AM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K62" i="1"/>
  <c r="L62" i="1"/>
  <c r="M62" i="1"/>
  <c r="N62" i="1" s="1"/>
  <c r="V62" i="1"/>
  <c r="Y62" i="1"/>
  <c r="Z62" i="1"/>
  <c r="AB62" i="1"/>
  <c r="AC62" i="1"/>
  <c r="AD62" i="1"/>
  <c r="X62" i="1" s="1"/>
  <c r="AE62" i="1"/>
  <c r="AF62" i="1"/>
  <c r="AH62" i="1"/>
  <c r="AM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K71" i="1"/>
  <c r="L71" i="1"/>
  <c r="M71" i="1"/>
  <c r="N71" i="1" s="1"/>
  <c r="V71" i="1"/>
  <c r="S15" i="3" s="1"/>
  <c r="Y71" i="1"/>
  <c r="Z71" i="1"/>
  <c r="AB71" i="1"/>
  <c r="AC71" i="1"/>
  <c r="AD71" i="1"/>
  <c r="AG71" i="1" s="1"/>
  <c r="AE71" i="1"/>
  <c r="R15" i="3" s="1"/>
  <c r="AF71" i="1"/>
  <c r="AH71" i="1"/>
  <c r="AM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K79" i="1"/>
  <c r="L79" i="1"/>
  <c r="M79" i="1"/>
  <c r="N79" i="1" s="1"/>
  <c r="V79" i="1"/>
  <c r="S21" i="3" s="1"/>
  <c r="Y79" i="1"/>
  <c r="Z79" i="1"/>
  <c r="AB79" i="1"/>
  <c r="AC79" i="1"/>
  <c r="AD79" i="1"/>
  <c r="AG79" i="1" s="1"/>
  <c r="AE79" i="1"/>
  <c r="R21" i="3" s="1"/>
  <c r="AF79" i="1"/>
  <c r="AH79" i="1"/>
  <c r="AM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K81" i="1"/>
  <c r="L81" i="1"/>
  <c r="M81" i="1"/>
  <c r="N81" i="1" s="1"/>
  <c r="V81" i="1"/>
  <c r="Y81" i="1"/>
  <c r="Z81" i="1"/>
  <c r="AB81" i="1"/>
  <c r="AC81" i="1"/>
  <c r="AD81" i="1"/>
  <c r="AE81" i="1"/>
  <c r="R14" i="3" s="1"/>
  <c r="AF81" i="1"/>
  <c r="AH81" i="1"/>
  <c r="AM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K85" i="1"/>
  <c r="L85" i="1"/>
  <c r="M85" i="1"/>
  <c r="N85" i="1" s="1"/>
  <c r="V85" i="1"/>
  <c r="S17" i="3" s="1"/>
  <c r="Y85" i="1"/>
  <c r="Z85" i="1"/>
  <c r="AB85" i="1"/>
  <c r="AC85" i="1"/>
  <c r="AD85" i="1"/>
  <c r="AG85" i="1" s="1"/>
  <c r="AE85" i="1"/>
  <c r="R16" i="3" s="1"/>
  <c r="AF85" i="1"/>
  <c r="AH85" i="1"/>
  <c r="AM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K97" i="1"/>
  <c r="L97" i="1"/>
  <c r="M97" i="1"/>
  <c r="N97" i="1" s="1"/>
  <c r="V97" i="1"/>
  <c r="Y97" i="1"/>
  <c r="Z97" i="1"/>
  <c r="AA97" i="1" s="1"/>
  <c r="AB97" i="1"/>
  <c r="AC97" i="1"/>
  <c r="AD97" i="1"/>
  <c r="AG97" i="1" s="1"/>
  <c r="AE97" i="1"/>
  <c r="AF97" i="1"/>
  <c r="AH97" i="1"/>
  <c r="AM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K99" i="1"/>
  <c r="L99" i="1"/>
  <c r="M99" i="1"/>
  <c r="N99" i="1" s="1"/>
  <c r="V99" i="1"/>
  <c r="Y99" i="1"/>
  <c r="Z99" i="1"/>
  <c r="AA99" i="1" s="1"/>
  <c r="AB99" i="1"/>
  <c r="AC99" i="1"/>
  <c r="AD99" i="1"/>
  <c r="AE99" i="1"/>
  <c r="AF99" i="1"/>
  <c r="AH99" i="1"/>
  <c r="AM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K103" i="1"/>
  <c r="L103" i="1"/>
  <c r="M103" i="1"/>
  <c r="N103" i="1" s="1"/>
  <c r="V103" i="1"/>
  <c r="Y103" i="1"/>
  <c r="Z103" i="1"/>
  <c r="AA103" i="1" s="1"/>
  <c r="AB103" i="1"/>
  <c r="AC103" i="1"/>
  <c r="AD103" i="1"/>
  <c r="T103" i="1" s="1"/>
  <c r="AE103" i="1"/>
  <c r="AF103" i="1"/>
  <c r="AH103" i="1"/>
  <c r="AM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K105" i="1"/>
  <c r="L105" i="1"/>
  <c r="M105" i="1"/>
  <c r="N105" i="1" s="1"/>
  <c r="V105" i="1"/>
  <c r="S22" i="3" s="1"/>
  <c r="Y105" i="1"/>
  <c r="Z105" i="1"/>
  <c r="AB105" i="1"/>
  <c r="AC105" i="1"/>
  <c r="AD105" i="1"/>
  <c r="AG105" i="1" s="1"/>
  <c r="AE105" i="1"/>
  <c r="R22" i="3" s="1"/>
  <c r="AF105" i="1"/>
  <c r="AH105" i="1"/>
  <c r="AM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K109" i="1"/>
  <c r="L109" i="1"/>
  <c r="M109" i="1"/>
  <c r="N109" i="1" s="1"/>
  <c r="V109" i="1"/>
  <c r="Y109" i="1"/>
  <c r="Z109" i="1"/>
  <c r="AI109" i="1" s="1"/>
  <c r="AB109" i="1"/>
  <c r="AC109" i="1"/>
  <c r="AD109" i="1"/>
  <c r="AG109" i="1" s="1"/>
  <c r="AE109" i="1"/>
  <c r="AF109" i="1"/>
  <c r="AH109" i="1"/>
  <c r="AM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K111" i="1"/>
  <c r="L111" i="1"/>
  <c r="M111" i="1"/>
  <c r="N111" i="1" s="1"/>
  <c r="V111" i="1"/>
  <c r="S18" i="3" s="1"/>
  <c r="Y111" i="1"/>
  <c r="Z111" i="1"/>
  <c r="AB111" i="1"/>
  <c r="AC111" i="1"/>
  <c r="AD111" i="1"/>
  <c r="AG111" i="1" s="1"/>
  <c r="AE111" i="1"/>
  <c r="R18" i="3" s="1"/>
  <c r="AF111" i="1"/>
  <c r="AH111" i="1"/>
  <c r="AM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R9" i="3" s="1"/>
  <c r="AF119" i="1"/>
  <c r="AH119" i="1"/>
  <c r="AM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K124" i="1"/>
  <c r="L124" i="1"/>
  <c r="M124" i="1"/>
  <c r="N124" i="1" s="1"/>
  <c r="V124" i="1"/>
  <c r="S10" i="3" s="1"/>
  <c r="Y124" i="1"/>
  <c r="Z124" i="1"/>
  <c r="AB124" i="1"/>
  <c r="AC124" i="1"/>
  <c r="AD124" i="1"/>
  <c r="AE124" i="1"/>
  <c r="R10" i="3" s="1"/>
  <c r="AF124" i="1"/>
  <c r="AH124" i="1"/>
  <c r="AM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K128" i="1"/>
  <c r="L128" i="1"/>
  <c r="M128" i="1"/>
  <c r="N128" i="1" s="1"/>
  <c r="V128" i="1"/>
  <c r="S24" i="3" s="1"/>
  <c r="Y128" i="1"/>
  <c r="Z128" i="1"/>
  <c r="AB128" i="1"/>
  <c r="AC128" i="1"/>
  <c r="AD128" i="1"/>
  <c r="T128" i="1" s="1"/>
  <c r="AE128" i="1"/>
  <c r="R7" i="3" s="1"/>
  <c r="AF128" i="1"/>
  <c r="AH128" i="1"/>
  <c r="AM128" i="1"/>
  <c r="K129" i="1"/>
  <c r="L129" i="1"/>
  <c r="M129" i="1"/>
  <c r="N129" i="1" s="1"/>
  <c r="V129" i="1"/>
  <c r="Y129" i="1"/>
  <c r="Z129" i="1"/>
  <c r="AB129" i="1"/>
  <c r="AC129" i="1"/>
  <c r="AD129" i="1"/>
  <c r="AE129" i="1"/>
  <c r="R23" i="3" s="1"/>
  <c r="AF129" i="1"/>
  <c r="AH129" i="1"/>
  <c r="AM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K131" i="1"/>
  <c r="L131" i="1"/>
  <c r="M131" i="1"/>
  <c r="N131" i="1" s="1"/>
  <c r="V131" i="1"/>
  <c r="S11" i="3" s="1"/>
  <c r="Y131" i="1"/>
  <c r="Z131" i="1"/>
  <c r="AB131" i="1"/>
  <c r="AC131" i="1"/>
  <c r="AD131" i="1"/>
  <c r="AE131" i="1"/>
  <c r="AF131" i="1"/>
  <c r="AH131" i="1"/>
  <c r="AM131" i="1"/>
  <c r="K132" i="1"/>
  <c r="L132" i="1"/>
  <c r="M132" i="1"/>
  <c r="N132" i="1" s="1"/>
  <c r="V132" i="1"/>
  <c r="Y132" i="1"/>
  <c r="Z132" i="1"/>
  <c r="AI132" i="1" s="1"/>
  <c r="AB132" i="1"/>
  <c r="AC132" i="1"/>
  <c r="AD132" i="1"/>
  <c r="AG132" i="1" s="1"/>
  <c r="AE132" i="1"/>
  <c r="AF132" i="1"/>
  <c r="AH132" i="1"/>
  <c r="AM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AM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K141" i="1"/>
  <c r="L141" i="1"/>
  <c r="M141" i="1"/>
  <c r="N141" i="1" s="1"/>
  <c r="V141" i="1"/>
  <c r="S19" i="3" s="1"/>
  <c r="Y141" i="1"/>
  <c r="Z141" i="1"/>
  <c r="AB141" i="1"/>
  <c r="AC141" i="1"/>
  <c r="AD141" i="1"/>
  <c r="AG141" i="1" s="1"/>
  <c r="AE141" i="1"/>
  <c r="R19" i="3" s="1"/>
  <c r="AF141" i="1"/>
  <c r="AH141" i="1"/>
  <c r="AM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K144" i="1"/>
  <c r="L144" i="1"/>
  <c r="M144" i="1"/>
  <c r="N144" i="1" s="1"/>
  <c r="V144" i="1"/>
  <c r="S26" i="3" s="1"/>
  <c r="Y144" i="1"/>
  <c r="Z144" i="1"/>
  <c r="AB144" i="1"/>
  <c r="AC144" i="1"/>
  <c r="AD144" i="1"/>
  <c r="AG144" i="1" s="1"/>
  <c r="AE144" i="1"/>
  <c r="R26" i="3" s="1"/>
  <c r="AF144" i="1"/>
  <c r="AH144" i="1"/>
  <c r="AM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K150" i="1"/>
  <c r="L150" i="1"/>
  <c r="M150" i="1"/>
  <c r="N150" i="1" s="1"/>
  <c r="V150" i="1"/>
  <c r="S8" i="3" s="1"/>
  <c r="Y150" i="1"/>
  <c r="Z150" i="1"/>
  <c r="AB150" i="1"/>
  <c r="AC150" i="1"/>
  <c r="AD150" i="1"/>
  <c r="AE150" i="1"/>
  <c r="R8" i="3" s="1"/>
  <c r="AF150" i="1"/>
  <c r="AH150" i="1"/>
  <c r="AM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K152" i="1"/>
  <c r="L152" i="1"/>
  <c r="M152" i="1"/>
  <c r="N152" i="1" s="1"/>
  <c r="V152" i="1"/>
  <c r="S27" i="3" s="1"/>
  <c r="Y152" i="1"/>
  <c r="Z152" i="1"/>
  <c r="AA152" i="1" s="1"/>
  <c r="AB152" i="1"/>
  <c r="AC152" i="1"/>
  <c r="AD152" i="1"/>
  <c r="T152" i="1" s="1"/>
  <c r="AE152" i="1"/>
  <c r="R27" i="3" s="1"/>
  <c r="AF152" i="1"/>
  <c r="AH152" i="1"/>
  <c r="AM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154" i="1"/>
  <c r="AM154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155" i="1"/>
  <c r="AM15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156" i="1"/>
  <c r="AM156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157" i="1"/>
  <c r="AM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AM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AM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K217" i="1"/>
  <c r="L217" i="1"/>
  <c r="M217" i="1"/>
  <c r="N217" i="1" s="1"/>
  <c r="V217" i="1"/>
  <c r="S44" i="3" s="1"/>
  <c r="Y217" i="1"/>
  <c r="Z217" i="1"/>
  <c r="AB217" i="1"/>
  <c r="AC217" i="1"/>
  <c r="AD217" i="1"/>
  <c r="AG217" i="1" s="1"/>
  <c r="AE217" i="1"/>
  <c r="R44" i="3" s="1"/>
  <c r="AF217" i="1"/>
  <c r="AH164" i="1"/>
  <c r="AM164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5" i="1"/>
  <c r="AM165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66" i="1"/>
  <c r="AM16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7" i="1"/>
  <c r="AM167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68" i="1"/>
  <c r="AM16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69" i="1"/>
  <c r="AM169" i="1"/>
  <c r="K223" i="1"/>
  <c r="L223" i="1"/>
  <c r="M223" i="1"/>
  <c r="N223" i="1" s="1"/>
  <c r="V223" i="1"/>
  <c r="S45" i="3" s="1"/>
  <c r="Y223" i="1"/>
  <c r="Z223" i="1"/>
  <c r="AB223" i="1"/>
  <c r="AC223" i="1"/>
  <c r="AD223" i="1"/>
  <c r="T223" i="1" s="1"/>
  <c r="AE223" i="1"/>
  <c r="R45" i="3" s="1"/>
  <c r="AF223" i="1"/>
  <c r="AH170" i="1"/>
  <c r="AM170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71" i="1"/>
  <c r="AM171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72" i="1"/>
  <c r="AM172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73" i="1"/>
  <c r="AM173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74" i="1"/>
  <c r="AM174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5" i="1"/>
  <c r="AM175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76" i="1"/>
  <c r="AM176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7" i="1"/>
  <c r="AM177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8" i="1"/>
  <c r="AM17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9" i="1"/>
  <c r="AM179" i="1"/>
  <c r="K163" i="1"/>
  <c r="L163" i="1"/>
  <c r="M163" i="1"/>
  <c r="N163" i="1" s="1"/>
  <c r="V163" i="1"/>
  <c r="S31" i="3" s="1"/>
  <c r="Y163" i="1"/>
  <c r="Z163" i="1"/>
  <c r="AB163" i="1"/>
  <c r="AC163" i="1"/>
  <c r="AD163" i="1"/>
  <c r="AG163" i="1" s="1"/>
  <c r="AE163" i="1"/>
  <c r="R31" i="3" s="1"/>
  <c r="AF163" i="1"/>
  <c r="AH180" i="1"/>
  <c r="AM180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1" i="1"/>
  <c r="AM181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82" i="1"/>
  <c r="AM182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3" i="1"/>
  <c r="AM183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4" i="1"/>
  <c r="AM184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5" i="1"/>
  <c r="AM18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6" i="1"/>
  <c r="AM186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87" i="1"/>
  <c r="AM187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88" i="1"/>
  <c r="AM188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89" i="1"/>
  <c r="AM189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0" i="1"/>
  <c r="AM190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1" i="1"/>
  <c r="AM191" i="1"/>
  <c r="K175" i="1"/>
  <c r="L175" i="1"/>
  <c r="M175" i="1"/>
  <c r="N175" i="1" s="1"/>
  <c r="V175" i="1"/>
  <c r="S32" i="3" s="1"/>
  <c r="Y175" i="1"/>
  <c r="Z175" i="1"/>
  <c r="AB175" i="1"/>
  <c r="AC175" i="1"/>
  <c r="AD175" i="1"/>
  <c r="T175" i="1" s="1"/>
  <c r="AE175" i="1"/>
  <c r="R32" i="3" s="1"/>
  <c r="AF175" i="1"/>
  <c r="AH192" i="1"/>
  <c r="AM192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3" i="1"/>
  <c r="AM193" i="1"/>
  <c r="K177" i="1"/>
  <c r="L177" i="1"/>
  <c r="M177" i="1"/>
  <c r="N177" i="1" s="1"/>
  <c r="V177" i="1"/>
  <c r="S33" i="3" s="1"/>
  <c r="Y177" i="1"/>
  <c r="Z177" i="1"/>
  <c r="AB177" i="1"/>
  <c r="AC177" i="1"/>
  <c r="AD177" i="1"/>
  <c r="T177" i="1" s="1"/>
  <c r="AE177" i="1"/>
  <c r="R33" i="3" s="1"/>
  <c r="AF177" i="1"/>
  <c r="AH194" i="1"/>
  <c r="AM194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5" i="1"/>
  <c r="AM195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96" i="1"/>
  <c r="AM196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97" i="1"/>
  <c r="AM197" i="1"/>
  <c r="K181" i="1"/>
  <c r="L181" i="1"/>
  <c r="M181" i="1"/>
  <c r="N181" i="1" s="1"/>
  <c r="V181" i="1"/>
  <c r="S34" i="3" s="1"/>
  <c r="Y181" i="1"/>
  <c r="Z181" i="1"/>
  <c r="AB181" i="1"/>
  <c r="AC181" i="1"/>
  <c r="AD181" i="1"/>
  <c r="AE181" i="1"/>
  <c r="R34" i="3" s="1"/>
  <c r="AF181" i="1"/>
  <c r="AH198" i="1"/>
  <c r="AM198" i="1"/>
  <c r="K182" i="1"/>
  <c r="L182" i="1"/>
  <c r="M182" i="1"/>
  <c r="N182" i="1" s="1"/>
  <c r="V182" i="1"/>
  <c r="S28" i="3" s="1"/>
  <c r="Y182" i="1"/>
  <c r="Z182" i="1"/>
  <c r="AB182" i="1"/>
  <c r="AC182" i="1"/>
  <c r="AD182" i="1"/>
  <c r="AE182" i="1"/>
  <c r="AF182" i="1"/>
  <c r="AH199" i="1"/>
  <c r="AM19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0" i="1"/>
  <c r="AM200" i="1"/>
  <c r="K184" i="1"/>
  <c r="L184" i="1"/>
  <c r="M184" i="1"/>
  <c r="N184" i="1" s="1"/>
  <c r="V184" i="1"/>
  <c r="S30" i="3" s="1"/>
  <c r="Y184" i="1"/>
  <c r="Z184" i="1"/>
  <c r="AB184" i="1"/>
  <c r="AC184" i="1"/>
  <c r="AD184" i="1"/>
  <c r="AE184" i="1"/>
  <c r="R30" i="3" s="1"/>
  <c r="AF184" i="1"/>
  <c r="AH201" i="1"/>
  <c r="AM201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2" i="1"/>
  <c r="AM202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3" i="1"/>
  <c r="AM203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4" i="1"/>
  <c r="AM204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05" i="1"/>
  <c r="AM205" i="1"/>
  <c r="K189" i="1"/>
  <c r="L189" i="1"/>
  <c r="M189" i="1"/>
  <c r="N189" i="1" s="1"/>
  <c r="V189" i="1"/>
  <c r="S36" i="3" s="1"/>
  <c r="Y189" i="1"/>
  <c r="Z189" i="1"/>
  <c r="AB189" i="1"/>
  <c r="AC189" i="1"/>
  <c r="AD189" i="1"/>
  <c r="AG189" i="1" s="1"/>
  <c r="AE189" i="1"/>
  <c r="R29" i="3" s="1"/>
  <c r="AF189" i="1"/>
  <c r="AH206" i="1"/>
  <c r="AM206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07" i="1"/>
  <c r="AM207" i="1"/>
  <c r="K191" i="1"/>
  <c r="L191" i="1"/>
  <c r="M191" i="1"/>
  <c r="N191" i="1" s="1"/>
  <c r="V191" i="1"/>
  <c r="S39" i="3" s="1"/>
  <c r="Y191" i="1"/>
  <c r="Z191" i="1"/>
  <c r="AB191" i="1"/>
  <c r="AC191" i="1"/>
  <c r="AD191" i="1"/>
  <c r="T191" i="1" s="1"/>
  <c r="AE191" i="1"/>
  <c r="R39" i="3" s="1"/>
  <c r="AF191" i="1"/>
  <c r="AH208" i="1"/>
  <c r="AM208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09" i="1"/>
  <c r="AM209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0" i="1"/>
  <c r="AM210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1" i="1"/>
  <c r="AM211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2" i="1"/>
  <c r="AM212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3" i="1"/>
  <c r="AM213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4" i="1"/>
  <c r="AM214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15" i="1"/>
  <c r="AM215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6" i="1"/>
  <c r="AM216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17" i="1"/>
  <c r="AM217" i="1"/>
  <c r="K224" i="1"/>
  <c r="L224" i="1"/>
  <c r="M224" i="1"/>
  <c r="N224" i="1" s="1"/>
  <c r="V224" i="1"/>
  <c r="S40" i="3" s="1"/>
  <c r="Y224" i="1"/>
  <c r="Z224" i="1"/>
  <c r="AB224" i="1"/>
  <c r="AC224" i="1"/>
  <c r="AD224" i="1"/>
  <c r="AE224" i="1"/>
  <c r="R40" i="3" s="1"/>
  <c r="AF224" i="1"/>
  <c r="AH218" i="1"/>
  <c r="AM218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19" i="1"/>
  <c r="AM219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20" i="1"/>
  <c r="AM220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21" i="1"/>
  <c r="AM221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22" i="1"/>
  <c r="AM222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223" i="1"/>
  <c r="AM223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24" i="1"/>
  <c r="AM224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225" i="1"/>
  <c r="AM225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26" i="1"/>
  <c r="AM226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27" i="1"/>
  <c r="AM227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28" i="1"/>
  <c r="AM228" i="1"/>
  <c r="K214" i="1"/>
  <c r="L214" i="1"/>
  <c r="M214" i="1"/>
  <c r="N214" i="1" s="1"/>
  <c r="V214" i="1"/>
  <c r="S42" i="3" s="1"/>
  <c r="Y214" i="1"/>
  <c r="Z214" i="1"/>
  <c r="AB214" i="1"/>
  <c r="AC214" i="1"/>
  <c r="AD214" i="1"/>
  <c r="AE214" i="1"/>
  <c r="R42" i="3" s="1"/>
  <c r="AF214" i="1"/>
  <c r="AH229" i="1"/>
  <c r="AM229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30" i="1"/>
  <c r="AM230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31" i="1"/>
  <c r="AM231" i="1"/>
  <c r="M44" i="3"/>
  <c r="U44" i="3"/>
  <c r="T44" i="3" s="1"/>
  <c r="V44" i="3"/>
  <c r="W44" i="3"/>
  <c r="X44" i="3"/>
  <c r="M20" i="3"/>
  <c r="U20" i="3"/>
  <c r="T20" i="3" s="1"/>
  <c r="V20" i="3"/>
  <c r="W20" i="3"/>
  <c r="X20" i="3"/>
  <c r="M31" i="3"/>
  <c r="U31" i="3"/>
  <c r="AC31" i="3" s="1"/>
  <c r="V31" i="3"/>
  <c r="W31" i="3"/>
  <c r="X31" i="3"/>
  <c r="M12" i="3"/>
  <c r="U12" i="3"/>
  <c r="V12" i="3"/>
  <c r="W12" i="3"/>
  <c r="X12" i="3"/>
  <c r="M15" i="3"/>
  <c r="U15" i="3"/>
  <c r="T15" i="3" s="1"/>
  <c r="V15" i="3"/>
  <c r="W15" i="3"/>
  <c r="X15" i="3"/>
  <c r="M32" i="3"/>
  <c r="U32" i="3"/>
  <c r="T32" i="3" s="1"/>
  <c r="V32" i="3"/>
  <c r="W32" i="3"/>
  <c r="X32" i="3"/>
  <c r="AC32" i="3"/>
  <c r="M14" i="3"/>
  <c r="S14" i="3"/>
  <c r="U14" i="3"/>
  <c r="T14" i="3" s="1"/>
  <c r="V14" i="3"/>
  <c r="W14" i="3"/>
  <c r="X14" i="3"/>
  <c r="AC14" i="3"/>
  <c r="M21" i="3"/>
  <c r="U21" i="3"/>
  <c r="V21" i="3"/>
  <c r="W21" i="3"/>
  <c r="X21" i="3"/>
  <c r="M16" i="3"/>
  <c r="U16" i="3"/>
  <c r="T16" i="3" s="1"/>
  <c r="V16" i="3"/>
  <c r="W16" i="3"/>
  <c r="X16" i="3"/>
  <c r="M17" i="3"/>
  <c r="U17" i="3"/>
  <c r="T17" i="3" s="1"/>
  <c r="V17" i="3"/>
  <c r="W17" i="3"/>
  <c r="X17" i="3"/>
  <c r="AC17" i="3"/>
  <c r="M33" i="3"/>
  <c r="U33" i="3"/>
  <c r="T33" i="3" s="1"/>
  <c r="V33" i="3"/>
  <c r="W33" i="3"/>
  <c r="X33" i="3"/>
  <c r="M42" i="3"/>
  <c r="U42" i="3"/>
  <c r="V42" i="3"/>
  <c r="W42" i="3"/>
  <c r="X42" i="3"/>
  <c r="M43" i="3"/>
  <c r="U43" i="3"/>
  <c r="T43" i="3" s="1"/>
  <c r="V43" i="3"/>
  <c r="W43" i="3"/>
  <c r="X43" i="3"/>
  <c r="M34" i="3"/>
  <c r="U34" i="3"/>
  <c r="V34" i="3"/>
  <c r="W34" i="3"/>
  <c r="X34" i="3"/>
  <c r="AC34" i="3"/>
  <c r="M28" i="3"/>
  <c r="R28" i="3"/>
  <c r="U28" i="3"/>
  <c r="T28" i="3" s="1"/>
  <c r="V28" i="3"/>
  <c r="W28" i="3"/>
  <c r="X28" i="3"/>
  <c r="AC28" i="3"/>
  <c r="M30" i="3"/>
  <c r="U30" i="3"/>
  <c r="AC30" i="3" s="1"/>
  <c r="V30" i="3"/>
  <c r="W30" i="3"/>
  <c r="X30" i="3"/>
  <c r="M22" i="3"/>
  <c r="U22" i="3"/>
  <c r="T22" i="3" s="1"/>
  <c r="V22" i="3"/>
  <c r="W22" i="3"/>
  <c r="X22" i="3"/>
  <c r="M18" i="3"/>
  <c r="U18" i="3"/>
  <c r="T18" i="3" s="1"/>
  <c r="V18" i="3"/>
  <c r="W18" i="3"/>
  <c r="X18" i="3"/>
  <c r="AC18" i="3"/>
  <c r="M29" i="3"/>
  <c r="U29" i="3"/>
  <c r="T29" i="3" s="1"/>
  <c r="V29" i="3"/>
  <c r="W29" i="3"/>
  <c r="X29" i="3"/>
  <c r="AC29" i="3"/>
  <c r="M35" i="3"/>
  <c r="U35" i="3"/>
  <c r="V35" i="3"/>
  <c r="W35" i="3"/>
  <c r="X35" i="3"/>
  <c r="M36" i="3"/>
  <c r="U36" i="3"/>
  <c r="AC36" i="3" s="1"/>
  <c r="V36" i="3"/>
  <c r="W36" i="3"/>
  <c r="X36" i="3"/>
  <c r="M10" i="3"/>
  <c r="U10" i="3"/>
  <c r="T10" i="3" s="1"/>
  <c r="V10" i="3"/>
  <c r="W10" i="3"/>
  <c r="X10" i="3"/>
  <c r="AC10" i="3"/>
  <c r="M37" i="3"/>
  <c r="U37" i="3"/>
  <c r="T37" i="3" s="1"/>
  <c r="V37" i="3"/>
  <c r="W37" i="3"/>
  <c r="X37" i="3"/>
  <c r="AC37" i="3"/>
  <c r="M45" i="3"/>
  <c r="U45" i="3"/>
  <c r="AD45" i="3" s="1"/>
  <c r="V45" i="3"/>
  <c r="W45" i="3"/>
  <c r="X45" i="3"/>
  <c r="M38" i="3"/>
  <c r="U38" i="3"/>
  <c r="AC38" i="3" s="1"/>
  <c r="V38" i="3"/>
  <c r="W38" i="3"/>
  <c r="X38" i="3"/>
  <c r="Y38" i="3"/>
  <c r="M39" i="3"/>
  <c r="U39" i="3"/>
  <c r="T39" i="3" s="1"/>
  <c r="V39" i="3"/>
  <c r="W39" i="3"/>
  <c r="X39" i="3"/>
  <c r="AC39" i="3"/>
  <c r="M7" i="3"/>
  <c r="U7" i="3"/>
  <c r="T7" i="3" s="1"/>
  <c r="V7" i="3"/>
  <c r="W7" i="3"/>
  <c r="X7" i="3"/>
  <c r="AC7" i="3"/>
  <c r="M9" i="3"/>
  <c r="S9" i="3"/>
  <c r="U9" i="3"/>
  <c r="V9" i="3"/>
  <c r="W9" i="3"/>
  <c r="X9" i="3"/>
  <c r="M24" i="3"/>
  <c r="U24" i="3"/>
  <c r="AC24" i="3" s="1"/>
  <c r="V24" i="3"/>
  <c r="W24" i="3"/>
  <c r="X24" i="3"/>
  <c r="M25" i="3"/>
  <c r="U25" i="3"/>
  <c r="V25" i="3"/>
  <c r="W25" i="3"/>
  <c r="X25" i="3"/>
  <c r="AC25" i="3"/>
  <c r="M23" i="3"/>
  <c r="S23" i="3"/>
  <c r="U23" i="3"/>
  <c r="T23" i="3" s="1"/>
  <c r="V23" i="3"/>
  <c r="W23" i="3"/>
  <c r="X23" i="3"/>
  <c r="AC23" i="3"/>
  <c r="M11" i="3"/>
  <c r="R11" i="3"/>
  <c r="U11" i="3"/>
  <c r="V11" i="3"/>
  <c r="W11" i="3"/>
  <c r="X11" i="3"/>
  <c r="M40" i="3"/>
  <c r="U40" i="3"/>
  <c r="AC40" i="3" s="1"/>
  <c r="V40" i="3"/>
  <c r="W40" i="3"/>
  <c r="X40" i="3"/>
  <c r="M19" i="3"/>
  <c r="U19" i="3"/>
  <c r="T19" i="3" s="1"/>
  <c r="V19" i="3"/>
  <c r="W19" i="3"/>
  <c r="X19" i="3"/>
  <c r="AC19" i="3"/>
  <c r="M26" i="3"/>
  <c r="U26" i="3"/>
  <c r="T26" i="3" s="1"/>
  <c r="V26" i="3"/>
  <c r="W26" i="3"/>
  <c r="X26" i="3"/>
  <c r="AC26" i="3"/>
  <c r="M8" i="3"/>
  <c r="U8" i="3"/>
  <c r="V8" i="3"/>
  <c r="W8" i="3"/>
  <c r="X8" i="3"/>
  <c r="M41" i="3"/>
  <c r="U41" i="3"/>
  <c r="AC41" i="3" s="1"/>
  <c r="V41" i="3"/>
  <c r="W41" i="3"/>
  <c r="X41" i="3"/>
  <c r="M27" i="3"/>
  <c r="U27" i="3"/>
  <c r="T27" i="3" s="1"/>
  <c r="V27" i="3"/>
  <c r="W27" i="3"/>
  <c r="X27" i="3"/>
  <c r="Y30" i="3" l="1"/>
  <c r="AC45" i="3"/>
  <c r="Y15" i="3"/>
  <c r="R12" i="3"/>
  <c r="AA125" i="1"/>
  <c r="W125" i="1" s="1"/>
  <c r="AI121" i="1"/>
  <c r="AA74" i="1"/>
  <c r="W74" i="1" s="1"/>
  <c r="X36" i="1"/>
  <c r="AA35" i="1"/>
  <c r="AI21" i="1"/>
  <c r="Y20" i="3"/>
  <c r="AD23" i="3"/>
  <c r="Y9" i="3"/>
  <c r="R17" i="3"/>
  <c r="AA225" i="1"/>
  <c r="AA109" i="1"/>
  <c r="AA23" i="1"/>
  <c r="AC33" i="3"/>
  <c r="R38" i="3"/>
  <c r="T109" i="1"/>
  <c r="AA13" i="1"/>
  <c r="W13" i="1" s="1"/>
  <c r="AI204" i="1"/>
  <c r="Y11" i="3"/>
  <c r="Y31" i="3"/>
  <c r="AA177" i="1"/>
  <c r="AA209" i="1"/>
  <c r="AA205" i="1"/>
  <c r="W205" i="1" s="1"/>
  <c r="AI143" i="1"/>
  <c r="AA130" i="1"/>
  <c r="AA121" i="1"/>
  <c r="W121" i="1" s="1"/>
  <c r="AA86" i="1"/>
  <c r="AI79" i="1"/>
  <c r="AA79" i="1"/>
  <c r="W79" i="1" s="1"/>
  <c r="R25" i="3"/>
  <c r="AA231" i="1"/>
  <c r="W231" i="1" s="1"/>
  <c r="AA138" i="1"/>
  <c r="W138" i="1" s="1"/>
  <c r="AA115" i="1"/>
  <c r="W115" i="1" s="1"/>
  <c r="AA111" i="1"/>
  <c r="W111" i="1" s="1"/>
  <c r="X91" i="1"/>
  <c r="X84" i="1"/>
  <c r="AA83" i="1"/>
  <c r="X80" i="1"/>
  <c r="AA66" i="1"/>
  <c r="AA62" i="1"/>
  <c r="AG61" i="1"/>
  <c r="AI61" i="1" s="1"/>
  <c r="AG58" i="1"/>
  <c r="AA56" i="1"/>
  <c r="AG55" i="1"/>
  <c r="U55" i="1" s="1"/>
  <c r="S55" i="1" s="1"/>
  <c r="AI49" i="1"/>
  <c r="AA199" i="1"/>
  <c r="W199" i="1" s="1"/>
  <c r="AA189" i="1"/>
  <c r="W189" i="1" s="1"/>
  <c r="AA143" i="1"/>
  <c r="W143" i="1" s="1"/>
  <c r="AA100" i="1"/>
  <c r="T74" i="1"/>
  <c r="AA72" i="1"/>
  <c r="AA68" i="1"/>
  <c r="W68" i="1" s="1"/>
  <c r="AA64" i="1"/>
  <c r="AA58" i="1"/>
  <c r="W58" i="1" s="1"/>
  <c r="AA55" i="1"/>
  <c r="AA29" i="1"/>
  <c r="W29" i="1" s="1"/>
  <c r="AA25" i="1"/>
  <c r="W25" i="1" s="1"/>
  <c r="AI19" i="1"/>
  <c r="S12" i="3"/>
  <c r="Y40" i="3"/>
  <c r="T134" i="1"/>
  <c r="U134" i="1" s="1"/>
  <c r="S134" i="1" s="1"/>
  <c r="X86" i="1"/>
  <c r="AD37" i="3"/>
  <c r="R36" i="3"/>
  <c r="AA216" i="1"/>
  <c r="AA213" i="1"/>
  <c r="X224" i="1"/>
  <c r="AA200" i="1"/>
  <c r="W200" i="1" s="1"/>
  <c r="AA186" i="1"/>
  <c r="AG175" i="1"/>
  <c r="AI175" i="1" s="1"/>
  <c r="X175" i="1"/>
  <c r="AA171" i="1"/>
  <c r="W171" i="1" s="1"/>
  <c r="AI115" i="1"/>
  <c r="AA105" i="1"/>
  <c r="W105" i="1" s="1"/>
  <c r="AA95" i="1"/>
  <c r="AG93" i="1"/>
  <c r="U93" i="1" s="1"/>
  <c r="S93" i="1" s="1"/>
  <c r="X93" i="1"/>
  <c r="AA92" i="1"/>
  <c r="AA85" i="1"/>
  <c r="AA43" i="1"/>
  <c r="X32" i="1"/>
  <c r="AA31" i="1"/>
  <c r="AA27" i="1"/>
  <c r="AD9" i="3"/>
  <c r="R37" i="3"/>
  <c r="X181" i="1"/>
  <c r="AA175" i="1"/>
  <c r="AA173" i="1"/>
  <c r="W173" i="1" s="1"/>
  <c r="AA169" i="1"/>
  <c r="AA165" i="1"/>
  <c r="W165" i="1" s="1"/>
  <c r="AA223" i="1"/>
  <c r="AA219" i="1"/>
  <c r="W219" i="1" s="1"/>
  <c r="AG218" i="1"/>
  <c r="AI218" i="1" s="1"/>
  <c r="AI217" i="1"/>
  <c r="X203" i="1"/>
  <c r="X148" i="1"/>
  <c r="AA113" i="1"/>
  <c r="AI87" i="1"/>
  <c r="AA87" i="1"/>
  <c r="W87" i="1" s="1"/>
  <c r="AG82" i="1"/>
  <c r="AI82" i="1" s="1"/>
  <c r="AA78" i="1"/>
  <c r="AD28" i="3"/>
  <c r="AD34" i="3"/>
  <c r="AA193" i="1"/>
  <c r="X185" i="1"/>
  <c r="AA148" i="1"/>
  <c r="AG136" i="1"/>
  <c r="AI136" i="1" s="1"/>
  <c r="AI105" i="1"/>
  <c r="AA54" i="1"/>
  <c r="X41" i="1"/>
  <c r="S7" i="3"/>
  <c r="S38" i="3"/>
  <c r="Y22" i="3"/>
  <c r="Y21" i="3"/>
  <c r="AC20" i="3"/>
  <c r="AA211" i="1"/>
  <c r="AG230" i="1"/>
  <c r="U230" i="1" s="1"/>
  <c r="S230" i="1" s="1"/>
  <c r="X230" i="1"/>
  <c r="T224" i="1"/>
  <c r="AA151" i="1"/>
  <c r="W151" i="1" s="1"/>
  <c r="AA134" i="1"/>
  <c r="W134" i="1" s="1"/>
  <c r="AG130" i="1"/>
  <c r="AG117" i="1"/>
  <c r="AI117" i="1" s="1"/>
  <c r="T78" i="1"/>
  <c r="AG66" i="1"/>
  <c r="AI66" i="1" s="1"/>
  <c r="AG54" i="1"/>
  <c r="AI54" i="1" s="1"/>
  <c r="X25" i="1"/>
  <c r="AD11" i="3"/>
  <c r="AA107" i="1"/>
  <c r="AA70" i="1"/>
  <c r="W70" i="1" s="1"/>
  <c r="AI68" i="1"/>
  <c r="AG65" i="1"/>
  <c r="Y8" i="3"/>
  <c r="Y10" i="3"/>
  <c r="S35" i="3"/>
  <c r="S29" i="3"/>
  <c r="Y42" i="3"/>
  <c r="S16" i="3"/>
  <c r="AG226" i="1"/>
  <c r="AI226" i="1" s="1"/>
  <c r="AG193" i="1"/>
  <c r="X193" i="1"/>
  <c r="AG164" i="1"/>
  <c r="AI164" i="1" s="1"/>
  <c r="AI202" i="1"/>
  <c r="AI151" i="1"/>
  <c r="T138" i="1"/>
  <c r="U138" i="1" s="1"/>
  <c r="S138" i="1" s="1"/>
  <c r="S41" i="3"/>
  <c r="Y23" i="3"/>
  <c r="R35" i="3"/>
  <c r="Y16" i="3"/>
  <c r="Y44" i="3"/>
  <c r="AI231" i="1"/>
  <c r="AG228" i="1"/>
  <c r="AI228" i="1" s="1"/>
  <c r="AI200" i="1"/>
  <c r="AA197" i="1"/>
  <c r="AA196" i="1"/>
  <c r="AG195" i="1"/>
  <c r="U195" i="1" s="1"/>
  <c r="S195" i="1" s="1"/>
  <c r="AA185" i="1"/>
  <c r="AA178" i="1"/>
  <c r="AG177" i="1"/>
  <c r="AI177" i="1" s="1"/>
  <c r="AA161" i="1"/>
  <c r="AA157" i="1"/>
  <c r="AG156" i="1"/>
  <c r="U156" i="1" s="1"/>
  <c r="S156" i="1" s="1"/>
  <c r="AA204" i="1"/>
  <c r="W204" i="1" s="1"/>
  <c r="AA201" i="1"/>
  <c r="X150" i="1"/>
  <c r="AA150" i="1"/>
  <c r="AA146" i="1"/>
  <c r="AA145" i="1"/>
  <c r="AG142" i="1"/>
  <c r="AI142" i="1" s="1"/>
  <c r="X142" i="1"/>
  <c r="AG140" i="1"/>
  <c r="U140" i="1" s="1"/>
  <c r="S140" i="1" s="1"/>
  <c r="AA136" i="1"/>
  <c r="T115" i="1"/>
  <c r="U115" i="1" s="1"/>
  <c r="S115" i="1" s="1"/>
  <c r="T107" i="1"/>
  <c r="U107" i="1" s="1"/>
  <c r="S107" i="1" s="1"/>
  <c r="AG88" i="1"/>
  <c r="X88" i="1"/>
  <c r="AA81" i="1"/>
  <c r="AA76" i="1"/>
  <c r="W76" i="1" s="1"/>
  <c r="T70" i="1"/>
  <c r="AG64" i="1"/>
  <c r="U64" i="1" s="1"/>
  <c r="S64" i="1" s="1"/>
  <c r="X64" i="1"/>
  <c r="AA63" i="1"/>
  <c r="AA60" i="1"/>
  <c r="AA51" i="1"/>
  <c r="AA41" i="1"/>
  <c r="W41" i="1" s="1"/>
  <c r="AA21" i="1"/>
  <c r="W21" i="1" s="1"/>
  <c r="AI17" i="1"/>
  <c r="S25" i="3"/>
  <c r="Y24" i="3"/>
  <c r="AD39" i="3"/>
  <c r="AE39" i="3"/>
  <c r="Y45" i="3"/>
  <c r="S37" i="3"/>
  <c r="Y36" i="3"/>
  <c r="Y28" i="3"/>
  <c r="AD21" i="3"/>
  <c r="AD14" i="3"/>
  <c r="AE27" i="3"/>
  <c r="AC27" i="3"/>
  <c r="Y41" i="3"/>
  <c r="AD8" i="3"/>
  <c r="AD19" i="3"/>
  <c r="Y39" i="3"/>
  <c r="Y35" i="3"/>
  <c r="Y18" i="3"/>
  <c r="Y33" i="3"/>
  <c r="Y14" i="3"/>
  <c r="AI138" i="1"/>
  <c r="X49" i="1"/>
  <c r="AA33" i="1"/>
  <c r="W33" i="1" s="1"/>
  <c r="AI29" i="1"/>
  <c r="AA24" i="1"/>
  <c r="W24" i="1" s="1"/>
  <c r="AI15" i="1"/>
  <c r="AI13" i="1"/>
  <c r="AA215" i="1"/>
  <c r="AA214" i="1"/>
  <c r="AG213" i="1"/>
  <c r="U213" i="1" s="1"/>
  <c r="S213" i="1" s="1"/>
  <c r="AA212" i="1"/>
  <c r="AG211" i="1"/>
  <c r="W211" i="1" s="1"/>
  <c r="X211" i="1"/>
  <c r="AA224" i="1"/>
  <c r="AG197" i="1"/>
  <c r="U197" i="1" s="1"/>
  <c r="S197" i="1" s="1"/>
  <c r="AA191" i="1"/>
  <c r="AA187" i="1"/>
  <c r="W187" i="1" s="1"/>
  <c r="AG183" i="1"/>
  <c r="AI183" i="1" s="1"/>
  <c r="X183" i="1"/>
  <c r="AG181" i="1"/>
  <c r="AI181" i="1" s="1"/>
  <c r="AA179" i="1"/>
  <c r="W179" i="1" s="1"/>
  <c r="AA170" i="1"/>
  <c r="AG169" i="1"/>
  <c r="W169" i="1" s="1"/>
  <c r="AG168" i="1"/>
  <c r="U168" i="1" s="1"/>
  <c r="S168" i="1" s="1"/>
  <c r="AA167" i="1"/>
  <c r="AG166" i="1"/>
  <c r="AI166" i="1" s="1"/>
  <c r="AA162" i="1"/>
  <c r="AG161" i="1"/>
  <c r="W161" i="1" s="1"/>
  <c r="AG160" i="1"/>
  <c r="U160" i="1" s="1"/>
  <c r="AA159" i="1"/>
  <c r="AG158" i="1"/>
  <c r="AI158" i="1" s="1"/>
  <c r="AA154" i="1"/>
  <c r="AG223" i="1"/>
  <c r="AI223" i="1" s="1"/>
  <c r="AG222" i="1"/>
  <c r="U222" i="1" s="1"/>
  <c r="S222" i="1" s="1"/>
  <c r="AA221" i="1"/>
  <c r="AG220" i="1"/>
  <c r="U220" i="1" s="1"/>
  <c r="S220" i="1" s="1"/>
  <c r="AA210" i="1"/>
  <c r="AG209" i="1"/>
  <c r="W209" i="1" s="1"/>
  <c r="AG208" i="1"/>
  <c r="AA207" i="1"/>
  <c r="AG206" i="1"/>
  <c r="AI206" i="1" s="1"/>
  <c r="T203" i="1"/>
  <c r="AG201" i="1"/>
  <c r="U201" i="1" s="1"/>
  <c r="S201" i="1" s="1"/>
  <c r="AG152" i="1"/>
  <c r="AI152" i="1" s="1"/>
  <c r="AA142" i="1"/>
  <c r="AA140" i="1"/>
  <c r="AA132" i="1"/>
  <c r="W132" i="1" s="1"/>
  <c r="AG128" i="1"/>
  <c r="AI128" i="1" s="1"/>
  <c r="AI125" i="1"/>
  <c r="AG123" i="1"/>
  <c r="U123" i="1" s="1"/>
  <c r="S123" i="1" s="1"/>
  <c r="AA119" i="1"/>
  <c r="W119" i="1" s="1"/>
  <c r="AA117" i="1"/>
  <c r="U109" i="1"/>
  <c r="S109" i="1" s="1"/>
  <c r="AA93" i="1"/>
  <c r="AA88" i="1"/>
  <c r="W88" i="1" s="1"/>
  <c r="T72" i="1"/>
  <c r="T68" i="1"/>
  <c r="U68" i="1" s="1"/>
  <c r="S68" i="1" s="1"/>
  <c r="AG60" i="1"/>
  <c r="AI60" i="1" s="1"/>
  <c r="AA52" i="1"/>
  <c r="AA45" i="1"/>
  <c r="W45" i="1" s="1"/>
  <c r="AI41" i="1"/>
  <c r="T21" i="1"/>
  <c r="X13" i="1"/>
  <c r="X169" i="1"/>
  <c r="X167" i="1"/>
  <c r="X161" i="1"/>
  <c r="X159" i="1"/>
  <c r="X223" i="1"/>
  <c r="X221" i="1"/>
  <c r="X209" i="1"/>
  <c r="X207" i="1"/>
  <c r="X152" i="1"/>
  <c r="X99" i="1"/>
  <c r="U65" i="1"/>
  <c r="S65" i="1" s="1"/>
  <c r="X60" i="1"/>
  <c r="AA37" i="1"/>
  <c r="W37" i="1" s="1"/>
  <c r="AA32" i="1"/>
  <c r="AI25" i="1"/>
  <c r="AA19" i="1"/>
  <c r="W19" i="1" s="1"/>
  <c r="T17" i="1"/>
  <c r="U17" i="1" s="1"/>
  <c r="S17" i="1" s="1"/>
  <c r="AA230" i="1"/>
  <c r="AG224" i="1"/>
  <c r="AI224" i="1" s="1"/>
  <c r="AA195" i="1"/>
  <c r="W195" i="1" s="1"/>
  <c r="AA194" i="1"/>
  <c r="AG191" i="1"/>
  <c r="U191" i="1" s="1"/>
  <c r="S191" i="1" s="1"/>
  <c r="X191" i="1"/>
  <c r="X189" i="1"/>
  <c r="AG185" i="1"/>
  <c r="W185" i="1" s="1"/>
  <c r="AA183" i="1"/>
  <c r="AA181" i="1"/>
  <c r="X177" i="1"/>
  <c r="X173" i="1"/>
  <c r="AG167" i="1"/>
  <c r="AA163" i="1"/>
  <c r="W163" i="1" s="1"/>
  <c r="AG162" i="1"/>
  <c r="AI162" i="1" s="1"/>
  <c r="AG159" i="1"/>
  <c r="AA155" i="1"/>
  <c r="W155" i="1" s="1"/>
  <c r="AG154" i="1"/>
  <c r="U154" i="1" s="1"/>
  <c r="S154" i="1" s="1"/>
  <c r="AG221" i="1"/>
  <c r="AA217" i="1"/>
  <c r="W217" i="1" s="1"/>
  <c r="AG210" i="1"/>
  <c r="AI210" i="1" s="1"/>
  <c r="AG207" i="1"/>
  <c r="AG203" i="1"/>
  <c r="AG150" i="1"/>
  <c r="AI150" i="1" s="1"/>
  <c r="AA144" i="1"/>
  <c r="W144" i="1" s="1"/>
  <c r="AA128" i="1"/>
  <c r="AA123" i="1"/>
  <c r="W123" i="1" s="1"/>
  <c r="AG113" i="1"/>
  <c r="W113" i="1" s="1"/>
  <c r="AA101" i="1"/>
  <c r="X97" i="1"/>
  <c r="AG95" i="1"/>
  <c r="AA91" i="1"/>
  <c r="T90" i="1"/>
  <c r="U90" i="1" s="1"/>
  <c r="S90" i="1" s="1"/>
  <c r="T84" i="1"/>
  <c r="AA80" i="1"/>
  <c r="T76" i="1"/>
  <c r="U76" i="1" s="1"/>
  <c r="S76" i="1" s="1"/>
  <c r="X66" i="1"/>
  <c r="X56" i="1"/>
  <c r="X54" i="1"/>
  <c r="AG52" i="1"/>
  <c r="U52" i="1" s="1"/>
  <c r="S52" i="1" s="1"/>
  <c r="AG48" i="1"/>
  <c r="U48" i="1" s="1"/>
  <c r="S48" i="1" s="1"/>
  <c r="R43" i="3"/>
  <c r="X199" i="1"/>
  <c r="W157" i="1"/>
  <c r="AI144" i="1"/>
  <c r="AI198" i="1"/>
  <c r="AG216" i="1"/>
  <c r="W216" i="1" s="1"/>
  <c r="X216" i="1"/>
  <c r="AG215" i="1"/>
  <c r="AI215" i="1" s="1"/>
  <c r="AA227" i="1"/>
  <c r="U193" i="1"/>
  <c r="S193" i="1" s="1"/>
  <c r="AA190" i="1"/>
  <c r="X187" i="1"/>
  <c r="AA182" i="1"/>
  <c r="X179" i="1"/>
  <c r="AA174" i="1"/>
  <c r="X171" i="1"/>
  <c r="U169" i="1"/>
  <c r="S169" i="1" s="1"/>
  <c r="AA168" i="1"/>
  <c r="X165" i="1"/>
  <c r="X163" i="1"/>
  <c r="AA160" i="1"/>
  <c r="W160" i="1" s="1"/>
  <c r="X157" i="1"/>
  <c r="X155" i="1"/>
  <c r="AA222" i="1"/>
  <c r="X219" i="1"/>
  <c r="X217" i="1"/>
  <c r="AA208" i="1"/>
  <c r="X205" i="1"/>
  <c r="X144" i="1"/>
  <c r="T132" i="1"/>
  <c r="U132" i="1" s="1"/>
  <c r="S132" i="1" s="1"/>
  <c r="U130" i="1"/>
  <c r="S130" i="1" s="1"/>
  <c r="W107" i="1"/>
  <c r="AI76" i="1"/>
  <c r="T199" i="1"/>
  <c r="U199" i="1" s="1"/>
  <c r="S199" i="1" s="1"/>
  <c r="AA198" i="1"/>
  <c r="W198" i="1" s="1"/>
  <c r="T189" i="1"/>
  <c r="U189" i="1" s="1"/>
  <c r="S189" i="1" s="1"/>
  <c r="AA188" i="1"/>
  <c r="T181" i="1"/>
  <c r="AA180" i="1"/>
  <c r="T173" i="1"/>
  <c r="U173" i="1" s="1"/>
  <c r="S173" i="1" s="1"/>
  <c r="AA172" i="1"/>
  <c r="T167" i="1"/>
  <c r="T159" i="1"/>
  <c r="T221" i="1"/>
  <c r="T207" i="1"/>
  <c r="T150" i="1"/>
  <c r="AA149" i="1"/>
  <c r="W149" i="1" s="1"/>
  <c r="T148" i="1"/>
  <c r="AA147" i="1"/>
  <c r="W147" i="1" s="1"/>
  <c r="AG146" i="1"/>
  <c r="U146" i="1" s="1"/>
  <c r="S146" i="1" s="1"/>
  <c r="AA141" i="1"/>
  <c r="W141" i="1" s="1"/>
  <c r="T119" i="1"/>
  <c r="U119" i="1" s="1"/>
  <c r="S119" i="1" s="1"/>
  <c r="AI107" i="1"/>
  <c r="AI97" i="1"/>
  <c r="U74" i="1"/>
  <c r="S74" i="1" s="1"/>
  <c r="AI74" i="1"/>
  <c r="T187" i="1"/>
  <c r="U187" i="1" s="1"/>
  <c r="S187" i="1" s="1"/>
  <c r="T179" i="1"/>
  <c r="U179" i="1" s="1"/>
  <c r="S179" i="1" s="1"/>
  <c r="T171" i="1"/>
  <c r="U171" i="1" s="1"/>
  <c r="S171" i="1" s="1"/>
  <c r="T165" i="1"/>
  <c r="U165" i="1" s="1"/>
  <c r="S165" i="1" s="1"/>
  <c r="T163" i="1"/>
  <c r="U163" i="1" s="1"/>
  <c r="S163" i="1" s="1"/>
  <c r="T157" i="1"/>
  <c r="U157" i="1" s="1"/>
  <c r="S157" i="1" s="1"/>
  <c r="T155" i="1"/>
  <c r="U155" i="1" s="1"/>
  <c r="S155" i="1" s="1"/>
  <c r="T219" i="1"/>
  <c r="U219" i="1" s="1"/>
  <c r="S219" i="1" s="1"/>
  <c r="T217" i="1"/>
  <c r="U217" i="1" s="1"/>
  <c r="S217" i="1" s="1"/>
  <c r="T205" i="1"/>
  <c r="U205" i="1" s="1"/>
  <c r="S205" i="1" s="1"/>
  <c r="T144" i="1"/>
  <c r="U144" i="1" s="1"/>
  <c r="S144" i="1" s="1"/>
  <c r="AI123" i="1"/>
  <c r="AI111" i="1"/>
  <c r="W109" i="1"/>
  <c r="X101" i="1"/>
  <c r="AG101" i="1"/>
  <c r="U72" i="1"/>
  <c r="S72" i="1" s="1"/>
  <c r="AI72" i="1"/>
  <c r="AA229" i="1"/>
  <c r="W229" i="1" s="1"/>
  <c r="AA228" i="1"/>
  <c r="W228" i="1" s="1"/>
  <c r="AA226" i="1"/>
  <c r="AA192" i="1"/>
  <c r="AA184" i="1"/>
  <c r="AA176" i="1"/>
  <c r="AA203" i="1"/>
  <c r="AA153" i="1"/>
  <c r="AG148" i="1"/>
  <c r="AI134" i="1"/>
  <c r="T125" i="1"/>
  <c r="U125" i="1" s="1"/>
  <c r="S125" i="1" s="1"/>
  <c r="AI119" i="1"/>
  <c r="X103" i="1"/>
  <c r="AG103" i="1"/>
  <c r="W103" i="1" s="1"/>
  <c r="U78" i="1"/>
  <c r="S78" i="1" s="1"/>
  <c r="AI78" i="1"/>
  <c r="U70" i="1"/>
  <c r="S70" i="1" s="1"/>
  <c r="AI70" i="1"/>
  <c r="U95" i="1"/>
  <c r="S95" i="1" s="1"/>
  <c r="T91" i="1"/>
  <c r="U88" i="1"/>
  <c r="S88" i="1" s="1"/>
  <c r="W83" i="1"/>
  <c r="T80" i="1"/>
  <c r="U58" i="1"/>
  <c r="S58" i="1" s="1"/>
  <c r="T56" i="1"/>
  <c r="T121" i="1"/>
  <c r="U121" i="1" s="1"/>
  <c r="S121" i="1" s="1"/>
  <c r="T105" i="1"/>
  <c r="U105" i="1" s="1"/>
  <c r="S105" i="1" s="1"/>
  <c r="T99" i="1"/>
  <c r="W97" i="1"/>
  <c r="AG96" i="1"/>
  <c r="AI96" i="1" s="1"/>
  <c r="X95" i="1"/>
  <c r="AG94" i="1"/>
  <c r="U94" i="1" s="1"/>
  <c r="S94" i="1" s="1"/>
  <c r="AG91" i="1"/>
  <c r="AA90" i="1"/>
  <c r="W90" i="1" s="1"/>
  <c r="T86" i="1"/>
  <c r="W85" i="1"/>
  <c r="AA84" i="1"/>
  <c r="AG80" i="1"/>
  <c r="W78" i="1"/>
  <c r="W72" i="1"/>
  <c r="T62" i="1"/>
  <c r="AG59" i="1"/>
  <c r="U59" i="1" s="1"/>
  <c r="S59" i="1" s="1"/>
  <c r="X58" i="1"/>
  <c r="AG57" i="1"/>
  <c r="U57" i="1" s="1"/>
  <c r="S57" i="1" s="1"/>
  <c r="AG56" i="1"/>
  <c r="AG53" i="1"/>
  <c r="AI53" i="1" s="1"/>
  <c r="AI45" i="1"/>
  <c r="AI37" i="1"/>
  <c r="X29" i="1"/>
  <c r="AG28" i="1"/>
  <c r="U28" i="1" s="1"/>
  <c r="S28" i="1" s="1"/>
  <c r="T111" i="1"/>
  <c r="U111" i="1" s="1"/>
  <c r="S111" i="1" s="1"/>
  <c r="AG102" i="1"/>
  <c r="U102" i="1" s="1"/>
  <c r="S102" i="1" s="1"/>
  <c r="AG99" i="1"/>
  <c r="W99" i="1" s="1"/>
  <c r="T97" i="1"/>
  <c r="U97" i="1" s="1"/>
  <c r="S97" i="1" s="1"/>
  <c r="AG92" i="1"/>
  <c r="AI92" i="1" s="1"/>
  <c r="AI88" i="1"/>
  <c r="AG86" i="1"/>
  <c r="AG84" i="1"/>
  <c r="U84" i="1" s="1"/>
  <c r="S84" i="1" s="1"/>
  <c r="AG63" i="1"/>
  <c r="U63" i="1" s="1"/>
  <c r="S63" i="1" s="1"/>
  <c r="AG62" i="1"/>
  <c r="AI58" i="1"/>
  <c r="AA49" i="1"/>
  <c r="W49" i="1" s="1"/>
  <c r="X45" i="1"/>
  <c r="AG44" i="1"/>
  <c r="U44" i="1" s="1"/>
  <c r="S44" i="1" s="1"/>
  <c r="X37" i="1"/>
  <c r="AI33" i="1"/>
  <c r="AG24" i="1"/>
  <c r="U24" i="1" s="1"/>
  <c r="S24" i="1" s="1"/>
  <c r="T13" i="1"/>
  <c r="U13" i="1" s="1"/>
  <c r="S13" i="1" s="1"/>
  <c r="AG100" i="1"/>
  <c r="U100" i="1" s="1"/>
  <c r="S100" i="1" s="1"/>
  <c r="AG98" i="1"/>
  <c r="U98" i="1" s="1"/>
  <c r="S98" i="1" s="1"/>
  <c r="AA96" i="1"/>
  <c r="AA89" i="1"/>
  <c r="AA82" i="1"/>
  <c r="X78" i="1"/>
  <c r="X76" i="1"/>
  <c r="X74" i="1"/>
  <c r="X72" i="1"/>
  <c r="X70" i="1"/>
  <c r="X68" i="1"/>
  <c r="U66" i="1"/>
  <c r="S66" i="1" s="1"/>
  <c r="U60" i="1"/>
  <c r="S60" i="1" s="1"/>
  <c r="AA57" i="1"/>
  <c r="U54" i="1"/>
  <c r="S54" i="1" s="1"/>
  <c r="AA47" i="1"/>
  <c r="AA39" i="1"/>
  <c r="AA36" i="1"/>
  <c r="X33" i="1"/>
  <c r="AA28" i="1"/>
  <c r="T25" i="1"/>
  <c r="U25" i="1" s="1"/>
  <c r="S25" i="1" s="1"/>
  <c r="T19" i="1"/>
  <c r="U19" i="1" s="1"/>
  <c r="S19" i="1" s="1"/>
  <c r="T15" i="1"/>
  <c r="U15" i="1" s="1"/>
  <c r="S15" i="1" s="1"/>
  <c r="T214" i="1"/>
  <c r="X214" i="1"/>
  <c r="T227" i="1"/>
  <c r="X227" i="1"/>
  <c r="T194" i="1"/>
  <c r="X194" i="1"/>
  <c r="R41" i="3"/>
  <c r="T229" i="1"/>
  <c r="U229" i="1" s="1"/>
  <c r="S229" i="1" s="1"/>
  <c r="X229" i="1"/>
  <c r="T198" i="1"/>
  <c r="U198" i="1" s="1"/>
  <c r="S198" i="1" s="1"/>
  <c r="X198" i="1"/>
  <c r="AA166" i="1"/>
  <c r="AI179" i="1"/>
  <c r="AA158" i="1"/>
  <c r="AI171" i="1"/>
  <c r="AA220" i="1"/>
  <c r="AI163" i="1"/>
  <c r="AA206" i="1"/>
  <c r="AI147" i="1"/>
  <c r="T120" i="1"/>
  <c r="X120" i="1"/>
  <c r="X121" i="1"/>
  <c r="AG120" i="1"/>
  <c r="T112" i="1"/>
  <c r="X112" i="1"/>
  <c r="X113" i="1"/>
  <c r="AG112" i="1"/>
  <c r="T104" i="1"/>
  <c r="X104" i="1"/>
  <c r="X105" i="1"/>
  <c r="AG104" i="1"/>
  <c r="T22" i="1"/>
  <c r="X22" i="1"/>
  <c r="AG22" i="1"/>
  <c r="T18" i="1"/>
  <c r="X18" i="1"/>
  <c r="AG18" i="1"/>
  <c r="X19" i="1"/>
  <c r="T14" i="1"/>
  <c r="X14" i="1"/>
  <c r="AG14" i="1"/>
  <c r="X15" i="1"/>
  <c r="AI173" i="1"/>
  <c r="AI165" i="1"/>
  <c r="AI155" i="1"/>
  <c r="T145" i="1"/>
  <c r="X145" i="1"/>
  <c r="AG145" i="1"/>
  <c r="X146" i="1"/>
  <c r="T122" i="1"/>
  <c r="X122" i="1"/>
  <c r="X123" i="1"/>
  <c r="AG122" i="1"/>
  <c r="T114" i="1"/>
  <c r="X114" i="1"/>
  <c r="X115" i="1"/>
  <c r="AG114" i="1"/>
  <c r="T106" i="1"/>
  <c r="X106" i="1"/>
  <c r="X107" i="1"/>
  <c r="AG106" i="1"/>
  <c r="T196" i="1"/>
  <c r="X196" i="1"/>
  <c r="X215" i="1"/>
  <c r="AG214" i="1"/>
  <c r="AI214" i="1" s="1"/>
  <c r="X228" i="1"/>
  <c r="AG227" i="1"/>
  <c r="X197" i="1"/>
  <c r="AG196" i="1"/>
  <c r="AI196" i="1" s="1"/>
  <c r="T188" i="1"/>
  <c r="X188" i="1"/>
  <c r="T184" i="1"/>
  <c r="X184" i="1"/>
  <c r="T182" i="1"/>
  <c r="X182" i="1"/>
  <c r="T176" i="1"/>
  <c r="X176" i="1"/>
  <c r="T174" i="1"/>
  <c r="X174" i="1"/>
  <c r="T172" i="1"/>
  <c r="X172" i="1"/>
  <c r="T170" i="1"/>
  <c r="X170" i="1"/>
  <c r="T153" i="1"/>
  <c r="X153" i="1"/>
  <c r="AG153" i="1"/>
  <c r="X201" i="1"/>
  <c r="T124" i="1"/>
  <c r="X124" i="1"/>
  <c r="AG124" i="1"/>
  <c r="T116" i="1"/>
  <c r="X116" i="1"/>
  <c r="X117" i="1"/>
  <c r="AG116" i="1"/>
  <c r="T108" i="1"/>
  <c r="X108" i="1"/>
  <c r="X109" i="1"/>
  <c r="AG108" i="1"/>
  <c r="AI77" i="1"/>
  <c r="AI75" i="1"/>
  <c r="AI73" i="1"/>
  <c r="AI71" i="1"/>
  <c r="AI69" i="1"/>
  <c r="AI67" i="1"/>
  <c r="T212" i="1"/>
  <c r="X212" i="1"/>
  <c r="T225" i="1"/>
  <c r="X225" i="1"/>
  <c r="T192" i="1"/>
  <c r="X192" i="1"/>
  <c r="T190" i="1"/>
  <c r="X190" i="1"/>
  <c r="T186" i="1"/>
  <c r="X186" i="1"/>
  <c r="T180" i="1"/>
  <c r="X180" i="1"/>
  <c r="T178" i="1"/>
  <c r="X178" i="1"/>
  <c r="R24" i="3"/>
  <c r="S43" i="3"/>
  <c r="AI230" i="1"/>
  <c r="X213" i="1"/>
  <c r="AG212" i="1"/>
  <c r="W212" i="1" s="1"/>
  <c r="T231" i="1"/>
  <c r="U231" i="1" s="1"/>
  <c r="S231" i="1" s="1"/>
  <c r="X231" i="1"/>
  <c r="X226" i="1"/>
  <c r="AG225" i="1"/>
  <c r="T200" i="1"/>
  <c r="U200" i="1" s="1"/>
  <c r="S200" i="1" s="1"/>
  <c r="X200" i="1"/>
  <c r="X195" i="1"/>
  <c r="AG194" i="1"/>
  <c r="AI194" i="1" s="1"/>
  <c r="AG192" i="1"/>
  <c r="AI192" i="1" s="1"/>
  <c r="AG190" i="1"/>
  <c r="AG188" i="1"/>
  <c r="AI188" i="1" s="1"/>
  <c r="AG186" i="1"/>
  <c r="AI186" i="1" s="1"/>
  <c r="AG184" i="1"/>
  <c r="AI184" i="1" s="1"/>
  <c r="AG182" i="1"/>
  <c r="AG180" i="1"/>
  <c r="AI180" i="1" s="1"/>
  <c r="AG178" i="1"/>
  <c r="AI178" i="1" s="1"/>
  <c r="AG176" i="1"/>
  <c r="AI176" i="1" s="1"/>
  <c r="AG174" i="1"/>
  <c r="AG172" i="1"/>
  <c r="AI172" i="1" s="1"/>
  <c r="AG170" i="1"/>
  <c r="AI170" i="1" s="1"/>
  <c r="AA164" i="1"/>
  <c r="S160" i="1"/>
  <c r="AA156" i="1"/>
  <c r="AA218" i="1"/>
  <c r="W218" i="1" s="1"/>
  <c r="AA202" i="1"/>
  <c r="W202" i="1" s="1"/>
  <c r="AI146" i="1"/>
  <c r="T139" i="1"/>
  <c r="X139" i="1"/>
  <c r="X140" i="1"/>
  <c r="AG139" i="1"/>
  <c r="T137" i="1"/>
  <c r="X137" i="1"/>
  <c r="X138" i="1"/>
  <c r="AG137" i="1"/>
  <c r="T135" i="1"/>
  <c r="X135" i="1"/>
  <c r="X136" i="1"/>
  <c r="AG135" i="1"/>
  <c r="T133" i="1"/>
  <c r="X133" i="1"/>
  <c r="X134" i="1"/>
  <c r="AG133" i="1"/>
  <c r="T131" i="1"/>
  <c r="X131" i="1"/>
  <c r="X132" i="1"/>
  <c r="AG131" i="1"/>
  <c r="T129" i="1"/>
  <c r="X130" i="1"/>
  <c r="AG129" i="1"/>
  <c r="T127" i="1"/>
  <c r="AG127" i="1"/>
  <c r="T126" i="1"/>
  <c r="AG126" i="1"/>
  <c r="T118" i="1"/>
  <c r="X118" i="1"/>
  <c r="X119" i="1"/>
  <c r="AG118" i="1"/>
  <c r="T110" i="1"/>
  <c r="X110" i="1"/>
  <c r="X111" i="1"/>
  <c r="AG110" i="1"/>
  <c r="AI100" i="1"/>
  <c r="U92" i="1"/>
  <c r="S92" i="1" s="1"/>
  <c r="T81" i="1"/>
  <c r="X81" i="1"/>
  <c r="AG81" i="1"/>
  <c r="X82" i="1"/>
  <c r="X168" i="1"/>
  <c r="X166" i="1"/>
  <c r="X164" i="1"/>
  <c r="X162" i="1"/>
  <c r="X160" i="1"/>
  <c r="X158" i="1"/>
  <c r="X156" i="1"/>
  <c r="X154" i="1"/>
  <c r="X222" i="1"/>
  <c r="X220" i="1"/>
  <c r="X218" i="1"/>
  <c r="X210" i="1"/>
  <c r="X208" i="1"/>
  <c r="X206" i="1"/>
  <c r="AI157" i="1"/>
  <c r="T151" i="1"/>
  <c r="U151" i="1" s="1"/>
  <c r="S151" i="1" s="1"/>
  <c r="X151" i="1"/>
  <c r="AI149" i="1"/>
  <c r="AI148" i="1"/>
  <c r="T143" i="1"/>
  <c r="U143" i="1" s="1"/>
  <c r="S143" i="1" s="1"/>
  <c r="X143" i="1"/>
  <c r="AI141" i="1"/>
  <c r="AA98" i="1"/>
  <c r="T89" i="1"/>
  <c r="X89" i="1"/>
  <c r="AG89" i="1"/>
  <c r="X90" i="1"/>
  <c r="AG51" i="1"/>
  <c r="X52" i="1"/>
  <c r="X51" i="1"/>
  <c r="T51" i="1"/>
  <c r="AG47" i="1"/>
  <c r="X48" i="1"/>
  <c r="X47" i="1"/>
  <c r="T47" i="1"/>
  <c r="AG43" i="1"/>
  <c r="X44" i="1"/>
  <c r="X43" i="1"/>
  <c r="T43" i="1"/>
  <c r="T204" i="1"/>
  <c r="U204" i="1" s="1"/>
  <c r="S204" i="1" s="1"/>
  <c r="X204" i="1"/>
  <c r="T149" i="1"/>
  <c r="U149" i="1" s="1"/>
  <c r="S149" i="1" s="1"/>
  <c r="X149" i="1"/>
  <c r="T141" i="1"/>
  <c r="U141" i="1" s="1"/>
  <c r="S141" i="1" s="1"/>
  <c r="X141" i="1"/>
  <c r="W100" i="1"/>
  <c r="T202" i="1"/>
  <c r="U202" i="1" s="1"/>
  <c r="S202" i="1" s="1"/>
  <c r="X202" i="1"/>
  <c r="T147" i="1"/>
  <c r="U147" i="1" s="1"/>
  <c r="S147" i="1" s="1"/>
  <c r="X147" i="1"/>
  <c r="AA139" i="1"/>
  <c r="AA137" i="1"/>
  <c r="AA135" i="1"/>
  <c r="AA133" i="1"/>
  <c r="AA131" i="1"/>
  <c r="AA129" i="1"/>
  <c r="AA127" i="1"/>
  <c r="AA126" i="1"/>
  <c r="AA124" i="1"/>
  <c r="AA122" i="1"/>
  <c r="AA120" i="1"/>
  <c r="AA118" i="1"/>
  <c r="AA116" i="1"/>
  <c r="AA114" i="1"/>
  <c r="AA112" i="1"/>
  <c r="AA110" i="1"/>
  <c r="AA108" i="1"/>
  <c r="AA106" i="1"/>
  <c r="AA104" i="1"/>
  <c r="AA102" i="1"/>
  <c r="AA94" i="1"/>
  <c r="AI90" i="1"/>
  <c r="AI83" i="1"/>
  <c r="X102" i="1"/>
  <c r="X100" i="1"/>
  <c r="X98" i="1"/>
  <c r="X96" i="1"/>
  <c r="X94" i="1"/>
  <c r="X92" i="1"/>
  <c r="T87" i="1"/>
  <c r="U87" i="1" s="1"/>
  <c r="S87" i="1" s="1"/>
  <c r="X87" i="1"/>
  <c r="AI85" i="1"/>
  <c r="AI84" i="1"/>
  <c r="T79" i="1"/>
  <c r="U79" i="1" s="1"/>
  <c r="S79" i="1" s="1"/>
  <c r="X79" i="1"/>
  <c r="AA65" i="1"/>
  <c r="T85" i="1"/>
  <c r="U85" i="1" s="1"/>
  <c r="S85" i="1" s="1"/>
  <c r="X85" i="1"/>
  <c r="AA77" i="1"/>
  <c r="W77" i="1" s="1"/>
  <c r="AA75" i="1"/>
  <c r="W75" i="1" s="1"/>
  <c r="AA73" i="1"/>
  <c r="W73" i="1" s="1"/>
  <c r="AA71" i="1"/>
  <c r="W71" i="1" s="1"/>
  <c r="AA69" i="1"/>
  <c r="W69" i="1" s="1"/>
  <c r="AA67" i="1"/>
  <c r="W67" i="1" s="1"/>
  <c r="AA59" i="1"/>
  <c r="X50" i="1"/>
  <c r="AG50" i="1"/>
  <c r="X46" i="1"/>
  <c r="AG46" i="1"/>
  <c r="X42" i="1"/>
  <c r="AG42" i="1"/>
  <c r="T83" i="1"/>
  <c r="U83" i="1" s="1"/>
  <c r="S83" i="1" s="1"/>
  <c r="X83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T69" i="1"/>
  <c r="U69" i="1" s="1"/>
  <c r="S69" i="1" s="1"/>
  <c r="X69" i="1"/>
  <c r="T67" i="1"/>
  <c r="U67" i="1" s="1"/>
  <c r="S67" i="1" s="1"/>
  <c r="X67" i="1"/>
  <c r="AI65" i="1"/>
  <c r="AA61" i="1"/>
  <c r="W61" i="1" s="1"/>
  <c r="AA53" i="1"/>
  <c r="X65" i="1"/>
  <c r="X63" i="1"/>
  <c r="X61" i="1"/>
  <c r="X59" i="1"/>
  <c r="X57" i="1"/>
  <c r="X55" i="1"/>
  <c r="X53" i="1"/>
  <c r="AA48" i="1"/>
  <c r="AA44" i="1"/>
  <c r="W44" i="1" s="1"/>
  <c r="AA40" i="1"/>
  <c r="AG39" i="1"/>
  <c r="T39" i="1"/>
  <c r="X39" i="1"/>
  <c r="AG35" i="1"/>
  <c r="T35" i="1"/>
  <c r="X35" i="1"/>
  <c r="AG31" i="1"/>
  <c r="T31" i="1"/>
  <c r="X31" i="1"/>
  <c r="X26" i="1"/>
  <c r="AG26" i="1"/>
  <c r="T40" i="1"/>
  <c r="X40" i="1"/>
  <c r="AG23" i="1"/>
  <c r="W23" i="1" s="1"/>
  <c r="T23" i="1"/>
  <c r="X24" i="1"/>
  <c r="X23" i="1"/>
  <c r="U21" i="1"/>
  <c r="S21" i="1" s="1"/>
  <c r="T20" i="1"/>
  <c r="X20" i="1"/>
  <c r="AG20" i="1"/>
  <c r="X21" i="1"/>
  <c r="T16" i="1"/>
  <c r="X16" i="1"/>
  <c r="AG16" i="1"/>
  <c r="X17" i="1"/>
  <c r="AA50" i="1"/>
  <c r="T49" i="1"/>
  <c r="U49" i="1" s="1"/>
  <c r="S49" i="1" s="1"/>
  <c r="AA46" i="1"/>
  <c r="T45" i="1"/>
  <c r="U45" i="1" s="1"/>
  <c r="S45" i="1" s="1"/>
  <c r="AA42" i="1"/>
  <c r="T41" i="1"/>
  <c r="U41" i="1" s="1"/>
  <c r="S41" i="1" s="1"/>
  <c r="AG40" i="1"/>
  <c r="X38" i="1"/>
  <c r="AG38" i="1"/>
  <c r="X34" i="1"/>
  <c r="AG34" i="1"/>
  <c r="X30" i="1"/>
  <c r="AG30" i="1"/>
  <c r="AG27" i="1"/>
  <c r="T27" i="1"/>
  <c r="X28" i="1"/>
  <c r="X27" i="1"/>
  <c r="W15" i="1"/>
  <c r="T36" i="1"/>
  <c r="T32" i="1"/>
  <c r="AA38" i="1"/>
  <c r="T37" i="1"/>
  <c r="U37" i="1" s="1"/>
  <c r="S37" i="1" s="1"/>
  <c r="AG36" i="1"/>
  <c r="AA34" i="1"/>
  <c r="T33" i="1"/>
  <c r="U33" i="1" s="1"/>
  <c r="S33" i="1" s="1"/>
  <c r="AG32" i="1"/>
  <c r="AA30" i="1"/>
  <c r="T29" i="1"/>
  <c r="U29" i="1" s="1"/>
  <c r="S29" i="1" s="1"/>
  <c r="AA26" i="1"/>
  <c r="AI24" i="1"/>
  <c r="AA22" i="1"/>
  <c r="AA20" i="1"/>
  <c r="AA18" i="1"/>
  <c r="AA16" i="1"/>
  <c r="AA14" i="1"/>
  <c r="Y37" i="3"/>
  <c r="Y43" i="3"/>
  <c r="Y17" i="3"/>
  <c r="Y32" i="3"/>
  <c r="AD31" i="3"/>
  <c r="Y27" i="3"/>
  <c r="AC11" i="3"/>
  <c r="AD25" i="3"/>
  <c r="Y7" i="3"/>
  <c r="AD35" i="3"/>
  <c r="AD17" i="3"/>
  <c r="AE17" i="3"/>
  <c r="AC21" i="3"/>
  <c r="Y12" i="3"/>
  <c r="AE20" i="3"/>
  <c r="AE19" i="3"/>
  <c r="AE10" i="3"/>
  <c r="AD18" i="3"/>
  <c r="AE18" i="3"/>
  <c r="AD30" i="3"/>
  <c r="AD42" i="3"/>
  <c r="AD12" i="3"/>
  <c r="AD27" i="3"/>
  <c r="AC8" i="3"/>
  <c r="Y19" i="3"/>
  <c r="T25" i="3"/>
  <c r="AD7" i="3"/>
  <c r="AD10" i="3"/>
  <c r="AC35" i="3"/>
  <c r="T34" i="3"/>
  <c r="AD33" i="3"/>
  <c r="AC12" i="3"/>
  <c r="AD20" i="3"/>
  <c r="AE25" i="3"/>
  <c r="Y25" i="3"/>
  <c r="Y29" i="3"/>
  <c r="AE34" i="3"/>
  <c r="Y34" i="3"/>
  <c r="Y26" i="3"/>
  <c r="AD26" i="3"/>
  <c r="AC9" i="3"/>
  <c r="AD29" i="3"/>
  <c r="AC42" i="3"/>
  <c r="AE41" i="3"/>
  <c r="T41" i="3"/>
  <c r="AE24" i="3"/>
  <c r="T24" i="3"/>
  <c r="T38" i="3"/>
  <c r="AE36" i="3"/>
  <c r="T36" i="3"/>
  <c r="AD41" i="3"/>
  <c r="AE8" i="3"/>
  <c r="T8" i="3"/>
  <c r="AE11" i="3"/>
  <c r="T11" i="3"/>
  <c r="AD24" i="3"/>
  <c r="AE45" i="3"/>
  <c r="T45" i="3"/>
  <c r="AD36" i="3"/>
  <c r="AE35" i="3"/>
  <c r="T35" i="3"/>
  <c r="AD22" i="3"/>
  <c r="AE30" i="3"/>
  <c r="T30" i="3"/>
  <c r="AD43" i="3"/>
  <c r="AE42" i="3"/>
  <c r="T42" i="3"/>
  <c r="AD16" i="3"/>
  <c r="AE21" i="3"/>
  <c r="T21" i="3"/>
  <c r="AD15" i="3"/>
  <c r="AE12" i="3"/>
  <c r="T12" i="3"/>
  <c r="AD44" i="3"/>
  <c r="AE40" i="3"/>
  <c r="T40" i="3"/>
  <c r="AE38" i="3"/>
  <c r="AD40" i="3"/>
  <c r="AE9" i="3"/>
  <c r="T9" i="3"/>
  <c r="AD38" i="3"/>
  <c r="AE26" i="3"/>
  <c r="AE23" i="3"/>
  <c r="AE7" i="3"/>
  <c r="AE37" i="3"/>
  <c r="AE29" i="3"/>
  <c r="AC22" i="3"/>
  <c r="AE28" i="3"/>
  <c r="AC43" i="3"/>
  <c r="AE33" i="3"/>
  <c r="AC16" i="3"/>
  <c r="AE14" i="3"/>
  <c r="AC15" i="3"/>
  <c r="AE31" i="3"/>
  <c r="T31" i="3"/>
  <c r="AC44" i="3"/>
  <c r="AE22" i="3"/>
  <c r="AE43" i="3"/>
  <c r="AE16" i="3"/>
  <c r="AE15" i="3"/>
  <c r="AE44" i="3"/>
  <c r="W20" i="1" l="1"/>
  <c r="AI28" i="1"/>
  <c r="W102" i="1"/>
  <c r="W133" i="1"/>
  <c r="AI59" i="1"/>
  <c r="W81" i="1"/>
  <c r="U206" i="1"/>
  <c r="S206" i="1" s="1"/>
  <c r="U158" i="1"/>
  <c r="S158" i="1" s="1"/>
  <c r="U218" i="1"/>
  <c r="S218" i="1" s="1"/>
  <c r="U61" i="1"/>
  <c r="S61" i="1" s="1"/>
  <c r="W56" i="1"/>
  <c r="U207" i="1"/>
  <c r="S207" i="1" s="1"/>
  <c r="U177" i="1"/>
  <c r="S177" i="1" s="1"/>
  <c r="W32" i="1"/>
  <c r="W130" i="1"/>
  <c r="W92" i="1"/>
  <c r="W201" i="1"/>
  <c r="AI169" i="1"/>
  <c r="W206" i="1"/>
  <c r="W158" i="1"/>
  <c r="U142" i="1"/>
  <c r="S142" i="1" s="1"/>
  <c r="W208" i="1"/>
  <c r="U223" i="1"/>
  <c r="S223" i="1" s="1"/>
  <c r="W95" i="1"/>
  <c r="AI156" i="1"/>
  <c r="W164" i="1"/>
  <c r="U164" i="1"/>
  <c r="S164" i="1" s="1"/>
  <c r="W128" i="1"/>
  <c r="U175" i="1"/>
  <c r="S175" i="1" s="1"/>
  <c r="W175" i="1"/>
  <c r="W43" i="1"/>
  <c r="AI48" i="1"/>
  <c r="W156" i="1"/>
  <c r="U224" i="1"/>
  <c r="S224" i="1" s="1"/>
  <c r="AI220" i="1"/>
  <c r="U181" i="1"/>
  <c r="S181" i="1" s="1"/>
  <c r="W36" i="1"/>
  <c r="U215" i="1"/>
  <c r="S215" i="1" s="1"/>
  <c r="AI93" i="1"/>
  <c r="U117" i="1"/>
  <c r="S117" i="1" s="1"/>
  <c r="U136" i="1"/>
  <c r="S136" i="1" s="1"/>
  <c r="U226" i="1"/>
  <c r="S226" i="1" s="1"/>
  <c r="W140" i="1"/>
  <c r="U203" i="1"/>
  <c r="S203" i="1" s="1"/>
  <c r="W177" i="1"/>
  <c r="U167" i="1"/>
  <c r="S167" i="1" s="1"/>
  <c r="U82" i="1"/>
  <c r="S82" i="1" s="1"/>
  <c r="U96" i="1"/>
  <c r="S96" i="1" s="1"/>
  <c r="U162" i="1"/>
  <c r="S162" i="1" s="1"/>
  <c r="U128" i="1"/>
  <c r="S128" i="1" s="1"/>
  <c r="AI140" i="1"/>
  <c r="W117" i="1"/>
  <c r="W55" i="1"/>
  <c r="W51" i="1"/>
  <c r="AI44" i="1"/>
  <c r="AI55" i="1"/>
  <c r="W226" i="1"/>
  <c r="U221" i="1"/>
  <c r="S221" i="1" s="1"/>
  <c r="W136" i="1"/>
  <c r="W197" i="1"/>
  <c r="W48" i="1"/>
  <c r="W57" i="1"/>
  <c r="AI94" i="1"/>
  <c r="W22" i="1"/>
  <c r="W39" i="1"/>
  <c r="W131" i="1"/>
  <c r="W139" i="1"/>
  <c r="W89" i="1"/>
  <c r="W98" i="1"/>
  <c r="U166" i="1"/>
  <c r="S166" i="1" s="1"/>
  <c r="AI222" i="1"/>
  <c r="U228" i="1"/>
  <c r="S228" i="1" s="1"/>
  <c r="W220" i="1"/>
  <c r="W47" i="1"/>
  <c r="W82" i="1"/>
  <c r="AI64" i="1"/>
  <c r="U148" i="1"/>
  <c r="S148" i="1" s="1"/>
  <c r="U113" i="1"/>
  <c r="S113" i="1" s="1"/>
  <c r="AI130" i="1"/>
  <c r="AI160" i="1"/>
  <c r="AI168" i="1"/>
  <c r="U185" i="1"/>
  <c r="S185" i="1" s="1"/>
  <c r="W181" i="1"/>
  <c r="W64" i="1"/>
  <c r="W93" i="1"/>
  <c r="W28" i="1"/>
  <c r="W18" i="1"/>
  <c r="W31" i="1"/>
  <c r="AI57" i="1"/>
  <c r="U53" i="1"/>
  <c r="S53" i="1" s="1"/>
  <c r="AI63" i="1"/>
  <c r="W65" i="1"/>
  <c r="W94" i="1"/>
  <c r="W104" i="1"/>
  <c r="W112" i="1"/>
  <c r="W120" i="1"/>
  <c r="W127" i="1"/>
  <c r="W135" i="1"/>
  <c r="AI161" i="1"/>
  <c r="AI167" i="1"/>
  <c r="AI95" i="1"/>
  <c r="W203" i="1"/>
  <c r="U183" i="1"/>
  <c r="S183" i="1" s="1"/>
  <c r="U152" i="1"/>
  <c r="S152" i="1" s="1"/>
  <c r="U161" i="1"/>
  <c r="S161" i="1" s="1"/>
  <c r="U211" i="1"/>
  <c r="S211" i="1" s="1"/>
  <c r="U159" i="1"/>
  <c r="S159" i="1" s="1"/>
  <c r="W54" i="1"/>
  <c r="W14" i="1"/>
  <c r="AI98" i="1"/>
  <c r="W129" i="1"/>
  <c r="W137" i="1"/>
  <c r="AI102" i="1"/>
  <c r="AI159" i="1"/>
  <c r="W166" i="1"/>
  <c r="W96" i="1"/>
  <c r="AI52" i="1"/>
  <c r="W91" i="1"/>
  <c r="U210" i="1"/>
  <c r="S210" i="1" s="1"/>
  <c r="U209" i="1"/>
  <c r="S209" i="1" s="1"/>
  <c r="W222" i="1"/>
  <c r="W168" i="1"/>
  <c r="W142" i="1"/>
  <c r="W108" i="1"/>
  <c r="W116" i="1"/>
  <c r="W124" i="1"/>
  <c r="W153" i="1"/>
  <c r="U150" i="1"/>
  <c r="S150" i="1" s="1"/>
  <c r="W213" i="1"/>
  <c r="W66" i="1"/>
  <c r="W46" i="1"/>
  <c r="W53" i="1"/>
  <c r="W59" i="1"/>
  <c r="AI185" i="1"/>
  <c r="AI154" i="1"/>
  <c r="AI113" i="1"/>
  <c r="W183" i="1"/>
  <c r="W230" i="1"/>
  <c r="W193" i="1"/>
  <c r="W26" i="1"/>
  <c r="W110" i="1"/>
  <c r="W118" i="1"/>
  <c r="W126" i="1"/>
  <c r="W84" i="1"/>
  <c r="W159" i="1"/>
  <c r="W224" i="1"/>
  <c r="W60" i="1"/>
  <c r="W148" i="1"/>
  <c r="W52" i="1"/>
  <c r="W210" i="1"/>
  <c r="W167" i="1"/>
  <c r="W152" i="1"/>
  <c r="W207" i="1"/>
  <c r="W154" i="1"/>
  <c r="W191" i="1"/>
  <c r="W223" i="1"/>
  <c r="W30" i="1"/>
  <c r="W150" i="1"/>
  <c r="U208" i="1"/>
  <c r="S208" i="1" s="1"/>
  <c r="AI208" i="1"/>
  <c r="W221" i="1"/>
  <c r="W162" i="1"/>
  <c r="W40" i="1"/>
  <c r="W225" i="1"/>
  <c r="AI225" i="1"/>
  <c r="W172" i="1"/>
  <c r="U62" i="1"/>
  <c r="S62" i="1" s="1"/>
  <c r="AI62" i="1"/>
  <c r="U86" i="1"/>
  <c r="S86" i="1" s="1"/>
  <c r="AI86" i="1"/>
  <c r="W86" i="1"/>
  <c r="U101" i="1"/>
  <c r="S101" i="1" s="1"/>
  <c r="AI101" i="1"/>
  <c r="W146" i="1"/>
  <c r="W34" i="1"/>
  <c r="W174" i="1"/>
  <c r="AI174" i="1"/>
  <c r="W182" i="1"/>
  <c r="AI182" i="1"/>
  <c r="W190" i="1"/>
  <c r="AI190" i="1"/>
  <c r="W180" i="1"/>
  <c r="U80" i="1"/>
  <c r="S80" i="1" s="1"/>
  <c r="AI80" i="1"/>
  <c r="U103" i="1"/>
  <c r="S103" i="1" s="1"/>
  <c r="AI103" i="1"/>
  <c r="W101" i="1"/>
  <c r="W215" i="1"/>
  <c r="AI212" i="1"/>
  <c r="U99" i="1"/>
  <c r="S99" i="1" s="1"/>
  <c r="AI99" i="1"/>
  <c r="U56" i="1"/>
  <c r="S56" i="1" s="1"/>
  <c r="AI56" i="1"/>
  <c r="U91" i="1"/>
  <c r="S91" i="1" s="1"/>
  <c r="AI91" i="1"/>
  <c r="W62" i="1"/>
  <c r="W188" i="1"/>
  <c r="W63" i="1"/>
  <c r="W80" i="1"/>
  <c r="U216" i="1"/>
  <c r="S216" i="1" s="1"/>
  <c r="AI216" i="1"/>
  <c r="AI50" i="1"/>
  <c r="U50" i="1"/>
  <c r="S50" i="1" s="1"/>
  <c r="U196" i="1"/>
  <c r="S196" i="1" s="1"/>
  <c r="AI213" i="1"/>
  <c r="AI106" i="1"/>
  <c r="U106" i="1"/>
  <c r="S106" i="1" s="1"/>
  <c r="AI114" i="1"/>
  <c r="U114" i="1"/>
  <c r="S114" i="1" s="1"/>
  <c r="AI22" i="1"/>
  <c r="U22" i="1"/>
  <c r="S22" i="1" s="1"/>
  <c r="W16" i="1"/>
  <c r="W38" i="1"/>
  <c r="AI34" i="1"/>
  <c r="U34" i="1"/>
  <c r="S34" i="1" s="1"/>
  <c r="AI40" i="1"/>
  <c r="U40" i="1"/>
  <c r="S40" i="1" s="1"/>
  <c r="AI20" i="1"/>
  <c r="U20" i="1"/>
  <c r="S20" i="1" s="1"/>
  <c r="U23" i="1"/>
  <c r="S23" i="1" s="1"/>
  <c r="AI23" i="1"/>
  <c r="U39" i="1"/>
  <c r="S39" i="1" s="1"/>
  <c r="AI39" i="1"/>
  <c r="U43" i="1"/>
  <c r="S43" i="1" s="1"/>
  <c r="AI43" i="1"/>
  <c r="U47" i="1"/>
  <c r="S47" i="1" s="1"/>
  <c r="AI47" i="1"/>
  <c r="U51" i="1"/>
  <c r="S51" i="1" s="1"/>
  <c r="AI51" i="1"/>
  <c r="AI110" i="1"/>
  <c r="U110" i="1"/>
  <c r="S110" i="1" s="1"/>
  <c r="AI118" i="1"/>
  <c r="U118" i="1"/>
  <c r="S118" i="1" s="1"/>
  <c r="AI126" i="1"/>
  <c r="U126" i="1"/>
  <c r="S126" i="1" s="1"/>
  <c r="AI127" i="1"/>
  <c r="U127" i="1"/>
  <c r="S127" i="1" s="1"/>
  <c r="AI129" i="1"/>
  <c r="U129" i="1"/>
  <c r="S129" i="1" s="1"/>
  <c r="AI131" i="1"/>
  <c r="U131" i="1"/>
  <c r="S131" i="1" s="1"/>
  <c r="AI133" i="1"/>
  <c r="U133" i="1"/>
  <c r="S133" i="1" s="1"/>
  <c r="AI135" i="1"/>
  <c r="U135" i="1"/>
  <c r="S135" i="1" s="1"/>
  <c r="AI137" i="1"/>
  <c r="U137" i="1"/>
  <c r="S137" i="1" s="1"/>
  <c r="AI139" i="1"/>
  <c r="U139" i="1"/>
  <c r="S139" i="1" s="1"/>
  <c r="AI187" i="1"/>
  <c r="U170" i="1"/>
  <c r="S170" i="1" s="1"/>
  <c r="AI195" i="1"/>
  <c r="U178" i="1"/>
  <c r="S178" i="1" s="1"/>
  <c r="AI203" i="1"/>
  <c r="U186" i="1"/>
  <c r="S186" i="1" s="1"/>
  <c r="AI211" i="1"/>
  <c r="U194" i="1"/>
  <c r="S194" i="1" s="1"/>
  <c r="AI108" i="1"/>
  <c r="U108" i="1"/>
  <c r="S108" i="1" s="1"/>
  <c r="AI116" i="1"/>
  <c r="U116" i="1"/>
  <c r="S116" i="1" s="1"/>
  <c r="AI124" i="1"/>
  <c r="U124" i="1"/>
  <c r="S124" i="1" s="1"/>
  <c r="AI145" i="1"/>
  <c r="U145" i="1"/>
  <c r="S145" i="1" s="1"/>
  <c r="AI14" i="1"/>
  <c r="U14" i="1"/>
  <c r="S14" i="1" s="1"/>
  <c r="AI104" i="1"/>
  <c r="U104" i="1"/>
  <c r="S104" i="1" s="1"/>
  <c r="AI112" i="1"/>
  <c r="U112" i="1"/>
  <c r="S112" i="1" s="1"/>
  <c r="AI120" i="1"/>
  <c r="U120" i="1"/>
  <c r="S120" i="1" s="1"/>
  <c r="AI32" i="1"/>
  <c r="U32" i="1"/>
  <c r="S32" i="1" s="1"/>
  <c r="AI42" i="1"/>
  <c r="U42" i="1"/>
  <c r="S42" i="1" s="1"/>
  <c r="AI193" i="1"/>
  <c r="U176" i="1"/>
  <c r="S176" i="1" s="1"/>
  <c r="AI201" i="1"/>
  <c r="U184" i="1"/>
  <c r="S184" i="1" s="1"/>
  <c r="AI209" i="1"/>
  <c r="U192" i="1"/>
  <c r="S192" i="1" s="1"/>
  <c r="AI229" i="1"/>
  <c r="U214" i="1"/>
  <c r="S214" i="1" s="1"/>
  <c r="AI122" i="1"/>
  <c r="U122" i="1"/>
  <c r="S122" i="1" s="1"/>
  <c r="U27" i="1"/>
  <c r="S27" i="1" s="1"/>
  <c r="AI27" i="1"/>
  <c r="W27" i="1"/>
  <c r="U35" i="1"/>
  <c r="S35" i="1" s="1"/>
  <c r="AI35" i="1"/>
  <c r="AI46" i="1"/>
  <c r="U46" i="1"/>
  <c r="S46" i="1" s="1"/>
  <c r="W106" i="1"/>
  <c r="W114" i="1"/>
  <c r="W122" i="1"/>
  <c r="AI189" i="1"/>
  <c r="U172" i="1"/>
  <c r="S172" i="1" s="1"/>
  <c r="AI197" i="1"/>
  <c r="U180" i="1"/>
  <c r="S180" i="1" s="1"/>
  <c r="AI205" i="1"/>
  <c r="U188" i="1"/>
  <c r="S188" i="1" s="1"/>
  <c r="U225" i="1"/>
  <c r="S225" i="1" s="1"/>
  <c r="AI219" i="1"/>
  <c r="AI221" i="1"/>
  <c r="U227" i="1"/>
  <c r="S227" i="1" s="1"/>
  <c r="W186" i="1"/>
  <c r="W176" i="1"/>
  <c r="W192" i="1"/>
  <c r="W145" i="1"/>
  <c r="W227" i="1"/>
  <c r="AI36" i="1"/>
  <c r="U36" i="1"/>
  <c r="S36" i="1" s="1"/>
  <c r="AI30" i="1"/>
  <c r="U30" i="1"/>
  <c r="S30" i="1" s="1"/>
  <c r="AI38" i="1"/>
  <c r="U38" i="1"/>
  <c r="S38" i="1" s="1"/>
  <c r="W42" i="1"/>
  <c r="W50" i="1"/>
  <c r="AI16" i="1"/>
  <c r="U16" i="1"/>
  <c r="S16" i="1" s="1"/>
  <c r="AI26" i="1"/>
  <c r="U26" i="1"/>
  <c r="S26" i="1" s="1"/>
  <c r="U31" i="1"/>
  <c r="S31" i="1" s="1"/>
  <c r="AI31" i="1"/>
  <c r="AI89" i="1"/>
  <c r="U89" i="1"/>
  <c r="S89" i="1" s="1"/>
  <c r="AI81" i="1"/>
  <c r="U81" i="1"/>
  <c r="S81" i="1" s="1"/>
  <c r="AI191" i="1"/>
  <c r="U174" i="1"/>
  <c r="S174" i="1" s="1"/>
  <c r="AI199" i="1"/>
  <c r="U182" i="1"/>
  <c r="S182" i="1" s="1"/>
  <c r="AI207" i="1"/>
  <c r="U190" i="1"/>
  <c r="S190" i="1" s="1"/>
  <c r="U212" i="1"/>
  <c r="S212" i="1" s="1"/>
  <c r="AI227" i="1"/>
  <c r="AI153" i="1"/>
  <c r="U153" i="1"/>
  <c r="S153" i="1" s="1"/>
  <c r="W194" i="1"/>
  <c r="W170" i="1"/>
  <c r="W178" i="1"/>
  <c r="AI18" i="1"/>
  <c r="U18" i="1"/>
  <c r="S18" i="1" s="1"/>
  <c r="W35" i="1"/>
  <c r="W184" i="1"/>
  <c r="W196" i="1"/>
  <c r="W214" i="1"/>
  <c r="B70" i="9"/>
  <c r="B71" i="9"/>
  <c r="C72" i="9" s="1"/>
  <c r="C71" i="9"/>
  <c r="B72" i="9"/>
  <c r="B73" i="9"/>
  <c r="C73" i="9"/>
  <c r="B74" i="9"/>
  <c r="C75" i="9" s="1"/>
  <c r="B75" i="9"/>
  <c r="B76" i="9"/>
  <c r="B77" i="9"/>
  <c r="C78" i="9" s="1"/>
  <c r="B78" i="9"/>
  <c r="B79" i="9"/>
  <c r="C80" i="9" s="1"/>
  <c r="C79" i="9"/>
  <c r="B80" i="9"/>
  <c r="B81" i="9"/>
  <c r="C81" i="9"/>
  <c r="B82" i="9"/>
  <c r="C83" i="9" s="1"/>
  <c r="B83" i="9"/>
  <c r="B84" i="9"/>
  <c r="B85" i="9"/>
  <c r="C86" i="9" s="1"/>
  <c r="B86" i="9"/>
  <c r="B87" i="9"/>
  <c r="C88" i="9" s="1"/>
  <c r="C87" i="9"/>
  <c r="B88" i="9"/>
  <c r="B89" i="9"/>
  <c r="C89" i="9"/>
  <c r="B90" i="9"/>
  <c r="C91" i="9" s="1"/>
  <c r="B91" i="9"/>
  <c r="B92" i="9"/>
  <c r="B93" i="9"/>
  <c r="C94" i="9" s="1"/>
  <c r="B94" i="9"/>
  <c r="B95" i="9"/>
  <c r="C96" i="9" s="1"/>
  <c r="C95" i="9"/>
  <c r="B96" i="9"/>
  <c r="B97" i="9"/>
  <c r="C97" i="9"/>
  <c r="M13" i="3"/>
  <c r="R13" i="3"/>
  <c r="S13" i="3"/>
  <c r="U13" i="3"/>
  <c r="V13" i="3"/>
  <c r="W13" i="3"/>
  <c r="X13" i="3"/>
  <c r="AC13" i="3"/>
  <c r="C90" i="9" l="1"/>
  <c r="C82" i="9"/>
  <c r="C74" i="9"/>
  <c r="C93" i="9"/>
  <c r="C92" i="9"/>
  <c r="C85" i="9"/>
  <c r="C84" i="9"/>
  <c r="C77" i="9"/>
  <c r="C76" i="9"/>
  <c r="AE32" i="3"/>
  <c r="AD32" i="3"/>
  <c r="T13" i="3"/>
  <c r="AE13" i="3"/>
  <c r="Y13" i="3"/>
  <c r="AD13" i="3"/>
  <c r="M28" i="5" l="1"/>
  <c r="B6" i="6" l="1"/>
  <c r="F6" i="6" s="1"/>
  <c r="K6" i="6"/>
  <c r="B7" i="6"/>
  <c r="F7" i="6" s="1"/>
  <c r="K7" i="6"/>
  <c r="B8" i="6"/>
  <c r="G8" i="6" s="1"/>
  <c r="K8" i="6"/>
  <c r="B9" i="6"/>
  <c r="F9" i="6" s="1"/>
  <c r="K9" i="6"/>
  <c r="B10" i="6"/>
  <c r="F10" i="6" s="1"/>
  <c r="K10" i="6"/>
  <c r="B11" i="6"/>
  <c r="F11" i="6" s="1"/>
  <c r="K11" i="6"/>
  <c r="B12" i="6"/>
  <c r="G12" i="6" s="1"/>
  <c r="K12" i="6"/>
  <c r="B13" i="6"/>
  <c r="K13" i="6"/>
  <c r="B14" i="6"/>
  <c r="F14" i="6" s="1"/>
  <c r="K14" i="6"/>
  <c r="B15" i="6"/>
  <c r="F15" i="6" s="1"/>
  <c r="K15" i="6"/>
  <c r="B16" i="6"/>
  <c r="G16" i="6" s="1"/>
  <c r="K16" i="6"/>
  <c r="B17" i="6"/>
  <c r="F17" i="6" s="1"/>
  <c r="K17" i="6"/>
  <c r="B18" i="6"/>
  <c r="F18" i="6" s="1"/>
  <c r="K18" i="6"/>
  <c r="I9" i="6" l="1"/>
  <c r="F12" i="6"/>
  <c r="G6" i="6"/>
  <c r="F13" i="6"/>
  <c r="I13" i="6"/>
  <c r="G10" i="6"/>
  <c r="F16" i="6"/>
  <c r="I17" i="6"/>
  <c r="G14" i="6"/>
  <c r="G18" i="6"/>
  <c r="F8" i="6"/>
  <c r="H17" i="6"/>
  <c r="H13" i="6"/>
  <c r="H9" i="6"/>
  <c r="I18" i="6"/>
  <c r="G17" i="6"/>
  <c r="J16" i="6"/>
  <c r="I14" i="6"/>
  <c r="G13" i="6"/>
  <c r="J12" i="6"/>
  <c r="I10" i="6"/>
  <c r="G9" i="6"/>
  <c r="J8" i="6"/>
  <c r="I6" i="6"/>
  <c r="H18" i="6"/>
  <c r="J17" i="6"/>
  <c r="I16" i="6"/>
  <c r="I15" i="6"/>
  <c r="H14" i="6"/>
  <c r="J13" i="6"/>
  <c r="I12" i="6"/>
  <c r="I11" i="6"/>
  <c r="H10" i="6"/>
  <c r="J9" i="6"/>
  <c r="I8" i="6"/>
  <c r="I7" i="6"/>
  <c r="H15" i="6"/>
  <c r="H11" i="6"/>
  <c r="H7" i="6"/>
  <c r="J18" i="6"/>
  <c r="H16" i="6"/>
  <c r="G15" i="6"/>
  <c r="J14" i="6"/>
  <c r="H12" i="6"/>
  <c r="G11" i="6"/>
  <c r="J10" i="6"/>
  <c r="H8" i="6"/>
  <c r="G7" i="6"/>
  <c r="J6" i="6"/>
  <c r="J15" i="6"/>
  <c r="J11" i="6"/>
  <c r="J7" i="6"/>
  <c r="B3" i="6" l="1"/>
  <c r="G3" i="6" s="1"/>
  <c r="K3" i="6"/>
  <c r="B4" i="6"/>
  <c r="K4" i="6"/>
  <c r="B5" i="6"/>
  <c r="G5" i="6" s="1"/>
  <c r="K5" i="6"/>
  <c r="J4" i="6" l="1"/>
  <c r="I5" i="6"/>
  <c r="J5" i="6"/>
  <c r="F4" i="6"/>
  <c r="F5" i="6"/>
  <c r="I4" i="6"/>
  <c r="G4" i="6"/>
  <c r="J3" i="6"/>
  <c r="I3" i="6"/>
  <c r="F3" i="6"/>
  <c r="B53" i="9" l="1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C70" i="9" s="1"/>
  <c r="C66" i="9" l="1"/>
  <c r="C62" i="9"/>
  <c r="C68" i="9"/>
  <c r="C64" i="9"/>
  <c r="C60" i="9"/>
  <c r="C56" i="9"/>
  <c r="C58" i="9"/>
  <c r="C67" i="9"/>
  <c r="C63" i="9"/>
  <c r="C59" i="9"/>
  <c r="C55" i="9"/>
  <c r="C54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N44" i="3" s="1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N20" i="3" s="1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N31" i="3" s="1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N13" i="3" s="1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N21" i="3" s="1"/>
  <c r="G118" i="4"/>
  <c r="N32" i="3" s="1"/>
  <c r="G119" i="4"/>
  <c r="G120" i="4"/>
  <c r="N14" i="3" s="1"/>
  <c r="G121" i="4"/>
  <c r="G122" i="4"/>
  <c r="G123" i="4"/>
  <c r="G124" i="4"/>
  <c r="G125" i="4"/>
  <c r="G126" i="4"/>
  <c r="G127" i="4"/>
  <c r="G128" i="4"/>
  <c r="N33" i="3" s="1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N34" i="3" s="1"/>
  <c r="G149" i="4"/>
  <c r="G150" i="4"/>
  <c r="G151" i="4"/>
  <c r="N28" i="3" s="1"/>
  <c r="G152" i="4"/>
  <c r="G153" i="4"/>
  <c r="G154" i="4"/>
  <c r="N22" i="3" s="1"/>
  <c r="G155" i="4"/>
  <c r="G156" i="4"/>
  <c r="G157" i="4"/>
  <c r="N30" i="3" s="1"/>
  <c r="G158" i="4"/>
  <c r="G159" i="4"/>
  <c r="G160" i="4"/>
  <c r="G161" i="4"/>
  <c r="G162" i="4"/>
  <c r="N18" i="3" s="1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N9" i="3" s="1"/>
  <c r="G176" i="4"/>
  <c r="N10" i="3" s="1"/>
  <c r="G177" i="4"/>
  <c r="G178" i="4"/>
  <c r="G179" i="4"/>
  <c r="G180" i="4"/>
  <c r="N45" i="3" s="1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N23" i="3" s="1"/>
  <c r="G195" i="4"/>
  <c r="G196" i="4"/>
  <c r="G197" i="4"/>
  <c r="G198" i="4"/>
  <c r="G199" i="4"/>
  <c r="G200" i="4"/>
  <c r="G201" i="4"/>
  <c r="G202" i="4"/>
  <c r="G203" i="4"/>
  <c r="N11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N26" i="3" s="1"/>
  <c r="G220" i="4"/>
  <c r="G221" i="4"/>
  <c r="N19" i="3" s="1"/>
  <c r="G222" i="4"/>
  <c r="G223" i="4"/>
  <c r="G224" i="4"/>
  <c r="G225" i="4"/>
  <c r="G226" i="4"/>
  <c r="G227" i="4"/>
  <c r="G228" i="4"/>
  <c r="G229" i="4"/>
  <c r="G230" i="4"/>
  <c r="N8" i="3" s="1"/>
  <c r="G231" i="4"/>
  <c r="N27" i="3" s="1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2" i="3" l="1"/>
  <c r="N43" i="3"/>
  <c r="N39" i="3"/>
  <c r="N38" i="3"/>
  <c r="N16" i="3"/>
  <c r="N17" i="3"/>
  <c r="N40" i="3"/>
  <c r="N41" i="3"/>
  <c r="N29" i="3"/>
  <c r="N37" i="3"/>
  <c r="N35" i="3"/>
  <c r="N36" i="3"/>
  <c r="N24" i="3"/>
  <c r="N25" i="3"/>
  <c r="N7" i="3"/>
  <c r="N15" i="3"/>
  <c r="N12" i="3"/>
  <c r="H6" i="6"/>
  <c r="H4" i="6"/>
  <c r="H5" i="6"/>
  <c r="H3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C26" i="9" l="1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M30" i="5" l="1"/>
  <c r="M29" i="5"/>
  <c r="M27" i="5"/>
  <c r="M26" i="5" l="1"/>
  <c r="J7" i="1" l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<sst xmlns="http://schemas.openxmlformats.org/spreadsheetml/2006/main" count="2638" uniqueCount="944">
  <si>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</si>
  <si>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</si>
  <si>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</si>
  <si>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</si>
  <si>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</si>
  <si>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</si>
  <si>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</si>
  <si>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</si>
  <si>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</si>
  <si>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</si>
  <si>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</si>
  <si>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</si>
  <si>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</si>
  <si>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</si>
  <si>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</si>
  <si>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</si>
  <si>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</si>
  <si>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</si>
  <si>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</si>
  <si>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</si>
  <si>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</si>
  <si>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</si>
  <si>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</si>
  <si>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</si>
  <si>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</si>
  <si>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</si>
  <si>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</si>
  <si>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</si>
  <si>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</si>
  <si>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</si>
  <si>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</si>
  <si>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</si>
  <si>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</si>
  <si>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</si>
  <si>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</si>
  <si>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</si>
  <si>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</si>
  <si>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</si>
  <si>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</si>
  <si>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</si>
  <si>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</si>
  <si>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</si>
  <si>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</si>
  <si>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</si>
  <si>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</si>
  <si>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</si>
  <si>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</si>
  <si>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</si>
  <si>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</si>
  <si>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</si>
  <si>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</si>
  <si>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</si>
  <si>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</si>
  <si>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</si>
  <si>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</si>
  <si>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</si>
  <si>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</si>
  <si>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</si>
  <si>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</si>
  <si>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</si>
  <si>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</si>
  <si>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</si>
  <si>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</si>
  <si>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</si>
  <si>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</si>
  <si>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</si>
  <si>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</si>
  <si>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</si>
  <si>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</si>
  <si>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</si>
  <si>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</si>
  <si>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</si>
  <si>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</si>
  <si>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</si>
  <si>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</si>
  <si>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</si>
  <si>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</si>
  <si>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</si>
  <si>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</si>
  <si>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</si>
  <si>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</si>
  <si>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</si>
  <si>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</si>
  <si>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</si>
  <si>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</si>
  <si>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</si>
  <si>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</si>
  <si>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</si>
  <si>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</si>
  <si>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</si>
  <si>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</si>
  <si>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</si>
  <si>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</si>
  <si>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</si>
  <si>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</si>
  <si>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</si>
  <si>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</si>
  <si>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</si>
  <si>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</si>
  <si>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</si>
  <si>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</si>
  <si>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</si>
  <si>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</si>
  <si>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</si>
  <si>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</si>
  <si>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</si>
  <si>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</si>
  <si>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</si>
  <si>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</si>
  <si>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</si>
  <si>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</si>
  <si>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</si>
  <si>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</si>
  <si>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</si>
  <si>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</si>
  <si>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</si>
  <si>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</si>
  <si>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</si>
  <si>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</si>
  <si>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</si>
  <si>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</si>
  <si>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</si>
  <si>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</si>
  <si>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</si>
  <si>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</si>
  <si>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</si>
  <si>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</si>
  <si>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</si>
  <si>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</si>
  <si>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</si>
  <si>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</si>
  <si>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</si>
  <si>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</si>
  <si>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</si>
  <si>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</si>
  <si>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</si>
  <si>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</si>
  <si>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</si>
  <si>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</si>
  <si>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</si>
  <si>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</si>
  <si>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</si>
  <si>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</si>
  <si>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</si>
  <si>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</si>
  <si>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</si>
  <si>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</si>
  <si>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</si>
  <si>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</si>
  <si>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</si>
  <si>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</si>
  <si>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</si>
  <si>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</si>
  <si>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</si>
  <si>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</si>
  <si>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</si>
  <si>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</si>
  <si>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</si>
  <si>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</si>
  <si>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</si>
  <si>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</si>
  <si>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</si>
  <si>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</si>
  <si>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</si>
  <si>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</si>
  <si>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</si>
  <si>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</si>
  <si>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</si>
  <si>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</si>
  <si>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</si>
  <si>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</si>
  <si>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</si>
  <si>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</si>
  <si>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</si>
  <si>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</si>
  <si>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</si>
  <si>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</si>
  <si>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</si>
  <si>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</si>
  <si>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</si>
  <si>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</si>
  <si>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</si>
  <si>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</si>
  <si>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</si>
  <si>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</si>
  <si>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</si>
  <si>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</si>
  <si>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</si>
  <si>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</si>
  <si>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</si>
  <si>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</si>
  <si>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</si>
  <si>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</si>
  <si>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</si>
  <si>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</si>
  <si>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</si>
  <si>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</si>
  <si>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</si>
  <si>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</si>
  <si>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</si>
  <si>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</si>
  <si>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</si>
  <si>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</si>
  <si>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</si>
  <si>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</si>
  <si>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</si>
  <si>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</si>
  <si>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</si>
  <si>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</si>
  <si>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</si>
  <si>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</si>
  <si>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</si>
  <si>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</si>
  <si>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</si>
  <si>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</si>
  <si>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</si>
  <si>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</si>
  <si>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</si>
  <si>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</si>
  <si>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</si>
  <si>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</si>
  <si>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</si>
  <si>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</si>
  <si>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</si>
  <si>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</si>
  <si>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</si>
  <si>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</si>
  <si>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</si>
  <si>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</si>
  <si>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rtdc.l.rtdc.4046:itc</t>
  </si>
  <si>
    <t>204:460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</si>
  <si>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</si>
  <si>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</si>
  <si>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</si>
  <si>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</si>
  <si>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</si>
  <si>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</si>
  <si>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</si>
  <si>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</si>
  <si>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</si>
  <si>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</si>
  <si>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</si>
  <si>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</si>
  <si>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Partly Cloudy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</si>
  <si>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</si>
  <si>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</si>
  <si>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</si>
  <si>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</si>
  <si>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</si>
  <si>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</si>
  <si>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</si>
  <si>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</si>
  <si>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rtdc.l.rtdc.4015:itc</t>
  </si>
  <si>
    <t>rtdc.l.rtdc.4045:itc</t>
  </si>
  <si>
    <t>204:147</t>
  </si>
  <si>
    <t>204:139</t>
  </si>
  <si>
    <t>MICHAEL</t>
  </si>
  <si>
    <t>204:232977</t>
  </si>
  <si>
    <t>204:160</t>
  </si>
  <si>
    <t>204:462</t>
  </si>
  <si>
    <t>204:232993</t>
  </si>
  <si>
    <t>rtdc.l.rtdc.4013:itc</t>
  </si>
  <si>
    <t>rtdc.l.rtdc.4004:itc</t>
  </si>
  <si>
    <t>rtdc.l.rtdc.4003:itc</t>
  </si>
  <si>
    <t>204:477</t>
  </si>
  <si>
    <t>204:233289</t>
  </si>
  <si>
    <t>204:232986</t>
  </si>
  <si>
    <t>204:440</t>
  </si>
  <si>
    <t>204:233299</t>
  </si>
  <si>
    <t>SMITH</t>
  </si>
  <si>
    <t>NEWELL</t>
  </si>
  <si>
    <t>204:233295</t>
  </si>
  <si>
    <t>204:233308</t>
  </si>
  <si>
    <t>204:232973</t>
  </si>
  <si>
    <t>204:232978</t>
  </si>
  <si>
    <t>rtdc.l.rtdc.4028:itc</t>
  </si>
  <si>
    <t>rtdc.l.rtdc.4027:itc</t>
  </si>
  <si>
    <t>rtdc.l.rtdc.4044:itc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</si>
  <si>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</si>
  <si>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</si>
  <si>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</si>
  <si>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</si>
  <si>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</si>
  <si>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</si>
  <si>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</si>
  <si>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</si>
  <si>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</si>
  <si>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</si>
  <si>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</si>
  <si>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</si>
  <si>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</si>
  <si>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</si>
  <si>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</si>
  <si>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</si>
  <si>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204:233301</t>
  </si>
  <si>
    <t>204:233297</t>
  </si>
  <si>
    <t>YANG</t>
  </si>
  <si>
    <t>JAN</t>
  </si>
  <si>
    <t>204:233312</t>
  </si>
  <si>
    <t>204:233293</t>
  </si>
  <si>
    <t>204:152</t>
  </si>
  <si>
    <t>204:232980</t>
  </si>
  <si>
    <t>204:232982</t>
  </si>
  <si>
    <t>HILLS</t>
  </si>
  <si>
    <t>DUSTIN</t>
  </si>
  <si>
    <t>BROWN</t>
  </si>
  <si>
    <t>JACOB</t>
  </si>
  <si>
    <t>204:158</t>
  </si>
  <si>
    <t>204:232998</t>
  </si>
  <si>
    <t>204:233304</t>
  </si>
  <si>
    <t>204:232987</t>
  </si>
  <si>
    <t>204:141</t>
  </si>
  <si>
    <t>204:233307</t>
  </si>
  <si>
    <t>rtdc.l.rtdc.4025:itc</t>
  </si>
  <si>
    <t>rtdc.l.rtdc.4026:itc</t>
  </si>
  <si>
    <t>313-23</t>
  </si>
  <si>
    <t>315-23</t>
  </si>
  <si>
    <t>Clear</t>
  </si>
  <si>
    <t>clear-night</t>
  </si>
  <si>
    <t>204:232971</t>
  </si>
  <si>
    <t>204:457</t>
  </si>
  <si>
    <t>204:233291</t>
  </si>
  <si>
    <t>204:156</t>
  </si>
  <si>
    <t>204:233317</t>
  </si>
  <si>
    <t>rtdc.l.rtdc.4017:itc</t>
  </si>
  <si>
    <t>rtdc.l.rtdc.4018:itc</t>
  </si>
  <si>
    <t>204:232988</t>
  </si>
  <si>
    <t>204:444</t>
  </si>
  <si>
    <t>204:232989</t>
  </si>
  <si>
    <t>204:233006</t>
  </si>
  <si>
    <t>204:232996</t>
  </si>
  <si>
    <t>204:172</t>
  </si>
  <si>
    <t>204:232985</t>
  </si>
  <si>
    <t>300:58944</t>
  </si>
  <si>
    <t>rtdc.l.rtdc.4001:itc</t>
  </si>
  <si>
    <t>MAGEE</t>
  </si>
  <si>
    <t>KENYA</t>
  </si>
  <si>
    <t>CLARK</t>
  </si>
  <si>
    <t>KATHLEEN</t>
  </si>
  <si>
    <t>SIMMONS</t>
  </si>
  <si>
    <t>SHYHESHA</t>
  </si>
  <si>
    <t>SIMONEAUX</t>
  </si>
  <si>
    <t>TERA</t>
  </si>
  <si>
    <t>204:466</t>
  </si>
  <si>
    <t>204:469</t>
  </si>
  <si>
    <t>204:169</t>
  </si>
  <si>
    <t>300:23310</t>
  </si>
  <si>
    <t>204:965</t>
  </si>
  <si>
    <t>204:979</t>
  </si>
  <si>
    <t>Onboard in-route failure</t>
  </si>
  <si>
    <t>Wi-MAX data drop</t>
  </si>
  <si>
    <t>rtdc.l.rtdc.4041:itc</t>
  </si>
  <si>
    <t>BRANNON</t>
  </si>
  <si>
    <t>JEFFREY</t>
  </si>
  <si>
    <t>DE LA ROSA</t>
  </si>
  <si>
    <t>ALEX</t>
  </si>
  <si>
    <t>204:233310</t>
  </si>
  <si>
    <t>204:701</t>
  </si>
  <si>
    <t>204:233321</t>
  </si>
  <si>
    <t>204:174</t>
  </si>
  <si>
    <t>204:233309</t>
  </si>
  <si>
    <t>204:233318</t>
  </si>
  <si>
    <t>204:233011</t>
  </si>
  <si>
    <t>204:233286</t>
  </si>
  <si>
    <t>204:233314</t>
  </si>
  <si>
    <t>204:233329</t>
  </si>
  <si>
    <t>204:232991</t>
  </si>
  <si>
    <t>204:471</t>
  </si>
  <si>
    <t>204:233004</t>
  </si>
  <si>
    <t>300:58630</t>
  </si>
  <si>
    <t>300:58937</t>
  </si>
  <si>
    <t>204:726</t>
  </si>
  <si>
    <t>300:58636</t>
  </si>
  <si>
    <t>rtdc.l.rtdc.4030:itc</t>
  </si>
  <si>
    <t>TEMPORARY SPEED RESTRICTION</t>
  </si>
  <si>
    <t>rtdc.l.rtdc.4029:itc</t>
  </si>
  <si>
    <t>ISHMAEL</t>
  </si>
  <si>
    <t>JOSEPH</t>
  </si>
  <si>
    <t>YORK</t>
  </si>
  <si>
    <t>EDGAR</t>
  </si>
  <si>
    <t>JOHN</t>
  </si>
  <si>
    <t>YANAI</t>
  </si>
  <si>
    <t>IAN</t>
  </si>
  <si>
    <t>ROCHA</t>
  </si>
  <si>
    <t>YAOTL</t>
  </si>
  <si>
    <t>BRUDER</t>
  </si>
  <si>
    <t>RICHARD</t>
  </si>
  <si>
    <t>242-28</t>
  </si>
  <si>
    <t>309-28</t>
  </si>
  <si>
    <t>311-28</t>
  </si>
  <si>
    <t>313-28</t>
  </si>
  <si>
    <t>51-29</t>
  </si>
  <si>
    <t>SPECTOR</t>
  </si>
  <si>
    <t>302-29</t>
  </si>
  <si>
    <t>clear-day</t>
  </si>
  <si>
    <t>204:233346</t>
  </si>
  <si>
    <t>204:442</t>
  </si>
  <si>
    <t>204:232969</t>
  </si>
  <si>
    <t>204:467</t>
  </si>
  <si>
    <t>204:136</t>
  </si>
  <si>
    <t>204:233025</t>
  </si>
  <si>
    <t>204:233311</t>
  </si>
  <si>
    <t>204:232984</t>
  </si>
  <si>
    <t>204:415</t>
  </si>
  <si>
    <t>204:232967</t>
  </si>
  <si>
    <t>204:486</t>
  </si>
  <si>
    <t>204:233288</t>
  </si>
  <si>
    <t>204:233387</t>
  </si>
  <si>
    <t>204:233302</t>
  </si>
  <si>
    <t>204:1005</t>
  </si>
  <si>
    <t>204:233380</t>
  </si>
  <si>
    <t>204:233076</t>
  </si>
  <si>
    <t>204:395</t>
  </si>
  <si>
    <t>204:233340</t>
  </si>
  <si>
    <t>204:233019</t>
  </si>
  <si>
    <t>204:972</t>
  </si>
  <si>
    <t>204:684</t>
  </si>
  <si>
    <t>300:58611</t>
  </si>
  <si>
    <t>204:671</t>
  </si>
  <si>
    <t>204:985</t>
  </si>
  <si>
    <t>204:677</t>
  </si>
  <si>
    <t>204:969</t>
  </si>
  <si>
    <t>300:58995</t>
  </si>
  <si>
    <t>204:680</t>
  </si>
  <si>
    <t>204:698</t>
  </si>
  <si>
    <t>204:976</t>
  </si>
  <si>
    <t>204:930</t>
  </si>
  <si>
    <t>204:692</t>
  </si>
  <si>
    <t>300:58963</t>
  </si>
  <si>
    <t>204:675</t>
  </si>
  <si>
    <t>204:663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</si>
  <si>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</si>
  <si>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</si>
  <si>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</si>
  <si>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</si>
  <si>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104-29</t>
  </si>
  <si>
    <t>50-29</t>
  </si>
  <si>
    <t>106-29</t>
  </si>
  <si>
    <t>809-29</t>
  </si>
  <si>
    <t>162-29</t>
  </si>
  <si>
    <t>821-29</t>
  </si>
  <si>
    <t>172-29</t>
  </si>
  <si>
    <t>170-29</t>
  </si>
  <si>
    <t>176-29</t>
  </si>
  <si>
    <t>823-29</t>
  </si>
  <si>
    <t>904-29</t>
  </si>
  <si>
    <t>827-29</t>
  </si>
  <si>
    <t>828-29</t>
  </si>
  <si>
    <t>rtdc.l.rtdc.4021:itc</t>
  </si>
  <si>
    <t>830-29</t>
  </si>
  <si>
    <t>196-29</t>
  </si>
  <si>
    <t>202-29</t>
  </si>
  <si>
    <t>835-29</t>
  </si>
  <si>
    <t>215-29</t>
  </si>
  <si>
    <t>58-29</t>
  </si>
  <si>
    <t>837-29</t>
  </si>
  <si>
    <t>219-29</t>
  </si>
  <si>
    <t>210-29</t>
  </si>
  <si>
    <t>220-29</t>
  </si>
  <si>
    <t>222-29</t>
  </si>
  <si>
    <t>88-29</t>
  </si>
  <si>
    <t>232-29</t>
  </si>
  <si>
    <t>235-29</t>
  </si>
  <si>
    <t>241-29</t>
  </si>
  <si>
    <t>SWITCH UNKNOWN</t>
  </si>
  <si>
    <t>Track device (7)</t>
  </si>
  <si>
    <t>243-29</t>
  </si>
  <si>
    <t>101-29</t>
  </si>
  <si>
    <t>304-29</t>
  </si>
  <si>
    <t>103-29</t>
  </si>
  <si>
    <t>rtdc.l.rtdc.4032:itc</t>
  </si>
  <si>
    <t>306-29</t>
  </si>
  <si>
    <t>ROBINSON</t>
  </si>
  <si>
    <t>KADDIBA</t>
  </si>
  <si>
    <t>308-29</t>
  </si>
  <si>
    <t>102-29</t>
  </si>
  <si>
    <t>105-29</t>
  </si>
  <si>
    <t>107-29</t>
  </si>
  <si>
    <t>rtdc.l.rtdc.4031:itc</t>
  </si>
  <si>
    <t>109-29</t>
  </si>
  <si>
    <t>GEBRETEKLE</t>
  </si>
  <si>
    <t>DAGNEW</t>
  </si>
  <si>
    <t>111-29</t>
  </si>
  <si>
    <t>901-29</t>
  </si>
  <si>
    <t>SHOOK</t>
  </si>
  <si>
    <t>800-29</t>
  </si>
  <si>
    <t>113-29</t>
  </si>
  <si>
    <t>108-29</t>
  </si>
  <si>
    <t>801-29</t>
  </si>
  <si>
    <t>115-29</t>
  </si>
  <si>
    <t>STARKS</t>
  </si>
  <si>
    <t>ANGELINA</t>
  </si>
  <si>
    <t>110-29</t>
  </si>
  <si>
    <t>112-29</t>
  </si>
  <si>
    <t>117-29</t>
  </si>
  <si>
    <t>119-29</t>
  </si>
  <si>
    <t>114-29</t>
  </si>
  <si>
    <t>902-29</t>
  </si>
  <si>
    <t>LOZA</t>
  </si>
  <si>
    <t>FIDEL</t>
  </si>
  <si>
    <t>802-29</t>
  </si>
  <si>
    <t>121-29</t>
  </si>
  <si>
    <t>803-29</t>
  </si>
  <si>
    <t>116-29</t>
  </si>
  <si>
    <t>123-29</t>
  </si>
  <si>
    <t>805-29</t>
  </si>
  <si>
    <t>118-29</t>
  </si>
  <si>
    <t>804-29</t>
  </si>
  <si>
    <t>120-29</t>
  </si>
  <si>
    <t>125-29</t>
  </si>
  <si>
    <t>127-29</t>
  </si>
  <si>
    <t>807-29</t>
  </si>
  <si>
    <t>122-29</t>
  </si>
  <si>
    <t>806-29</t>
  </si>
  <si>
    <t>129-29</t>
  </si>
  <si>
    <t>124-29</t>
  </si>
  <si>
    <t>131-29</t>
  </si>
  <si>
    <t>126-29</t>
  </si>
  <si>
    <t>808-29</t>
  </si>
  <si>
    <t>133-29</t>
  </si>
  <si>
    <t>135-29</t>
  </si>
  <si>
    <t>128-29</t>
  </si>
  <si>
    <t>130-29</t>
  </si>
  <si>
    <t>810-29</t>
  </si>
  <si>
    <t>137-29</t>
  </si>
  <si>
    <t>811-29</t>
  </si>
  <si>
    <t>132-29</t>
  </si>
  <si>
    <t>139-29</t>
  </si>
  <si>
    <t>903-29</t>
  </si>
  <si>
    <t>134-29</t>
  </si>
  <si>
    <t>812-29</t>
  </si>
  <si>
    <t>141-29</t>
  </si>
  <si>
    <t>136-29</t>
  </si>
  <si>
    <t>143-29</t>
  </si>
  <si>
    <t>138-29</t>
  </si>
  <si>
    <t>145-29</t>
  </si>
  <si>
    <t>140-29</t>
  </si>
  <si>
    <t>813-29</t>
  </si>
  <si>
    <t>147-29</t>
  </si>
  <si>
    <t>142-29</t>
  </si>
  <si>
    <t>814-29</t>
  </si>
  <si>
    <t>149-29</t>
  </si>
  <si>
    <t>144-29</t>
  </si>
  <si>
    <t>151-29</t>
  </si>
  <si>
    <t>146-29</t>
  </si>
  <si>
    <t>148-29</t>
  </si>
  <si>
    <t>153-29</t>
  </si>
  <si>
    <t>815-29</t>
  </si>
  <si>
    <t>155-29</t>
  </si>
  <si>
    <t>150-29</t>
  </si>
  <si>
    <t>816-29</t>
  </si>
  <si>
    <t>157-29</t>
  </si>
  <si>
    <t>152-29</t>
  </si>
  <si>
    <t>154-29</t>
  </si>
  <si>
    <t>159-29</t>
  </si>
  <si>
    <t>rtdc.l.rtdc.4008:itc</t>
  </si>
  <si>
    <t>52-29</t>
  </si>
  <si>
    <t>817-29</t>
  </si>
  <si>
    <t>161-29</t>
  </si>
  <si>
    <t>KILLION</t>
  </si>
  <si>
    <t>DAVID</t>
  </si>
  <si>
    <t>156-29</t>
  </si>
  <si>
    <t>163-29</t>
  </si>
  <si>
    <t>rtdc.l.rtdc.4007:itc</t>
  </si>
  <si>
    <t>53-29</t>
  </si>
  <si>
    <t>818-29</t>
  </si>
  <si>
    <t>158-29</t>
  </si>
  <si>
    <t>165-29</t>
  </si>
  <si>
    <t>160-29</t>
  </si>
  <si>
    <t>167-29</t>
  </si>
  <si>
    <t>ARVIDSON</t>
  </si>
  <si>
    <t>DANIEL</t>
  </si>
  <si>
    <t>169-29</t>
  </si>
  <si>
    <t>STRICKLAND</t>
  </si>
  <si>
    <t>EVAN</t>
  </si>
  <si>
    <t>819-29</t>
  </si>
  <si>
    <t>164-29</t>
  </si>
  <si>
    <t>171-29</t>
  </si>
  <si>
    <t>166-29</t>
  </si>
  <si>
    <t>820-29</t>
  </si>
  <si>
    <t>173-29</t>
  </si>
  <si>
    <t>168-29</t>
  </si>
  <si>
    <t>175-29</t>
  </si>
  <si>
    <t>177-29</t>
  </si>
  <si>
    <t>179-29</t>
  </si>
  <si>
    <t>174-29</t>
  </si>
  <si>
    <t>822-29</t>
  </si>
  <si>
    <t>181-29</t>
  </si>
  <si>
    <t>183-29</t>
  </si>
  <si>
    <t>178-29</t>
  </si>
  <si>
    <t>185-29</t>
  </si>
  <si>
    <t>180-29</t>
  </si>
  <si>
    <t>187-29</t>
  </si>
  <si>
    <t>182-29</t>
  </si>
  <si>
    <t>824-29</t>
  </si>
  <si>
    <t>184-29</t>
  </si>
  <si>
    <t>189-29</t>
  </si>
  <si>
    <t>191-29</t>
  </si>
  <si>
    <t>186-29</t>
  </si>
  <si>
    <t>825-29</t>
  </si>
  <si>
    <t>193-29</t>
  </si>
  <si>
    <t>188-29</t>
  </si>
  <si>
    <t>195-29</t>
  </si>
  <si>
    <t>190-29</t>
  </si>
  <si>
    <t>826-29</t>
  </si>
  <si>
    <t>197-29</t>
  </si>
  <si>
    <t>192-29</t>
  </si>
  <si>
    <t>199-29</t>
  </si>
  <si>
    <t>194-29</t>
  </si>
  <si>
    <t>201-29</t>
  </si>
  <si>
    <t>829-29</t>
  </si>
  <si>
    <t>203-29</t>
  </si>
  <si>
    <t>198-29</t>
  </si>
  <si>
    <t>205-29</t>
  </si>
  <si>
    <t>831-29</t>
  </si>
  <si>
    <t>200-29</t>
  </si>
  <si>
    <t>207-29</t>
  </si>
  <si>
    <t>832-29</t>
  </si>
  <si>
    <t>209-29</t>
  </si>
  <si>
    <t>LOPES</t>
  </si>
  <si>
    <t>KIMBERLY</t>
  </si>
  <si>
    <t>833-29</t>
  </si>
  <si>
    <t>204-29</t>
  </si>
  <si>
    <t>55-29</t>
  </si>
  <si>
    <t>211-29</t>
  </si>
  <si>
    <t>206-29</t>
  </si>
  <si>
    <t>213-29</t>
  </si>
  <si>
    <t>834-29</t>
  </si>
  <si>
    <t>208-29</t>
  </si>
  <si>
    <t>56-29</t>
  </si>
  <si>
    <t>217-29</t>
  </si>
  <si>
    <t>836-29</t>
  </si>
  <si>
    <t>PERKINS</t>
  </si>
  <si>
    <t>DARREN</t>
  </si>
  <si>
    <t>57-29</t>
  </si>
  <si>
    <t>212-29</t>
  </si>
  <si>
    <t>214-29</t>
  </si>
  <si>
    <t>838-29</t>
  </si>
  <si>
    <t>303-29</t>
  </si>
  <si>
    <t>839-29</t>
  </si>
  <si>
    <t>MACDONALD</t>
  </si>
  <si>
    <t>THOMAS</t>
  </si>
  <si>
    <t>216-29</t>
  </si>
  <si>
    <t>221-29</t>
  </si>
  <si>
    <t>218-29</t>
  </si>
  <si>
    <t>906-29</t>
  </si>
  <si>
    <t>305-29</t>
  </si>
  <si>
    <t>841-29</t>
  </si>
  <si>
    <t>223-29</t>
  </si>
  <si>
    <t>307-29</t>
  </si>
  <si>
    <t>840-29</t>
  </si>
  <si>
    <t>225-29</t>
  </si>
  <si>
    <t>843-29</t>
  </si>
  <si>
    <t>227-29</t>
  </si>
  <si>
    <t>224-29</t>
  </si>
  <si>
    <t>842-29</t>
  </si>
  <si>
    <t>229-29</t>
  </si>
  <si>
    <t>226-29</t>
  </si>
  <si>
    <t>228-29</t>
  </si>
  <si>
    <t>845-29</t>
  </si>
  <si>
    <t>231-29</t>
  </si>
  <si>
    <t>844-29</t>
  </si>
  <si>
    <t>230-29</t>
  </si>
  <si>
    <t>233-29</t>
  </si>
  <si>
    <t>847-29</t>
  </si>
  <si>
    <t>908-29</t>
  </si>
  <si>
    <t>237-29</t>
  </si>
  <si>
    <t>234-29</t>
  </si>
  <si>
    <t>236-29</t>
  </si>
  <si>
    <t>239-29</t>
  </si>
  <si>
    <t>238-29</t>
  </si>
  <si>
    <t>240-29</t>
  </si>
  <si>
    <t>309-29</t>
  </si>
  <si>
    <t>242-29</t>
  </si>
  <si>
    <t>311-29</t>
  </si>
  <si>
    <t>244-29</t>
  </si>
  <si>
    <t>313-29</t>
  </si>
  <si>
    <t>315-29</t>
  </si>
  <si>
    <t>302-30</t>
  </si>
  <si>
    <t>204:232647</t>
  </si>
  <si>
    <t>204:1118</t>
  </si>
  <si>
    <t>204:232721</t>
  </si>
  <si>
    <t>204:181</t>
  </si>
  <si>
    <t>204:792</t>
  </si>
  <si>
    <t>204:233303</t>
  </si>
  <si>
    <t>204:233306</t>
  </si>
  <si>
    <t>204:232959</t>
  </si>
  <si>
    <t>204:232979</t>
  </si>
  <si>
    <t>204:783</t>
  </si>
  <si>
    <t>204:790</t>
  </si>
  <si>
    <t>204:1277</t>
  </si>
  <si>
    <t>204:233278</t>
  </si>
  <si>
    <t>204:165</t>
  </si>
  <si>
    <t>204:435</t>
  </si>
  <si>
    <t>204:233284</t>
  </si>
  <si>
    <t>204:232957</t>
  </si>
  <si>
    <t>204:232981</t>
  </si>
  <si>
    <t>204:161</t>
  </si>
  <si>
    <t>204:473</t>
  </si>
  <si>
    <t>204:233341</t>
  </si>
  <si>
    <t>204:233003</t>
  </si>
  <si>
    <t>204:232983</t>
  </si>
  <si>
    <t>204:233349</t>
  </si>
  <si>
    <t>204:438</t>
  </si>
  <si>
    <t>204:233298</t>
  </si>
  <si>
    <t>204:232974</t>
  </si>
  <si>
    <t>204:101</t>
  </si>
  <si>
    <t>204:482</t>
  </si>
  <si>
    <t>204:232963</t>
  </si>
  <si>
    <t>204:176</t>
  </si>
  <si>
    <t>204:409</t>
  </si>
  <si>
    <t>204:233334</t>
  </si>
  <si>
    <t>204:132</t>
  </si>
  <si>
    <t>204:233002</t>
  </si>
  <si>
    <t>204:233226</t>
  </si>
  <si>
    <t>204:232925</t>
  </si>
  <si>
    <t>204:88</t>
  </si>
  <si>
    <t>204:233366</t>
  </si>
  <si>
    <t>204:398</t>
  </si>
  <si>
    <t>204:103</t>
  </si>
  <si>
    <t>204:233272</t>
  </si>
  <si>
    <t>204:418</t>
  </si>
  <si>
    <t>204:233389</t>
  </si>
  <si>
    <t>204:233064</t>
  </si>
  <si>
    <t>204:78</t>
  </si>
  <si>
    <t>204:167</t>
  </si>
  <si>
    <t>204:446</t>
  </si>
  <si>
    <t>204:135</t>
  </si>
  <si>
    <t>204:233021</t>
  </si>
  <si>
    <t>204:73</t>
  </si>
  <si>
    <t>300:23097</t>
  </si>
  <si>
    <t>300:22801</t>
  </si>
  <si>
    <t>300:22024</t>
  </si>
  <si>
    <t>300:22971</t>
  </si>
  <si>
    <t>300:22045</t>
  </si>
  <si>
    <t>300:23299</t>
  </si>
  <si>
    <t>300:23557</t>
  </si>
  <si>
    <t>204:911</t>
  </si>
  <si>
    <t>204:433</t>
  </si>
  <si>
    <t>300:22988</t>
  </si>
  <si>
    <t>300:23083</t>
  </si>
  <si>
    <t>204:359</t>
  </si>
  <si>
    <t>204:107111</t>
  </si>
  <si>
    <t>204:1026</t>
  </si>
  <si>
    <t>300:21769</t>
  </si>
  <si>
    <t>204:148</t>
  </si>
  <si>
    <t>204:1840</t>
  </si>
  <si>
    <t>204:1484</t>
  </si>
  <si>
    <t>300:23302</t>
  </si>
  <si>
    <t>300:23262</t>
  </si>
  <si>
    <t>204:142</t>
  </si>
  <si>
    <t>204:1522</t>
  </si>
  <si>
    <t>300:21246</t>
  </si>
  <si>
    <t>204:877</t>
  </si>
  <si>
    <t>300:58660</t>
  </si>
  <si>
    <t>204:734</t>
  </si>
  <si>
    <t>204:1014</t>
  </si>
  <si>
    <t>300:59005</t>
  </si>
  <si>
    <t>300:58688</t>
  </si>
  <si>
    <t>204:967</t>
  </si>
  <si>
    <t>300:58956</t>
  </si>
  <si>
    <t>204:1028</t>
  </si>
  <si>
    <t>300:58988</t>
  </si>
  <si>
    <t>300:58679</t>
  </si>
  <si>
    <t>204:974</t>
  </si>
  <si>
    <t>300:58924</t>
  </si>
  <si>
    <t>300:58608</t>
  </si>
  <si>
    <t>204:687</t>
  </si>
  <si>
    <t>204:1013</t>
  </si>
  <si>
    <t>300:58677</t>
  </si>
  <si>
    <t>204:196</t>
  </si>
  <si>
    <t>204:971</t>
  </si>
  <si>
    <t>300:58950</t>
  </si>
  <si>
    <t>300:58640</t>
  </si>
  <si>
    <t>300:58952</t>
  </si>
  <si>
    <t>300:58632</t>
  </si>
  <si>
    <t>300:58976</t>
  </si>
  <si>
    <t>300:58943</t>
  </si>
  <si>
    <t>300:58628</t>
  </si>
  <si>
    <t>300:58986</t>
  </si>
  <si>
    <t>300:58666</t>
  </si>
  <si>
    <t>300:58967</t>
  </si>
  <si>
    <t>300:58647</t>
  </si>
  <si>
    <t>204:682</t>
  </si>
  <si>
    <t>300:58649</t>
  </si>
  <si>
    <t>204:937</t>
  </si>
  <si>
    <t>300:58965</t>
  </si>
  <si>
    <t>204:617</t>
  </si>
  <si>
    <t>204:895</t>
  </si>
  <si>
    <t>204:650</t>
  </si>
  <si>
    <t>300:58961</t>
  </si>
  <si>
    <t>300:58954</t>
  </si>
  <si>
    <t>204:624</t>
  </si>
  <si>
    <t>300:58939</t>
  </si>
  <si>
    <t>204:706</t>
  </si>
  <si>
    <t>204:941</t>
  </si>
  <si>
    <t>300:58645</t>
  </si>
  <si>
    <t>204:988</t>
  </si>
  <si>
    <t>204:705</t>
  </si>
  <si>
    <t>204:986</t>
  </si>
  <si>
    <t>204:995</t>
  </si>
  <si>
    <t>204:232673</t>
  </si>
  <si>
    <t>204:232869</t>
  </si>
  <si>
    <t>204:2039</t>
  </si>
  <si>
    <t>204:232948</t>
  </si>
  <si>
    <t>204:1130</t>
  </si>
  <si>
    <t>204:242</t>
  </si>
  <si>
    <t>204:1186</t>
  </si>
  <si>
    <t>204:1330</t>
  </si>
  <si>
    <t>204:1441</t>
  </si>
  <si>
    <t>204:233195</t>
  </si>
  <si>
    <t>204:544</t>
  </si>
  <si>
    <t>300:29938</t>
  </si>
  <si>
    <t>300:23101</t>
  </si>
  <si>
    <t>204:504</t>
  </si>
  <si>
    <t>300:24210</t>
  </si>
  <si>
    <t>300:23273</t>
  </si>
  <si>
    <t>204:638</t>
  </si>
  <si>
    <t>300:21519</t>
  </si>
  <si>
    <t>300:58651</t>
  </si>
  <si>
    <t>300:21632</t>
  </si>
  <si>
    <t>start /low /b %USERPROFILE%\Documents\GitHub\eaglep3\Utilities\DownloadLogsFromS3.py --loco 4041 --day 2016-12-29</t>
  </si>
  <si>
    <t>start /low /b %USERPROFILE%\Documents\GitHub\eaglep3\Utilities\DownloadLogsFromS3.py --loco 4002 --day 2016-12-29</t>
  </si>
  <si>
    <t>start /low /b %USERPROFILE%\Documents\GitHub\eaglep3\Utilities\DownloadLogsFromS3.py --loco 4001 --day 2016-12-29</t>
  </si>
  <si>
    <t>start /low /b %USERPROFILE%\Documents\GitHub\eaglep3\Utilities\DownloadLogsFromS3.py --loco 4014 --day 2016-12-30</t>
  </si>
  <si>
    <t>start /low /b %USERPROFILE%\Documents\GitHub\eaglep3\Utilities\DownloadLogsFromS3.py --loco 4002 --day 2016-12-30</t>
  </si>
  <si>
    <t>start /low /b %USERPROFILE%\Documents\GitHub\eaglep3\Utilities\DownloadLogsFromS3.py --loco 4004 --day 2016-12-30</t>
  </si>
  <si>
    <t>start /low /b %USERPROFILE%\Documents\GitHub\eaglep3\Utilities\DownloadLogsFromS3.py --loco 4042 --day 2016-12-30</t>
  </si>
  <si>
    <t>start /low /b %USERPROFILE%\Documents\GitHub\eaglep3\Utilities\DownloadLogsFromS3.py --loco 4043 --day 2016-12-29</t>
  </si>
  <si>
    <t>start /low /b %USERPROFILE%\Documents\GitHub\eaglep3\Utilities\DownloadLogsFromS3.py --loco 4041 --day 2016-12-30</t>
  </si>
  <si>
    <t>start /low /b %USERPROFILE%\Documents\GitHub\eaglep3\Utilities\DownloadLogsFromS3.py --loco 4043 --day 2016-12-30</t>
  </si>
  <si>
    <t>start /low /b %USERPROFILE%\Documents\GitHub\eaglep3\Utilities\DownloadLogsFromS3.py --loco 4028 --day 2016-12-29</t>
  </si>
  <si>
    <t>start /low /b %USERPROFILE%\Documents\GitHub\eaglep3\Utilities\DownloadLogsFromS3.py --loco 4017 --day 2016-12-29</t>
  </si>
  <si>
    <t>start /low /b %USERPROFILE%\Documents\GitHub\eaglep3\Utilities\DownloadLogsFromS3.py --loco 4013 --day 2016-12-30</t>
  </si>
  <si>
    <t>start /low /b %USERPROFILE%\Documents\GitHub\eaglep3\Utilities\DownloadLogsFromS3.py --loco 4030 --day 2016-12-29</t>
  </si>
  <si>
    <t>start /low /b %USERPROFILE%\Documents\GitHub\eaglep3\Utilities\DownloadLogsFromS3.py --loco 4029 --day 2016-12-30</t>
  </si>
  <si>
    <t>start /low /b %USERPROFILE%\Documents\GitHub\eaglep3\Utilities\DownloadLogsFromS3.py --loco 4021 --day 2016-12-29</t>
  </si>
  <si>
    <t>start /low /b %USERPROFILE%\Documents\GitHub\eaglep3\Utilities\DownloadLogsFromS3.py --loco 4029 --day 2016-12-29</t>
  </si>
  <si>
    <t>start /low /b %USERPROFILE%\Documents\GitHub\eaglep3\Utilities\DownloadLogsFromS3.py --loco 4022 --day 2016-12-29</t>
  </si>
  <si>
    <t>start /low /b %USERPROFILE%\Documents\GitHub\eaglep3\Utilities\DownloadLogsFromS3.py --loco 4022 --day 2016-12-30</t>
  </si>
  <si>
    <t>Bomb threat</t>
  </si>
  <si>
    <t>Early arrival</t>
  </si>
  <si>
    <t>http://stevetu21.github.io/eaglep3/load_kml.html?kml=http://rtdc.gmaps-snips.s3.amazonaws.com/ed911d11-8fdd-4d4b-ba6f-1bb5e20e56d9.kml</t>
  </si>
  <si>
    <t>Premature downgrade at EC1332RH 140-2T 2S</t>
  </si>
  <si>
    <t>EC1332RH 140-2T 2S dropped from 180 to 0 as train approached the signal. Do logs indicate any issues at this time?</t>
  </si>
  <si>
    <t>SYS :2016/12/29 11:41:53.500:ENFORCEMENT:Predictive Enforcement Action:  Target Number: 0001002D  Target Speed:  15.0  Current Speed:  20.6</t>
  </si>
  <si>
    <t>SYS :2016/12/29 11:41:54.422:ENFORCEMENT:Reactive Enforcement Action:  Target Number: 0001002E  Target Speed:  15.0  Current Speed:  20.6</t>
  </si>
  <si>
    <t>SYS :2016/12/29 11:41:55.112:ENFORCEMENT:Reactive Enforcement Action:  Target Number: 0001002E  Target Speed:  15.0  Current Speed:  20.6</t>
  </si>
  <si>
    <t>SYS :2016/12/29 12:51:36.605:ENFORCEMENT:Predictive Enforcement Action:  Target Number: 00001004  Target Speed:   0.0  Current Speed:   5.5</t>
  </si>
  <si>
    <t>SYS :2016/12/29 12:51:36.807:ENFORCEMENT:Predictive Enforcement Action:  Target Number: 00001005  Target Speed:   0.0  Current Speed:   5.5</t>
  </si>
  <si>
    <t>SYS :2016/12/29 12:51:37.542:ENFORCEMENT:Predictive Enforcement Action:  Target Number: 00001005  Target Speed:   0.0  Current Speed:   5.5</t>
  </si>
  <si>
    <t>SYS :2016/12/29 15:06:34.226:ENFORCEMENT:Predictive Enforcement Action:  Target Number: 00001006  Target Speed:   0.0  Current Speed:   1.2</t>
  </si>
  <si>
    <t>SYS :2016/12/29 15:06:34.621:ENFORCEMENT:Predictive Enforcement Action:  Target Number: 00001009  Target Speed:   0.0  Current Speed:   1.2</t>
  </si>
  <si>
    <t>SYS :2016/12/29 19:17:58.856:ENFORCEMENT:Reactive Enforcement Action:  Target Number: 00010082  Target Speed:  60.0  Current Speed:  65.0</t>
  </si>
  <si>
    <t>SYS :2016/12/29 19:17:59.215:ENFORCEMENT:Reactive Enforcement Action:  Target Number: 00010082  Target Speed:  60.0  Current Speed:  65.0</t>
  </si>
  <si>
    <t>SYS :2016/12/29 19:17:59.671:ENFORCEMENT:Reactive Enforcement Action:  Target Number: 00010082  Target Speed:  60.0  Current Speed:  65.0</t>
  </si>
  <si>
    <t>SYS :2016/12/29 19:34:58.201:ENFORCEMENT:Predictive Enforcement Action:  Target Number: 0000A004  Target Speed:  10.0  Current Speed:  26.6</t>
  </si>
  <si>
    <t>SYS :2016/12/29 19:34:58.679:ENFORCEMENT:Predictive Enforcement Action:  Target Number: 0000A004  Target Speed:  10.0  Current Speed:  26.6</t>
  </si>
  <si>
    <t>SYS :2016/12/29 19:34:58.851:ENFORCEMENT:Predictive Enforcement Action:  Target Number: 0000A004  Target Speed:  10.0  Current Speed:  25.8</t>
  </si>
  <si>
    <t>SYS :2016/12/29 20:36:40.864:ENFORCEMENT:Predictive Enforcement Action:  Target Number: 00001018  Target Speed:   0.0  Current Speed:   2.4</t>
  </si>
  <si>
    <t>SYS :2016/12/29 20:39:23.769:ENFORCEMENT:Predictive Enforcement Action:  Target Number: 0000617E  Target Speed:   0.0  Current Speed:  45.2</t>
  </si>
  <si>
    <t>SYS :2016/12/29 20:39:24.622:ENFORCEMENT:Reactive Enforcement Action:  Target Number: 00006162  Target Speed:   0.0  Current Speed:  45.2</t>
  </si>
  <si>
    <t>SYS :2016/12/29 20:39:24.843:ENFORCEMENT:Reactive Enforcement Action:  Target Number: 0000615B  Target Speed:   0.0  Current Speed:  43.4</t>
  </si>
  <si>
    <t>SYS :2016/12/29 20:52:55.199:ENFORCEMENT:Predictive Enforcement Action:  Target Number: 0000100F  Target Speed:   0.0  Current Speed:   5.3</t>
  </si>
  <si>
    <t>SYS :2016/12/29 20:52:55.567:ENFORCEMENT:Predictive Enforcement Action:  Target Number: 0000100F  Target Speed:   0.0  Current Speed:   5.3</t>
  </si>
  <si>
    <t>SYS :2016/12/29 20:52:55.756:ENFORCEMENT:Predictive Enforcement Action:  Target Number: 0000100F  Target Speed:   0.0  Current Speed:   5.3</t>
  </si>
  <si>
    <t>SYS :2016/12/29 21:19:35.206:ENFORCEMENT:Predictive Enforcement Action:  Target Number: 0000A005  Target Speed:  10.0  Current Speed:  34.7</t>
  </si>
  <si>
    <t>SYS :2016/12/29 21:19:35.652:ENFORCEMENT:Predictive Enforcement Action:  Target Number: 0000A005  Target Speed:  10.0  Current Speed:  34.7</t>
  </si>
  <si>
    <t>SYS :2016/12/29 21:19:35.854:ENFORCEMENT:Predictive Enforcement Action:  Target Number: 0000A005  Target Speed:  10.0  Current Speed:  34.2</t>
  </si>
  <si>
    <t>SYS :2016/12/29 21:20:25.870:ENFORCEMENT:Predictive Enforcement Action:  Target Number: 0000A005  Target Speed:  10.0  Current Speed:  15.2</t>
  </si>
  <si>
    <t>SYS :2016/12/29 21:20:26.215:ENFORCEMENT:Predictive Enforcement Action:  Target Number: 0000A005  Target Speed:  10.0  Current Speed:  15.2</t>
  </si>
  <si>
    <t>SYS :2016/12/29 21:20:26.677:ENFORCEMENT:Predictive Enforcement Action:  Target Number: 0000A005  Target Speed:  10.0  Current Speed:  15.2</t>
  </si>
  <si>
    <t>SYS :2016/12/29 21:36:14.502:ENFORCEMENT:Predictive Enforcement Action:  Target Number: 0000101B  Target Speed:   0.0  Current Speed:   3.0</t>
  </si>
  <si>
    <t>SYS :2016/12/29 21:36:14.865:ENFORCEMENT:Predictive Enforcement Action:  Target Number: 0000101B  Target Speed:   0.0  Current Speed:   2.7</t>
  </si>
  <si>
    <t>SYS :2016/12/29 21:36:15.202:ENFORCEMENT:Predictive Enforcement Action:  Target Number: 0000101B  Target Speed:   0.0  Current Speed:   2.7</t>
  </si>
  <si>
    <t>SYS :2016/12/29 22:43:01.410:ENFORCEMENT:Predictive Enforcement Action:  Target Number: 0000100F  Target Speed:   0.0  Current Speed:   6.0</t>
  </si>
  <si>
    <t>SYS :2016/12/29 22:43:01.419:ENFORCEMENT:Predictive Enforcement Action:  Target Number: 0000100D  Target Speed:   0.0  Current Speed:   6.0</t>
  </si>
  <si>
    <t>SYS :2016/12/29 22:43:01.874:ENFORCEMENT:Predictive Enforcement Action:  Target Number: 00001006  Target Speed:   0.0  Current Speed:   5.9</t>
  </si>
  <si>
    <t>SYS :2016/12/29 22:43:48.407:ENFORCEMENT:Predictive Enforcement Action:  Target Number: 0000100F  Target Speed:   0.0  Current Speed:   2.3</t>
  </si>
  <si>
    <t>SYS :2016/12/29 22:43:48.414:ENFORCEMENT:Predictive Enforcement Action:  Target Number: 0000100D  Target Speed:   0.0  Current Speed:   2.3</t>
  </si>
  <si>
    <t>SYS :2016/12/29 22:43:48.872:ENFORCEMENT:Predictive Enforcement Action:  Target Number: 00001006  Target Speed:   0.0  Current Speed:   2.3</t>
  </si>
  <si>
    <t>SYS :2016/12/29 23:08:18.630:ENFORCEMENT:Predictive Enforcement Action:  Target Number: 0000100D  Target Speed:   0.0  Current Speed:   5.1</t>
  </si>
  <si>
    <t>SYS :2016/12/29 23:08:19.220:ENFORCEMENT:Predictive Enforcement Action:  Target Number: 00001009  Target Speed:   0.0  Current Speed:   4.8</t>
  </si>
  <si>
    <t>SYS :2016/12/29 23:08:19.555:ENFORCEMENT:Predictive Enforcement Action:  Target Number: 0000100D  Target Speed:   0.0  Current Speed:   4.8</t>
  </si>
  <si>
    <t>SYS :2016/12/29 23:17:09.886:ENFORCEMENT:Reactive Enforcement Action:  Target Number: 0001003F  Target Speed:  40.0  Current Speed:  45.4</t>
  </si>
  <si>
    <t>SYS :2016/12/29 23:17:10.425:ENFORCEMENT:Reactive Enforcement Action:  Target Number: 00010072  Target Speed:  40.0  Current Speed:  45.4</t>
  </si>
  <si>
    <t>SYS :2016/12/29 23:17:10.438:ENFORCEMENT:Reactive Enforcement Action:  Target Number: 00010069  Target Speed:  40.0  Current Speed:  45.4</t>
  </si>
  <si>
    <t>SYS :2016/12/29 23:57:38.489:ENFORCEMENT:Predictive Enforcement Action:  Target Number: 00001024  Target Speed:   0.0  Current Speed:   2.6</t>
  </si>
  <si>
    <t>SYS :2016/12/29 23:57:41.569:ENFORCEMENT:Predictive Enforcement Action:  Target Number: 00001024  Target Speed:   0.0  Current Speed:   2.5</t>
  </si>
  <si>
    <t>SYS :2016/12/30 00:08:35.082:ENFORCEMENT:Predictive Enforcement Action:  Target Number: 00001011  Target Speed:   0.0  Current Speed:   5.7</t>
  </si>
  <si>
    <t>SYS :2016/12/30 00:08:35.701:ENFORCEMENT:Predictive Enforcement Action:  Target Number: 00001003  Target Speed:   0.0  Current Speed:   5.7</t>
  </si>
  <si>
    <t>SYS :2016/12/30 00:08:35.985:ENFORCEMENT:Predictive Enforcement Action:  Target Number: 00001011  Target Speed:   0.0  Current Speed:   5.7</t>
  </si>
  <si>
    <t>SYS :2016/12/30 00:36:53.303:ENFORCEMENT:Reactive Enforcement Action:  Target Number: 0000A006  Target Speed:  10.0  Current Speed:  15.0</t>
  </si>
  <si>
    <t>SYS :2016/12/30 00:36:53.419:ENFORCEMENT:Reactive Enforcement Action:  Target Number: 0000A009  Target Speed:  10.0  Current Speed:  15.0</t>
  </si>
  <si>
    <t>SYS :2016/12/30 00:36:54.133:ENFORCEMENT:Reactive Enforcement Action:  Target Number: 0000A009  Target Speed:  10.0  Current Speed:  15.0</t>
  </si>
  <si>
    <t>SYS :2016/12/30 00:59:11.289:ENFORCEMENT:Predictive Enforcement Action:  Target Number: 0000609B  Target Speed:   0.0  Current Speed:  34.4</t>
  </si>
  <si>
    <t>SYS :2016/12/30 00:59:11.610:ENFORCEMENT:Predictive Enforcement Action:  Target Number: 000060BF  Target Speed:   0.0  Current Speed:  34.4</t>
  </si>
  <si>
    <t>SYS :2016/12/30 00:59:11.667:ENFORCEMENT:Predictive Enforcement Action:  Target Number: 000060DA  Target Speed:   0.0  Current Speed:  34.4</t>
  </si>
  <si>
    <t>SYS :2016/12/30 01:08:30.233:ENFORCEMENT:Predictive Enforcement Action:  Target Number: 0000100E  Target Speed:   0.0  Current Speed:  15.1</t>
  </si>
  <si>
    <t>SYS :2016/12/30 01:08:30.564:ENFORCEMENT:Predictive Enforcement Action:  Target Number: 00001012  Target Speed:   0.0  Current Speed:  15.1</t>
  </si>
  <si>
    <t>SYS :2016/12/30 01:08:30.624:ENFORCEMENT:Predictive Enforcement Action:  Target Number: 00001012  Target Speed:   0.0  Current Speed:  15.1</t>
  </si>
  <si>
    <t>SYS :2016/12/30 01:09:11.227:ENFORCEMENT:Predictive Enforcement Action:  Target Number: 0000100E  Target Speed:   0.0  Current Speed:   6.4</t>
  </si>
  <si>
    <t>SYS :2016/12/30 01:09:11.561:ENFORCEMENT:Predictive Enforcement Action:  Target Number: 00001012  Target Speed:   0.0  Current Speed:   6.4</t>
  </si>
  <si>
    <t>SYS :2016/12/30 01:09:11.625:ENFORCEMENT:Predictive Enforcement Action:  Target Number: 00001012  Target Speed:   0.0  Current Speed:   6.4</t>
  </si>
  <si>
    <t>SYS :2016/12/30 01:10:04.482:ENFORCEMENT:Predictive Enforcement Action:  Target Number: 0001709C  Target Speed:   0.0  Current Speed:  43.6</t>
  </si>
  <si>
    <t>SYS :2016/12/30 01:10:04.726:ENFORCEMENT:Predictive Enforcement Action:  Target Number: 0001709C  Target Speed:   0.0  Current Speed:  42.0</t>
  </si>
  <si>
    <t>SYS :2016/12/30 01:10:05.672:ENFORCEMENT:Predictive Enforcement Action:  Target Number: 0001709C  Target Speed:   0.0  Current Speed:  42.0</t>
  </si>
  <si>
    <t>SYS :2016/12/30 01:10:25.225:ENFORCEMENT:Predictive Enforcement Action:  Target Number: 0000100E  Target Speed:   0.0  Current Speed:   2.4</t>
  </si>
  <si>
    <t>SYS :2016/12/30 01:10:25.560:ENFORCEMENT:Predictive Enforcement Action:  Target Number: 00001012  Target Speed:   0.0  Current Speed:   2.4</t>
  </si>
  <si>
    <t>SYS :2016/12/30 01:10:25.623:ENFORCEMENT:Predictive Enforcement Action:  Target Number: 00001012  Target Speed:   0.0  Current Speed:   2.4</t>
  </si>
  <si>
    <t>SYS :2016/12/30 01:36:03.507:ENFORCEMENT:Predictive Enforcement Action:  Target Number: 00001023  Target Speed:   0.0  Current Speed:   5.9</t>
  </si>
  <si>
    <t>SYS :2016/12/30 01:36:04.864:ENFORCEMENT:Predictive Enforcement Action:  Target Number: 00001023  Target Speed:   0.0  Current Speed:   5.8</t>
  </si>
  <si>
    <t>SYS :2016/12/30 01:36:05.212:ENFORCEMENT:Predictive Enforcement Action:  Target Number: 00001023  Target Speed:   0.0  Current Speed:   5.8</t>
  </si>
  <si>
    <t>SYS :2016/12/30 01:36:41.991:ENFORCEMENT:Predictive Enforcement Action:  Target Number: 000170B0  Target Speed:  15.0  Current Speed:  27.1</t>
  </si>
  <si>
    <t>SYS :2016/12/30 01:36:43.125:ENFORCEMENT:Predictive Enforcement Action:  Target Number: 000170B0  Target Speed:  15.0  Current Speed:  25.8</t>
  </si>
  <si>
    <t>SYS :2016/12/30 01:36:44.862:ENFORCEMENT:Predictive Enforcement Action:  Target Number: 00001023  Target Speed:   0.0  Current Speed:   3.8</t>
  </si>
  <si>
    <t>SYS :2016/12/30 01:36:45.221:ENFORCEMENT:Predictive Enforcement Action:  Target Number: 00001023  Target Speed:   0.0  Current Speed:   3.8</t>
  </si>
  <si>
    <t>SYS :2016/12/30 01:36:45.509:ENFORCEMENT:Predictive Enforcement Action:  Target Number: 00001023  Target Speed:   0.0  Current Speed:   3.5</t>
  </si>
  <si>
    <t>SYS :2016/12/30 01:40:48.093:ENFORCEMENT:Predictive Enforcement Action:  Target Number: 000170B7  Target Speed:  31.0  Current Speed:  37.1</t>
  </si>
  <si>
    <t>SYS :2016/12/30 01:40:48.723:ENFORCEMENT:Predictive Enforcement Action:  Target Number: 00017045  Target Speed:  31.0  Current Speed:  37.1</t>
  </si>
  <si>
    <t>SYS :2016/12/30 01:40:49.023:ENFORCEMENT:Predictive Enforcement Action:  Target Number: 000170B7  Target Speed:  31.0  Current Speed:  37.2</t>
  </si>
  <si>
    <t>SYS :2016/12/30 02:05:33.079:ENFORCEMENT:Predictive Enforcement Action:  Target Number: 00001014  Target Speed:   0.0  Current Speed:  16.5</t>
  </si>
  <si>
    <t>SYS :2016/12/30 02:06:10.981:ENFORCEMENT:Predictive Enforcement Action:  Target Number: 00001013  Target Speed:   0.0  Current Speed:   8.2</t>
  </si>
  <si>
    <t>SYS :2016/12/30 02:06:11.069:ENFORCEMENT:Predictive Enforcement Action:  Target Number: 00001014  Target Speed:   0.0  Current Speed:   8.2</t>
  </si>
  <si>
    <t>SYS :2016/12/30 02:06:42.979:ENFORCEMENT:Predictive Enforcement Action:  Target Number: 00001013  Target Speed:   0.0  Current Speed:   3.8</t>
  </si>
  <si>
    <t>SYS :2016/12/30 02:06:43.078:ENFORCEMENT:Predictive Enforcement Action:  Target Number: 00001014  Target Speed:   0.0  Current Speed:   3.8</t>
  </si>
  <si>
    <t>SYS :2016/12/30 02:25:08.435:ENFORCEMENT:Predictive Enforcement Action:  Target Number: 000170D1  Target Speed:  31.0  Current Speed:  36.0</t>
  </si>
  <si>
    <t>SYS :2016/12/30 03:06:07.018:ENFORCEMENT:Predictive Enforcement Action:  Target Number: 00001015  Target Speed:   0.0  Current Speed:   5.3</t>
  </si>
  <si>
    <t>SYS :2016/12/30 03:06:07.129:ENFORCEMENT:Predictive Enforcement Action:  Target Number: 00001015  Target Speed:   0.0  Current Speed:   5.3</t>
  </si>
  <si>
    <t>SYS :2016/12/30 03:06:08.702:ENFORCEMENT:Predictive Enforcement Action:  Target Number: 00001015  Target Speed:   0.0  Current Speed:   4.4</t>
  </si>
  <si>
    <t>SYS :2016/12/30 03:30:25.003:ENFORCEMENT:Predictive Enforcement Action:  Target Number: 0001012E  Target Speed:  30.0  Current Speed:  40.2</t>
  </si>
  <si>
    <t>SYS :2016/12/30 03:30:25.095:ENFORCEMENT:Predictive Enforcement Action:  Target Number: 0001012E  Target Speed:  30.0  Current Speed:  40.2</t>
  </si>
  <si>
    <t>SYS :2016/12/30 03:30:25.714:ENFORCEMENT:Predictive Enforcement Action:  Target Number: 0001007C  Target Speed:  30.0  Current Speed:  40.2</t>
  </si>
  <si>
    <t>SYS :2016/12/30 05:47:53.643:ENFORCEMENT:Predictive Enforcement Action:  Target Number: 0000A00A  Target Speed:  10.0  Current Speed:  50.9</t>
  </si>
  <si>
    <t>SYS :2016/12/30 05:47:53.705:ENFORCEMENT:Predictive Enforcement Action:  Target Number: 0000A00A  Target Speed:  10.0  Current Speed:  50.9</t>
  </si>
  <si>
    <t>SYS :2016/12/30 06:07:11.978:ENFORCEMENT:Predictive Enforcement Action:  Target Number: 00001017  Target Speed:   0.0  Current Speed:   6.0</t>
  </si>
  <si>
    <t>SYS :2016/12/30 06:07:12.070:ENFORCEMENT:Predictive Enforcement Action:  Target Number: 00001018  Target Speed:   0.0  Current Speed:   5.6</t>
  </si>
  <si>
    <t>SYS :2016/12/30 07:08:29.235:ENFORCEMENT:Reactive Enforcement Action:  Target Number: 00017003  Target Speed:  13.0  Current Speed:  18.3</t>
  </si>
  <si>
    <t>SYS :2016/12/30 07:08:29.404:ENFORCEMENT:Reactive Enforcement Action:  Target Number: 0001704B  Target Speed:  13.0  Current Speed:  18.3</t>
  </si>
  <si>
    <t>SYS :2016/12/30 07:08:29.870:ENFORCEMENT:Reactive Enforcement Action:  Target Number: 0001704B  Target Speed:  13.0  Current Speed:  18.3</t>
  </si>
  <si>
    <t>SYS :2016/12/30 08:06:30.073:ENFORCEMENT:Predictive Enforcement Action:  Target Number: 0000101C  Target Speed:   0.0  Current Speed:   7.7</t>
  </si>
  <si>
    <t>SYS :2016/12/30 08:06:30.980:ENFORCEMENT:Predictive Enforcement Action:  Target Number: 0000101B  Target Speed:   0.0  Current Speed:   7.6</t>
  </si>
  <si>
    <t>Banner without braking</t>
  </si>
  <si>
    <t>Incident 33000 - no PTC restrictions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</si>
</sst>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9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ed911d11-8fdd-4d4b-ba6f-1bb5e20e56d9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2"/>
  <sheetViews>
    <sheetView tabSelected="1" topLeftCell="A196" workbookViewId="0">
      <selection activeCell="V204" sqref="V204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4.425781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42733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42733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141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COUNTIFS($N$13:$N$9352,"&gt;0",$AG$13:$AG$9352,I1)</f>
        <v>140</v>
      </c>
      <c r="K5" s="41"/>
      <c r="L5" s="41"/>
      <c r="M5" s="42">
        <f>AVERAGEIFS($N$13:$N$9352,$AG$13:$AG$9352,I1)</f>
        <v>39.051904761365485</v>
      </c>
      <c r="N5" s="40">
        <f t="array" ref="N5">MIN(IF($AG$13:$AG$9352=I1,IF(ISNUMBER($N$13:$N$9352),IF($N$13:$N$9352&gt;0,$N$13:$N$9352))))</f>
        <v>34.966666668187827</v>
      </c>
      <c r="O5" s="3">
        <f t="array" ref="O5">MAX(IF($AG$13:$AG$9352=I1,IF(ISNUMBER($N$13:$N$9352),IF($N$13:$N$9352&gt;0,$N$13:$N$9352))))</f>
        <v>45.016666670562699</v>
      </c>
      <c r="P5" s="2"/>
      <c r="R5" s="76" t="s">
        <v>17</v>
      </c>
      <c r="S5" s="52">
        <f>COUNTIFS($N$13:$N$9352,"&gt;0",$AG$13:$AG$9352,R1)</f>
        <v>47</v>
      </c>
      <c r="T5" s="41"/>
      <c r="U5" s="164"/>
      <c r="V5" s="42">
        <f>AVERAGEIFS($N$13:$N$9352,$AG$13:$AG$9352,R1)</f>
        <v>15.737588653548997</v>
      </c>
      <c r="W5" s="40">
        <f t="array" ref="W5">MIN(IF($AG$13:$AG$9352=R1,IF(ISNUMBER($N$13:$N$9352),IF($N$13:$N$9352&gt;0,$N$13:$N$9352))))</f>
        <v>13.566666663391516</v>
      </c>
      <c r="X5" s="169">
        <f t="array" ref="X5">MAX(IF($AG$13:$AG$9352=R1,IF(ISNUMBER($N$13:$N$9352),IF($N$13:$N$9352&gt;0,$N$13:$N$9352))))</f>
        <v>17.466666674008593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COUNT($O$13:$O$130)</f>
        <v>0</v>
      </c>
      <c r="K6" s="41"/>
      <c r="L6" s="41"/>
      <c r="M6" s="42">
        <f>IFERROR(AVERAGE($O$13:$O$130),0)</f>
        <v>0</v>
      </c>
      <c r="N6" s="40">
        <f>MIN($O$13:$O$130)</f>
        <v>0</v>
      </c>
      <c r="O6" s="3">
        <f>MAX($O$13:$O$130)</f>
        <v>0</v>
      </c>
      <c r="P6" s="2"/>
      <c r="R6" s="77" t="s">
        <v>43</v>
      </c>
      <c r="S6" s="52">
        <f>COUNT($O$13:$O$130)</f>
        <v>0</v>
      </c>
      <c r="T6" s="41"/>
      <c r="U6" s="164"/>
      <c r="V6" s="42">
        <f>IFERROR(AVERAGE($O$13:$O$130),0)</f>
        <v>0</v>
      </c>
      <c r="W6" s="40">
        <f>MIN($O$13:$O$130)</f>
        <v>0</v>
      </c>
      <c r="X6" s="169">
        <f>MAX($O$13:$O$130)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COUNTIFS($P$13:$P$9352,"&gt;0",$AG$13:$AG$9352,I1)</f>
        <v>1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COUNTIFS($P$13:$P$9352,"&gt;0",$AG$13:$AG$9352,R1)</f>
        <v>0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140</v>
      </c>
      <c r="K8" s="41"/>
      <c r="L8" s="41"/>
      <c r="M8" s="42">
        <f>M5</f>
        <v>39.051904761365485</v>
      </c>
      <c r="N8" s="40">
        <f>N5</f>
        <v>34.966666668187827</v>
      </c>
      <c r="O8" s="3">
        <f>O5</f>
        <v>45.016666670562699</v>
      </c>
      <c r="P8" s="2"/>
      <c r="R8" s="76" t="s">
        <v>16</v>
      </c>
      <c r="S8" s="52">
        <f>S5</f>
        <v>47</v>
      </c>
      <c r="T8" s="41"/>
      <c r="U8" s="164"/>
      <c r="V8" s="42">
        <f>V5</f>
        <v>15.737588653548997</v>
      </c>
      <c r="W8" s="40">
        <f>W5</f>
        <v>13.566666663391516</v>
      </c>
      <c r="X8" s="169">
        <f>X5</f>
        <v>17.466666674008593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0.99290780141843971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90" t="str">
        <f>"Eagle P3 System Performance - "&amp;TEXT(Variables!A2,"yyyy-mm-dd")</f>
        <v>Eagle P3 System Performance - 2016-12-29</v>
      </c>
      <c r="B11" s="190"/>
      <c r="C11" s="190"/>
      <c r="D11" s="190"/>
      <c r="E11" s="190"/>
      <c r="F11" s="190"/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S11" s="66">
        <f>AVERAGE(S13:S94)</f>
        <v>0.98780487804878048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431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435</v>
      </c>
      <c r="B13" s="7">
        <v>4041</v>
      </c>
      <c r="C13" s="22" t="s">
        <v>205</v>
      </c>
      <c r="D13" s="22" t="s">
        <v>679</v>
      </c>
      <c r="E13" s="13">
        <v>42733.181990740741</v>
      </c>
      <c r="F13" s="13">
        <v>42733.195405092592</v>
      </c>
      <c r="G13" s="7">
        <v>6</v>
      </c>
      <c r="H13" s="22" t="s">
        <v>192</v>
      </c>
      <c r="I13" s="13">
        <v>42733.22488425926</v>
      </c>
      <c r="J13" s="7">
        <v>0</v>
      </c>
      <c r="K13" s="105" t="str">
        <f t="shared" ref="K13:K76" si="0">IF(ISEVEN(B13),(B13-1)&amp;"/"&amp;B13,B13&amp;"/"&amp;(B13+1))</f>
        <v>4041/4042</v>
      </c>
      <c r="L13" s="22" t="str">
        <f>VLOOKUP(A13,'Trips&amp;Operators'!$C$1:$G$99999,5,FALSE)</f>
        <v>ISHMAEL JOSEPH</v>
      </c>
      <c r="M13" s="6">
        <f t="shared" ref="M13:M76" si="1">I13-F13</f>
        <v>2.9479166667442769E-2</v>
      </c>
      <c r="N13" s="7">
        <f t="shared" ref="N13:N27" si="2">24*60*SUM($M13:$M13)</f>
        <v>42.450000001117587</v>
      </c>
      <c r="O13" s="7"/>
      <c r="P13" s="7"/>
      <c r="Q13" s="23"/>
      <c r="R13" s="23"/>
      <c r="S13" s="32">
        <f t="shared" ref="S13:S76" si="3">SUM(U13:U13)/IF(AG13="EC",12,1)</f>
        <v>1</v>
      </c>
      <c r="T13" s="47" t="str">
        <f t="shared" ref="T13:T76" si="4">IF(ISEVEN(LEFT(AD13,4)),"Southbound","NorthBound")</f>
        <v>Southbound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https://search-rtdc-monitor-bjffxe2xuh6vdkpspy63sjmuny.us-east-1.es.amazonaws.com/_plugin/kibana/#/discover/Steve-Slow-Train-Analysis-(2080s-and-2083s)?_g=(refreshInterval:(display:Off,section:0,value:0),time:(from:'2016-12-29 03:22:04-700',mode:absolute,to:'2016-12-29 06:23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" s="49" t="str">
        <f t="shared" ref="W13:W76" si="6">IF(AA13&lt;IF(AG13="EC",23,5.65),"Y","N")</f>
        <v>N</v>
      </c>
      <c r="X13" s="173" t="e">
        <f>VALUE(LEFT(AD13,4))-VALUE(LEFT(#REF!,4))</f>
        <v>#REF!</v>
      </c>
      <c r="Y13" s="64">
        <f t="shared" ref="Y13:Y76" si="7">RIGHT(D13,LEN(D13)-4)/10000</f>
        <v>23.264700000000001</v>
      </c>
      <c r="Z13" s="64">
        <f t="shared" ref="Z13:Z76" si="8">RIGHT(H13,LEN(H13)-4)/10000</f>
        <v>1.43E-2</v>
      </c>
      <c r="AA13" s="64">
        <f t="shared" ref="AA13:AA76" si="9">ABS(Z13-Y13)</f>
        <v>23.250400000000003</v>
      </c>
      <c r="AB13" s="61" t="str">
        <f>VLOOKUP(A13,Enforcements!$C$7:$K$19,8,0)</f>
        <v>Speed (6)</v>
      </c>
      <c r="AC13" s="57" t="str">
        <f>VLOOKUP(A13,Enforcements!$C$7:$E$19,3,0)</f>
        <v>PERMANENT SPEED RESTRICTION</v>
      </c>
      <c r="AD13" s="58" t="str">
        <f t="shared" ref="AD13:AD76" si="10">IF(LEN(A13)=6,"0"&amp;A13,A13)</f>
        <v>0104-29</v>
      </c>
      <c r="AE13" s="8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s3://rtdc.mdm.uploadarchive.raw/RTDC4041/ "%USERPROFILE%\AppData\Local\Temp\OnboardLogs"\RTDC4041\2016-12-29 --exclude "*" --recursive --include "*20161229*" &amp; "%USERPROFILE%\Documents\GitHub\mrs-test-scripts\Headless Mode &amp; Sideloading\WalkAndUnGZ.bat" "%USERPROFILE%\AppData\Local\Temp\OnboardLogs"\RTDC4041\2016-12-29 &amp; aws s3 cp s3://rtdc.mdm.uploadarchive.raw/RTDC4041/ "%USERPROFILE%\AppData\Local\Temp\OnboardLogs"\RTDC4041\2016-12-30 --exclude "*" --recursive --include "*20161230*" &amp; "%USERPROFILE%\Documents\GitHub\mrs-test-scripts\Headless Mode &amp; Sideloading\WalkAndUnGZ.bat" "%USERPROFILE%\AppData\Local\Temp\OnboardLogs"\RTDC4041\2016-12-30</v>
      </c>
      <c r="AF13" s="84" t="str">
        <f t="shared" ref="AF13:AF76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/stypes="app*4041*20161229*" /stext=" 12:.+((SYSTEM_STATE.+slice.+state.+changed )|(ment ac)|(multiple cpu faults)|(system.+state.+changed )|(\[timeout)|(PRM\|1\|D)|(kpr)|(kdp)|(\|lc)|(penalty))" /e /r /s</v>
      </c>
      <c r="AG13" s="1" t="str">
        <f t="shared" ref="AG13:AG76" si="13">IFERROR(IF(VALUE(LEFT(AD13,2))&lt;=2,"EC",IF(OR(VALUE(LEFT(AD13,2))=8,VALUE(LEFT(AD13,2))=18),"NW","Other")),"Other")</f>
        <v>EC</v>
      </c>
      <c r="AH13" s="88" t="str">
        <f t="shared" ref="AH13:AH75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104-29 --locoid 4041 --swversion DE.1.0.8.0 --startMP 204:232647 --initTime 2016-12-29T04:22:04 --startdatetime 2016-12-29T04:41:23 --delay 6 --endMP 204:143 --enddatetime 2016-12-29T05:23:50 --enforcementcount 0 &gt;&gt;C:\Users\stu\Documents\GitHub\eaglep3-reporting\EC\2016-12-29-refined-times.txt</v>
      </c>
      <c r="AI13" s="115" t="str">
        <f t="shared" ref="AI13:AI75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{"issue":{"subject":"","project_id":79,"tracker_id":40,"status_id":1,"priority_id":2,"assigned_to_id":23,"start_date":"2016-12-29","description":"","custom_fields":[{"id":1,"name":"Subdivision","value":"EC"},{"id":4,"name":"Milepost","value":"0.0143"},{"id":17,"name":"Train ID","value":"104-29"},{"id":16,"name":"Locomotive ID","value":"4041"},{"id":130,"name":"Impact","value":""},{"id":150,"name":"Time of Event (Mountain Time)","value":"05:23:50"},{"id":151,"name":"Denver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:AM75" si="16">"start /low /b "&amp;dls3logs&amp;" --loco "&amp;B13&amp;" --day "&amp;TEXT(F13,"YYYY-MM-DD")</f>
        <v>start /low /b %USERPROFILE%\Documents\GitHub\eaglep3\Utilities\DownloadLogsFromS3.py --loco 4041 --day 2016-12-29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476</v>
      </c>
      <c r="B14" s="7">
        <v>4002</v>
      </c>
      <c r="C14" s="22" t="s">
        <v>205</v>
      </c>
      <c r="D14" s="22" t="s">
        <v>680</v>
      </c>
      <c r="E14" s="13">
        <v>42733.176712962966</v>
      </c>
      <c r="F14" s="13">
        <v>42733.178101851852</v>
      </c>
      <c r="G14" s="7">
        <v>2</v>
      </c>
      <c r="H14" s="22" t="s">
        <v>395</v>
      </c>
      <c r="I14" s="13">
        <v>42733.202870370369</v>
      </c>
      <c r="J14" s="7">
        <v>0</v>
      </c>
      <c r="K14" s="105" t="str">
        <f t="shared" si="0"/>
        <v>4001/4002</v>
      </c>
      <c r="L14" s="22" t="str">
        <f>VLOOKUP(A14,'Trips&amp;Operators'!$C$1:$G$99999,5,FALSE)</f>
        <v>YANAI IAN</v>
      </c>
      <c r="M14" s="6">
        <f t="shared" si="1"/>
        <v>2.4768518516793847E-2</v>
      </c>
      <c r="N14" s="7">
        <f t="shared" si="2"/>
        <v>35.66666666418314</v>
      </c>
      <c r="O14" s="7"/>
      <c r="P14" s="7"/>
      <c r="Q14" s="23"/>
      <c r="R14" s="23"/>
      <c r="S14" s="32">
        <f t="shared" si="3"/>
        <v>1</v>
      </c>
      <c r="T14" s="47" t="str">
        <f t="shared" si="4"/>
        <v>NorthBound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03:14:28-700',mode:absolute,to:'2016-12-29 05:52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" s="49" t="str">
        <f t="shared" si="6"/>
        <v>N</v>
      </c>
      <c r="X14" s="173">
        <f t="shared" ref="X14:X45" si="17">VALUE(LEFT(AD14,4))-VALUE(LEFT(AD13,4))</f>
        <v>1</v>
      </c>
      <c r="Y14" s="64">
        <f t="shared" si="7"/>
        <v>0.1118</v>
      </c>
      <c r="Z14" s="64">
        <f t="shared" si="8"/>
        <v>23.334599999999998</v>
      </c>
      <c r="AA14" s="64">
        <f t="shared" si="9"/>
        <v>23.222799999999999</v>
      </c>
      <c r="AB14" s="61" t="e">
        <f>VLOOKUP(A14,Enforcements!$C$7:$K$19,8,0)</f>
        <v>#N/A</v>
      </c>
      <c r="AC14" s="57" t="e">
        <f>VLOOKUP(A14,Enforcements!$C$7:$E$19,3,0)</f>
        <v>#N/A</v>
      </c>
      <c r="AD14" s="58" t="str">
        <f t="shared" si="10"/>
        <v>0105-29</v>
      </c>
      <c r="AE14" s="87" t="str">
        <f t="shared" si="11"/>
        <v>aws s3 cp s3://rtdc.mdm.uploadarchive.raw/RTDC4002/ "%USERPROFILE%\AppData\Local\Temp\OnboardLogs"\RTDC4002\2016-12-29 --exclude "*" --recursive --include "*20161229*" &amp; "%USERPROFILE%\Documents\GitHub\mrs-test-scripts\Headless Mode &amp; Sideloading\WalkAndUnGZ.bat" "%USERPROFILE%\AppData\Local\Temp\OnboardLogs"\RTDC4002\2016-12-29 &amp; aws s3 cp s3://rtdc.mdm.uploadarchive.raw/RTDC4002/ "%USERPROFILE%\AppData\Local\Temp\OnboardLogs"\RTDC4002\2016-12-30 --exclude "*" --recursive --include "*20161230*" &amp; "%USERPROFILE%\Documents\GitHub\mrs-test-scripts\Headless Mode &amp; Sideloading\WalkAndUnGZ.bat" "%USERPROFILE%\AppData\Local\Temp\OnboardLogs"\RTDC4002\2016-12-30</v>
      </c>
      <c r="AF14" s="84" t="str">
        <f t="shared" si="12"/>
        <v>"C:\Program Files (x86)\AstroGrep\AstroGrep.exe" /spath="%USERPROFILE%\AppData\Local\Temp\OnboardLogs" /stypes="app*4002*20161229*" /stext=" 11:.+((SYSTEM_STATE.+slice.+state.+changed )|(ment ac)|(multiple cpu faults)|(system.+state.+changed )|(\[timeout)|(PRM\|1\|D)|(kpr)|(kdp)|(\|lc)|(penalty))" /e /r /s</v>
      </c>
      <c r="AG14" s="1" t="str">
        <f t="shared" si="13"/>
        <v>EC</v>
      </c>
      <c r="AH14" s="88" t="str">
        <f t="shared" si="14"/>
        <v>"%USERPROFILE%\Documents\GitHub\eaglep3\Utilities\RefineRTDCRunTimes.py" --tripid 105-29 --locoid 4002 --swversion DE.1.0.8.0 --startMP 204:1118 --initTime 2016-12-29T04:14:28 --startdatetime 2016-12-29T04:16:28 --delay 2 --endMP 204:233346 --enddatetime 2016-12-29T04:52:08 --enforcementcount 0 &gt;&gt;C:\Users\stu\Documents\GitHub\eaglep3-reporting\EC\2016-12-29-refined-times.txt</v>
      </c>
      <c r="AI14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{"issue":{"subject":"","project_id":79,"tracker_id":40,"status_id":1,"priority_id":2,"assigned_to_id":23,"start_date":"2016-12-29","description":"","custom_fields":[{"id":1,"name":"Subdivision","value":"EC"},{"id":4,"name":"Milepost","value":"23.3346"},{"id":17,"name":"Train ID","value":"105-29"},{"id":16,"name":"Locomotive ID","value":"4002"},{"id":130,"name":"Impact","value":""},{"id":150,"name":"Time of Event (Mountain Time)","value":"04:52:08"},{"id":151,"name":"Denver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si="16"/>
        <v>start /low /b %USERPROFILE%\Documents\GitHub\eaglep3\Utilities\DownloadLogsFromS3.py --loco 4002 --day 2016-12-29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437</v>
      </c>
      <c r="B15" s="7">
        <v>4028</v>
      </c>
      <c r="C15" s="22" t="s">
        <v>205</v>
      </c>
      <c r="D15" s="22" t="s">
        <v>681</v>
      </c>
      <c r="E15" s="13">
        <v>42733.212916666664</v>
      </c>
      <c r="F15" s="13">
        <v>42733.216168981482</v>
      </c>
      <c r="G15" s="7">
        <v>1</v>
      </c>
      <c r="H15" s="22" t="s">
        <v>682</v>
      </c>
      <c r="I15" s="13">
        <v>42733.244270833333</v>
      </c>
      <c r="J15" s="7">
        <v>0</v>
      </c>
      <c r="K15" s="105" t="str">
        <f t="shared" si="0"/>
        <v>4027/4028</v>
      </c>
      <c r="L15" s="22" t="str">
        <f>VLOOKUP(A15,'Trips&amp;Operators'!$C$1:$G$99999,5,FALSE)</f>
        <v>YANAI IAN</v>
      </c>
      <c r="M15" s="6">
        <f t="shared" si="1"/>
        <v>2.810185185080627E-2</v>
      </c>
      <c r="N15" s="7">
        <f t="shared" si="2"/>
        <v>40.466666665161029</v>
      </c>
      <c r="O15" s="7"/>
      <c r="P15" s="7"/>
      <c r="Q15" s="23"/>
      <c r="R15" s="23"/>
      <c r="S15" s="32">
        <f t="shared" si="3"/>
        <v>1</v>
      </c>
      <c r="T15" s="47" t="str">
        <f t="shared" si="4"/>
        <v>Southbound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04:06:36-700',mode:absolute,to:'2016-12-29 06:51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" s="49" t="str">
        <f t="shared" si="6"/>
        <v>N</v>
      </c>
      <c r="X15" s="173">
        <f t="shared" si="17"/>
        <v>1</v>
      </c>
      <c r="Y15" s="64">
        <f t="shared" si="7"/>
        <v>23.272099999999998</v>
      </c>
      <c r="Z15" s="64">
        <f t="shared" si="8"/>
        <v>1.8100000000000002E-2</v>
      </c>
      <c r="AA15" s="64">
        <f t="shared" si="9"/>
        <v>23.253999999999998</v>
      </c>
      <c r="AB15" s="61" t="e">
        <f>VLOOKUP(A15,Enforcements!$C$7:$K$19,8,0)</f>
        <v>#N/A</v>
      </c>
      <c r="AC15" s="57" t="e">
        <f>VLOOKUP(A15,Enforcements!$C$7:$E$19,3,0)</f>
        <v>#N/A</v>
      </c>
      <c r="AD15" s="58" t="str">
        <f t="shared" si="10"/>
        <v>0106-29</v>
      </c>
      <c r="AE15" s="87" t="str">
        <f t="shared" si="11"/>
        <v>aws s3 cp s3://rtdc.mdm.uploadarchive.raw/RTDC4028/ "%USERPROFILE%\AppData\Local\Temp\OnboardLogs"\RTDC4028\2016-12-29 --exclude "*" --recursive --include "*20161229*" &amp; "%USERPROFILE%\Documents\GitHub\mrs-test-scripts\Headless Mode &amp; Sideloading\WalkAndUnGZ.bat" "%USERPROFILE%\AppData\Local\Temp\OnboardLogs"\RTDC4028\2016-12-29 &amp; aws s3 cp s3://rtdc.mdm.uploadarchive.raw/RTDC4028/ "%USERPROFILE%\AppData\Local\Temp\OnboardLogs"\RTDC4028\2016-12-30 --exclude "*" --recursive --include "*20161230*" &amp; "%USERPROFILE%\Documents\GitHub\mrs-test-scripts\Headless Mode &amp; Sideloading\WalkAndUnGZ.bat" "%USERPROFILE%\AppData\Local\Temp\OnboardLogs"\RTDC4028\2016-12-30</v>
      </c>
      <c r="AF15" s="84" t="str">
        <f t="shared" si="12"/>
        <v>"C:\Program Files (x86)\AstroGrep\AstroGrep.exe" /spath="%USERPROFILE%\AppData\Local\Temp\OnboardLogs" /stypes="app*4028*20161229*" /stext=" 12:.+((SYSTEM_STATE.+slice.+state.+changed )|(ment ac)|(multiple cpu faults)|(system.+state.+changed )|(\[timeout)|(PRM\|1\|D)|(kpr)|(kdp)|(\|lc)|(penalty))" /e /r /s</v>
      </c>
      <c r="AG15" s="1" t="str">
        <f t="shared" si="13"/>
        <v>EC</v>
      </c>
      <c r="AH15" s="88" t="str">
        <f t="shared" si="14"/>
        <v>"%USERPROFILE%\Documents\GitHub\eaglep3\Utilities\RefineRTDCRunTimes.py" --tripid 106-29 --locoid 4028 --swversion DE.1.0.8.0 --startMP 204:232721 --initTime 2016-12-29T05:06:36 --startdatetime 2016-12-29T05:11:17 --delay 1 --endMP 204:181 --enddatetime 2016-12-29T05:51:45 --enforcementcount 0 &gt;&gt;C:\Users\stu\Documents\GitHub\eaglep3-reporting\EC\2016-12-29-refined-times.txt</v>
      </c>
      <c r="AI15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{"issue":{"subject":"","project_id":79,"tracker_id":40,"status_id":1,"priority_id":2,"assigned_to_id":23,"start_date":"2016-12-29","description":"","custom_fields":[{"id":1,"name":"Subdivision","value":"EC"},{"id":4,"name":"Milepost","value":"0.0181"},{"id":17,"name":"Train ID","value":"106-29"},{"id":16,"name":"Locomotive ID","value":"4028"},{"id":130,"name":"Impact","value":""},{"id":150,"name":"Time of Event (Mountain Time)","value":"05:51:45"},{"id":151,"name":"Denver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16"/>
        <v>start /low /b %USERPROFILE%\Documents\GitHub\eaglep3\Utilities\DownloadLogsFromS3.py --loco 4028 --day 2016-12-29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477</v>
      </c>
      <c r="B16" s="7">
        <v>4014</v>
      </c>
      <c r="C16" s="22" t="s">
        <v>205</v>
      </c>
      <c r="D16" s="22" t="s">
        <v>683</v>
      </c>
      <c r="E16" s="13">
        <v>42733.185833333337</v>
      </c>
      <c r="F16" s="13">
        <v>42733.187754629631</v>
      </c>
      <c r="G16" s="7">
        <v>1</v>
      </c>
      <c r="H16" s="22" t="s">
        <v>684</v>
      </c>
      <c r="I16" s="13">
        <v>42733.213402777779</v>
      </c>
      <c r="J16" s="7">
        <v>0</v>
      </c>
      <c r="K16" s="105" t="str">
        <f t="shared" si="0"/>
        <v>4013/4014</v>
      </c>
      <c r="L16" s="22" t="str">
        <f>VLOOKUP(A16,'Trips&amp;Operators'!$C$1:$G$99999,5,FALSE)</f>
        <v>ROBINSON KADDIBA</v>
      </c>
      <c r="M16" s="6">
        <f t="shared" si="1"/>
        <v>2.5648148148320615E-2</v>
      </c>
      <c r="N16" s="7">
        <f t="shared" si="2"/>
        <v>36.933333333581686</v>
      </c>
      <c r="O16" s="7"/>
      <c r="P16" s="7"/>
      <c r="Q16" s="23"/>
      <c r="R16" s="23"/>
      <c r="S16" s="32">
        <f t="shared" si="3"/>
        <v>1</v>
      </c>
      <c r="T16" s="47" t="str">
        <f t="shared" si="4"/>
        <v>NorthBound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03:27:36-700',mode:absolute,to:'2016-12-29 06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" s="49" t="str">
        <f t="shared" si="6"/>
        <v>N</v>
      </c>
      <c r="X16" s="173">
        <f t="shared" si="17"/>
        <v>1</v>
      </c>
      <c r="Y16" s="64">
        <f t="shared" si="7"/>
        <v>7.9200000000000007E-2</v>
      </c>
      <c r="Z16" s="64">
        <f t="shared" si="8"/>
        <v>23.330300000000001</v>
      </c>
      <c r="AA16" s="64">
        <f t="shared" si="9"/>
        <v>23.251100000000001</v>
      </c>
      <c r="AB16" s="61" t="e">
        <f>VLOOKUP(A16,Enforcements!$C$7:$K$19,8,0)</f>
        <v>#N/A</v>
      </c>
      <c r="AC16" s="57" t="e">
        <f>VLOOKUP(A16,Enforcements!$C$7:$E$19,3,0)</f>
        <v>#N/A</v>
      </c>
      <c r="AD16" s="58" t="str">
        <f t="shared" si="10"/>
        <v>0107-29</v>
      </c>
      <c r="AE16" s="87" t="str">
        <f t="shared" si="11"/>
        <v>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 &amp; aws s3 cp s3://rtdc.mdm.uploadarchive.raw/RTDC4014/ "%USERPROFILE%\AppData\Local\Temp\OnboardLogs"\RTDC4014\2016-12-30 --exclude "*" --recursive --include "*20161230*" &amp; "%USERPROFILE%\Documents\GitHub\mrs-test-scripts\Headless Mode &amp; Sideloading\WalkAndUnGZ.bat" "%USERPROFILE%\AppData\Local\Temp\OnboardLogs"\RTDC4014\2016-12-30</v>
      </c>
      <c r="AF16" s="84" t="str">
        <f t="shared" si="12"/>
        <v>"C:\Program Files (x86)\AstroGrep\AstroGrep.exe" /spath="%USERPROFILE%\AppData\Local\Temp\OnboardLogs" /stypes="app*4014*20161229*" /stext=" 12:.+((SYSTEM_STATE.+slice.+state.+changed )|(ment ac)|(multiple cpu faults)|(system.+state.+changed )|(\[timeout)|(PRM\|1\|D)|(kpr)|(kdp)|(\|lc)|(penalty))" /e /r /s</v>
      </c>
      <c r="AG16" s="1" t="str">
        <f t="shared" si="13"/>
        <v>EC</v>
      </c>
      <c r="AH16" s="88" t="str">
        <f t="shared" si="14"/>
        <v>"%USERPROFILE%\Documents\GitHub\eaglep3\Utilities\RefineRTDCRunTimes.py" --tripid 107-29 --locoid 4014 --swversion DE.1.0.8.0 --startMP 204:792 --initTime 2016-12-29T04:27:36 --startdatetime 2016-12-29T04:30:22 --delay 1 --endMP 204:233303 --enddatetime 2016-12-29T05:07:18 --enforcementcount 0 &gt;&gt;C:\Users\stu\Documents\GitHub\eaglep3-reporting\EC\2016-12-29-refined-times.txt</v>
      </c>
      <c r="AI16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{"issue":{"subject":"","project_id":79,"tracker_id":40,"status_id":1,"priority_id":2,"assigned_to_id":23,"start_date":"2016-12-29","description":"","custom_fields":[{"id":1,"name":"Subdivision","value":"EC"},{"id":4,"name":"Milepost","value":"23.3303"},{"id":17,"name":"Train ID","value":"107-29"},{"id":16,"name":"Locomotive ID","value":"4014"},{"id":130,"name":"Impact","value":""},{"id":150,"name":"Time of Event (Mountain Time)","value":"05:07:18"},{"id":151,"name":"Denver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16"/>
        <v>start /low /b %USERPROFILE%\Documents\GitHub\eaglep3\Utilities\DownloadLogsFromS3.py --loco 4014 --day 2016-12-29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487</v>
      </c>
      <c r="B17" s="7">
        <v>4013</v>
      </c>
      <c r="C17" s="22" t="s">
        <v>205</v>
      </c>
      <c r="D17" s="22" t="s">
        <v>273</v>
      </c>
      <c r="E17" s="13">
        <v>42733.222071759257</v>
      </c>
      <c r="F17" s="13">
        <v>42733.226550925923</v>
      </c>
      <c r="G17" s="7">
        <v>2</v>
      </c>
      <c r="H17" s="22" t="s">
        <v>192</v>
      </c>
      <c r="I17" s="13">
        <v>42733.256481481483</v>
      </c>
      <c r="J17" s="7">
        <v>0</v>
      </c>
      <c r="K17" s="105" t="str">
        <f t="shared" si="0"/>
        <v>4013/4014</v>
      </c>
      <c r="L17" s="22" t="str">
        <f>VLOOKUP(A17,'Trips&amp;Operators'!$C$1:$G$99999,5,FALSE)</f>
        <v>ROBINSON KADDIBA</v>
      </c>
      <c r="M17" s="6">
        <f t="shared" si="1"/>
        <v>2.9930555559985805E-2</v>
      </c>
      <c r="N17" s="7">
        <f t="shared" si="2"/>
        <v>43.10000000637956</v>
      </c>
      <c r="O17" s="7"/>
      <c r="P17" s="7"/>
      <c r="Q17" s="23"/>
      <c r="R17" s="23"/>
      <c r="S17" s="32">
        <f t="shared" si="3"/>
        <v>1</v>
      </c>
      <c r="T17" s="47" t="str">
        <f t="shared" si="4"/>
        <v>Southbound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04:19:47-700',mode:absolute,to:'2016-12-29 07:09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" s="49" t="str">
        <f t="shared" si="6"/>
        <v>N</v>
      </c>
      <c r="X17" s="173">
        <f t="shared" si="17"/>
        <v>1</v>
      </c>
      <c r="Y17" s="64">
        <f t="shared" si="7"/>
        <v>23.2973</v>
      </c>
      <c r="Z17" s="64">
        <f t="shared" si="8"/>
        <v>1.43E-2</v>
      </c>
      <c r="AA17" s="64">
        <f t="shared" si="9"/>
        <v>23.283000000000001</v>
      </c>
      <c r="AB17" s="61" t="e">
        <f>VLOOKUP(A17,Enforcements!$C$7:$K$19,8,0)</f>
        <v>#N/A</v>
      </c>
      <c r="AC17" s="57" t="e">
        <f>VLOOKUP(A17,Enforcements!$C$7:$E$19,3,0)</f>
        <v>#N/A</v>
      </c>
      <c r="AD17" s="58" t="str">
        <f t="shared" si="10"/>
        <v>0108-29</v>
      </c>
      <c r="AE17" s="87" t="str">
        <f t="shared" si="11"/>
        <v>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 &amp; aws s3 cp s3://rtdc.mdm.uploadarchive.raw/RTDC4013/ "%USERPROFILE%\AppData\Local\Temp\OnboardLogs"\RTDC4013\2016-12-30 --exclude "*" --recursive --include "*20161230*" &amp; "%USERPROFILE%\Documents\GitHub\mrs-test-scripts\Headless Mode &amp; Sideloading\WalkAndUnGZ.bat" "%USERPROFILE%\AppData\Local\Temp\OnboardLogs"\RTDC4013\2016-12-30</v>
      </c>
      <c r="AF17" s="84" t="str">
        <f t="shared" si="12"/>
        <v>"C:\Program Files (x86)\AstroGrep\AstroGrep.exe" /spath="%USERPROFILE%\AppData\Local\Temp\OnboardLogs" /stypes="app*4013*20161229*" /stext=" 13:.+((SYSTEM_STATE.+slice.+state.+changed )|(ment ac)|(multiple cpu faults)|(system.+state.+changed )|(\[timeout)|(PRM\|1\|D)|(kpr)|(kdp)|(\|lc)|(penalty))" /e /r /s</v>
      </c>
      <c r="AG17" s="1" t="str">
        <f t="shared" si="13"/>
        <v>EC</v>
      </c>
      <c r="AH17" s="88" t="str">
        <f t="shared" si="14"/>
        <v>"%USERPROFILE%\Documents\GitHub\eaglep3\Utilities\RefineRTDCRunTimes.py" --tripid 108-29 --locoid 4013 --swversion DE.1.0.8.0 --startMP 204:232973 --initTime 2016-12-29T05:19:47 --startdatetime 2016-12-29T05:26:14 --delay 2 --endMP 204:143 --enddatetime 2016-12-29T06:09:20 --enforcementcount 0 &gt;&gt;C:\Users\stu\Documents\GitHub\eaglep3-reporting\EC\2016-12-29-refined-times.txt</v>
      </c>
      <c r="AI17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{"issue":{"subject":"","project_id":79,"tracker_id":40,"status_id":1,"priority_id":2,"assigned_to_id":23,"start_date":"2016-12-29","description":"","custom_fields":[{"id":1,"name":"Subdivision","value":"EC"},{"id":4,"name":"Milepost","value":"0.0143"},{"id":17,"name":"Train ID","value":"108-29"},{"id":16,"name":"Locomotive ID","value":"4013"},{"id":130,"name":"Impact","value":""},{"id":150,"name":"Time of Event (Mountain Time)","value":"06:09:20"},{"id":151,"name":"Denver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16"/>
        <v>start /low /b %USERPROFILE%\Documents\GitHub\eaglep3\Utilities\DownloadLogsFromS3.py --loco 4013 --day 2016-12-29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479</v>
      </c>
      <c r="B18" s="7">
        <v>4031</v>
      </c>
      <c r="C18" s="22" t="s">
        <v>205</v>
      </c>
      <c r="D18" s="22" t="s">
        <v>344</v>
      </c>
      <c r="E18" s="13">
        <v>42733.190960648149</v>
      </c>
      <c r="F18" s="13">
        <v>42733.198194444441</v>
      </c>
      <c r="G18" s="7">
        <v>1</v>
      </c>
      <c r="H18" s="22" t="s">
        <v>685</v>
      </c>
      <c r="I18" s="13">
        <v>42733.223090277781</v>
      </c>
      <c r="J18" s="7">
        <v>0</v>
      </c>
      <c r="K18" s="105" t="str">
        <f t="shared" si="0"/>
        <v>4031/4032</v>
      </c>
      <c r="L18" s="22" t="str">
        <f>VLOOKUP(A18,'Trips&amp;Operators'!$C$1:$G$99999,5,FALSE)</f>
        <v>GEBRETEKLE DAGNEW</v>
      </c>
      <c r="M18" s="6">
        <f t="shared" si="1"/>
        <v>2.489583333954215E-2</v>
      </c>
      <c r="N18" s="7">
        <f t="shared" si="2"/>
        <v>35.850000008940697</v>
      </c>
      <c r="O18" s="7"/>
      <c r="P18" s="7"/>
      <c r="Q18" s="23"/>
      <c r="R18" s="23"/>
      <c r="S18" s="32">
        <f t="shared" si="3"/>
        <v>1</v>
      </c>
      <c r="T18" s="47" t="str">
        <f t="shared" si="4"/>
        <v>NorthBound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03:34:59-700',mode:absolute,to:'2016-12-29 06:21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" s="49" t="str">
        <f t="shared" si="6"/>
        <v>N</v>
      </c>
      <c r="X18" s="173">
        <f t="shared" si="17"/>
        <v>1</v>
      </c>
      <c r="Y18" s="64">
        <f t="shared" si="7"/>
        <v>4.6899999999999997E-2</v>
      </c>
      <c r="Z18" s="64">
        <f t="shared" si="8"/>
        <v>23.3306</v>
      </c>
      <c r="AA18" s="64">
        <f t="shared" si="9"/>
        <v>23.2837</v>
      </c>
      <c r="AB18" s="61" t="e">
        <f>VLOOKUP(A18,Enforcements!$C$7:$K$19,8,0)</f>
        <v>#N/A</v>
      </c>
      <c r="AC18" s="57" t="e">
        <f>VLOOKUP(A18,Enforcements!$C$7:$E$19,3,0)</f>
        <v>#N/A</v>
      </c>
      <c r="AD18" s="58" t="str">
        <f t="shared" si="10"/>
        <v>0109-29</v>
      </c>
      <c r="AE18" s="87" t="str">
        <f t="shared" si="11"/>
        <v>aws s3 cp s3://rtdc.mdm.uploadarchive.raw/RTDC4031/ "%USERPROFILE%\AppData\Local\Temp\OnboardLogs"\RTDC4031\2016-12-29 --exclude "*" --recursive --include "*20161229*" &amp; "%USERPROFILE%\Documents\GitHub\mrs-test-scripts\Headless Mode &amp; Sideloading\WalkAndUnGZ.bat" "%USERPROFILE%\AppData\Local\Temp\OnboardLogs"\RTDC4031\2016-12-29 &amp; 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</v>
      </c>
      <c r="AF18" s="84" t="str">
        <f t="shared" si="12"/>
        <v>"C:\Program Files (x86)\AstroGrep\AstroGrep.exe" /spath="%USERPROFILE%\AppData\Local\Temp\OnboardLogs" /stypes="app*4031*20161229*" /stext=" 12:.+((SYSTEM_STATE.+slice.+state.+changed )|(ment ac)|(multiple cpu faults)|(system.+state.+changed )|(\[timeout)|(PRM\|1\|D)|(kpr)|(kdp)|(\|lc)|(penalty))" /e /r /s</v>
      </c>
      <c r="AG18" s="1" t="str">
        <f t="shared" si="13"/>
        <v>EC</v>
      </c>
      <c r="AH18" s="88" t="str">
        <f t="shared" si="14"/>
        <v>"%USERPROFILE%\Documents\GitHub\eaglep3\Utilities\RefineRTDCRunTimes.py" --tripid 109-29 --locoid 4031 --swversion DE.1.0.8.0 --startMP 204:469 --initTime 2016-12-29T04:34:59 --startdatetime 2016-12-29T04:45:24 --delay 1 --endMP 204:233306 --enddatetime 2016-12-29T05:21:15 --enforcementcount 0 &gt;&gt;C:\Users\stu\Documents\GitHub\eaglep3-reporting\EC\2016-12-29-refined-times.txt</v>
      </c>
      <c r="AI18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{"issue":{"subject":"","project_id":79,"tracker_id":40,"status_id":1,"priority_id":2,"assigned_to_id":23,"start_date":"2016-12-29","description":"","custom_fields":[{"id":1,"name":"Subdivision","value":"EC"},{"id":4,"name":"Milepost","value":"23.3306"},{"id":17,"name":"Train ID","value":"109-29"},{"id":16,"name":"Locomotive ID","value":"4031"},{"id":130,"name":"Impact","value":""},{"id":150,"name":"Time of Event (Mountain Time)","value":"05:21:15"},{"id":151,"name":"Denver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16"/>
        <v>start /low /b %USERPROFILE%\Documents\GitHub\eaglep3\Utilities\DownloadLogsFromS3.py --loco 4031 --day 2016-12-29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492</v>
      </c>
      <c r="B19" s="7">
        <v>4032</v>
      </c>
      <c r="C19" s="22" t="s">
        <v>205</v>
      </c>
      <c r="D19" s="22" t="s">
        <v>310</v>
      </c>
      <c r="E19" s="13">
        <v>42733.22997685185</v>
      </c>
      <c r="F19" s="13">
        <v>42733.236990740741</v>
      </c>
      <c r="G19" s="7">
        <v>1</v>
      </c>
      <c r="H19" s="22" t="s">
        <v>224</v>
      </c>
      <c r="I19" s="13">
        <v>42733.265972222223</v>
      </c>
      <c r="J19" s="7">
        <v>0</v>
      </c>
      <c r="K19" s="105" t="str">
        <f t="shared" si="0"/>
        <v>4031/4032</v>
      </c>
      <c r="L19" s="22" t="str">
        <f>VLOOKUP(A19,'Trips&amp;Operators'!$C$1:$G$99999,5,FALSE)</f>
        <v>GEBRETEKLE DAGNEW</v>
      </c>
      <c r="M19" s="6">
        <f t="shared" si="1"/>
        <v>2.8981481482333038E-2</v>
      </c>
      <c r="N19" s="7">
        <f t="shared" si="2"/>
        <v>41.733333334559575</v>
      </c>
      <c r="O19" s="7"/>
      <c r="P19" s="7"/>
      <c r="Q19" s="23"/>
      <c r="R19" s="23"/>
      <c r="S19" s="32">
        <f t="shared" si="3"/>
        <v>1</v>
      </c>
      <c r="T19" s="47" t="str">
        <f t="shared" si="4"/>
        <v>Southbound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04:31:10-700',mode:absolute,to:'2016-12-29 07:23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" s="49" t="str">
        <f t="shared" si="6"/>
        <v>N</v>
      </c>
      <c r="X19" s="173">
        <f t="shared" si="17"/>
        <v>1</v>
      </c>
      <c r="Y19" s="64">
        <f t="shared" si="7"/>
        <v>23.2987</v>
      </c>
      <c r="Z19" s="64">
        <f t="shared" si="8"/>
        <v>1.54E-2</v>
      </c>
      <c r="AA19" s="64">
        <f t="shared" si="9"/>
        <v>23.283300000000001</v>
      </c>
      <c r="AB19" s="61" t="e">
        <f>VLOOKUP(A19,Enforcements!$C$7:$K$19,8,0)</f>
        <v>#N/A</v>
      </c>
      <c r="AC19" s="57" t="e">
        <f>VLOOKUP(A19,Enforcements!$C$7:$E$19,3,0)</f>
        <v>#N/A</v>
      </c>
      <c r="AD19" s="58" t="str">
        <f t="shared" si="10"/>
        <v>0110-29</v>
      </c>
      <c r="AE19" s="87" t="str">
        <f t="shared" si="11"/>
        <v>aws s3 cp s3://rtdc.mdm.uploadarchive.raw/RTDC4032/ "%USERPROFILE%\AppData\Local\Temp\OnboardLogs"\RTDC4032\2016-12-29 --exclude "*" --recursive --include "*20161229*" &amp; "%USERPROFILE%\Documents\GitHub\mrs-test-scripts\Headless Mode &amp; Sideloading\WalkAndUnGZ.bat" "%USERPROFILE%\AppData\Local\Temp\OnboardLogs"\RTDC4032\2016-12-29 &amp; 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</v>
      </c>
      <c r="AF19" s="84" t="str">
        <f t="shared" si="12"/>
        <v>"C:\Program Files (x86)\AstroGrep\AstroGrep.exe" /spath="%USERPROFILE%\AppData\Local\Temp\OnboardLogs" /stypes="app*4032*20161229*" /stext=" 13:.+((SYSTEM_STATE.+slice.+state.+changed )|(ment ac)|(multiple cpu faults)|(system.+state.+changed )|(\[timeout)|(PRM\|1\|D)|(kpr)|(kdp)|(\|lc)|(penalty))" /e /r /s</v>
      </c>
      <c r="AG19" s="1" t="str">
        <f t="shared" si="13"/>
        <v>EC</v>
      </c>
      <c r="AH19" s="88" t="str">
        <f t="shared" si="14"/>
        <v>"%USERPROFILE%\Documents\GitHub\eaglep3\Utilities\RefineRTDCRunTimes.py" --tripid 110-29 --locoid 4032 --swversion DE.1.0.8.0 --startMP 204:232987 --initTime 2016-12-29T05:31:10 --startdatetime 2016-12-29T05:41:16 --delay 1 --endMP 204:154 --enddatetime 2016-12-29T06:23:00 --enforcementcount 0 &gt;&gt;C:\Users\stu\Documents\GitHub\eaglep3-reporting\EC\2016-12-29-refined-times.txt</v>
      </c>
      <c r="AI19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{"issue":{"subject":"","project_id":79,"tracker_id":40,"status_id":1,"priority_id":2,"assigned_to_id":23,"start_date":"2016-12-29","description":"","custom_fields":[{"id":1,"name":"Subdivision","value":"EC"},{"id":4,"name":"Milepost","value":"0.0154"},{"id":17,"name":"Train ID","value":"110-29"},{"id":16,"name":"Locomotive ID","value":"4032"},{"id":130,"name":"Impact","value":""},{"id":150,"name":"Time of Event (Mountain Time)","value":"06:23:00"},{"id":151,"name":"Denver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16"/>
        <v>start /low /b %USERPROFILE%\Documents\GitHub\eaglep3\Utilities\DownloadLogsFromS3.py --loco 4032 --day 2016-12-29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482</v>
      </c>
      <c r="B20" s="7">
        <v>4003</v>
      </c>
      <c r="C20" s="22" t="s">
        <v>205</v>
      </c>
      <c r="D20" s="22" t="s">
        <v>344</v>
      </c>
      <c r="E20" s="13">
        <v>42733.20212962963</v>
      </c>
      <c r="F20" s="13">
        <v>42733.208611111113</v>
      </c>
      <c r="G20" s="7">
        <v>2</v>
      </c>
      <c r="H20" s="22" t="s">
        <v>265</v>
      </c>
      <c r="I20" s="13">
        <v>42733.233032407406</v>
      </c>
      <c r="J20" s="7">
        <v>0</v>
      </c>
      <c r="K20" s="105" t="str">
        <f t="shared" si="0"/>
        <v>4003/4004</v>
      </c>
      <c r="L20" s="22" t="str">
        <f>VLOOKUP(A20,'Trips&amp;Operators'!$C$1:$G$99999,5,FALSE)</f>
        <v>YORK EDGAR</v>
      </c>
      <c r="M20" s="6">
        <f t="shared" si="1"/>
        <v>2.4421296293439809E-2</v>
      </c>
      <c r="N20" s="7">
        <f t="shared" si="2"/>
        <v>35.166666662553325</v>
      </c>
      <c r="O20" s="7"/>
      <c r="P20" s="7"/>
      <c r="Q20" s="23"/>
      <c r="R20" s="23"/>
      <c r="S20" s="32">
        <f t="shared" si="3"/>
        <v>1</v>
      </c>
      <c r="T20" s="47" t="str">
        <f t="shared" si="4"/>
        <v>NorthBound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03:51:04-700',mode:absolute,to:'2016-12-29 06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" s="49" t="str">
        <f t="shared" si="6"/>
        <v>N</v>
      </c>
      <c r="X20" s="173">
        <f t="shared" si="17"/>
        <v>1</v>
      </c>
      <c r="Y20" s="64">
        <f t="shared" si="7"/>
        <v>4.6899999999999997E-2</v>
      </c>
      <c r="Z20" s="64">
        <f t="shared" si="8"/>
        <v>23.328900000000001</v>
      </c>
      <c r="AA20" s="64">
        <f t="shared" si="9"/>
        <v>23.282</v>
      </c>
      <c r="AB20" s="61" t="e">
        <f>VLOOKUP(A20,Enforcements!$C$7:$K$19,8,0)</f>
        <v>#N/A</v>
      </c>
      <c r="AC20" s="57" t="e">
        <f>VLOOKUP(A20,Enforcements!$C$7:$E$19,3,0)</f>
        <v>#N/A</v>
      </c>
      <c r="AD20" s="58" t="str">
        <f t="shared" si="10"/>
        <v>0111-29</v>
      </c>
      <c r="AE20" s="87" t="str">
        <f t="shared" si="11"/>
        <v>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 &amp; aws s3 cp s3://rtdc.mdm.uploadarchive.raw/RTDC4003/ "%USERPROFILE%\AppData\Local\Temp\OnboardLogs"\RTDC4003\2016-12-30 --exclude "*" --recursive --include "*20161230*" &amp; "%USERPROFILE%\Documents\GitHub\mrs-test-scripts\Headless Mode &amp; Sideloading\WalkAndUnGZ.bat" "%USERPROFILE%\AppData\Local\Temp\OnboardLogs"\RTDC4003\2016-12-30</v>
      </c>
      <c r="AF20" s="84" t="str">
        <f t="shared" si="12"/>
        <v>"C:\Program Files (x86)\AstroGrep\AstroGrep.exe" /spath="%USERPROFILE%\AppData\Local\Temp\OnboardLogs" /stypes="app*4003*20161229*" /stext=" 12:.+((SYSTEM_STATE.+slice.+state.+changed )|(ment ac)|(multiple cpu faults)|(system.+state.+changed )|(\[timeout)|(PRM\|1\|D)|(kpr)|(kdp)|(\|lc)|(penalty))" /e /r /s</v>
      </c>
      <c r="AG20" s="1" t="str">
        <f t="shared" si="13"/>
        <v>EC</v>
      </c>
      <c r="AH20" s="88" t="str">
        <f t="shared" si="14"/>
        <v>"%USERPROFILE%\Documents\GitHub\eaglep3\Utilities\RefineRTDCRunTimes.py" --tripid 111-29 --locoid 4003 --swversion DE.1.0.8.0 --startMP 204:469 --initTime 2016-12-29T04:51:04 --startdatetime 2016-12-29T05:00:24 --delay 2 --endMP 204:233289 --enddatetime 2016-12-29T05:35:34 --enforcementcount 0 &gt;&gt;C:\Users\stu\Documents\GitHub\eaglep3-reporting\EC\2016-12-29-refined-times.txt</v>
      </c>
      <c r="AI20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{"issue":{"subject":"","project_id":79,"tracker_id":40,"status_id":1,"priority_id":2,"assigned_to_id":23,"start_date":"2016-12-29","description":"","custom_fields":[{"id":1,"name":"Subdivision","value":"EC"},{"id":4,"name":"Milepost","value":"23.3289"},{"id":17,"name":"Train ID","value":"111-29"},{"id":16,"name":"Locomotive ID","value":"4003"},{"id":130,"name":"Impact","value":""},{"id":150,"name":"Time of Event (Mountain Time)","value":"05:35:34"},{"id":151,"name":"Denver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16"/>
        <v>start /low /b %USERPROFILE%\Documents\GitHub\eaglep3\Utilities\DownloadLogsFromS3.py --loco 4003 --day 2016-12-29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493</v>
      </c>
      <c r="B21" s="7">
        <v>4004</v>
      </c>
      <c r="C21" s="22" t="s">
        <v>205</v>
      </c>
      <c r="D21" s="22" t="s">
        <v>686</v>
      </c>
      <c r="E21" s="13">
        <v>42733.234085648146</v>
      </c>
      <c r="F21" s="13">
        <v>42733.247673611113</v>
      </c>
      <c r="G21" s="7">
        <v>1</v>
      </c>
      <c r="H21" s="22" t="s">
        <v>254</v>
      </c>
      <c r="I21" s="13">
        <v>42733.278460648151</v>
      </c>
      <c r="J21" s="7">
        <v>0</v>
      </c>
      <c r="K21" s="105" t="str">
        <f t="shared" si="0"/>
        <v>4003/4004</v>
      </c>
      <c r="L21" s="22" t="str">
        <f>VLOOKUP(A21,'Trips&amp;Operators'!$C$1:$G$99999,5,FALSE)</f>
        <v>YORK EDGAR</v>
      </c>
      <c r="M21" s="6">
        <f t="shared" si="1"/>
        <v>3.0787037037953269E-2</v>
      </c>
      <c r="N21" s="7">
        <f t="shared" si="2"/>
        <v>44.333333334652707</v>
      </c>
      <c r="O21" s="7"/>
      <c r="P21" s="7"/>
      <c r="Q21" s="23"/>
      <c r="R21" s="23"/>
      <c r="S21" s="32">
        <f t="shared" si="3"/>
        <v>1</v>
      </c>
      <c r="T21" s="47" t="str">
        <f t="shared" si="4"/>
        <v>Southbound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04:37:05-700',mode:absolute,to:'2016-12-29 07:40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1" s="49" t="str">
        <f t="shared" si="6"/>
        <v>N</v>
      </c>
      <c r="X21" s="173">
        <f t="shared" si="17"/>
        <v>1</v>
      </c>
      <c r="Y21" s="64">
        <f t="shared" si="7"/>
        <v>23.2959</v>
      </c>
      <c r="Z21" s="64">
        <f t="shared" si="8"/>
        <v>1.47E-2</v>
      </c>
      <c r="AA21" s="64">
        <f t="shared" si="9"/>
        <v>23.281199999999998</v>
      </c>
      <c r="AB21" s="61" t="e">
        <f>VLOOKUP(A21,Enforcements!$C$7:$K$19,8,0)</f>
        <v>#N/A</v>
      </c>
      <c r="AC21" s="57" t="e">
        <f>VLOOKUP(A21,Enforcements!$C$7:$E$19,3,0)</f>
        <v>#N/A</v>
      </c>
      <c r="AD21" s="58" t="str">
        <f t="shared" si="10"/>
        <v>0112-29</v>
      </c>
      <c r="AE21" s="87" t="str">
        <f t="shared" si="11"/>
        <v>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 &amp; aws s3 cp s3://rtdc.mdm.uploadarchive.raw/RTDC4004/ "%USERPROFILE%\AppData\Local\Temp\OnboardLogs"\RTDC4004\2016-12-30 --exclude "*" --recursive --include "*20161230*" &amp; "%USERPROFILE%\Documents\GitHub\mrs-test-scripts\Headless Mode &amp; Sideloading\WalkAndUnGZ.bat" "%USERPROFILE%\AppData\Local\Temp\OnboardLogs"\RTDC4004\2016-12-30</v>
      </c>
      <c r="AF21" s="84" t="str">
        <f t="shared" si="12"/>
        <v>"C:\Program Files (x86)\AstroGrep\AstroGrep.exe" /spath="%USERPROFILE%\AppData\Local\Temp\OnboardLogs" /stypes="app*4004*20161229*" /stext=" 13:.+((SYSTEM_STATE.+slice.+state.+changed )|(ment ac)|(multiple cpu faults)|(system.+state.+changed )|(\[timeout)|(PRM\|1\|D)|(kpr)|(kdp)|(\|lc)|(penalty))" /e /r /s</v>
      </c>
      <c r="AG21" s="1" t="str">
        <f t="shared" si="13"/>
        <v>EC</v>
      </c>
      <c r="AH21" s="88" t="str">
        <f t="shared" si="14"/>
        <v>"%USERPROFILE%\Documents\GitHub\eaglep3\Utilities\RefineRTDCRunTimes.py" --tripid 112-29 --locoid 4004 --swversion DE.1.0.8.0 --startMP 204:232959 --initTime 2016-12-29T05:37:05 --startdatetime 2016-12-29T05:56:39 --delay 1 --endMP 204:147 --enddatetime 2016-12-29T06:40:59 --enforcementcount 0 &gt;&gt;C:\Users\stu\Documents\GitHub\eaglep3-reporting\EC\2016-12-29-refined-times.txt</v>
      </c>
      <c r="AI21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{"issue":{"subject":"","project_id":79,"tracker_id":40,"status_id":1,"priority_id":2,"assigned_to_id":23,"start_date":"2016-12-29","description":"","custom_fields":[{"id":1,"name":"Subdivision","value":"EC"},{"id":4,"name":"Milepost","value":"0.0147"},{"id":17,"name":"Train ID","value":"112-29"},{"id":16,"name":"Locomotive ID","value":"4004"},{"id":130,"name":"Impact","value":""},{"id":150,"name":"Time of Event (Mountain Time)","value":"06:40:59"},{"id":151,"name":"Denver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16"/>
        <v>start /low /b %USERPROFILE%\Documents\GitHub\eaglep3\Utilities\DownloadLogsFromS3.py --loco 4004 --day 2016-12-29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486</v>
      </c>
      <c r="B22" s="7">
        <v>4018</v>
      </c>
      <c r="C22" s="22" t="s">
        <v>205</v>
      </c>
      <c r="D22" s="22" t="s">
        <v>230</v>
      </c>
      <c r="E22" s="13">
        <v>42733.215810185182</v>
      </c>
      <c r="F22" s="13">
        <v>42733.219525462962</v>
      </c>
      <c r="G22" s="7">
        <v>1</v>
      </c>
      <c r="H22" s="22" t="s">
        <v>271</v>
      </c>
      <c r="I22" s="13">
        <v>42733.245821759258</v>
      </c>
      <c r="J22" s="7">
        <v>0</v>
      </c>
      <c r="K22" s="105" t="str">
        <f t="shared" si="0"/>
        <v>4017/4018</v>
      </c>
      <c r="L22" s="22" t="str">
        <f>VLOOKUP(A22,'Trips&amp;Operators'!$C$1:$G$99999,5,FALSE)</f>
        <v>ROCHA YAOTL</v>
      </c>
      <c r="M22" s="6">
        <f t="shared" si="1"/>
        <v>2.6296296295186039E-2</v>
      </c>
      <c r="N22" s="7">
        <f t="shared" si="2"/>
        <v>37.866666665067896</v>
      </c>
      <c r="O22" s="7"/>
      <c r="P22" s="7"/>
      <c r="Q22" s="23"/>
      <c r="R22" s="23"/>
      <c r="S22" s="32">
        <f t="shared" si="3"/>
        <v>1</v>
      </c>
      <c r="T22" s="47" t="str">
        <f t="shared" si="4"/>
        <v>NorthBound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04:10:46-700',mode:absolute,to:'2016-12-29 06:53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2" s="49" t="str">
        <f t="shared" si="6"/>
        <v>N</v>
      </c>
      <c r="X22" s="173">
        <f t="shared" si="17"/>
        <v>1</v>
      </c>
      <c r="Y22" s="64">
        <f t="shared" si="7"/>
        <v>4.5999999999999999E-2</v>
      </c>
      <c r="Z22" s="64">
        <f t="shared" si="8"/>
        <v>23.329499999999999</v>
      </c>
      <c r="AA22" s="64">
        <f t="shared" si="9"/>
        <v>23.2835</v>
      </c>
      <c r="AB22" s="61" t="e">
        <f>VLOOKUP(A22,Enforcements!$C$7:$K$19,8,0)</f>
        <v>#N/A</v>
      </c>
      <c r="AC22" s="57" t="e">
        <f>VLOOKUP(A22,Enforcements!$C$7:$E$19,3,0)</f>
        <v>#N/A</v>
      </c>
      <c r="AD22" s="58" t="str">
        <f t="shared" si="10"/>
        <v>0113-29</v>
      </c>
      <c r="AE22" s="87" t="str">
        <f t="shared" si="11"/>
        <v>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 &amp; aws s3 cp s3://rtdc.mdm.uploadarchive.raw/RTDC4018/ "%USERPROFILE%\AppData\Local\Temp\OnboardLogs"\RTDC4018\2016-12-30 --exclude "*" --recursive --include "*20161230*" &amp; "%USERPROFILE%\Documents\GitHub\mrs-test-scripts\Headless Mode &amp; Sideloading\WalkAndUnGZ.bat" "%USERPROFILE%\AppData\Local\Temp\OnboardLogs"\RTDC4018\2016-12-30</v>
      </c>
      <c r="AF22" s="84" t="str">
        <f t="shared" si="12"/>
        <v>"C:\Program Files (x86)\AstroGrep\AstroGrep.exe" /spath="%USERPROFILE%\AppData\Local\Temp\OnboardLogs" /stypes="app*4018*20161229*" /stext=" 12:.+((SYSTEM_STATE.+slice.+state.+changed )|(ment ac)|(multiple cpu faults)|(system.+state.+changed )|(\[timeout)|(PRM\|1\|D)|(kpr)|(kdp)|(\|lc)|(penalty))" /e /r /s</v>
      </c>
      <c r="AG22" s="1" t="str">
        <f t="shared" si="13"/>
        <v>EC</v>
      </c>
      <c r="AH22" s="88" t="str">
        <f t="shared" si="14"/>
        <v>"%USERPROFILE%\Documents\GitHub\eaglep3\Utilities\RefineRTDCRunTimes.py" --tripid 113-29 --locoid 4018 --swversion DE.1.0.8.0 --startMP 204:460 --initTime 2016-12-29T05:10:46 --startdatetime 2016-12-29T05:16:07 --delay 1 --endMP 204:233295 --enddatetime 2016-12-29T05:53:59 --enforcementcount 0 &gt;&gt;C:\Users\stu\Documents\GitHub\eaglep3-reporting\EC\2016-12-29-refined-times.txt</v>
      </c>
      <c r="AI22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{"issue":{"subject":"","project_id":79,"tracker_id":40,"status_id":1,"priority_id":2,"assigned_to_id":23,"start_date":"2016-12-29","description":"","custom_fields":[{"id":1,"name":"Subdivision","value":"EC"},{"id":4,"name":"Milepost","value":"23.3295"},{"id":17,"name":"Train ID","value":"113-29"},{"id":16,"name":"Locomotive ID","value":"4018"},{"id":130,"name":"Impact","value":""},{"id":150,"name":"Time of Event (Mountain Time)","value":"05:53:59"},{"id":151,"name":"Denver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16"/>
        <v>start /low /b %USERPROFILE%\Documents\GitHub\eaglep3\Utilities\DownloadLogsFromS3.py --loco 4018 --day 2016-12-29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496</v>
      </c>
      <c r="B23" s="7">
        <v>4017</v>
      </c>
      <c r="C23" s="22" t="s">
        <v>205</v>
      </c>
      <c r="D23" s="22" t="s">
        <v>687</v>
      </c>
      <c r="E23" s="13">
        <v>42733.249849537038</v>
      </c>
      <c r="F23" s="13">
        <v>42733.257905092592</v>
      </c>
      <c r="G23" s="7">
        <v>1</v>
      </c>
      <c r="H23" s="22" t="s">
        <v>211</v>
      </c>
      <c r="I23" s="13">
        <v>42733.286261574074</v>
      </c>
      <c r="J23" s="7">
        <v>0</v>
      </c>
      <c r="K23" s="105" t="str">
        <f t="shared" si="0"/>
        <v>4017/4018</v>
      </c>
      <c r="L23" s="22" t="str">
        <f>VLOOKUP(A23,'Trips&amp;Operators'!$C$1:$G$99999,5,FALSE)</f>
        <v>ROCHA YAOTL</v>
      </c>
      <c r="M23" s="6">
        <f t="shared" si="1"/>
        <v>2.8356481481750961E-2</v>
      </c>
      <c r="N23" s="7">
        <f t="shared" si="2"/>
        <v>40.833333333721384</v>
      </c>
      <c r="O23" s="7"/>
      <c r="P23" s="7"/>
      <c r="Q23" s="23"/>
      <c r="R23" s="23"/>
      <c r="S23" s="32">
        <f t="shared" si="3"/>
        <v>1</v>
      </c>
      <c r="T23" s="47" t="str">
        <f t="shared" si="4"/>
        <v>Southbound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04:59:47-700',mode:absolute,to:'2016-12-29 07:52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3" s="49" t="str">
        <f t="shared" si="6"/>
        <v>N</v>
      </c>
      <c r="X23" s="173">
        <f t="shared" si="17"/>
        <v>1</v>
      </c>
      <c r="Y23" s="64">
        <f t="shared" si="7"/>
        <v>23.297899999999998</v>
      </c>
      <c r="Z23" s="64">
        <f t="shared" si="8"/>
        <v>1.4999999999999999E-2</v>
      </c>
      <c r="AA23" s="64">
        <f t="shared" si="9"/>
        <v>23.282899999999998</v>
      </c>
      <c r="AB23" s="61" t="e">
        <f>VLOOKUP(A23,Enforcements!$C$7:$K$19,8,0)</f>
        <v>#N/A</v>
      </c>
      <c r="AC23" s="57" t="e">
        <f>VLOOKUP(A23,Enforcements!$C$7:$E$19,3,0)</f>
        <v>#N/A</v>
      </c>
      <c r="AD23" s="58" t="str">
        <f t="shared" si="10"/>
        <v>0114-29</v>
      </c>
      <c r="AE23" s="87" t="str">
        <f t="shared" si="11"/>
        <v>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 &amp; aws s3 cp s3://rtdc.mdm.uploadarchive.raw/RTDC4017/ "%USERPROFILE%\AppData\Local\Temp\OnboardLogs"\RTDC4017\2016-12-30 --exclude "*" --recursive --include "*20161230*" &amp; "%USERPROFILE%\Documents\GitHub\mrs-test-scripts\Headless Mode &amp; Sideloading\WalkAndUnGZ.bat" "%USERPROFILE%\AppData\Local\Temp\OnboardLogs"\RTDC4017\2016-12-30</v>
      </c>
      <c r="AF23" s="84" t="str">
        <f t="shared" si="12"/>
        <v>"C:\Program Files (x86)\AstroGrep\AstroGrep.exe" /spath="%USERPROFILE%\AppData\Local\Temp\OnboardLogs" /stypes="app*4017*20161229*" /stext=" 13:.+((SYSTEM_STATE.+slice.+state.+changed )|(ment ac)|(multiple cpu faults)|(system.+state.+changed )|(\[timeout)|(PRM\|1\|D)|(kpr)|(kdp)|(\|lc)|(penalty))" /e /r /s</v>
      </c>
      <c r="AG23" s="1" t="str">
        <f t="shared" si="13"/>
        <v>EC</v>
      </c>
      <c r="AH23" s="88" t="str">
        <f t="shared" si="14"/>
        <v>"%USERPROFILE%\Documents\GitHub\eaglep3\Utilities\RefineRTDCRunTimes.py" --tripid 114-29 --locoid 4017 --swversion DE.1.0.8.0 --startMP 204:232979 --initTime 2016-12-29T05:59:47 --startdatetime 2016-12-29T06:11:23 --delay 1 --endMP 204:150 --enddatetime 2016-12-29T06:52:13 --enforcementcount 0 &gt;&gt;C:\Users\stu\Documents\GitHub\eaglep3-reporting\EC\2016-12-29-refined-times.txt</v>
      </c>
      <c r="AI23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{"issue":{"subject":"","project_id":79,"tracker_id":40,"status_id":1,"priority_id":2,"assigned_to_id":23,"start_date":"2016-12-29","description":"","custom_fields":[{"id":1,"name":"Subdivision","value":"EC"},{"id":4,"name":"Milepost","value":"0.015"},{"id":17,"name":"Train ID","value":"114-29"},{"id":16,"name":"Locomotive ID","value":"4017"},{"id":130,"name":"Impact","value":""},{"id":150,"name":"Time of Event (Mountain Time)","value":"06:52:13"},{"id":151,"name":"Denver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16"/>
        <v>start /low /b %USERPROFILE%\Documents\GitHub\eaglep3\Utilities\DownloadLogsFromS3.py --loco 4017 --day 2016-12-29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489</v>
      </c>
      <c r="B24" s="7">
        <v>4044</v>
      </c>
      <c r="C24" s="22" t="s">
        <v>205</v>
      </c>
      <c r="D24" s="22" t="s">
        <v>688</v>
      </c>
      <c r="E24" s="13">
        <v>42733.23</v>
      </c>
      <c r="F24" s="13">
        <v>42733.232210648152</v>
      </c>
      <c r="G24" s="7">
        <v>2</v>
      </c>
      <c r="H24" s="22" t="s">
        <v>312</v>
      </c>
      <c r="I24" s="13">
        <v>42733.258101851854</v>
      </c>
      <c r="J24" s="7">
        <v>0</v>
      </c>
      <c r="K24" s="105" t="str">
        <f t="shared" si="0"/>
        <v>4043/4044</v>
      </c>
      <c r="L24" s="22" t="str">
        <f>VLOOKUP(A24,'Trips&amp;Operators'!$C$1:$G$99999,5,FALSE)</f>
        <v>STARKS ANGELINA</v>
      </c>
      <c r="M24" s="6">
        <f t="shared" si="1"/>
        <v>2.5891203702485655E-2</v>
      </c>
      <c r="N24" s="7">
        <f t="shared" si="2"/>
        <v>37.283333331579342</v>
      </c>
      <c r="O24" s="7"/>
      <c r="P24" s="7"/>
      <c r="Q24" s="23"/>
      <c r="R24" s="23"/>
      <c r="S24" s="32">
        <f t="shared" si="3"/>
        <v>1</v>
      </c>
      <c r="T24" s="47" t="str">
        <f t="shared" si="4"/>
        <v>NorthBound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04:31:12-700',mode:absolute,to:'2016-12-29 07:11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4" s="49" t="str">
        <f t="shared" si="6"/>
        <v>N</v>
      </c>
      <c r="X24" s="173">
        <f t="shared" si="17"/>
        <v>1</v>
      </c>
      <c r="Y24" s="64">
        <f t="shared" si="7"/>
        <v>7.8299999999999995E-2</v>
      </c>
      <c r="Z24" s="64">
        <f t="shared" si="8"/>
        <v>23.3307</v>
      </c>
      <c r="AA24" s="64">
        <f t="shared" si="9"/>
        <v>23.252400000000002</v>
      </c>
      <c r="AB24" s="61" t="e">
        <f>VLOOKUP(A24,Enforcements!$C$7:$K$19,8,0)</f>
        <v>#N/A</v>
      </c>
      <c r="AC24" s="57" t="e">
        <f>VLOOKUP(A24,Enforcements!$C$7:$E$19,3,0)</f>
        <v>#N/A</v>
      </c>
      <c r="AD24" s="58" t="str">
        <f t="shared" si="10"/>
        <v>0115-29</v>
      </c>
      <c r="AE24" s="87" t="str">
        <f t="shared" si="11"/>
        <v>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 &amp; aws s3 cp s3://rtdc.mdm.uploadarchive.raw/RTDC4044/ "%USERPROFILE%\AppData\Local\Temp\OnboardLogs"\RTDC4044\2016-12-30 --exclude "*" --recursive --include "*20161230*" &amp; "%USERPROFILE%\Documents\GitHub\mrs-test-scripts\Headless Mode &amp; Sideloading\WalkAndUnGZ.bat" "%USERPROFILE%\AppData\Local\Temp\OnboardLogs"\RTDC4044\2016-12-30</v>
      </c>
      <c r="AF24" s="84" t="str">
        <f t="shared" si="12"/>
        <v>"C:\Program Files (x86)\AstroGrep\AstroGrep.exe" /spath="%USERPROFILE%\AppData\Local\Temp\OnboardLogs" /stypes="app*4044*20161229*" /stext=" 13:.+((SYSTEM_STATE.+slice.+state.+changed )|(ment ac)|(multiple cpu faults)|(system.+state.+changed )|(\[timeout)|(PRM\|1\|D)|(kpr)|(kdp)|(\|lc)|(penalty))" /e /r /s</v>
      </c>
      <c r="AG24" s="1" t="str">
        <f t="shared" si="13"/>
        <v>EC</v>
      </c>
      <c r="AH24" s="88" t="str">
        <f t="shared" si="14"/>
        <v>"%USERPROFILE%\Documents\GitHub\eaglep3\Utilities\RefineRTDCRunTimes.py" --tripid 115-29 --locoid 4044 --swversion DE.1.0.8.0 --startMP 204:783 --initTime 2016-12-29T05:31:12 --startdatetime 2016-12-29T05:34:23 --delay 2 --endMP 204:233307 --enddatetime 2016-12-29T06:11:40 --enforcementcount 0 &gt;&gt;C:\Users\stu\Documents\GitHub\eaglep3-reporting\EC\2016-12-29-refined-times.txt</v>
      </c>
      <c r="AI24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{"issue":{"subject":"","project_id":79,"tracker_id":40,"status_id":1,"priority_id":2,"assigned_to_id":23,"start_date":"2016-12-29","description":"","custom_fields":[{"id":1,"name":"Subdivision","value":"EC"},{"id":4,"name":"Milepost","value":"23.3307"},{"id":17,"name":"Train ID","value":"115-29"},{"id":16,"name":"Locomotive ID","value":"4044"},{"id":130,"name":"Impact","value":""},{"id":150,"name":"Time of Event (Mountain Time)","value":"06:11:40"},{"id":151,"name":"Denver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16"/>
        <v>start /low /b %USERPROFILE%\Documents\GitHub\eaglep3\Utilities\DownloadLogsFromS3.py --loco 4044 --day 2016-12-29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503</v>
      </c>
      <c r="B25" s="7">
        <v>4043</v>
      </c>
      <c r="C25" s="22" t="s">
        <v>205</v>
      </c>
      <c r="D25" s="22" t="s">
        <v>326</v>
      </c>
      <c r="E25" s="13">
        <v>42733.265706018516</v>
      </c>
      <c r="F25" s="13">
        <v>42733.268252314818</v>
      </c>
      <c r="G25" s="7">
        <v>2</v>
      </c>
      <c r="H25" s="22" t="s">
        <v>224</v>
      </c>
      <c r="I25" s="13">
        <v>42733.296805555554</v>
      </c>
      <c r="J25" s="7">
        <v>0</v>
      </c>
      <c r="K25" s="105" t="str">
        <f t="shared" si="0"/>
        <v>4043/4044</v>
      </c>
      <c r="L25" s="22" t="str">
        <f>VLOOKUP(A25,'Trips&amp;Operators'!$C$1:$G$99999,5,FALSE)</f>
        <v>STARKS ANGELINA</v>
      </c>
      <c r="M25" s="6">
        <f t="shared" si="1"/>
        <v>2.8553240736073349E-2</v>
      </c>
      <c r="N25" s="7">
        <f t="shared" si="2"/>
        <v>41.116666659945622</v>
      </c>
      <c r="O25" s="7"/>
      <c r="P25" s="7"/>
      <c r="Q25" s="23"/>
      <c r="R25" s="23"/>
      <c r="S25" s="32">
        <f t="shared" si="3"/>
        <v>1</v>
      </c>
      <c r="T25" s="47" t="str">
        <f t="shared" si="4"/>
        <v>Southbound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05:22:37-700',mode:absolute,to:'2016-12-29 08:07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5" s="49" t="str">
        <f t="shared" si="6"/>
        <v>N</v>
      </c>
      <c r="X25" s="173">
        <f t="shared" si="17"/>
        <v>1</v>
      </c>
      <c r="Y25" s="64">
        <f t="shared" si="7"/>
        <v>23.2988</v>
      </c>
      <c r="Z25" s="64">
        <f t="shared" si="8"/>
        <v>1.54E-2</v>
      </c>
      <c r="AA25" s="64">
        <f t="shared" si="9"/>
        <v>23.2834</v>
      </c>
      <c r="AB25" s="61" t="e">
        <f>VLOOKUP(A25,Enforcements!$C$7:$K$19,8,0)</f>
        <v>#N/A</v>
      </c>
      <c r="AC25" s="57" t="e">
        <f>VLOOKUP(A25,Enforcements!$C$7:$E$19,3,0)</f>
        <v>#N/A</v>
      </c>
      <c r="AD25" s="58" t="str">
        <f t="shared" si="10"/>
        <v>0116-29</v>
      </c>
      <c r="AE25" s="87" t="str">
        <f t="shared" si="11"/>
        <v>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 &amp; aws s3 cp s3://rtdc.mdm.uploadarchive.raw/RTDC4043/ "%USERPROFILE%\AppData\Local\Temp\OnboardLogs"\RTDC4043\2016-12-30 --exclude "*" --recursive --include "*20161230*" &amp; "%USERPROFILE%\Documents\GitHub\mrs-test-scripts\Headless Mode &amp; Sideloading\WalkAndUnGZ.bat" "%USERPROFILE%\AppData\Local\Temp\OnboardLogs"\RTDC4043\2016-12-30</v>
      </c>
      <c r="AF25" s="84" t="str">
        <f t="shared" si="12"/>
        <v>"C:\Program Files (x86)\AstroGrep\AstroGrep.exe" /spath="%USERPROFILE%\AppData\Local\Temp\OnboardLogs" /stypes="app*4043*20161229*" /stext=" 14:.+((SYSTEM_STATE.+slice.+state.+changed )|(ment ac)|(multiple cpu faults)|(system.+state.+changed )|(\[timeout)|(PRM\|1\|D)|(kpr)|(kdp)|(\|lc)|(penalty))" /e /r /s</v>
      </c>
      <c r="AG25" s="1" t="str">
        <f t="shared" si="13"/>
        <v>EC</v>
      </c>
      <c r="AH25" s="88" t="str">
        <f t="shared" si="14"/>
        <v>"%USERPROFILE%\Documents\GitHub\eaglep3\Utilities\RefineRTDCRunTimes.py" --tripid 116-29 --locoid 4043 --swversion DE.1.0.8.0 --startMP 204:232988 --initTime 2016-12-29T06:22:37 --startdatetime 2016-12-29T06:26:17 --delay 2 --endMP 204:154 --enddatetime 2016-12-29T07:07:24 --enforcementcount 0 &gt;&gt;C:\Users\stu\Documents\GitHub\eaglep3-reporting\EC\2016-12-29-refined-times.txt</v>
      </c>
      <c r="AI25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{"issue":{"subject":"","project_id":79,"tracker_id":40,"status_id":1,"priority_id":2,"assigned_to_id":23,"start_date":"2016-12-29","description":"","custom_fields":[{"id":1,"name":"Subdivision","value":"EC"},{"id":4,"name":"Milepost","value":"0.0154"},{"id":17,"name":"Train ID","value":"116-29"},{"id":16,"name":"Locomotive ID","value":"4043"},{"id":130,"name":"Impact","value":""},{"id":150,"name":"Time of Event (Mountain Time)","value":"07:07:24"},{"id":151,"name":"Denver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16"/>
        <v>start /low /b %USERPROFILE%\Documents\GitHub\eaglep3\Utilities\DownloadLogsFromS3.py --loco 4043 --day 2016-12-29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494</v>
      </c>
      <c r="B26" s="7">
        <v>4042</v>
      </c>
      <c r="C26" s="22" t="s">
        <v>205</v>
      </c>
      <c r="D26" s="22" t="s">
        <v>251</v>
      </c>
      <c r="E26" s="13">
        <v>42733.236041666663</v>
      </c>
      <c r="F26" s="13">
        <v>42733.239965277775</v>
      </c>
      <c r="G26" s="7">
        <v>1</v>
      </c>
      <c r="H26" s="22" t="s">
        <v>309</v>
      </c>
      <c r="I26" s="13">
        <v>42733.266215277778</v>
      </c>
      <c r="J26" s="7">
        <v>0</v>
      </c>
      <c r="K26" s="105" t="str">
        <f t="shared" si="0"/>
        <v>4041/4042</v>
      </c>
      <c r="L26" s="22" t="str">
        <f>VLOOKUP(A26,'Trips&amp;Operators'!$C$1:$G$99999,5,FALSE)</f>
        <v>ISHMAEL JOSEPH</v>
      </c>
      <c r="M26" s="6">
        <f t="shared" si="1"/>
        <v>2.6250000002619345E-2</v>
      </c>
      <c r="N26" s="7">
        <f t="shared" si="2"/>
        <v>37.800000003771856</v>
      </c>
      <c r="O26" s="7"/>
      <c r="P26" s="7"/>
      <c r="Q26" s="23"/>
      <c r="R26" s="23"/>
      <c r="S26" s="32">
        <f t="shared" si="3"/>
        <v>1</v>
      </c>
      <c r="T26" s="47" t="str">
        <f t="shared" si="4"/>
        <v>NorthBound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04:39:54-700',mode:absolute,to:'2016-12-29 07:23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6" s="49" t="str">
        <f t="shared" si="6"/>
        <v>N</v>
      </c>
      <c r="X26" s="173">
        <f t="shared" si="17"/>
        <v>1</v>
      </c>
      <c r="Y26" s="64">
        <f t="shared" si="7"/>
        <v>4.6399999999999997E-2</v>
      </c>
      <c r="Z26" s="64">
        <f t="shared" si="8"/>
        <v>23.330400000000001</v>
      </c>
      <c r="AA26" s="64">
        <f t="shared" si="9"/>
        <v>23.284000000000002</v>
      </c>
      <c r="AB26" s="61" t="e">
        <f>VLOOKUP(A26,Enforcements!$C$7:$K$19,8,0)</f>
        <v>#N/A</v>
      </c>
      <c r="AC26" s="57" t="e">
        <f>VLOOKUP(A26,Enforcements!$C$7:$E$19,3,0)</f>
        <v>#N/A</v>
      </c>
      <c r="AD26" s="58" t="str">
        <f t="shared" si="10"/>
        <v>0117-29</v>
      </c>
      <c r="AE26" s="87" t="str">
        <f t="shared" si="11"/>
        <v>aws s3 cp s3://rtdc.mdm.uploadarchive.raw/RTDC4042/ "%USERPROFILE%\AppData\Local\Temp\OnboardLogs"\RTDC4042\2016-12-29 --exclude "*" --recursive --include "*20161229*" &amp; "%USERPROFILE%\Documents\GitHub\mrs-test-scripts\Headless Mode &amp; Sideloading\WalkAndUnGZ.bat" "%USERPROFILE%\AppData\Local\Temp\OnboardLogs"\RTDC4042\2016-12-29 &amp; aws s3 cp s3://rtdc.mdm.uploadarchive.raw/RTDC4042/ "%USERPROFILE%\AppData\Local\Temp\OnboardLogs"\RTDC4042\2016-12-30 --exclude "*" --recursive --include "*20161230*" &amp; "%USERPROFILE%\Documents\GitHub\mrs-test-scripts\Headless Mode &amp; Sideloading\WalkAndUnGZ.bat" "%USERPROFILE%\AppData\Local\Temp\OnboardLogs"\RTDC4042\2016-12-30</v>
      </c>
      <c r="AF26" s="84" t="str">
        <f t="shared" si="12"/>
        <v>"C:\Program Files (x86)\AstroGrep\AstroGrep.exe" /spath="%USERPROFILE%\AppData\Local\Temp\OnboardLogs" /stypes="app*4042*20161229*" /stext=" 13:.+((SYSTEM_STATE.+slice.+state.+changed )|(ment ac)|(multiple cpu faults)|(system.+state.+changed )|(\[timeout)|(PRM\|1\|D)|(kpr)|(kdp)|(\|lc)|(penalty))" /e /r /s</v>
      </c>
      <c r="AG26" s="1" t="str">
        <f t="shared" si="13"/>
        <v>EC</v>
      </c>
      <c r="AH26" s="88" t="str">
        <f t="shared" si="14"/>
        <v>"%USERPROFILE%\Documents\GitHub\eaglep3\Utilities\RefineRTDCRunTimes.py" --tripid 117-29 --locoid 4042 --swversion DE.1.0.8.0 --startMP 204:464 --initTime 2016-12-29T05:39:54 --startdatetime 2016-12-29T05:45:33 --delay 1 --endMP 204:233304 --enddatetime 2016-12-29T06:23:21 --enforcementcount 0 &gt;&gt;C:\Users\stu\Documents\GitHub\eaglep3-reporting\EC\2016-12-29-refined-times.txt</v>
      </c>
      <c r="AI26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{"issue":{"subject":"","project_id":79,"tracker_id":40,"status_id":1,"priority_id":2,"assigned_to_id":23,"start_date":"2016-12-29","description":"","custom_fields":[{"id":1,"name":"Subdivision","value":"EC"},{"id":4,"name":"Milepost","value":"23.3304"},{"id":17,"name":"Train ID","value":"117-29"},{"id":16,"name":"Locomotive ID","value":"4042"},{"id":130,"name":"Impact","value":""},{"id":150,"name":"Time of Event (Mountain Time)","value":"06:23:21"},{"id":151,"name":"Denver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16"/>
        <v>start /low /b %USERPROFILE%\Documents\GitHub\eaglep3\Utilities\DownloadLogsFromS3.py --loco 4042 --day 2016-12-29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506</v>
      </c>
      <c r="B27" s="7">
        <v>4041</v>
      </c>
      <c r="C27" s="22" t="s">
        <v>205</v>
      </c>
      <c r="D27" s="22" t="s">
        <v>687</v>
      </c>
      <c r="E27" s="13">
        <v>42733.274687500001</v>
      </c>
      <c r="F27" s="13">
        <v>42733.278680555559</v>
      </c>
      <c r="G27" s="7">
        <v>1</v>
      </c>
      <c r="H27" s="22" t="s">
        <v>211</v>
      </c>
      <c r="I27" s="13">
        <v>42733.306192129632</v>
      </c>
      <c r="J27" s="7">
        <v>0</v>
      </c>
      <c r="K27" s="105" t="str">
        <f t="shared" si="0"/>
        <v>4041/4042</v>
      </c>
      <c r="L27" s="22" t="str">
        <f>VLOOKUP(A27,'Trips&amp;Operators'!$C$1:$G$99999,5,FALSE)</f>
        <v>ISHMAEL JOSEPH</v>
      </c>
      <c r="M27" s="6">
        <f t="shared" si="1"/>
        <v>2.7511574073287193E-2</v>
      </c>
      <c r="N27" s="7">
        <f t="shared" si="2"/>
        <v>39.616666665533558</v>
      </c>
      <c r="O27" s="7"/>
      <c r="P27" s="7"/>
      <c r="Q27" s="23"/>
      <c r="R27" s="23"/>
      <c r="S27" s="32">
        <f t="shared" si="3"/>
        <v>1</v>
      </c>
      <c r="T27" s="47" t="str">
        <f t="shared" si="4"/>
        <v>Southbound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05:35:33-700',mode:absolute,to:'2016-12-29 08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7" s="49" t="str">
        <f t="shared" si="6"/>
        <v>N</v>
      </c>
      <c r="X27" s="173">
        <f t="shared" si="17"/>
        <v>1</v>
      </c>
      <c r="Y27" s="64">
        <f t="shared" si="7"/>
        <v>23.297899999999998</v>
      </c>
      <c r="Z27" s="64">
        <f t="shared" si="8"/>
        <v>1.4999999999999999E-2</v>
      </c>
      <c r="AA27" s="64">
        <f t="shared" si="9"/>
        <v>23.282899999999998</v>
      </c>
      <c r="AB27" s="61" t="e">
        <f>VLOOKUP(A27,Enforcements!$C$7:$K$19,8,0)</f>
        <v>#N/A</v>
      </c>
      <c r="AC27" s="57" t="e">
        <f>VLOOKUP(A27,Enforcements!$C$7:$E$19,3,0)</f>
        <v>#N/A</v>
      </c>
      <c r="AD27" s="58" t="str">
        <f t="shared" si="10"/>
        <v>0118-29</v>
      </c>
      <c r="AE27" s="87" t="str">
        <f t="shared" si="11"/>
        <v>aws s3 cp s3://rtdc.mdm.uploadarchive.raw/RTDC4041/ "%USERPROFILE%\AppData\Local\Temp\OnboardLogs"\RTDC4041\2016-12-29 --exclude "*" --recursive --include "*20161229*" &amp; "%USERPROFILE%\Documents\GitHub\mrs-test-scripts\Headless Mode &amp; Sideloading\WalkAndUnGZ.bat" "%USERPROFILE%\AppData\Local\Temp\OnboardLogs"\RTDC4041\2016-12-29 &amp; aws s3 cp s3://rtdc.mdm.uploadarchive.raw/RTDC4041/ "%USERPROFILE%\AppData\Local\Temp\OnboardLogs"\RTDC4041\2016-12-30 --exclude "*" --recursive --include "*20161230*" &amp; "%USERPROFILE%\Documents\GitHub\mrs-test-scripts\Headless Mode &amp; Sideloading\WalkAndUnGZ.bat" "%USERPROFILE%\AppData\Local\Temp\OnboardLogs"\RTDC4041\2016-12-30</v>
      </c>
      <c r="AF27" s="84" t="str">
        <f t="shared" si="12"/>
        <v>"C:\Program Files (x86)\AstroGrep\AstroGrep.exe" /spath="%USERPROFILE%\AppData\Local\Temp\OnboardLogs" /stypes="app*4041*20161229*" /stext=" 14:.+((SYSTEM_STATE.+slice.+state.+changed )|(ment ac)|(multiple cpu faults)|(system.+state.+changed )|(\[timeout)|(PRM\|1\|D)|(kpr)|(kdp)|(\|lc)|(penalty))" /e /r /s</v>
      </c>
      <c r="AG27" s="1" t="str">
        <f t="shared" si="13"/>
        <v>EC</v>
      </c>
      <c r="AH27" s="88" t="str">
        <f t="shared" si="14"/>
        <v>"%USERPROFILE%\Documents\GitHub\eaglep3\Utilities\RefineRTDCRunTimes.py" --tripid 118-29 --locoid 4041 --swversion DE.1.0.8.0 --startMP 204:232979 --initTime 2016-12-29T06:35:33 --startdatetime 2016-12-29T06:41:18 --delay 1 --endMP 204:150 --enddatetime 2016-12-29T07:20:55 --enforcementcount 0 &gt;&gt;C:\Users\stu\Documents\GitHub\eaglep3-reporting\EC\2016-12-29-refined-times.txt</v>
      </c>
      <c r="AI27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{"issue":{"subject":"","project_id":79,"tracker_id":40,"status_id":1,"priority_id":2,"assigned_to_id":23,"start_date":"2016-12-29","description":"","custom_fields":[{"id":1,"name":"Subdivision","value":"EC"},{"id":4,"name":"Milepost","value":"0.015"},{"id":17,"name":"Train ID","value":"118-29"},{"id":16,"name":"Locomotive ID","value":"4041"},{"id":130,"name":"Impact","value":""},{"id":150,"name":"Time of Event (Mountain Time)","value":"07:20:55"},{"id":151,"name":"Denver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16"/>
        <v>start /low /b %USERPROFILE%\Documents\GitHub\eaglep3\Utilities\DownloadLogsFromS3.py --loco 4041 --day 2016-12-29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495</v>
      </c>
      <c r="B28" s="7">
        <v>4002</v>
      </c>
      <c r="C28" s="22" t="s">
        <v>205</v>
      </c>
      <c r="D28" s="22" t="s">
        <v>689</v>
      </c>
      <c r="E28" s="13">
        <v>42733.247002314813</v>
      </c>
      <c r="F28" s="13">
        <v>42733.25037037037</v>
      </c>
      <c r="G28" s="7">
        <v>2</v>
      </c>
      <c r="H28" s="22" t="s">
        <v>690</v>
      </c>
      <c r="I28" s="13">
        <v>42733.251388888886</v>
      </c>
      <c r="J28" s="7">
        <v>0</v>
      </c>
      <c r="K28" s="105" t="str">
        <f t="shared" si="0"/>
        <v>4001/4002</v>
      </c>
      <c r="L28" s="22" t="str">
        <f>VLOOKUP(A28,'Trips&amp;Operators'!$C$1:$G$99999,5,FALSE)</f>
        <v>YANAI IAN</v>
      </c>
      <c r="M28" s="6">
        <f t="shared" si="1"/>
        <v>1.0185185165028088E-3</v>
      </c>
      <c r="N28" s="7"/>
      <c r="O28" s="7"/>
      <c r="P28" s="7">
        <f>24*60*SUM($M28:$M28)</f>
        <v>1.4666666637640446</v>
      </c>
      <c r="Q28" s="23"/>
      <c r="R28" s="23" t="s">
        <v>349</v>
      </c>
      <c r="S28" s="32">
        <f t="shared" si="3"/>
        <v>0</v>
      </c>
      <c r="T28" s="47" t="str">
        <f t="shared" si="4"/>
        <v>NorthBound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0</v>
      </c>
      <c r="V2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04:55:41-700',mode:absolute,to:'2016-12-29 07:02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8" s="49" t="str">
        <f t="shared" si="6"/>
        <v>Y</v>
      </c>
      <c r="X28" s="173">
        <f t="shared" si="17"/>
        <v>1</v>
      </c>
      <c r="Y28" s="64">
        <f t="shared" si="7"/>
        <v>7.9000000000000001E-2</v>
      </c>
      <c r="Z28" s="64">
        <f t="shared" si="8"/>
        <v>0.12770000000000001</v>
      </c>
      <c r="AA28" s="64">
        <f t="shared" si="9"/>
        <v>4.8700000000000007E-2</v>
      </c>
      <c r="AB28" s="61" t="e">
        <f>VLOOKUP(A28,Enforcements!$C$7:$K$19,8,0)</f>
        <v>#N/A</v>
      </c>
      <c r="AC28" s="57" t="e">
        <f>VLOOKUP(A28,Enforcements!$C$7:$E$19,3,0)</f>
        <v>#N/A</v>
      </c>
      <c r="AD28" s="58" t="str">
        <f t="shared" si="10"/>
        <v>0119-29</v>
      </c>
      <c r="AE28" s="87" t="str">
        <f t="shared" si="11"/>
        <v>aws s3 cp s3://rtdc.mdm.uploadarchive.raw/RTDC4002/ "%USERPROFILE%\AppData\Local\Temp\OnboardLogs"\RTDC4002\2016-12-29 --exclude "*" --recursive --include "*20161229*" &amp; "%USERPROFILE%\Documents\GitHub\mrs-test-scripts\Headless Mode &amp; Sideloading\WalkAndUnGZ.bat" "%USERPROFILE%\AppData\Local\Temp\OnboardLogs"\RTDC4002\2016-12-29 &amp; aws s3 cp s3://rtdc.mdm.uploadarchive.raw/RTDC4002/ "%USERPROFILE%\AppData\Local\Temp\OnboardLogs"\RTDC4002\2016-12-30 --exclude "*" --recursive --include "*20161230*" &amp; "%USERPROFILE%\Documents\GitHub\mrs-test-scripts\Headless Mode &amp; Sideloading\WalkAndUnGZ.bat" "%USERPROFILE%\AppData\Local\Temp\OnboardLogs"\RTDC4002\2016-12-30</v>
      </c>
      <c r="AF28" s="84" t="str">
        <f t="shared" si="12"/>
        <v>"C:\Program Files (x86)\AstroGrep\AstroGrep.exe" /spath="%USERPROFILE%\AppData\Local\Temp\OnboardLogs" /stypes="app*4002*20161229*" /stext=" 13:.+((SYSTEM_STATE.+slice.+state.+changed )|(ment ac)|(multiple cpu faults)|(system.+state.+changed )|(\[timeout)|(PRM\|1\|D)|(kpr)|(kdp)|(\|lc)|(penalty))" /e /r /s</v>
      </c>
      <c r="AG28" s="1" t="str">
        <f t="shared" si="13"/>
        <v>EC</v>
      </c>
      <c r="AH28" s="88" t="str">
        <f t="shared" si="14"/>
        <v>"%USERPROFILE%\Documents\GitHub\eaglep3\Utilities\RefineRTDCRunTimes.py" --tripid 119-29 --locoid 4002 --swversion DE.1.0.8.0 --startMP 204:790 --initTime 2016-12-29T05:55:41 --startdatetime 2016-12-29T06:00:32 --delay 2 --endMP 204:1277 --enddatetime 2016-12-29T06:02:00 --enforcementcount 0 &gt;&gt;C:\Users\stu\Documents\GitHub\eaglep3-reporting\EC\2016-12-29-refined-times.txt</v>
      </c>
      <c r="AI28" s="115" t="str">
        <f t="shared" si="15"/>
        <v>echo {"issue":{"subject":"Onboard in-route failure","project_id":79,"tracker_id":40,"status_id":1,"priority_id":2,"assigned_to_id":23,"start_date":"2016-12-29","description":"","custom_fields":[{"id":1,"name":"Subdivision","value":"EC"},{"id":4,"name":"Milepost","value":"0.1277"},{"id":17,"name":"Train ID","value":"119-29"},{"id":16,"name":"Locomotive ID","value":"4002"},{"id":130,"name":"Impact","value":""},{"id":150,"name":"Time of Event (Mountain Time)","value":"06:02:00"},{"id":151,"name":"Denver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16"/>
        <v>start /low /b %USERPROFILE%\Documents\GitHub\eaglep3\Utilities\DownloadLogsFromS3.py --loco 4002 --day 2016-12-29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508</v>
      </c>
      <c r="B29" s="7">
        <v>4001</v>
      </c>
      <c r="C29" s="22" t="s">
        <v>205</v>
      </c>
      <c r="D29" s="22" t="s">
        <v>273</v>
      </c>
      <c r="E29" s="13">
        <v>42733.276550925926</v>
      </c>
      <c r="F29" s="13">
        <v>42733.289039351854</v>
      </c>
      <c r="G29" s="7">
        <v>1</v>
      </c>
      <c r="H29" s="22" t="s">
        <v>300</v>
      </c>
      <c r="I29" s="13">
        <v>42733.315636574072</v>
      </c>
      <c r="J29" s="7">
        <v>0</v>
      </c>
      <c r="K29" s="105" t="str">
        <f t="shared" si="0"/>
        <v>4001/4002</v>
      </c>
      <c r="L29" s="22" t="str">
        <f>VLOOKUP(A29,'Trips&amp;Operators'!$C$1:$G$99999,5,FALSE)</f>
        <v>YANAI IAN</v>
      </c>
      <c r="M29" s="6">
        <f t="shared" si="1"/>
        <v>2.6597222218697425E-2</v>
      </c>
      <c r="N29" s="7">
        <f t="shared" ref="N29:N92" si="18">24*60*SUM($M29:$M29)</f>
        <v>38.299999994924292</v>
      </c>
      <c r="O29" s="7"/>
      <c r="P29" s="7"/>
      <c r="Q29" s="23"/>
      <c r="R29" s="23"/>
      <c r="S29" s="32">
        <f t="shared" si="3"/>
        <v>1</v>
      </c>
      <c r="T29" s="47" t="str">
        <f t="shared" si="4"/>
        <v>Southbound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05:38:14-700',mode:absolute,to:'2016-12-29 08:34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9" s="49" t="str">
        <f t="shared" si="6"/>
        <v>N</v>
      </c>
      <c r="X29" s="173">
        <f t="shared" si="17"/>
        <v>1</v>
      </c>
      <c r="Y29" s="64">
        <f t="shared" si="7"/>
        <v>23.2973</v>
      </c>
      <c r="Z29" s="64">
        <f t="shared" si="8"/>
        <v>1.52E-2</v>
      </c>
      <c r="AA29" s="64">
        <f t="shared" si="9"/>
        <v>23.2821</v>
      </c>
      <c r="AB29" s="61" t="e">
        <f>VLOOKUP(A29,Enforcements!$C$7:$K$19,8,0)</f>
        <v>#N/A</v>
      </c>
      <c r="AC29" s="57" t="e">
        <f>VLOOKUP(A29,Enforcements!$C$7:$E$19,3,0)</f>
        <v>#N/A</v>
      </c>
      <c r="AD29" s="58" t="str">
        <f t="shared" si="10"/>
        <v>0120-29</v>
      </c>
      <c r="AE29" s="87" t="str">
        <f t="shared" si="11"/>
        <v>aws s3 cp s3://rtdc.mdm.uploadarchive.raw/RTDC4001/ "%USERPROFILE%\AppData\Local\Temp\OnboardLogs"\RTDC4001\2016-12-29 --exclude "*" --recursive --include "*20161229*" &amp; "%USERPROFILE%\Documents\GitHub\mrs-test-scripts\Headless Mode &amp; Sideloading\WalkAndUnGZ.bat" "%USERPROFILE%\AppData\Local\Temp\OnboardLogs"\RTDC4001\2016-12-29 &amp; aws s3 cp s3://rtdc.mdm.uploadarchive.raw/RTDC4001/ "%USERPROFILE%\AppData\Local\Temp\OnboardLogs"\RTDC4001\2016-12-30 --exclude "*" --recursive --include "*20161230*" &amp; "%USERPROFILE%\Documents\GitHub\mrs-test-scripts\Headless Mode &amp; Sideloading\WalkAndUnGZ.bat" "%USERPROFILE%\AppData\Local\Temp\OnboardLogs"\RTDC4001\2016-12-30</v>
      </c>
      <c r="AF29" s="84" t="str">
        <f t="shared" si="12"/>
        <v>"C:\Program Files (x86)\AstroGrep\AstroGrep.exe" /spath="%USERPROFILE%\AppData\Local\Temp\OnboardLogs" /stypes="app*4001*20161229*" /stext=" 14:.+((SYSTEM_STATE.+slice.+state.+changed )|(ment ac)|(multiple cpu faults)|(system.+state.+changed )|(\[timeout)|(PRM\|1\|D)|(kpr)|(kdp)|(\|lc)|(penalty))" /e /r /s</v>
      </c>
      <c r="AG29" s="1" t="str">
        <f t="shared" si="13"/>
        <v>EC</v>
      </c>
      <c r="AH29" s="88" t="str">
        <f t="shared" si="14"/>
        <v>"%USERPROFILE%\Documents\GitHub\eaglep3\Utilities\RefineRTDCRunTimes.py" --tripid 120-29 --locoid 4001 --swversion DE.1.0.8.0 --startMP 204:232973 --initTime 2016-12-29T06:38:14 --startdatetime 2016-12-29T06:56:13 --delay 1 --endMP 204:152 --enddatetime 2016-12-29T07:34:31 --enforcementcount 0 &gt;&gt;C:\Users\stu\Documents\GitHub\eaglep3-reporting\EC\2016-12-29-refined-times.txt</v>
      </c>
      <c r="AI29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{"issue":{"subject":"","project_id":79,"tracker_id":40,"status_id":1,"priority_id":2,"assigned_to_id":23,"start_date":"2016-12-29","description":"","custom_fields":[{"id":1,"name":"Subdivision","value":"EC"},{"id":4,"name":"Milepost","value":"0.0152"},{"id":17,"name":"Train ID","value":"120-29"},{"id":16,"name":"Locomotive ID","value":"4001"},{"id":130,"name":"Impact","value":""},{"id":150,"name":"Time of Event (Mountain Time)","value":"07:34:31"},{"id":151,"name":"Denver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16"/>
        <v>start /low /b %USERPROFILE%\Documents\GitHub\eaglep3\Utilities\DownloadLogsFromS3.py --loco 4001 --day 2016-12-29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501</v>
      </c>
      <c r="B30" s="7">
        <v>4014</v>
      </c>
      <c r="C30" s="22" t="s">
        <v>205</v>
      </c>
      <c r="D30" s="22" t="s">
        <v>193</v>
      </c>
      <c r="E30" s="13">
        <v>42733.257962962962</v>
      </c>
      <c r="F30" s="13">
        <v>42733.260613425926</v>
      </c>
      <c r="G30" s="7">
        <v>1</v>
      </c>
      <c r="H30" s="22" t="s">
        <v>364</v>
      </c>
      <c r="I30" s="13">
        <v>42733.286886574075</v>
      </c>
      <c r="J30" s="7">
        <v>0</v>
      </c>
      <c r="K30" s="105" t="str">
        <f t="shared" si="0"/>
        <v>4013/4014</v>
      </c>
      <c r="L30" s="22" t="str">
        <f>VLOOKUP(A30,'Trips&amp;Operators'!$C$1:$G$99999,5,FALSE)</f>
        <v>ROBINSON KADDIBA</v>
      </c>
      <c r="M30" s="6">
        <f t="shared" si="1"/>
        <v>2.6273148148902692E-2</v>
      </c>
      <c r="N30" s="7">
        <f t="shared" si="18"/>
        <v>37.833333334419876</v>
      </c>
      <c r="O30" s="7"/>
      <c r="P30" s="7"/>
      <c r="Q30" s="23"/>
      <c r="R30" s="23"/>
      <c r="S30" s="32">
        <f t="shared" si="3"/>
        <v>1</v>
      </c>
      <c r="T30" s="47" t="str">
        <f t="shared" si="4"/>
        <v>NorthBound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05:11:28-700',mode:absolute,to:'2016-12-29 07:53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0" s="49" t="str">
        <f t="shared" si="6"/>
        <v>N</v>
      </c>
      <c r="X30" s="173">
        <f t="shared" si="17"/>
        <v>1</v>
      </c>
      <c r="Y30" s="64">
        <f t="shared" si="7"/>
        <v>4.4699999999999997E-2</v>
      </c>
      <c r="Z30" s="64">
        <f t="shared" si="8"/>
        <v>23.331399999999999</v>
      </c>
      <c r="AA30" s="64">
        <f t="shared" si="9"/>
        <v>23.2867</v>
      </c>
      <c r="AB30" s="61" t="e">
        <f>VLOOKUP(A30,Enforcements!$C$7:$K$19,8,0)</f>
        <v>#N/A</v>
      </c>
      <c r="AC30" s="57" t="e">
        <f>VLOOKUP(A30,Enforcements!$C$7:$E$19,3,0)</f>
        <v>#N/A</v>
      </c>
      <c r="AD30" s="58" t="str">
        <f t="shared" si="10"/>
        <v>0121-29</v>
      </c>
      <c r="AE30" s="87" t="str">
        <f t="shared" si="11"/>
        <v>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 &amp; aws s3 cp s3://rtdc.mdm.uploadarchive.raw/RTDC4014/ "%USERPROFILE%\AppData\Local\Temp\OnboardLogs"\RTDC4014\2016-12-30 --exclude "*" --recursive --include "*20161230*" &amp; "%USERPROFILE%\Documents\GitHub\mrs-test-scripts\Headless Mode &amp; Sideloading\WalkAndUnGZ.bat" "%USERPROFILE%\AppData\Local\Temp\OnboardLogs"\RTDC4014\2016-12-30</v>
      </c>
      <c r="AF30" s="84" t="str">
        <f t="shared" si="12"/>
        <v>"C:\Program Files (x86)\AstroGrep\AstroGrep.exe" /spath="%USERPROFILE%\AppData\Local\Temp\OnboardLogs" /stypes="app*4014*20161229*" /stext=" 13:.+((SYSTEM_STATE.+slice.+state.+changed )|(ment ac)|(multiple cpu faults)|(system.+state.+changed )|(\[timeout)|(PRM\|1\|D)|(kpr)|(kdp)|(\|lc)|(penalty))" /e /r /s</v>
      </c>
      <c r="AG30" s="1" t="str">
        <f t="shared" si="13"/>
        <v>EC</v>
      </c>
      <c r="AH30" s="88" t="str">
        <f t="shared" si="14"/>
        <v>"%USERPROFILE%\Documents\GitHub\eaglep3\Utilities\RefineRTDCRunTimes.py" --tripid 121-29 --locoid 4014 --swversion DE.1.0.8.0 --startMP 204:447 --initTime 2016-12-29T06:11:28 --startdatetime 2016-12-29T06:15:17 --delay 1 --endMP 204:233314 --enddatetime 2016-12-29T06:53:07 --enforcementcount 0 &gt;&gt;C:\Users\stu\Documents\GitHub\eaglep3-reporting\EC\2016-12-29-refined-times.txt</v>
      </c>
      <c r="AI30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{"issue":{"subject":"","project_id":79,"tracker_id":40,"status_id":1,"priority_id":2,"assigned_to_id":23,"start_date":"2016-12-29","description":"","custom_fields":[{"id":1,"name":"Subdivision","value":"EC"},{"id":4,"name":"Milepost","value":"23.3314"},{"id":17,"name":"Train ID","value":"121-29"},{"id":16,"name":"Locomotive ID","value":"4014"},{"id":130,"name":"Impact","value":""},{"id":150,"name":"Time of Event (Mountain Time)","value":"06:53:07"},{"id":151,"name":"Denver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16"/>
        <v>start /low /b %USERPROFILE%\Documents\GitHub\eaglep3\Utilities\DownloadLogsFromS3.py --loco 4014 --day 2016-12-29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512</v>
      </c>
      <c r="B31" s="7">
        <v>4013</v>
      </c>
      <c r="C31" s="22" t="s">
        <v>205</v>
      </c>
      <c r="D31" s="22" t="s">
        <v>260</v>
      </c>
      <c r="E31" s="13">
        <v>42733.291990740741</v>
      </c>
      <c r="F31" s="13">
        <v>42733.299467592595</v>
      </c>
      <c r="G31" s="7">
        <v>1</v>
      </c>
      <c r="H31" s="22" t="s">
        <v>211</v>
      </c>
      <c r="I31" s="13">
        <v>42733.32739583333</v>
      </c>
      <c r="J31" s="7">
        <v>0</v>
      </c>
      <c r="K31" s="105" t="str">
        <f t="shared" si="0"/>
        <v>4013/4014</v>
      </c>
      <c r="L31" s="22" t="str">
        <f>VLOOKUP(A31,'Trips&amp;Operators'!$C$1:$G$99999,5,FALSE)</f>
        <v>ROBINSON KADDIBA</v>
      </c>
      <c r="M31" s="6">
        <f t="shared" si="1"/>
        <v>2.7928240735491272E-2</v>
      </c>
      <c r="N31" s="7">
        <f t="shared" si="18"/>
        <v>40.216666659107432</v>
      </c>
      <c r="O31" s="7"/>
      <c r="P31" s="7"/>
      <c r="Q31" s="23"/>
      <c r="R31" s="23"/>
      <c r="S31" s="32">
        <f t="shared" si="3"/>
        <v>1</v>
      </c>
      <c r="T31" s="47" t="str">
        <f t="shared" si="4"/>
        <v>Southbound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06:00:28-700',mode:absolute,to:'2016-12-29 08:51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1" s="49" t="str">
        <f t="shared" si="6"/>
        <v>N</v>
      </c>
      <c r="X31" s="173">
        <f t="shared" si="17"/>
        <v>1</v>
      </c>
      <c r="Y31" s="64">
        <f t="shared" si="7"/>
        <v>23.299299999999999</v>
      </c>
      <c r="Z31" s="64">
        <f t="shared" si="8"/>
        <v>1.4999999999999999E-2</v>
      </c>
      <c r="AA31" s="64">
        <f t="shared" si="9"/>
        <v>23.284299999999998</v>
      </c>
      <c r="AB31" s="61" t="e">
        <f>VLOOKUP(A31,Enforcements!$C$7:$K$19,8,0)</f>
        <v>#N/A</v>
      </c>
      <c r="AC31" s="57" t="e">
        <f>VLOOKUP(A31,Enforcements!$C$7:$E$19,3,0)</f>
        <v>#N/A</v>
      </c>
      <c r="AD31" s="58" t="str">
        <f t="shared" si="10"/>
        <v>0122-29</v>
      </c>
      <c r="AE31" s="87" t="str">
        <f t="shared" si="11"/>
        <v>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 &amp; aws s3 cp s3://rtdc.mdm.uploadarchive.raw/RTDC4013/ "%USERPROFILE%\AppData\Local\Temp\OnboardLogs"\RTDC4013\2016-12-30 --exclude "*" --recursive --include "*20161230*" &amp; "%USERPROFILE%\Documents\GitHub\mrs-test-scripts\Headless Mode &amp; Sideloading\WalkAndUnGZ.bat" "%USERPROFILE%\AppData\Local\Temp\OnboardLogs"\RTDC4013\2016-12-30</v>
      </c>
      <c r="AF31" s="84" t="str">
        <f t="shared" si="12"/>
        <v>"C:\Program Files (x86)\AstroGrep\AstroGrep.exe" /spath="%USERPROFILE%\AppData\Local\Temp\OnboardLogs" /stypes="app*4013*20161229*" /stext=" 14:.+((SYSTEM_STATE.+slice.+state.+changed )|(ment ac)|(multiple cpu faults)|(system.+state.+changed )|(\[timeout)|(PRM\|1\|D)|(kpr)|(kdp)|(\|lc)|(penalty))" /e /r /s</v>
      </c>
      <c r="AG31" s="1" t="str">
        <f t="shared" si="13"/>
        <v>EC</v>
      </c>
      <c r="AH31" s="88" t="str">
        <f t="shared" si="14"/>
        <v>"%USERPROFILE%\Documents\GitHub\eaglep3\Utilities\RefineRTDCRunTimes.py" --tripid 122-29 --locoid 4013 --swversion DE.1.0.8.0 --startMP 204:232993 --initTime 2016-12-29T07:00:28 --startdatetime 2016-12-29T07:11:14 --delay 1 --endMP 204:150 --enddatetime 2016-12-29T07:51:27 --enforcementcount 0 &gt;&gt;C:\Users\stu\Documents\GitHub\eaglep3-reporting\EC\2016-12-29-refined-times.txt</v>
      </c>
      <c r="AI31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{"issue":{"subject":"","project_id":79,"tracker_id":40,"status_id":1,"priority_id":2,"assigned_to_id":23,"start_date":"2016-12-29","description":"","custom_fields":[{"id":1,"name":"Subdivision","value":"EC"},{"id":4,"name":"Milepost","value":"0.015"},{"id":17,"name":"Train ID","value":"122-29"},{"id":16,"name":"Locomotive ID","value":"4013"},{"id":130,"name":"Impact","value":""},{"id":150,"name":"Time of Event (Mountain Time)","value":"07:51:27"},{"id":151,"name":"Denver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16"/>
        <v>start /low /b %USERPROFILE%\Documents\GitHub\eaglep3\Utilities\DownloadLogsFromS3.py --loco 4013 --day 2016-12-29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504</v>
      </c>
      <c r="B32" s="7">
        <v>4031</v>
      </c>
      <c r="C32" s="22" t="s">
        <v>205</v>
      </c>
      <c r="D32" s="22" t="s">
        <v>367</v>
      </c>
      <c r="E32" s="13">
        <v>42733.268055555556</v>
      </c>
      <c r="F32" s="13">
        <v>42733.271180555559</v>
      </c>
      <c r="G32" s="7">
        <v>1</v>
      </c>
      <c r="H32" s="22" t="s">
        <v>321</v>
      </c>
      <c r="I32" s="13">
        <v>42733.295601851853</v>
      </c>
      <c r="J32" s="7">
        <v>0</v>
      </c>
      <c r="K32" s="105" t="str">
        <f t="shared" si="0"/>
        <v>4031/4032</v>
      </c>
      <c r="L32" s="22" t="str">
        <f>VLOOKUP(A32,'Trips&amp;Operators'!$C$1:$G$99999,5,FALSE)</f>
        <v>YANG JAN</v>
      </c>
      <c r="M32" s="6">
        <f t="shared" si="1"/>
        <v>2.4421296293439809E-2</v>
      </c>
      <c r="N32" s="7">
        <f t="shared" si="18"/>
        <v>35.166666662553325</v>
      </c>
      <c r="O32" s="7"/>
      <c r="P32" s="7"/>
      <c r="Q32" s="23"/>
      <c r="R32" s="23"/>
      <c r="S32" s="32">
        <f t="shared" si="3"/>
        <v>1</v>
      </c>
      <c r="T32" s="47" t="str">
        <f t="shared" si="4"/>
        <v>NorthBound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05:26:00-700',mode:absolute,to:'2016-12-29 08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2" s="49" t="str">
        <f t="shared" si="6"/>
        <v>N</v>
      </c>
      <c r="X32" s="173">
        <f t="shared" si="17"/>
        <v>1</v>
      </c>
      <c r="Y32" s="64">
        <f t="shared" si="7"/>
        <v>4.7100000000000003E-2</v>
      </c>
      <c r="Z32" s="64">
        <f t="shared" si="8"/>
        <v>23.3291</v>
      </c>
      <c r="AA32" s="64">
        <f t="shared" si="9"/>
        <v>23.282</v>
      </c>
      <c r="AB32" s="61" t="e">
        <f>VLOOKUP(A32,Enforcements!$C$7:$K$19,8,0)</f>
        <v>#N/A</v>
      </c>
      <c r="AC32" s="57" t="e">
        <f>VLOOKUP(A32,Enforcements!$C$7:$E$19,3,0)</f>
        <v>#N/A</v>
      </c>
      <c r="AD32" s="58" t="str">
        <f t="shared" si="10"/>
        <v>0123-29</v>
      </c>
      <c r="AE32" s="87" t="str">
        <f t="shared" si="11"/>
        <v>aws s3 cp s3://rtdc.mdm.uploadarchive.raw/RTDC4031/ "%USERPROFILE%\AppData\Local\Temp\OnboardLogs"\RTDC4031\2016-12-29 --exclude "*" --recursive --include "*20161229*" &amp; "%USERPROFILE%\Documents\GitHub\mrs-test-scripts\Headless Mode &amp; Sideloading\WalkAndUnGZ.bat" "%USERPROFILE%\AppData\Local\Temp\OnboardLogs"\RTDC4031\2016-12-29 &amp; 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</v>
      </c>
      <c r="AF32" s="84" t="str">
        <f t="shared" si="12"/>
        <v>"C:\Program Files (x86)\AstroGrep\AstroGrep.exe" /spath="%USERPROFILE%\AppData\Local\Temp\OnboardLogs" /stypes="app*4031*20161229*" /stext=" 14:.+((SYSTEM_STATE.+slice.+state.+changed )|(ment ac)|(multiple cpu faults)|(system.+state.+changed )|(\[timeout)|(PRM\|1\|D)|(kpr)|(kdp)|(\|lc)|(penalty))" /e /r /s</v>
      </c>
      <c r="AG32" s="1" t="str">
        <f t="shared" si="13"/>
        <v>EC</v>
      </c>
      <c r="AH32" s="88" t="str">
        <f t="shared" si="14"/>
        <v>"%USERPROFILE%\Documents\GitHub\eaglep3\Utilities\RefineRTDCRunTimes.py" --tripid 123-29 --locoid 4031 --swversion DE.1.0.8.0 --startMP 204:471 --initTime 2016-12-29T06:26:00 --startdatetime 2016-12-29T06:30:30 --delay 1 --endMP 204:233291 --enddatetime 2016-12-29T07:05:40 --enforcementcount 0 &gt;&gt;C:\Users\stu\Documents\GitHub\eaglep3-reporting\EC\2016-12-29-refined-times.txt</v>
      </c>
      <c r="AI32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{"issue":{"subject":"","project_id":79,"tracker_id":40,"status_id":1,"priority_id":2,"assigned_to_id":23,"start_date":"2016-12-29","description":"","custom_fields":[{"id":1,"name":"Subdivision","value":"EC"},{"id":4,"name":"Milepost","value":"23.3291"},{"id":17,"name":"Train ID","value":"123-29"},{"id":16,"name":"Locomotive ID","value":"4031"},{"id":130,"name":"Impact","value":""},{"id":150,"name":"Time of Event (Mountain Time)","value":"07:05:40"},{"id":151,"name":"Denver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16"/>
        <v>start /low /b %USERPROFILE%\Documents\GitHub\eaglep3\Utilities\DownloadLogsFromS3.py --loco 4031 --day 2016-12-29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515</v>
      </c>
      <c r="B33" s="7">
        <v>4032</v>
      </c>
      <c r="C33" s="22" t="s">
        <v>205</v>
      </c>
      <c r="D33" s="22" t="s">
        <v>319</v>
      </c>
      <c r="E33" s="13">
        <v>42733.302523148152</v>
      </c>
      <c r="F33" s="13">
        <v>42733.309942129628</v>
      </c>
      <c r="G33" s="7">
        <v>1</v>
      </c>
      <c r="H33" s="22" t="s">
        <v>255</v>
      </c>
      <c r="I33" s="13">
        <v>42733.337951388887</v>
      </c>
      <c r="J33" s="7">
        <v>0</v>
      </c>
      <c r="K33" s="105" t="str">
        <f t="shared" si="0"/>
        <v>4031/4032</v>
      </c>
      <c r="L33" s="22" t="str">
        <f>VLOOKUP(A33,'Trips&amp;Operators'!$C$1:$G$99999,5,FALSE)</f>
        <v>YANG JAN</v>
      </c>
      <c r="M33" s="6">
        <f t="shared" si="1"/>
        <v>2.8009259258396924E-2</v>
      </c>
      <c r="N33" s="7">
        <f t="shared" si="18"/>
        <v>40.33333333209157</v>
      </c>
      <c r="O33" s="7"/>
      <c r="P33" s="7"/>
      <c r="Q33" s="23"/>
      <c r="R33" s="23"/>
      <c r="S33" s="32">
        <f t="shared" si="3"/>
        <v>1</v>
      </c>
      <c r="T33" s="47" t="str">
        <f t="shared" si="4"/>
        <v>Southbound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06:15:38-700',mode:absolute,to:'2016-12-29 09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3" s="49" t="str">
        <f t="shared" si="6"/>
        <v>N</v>
      </c>
      <c r="X33" s="173">
        <f t="shared" si="17"/>
        <v>1</v>
      </c>
      <c r="Y33" s="64">
        <f t="shared" si="7"/>
        <v>23.2971</v>
      </c>
      <c r="Z33" s="64">
        <f t="shared" si="8"/>
        <v>1.3899999999999999E-2</v>
      </c>
      <c r="AA33" s="64">
        <f t="shared" si="9"/>
        <v>23.283200000000001</v>
      </c>
      <c r="AB33" s="61" t="e">
        <f>VLOOKUP(A33,Enforcements!$C$7:$K$19,8,0)</f>
        <v>#N/A</v>
      </c>
      <c r="AC33" s="57" t="e">
        <f>VLOOKUP(A33,Enforcements!$C$7:$E$19,3,0)</f>
        <v>#N/A</v>
      </c>
      <c r="AD33" s="58" t="str">
        <f t="shared" si="10"/>
        <v>0124-29</v>
      </c>
      <c r="AE33" s="87" t="str">
        <f t="shared" si="11"/>
        <v>aws s3 cp s3://rtdc.mdm.uploadarchive.raw/RTDC4032/ "%USERPROFILE%\AppData\Local\Temp\OnboardLogs"\RTDC4032\2016-12-29 --exclude "*" --recursive --include "*20161229*" &amp; "%USERPROFILE%\Documents\GitHub\mrs-test-scripts\Headless Mode &amp; Sideloading\WalkAndUnGZ.bat" "%USERPROFILE%\AppData\Local\Temp\OnboardLogs"\RTDC4032\2016-12-29 &amp; 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</v>
      </c>
      <c r="AF33" s="84" t="str">
        <f t="shared" si="12"/>
        <v>"C:\Program Files (x86)\AstroGrep\AstroGrep.exe" /spath="%USERPROFILE%\AppData\Local\Temp\OnboardLogs" /stypes="app*4032*20161229*" /stext=" 15:.+((SYSTEM_STATE.+slice.+state.+changed )|(ment ac)|(multiple cpu faults)|(system.+state.+changed )|(\[timeout)|(PRM\|1\|D)|(kpr)|(kdp)|(\|lc)|(penalty))" /e /r /s</v>
      </c>
      <c r="AG33" s="1" t="str">
        <f t="shared" si="13"/>
        <v>EC</v>
      </c>
      <c r="AH33" s="88" t="str">
        <f t="shared" si="14"/>
        <v>"%USERPROFILE%\Documents\GitHub\eaglep3\Utilities\RefineRTDCRunTimes.py" --tripid 124-29 --locoid 4032 --swversion DE.1.0.8.0 --startMP 204:232971 --initTime 2016-12-29T07:15:38 --startdatetime 2016-12-29T07:26:19 --delay 1 --endMP 204:139 --enddatetime 2016-12-29T08:06:39 --enforcementcount 0 &gt;&gt;C:\Users\stu\Documents\GitHub\eaglep3-reporting\EC\2016-12-29-refined-times.txt</v>
      </c>
      <c r="AI33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{"issue":{"subject":"","project_id":79,"tracker_id":40,"status_id":1,"priority_id":2,"assigned_to_id":23,"start_date":"2016-12-29","description":"","custom_fields":[{"id":1,"name":"Subdivision","value":"EC"},{"id":4,"name":"Milepost","value":"0.0139"},{"id":17,"name":"Train ID","value":"124-29"},{"id":16,"name":"Locomotive ID","value":"4032"},{"id":130,"name":"Impact","value":""},{"id":150,"name":"Time of Event (Mountain Time)","value":"08:06:39"},{"id":151,"name":"Denver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16"/>
        <v>start /low /b %USERPROFILE%\Documents\GitHub\eaglep3\Utilities\DownloadLogsFromS3.py --loco 4032 --day 2016-12-29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509</v>
      </c>
      <c r="B34" s="7">
        <v>4003</v>
      </c>
      <c r="C34" s="22" t="s">
        <v>205</v>
      </c>
      <c r="D34" s="22" t="s">
        <v>343</v>
      </c>
      <c r="E34" s="13">
        <v>42733.279733796298</v>
      </c>
      <c r="F34" s="13">
        <v>42733.281481481485</v>
      </c>
      <c r="G34" s="7">
        <v>1</v>
      </c>
      <c r="H34" s="22" t="s">
        <v>691</v>
      </c>
      <c r="I34" s="13">
        <v>42733.306840277779</v>
      </c>
      <c r="J34" s="7">
        <v>0</v>
      </c>
      <c r="K34" s="105" t="str">
        <f t="shared" si="0"/>
        <v>4003/4004</v>
      </c>
      <c r="L34" s="22" t="str">
        <f>VLOOKUP(A34,'Trips&amp;Operators'!$C$1:$G$99999,5,FALSE)</f>
        <v>YORK EDGAR</v>
      </c>
      <c r="M34" s="6">
        <f t="shared" si="1"/>
        <v>2.5358796294312924E-2</v>
      </c>
      <c r="N34" s="7">
        <f t="shared" si="18"/>
        <v>36.516666663810611</v>
      </c>
      <c r="O34" s="7"/>
      <c r="P34" s="7"/>
      <c r="Q34" s="23"/>
      <c r="R34" s="23"/>
      <c r="S34" s="32">
        <f t="shared" si="3"/>
        <v>1</v>
      </c>
      <c r="T34" s="47" t="str">
        <f t="shared" si="4"/>
        <v>NorthBound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05:42:49-700',mode:absolute,to:'2016-12-29 08:21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4" s="49" t="str">
        <f t="shared" si="6"/>
        <v>N</v>
      </c>
      <c r="X34" s="173">
        <f t="shared" si="17"/>
        <v>1</v>
      </c>
      <c r="Y34" s="64">
        <f t="shared" si="7"/>
        <v>4.6600000000000003E-2</v>
      </c>
      <c r="Z34" s="64">
        <f t="shared" si="8"/>
        <v>23.3278</v>
      </c>
      <c r="AA34" s="64">
        <f t="shared" si="9"/>
        <v>23.281199999999998</v>
      </c>
      <c r="AB34" s="61" t="e">
        <f>VLOOKUP(A34,Enforcements!$C$7:$K$19,8,0)</f>
        <v>#N/A</v>
      </c>
      <c r="AC34" s="57" t="e">
        <f>VLOOKUP(A34,Enforcements!$C$7:$E$19,3,0)</f>
        <v>#N/A</v>
      </c>
      <c r="AD34" s="58" t="str">
        <f t="shared" si="10"/>
        <v>0125-29</v>
      </c>
      <c r="AE34" s="87" t="str">
        <f t="shared" si="11"/>
        <v>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 &amp; aws s3 cp s3://rtdc.mdm.uploadarchive.raw/RTDC4003/ "%USERPROFILE%\AppData\Local\Temp\OnboardLogs"\RTDC4003\2016-12-30 --exclude "*" --recursive --include "*20161230*" &amp; "%USERPROFILE%\Documents\GitHub\mrs-test-scripts\Headless Mode &amp; Sideloading\WalkAndUnGZ.bat" "%USERPROFILE%\AppData\Local\Temp\OnboardLogs"\RTDC4003\2016-12-30</v>
      </c>
      <c r="AF34" s="84" t="str">
        <f t="shared" si="12"/>
        <v>"C:\Program Files (x86)\AstroGrep\AstroGrep.exe" /spath="%USERPROFILE%\AppData\Local\Temp\OnboardLogs" /stypes="app*4003*20161229*" /stext=" 14:.+((SYSTEM_STATE.+slice.+state.+changed )|(ment ac)|(multiple cpu faults)|(system.+state.+changed )|(\[timeout)|(PRM\|1\|D)|(kpr)|(kdp)|(\|lc)|(penalty))" /e /r /s</v>
      </c>
      <c r="AG34" s="1" t="str">
        <f t="shared" si="13"/>
        <v>EC</v>
      </c>
      <c r="AH34" s="88" t="str">
        <f t="shared" si="14"/>
        <v>"%USERPROFILE%\Documents\GitHub\eaglep3\Utilities\RefineRTDCRunTimes.py" --tripid 125-29 --locoid 4003 --swversion DE.1.0.8.0 --startMP 204:466 --initTime 2016-12-29T06:42:49 --startdatetime 2016-12-29T06:45:20 --delay 1 --endMP 204:233278 --enddatetime 2016-12-29T07:21:51 --enforcementcount 0 &gt;&gt;C:\Users\stu\Documents\GitHub\eaglep3-reporting\EC\2016-12-29-refined-times.txt</v>
      </c>
      <c r="AI34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{"issue":{"subject":"","project_id":79,"tracker_id":40,"status_id":1,"priority_id":2,"assigned_to_id":23,"start_date":"2016-12-29","description":"","custom_fields":[{"id":1,"name":"Subdivision","value":"EC"},{"id":4,"name":"Milepost","value":"23.3278"},{"id":17,"name":"Train ID","value":"125-29"},{"id":16,"name":"Locomotive ID","value":"4003"},{"id":130,"name":"Impact","value":""},{"id":150,"name":"Time of Event (Mountain Time)","value":"07:21:51"},{"id":151,"name":"Denver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16"/>
        <v>start /low /b %USERPROFILE%\Documents\GitHub\eaglep3\Utilities\DownloadLogsFromS3.py --loco 4003 --day 2016-12-29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517</v>
      </c>
      <c r="B35" s="7">
        <v>4004</v>
      </c>
      <c r="C35" s="22" t="s">
        <v>205</v>
      </c>
      <c r="D35" s="22" t="s">
        <v>687</v>
      </c>
      <c r="E35" s="13">
        <v>42733.307766203703</v>
      </c>
      <c r="F35" s="13">
        <v>42733.320381944446</v>
      </c>
      <c r="G35" s="7">
        <v>1</v>
      </c>
      <c r="H35" s="22" t="s">
        <v>692</v>
      </c>
      <c r="I35" s="13">
        <v>42733.347291666665</v>
      </c>
      <c r="J35" s="7">
        <v>0</v>
      </c>
      <c r="K35" s="105" t="str">
        <f t="shared" si="0"/>
        <v>4003/4004</v>
      </c>
      <c r="L35" s="22" t="str">
        <f>VLOOKUP(A35,'Trips&amp;Operators'!$C$1:$G$99999,5,FALSE)</f>
        <v>YORK EDGAR</v>
      </c>
      <c r="M35" s="6">
        <f t="shared" si="1"/>
        <v>2.6909722218988463E-2</v>
      </c>
      <c r="N35" s="7">
        <f t="shared" si="18"/>
        <v>38.749999995343387</v>
      </c>
      <c r="O35" s="7"/>
      <c r="P35" s="7"/>
      <c r="Q35" s="23"/>
      <c r="R35" s="23"/>
      <c r="S35" s="32">
        <f t="shared" si="3"/>
        <v>1</v>
      </c>
      <c r="T35" s="47" t="str">
        <f t="shared" si="4"/>
        <v>Southbound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06:23:11-700',mode:absolute,to:'2016-12-29 09:20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5" s="49" t="str">
        <f t="shared" si="6"/>
        <v>N</v>
      </c>
      <c r="X35" s="173">
        <f t="shared" si="17"/>
        <v>1</v>
      </c>
      <c r="Y35" s="64">
        <f t="shared" si="7"/>
        <v>23.297899999999998</v>
      </c>
      <c r="Z35" s="64">
        <f t="shared" si="8"/>
        <v>1.6500000000000001E-2</v>
      </c>
      <c r="AA35" s="64">
        <f t="shared" si="9"/>
        <v>23.281399999999998</v>
      </c>
      <c r="AB35" s="61" t="e">
        <f>VLOOKUP(A35,Enforcements!$C$7:$K$19,8,0)</f>
        <v>#N/A</v>
      </c>
      <c r="AC35" s="57" t="e">
        <f>VLOOKUP(A35,Enforcements!$C$7:$E$19,3,0)</f>
        <v>#N/A</v>
      </c>
      <c r="AD35" s="58" t="str">
        <f t="shared" si="10"/>
        <v>0126-29</v>
      </c>
      <c r="AE35" s="87" t="str">
        <f t="shared" si="11"/>
        <v>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 &amp; aws s3 cp s3://rtdc.mdm.uploadarchive.raw/RTDC4004/ "%USERPROFILE%\AppData\Local\Temp\OnboardLogs"\RTDC4004\2016-12-30 --exclude "*" --recursive --include "*20161230*" &amp; "%USERPROFILE%\Documents\GitHub\mrs-test-scripts\Headless Mode &amp; Sideloading\WalkAndUnGZ.bat" "%USERPROFILE%\AppData\Local\Temp\OnboardLogs"\RTDC4004\2016-12-30</v>
      </c>
      <c r="AF35" s="84" t="str">
        <f t="shared" si="12"/>
        <v>"C:\Program Files (x86)\AstroGrep\AstroGrep.exe" /spath="%USERPROFILE%\AppData\Local\Temp\OnboardLogs" /stypes="app*4004*20161229*" /stext=" 15:.+((SYSTEM_STATE.+slice.+state.+changed )|(ment ac)|(multiple cpu faults)|(system.+state.+changed )|(\[timeout)|(PRM\|1\|D)|(kpr)|(kdp)|(\|lc)|(penalty))" /e /r /s</v>
      </c>
      <c r="AG35" s="1" t="str">
        <f t="shared" si="13"/>
        <v>EC</v>
      </c>
      <c r="AH35" s="88" t="str">
        <f t="shared" si="14"/>
        <v>"%USERPROFILE%\Documents\GitHub\eaglep3\Utilities\RefineRTDCRunTimes.py" --tripid 126-29 --locoid 4004 --swversion DE.1.0.8.0 --startMP 204:232979 --initTime 2016-12-29T07:23:11 --startdatetime 2016-12-29T07:41:21 --delay 1 --endMP 204:165 --enddatetime 2016-12-29T08:20:06 --enforcementcount 0 &gt;&gt;C:\Users\stu\Documents\GitHub\eaglep3-reporting\EC\2016-12-29-refined-times.txt</v>
      </c>
      <c r="AI35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{"issue":{"subject":"","project_id":79,"tracker_id":40,"status_id":1,"priority_id":2,"assigned_to_id":23,"start_date":"2016-12-29","description":"","custom_fields":[{"id":1,"name":"Subdivision","value":"EC"},{"id":4,"name":"Milepost","value":"0.0165"},{"id":17,"name":"Train ID","value":"126-29"},{"id":16,"name":"Locomotive ID","value":"4004"},{"id":130,"name":"Impact","value":""},{"id":150,"name":"Time of Event (Mountain Time)","value":"08:20:06"},{"id":151,"name":"Denver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16"/>
        <v>start /low /b %USERPROFILE%\Documents\GitHub\eaglep3\Utilities\DownloadLogsFromS3.py --loco 4004 --day 2016-12-29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510</v>
      </c>
      <c r="B36" s="7">
        <v>4018</v>
      </c>
      <c r="C36" s="22" t="s">
        <v>205</v>
      </c>
      <c r="D36" s="22" t="s">
        <v>367</v>
      </c>
      <c r="E36" s="13">
        <v>42733.288101851853</v>
      </c>
      <c r="F36" s="13">
        <v>42733.29184027778</v>
      </c>
      <c r="G36" s="7">
        <v>1</v>
      </c>
      <c r="H36" s="22" t="s">
        <v>406</v>
      </c>
      <c r="I36" s="13">
        <v>42733.316782407404</v>
      </c>
      <c r="J36" s="7">
        <v>0</v>
      </c>
      <c r="K36" s="105" t="str">
        <f t="shared" si="0"/>
        <v>4017/4018</v>
      </c>
      <c r="L36" s="22" t="str">
        <f>VLOOKUP(A36,'Trips&amp;Operators'!$C$1:$G$99999,5,FALSE)</f>
        <v>ROCHA YAOTL</v>
      </c>
      <c r="M36" s="6">
        <f t="shared" si="1"/>
        <v>2.4942129624832887E-2</v>
      </c>
      <c r="N36" s="7">
        <f t="shared" si="18"/>
        <v>35.916666659759358</v>
      </c>
      <c r="O36" s="7"/>
      <c r="P36" s="7"/>
      <c r="Q36" s="23"/>
      <c r="R36" s="23"/>
      <c r="S36" s="32">
        <f t="shared" si="3"/>
        <v>1</v>
      </c>
      <c r="T36" s="47" t="str">
        <f t="shared" si="4"/>
        <v>NorthBound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05:54:52-700',mode:absolute,to:'2016-12-29 08:36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6" s="49" t="str">
        <f t="shared" si="6"/>
        <v>N</v>
      </c>
      <c r="X36" s="173">
        <f t="shared" si="17"/>
        <v>1</v>
      </c>
      <c r="Y36" s="64">
        <f t="shared" si="7"/>
        <v>4.7100000000000003E-2</v>
      </c>
      <c r="Z36" s="64">
        <f t="shared" si="8"/>
        <v>23.328800000000001</v>
      </c>
      <c r="AA36" s="64">
        <f t="shared" si="9"/>
        <v>23.281700000000001</v>
      </c>
      <c r="AB36" s="61" t="e">
        <f>VLOOKUP(A36,Enforcements!$C$7:$K$19,8,0)</f>
        <v>#N/A</v>
      </c>
      <c r="AC36" s="57" t="e">
        <f>VLOOKUP(A36,Enforcements!$C$7:$E$19,3,0)</f>
        <v>#N/A</v>
      </c>
      <c r="AD36" s="58" t="str">
        <f t="shared" si="10"/>
        <v>0127-29</v>
      </c>
      <c r="AE36" s="87" t="str">
        <f t="shared" si="11"/>
        <v>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 &amp; aws s3 cp s3://rtdc.mdm.uploadarchive.raw/RTDC4018/ "%USERPROFILE%\AppData\Local\Temp\OnboardLogs"\RTDC4018\2016-12-30 --exclude "*" --recursive --include "*20161230*" &amp; "%USERPROFILE%\Documents\GitHub\mrs-test-scripts\Headless Mode &amp; Sideloading\WalkAndUnGZ.bat" "%USERPROFILE%\AppData\Local\Temp\OnboardLogs"\RTDC4018\2016-12-30</v>
      </c>
      <c r="AF36" s="84" t="str">
        <f t="shared" si="12"/>
        <v>"C:\Program Files (x86)\AstroGrep\AstroGrep.exe" /spath="%USERPROFILE%\AppData\Local\Temp\OnboardLogs" /stypes="app*4018*20161229*" /stext=" 14:.+((SYSTEM_STATE.+slice.+state.+changed )|(ment ac)|(multiple cpu faults)|(system.+state.+changed )|(\[timeout)|(PRM\|1\|D)|(kpr)|(kdp)|(\|lc)|(penalty))" /e /r /s</v>
      </c>
      <c r="AG36" s="1" t="str">
        <f t="shared" si="13"/>
        <v>EC</v>
      </c>
      <c r="AH36" s="88" t="str">
        <f t="shared" si="14"/>
        <v>"%USERPROFILE%\Documents\GitHub\eaglep3\Utilities\RefineRTDCRunTimes.py" --tripid 127-29 --locoid 4018 --swversion DE.1.0.8.0 --startMP 204:471 --initTime 2016-12-29T06:54:52 --startdatetime 2016-12-29T07:00:15 --delay 1 --endMP 204:233288 --enddatetime 2016-12-29T07:36:10 --enforcementcount 0 &gt;&gt;C:\Users\stu\Documents\GitHub\eaglep3-reporting\EC\2016-12-29-refined-times.txt</v>
      </c>
      <c r="AI36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{"issue":{"subject":"","project_id":79,"tracker_id":40,"status_id":1,"priority_id":2,"assigned_to_id":23,"start_date":"2016-12-29","description":"","custom_fields":[{"id":1,"name":"Subdivision","value":"EC"},{"id":4,"name":"Milepost","value":"23.3288"},{"id":17,"name":"Train ID","value":"127-29"},{"id":16,"name":"Locomotive ID","value":"4018"},{"id":130,"name":"Impact","value":""},{"id":150,"name":"Time of Event (Mountain Time)","value":"07:36:10"},{"id":151,"name":"Denver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16"/>
        <v>start /low /b %USERPROFILE%\Documents\GitHub\eaglep3\Utilities\DownloadLogsFromS3.py --loco 4018 --day 2016-12-29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521</v>
      </c>
      <c r="B37" s="7">
        <v>4017</v>
      </c>
      <c r="C37" s="22" t="s">
        <v>205</v>
      </c>
      <c r="D37" s="22" t="s">
        <v>397</v>
      </c>
      <c r="E37" s="13">
        <v>42733.330127314817</v>
      </c>
      <c r="F37" s="13">
        <v>42733.331435185188</v>
      </c>
      <c r="G37" s="7">
        <v>1</v>
      </c>
      <c r="H37" s="22" t="s">
        <v>300</v>
      </c>
      <c r="I37" s="13">
        <v>42733.358958333331</v>
      </c>
      <c r="J37" s="7">
        <v>0</v>
      </c>
      <c r="K37" s="105" t="str">
        <f t="shared" si="0"/>
        <v>4017/4018</v>
      </c>
      <c r="L37" s="22" t="str">
        <f>VLOOKUP(A37,'Trips&amp;Operators'!$C$1:$G$99999,5,FALSE)</f>
        <v>ROCHA YAOTL</v>
      </c>
      <c r="M37" s="6">
        <f t="shared" si="1"/>
        <v>2.7523148142790888E-2</v>
      </c>
      <c r="N37" s="7">
        <f t="shared" si="18"/>
        <v>39.633333325618878</v>
      </c>
      <c r="O37" s="7"/>
      <c r="P37" s="7"/>
      <c r="Q37" s="23"/>
      <c r="R37" s="23"/>
      <c r="S37" s="32">
        <f t="shared" si="3"/>
        <v>1</v>
      </c>
      <c r="T37" s="47" t="str">
        <f t="shared" si="4"/>
        <v>Southbound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06:55:23-700',mode:absolute,to:'2016-12-29 09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7" s="49" t="str">
        <f t="shared" si="6"/>
        <v>N</v>
      </c>
      <c r="X37" s="173">
        <f t="shared" si="17"/>
        <v>1</v>
      </c>
      <c r="Y37" s="64">
        <f t="shared" si="7"/>
        <v>23.296900000000001</v>
      </c>
      <c r="Z37" s="64">
        <f t="shared" si="8"/>
        <v>1.52E-2</v>
      </c>
      <c r="AA37" s="64">
        <f t="shared" si="9"/>
        <v>23.281700000000001</v>
      </c>
      <c r="AB37" s="61" t="e">
        <f>VLOOKUP(A37,Enforcements!$C$7:$K$19,8,0)</f>
        <v>#N/A</v>
      </c>
      <c r="AC37" s="57" t="e">
        <f>VLOOKUP(A37,Enforcements!$C$7:$E$19,3,0)</f>
        <v>#N/A</v>
      </c>
      <c r="AD37" s="58" t="str">
        <f t="shared" si="10"/>
        <v>0128-29</v>
      </c>
      <c r="AE37" s="87" t="str">
        <f t="shared" si="11"/>
        <v>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 &amp; aws s3 cp s3://rtdc.mdm.uploadarchive.raw/RTDC4017/ "%USERPROFILE%\AppData\Local\Temp\OnboardLogs"\RTDC4017\2016-12-30 --exclude "*" --recursive --include "*20161230*" &amp; "%USERPROFILE%\Documents\GitHub\mrs-test-scripts\Headless Mode &amp; Sideloading\WalkAndUnGZ.bat" "%USERPROFILE%\AppData\Local\Temp\OnboardLogs"\RTDC4017\2016-12-30</v>
      </c>
      <c r="AF37" s="84" t="str">
        <f t="shared" si="12"/>
        <v>"C:\Program Files (x86)\AstroGrep\AstroGrep.exe" /spath="%USERPROFILE%\AppData\Local\Temp\OnboardLogs" /stypes="app*4017*20161229*" /stext=" 15:.+((SYSTEM_STATE.+slice.+state.+changed )|(ment ac)|(multiple cpu faults)|(system.+state.+changed )|(\[timeout)|(PRM\|1\|D)|(kpr)|(kdp)|(\|lc)|(penalty))" /e /r /s</v>
      </c>
      <c r="AG37" s="1" t="str">
        <f t="shared" si="13"/>
        <v>EC</v>
      </c>
      <c r="AH37" s="88" t="str">
        <f t="shared" si="14"/>
        <v>"%USERPROFILE%\Documents\GitHub\eaglep3\Utilities\RefineRTDCRunTimes.py" --tripid 128-29 --locoid 4017 --swversion DE.1.0.8.0 --startMP 204:232969 --initTime 2016-12-29T07:55:23 --startdatetime 2016-12-29T07:57:16 --delay 1 --endMP 204:152 --enddatetime 2016-12-29T08:36:54 --enforcementcount 0 &gt;&gt;C:\Users\stu\Documents\GitHub\eaglep3-reporting\EC\2016-12-29-refined-times.txt</v>
      </c>
      <c r="AI37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{"issue":{"subject":"","project_id":79,"tracker_id":40,"status_id":1,"priority_id":2,"assigned_to_id":23,"start_date":"2016-12-29","description":"","custom_fields":[{"id":1,"name":"Subdivision","value":"EC"},{"id":4,"name":"Milepost","value":"0.0152"},{"id":17,"name":"Train ID","value":"128-29"},{"id":16,"name":"Locomotive ID","value":"4017"},{"id":130,"name":"Impact","value":""},{"id":150,"name":"Time of Event (Mountain Time)","value":"08:36:54"},{"id":151,"name":"Denver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16"/>
        <v>start /low /b %USERPROFILE%\Documents\GitHub\eaglep3\Utilities\DownloadLogsFromS3.py --loco 4017 --day 2016-12-29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514</v>
      </c>
      <c r="B38" s="7">
        <v>4044</v>
      </c>
      <c r="C38" s="22" t="s">
        <v>205</v>
      </c>
      <c r="D38" s="22" t="s">
        <v>250</v>
      </c>
      <c r="E38" s="13">
        <v>42733.29991898148</v>
      </c>
      <c r="F38" s="13">
        <v>42733.302361111113</v>
      </c>
      <c r="G38" s="7">
        <v>0</v>
      </c>
      <c r="H38" s="22" t="s">
        <v>408</v>
      </c>
      <c r="I38" s="13">
        <v>42733.328356481485</v>
      </c>
      <c r="J38" s="7">
        <v>0</v>
      </c>
      <c r="K38" s="105" t="str">
        <f t="shared" si="0"/>
        <v>4043/4044</v>
      </c>
      <c r="L38" s="22" t="str">
        <f>VLOOKUP(A38,'Trips&amp;Operators'!$C$1:$G$99999,5,FALSE)</f>
        <v>STARKS ANGELINA</v>
      </c>
      <c r="M38" s="6">
        <f t="shared" si="1"/>
        <v>2.5995370371674653E-2</v>
      </c>
      <c r="N38" s="7">
        <f t="shared" si="18"/>
        <v>37.433333335211501</v>
      </c>
      <c r="O38" s="7"/>
      <c r="P38" s="7"/>
      <c r="Q38" s="23"/>
      <c r="R38" s="23"/>
      <c r="S38" s="32">
        <f t="shared" si="3"/>
        <v>1</v>
      </c>
      <c r="T38" s="47" t="str">
        <f t="shared" si="4"/>
        <v>NorthBound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06:11:53-700',mode:absolute,to:'2016-12-29 08:52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8" s="49" t="str">
        <f t="shared" si="6"/>
        <v>N</v>
      </c>
      <c r="X38" s="173">
        <f t="shared" si="17"/>
        <v>1</v>
      </c>
      <c r="Y38" s="64">
        <f t="shared" si="7"/>
        <v>4.53E-2</v>
      </c>
      <c r="Z38" s="64">
        <f t="shared" si="8"/>
        <v>23.330200000000001</v>
      </c>
      <c r="AA38" s="64">
        <f t="shared" si="9"/>
        <v>23.2849</v>
      </c>
      <c r="AB38" s="61" t="e">
        <f>VLOOKUP(A38,Enforcements!$C$7:$K$19,8,0)</f>
        <v>#N/A</v>
      </c>
      <c r="AC38" s="57" t="e">
        <f>VLOOKUP(A38,Enforcements!$C$7:$E$19,3,0)</f>
        <v>#N/A</v>
      </c>
      <c r="AD38" s="58" t="str">
        <f t="shared" si="10"/>
        <v>0129-29</v>
      </c>
      <c r="AE38" s="87" t="str">
        <f t="shared" si="11"/>
        <v>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 &amp; aws s3 cp s3://rtdc.mdm.uploadarchive.raw/RTDC4044/ "%USERPROFILE%\AppData\Local\Temp\OnboardLogs"\RTDC4044\2016-12-30 --exclude "*" --recursive --include "*20161230*" &amp; "%USERPROFILE%\Documents\GitHub\mrs-test-scripts\Headless Mode &amp; Sideloading\WalkAndUnGZ.bat" "%USERPROFILE%\AppData\Local\Temp\OnboardLogs"\RTDC4044\2016-12-30</v>
      </c>
      <c r="AF38" s="84" t="str">
        <f t="shared" si="12"/>
        <v>"C:\Program Files (x86)\AstroGrep\AstroGrep.exe" /spath="%USERPROFILE%\AppData\Local\Temp\OnboardLogs" /stypes="app*4044*20161229*" /stext=" 14:.+((SYSTEM_STATE.+slice.+state.+changed )|(ment ac)|(multiple cpu faults)|(system.+state.+changed )|(\[timeout)|(PRM\|1\|D)|(kpr)|(kdp)|(\|lc)|(penalty))" /e /r /s</v>
      </c>
      <c r="AG38" s="1" t="str">
        <f t="shared" si="13"/>
        <v>EC</v>
      </c>
      <c r="AH38" s="88" t="str">
        <f t="shared" si="14"/>
        <v>"%USERPROFILE%\Documents\GitHub\eaglep3\Utilities\RefineRTDCRunTimes.py" --tripid 129-29 --locoid 4044 --swversion DE.1.0.8.0 --startMP 204:453 --initTime 2016-12-29T07:11:53 --startdatetime 2016-12-29T07:15:24 --delay 0 --endMP 204:233302 --enddatetime 2016-12-29T07:52:50 --enforcementcount 0 &gt;&gt;C:\Users\stu\Documents\GitHub\eaglep3-reporting\EC\2016-12-29-refined-times.txt</v>
      </c>
      <c r="AI38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{"issue":{"subject":"","project_id":79,"tracker_id":40,"status_id":1,"priority_id":2,"assigned_to_id":23,"start_date":"2016-12-29","description":"","custom_fields":[{"id":1,"name":"Subdivision","value":"EC"},{"id":4,"name":"Milepost","value":"23.3302"},{"id":17,"name":"Train ID","value":"129-29"},{"id":16,"name":"Locomotive ID","value":"4044"},{"id":130,"name":"Impact","value":""},{"id":150,"name":"Time of Event (Mountain Time)","value":"07:52:50"},{"id":151,"name":"Denver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16"/>
        <v>start /low /b %USERPROFILE%\Documents\GitHub\eaglep3\Utilities\DownloadLogsFromS3.py --loco 4044 --day 2016-12-29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522</v>
      </c>
      <c r="B39" s="7">
        <v>4043</v>
      </c>
      <c r="C39" s="22" t="s">
        <v>205</v>
      </c>
      <c r="D39" s="22" t="s">
        <v>308</v>
      </c>
      <c r="E39" s="13">
        <v>42733.338043981479</v>
      </c>
      <c r="F39" s="13">
        <v>42733.341296296298</v>
      </c>
      <c r="G39" s="7">
        <v>1</v>
      </c>
      <c r="H39" s="22" t="s">
        <v>692</v>
      </c>
      <c r="I39" s="13">
        <v>42733.369456018518</v>
      </c>
      <c r="J39" s="7">
        <v>0</v>
      </c>
      <c r="K39" s="105" t="str">
        <f t="shared" si="0"/>
        <v>4043/4044</v>
      </c>
      <c r="L39" s="22" t="str">
        <f>VLOOKUP(A39,'Trips&amp;Operators'!$C$1:$G$99999,5,FALSE)</f>
        <v>STARKS ANGELINA</v>
      </c>
      <c r="M39" s="6">
        <f t="shared" si="1"/>
        <v>2.8159722220152617E-2</v>
      </c>
      <c r="N39" s="7">
        <f t="shared" si="18"/>
        <v>40.549999997019768</v>
      </c>
      <c r="O39" s="7"/>
      <c r="P39" s="7"/>
      <c r="Q39" s="23"/>
      <c r="R39" s="23"/>
      <c r="S39" s="32">
        <f t="shared" si="3"/>
        <v>1</v>
      </c>
      <c r="T39" s="47" t="str">
        <f t="shared" si="4"/>
        <v>Southbound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07:06:47-700',mode:absolute,to:'2016-12-29 09:52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9" s="49" t="str">
        <f t="shared" si="6"/>
        <v>N</v>
      </c>
      <c r="X39" s="173">
        <f t="shared" si="17"/>
        <v>1</v>
      </c>
      <c r="Y39" s="64">
        <f t="shared" si="7"/>
        <v>23.299800000000001</v>
      </c>
      <c r="Z39" s="64">
        <f t="shared" si="8"/>
        <v>1.6500000000000001E-2</v>
      </c>
      <c r="AA39" s="64">
        <f t="shared" si="9"/>
        <v>23.283300000000001</v>
      </c>
      <c r="AB39" s="61" t="e">
        <f>VLOOKUP(A39,Enforcements!$C$7:$K$19,8,0)</f>
        <v>#N/A</v>
      </c>
      <c r="AC39" s="57" t="e">
        <f>VLOOKUP(A39,Enforcements!$C$7:$E$19,3,0)</f>
        <v>#N/A</v>
      </c>
      <c r="AD39" s="58" t="str">
        <f t="shared" si="10"/>
        <v>0130-29</v>
      </c>
      <c r="AE39" s="87" t="str">
        <f t="shared" si="11"/>
        <v>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 &amp; aws s3 cp s3://rtdc.mdm.uploadarchive.raw/RTDC4043/ "%USERPROFILE%\AppData\Local\Temp\OnboardLogs"\RTDC4043\2016-12-30 --exclude "*" --recursive --include "*20161230*" &amp; "%USERPROFILE%\Documents\GitHub\mrs-test-scripts\Headless Mode &amp; Sideloading\WalkAndUnGZ.bat" "%USERPROFILE%\AppData\Local\Temp\OnboardLogs"\RTDC4043\2016-12-30</v>
      </c>
      <c r="AF39" s="84" t="str">
        <f t="shared" si="12"/>
        <v>"C:\Program Files (x86)\AstroGrep\AstroGrep.exe" /spath="%USERPROFILE%\AppData\Local\Temp\OnboardLogs" /stypes="app*4043*20161229*" /stext=" 15:.+((SYSTEM_STATE.+slice.+state.+changed )|(ment ac)|(multiple cpu faults)|(system.+state.+changed )|(\[timeout)|(PRM\|1\|D)|(kpr)|(kdp)|(\|lc)|(penalty))" /e /r /s</v>
      </c>
      <c r="AG39" s="1" t="str">
        <f t="shared" si="13"/>
        <v>EC</v>
      </c>
      <c r="AH39" s="88" t="str">
        <f t="shared" si="14"/>
        <v>"%USERPROFILE%\Documents\GitHub\eaglep3\Utilities\RefineRTDCRunTimes.py" --tripid 130-29 --locoid 4043 --swversion DE.1.0.8.0 --startMP 204:232998 --initTime 2016-12-29T08:06:47 --startdatetime 2016-12-29T08:11:28 --delay 1 --endMP 204:165 --enddatetime 2016-12-29T08:52:01 --enforcementcount 0 &gt;&gt;C:\Users\stu\Documents\GitHub\eaglep3-reporting\EC\2016-12-29-refined-times.txt</v>
      </c>
      <c r="AI39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{"issue":{"subject":"","project_id":79,"tracker_id":40,"status_id":1,"priority_id":2,"assigned_to_id":23,"start_date":"2016-12-29","description":"","custom_fields":[{"id":1,"name":"Subdivision","value":"EC"},{"id":4,"name":"Milepost","value":"0.0165"},{"id":17,"name":"Train ID","value":"130-29"},{"id":16,"name":"Locomotive ID","value":"4043"},{"id":130,"name":"Impact","value":""},{"id":150,"name":"Time of Event (Mountain Time)","value":"08:52:01"},{"id":151,"name":"Denver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16"/>
        <v>start /low /b %USERPROFILE%\Documents\GitHub\eaglep3\Utilities\DownloadLogsFromS3.py --loco 4043 --day 2016-12-29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516</v>
      </c>
      <c r="B40" s="7">
        <v>4042</v>
      </c>
      <c r="C40" s="22" t="s">
        <v>205</v>
      </c>
      <c r="D40" s="22" t="s">
        <v>267</v>
      </c>
      <c r="E40" s="13">
        <v>42733.307337962964</v>
      </c>
      <c r="F40" s="13">
        <v>42733.312789351854</v>
      </c>
      <c r="G40" s="7">
        <v>0</v>
      </c>
      <c r="H40" s="22" t="s">
        <v>294</v>
      </c>
      <c r="I40" s="13">
        <v>42733.337905092594</v>
      </c>
      <c r="J40" s="7">
        <v>0</v>
      </c>
      <c r="K40" s="105" t="str">
        <f t="shared" si="0"/>
        <v>4041/4042</v>
      </c>
      <c r="L40" s="22" t="str">
        <f>VLOOKUP(A40,'Trips&amp;Operators'!$C$1:$G$99999,5,FALSE)</f>
        <v>ISHMAEL JOSEPH</v>
      </c>
      <c r="M40" s="6">
        <f t="shared" si="1"/>
        <v>2.5115740740147885E-2</v>
      </c>
      <c r="N40" s="7">
        <f t="shared" si="18"/>
        <v>36.166666665812954</v>
      </c>
      <c r="O40" s="7"/>
      <c r="P40" s="7"/>
      <c r="Q40" s="23"/>
      <c r="R40" s="23"/>
      <c r="S40" s="32">
        <f t="shared" si="3"/>
        <v>1</v>
      </c>
      <c r="T40" s="47" t="str">
        <f t="shared" si="4"/>
        <v>NorthBound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06:22:34-700',mode:absolute,to:'2016-12-29 09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0" s="49" t="str">
        <f t="shared" si="6"/>
        <v>N</v>
      </c>
      <c r="X40" s="173">
        <f t="shared" si="17"/>
        <v>1</v>
      </c>
      <c r="Y40" s="64">
        <f t="shared" si="7"/>
        <v>4.3999999999999997E-2</v>
      </c>
      <c r="Z40" s="64">
        <f t="shared" si="8"/>
        <v>23.330100000000002</v>
      </c>
      <c r="AA40" s="64">
        <f t="shared" si="9"/>
        <v>23.286100000000001</v>
      </c>
      <c r="AB40" s="61" t="e">
        <f>VLOOKUP(A40,Enforcements!$C$7:$K$19,8,0)</f>
        <v>#N/A</v>
      </c>
      <c r="AC40" s="57" t="e">
        <f>VLOOKUP(A40,Enforcements!$C$7:$E$19,3,0)</f>
        <v>#N/A</v>
      </c>
      <c r="AD40" s="58" t="str">
        <f t="shared" si="10"/>
        <v>0131-29</v>
      </c>
      <c r="AE40" s="87" t="str">
        <f t="shared" si="11"/>
        <v>aws s3 cp s3://rtdc.mdm.uploadarchive.raw/RTDC4042/ "%USERPROFILE%\AppData\Local\Temp\OnboardLogs"\RTDC4042\2016-12-29 --exclude "*" --recursive --include "*20161229*" &amp; "%USERPROFILE%\Documents\GitHub\mrs-test-scripts\Headless Mode &amp; Sideloading\WalkAndUnGZ.bat" "%USERPROFILE%\AppData\Local\Temp\OnboardLogs"\RTDC4042\2016-12-29 &amp; aws s3 cp s3://rtdc.mdm.uploadarchive.raw/RTDC4042/ "%USERPROFILE%\AppData\Local\Temp\OnboardLogs"\RTDC4042\2016-12-30 --exclude "*" --recursive --include "*20161230*" &amp; "%USERPROFILE%\Documents\GitHub\mrs-test-scripts\Headless Mode &amp; Sideloading\WalkAndUnGZ.bat" "%USERPROFILE%\AppData\Local\Temp\OnboardLogs"\RTDC4042\2016-12-30</v>
      </c>
      <c r="AF40" s="84" t="str">
        <f t="shared" si="12"/>
        <v>"C:\Program Files (x86)\AstroGrep\AstroGrep.exe" /spath="%USERPROFILE%\AppData\Local\Temp\OnboardLogs" /stypes="app*4042*20161229*" /stext=" 15:.+((SYSTEM_STATE.+slice.+state.+changed )|(ment ac)|(multiple cpu faults)|(system.+state.+changed )|(\[timeout)|(PRM\|1\|D)|(kpr)|(kdp)|(\|lc)|(penalty))" /e /r /s</v>
      </c>
      <c r="AG40" s="1" t="str">
        <f t="shared" si="13"/>
        <v>EC</v>
      </c>
      <c r="AH40" s="88" t="str">
        <f t="shared" si="14"/>
        <v>"%USERPROFILE%\Documents\GitHub\eaglep3\Utilities\RefineRTDCRunTimes.py" --tripid 131-29 --locoid 4042 --swversion DE.1.0.8.0 --startMP 204:440 --initTime 2016-12-29T07:22:34 --startdatetime 2016-12-29T07:30:25 --delay 0 --endMP 204:233301 --enddatetime 2016-12-29T08:06:35 --enforcementcount 0 &gt;&gt;C:\Users\stu\Documents\GitHub\eaglep3-reporting\EC\2016-12-29-refined-times.txt</v>
      </c>
      <c r="AI40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{"issue":{"subject":"","project_id":79,"tracker_id":40,"status_id":1,"priority_id":2,"assigned_to_id":23,"start_date":"2016-12-29","description":"","custom_fields":[{"id":1,"name":"Subdivision","value":"EC"},{"id":4,"name":"Milepost","value":"23.3301"},{"id":17,"name":"Train ID","value":"131-29"},{"id":16,"name":"Locomotive ID","value":"4042"},{"id":130,"name":"Impact","value":""},{"id":150,"name":"Time of Event (Mountain Time)","value":"08:06:35"},{"id":151,"name":"Denver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16"/>
        <v>start /low /b %USERPROFILE%\Documents\GitHub\eaglep3\Utilities\DownloadLogsFromS3.py --loco 4042 --day 2016-12-29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526</v>
      </c>
      <c r="B41" s="7">
        <v>4041</v>
      </c>
      <c r="C41" s="22" t="s">
        <v>205</v>
      </c>
      <c r="D41" s="22" t="s">
        <v>302</v>
      </c>
      <c r="E41" s="13">
        <v>42733.347129629627</v>
      </c>
      <c r="F41" s="13">
        <v>42733.3516087963</v>
      </c>
      <c r="G41" s="7">
        <v>1</v>
      </c>
      <c r="H41" s="22" t="s">
        <v>300</v>
      </c>
      <c r="I41" s="13">
        <v>42733.378854166665</v>
      </c>
      <c r="J41" s="7">
        <v>0</v>
      </c>
      <c r="K41" s="105" t="str">
        <f t="shared" si="0"/>
        <v>4041/4042</v>
      </c>
      <c r="L41" s="22" t="str">
        <f>VLOOKUP(A41,'Trips&amp;Operators'!$C$1:$G$99999,5,FALSE)</f>
        <v>ISHMAEL JOSEPH</v>
      </c>
      <c r="M41" s="6">
        <f t="shared" si="1"/>
        <v>2.7245370365562849E-2</v>
      </c>
      <c r="N41" s="7">
        <f t="shared" si="18"/>
        <v>39.233333326410502</v>
      </c>
      <c r="O41" s="7"/>
      <c r="P41" s="7"/>
      <c r="Q41" s="23"/>
      <c r="R41" s="23"/>
      <c r="S41" s="32">
        <f t="shared" si="3"/>
        <v>1</v>
      </c>
      <c r="T41" s="47" t="str">
        <f t="shared" si="4"/>
        <v>Southbound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07:19:52-700',mode:absolute,to:'2016-12-29 10:05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1" s="49" t="str">
        <f t="shared" si="6"/>
        <v>N</v>
      </c>
      <c r="X41" s="173">
        <f t="shared" si="17"/>
        <v>1</v>
      </c>
      <c r="Y41" s="64">
        <f t="shared" si="7"/>
        <v>23.298200000000001</v>
      </c>
      <c r="Z41" s="64">
        <f t="shared" si="8"/>
        <v>1.52E-2</v>
      </c>
      <c r="AA41" s="64">
        <f t="shared" si="9"/>
        <v>23.283000000000001</v>
      </c>
      <c r="AB41" s="61" t="e">
        <f>VLOOKUP(A41,Enforcements!$C$7:$K$19,8,0)</f>
        <v>#N/A</v>
      </c>
      <c r="AC41" s="57" t="e">
        <f>VLOOKUP(A41,Enforcements!$C$7:$E$19,3,0)</f>
        <v>#N/A</v>
      </c>
      <c r="AD41" s="58" t="str">
        <f t="shared" si="10"/>
        <v>0132-29</v>
      </c>
      <c r="AE41" s="87" t="str">
        <f t="shared" si="11"/>
        <v>aws s3 cp s3://rtdc.mdm.uploadarchive.raw/RTDC4041/ "%USERPROFILE%\AppData\Local\Temp\OnboardLogs"\RTDC4041\2016-12-29 --exclude "*" --recursive --include "*20161229*" &amp; "%USERPROFILE%\Documents\GitHub\mrs-test-scripts\Headless Mode &amp; Sideloading\WalkAndUnGZ.bat" "%USERPROFILE%\AppData\Local\Temp\OnboardLogs"\RTDC4041\2016-12-29 &amp; aws s3 cp s3://rtdc.mdm.uploadarchive.raw/RTDC4041/ "%USERPROFILE%\AppData\Local\Temp\OnboardLogs"\RTDC4041\2016-12-30 --exclude "*" --recursive --include "*20161230*" &amp; "%USERPROFILE%\Documents\GitHub\mrs-test-scripts\Headless Mode &amp; Sideloading\WalkAndUnGZ.bat" "%USERPROFILE%\AppData\Local\Temp\OnboardLogs"\RTDC4041\2016-12-30</v>
      </c>
      <c r="AF41" s="84" t="str">
        <f t="shared" si="12"/>
        <v>"C:\Program Files (x86)\AstroGrep\AstroGrep.exe" /spath="%USERPROFILE%\AppData\Local\Temp\OnboardLogs" /stypes="app*4041*20161229*" /stext=" 16:.+((SYSTEM_STATE.+slice.+state.+changed )|(ment ac)|(multiple cpu faults)|(system.+state.+changed )|(\[timeout)|(PRM\|1\|D)|(kpr)|(kdp)|(\|lc)|(penalty))" /e /r /s</v>
      </c>
      <c r="AG41" s="1" t="str">
        <f t="shared" si="13"/>
        <v>EC</v>
      </c>
      <c r="AH41" s="88" t="str">
        <f t="shared" si="14"/>
        <v>"%USERPROFILE%\Documents\GitHub\eaglep3\Utilities\RefineRTDCRunTimes.py" --tripid 132-29 --locoid 4041 --swversion DE.1.0.8.0 --startMP 204:232982 --initTime 2016-12-29T08:19:52 --startdatetime 2016-12-29T08:26:19 --delay 1 --endMP 204:152 --enddatetime 2016-12-29T09:05:33 --enforcementcount 0 &gt;&gt;C:\Users\stu\Documents\GitHub\eaglep3-reporting\EC\2016-12-29-refined-times.txt</v>
      </c>
      <c r="AI41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{"issue":{"subject":"","project_id":79,"tracker_id":40,"status_id":1,"priority_id":2,"assigned_to_id":23,"start_date":"2016-12-29","description":"","custom_fields":[{"id":1,"name":"Subdivision","value":"EC"},{"id":4,"name":"Milepost","value":"0.0152"},{"id":17,"name":"Train ID","value":"132-29"},{"id":16,"name":"Locomotive ID","value":"4041"},{"id":130,"name":"Impact","value":""},{"id":150,"name":"Time of Event (Mountain Time)","value":"09:05:33"},{"id":151,"name":"Denver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16"/>
        <v>start /low /b %USERPROFILE%\Documents\GitHub\eaglep3\Utilities\DownloadLogsFromS3.py --loco 4041 --day 2016-12-29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519</v>
      </c>
      <c r="B42" s="7">
        <v>4002</v>
      </c>
      <c r="C42" s="22" t="s">
        <v>205</v>
      </c>
      <c r="D42" s="22" t="s">
        <v>320</v>
      </c>
      <c r="E42" s="13">
        <v>42733.31927083333</v>
      </c>
      <c r="F42" s="13">
        <v>42733.323298611111</v>
      </c>
      <c r="G42" s="7">
        <v>2</v>
      </c>
      <c r="H42" s="22" t="s">
        <v>309</v>
      </c>
      <c r="I42" s="13">
        <v>42733.349282407406</v>
      </c>
      <c r="J42" s="7">
        <v>0</v>
      </c>
      <c r="K42" s="105" t="str">
        <f t="shared" si="0"/>
        <v>4001/4002</v>
      </c>
      <c r="L42" s="22" t="str">
        <f>VLOOKUP(A42,'Trips&amp;Operators'!$C$1:$G$99999,5,FALSE)</f>
        <v>MAGEE KENYA</v>
      </c>
      <c r="M42" s="6">
        <f t="shared" si="1"/>
        <v>2.5983796294895001E-2</v>
      </c>
      <c r="N42" s="7">
        <f t="shared" si="18"/>
        <v>37.416666664648801</v>
      </c>
      <c r="O42" s="7"/>
      <c r="P42" s="7"/>
      <c r="Q42" s="23"/>
      <c r="R42" s="23"/>
      <c r="S42" s="32">
        <f t="shared" si="3"/>
        <v>1</v>
      </c>
      <c r="T42" s="47" t="str">
        <f t="shared" si="4"/>
        <v>NorthBound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06:39:45-700',mode:absolute,to:'2016-12-29 09:22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2" s="49" t="str">
        <f t="shared" si="6"/>
        <v>N</v>
      </c>
      <c r="X42" s="173">
        <f t="shared" si="17"/>
        <v>1</v>
      </c>
      <c r="Y42" s="64">
        <f t="shared" si="7"/>
        <v>4.5699999999999998E-2</v>
      </c>
      <c r="Z42" s="64">
        <f t="shared" si="8"/>
        <v>23.330400000000001</v>
      </c>
      <c r="AA42" s="64">
        <f t="shared" si="9"/>
        <v>23.284700000000001</v>
      </c>
      <c r="AB42" s="61" t="e">
        <f>VLOOKUP(A42,Enforcements!$C$7:$K$19,8,0)</f>
        <v>#N/A</v>
      </c>
      <c r="AC42" s="57" t="e">
        <f>VLOOKUP(A42,Enforcements!$C$7:$E$19,3,0)</f>
        <v>#N/A</v>
      </c>
      <c r="AD42" s="58" t="str">
        <f t="shared" si="10"/>
        <v>0133-29</v>
      </c>
      <c r="AE42" s="87" t="str">
        <f t="shared" si="11"/>
        <v>aws s3 cp s3://rtdc.mdm.uploadarchive.raw/RTDC4002/ "%USERPROFILE%\AppData\Local\Temp\OnboardLogs"\RTDC4002\2016-12-29 --exclude "*" --recursive --include "*20161229*" &amp; "%USERPROFILE%\Documents\GitHub\mrs-test-scripts\Headless Mode &amp; Sideloading\WalkAndUnGZ.bat" "%USERPROFILE%\AppData\Local\Temp\OnboardLogs"\RTDC4002\2016-12-29 &amp; aws s3 cp s3://rtdc.mdm.uploadarchive.raw/RTDC4002/ "%USERPROFILE%\AppData\Local\Temp\OnboardLogs"\RTDC4002\2016-12-30 --exclude "*" --recursive --include "*20161230*" &amp; "%USERPROFILE%\Documents\GitHub\mrs-test-scripts\Headless Mode &amp; Sideloading\WalkAndUnGZ.bat" "%USERPROFILE%\AppData\Local\Temp\OnboardLogs"\RTDC4002\2016-12-30</v>
      </c>
      <c r="AF42" s="84" t="str">
        <f t="shared" si="12"/>
        <v>"C:\Program Files (x86)\AstroGrep\AstroGrep.exe" /spath="%USERPROFILE%\AppData\Local\Temp\OnboardLogs" /stypes="app*4002*20161229*" /stext=" 15:.+((SYSTEM_STATE.+slice.+state.+changed )|(ment ac)|(multiple cpu faults)|(system.+state.+changed )|(\[timeout)|(PRM\|1\|D)|(kpr)|(kdp)|(\|lc)|(penalty))" /e /r /s</v>
      </c>
      <c r="AG42" s="1" t="str">
        <f t="shared" si="13"/>
        <v>EC</v>
      </c>
      <c r="AH42" s="88" t="str">
        <f t="shared" si="14"/>
        <v>"%USERPROFILE%\Documents\GitHub\eaglep3\Utilities\RefineRTDCRunTimes.py" --tripid 133-29 --locoid 4002 --swversion DE.1.0.8.0 --startMP 204:457 --initTime 2016-12-29T07:39:45 --startdatetime 2016-12-29T07:45:33 --delay 2 --endMP 204:233304 --enddatetime 2016-12-29T08:22:58 --enforcementcount 0 &gt;&gt;C:\Users\stu\Documents\GitHub\eaglep3-reporting\EC\2016-12-29-refined-times.txt</v>
      </c>
      <c r="AI42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{"issue":{"subject":"","project_id":79,"tracker_id":40,"status_id":1,"priority_id":2,"assigned_to_id":23,"start_date":"2016-12-29","description":"","custom_fields":[{"id":1,"name":"Subdivision","value":"EC"},{"id":4,"name":"Milepost","value":"23.3304"},{"id":17,"name":"Train ID","value":"133-29"},{"id":16,"name":"Locomotive ID","value":"4002"},{"id":130,"name":"Impact","value":""},{"id":150,"name":"Time of Event (Mountain Time)","value":"08:22:58"},{"id":151,"name":"Denver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16"/>
        <v>start /low /b %USERPROFILE%\Documents\GitHub\eaglep3\Utilities\DownloadLogsFromS3.py --loco 4002 --day 2016-12-29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529</v>
      </c>
      <c r="B43" s="7">
        <v>4001</v>
      </c>
      <c r="C43" s="22" t="s">
        <v>205</v>
      </c>
      <c r="D43" s="22" t="s">
        <v>366</v>
      </c>
      <c r="E43" s="13">
        <v>42733.35423611111</v>
      </c>
      <c r="F43" s="13">
        <v>42733.362453703703</v>
      </c>
      <c r="G43" s="7">
        <v>1</v>
      </c>
      <c r="H43" s="22" t="s">
        <v>307</v>
      </c>
      <c r="I43" s="13">
        <v>42733.390081018515</v>
      </c>
      <c r="J43" s="7">
        <v>0</v>
      </c>
      <c r="K43" s="105" t="str">
        <f t="shared" si="0"/>
        <v>4001/4002</v>
      </c>
      <c r="L43" s="22" t="str">
        <f>VLOOKUP(A43,'Trips&amp;Operators'!$C$1:$G$99999,5,FALSE)</f>
        <v>MAGEE KENYA</v>
      </c>
      <c r="M43" s="6">
        <f t="shared" si="1"/>
        <v>2.7627314811979886E-2</v>
      </c>
      <c r="N43" s="7">
        <f t="shared" si="18"/>
        <v>39.783333329251036</v>
      </c>
      <c r="O43" s="7"/>
      <c r="P43" s="7"/>
      <c r="Q43" s="23"/>
      <c r="R43" s="23"/>
      <c r="S43" s="32">
        <f t="shared" si="3"/>
        <v>1</v>
      </c>
      <c r="T43" s="47" t="str">
        <f t="shared" si="4"/>
        <v>Southbound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07:30:06-700',mode:absolute,to:'2016-12-29 10:21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3" s="49" t="str">
        <f t="shared" si="6"/>
        <v>N</v>
      </c>
      <c r="X43" s="173">
        <f t="shared" si="17"/>
        <v>1</v>
      </c>
      <c r="Y43" s="64">
        <f t="shared" si="7"/>
        <v>23.299099999999999</v>
      </c>
      <c r="Z43" s="64">
        <f t="shared" si="8"/>
        <v>1.5800000000000002E-2</v>
      </c>
      <c r="AA43" s="64">
        <f t="shared" si="9"/>
        <v>23.283300000000001</v>
      </c>
      <c r="AB43" s="61" t="e">
        <f>VLOOKUP(A43,Enforcements!$C$7:$K$19,8,0)</f>
        <v>#N/A</v>
      </c>
      <c r="AC43" s="57" t="e">
        <f>VLOOKUP(A43,Enforcements!$C$7:$E$19,3,0)</f>
        <v>#N/A</v>
      </c>
      <c r="AD43" s="58" t="str">
        <f t="shared" si="10"/>
        <v>0134-29</v>
      </c>
      <c r="AE43" s="87" t="str">
        <f t="shared" si="11"/>
        <v>aws s3 cp s3://rtdc.mdm.uploadarchive.raw/RTDC4001/ "%USERPROFILE%\AppData\Local\Temp\OnboardLogs"\RTDC4001\2016-12-29 --exclude "*" --recursive --include "*20161229*" &amp; "%USERPROFILE%\Documents\GitHub\mrs-test-scripts\Headless Mode &amp; Sideloading\WalkAndUnGZ.bat" "%USERPROFILE%\AppData\Local\Temp\OnboardLogs"\RTDC4001\2016-12-29 &amp; aws s3 cp s3://rtdc.mdm.uploadarchive.raw/RTDC4001/ "%USERPROFILE%\AppData\Local\Temp\OnboardLogs"\RTDC4001\2016-12-30 --exclude "*" --recursive --include "*20161230*" &amp; "%USERPROFILE%\Documents\GitHub\mrs-test-scripts\Headless Mode &amp; Sideloading\WalkAndUnGZ.bat" "%USERPROFILE%\AppData\Local\Temp\OnboardLogs"\RTDC4001\2016-12-30</v>
      </c>
      <c r="AF43" s="84" t="str">
        <f t="shared" si="12"/>
        <v>"C:\Program Files (x86)\AstroGrep\AstroGrep.exe" /spath="%USERPROFILE%\AppData\Local\Temp\OnboardLogs" /stypes="app*4001*20161229*" /stext=" 16:.+((SYSTEM_STATE.+slice.+state.+changed )|(ment ac)|(multiple cpu faults)|(system.+state.+changed )|(\[timeout)|(PRM\|1\|D)|(kpr)|(kdp)|(\|lc)|(penalty))" /e /r /s</v>
      </c>
      <c r="AG43" s="1" t="str">
        <f t="shared" si="13"/>
        <v>EC</v>
      </c>
      <c r="AH43" s="88" t="str">
        <f t="shared" si="14"/>
        <v>"%USERPROFILE%\Documents\GitHub\eaglep3\Utilities\RefineRTDCRunTimes.py" --tripid 134-29 --locoid 4001 --swversion DE.1.0.8.0 --startMP 204:232991 --initTime 2016-12-29T08:30:06 --startdatetime 2016-12-29T08:41:56 --delay 1 --endMP 204:158 --enddatetime 2016-12-29T09:21:43 --enforcementcount 0 &gt;&gt;C:\Users\stu\Documents\GitHub\eaglep3-reporting\EC\2016-12-29-refined-times.txt</v>
      </c>
      <c r="AI43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{"issue":{"subject":"","project_id":79,"tracker_id":40,"status_id":1,"priority_id":2,"assigned_to_id":23,"start_date":"2016-12-29","description":"","custom_fields":[{"id":1,"name":"Subdivision","value":"EC"},{"id":4,"name":"Milepost","value":"0.0158"},{"id":17,"name":"Train ID","value":"134-29"},{"id":16,"name":"Locomotive ID","value":"4001"},{"id":130,"name":"Impact","value":""},{"id":150,"name":"Time of Event (Mountain Time)","value":"09:21:43"},{"id":151,"name":"Denver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16"/>
        <v>start /low /b %USERPROFILE%\Documents\GitHub\eaglep3\Utilities\DownloadLogsFromS3.py --loco 4001 --day 2016-12-29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520</v>
      </c>
      <c r="B44" s="7">
        <v>4014</v>
      </c>
      <c r="C44" s="22" t="s">
        <v>205</v>
      </c>
      <c r="D44" s="22" t="s">
        <v>194</v>
      </c>
      <c r="E44" s="13">
        <v>42733.329270833332</v>
      </c>
      <c r="F44" s="13">
        <v>42733.333483796298</v>
      </c>
      <c r="G44" s="7">
        <v>0</v>
      </c>
      <c r="H44" s="22" t="s">
        <v>295</v>
      </c>
      <c r="I44" s="13">
        <v>42733.357824074075</v>
      </c>
      <c r="J44" s="7">
        <v>0</v>
      </c>
      <c r="K44" s="105" t="str">
        <f t="shared" si="0"/>
        <v>4013/4014</v>
      </c>
      <c r="L44" s="22" t="str">
        <f>VLOOKUP(A44,'Trips&amp;Operators'!$C$1:$G$99999,5,FALSE)</f>
        <v>ROBINSON KADDIBA</v>
      </c>
      <c r="M44" s="6">
        <f t="shared" si="1"/>
        <v>2.4340277777810115E-2</v>
      </c>
      <c r="N44" s="7">
        <f t="shared" si="18"/>
        <v>35.050000000046566</v>
      </c>
      <c r="O44" s="7"/>
      <c r="P44" s="7"/>
      <c r="Q44" s="23"/>
      <c r="R44" s="23"/>
      <c r="S44" s="32">
        <f t="shared" si="3"/>
        <v>1</v>
      </c>
      <c r="T44" s="47" t="str">
        <f t="shared" si="4"/>
        <v>NorthBound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06:54:09-700',mode:absolute,to:'2016-12-29 09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4" s="49" t="str">
        <f t="shared" si="6"/>
        <v>N</v>
      </c>
      <c r="X44" s="173">
        <f t="shared" si="17"/>
        <v>1</v>
      </c>
      <c r="Y44" s="64">
        <f t="shared" si="7"/>
        <v>4.5100000000000001E-2</v>
      </c>
      <c r="Z44" s="64">
        <f t="shared" si="8"/>
        <v>23.329699999999999</v>
      </c>
      <c r="AA44" s="64">
        <f t="shared" si="9"/>
        <v>23.284599999999998</v>
      </c>
      <c r="AB44" s="61" t="e">
        <f>VLOOKUP(A44,Enforcements!$C$7:$K$19,8,0)</f>
        <v>#N/A</v>
      </c>
      <c r="AC44" s="57" t="e">
        <f>VLOOKUP(A44,Enforcements!$C$7:$E$19,3,0)</f>
        <v>#N/A</v>
      </c>
      <c r="AD44" s="58" t="str">
        <f t="shared" si="10"/>
        <v>0135-29</v>
      </c>
      <c r="AE44" s="87" t="str">
        <f t="shared" si="11"/>
        <v>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 &amp; aws s3 cp s3://rtdc.mdm.uploadarchive.raw/RTDC4014/ "%USERPROFILE%\AppData\Local\Temp\OnboardLogs"\RTDC4014\2016-12-30 --exclude "*" --recursive --include "*20161230*" &amp; "%USERPROFILE%\Documents\GitHub\mrs-test-scripts\Headless Mode &amp; Sideloading\WalkAndUnGZ.bat" "%USERPROFILE%\AppData\Local\Temp\OnboardLogs"\RTDC4014\2016-12-30</v>
      </c>
      <c r="AF44" s="84" t="str">
        <f t="shared" si="12"/>
        <v>"C:\Program Files (x86)\AstroGrep\AstroGrep.exe" /spath="%USERPROFILE%\AppData\Local\Temp\OnboardLogs" /stypes="app*4014*20161229*" /stext=" 15:.+((SYSTEM_STATE.+slice.+state.+changed )|(ment ac)|(multiple cpu faults)|(system.+state.+changed )|(\[timeout)|(PRM\|1\|D)|(kpr)|(kdp)|(\|lc)|(penalty))" /e /r /s</v>
      </c>
      <c r="AG44" s="1" t="str">
        <f t="shared" si="13"/>
        <v>EC</v>
      </c>
      <c r="AH44" s="88" t="str">
        <f t="shared" si="14"/>
        <v>"%USERPROFILE%\Documents\GitHub\eaglep3\Utilities\RefineRTDCRunTimes.py" --tripid 135-29 --locoid 4014 --swversion DE.1.0.8.0 --startMP 204:451 --initTime 2016-12-29T07:54:09 --startdatetime 2016-12-29T08:00:13 --delay 0 --endMP 204:233297 --enddatetime 2016-12-29T08:35:16 --enforcementcount 0 &gt;&gt;C:\Users\stu\Documents\GitHub\eaglep3-reporting\EC\2016-12-29-refined-times.txt</v>
      </c>
      <c r="AI44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{"issue":{"subject":"","project_id":79,"tracker_id":40,"status_id":1,"priority_id":2,"assigned_to_id":23,"start_date":"2016-12-29","description":"","custom_fields":[{"id":1,"name":"Subdivision","value":"EC"},{"id":4,"name":"Milepost","value":"23.3297"},{"id":17,"name":"Train ID","value":"135-29"},{"id":16,"name":"Locomotive ID","value":"4014"},{"id":130,"name":"Impact","value":""},{"id":150,"name":"Time of Event (Mountain Time)","value":"08:35:16"},{"id":151,"name":"Denver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16"/>
        <v>start /low /b %USERPROFILE%\Documents\GitHub\eaglep3\Utilities\DownloadLogsFromS3.py --loco 4014 --day 2016-12-29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532</v>
      </c>
      <c r="B45" s="7">
        <v>4013</v>
      </c>
      <c r="C45" s="22" t="s">
        <v>205</v>
      </c>
      <c r="D45" s="22" t="s">
        <v>402</v>
      </c>
      <c r="E45" s="13">
        <v>42733.369027777779</v>
      </c>
      <c r="F45" s="13">
        <v>42733.372418981482</v>
      </c>
      <c r="G45" s="7">
        <v>1</v>
      </c>
      <c r="H45" s="22" t="s">
        <v>192</v>
      </c>
      <c r="I45" s="13">
        <v>42733.400462962964</v>
      </c>
      <c r="J45" s="7">
        <v>0</v>
      </c>
      <c r="K45" s="105" t="str">
        <f t="shared" si="0"/>
        <v>4013/4014</v>
      </c>
      <c r="L45" s="22" t="str">
        <f>VLOOKUP(A45,'Trips&amp;Operators'!$C$1:$G$99999,5,FALSE)</f>
        <v>ROBINSON KADDIBA</v>
      </c>
      <c r="M45" s="6">
        <f t="shared" si="1"/>
        <v>2.8043981481459923E-2</v>
      </c>
      <c r="N45" s="7">
        <f t="shared" si="18"/>
        <v>40.383333333302289</v>
      </c>
      <c r="O45" s="7"/>
      <c r="P45" s="7"/>
      <c r="Q45" s="23"/>
      <c r="R45" s="23"/>
      <c r="S45" s="32">
        <f t="shared" si="3"/>
        <v>1</v>
      </c>
      <c r="T45" s="47" t="str">
        <f t="shared" si="4"/>
        <v>Southbound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07:51:24-700',mode:absolute,to:'2016-12-29 10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5" s="49" t="str">
        <f t="shared" si="6"/>
        <v>N</v>
      </c>
      <c r="X45" s="173">
        <f t="shared" si="17"/>
        <v>1</v>
      </c>
      <c r="Y45" s="64">
        <f t="shared" si="7"/>
        <v>23.298400000000001</v>
      </c>
      <c r="Z45" s="64">
        <f t="shared" si="8"/>
        <v>1.43E-2</v>
      </c>
      <c r="AA45" s="64">
        <f t="shared" si="9"/>
        <v>23.284100000000002</v>
      </c>
      <c r="AB45" s="61" t="e">
        <f>VLOOKUP(A45,Enforcements!$C$7:$K$19,8,0)</f>
        <v>#N/A</v>
      </c>
      <c r="AC45" s="57" t="e">
        <f>VLOOKUP(A45,Enforcements!$C$7:$E$19,3,0)</f>
        <v>#N/A</v>
      </c>
      <c r="AD45" s="58" t="str">
        <f t="shared" si="10"/>
        <v>0136-29</v>
      </c>
      <c r="AE45" s="87" t="str">
        <f t="shared" si="11"/>
        <v>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 &amp; aws s3 cp s3://rtdc.mdm.uploadarchive.raw/RTDC4013/ "%USERPROFILE%\AppData\Local\Temp\OnboardLogs"\RTDC4013\2016-12-30 --exclude "*" --recursive --include "*20161230*" &amp; "%USERPROFILE%\Documents\GitHub\mrs-test-scripts\Headless Mode &amp; Sideloading\WalkAndUnGZ.bat" "%USERPROFILE%\AppData\Local\Temp\OnboardLogs"\RTDC4013\2016-12-30</v>
      </c>
      <c r="AF45" s="84" t="str">
        <f t="shared" si="12"/>
        <v>"C:\Program Files (x86)\AstroGrep\AstroGrep.exe" /spath="%USERPROFILE%\AppData\Local\Temp\OnboardLogs" /stypes="app*4013*20161229*" /stext=" 16:.+((SYSTEM_STATE.+slice.+state.+changed )|(ment ac)|(multiple cpu faults)|(system.+state.+changed )|(\[timeout)|(PRM\|1\|D)|(kpr)|(kdp)|(\|lc)|(penalty))" /e /r /s</v>
      </c>
      <c r="AG45" s="1" t="str">
        <f t="shared" si="13"/>
        <v>EC</v>
      </c>
      <c r="AH45" s="88" t="str">
        <f t="shared" si="14"/>
        <v>"%USERPROFILE%\Documents\GitHub\eaglep3\Utilities\RefineRTDCRunTimes.py" --tripid 136-29 --locoid 4013 --swversion DE.1.0.8.0 --startMP 204:232984 --initTime 2016-12-29T08:51:24 --startdatetime 2016-12-29T08:56:17 --delay 1 --endMP 204:143 --enddatetime 2016-12-29T09:36:40 --enforcementcount 0 &gt;&gt;C:\Users\stu\Documents\GitHub\eaglep3-reporting\EC\2016-12-29-refined-times.txt</v>
      </c>
      <c r="AI45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{"issue":{"subject":"","project_id":79,"tracker_id":40,"status_id":1,"priority_id":2,"assigned_to_id":23,"start_date":"2016-12-29","description":"","custom_fields":[{"id":1,"name":"Subdivision","value":"EC"},{"id":4,"name":"Milepost","value":"0.0143"},{"id":17,"name":"Train ID","value":"136-29"},{"id":16,"name":"Locomotive ID","value":"4013"},{"id":130,"name":"Impact","value":""},{"id":150,"name":"Time of Event (Mountain Time)","value":"09:36:40"},{"id":151,"name":"Denver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16"/>
        <v>start /low /b %USERPROFILE%\Documents\GitHub\eaglep3\Utilities\DownloadLogsFromS3.py --loco 4013 --day 2016-12-29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524</v>
      </c>
      <c r="B46" s="7">
        <v>4031</v>
      </c>
      <c r="C46" s="22" t="s">
        <v>205</v>
      </c>
      <c r="D46" s="22" t="s">
        <v>693</v>
      </c>
      <c r="E46" s="13">
        <v>42733.340416666666</v>
      </c>
      <c r="F46" s="13">
        <v>42733.343958333331</v>
      </c>
      <c r="G46" s="7">
        <v>1</v>
      </c>
      <c r="H46" s="22" t="s">
        <v>358</v>
      </c>
      <c r="I46" s="13">
        <v>42733.369583333333</v>
      </c>
      <c r="J46" s="7">
        <v>0</v>
      </c>
      <c r="K46" s="105" t="str">
        <f t="shared" si="0"/>
        <v>4031/4032</v>
      </c>
      <c r="L46" s="22" t="str">
        <f>VLOOKUP(A46,'Trips&amp;Operators'!$C$1:$G$99999,5,FALSE)</f>
        <v>YANG JAN</v>
      </c>
      <c r="M46" s="6">
        <f t="shared" si="1"/>
        <v>2.5625000002037268E-2</v>
      </c>
      <c r="N46" s="7">
        <f t="shared" si="18"/>
        <v>36.900000002933666</v>
      </c>
      <c r="O46" s="7"/>
      <c r="P46" s="7"/>
      <c r="Q46" s="23"/>
      <c r="R46" s="23"/>
      <c r="S46" s="32">
        <f t="shared" si="3"/>
        <v>1</v>
      </c>
      <c r="T46" s="47" t="str">
        <f t="shared" si="4"/>
        <v>NorthBound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07:10:12-700',mode:absolute,to:'2016-12-29 09:52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6" s="49" t="str">
        <f t="shared" si="6"/>
        <v>N</v>
      </c>
      <c r="X46" s="173">
        <f t="shared" ref="X46:X77" si="19">VALUE(LEFT(AD46,4))-VALUE(LEFT(AD45,4))</f>
        <v>1</v>
      </c>
      <c r="Y46" s="64">
        <f t="shared" si="7"/>
        <v>4.3499999999999997E-2</v>
      </c>
      <c r="Z46" s="64">
        <f t="shared" si="8"/>
        <v>23.332100000000001</v>
      </c>
      <c r="AA46" s="64">
        <f t="shared" si="9"/>
        <v>23.288599999999999</v>
      </c>
      <c r="AB46" s="61" t="e">
        <f>VLOOKUP(A46,Enforcements!$C$7:$K$19,8,0)</f>
        <v>#N/A</v>
      </c>
      <c r="AC46" s="57" t="e">
        <f>VLOOKUP(A46,Enforcements!$C$7:$E$19,3,0)</f>
        <v>#N/A</v>
      </c>
      <c r="AD46" s="58" t="str">
        <f t="shared" si="10"/>
        <v>0137-29</v>
      </c>
      <c r="AE46" s="87" t="str">
        <f t="shared" si="11"/>
        <v>aws s3 cp s3://rtdc.mdm.uploadarchive.raw/RTDC4031/ "%USERPROFILE%\AppData\Local\Temp\OnboardLogs"\RTDC4031\2016-12-29 --exclude "*" --recursive --include "*20161229*" &amp; "%USERPROFILE%\Documents\GitHub\mrs-test-scripts\Headless Mode &amp; Sideloading\WalkAndUnGZ.bat" "%USERPROFILE%\AppData\Local\Temp\OnboardLogs"\RTDC4031\2016-12-29 &amp; 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</v>
      </c>
      <c r="AF46" s="84" t="str">
        <f t="shared" si="12"/>
        <v>"C:\Program Files (x86)\AstroGrep\AstroGrep.exe" /spath="%USERPROFILE%\AppData\Local\Temp\OnboardLogs" /stypes="app*4031*20161229*" /stext=" 15:.+((SYSTEM_STATE.+slice.+state.+changed )|(ment ac)|(multiple cpu faults)|(system.+state.+changed )|(\[timeout)|(PRM\|1\|D)|(kpr)|(kdp)|(\|lc)|(penalty))" /e /r /s</v>
      </c>
      <c r="AG46" s="1" t="str">
        <f t="shared" si="13"/>
        <v>EC</v>
      </c>
      <c r="AH46" s="88" t="str">
        <f t="shared" si="14"/>
        <v>"%USERPROFILE%\Documents\GitHub\eaglep3\Utilities\RefineRTDCRunTimes.py" --tripid 137-29 --locoid 4031 --swversion DE.1.0.8.0 --startMP 204:435 --initTime 2016-12-29T08:10:12 --startdatetime 2016-12-29T08:15:18 --delay 1 --endMP 204:233321 --enddatetime 2016-12-29T08:52:12 --enforcementcount 0 &gt;&gt;C:\Users\stu\Documents\GitHub\eaglep3-reporting\EC\2016-12-29-refined-times.txt</v>
      </c>
      <c r="AI46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{"issue":{"subject":"","project_id":79,"tracker_id":40,"status_id":1,"priority_id":2,"assigned_to_id":23,"start_date":"2016-12-29","description":"","custom_fields":[{"id":1,"name":"Subdivision","value":"EC"},{"id":4,"name":"Milepost","value":"23.3321"},{"id":17,"name":"Train ID","value":"137-29"},{"id":16,"name":"Locomotive ID","value":"4031"},{"id":130,"name":"Impact","value":""},{"id":150,"name":"Time of Event (Mountain Time)","value":"08:52:12"},{"id":151,"name":"Denver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16"/>
        <v>start /low /b %USERPROFILE%\Documents\GitHub\eaglep3\Utilities\DownloadLogsFromS3.py --loco 4031 --day 2016-12-29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534</v>
      </c>
      <c r="B47" s="7">
        <v>4032</v>
      </c>
      <c r="C47" s="22" t="s">
        <v>205</v>
      </c>
      <c r="D47" s="22" t="s">
        <v>332</v>
      </c>
      <c r="E47" s="13">
        <v>42733.376828703702</v>
      </c>
      <c r="F47" s="13">
        <v>42733.382847222223</v>
      </c>
      <c r="G47" s="7">
        <v>1</v>
      </c>
      <c r="H47" s="22" t="s">
        <v>191</v>
      </c>
      <c r="I47" s="13">
        <v>42733.410486111112</v>
      </c>
      <c r="J47" s="7">
        <v>0</v>
      </c>
      <c r="K47" s="105" t="str">
        <f t="shared" si="0"/>
        <v>4031/4032</v>
      </c>
      <c r="L47" s="22" t="str">
        <f>VLOOKUP(A47,'Trips&amp;Operators'!$C$1:$G$99999,5,FALSE)</f>
        <v>YANG JAN</v>
      </c>
      <c r="M47" s="6">
        <f t="shared" si="1"/>
        <v>2.7638888888759539E-2</v>
      </c>
      <c r="N47" s="7">
        <f t="shared" si="18"/>
        <v>39.799999999813735</v>
      </c>
      <c r="O47" s="7"/>
      <c r="P47" s="7"/>
      <c r="Q47" s="23"/>
      <c r="R47" s="23"/>
      <c r="S47" s="32">
        <f t="shared" si="3"/>
        <v>1</v>
      </c>
      <c r="T47" s="47" t="str">
        <f t="shared" si="4"/>
        <v>Southbound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08:02:38-700',mode:absolute,to:'2016-12-29 10:51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7" s="49" t="str">
        <f t="shared" si="6"/>
        <v>N</v>
      </c>
      <c r="X47" s="173">
        <f t="shared" si="19"/>
        <v>1</v>
      </c>
      <c r="Y47" s="64">
        <f t="shared" si="7"/>
        <v>23.298500000000001</v>
      </c>
      <c r="Z47" s="64">
        <f t="shared" si="8"/>
        <v>1.49E-2</v>
      </c>
      <c r="AA47" s="64">
        <f t="shared" si="9"/>
        <v>23.2836</v>
      </c>
      <c r="AB47" s="61" t="e">
        <f>VLOOKUP(A47,Enforcements!$C$7:$K$19,8,0)</f>
        <v>#N/A</v>
      </c>
      <c r="AC47" s="57" t="e">
        <f>VLOOKUP(A47,Enforcements!$C$7:$E$19,3,0)</f>
        <v>#N/A</v>
      </c>
      <c r="AD47" s="58" t="str">
        <f t="shared" si="10"/>
        <v>0138-29</v>
      </c>
      <c r="AE47" s="87" t="str">
        <f t="shared" si="11"/>
        <v>aws s3 cp s3://rtdc.mdm.uploadarchive.raw/RTDC4032/ "%USERPROFILE%\AppData\Local\Temp\OnboardLogs"\RTDC4032\2016-12-29 --exclude "*" --recursive --include "*20161229*" &amp; "%USERPROFILE%\Documents\GitHub\mrs-test-scripts\Headless Mode &amp; Sideloading\WalkAndUnGZ.bat" "%USERPROFILE%\AppData\Local\Temp\OnboardLogs"\RTDC4032\2016-12-29 &amp; 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</v>
      </c>
      <c r="AF47" s="84" t="str">
        <f t="shared" si="12"/>
        <v>"C:\Program Files (x86)\AstroGrep\AstroGrep.exe" /spath="%USERPROFILE%\AppData\Local\Temp\OnboardLogs" /stypes="app*4032*20161229*" /stext=" 16:.+((SYSTEM_STATE.+slice.+state.+changed )|(ment ac)|(multiple cpu faults)|(system.+state.+changed )|(\[timeout)|(PRM\|1\|D)|(kpr)|(kdp)|(\|lc)|(penalty))" /e /r /s</v>
      </c>
      <c r="AG47" s="1" t="str">
        <f t="shared" si="13"/>
        <v>EC</v>
      </c>
      <c r="AH47" s="88" t="str">
        <f t="shared" si="14"/>
        <v>"%USERPROFILE%\Documents\GitHub\eaglep3\Utilities\RefineRTDCRunTimes.py" --tripid 138-29 --locoid 4032 --swversion DE.1.0.8.0 --startMP 204:232985 --initTime 2016-12-29T09:02:38 --startdatetime 2016-12-29T09:11:18 --delay 1 --endMP 204:149 --enddatetime 2016-12-29T09:51:06 --enforcementcount 0 &gt;&gt;C:\Users\stu\Documents\GitHub\eaglep3-reporting\EC\2016-12-29-refined-times.txt</v>
      </c>
      <c r="AI47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{"issue":{"subject":"","project_id":79,"tracker_id":40,"status_id":1,"priority_id":2,"assigned_to_id":23,"start_date":"2016-12-29","description":"","custom_fields":[{"id":1,"name":"Subdivision","value":"EC"},{"id":4,"name":"Milepost","value":"0.0149"},{"id":17,"name":"Train ID","value":"138-29"},{"id":16,"name":"Locomotive ID","value":"4032"},{"id":130,"name":"Impact","value":""},{"id":150,"name":"Time of Event (Mountain Time)","value":"09:51:06"},{"id":151,"name":"Denver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16"/>
        <v>start /low /b %USERPROFILE%\Documents\GitHub\eaglep3\Utilities\DownloadLogsFromS3.py --loco 4032 --day 2016-12-29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527</v>
      </c>
      <c r="B48" s="7">
        <v>4003</v>
      </c>
      <c r="C48" s="22" t="s">
        <v>205</v>
      </c>
      <c r="D48" s="22" t="s">
        <v>259</v>
      </c>
      <c r="E48" s="13">
        <v>42733.349398148152</v>
      </c>
      <c r="F48" s="13">
        <v>42733.354351851849</v>
      </c>
      <c r="G48" s="7">
        <v>1</v>
      </c>
      <c r="H48" s="22" t="s">
        <v>694</v>
      </c>
      <c r="I48" s="13">
        <v>42733.379189814812</v>
      </c>
      <c r="J48" s="7">
        <v>0</v>
      </c>
      <c r="K48" s="105" t="str">
        <f t="shared" si="0"/>
        <v>4003/4004</v>
      </c>
      <c r="L48" s="22" t="str">
        <f>VLOOKUP(A48,'Trips&amp;Operators'!$C$1:$G$99999,5,FALSE)</f>
        <v>YORK EDGAR</v>
      </c>
      <c r="M48" s="6">
        <f t="shared" si="1"/>
        <v>2.4837962962919846E-2</v>
      </c>
      <c r="N48" s="7">
        <f t="shared" si="18"/>
        <v>35.766666666604578</v>
      </c>
      <c r="O48" s="7"/>
      <c r="P48" s="7"/>
      <c r="Q48" s="23"/>
      <c r="R48" s="23"/>
      <c r="S48" s="32">
        <f t="shared" si="3"/>
        <v>1</v>
      </c>
      <c r="T48" s="47" t="str">
        <f t="shared" si="4"/>
        <v>NorthBound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07:23:08-700',mode:absolute,to:'2016-12-29 10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8" s="49" t="str">
        <f t="shared" si="6"/>
        <v>N</v>
      </c>
      <c r="X48" s="173">
        <f t="shared" si="19"/>
        <v>1</v>
      </c>
      <c r="Y48" s="64">
        <f t="shared" si="7"/>
        <v>4.6199999999999998E-2</v>
      </c>
      <c r="Z48" s="64">
        <f t="shared" si="8"/>
        <v>23.328399999999998</v>
      </c>
      <c r="AA48" s="64">
        <f t="shared" si="9"/>
        <v>23.2822</v>
      </c>
      <c r="AB48" s="61" t="e">
        <f>VLOOKUP(A48,Enforcements!$C$7:$K$19,8,0)</f>
        <v>#N/A</v>
      </c>
      <c r="AC48" s="57" t="e">
        <f>VLOOKUP(A48,Enforcements!$C$7:$E$19,3,0)</f>
        <v>#N/A</v>
      </c>
      <c r="AD48" s="58" t="str">
        <f t="shared" si="10"/>
        <v>0139-29</v>
      </c>
      <c r="AE48" s="87" t="str">
        <f t="shared" si="11"/>
        <v>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 &amp; aws s3 cp s3://rtdc.mdm.uploadarchive.raw/RTDC4003/ "%USERPROFILE%\AppData\Local\Temp\OnboardLogs"\RTDC4003\2016-12-30 --exclude "*" --recursive --include "*20161230*" &amp; "%USERPROFILE%\Documents\GitHub\mrs-test-scripts\Headless Mode &amp; Sideloading\WalkAndUnGZ.bat" "%USERPROFILE%\AppData\Local\Temp\OnboardLogs"\RTDC4003\2016-12-30</v>
      </c>
      <c r="AF48" s="84" t="str">
        <f t="shared" si="12"/>
        <v>"C:\Program Files (x86)\AstroGrep\AstroGrep.exe" /spath="%USERPROFILE%\AppData\Local\Temp\OnboardLogs" /stypes="app*4003*20161229*" /stext=" 16:.+((SYSTEM_STATE.+slice.+state.+changed )|(ment ac)|(multiple cpu faults)|(system.+state.+changed )|(\[timeout)|(PRM\|1\|D)|(kpr)|(kdp)|(\|lc)|(penalty))" /e /r /s</v>
      </c>
      <c r="AG48" s="1" t="str">
        <f t="shared" si="13"/>
        <v>EC</v>
      </c>
      <c r="AH48" s="88" t="str">
        <f t="shared" si="14"/>
        <v>"%USERPROFILE%\Documents\GitHub\eaglep3\Utilities\RefineRTDCRunTimes.py" --tripid 139-29 --locoid 4003 --swversion DE.1.0.8.0 --startMP 204:462 --initTime 2016-12-29T08:23:08 --startdatetime 2016-12-29T08:30:16 --delay 1 --endMP 204:233284 --enddatetime 2016-12-29T09:06:02 --enforcementcount 0 &gt;&gt;C:\Users\stu\Documents\GitHub\eaglep3-reporting\EC\2016-12-29-refined-times.txt</v>
      </c>
      <c r="AI48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{"issue":{"subject":"","project_id":79,"tracker_id":40,"status_id":1,"priority_id":2,"assigned_to_id":23,"start_date":"2016-12-29","description":"","custom_fields":[{"id":1,"name":"Subdivision","value":"EC"},{"id":4,"name":"Milepost","value":"23.3284"},{"id":17,"name":"Train ID","value":"139-29"},{"id":16,"name":"Locomotive ID","value":"4003"},{"id":130,"name":"Impact","value":""},{"id":150,"name":"Time of Event (Mountain Time)","value":"09:06:02"},{"id":151,"name":"Denver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16"/>
        <v>start /low /b %USERPROFILE%\Documents\GitHub\eaglep3\Utilities\DownloadLogsFromS3.py --loco 4003 --day 2016-12-29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536</v>
      </c>
      <c r="B49" s="7">
        <v>4004</v>
      </c>
      <c r="C49" s="22" t="s">
        <v>205</v>
      </c>
      <c r="D49" s="22" t="s">
        <v>695</v>
      </c>
      <c r="E49" s="13">
        <v>42733.38076388889</v>
      </c>
      <c r="F49" s="13">
        <v>42733.393310185187</v>
      </c>
      <c r="G49" s="7">
        <v>1</v>
      </c>
      <c r="H49" s="22" t="s">
        <v>300</v>
      </c>
      <c r="I49" s="13">
        <v>42733.420416666668</v>
      </c>
      <c r="J49" s="7">
        <v>0</v>
      </c>
      <c r="K49" s="105" t="str">
        <f t="shared" si="0"/>
        <v>4003/4004</v>
      </c>
      <c r="L49" s="22" t="str">
        <f>VLOOKUP(A49,'Trips&amp;Operators'!$C$1:$G$99999,5,FALSE)</f>
        <v>YORK EDGAR</v>
      </c>
      <c r="M49" s="6">
        <f t="shared" si="1"/>
        <v>2.7106481480586808E-2</v>
      </c>
      <c r="N49" s="7">
        <f t="shared" si="18"/>
        <v>39.033333332045004</v>
      </c>
      <c r="O49" s="7"/>
      <c r="P49" s="7"/>
      <c r="Q49" s="23"/>
      <c r="R49" s="23"/>
      <c r="S49" s="32">
        <f t="shared" si="3"/>
        <v>1</v>
      </c>
      <c r="T49" s="47" t="str">
        <f t="shared" si="4"/>
        <v>Southbound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08:08:18-700',mode:absolute,to:'2016-12-29 11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9" s="49" t="str">
        <f t="shared" si="6"/>
        <v>N</v>
      </c>
      <c r="X49" s="173">
        <f t="shared" si="19"/>
        <v>1</v>
      </c>
      <c r="Y49" s="64">
        <f t="shared" si="7"/>
        <v>23.2957</v>
      </c>
      <c r="Z49" s="64">
        <f t="shared" si="8"/>
        <v>1.52E-2</v>
      </c>
      <c r="AA49" s="64">
        <f t="shared" si="9"/>
        <v>23.2805</v>
      </c>
      <c r="AB49" s="61" t="e">
        <f>VLOOKUP(A49,Enforcements!$C$7:$K$19,8,0)</f>
        <v>#N/A</v>
      </c>
      <c r="AC49" s="57" t="e">
        <f>VLOOKUP(A49,Enforcements!$C$7:$E$19,3,0)</f>
        <v>#N/A</v>
      </c>
      <c r="AD49" s="58" t="str">
        <f t="shared" si="10"/>
        <v>0140-29</v>
      </c>
      <c r="AE49" s="87" t="str">
        <f t="shared" si="11"/>
        <v>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 &amp; aws s3 cp s3://rtdc.mdm.uploadarchive.raw/RTDC4004/ "%USERPROFILE%\AppData\Local\Temp\OnboardLogs"\RTDC4004\2016-12-30 --exclude "*" --recursive --include "*20161230*" &amp; "%USERPROFILE%\Documents\GitHub\mrs-test-scripts\Headless Mode &amp; Sideloading\WalkAndUnGZ.bat" "%USERPROFILE%\AppData\Local\Temp\OnboardLogs"\RTDC4004\2016-12-30</v>
      </c>
      <c r="AF49" s="84" t="str">
        <f t="shared" si="12"/>
        <v>"C:\Program Files (x86)\AstroGrep\AstroGrep.exe" /spath="%USERPROFILE%\AppData\Local\Temp\OnboardLogs" /stypes="app*4004*20161229*" /stext=" 17:.+((SYSTEM_STATE.+slice.+state.+changed )|(ment ac)|(multiple cpu faults)|(system.+state.+changed )|(\[timeout)|(PRM\|1\|D)|(kpr)|(kdp)|(\|lc)|(penalty))" /e /r /s</v>
      </c>
      <c r="AG49" s="1" t="str">
        <f t="shared" si="13"/>
        <v>EC</v>
      </c>
      <c r="AH49" s="88" t="str">
        <f t="shared" si="14"/>
        <v>"%USERPROFILE%\Documents\GitHub\eaglep3\Utilities\RefineRTDCRunTimes.py" --tripid 140-29 --locoid 4004 --swversion DE.1.0.8.0 --startMP 204:232957 --initTime 2016-12-29T09:08:18 --startdatetime 2016-12-29T09:26:22 --delay 1 --endMP 204:152 --enddatetime 2016-12-29T10:05:24 --enforcementcount 0 &gt;&gt;C:\Users\stu\Documents\GitHub\eaglep3-reporting\EC\2016-12-29-refined-times.txt</v>
      </c>
      <c r="AI49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{"issue":{"subject":"","project_id":79,"tracker_id":40,"status_id":1,"priority_id":2,"assigned_to_id":23,"start_date":"2016-12-29","description":"","custom_fields":[{"id":1,"name":"Subdivision","value":"EC"},{"id":4,"name":"Milepost","value":"0.0152"},{"id":17,"name":"Train ID","value":"140-29"},{"id":16,"name":"Locomotive ID","value":"4004"},{"id":130,"name":"Impact","value":""},{"id":150,"name":"Time of Event (Mountain Time)","value":"10:05:24"},{"id":151,"name":"Denver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16"/>
        <v>start /low /b %USERPROFILE%\Documents\GitHub\eaglep3\Utilities\DownloadLogsFromS3.py --loco 4004 --day 2016-12-29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531</v>
      </c>
      <c r="B50" s="7">
        <v>4018</v>
      </c>
      <c r="C50" s="22" t="s">
        <v>205</v>
      </c>
      <c r="D50" s="22" t="s">
        <v>327</v>
      </c>
      <c r="E50" s="13">
        <v>42733.360671296294</v>
      </c>
      <c r="F50" s="13">
        <v>42733.364768518521</v>
      </c>
      <c r="G50" s="7">
        <v>1</v>
      </c>
      <c r="H50" s="22" t="s">
        <v>323</v>
      </c>
      <c r="I50" s="13">
        <v>42733.390775462962</v>
      </c>
      <c r="J50" s="7">
        <v>0</v>
      </c>
      <c r="K50" s="105" t="str">
        <f t="shared" si="0"/>
        <v>4017/4018</v>
      </c>
      <c r="L50" s="22" t="str">
        <f>VLOOKUP(A50,'Trips&amp;Operators'!$C$1:$G$99999,5,FALSE)</f>
        <v>ROCHA YAOTL</v>
      </c>
      <c r="M50" s="6">
        <f t="shared" si="1"/>
        <v>2.6006944441178348E-2</v>
      </c>
      <c r="N50" s="7">
        <f t="shared" si="18"/>
        <v>37.449999995296821</v>
      </c>
      <c r="O50" s="7"/>
      <c r="P50" s="7"/>
      <c r="Q50" s="23"/>
      <c r="R50" s="23"/>
      <c r="S50" s="32">
        <f t="shared" si="3"/>
        <v>1</v>
      </c>
      <c r="T50" s="47" t="str">
        <f t="shared" si="4"/>
        <v>NorthBound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07:39:22-700',mode:absolute,to:'2016-12-29 10:22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0" s="49" t="str">
        <f t="shared" si="6"/>
        <v>N</v>
      </c>
      <c r="X50" s="173">
        <f t="shared" si="19"/>
        <v>1</v>
      </c>
      <c r="Y50" s="64">
        <f t="shared" si="7"/>
        <v>4.4400000000000002E-2</v>
      </c>
      <c r="Z50" s="64">
        <f t="shared" si="8"/>
        <v>23.331700000000001</v>
      </c>
      <c r="AA50" s="64">
        <f t="shared" si="9"/>
        <v>23.287300000000002</v>
      </c>
      <c r="AB50" s="61" t="e">
        <f>VLOOKUP(A50,Enforcements!$C$7:$K$19,8,0)</f>
        <v>#N/A</v>
      </c>
      <c r="AC50" s="57" t="e">
        <f>VLOOKUP(A50,Enforcements!$C$7:$E$19,3,0)</f>
        <v>#N/A</v>
      </c>
      <c r="AD50" s="58" t="str">
        <f t="shared" si="10"/>
        <v>0141-29</v>
      </c>
      <c r="AE50" s="87" t="str">
        <f t="shared" si="11"/>
        <v>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 &amp; aws s3 cp s3://rtdc.mdm.uploadarchive.raw/RTDC4018/ "%USERPROFILE%\AppData\Local\Temp\OnboardLogs"\RTDC4018\2016-12-30 --exclude "*" --recursive --include "*20161230*" &amp; "%USERPROFILE%\Documents\GitHub\mrs-test-scripts\Headless Mode &amp; Sideloading\WalkAndUnGZ.bat" "%USERPROFILE%\AppData\Local\Temp\OnboardLogs"\RTDC4018\2016-12-30</v>
      </c>
      <c r="AF50" s="84" t="str">
        <f t="shared" si="12"/>
        <v>"C:\Program Files (x86)\AstroGrep\AstroGrep.exe" /spath="%USERPROFILE%\AppData\Local\Temp\OnboardLogs" /stypes="app*4018*20161229*" /stext=" 16:.+((SYSTEM_STATE.+slice.+state.+changed )|(ment ac)|(multiple cpu faults)|(system.+state.+changed )|(\[timeout)|(PRM\|1\|D)|(kpr)|(kdp)|(\|lc)|(penalty))" /e /r /s</v>
      </c>
      <c r="AG50" s="1" t="str">
        <f t="shared" si="13"/>
        <v>EC</v>
      </c>
      <c r="AH50" s="88" t="str">
        <f t="shared" si="14"/>
        <v>"%USERPROFILE%\Documents\GitHub\eaglep3\Utilities\RefineRTDCRunTimes.py" --tripid 141-29 --locoid 4018 --swversion DE.1.0.8.0 --startMP 204:444 --initTime 2016-12-29T08:39:22 --startdatetime 2016-12-29T08:45:16 --delay 1 --endMP 204:233317 --enddatetime 2016-12-29T09:22:43 --enforcementcount 0 &gt;&gt;C:\Users\stu\Documents\GitHub\eaglep3-reporting\EC\2016-12-29-refined-times.txt</v>
      </c>
      <c r="AI50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{"issue":{"subject":"","project_id":79,"tracker_id":40,"status_id":1,"priority_id":2,"assigned_to_id":23,"start_date":"2016-12-29","description":"","custom_fields":[{"id":1,"name":"Subdivision","value":"EC"},{"id":4,"name":"Milepost","value":"23.3317"},{"id":17,"name":"Train ID","value":"141-29"},{"id":16,"name":"Locomotive ID","value":"4018"},{"id":130,"name":"Impact","value":""},{"id":150,"name":"Time of Event (Mountain Time)","value":"09:22:43"},{"id":151,"name":"Denver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16"/>
        <v>start /low /b %USERPROFILE%\Documents\GitHub\eaglep3\Utilities\DownloadLogsFromS3.py --loco 4018 --day 2016-12-29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29" customFormat="1" x14ac:dyDescent="0.25">
      <c r="A51" s="34" t="s">
        <v>539</v>
      </c>
      <c r="B51" s="7">
        <v>4017</v>
      </c>
      <c r="C51" s="22" t="s">
        <v>205</v>
      </c>
      <c r="D51" s="22" t="s">
        <v>330</v>
      </c>
      <c r="E51" s="13">
        <v>42733.398148148146</v>
      </c>
      <c r="F51" s="13">
        <v>42733.404270833336</v>
      </c>
      <c r="G51" s="7">
        <v>1</v>
      </c>
      <c r="H51" s="22" t="s">
        <v>242</v>
      </c>
      <c r="I51" s="13">
        <v>42733.432592592595</v>
      </c>
      <c r="J51" s="7">
        <v>0</v>
      </c>
      <c r="K51" s="105" t="str">
        <f t="shared" si="0"/>
        <v>4017/4018</v>
      </c>
      <c r="L51" s="22" t="str">
        <f>VLOOKUP(A51,'Trips&amp;Operators'!$C$1:$G$99999,5,FALSE)</f>
        <v>ROCHA YAOTL</v>
      </c>
      <c r="M51" s="6">
        <f t="shared" si="1"/>
        <v>2.8321759258687962E-2</v>
      </c>
      <c r="N51" s="7">
        <f t="shared" si="18"/>
        <v>40.783333332510665</v>
      </c>
      <c r="O51" s="7"/>
      <c r="P51" s="7"/>
      <c r="Q51" s="23"/>
      <c r="R51" s="23"/>
      <c r="S51" s="32">
        <f t="shared" si="3"/>
        <v>1</v>
      </c>
      <c r="T51" s="47" t="str">
        <f t="shared" si="4"/>
        <v>Southbound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08:33:20-700',mode:absolute,to:'2016-12-29 11:22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1" s="49" t="str">
        <f t="shared" si="6"/>
        <v>N</v>
      </c>
      <c r="X51" s="173">
        <f t="shared" si="19"/>
        <v>1</v>
      </c>
      <c r="Y51" s="64">
        <f t="shared" si="7"/>
        <v>23.299600000000002</v>
      </c>
      <c r="Z51" s="64">
        <f t="shared" si="8"/>
        <v>1.6299999999999999E-2</v>
      </c>
      <c r="AA51" s="64">
        <f t="shared" si="9"/>
        <v>23.283300000000001</v>
      </c>
      <c r="AB51" s="61" t="e">
        <f>VLOOKUP(A51,Enforcements!$C$7:$K$19,8,0)</f>
        <v>#N/A</v>
      </c>
      <c r="AC51" s="57" t="e">
        <f>VLOOKUP(A51,Enforcements!$C$7:$E$19,3,0)</f>
        <v>#N/A</v>
      </c>
      <c r="AD51" s="58" t="str">
        <f t="shared" si="10"/>
        <v>0142-29</v>
      </c>
      <c r="AE51" s="87" t="str">
        <f t="shared" si="11"/>
        <v>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 &amp; aws s3 cp s3://rtdc.mdm.uploadarchive.raw/RTDC4017/ "%USERPROFILE%\AppData\Local\Temp\OnboardLogs"\RTDC4017\2016-12-30 --exclude "*" --recursive --include "*20161230*" &amp; "%USERPROFILE%\Documents\GitHub\mrs-test-scripts\Headless Mode &amp; Sideloading\WalkAndUnGZ.bat" "%USERPROFILE%\AppData\Local\Temp\OnboardLogs"\RTDC4017\2016-12-30</v>
      </c>
      <c r="AF51" s="84" t="str">
        <f t="shared" si="12"/>
        <v>"C:\Program Files (x86)\AstroGrep\AstroGrep.exe" /spath="%USERPROFILE%\AppData\Local\Temp\OnboardLogs" /stypes="app*4017*20161229*" /stext=" 17:.+((SYSTEM_STATE.+slice.+state.+changed )|(ment ac)|(multiple cpu faults)|(system.+state.+changed )|(\[timeout)|(PRM\|1\|D)|(kpr)|(kdp)|(\|lc)|(penalty))" /e /r /s</v>
      </c>
      <c r="AG51" s="1" t="str">
        <f t="shared" si="13"/>
        <v>EC</v>
      </c>
      <c r="AH51" s="88" t="str">
        <f t="shared" si="14"/>
        <v>"%USERPROFILE%\Documents\GitHub\eaglep3\Utilities\RefineRTDCRunTimes.py" --tripid 142-29 --locoid 4017 --swversion DE.1.0.8.0 --startMP 204:232996 --initTime 2016-12-29T09:33:20 --startdatetime 2016-12-29T09:42:09 --delay 1 --endMP 204:163 --enddatetime 2016-12-29T10:22:56 --enforcementcount 0 &gt;&gt;C:\Users\stu\Documents\GitHub\eaglep3-reporting\EC\2016-12-29-refined-times.txt</v>
      </c>
      <c r="AI51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{"issue":{"subject":"","project_id":79,"tracker_id":40,"status_id":1,"priority_id":2,"assigned_to_id":23,"start_date":"2016-12-29","description":"","custom_fields":[{"id":1,"name":"Subdivision","value":"EC"},{"id":4,"name":"Milepost","value":"0.0163"},{"id":17,"name":"Train ID","value":"142-29"},{"id":16,"name":"Locomotive ID","value":"4017"},{"id":130,"name":"Impact","value":""},{"id":150,"name":"Time of Event (Mountain Time)","value":"10:22:56"},{"id":151,"name":"Denver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16"/>
        <v>start /low /b %USERPROFILE%\Documents\GitHub\eaglep3\Utilities\DownloadLogsFromS3.py --loco 4017 --day 2016-12-29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533</v>
      </c>
      <c r="B52" s="7">
        <v>4044</v>
      </c>
      <c r="C52" s="22" t="s">
        <v>205</v>
      </c>
      <c r="D52" s="22" t="s">
        <v>264</v>
      </c>
      <c r="E52" s="13">
        <v>42733.372256944444</v>
      </c>
      <c r="F52" s="13">
        <v>42733.3753125</v>
      </c>
      <c r="G52" s="7">
        <v>1</v>
      </c>
      <c r="H52" s="22" t="s">
        <v>691</v>
      </c>
      <c r="I52" s="13">
        <v>42733.40042824074</v>
      </c>
      <c r="J52" s="7">
        <v>0</v>
      </c>
      <c r="K52" s="105" t="str">
        <f t="shared" si="0"/>
        <v>4043/4044</v>
      </c>
      <c r="L52" s="22" t="str">
        <f>VLOOKUP(A52,'Trips&amp;Operators'!$C$1:$G$99999,5,FALSE)</f>
        <v>STARKS ANGELINA</v>
      </c>
      <c r="M52" s="6">
        <f t="shared" si="1"/>
        <v>2.5115740740147885E-2</v>
      </c>
      <c r="N52" s="7">
        <f t="shared" si="18"/>
        <v>36.166666665812954</v>
      </c>
      <c r="O52" s="7"/>
      <c r="P52" s="7"/>
      <c r="Q52" s="23"/>
      <c r="R52" s="23"/>
      <c r="S52" s="32">
        <f t="shared" si="3"/>
        <v>1</v>
      </c>
      <c r="T52" s="47" t="str">
        <f t="shared" si="4"/>
        <v>NorthBound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07:56:03-700',mode:absolute,to:'2016-12-29 10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2" s="49" t="str">
        <f t="shared" si="6"/>
        <v>N</v>
      </c>
      <c r="X52" s="173">
        <f t="shared" si="19"/>
        <v>1</v>
      </c>
      <c r="Y52" s="64">
        <f t="shared" si="7"/>
        <v>4.7699999999999999E-2</v>
      </c>
      <c r="Z52" s="64">
        <f t="shared" si="8"/>
        <v>23.3278</v>
      </c>
      <c r="AA52" s="64">
        <f t="shared" si="9"/>
        <v>23.280100000000001</v>
      </c>
      <c r="AB52" s="61" t="e">
        <f>VLOOKUP(A52,Enforcements!$C$7:$K$19,8,0)</f>
        <v>#N/A</v>
      </c>
      <c r="AC52" s="57" t="e">
        <f>VLOOKUP(A52,Enforcements!$C$7:$E$19,3,0)</f>
        <v>#N/A</v>
      </c>
      <c r="AD52" s="58" t="str">
        <f t="shared" si="10"/>
        <v>0143-29</v>
      </c>
      <c r="AE52" s="87" t="str">
        <f t="shared" si="11"/>
        <v>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 &amp; aws s3 cp s3://rtdc.mdm.uploadarchive.raw/RTDC4044/ "%USERPROFILE%\AppData\Local\Temp\OnboardLogs"\RTDC4044\2016-12-30 --exclude "*" --recursive --include "*20161230*" &amp; "%USERPROFILE%\Documents\GitHub\mrs-test-scripts\Headless Mode &amp; Sideloading\WalkAndUnGZ.bat" "%USERPROFILE%\AppData\Local\Temp\OnboardLogs"\RTDC4044\2016-12-30</v>
      </c>
      <c r="AF52" s="84" t="str">
        <f t="shared" si="12"/>
        <v>"C:\Program Files (x86)\AstroGrep\AstroGrep.exe" /spath="%USERPROFILE%\AppData\Local\Temp\OnboardLogs" /stypes="app*4044*20161229*" /stext=" 16:.+((SYSTEM_STATE.+slice.+state.+changed )|(ment ac)|(multiple cpu faults)|(system.+state.+changed )|(\[timeout)|(PRM\|1\|D)|(kpr)|(kdp)|(\|lc)|(penalty))" /e /r /s</v>
      </c>
      <c r="AG52" s="1" t="str">
        <f t="shared" si="13"/>
        <v>EC</v>
      </c>
      <c r="AH52" s="88" t="str">
        <f t="shared" si="14"/>
        <v>"%USERPROFILE%\Documents\GitHub\eaglep3\Utilities\RefineRTDCRunTimes.py" --tripid 143-29 --locoid 4044 --swversion DE.1.0.8.0 --startMP 204:477 --initTime 2016-12-29T08:56:03 --startdatetime 2016-12-29T09:00:27 --delay 1 --endMP 204:233278 --enddatetime 2016-12-29T09:36:37 --enforcementcount 0 &gt;&gt;C:\Users\stu\Documents\GitHub\eaglep3-reporting\EC\2016-12-29-refined-times.txt</v>
      </c>
      <c r="AI52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{"issue":{"subject":"","project_id":79,"tracker_id":40,"status_id":1,"priority_id":2,"assigned_to_id":23,"start_date":"2016-12-29","description":"","custom_fields":[{"id":1,"name":"Subdivision","value":"EC"},{"id":4,"name":"Milepost","value":"23.3278"},{"id":17,"name":"Train ID","value":"143-29"},{"id":16,"name":"Locomotive ID","value":"4044"},{"id":130,"name":"Impact","value":""},{"id":150,"name":"Time of Event (Mountain Time)","value":"09:36:37"},{"id":151,"name":"Denver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16"/>
        <v>start /low /b %USERPROFILE%\Documents\GitHub\eaglep3\Utilities\DownloadLogsFromS3.py --loco 4044 --day 2016-12-29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542</v>
      </c>
      <c r="B53" s="7">
        <v>4043</v>
      </c>
      <c r="C53" s="22" t="s">
        <v>205</v>
      </c>
      <c r="D53" s="22" t="s">
        <v>273</v>
      </c>
      <c r="E53" s="13">
        <v>42733.412002314813</v>
      </c>
      <c r="F53" s="13">
        <v>42733.414120370369</v>
      </c>
      <c r="G53" s="7">
        <v>1</v>
      </c>
      <c r="H53" s="22" t="s">
        <v>191</v>
      </c>
      <c r="I53" s="13">
        <v>42733.442372685182</v>
      </c>
      <c r="J53" s="7">
        <v>0</v>
      </c>
      <c r="K53" s="105" t="str">
        <f t="shared" si="0"/>
        <v>4043/4044</v>
      </c>
      <c r="L53" s="22" t="str">
        <f>VLOOKUP(A53,'Trips&amp;Operators'!$C$1:$G$99999,5,FALSE)</f>
        <v>STARKS ANGELINA</v>
      </c>
      <c r="M53" s="6">
        <f t="shared" si="1"/>
        <v>2.8252314812561963E-2</v>
      </c>
      <c r="N53" s="7">
        <f t="shared" si="18"/>
        <v>40.683333330089226</v>
      </c>
      <c r="O53" s="7"/>
      <c r="P53" s="7"/>
      <c r="Q53" s="23"/>
      <c r="R53" s="23"/>
      <c r="S53" s="32">
        <f t="shared" si="3"/>
        <v>1</v>
      </c>
      <c r="T53" s="47" t="str">
        <f t="shared" si="4"/>
        <v>Southbound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08:53:17-700',mode:absolute,to:'2016-12-29 11:37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3" s="49" t="str">
        <f t="shared" si="6"/>
        <v>N</v>
      </c>
      <c r="X53" s="173">
        <f t="shared" si="19"/>
        <v>1</v>
      </c>
      <c r="Y53" s="64">
        <f t="shared" si="7"/>
        <v>23.2973</v>
      </c>
      <c r="Z53" s="64">
        <f t="shared" si="8"/>
        <v>1.49E-2</v>
      </c>
      <c r="AA53" s="64">
        <f t="shared" si="9"/>
        <v>23.282399999999999</v>
      </c>
      <c r="AB53" s="61" t="e">
        <f>VLOOKUP(A53,Enforcements!$C$7:$K$19,8,0)</f>
        <v>#N/A</v>
      </c>
      <c r="AC53" s="57" t="e">
        <f>VLOOKUP(A53,Enforcements!$C$7:$E$19,3,0)</f>
        <v>#N/A</v>
      </c>
      <c r="AD53" s="58" t="str">
        <f t="shared" si="10"/>
        <v>0144-29</v>
      </c>
      <c r="AE53" s="87" t="str">
        <f t="shared" si="11"/>
        <v>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 &amp; aws s3 cp s3://rtdc.mdm.uploadarchive.raw/RTDC4043/ "%USERPROFILE%\AppData\Local\Temp\OnboardLogs"\RTDC4043\2016-12-30 --exclude "*" --recursive --include "*20161230*" &amp; "%USERPROFILE%\Documents\GitHub\mrs-test-scripts\Headless Mode &amp; Sideloading\WalkAndUnGZ.bat" "%USERPROFILE%\AppData\Local\Temp\OnboardLogs"\RTDC4043\2016-12-30</v>
      </c>
      <c r="AF53" s="84" t="str">
        <f t="shared" si="12"/>
        <v>"C:\Program Files (x86)\AstroGrep\AstroGrep.exe" /spath="%USERPROFILE%\AppData\Local\Temp\OnboardLogs" /stypes="app*4043*20161229*" /stext=" 17:.+((SYSTEM_STATE.+slice.+state.+changed )|(ment ac)|(multiple cpu faults)|(system.+state.+changed )|(\[timeout)|(PRM\|1\|D)|(kpr)|(kdp)|(\|lc)|(penalty))" /e /r /s</v>
      </c>
      <c r="AG53" s="1" t="str">
        <f t="shared" si="13"/>
        <v>EC</v>
      </c>
      <c r="AH53" s="88" t="str">
        <f t="shared" si="14"/>
        <v>"%USERPROFILE%\Documents\GitHub\eaglep3\Utilities\RefineRTDCRunTimes.py" --tripid 144-29 --locoid 4043 --swversion DE.1.0.8.0 --startMP 204:232973 --initTime 2016-12-29T09:53:17 --startdatetime 2016-12-29T09:56:20 --delay 1 --endMP 204:149 --enddatetime 2016-12-29T10:37:01 --enforcementcount 0 &gt;&gt;C:\Users\stu\Documents\GitHub\eaglep3-reporting\EC\2016-12-29-refined-times.txt</v>
      </c>
      <c r="AI53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{"issue":{"subject":"","project_id":79,"tracker_id":40,"status_id":1,"priority_id":2,"assigned_to_id":23,"start_date":"2016-12-29","description":"","custom_fields":[{"id":1,"name":"Subdivision","value":"EC"},{"id":4,"name":"Milepost","value":"0.0149"},{"id":17,"name":"Train ID","value":"144-29"},{"id":16,"name":"Locomotive ID","value":"4043"},{"id":130,"name":"Impact","value":""},{"id":150,"name":"Time of Event (Mountain Time)","value":"10:37:01"},{"id":151,"name":"Denver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16"/>
        <v>start /low /b %USERPROFILE%\Documents\GitHub\eaglep3\Utilities\DownloadLogsFromS3.py --loco 4043 --day 2016-12-29</v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535</v>
      </c>
      <c r="B54" s="7">
        <v>4042</v>
      </c>
      <c r="C54" s="22" t="s">
        <v>205</v>
      </c>
      <c r="D54" s="22" t="s">
        <v>230</v>
      </c>
      <c r="E54" s="13">
        <v>42733.380277777775</v>
      </c>
      <c r="F54" s="13">
        <v>42733.385625000003</v>
      </c>
      <c r="G54" s="7">
        <v>1</v>
      </c>
      <c r="H54" s="22" t="s">
        <v>356</v>
      </c>
      <c r="I54" s="13">
        <v>42733.411226851851</v>
      </c>
      <c r="J54" s="7">
        <v>0</v>
      </c>
      <c r="K54" s="105" t="str">
        <f t="shared" si="0"/>
        <v>4041/4042</v>
      </c>
      <c r="L54" s="22" t="str">
        <f>VLOOKUP(A54,'Trips&amp;Operators'!$C$1:$G$99999,5,FALSE)</f>
        <v>ISHMAEL JOSEPH</v>
      </c>
      <c r="M54" s="6">
        <f t="shared" si="1"/>
        <v>2.5601851848477963E-2</v>
      </c>
      <c r="N54" s="7">
        <f t="shared" si="18"/>
        <v>36.866666661808267</v>
      </c>
      <c r="O54" s="7"/>
      <c r="P54" s="7"/>
      <c r="Q54" s="23"/>
      <c r="R54" s="23"/>
      <c r="S54" s="32">
        <f t="shared" si="3"/>
        <v>1</v>
      </c>
      <c r="T54" s="47" t="str">
        <f t="shared" si="4"/>
        <v>NorthBound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08:07:36-700',mode:absolute,to:'2016-12-29 10:52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4" s="49" t="str">
        <f t="shared" si="6"/>
        <v>N</v>
      </c>
      <c r="X54" s="173">
        <f t="shared" si="19"/>
        <v>1</v>
      </c>
      <c r="Y54" s="64">
        <f t="shared" si="7"/>
        <v>4.5999999999999999E-2</v>
      </c>
      <c r="Z54" s="64">
        <f t="shared" si="8"/>
        <v>23.331</v>
      </c>
      <c r="AA54" s="64">
        <f t="shared" si="9"/>
        <v>23.285</v>
      </c>
      <c r="AB54" s="61" t="e">
        <f>VLOOKUP(A54,Enforcements!$C$7:$K$19,8,0)</f>
        <v>#N/A</v>
      </c>
      <c r="AC54" s="57" t="e">
        <f>VLOOKUP(A54,Enforcements!$C$7:$E$19,3,0)</f>
        <v>#N/A</v>
      </c>
      <c r="AD54" s="58" t="str">
        <f t="shared" si="10"/>
        <v>0145-29</v>
      </c>
      <c r="AE54" s="87" t="str">
        <f t="shared" si="11"/>
        <v>aws s3 cp s3://rtdc.mdm.uploadarchive.raw/RTDC4042/ "%USERPROFILE%\AppData\Local\Temp\OnboardLogs"\RTDC4042\2016-12-29 --exclude "*" --recursive --include "*20161229*" &amp; "%USERPROFILE%\Documents\GitHub\mrs-test-scripts\Headless Mode &amp; Sideloading\WalkAndUnGZ.bat" "%USERPROFILE%\AppData\Local\Temp\OnboardLogs"\RTDC4042\2016-12-29 &amp; aws s3 cp s3://rtdc.mdm.uploadarchive.raw/RTDC4042/ "%USERPROFILE%\AppData\Local\Temp\OnboardLogs"\RTDC4042\2016-12-30 --exclude "*" --recursive --include "*20161230*" &amp; "%USERPROFILE%\Documents\GitHub\mrs-test-scripts\Headless Mode &amp; Sideloading\WalkAndUnGZ.bat" "%USERPROFILE%\AppData\Local\Temp\OnboardLogs"\RTDC4042\2016-12-30</v>
      </c>
      <c r="AF54" s="84" t="str">
        <f t="shared" si="12"/>
        <v>"C:\Program Files (x86)\AstroGrep\AstroGrep.exe" /spath="%USERPROFILE%\AppData\Local\Temp\OnboardLogs" /stypes="app*4042*20161229*" /stext=" 16:.+((SYSTEM_STATE.+slice.+state.+changed )|(ment ac)|(multiple cpu faults)|(system.+state.+changed )|(\[timeout)|(PRM\|1\|D)|(kpr)|(kdp)|(\|lc)|(penalty))" /e /r /s</v>
      </c>
      <c r="AG54" s="1" t="str">
        <f t="shared" si="13"/>
        <v>EC</v>
      </c>
      <c r="AH54" s="88" t="str">
        <f t="shared" si="14"/>
        <v>"%USERPROFILE%\Documents\GitHub\eaglep3\Utilities\RefineRTDCRunTimes.py" --tripid 145-29 --locoid 4042 --swversion DE.1.0.8.0 --startMP 204:460 --initTime 2016-12-29T09:07:36 --startdatetime 2016-12-29T09:15:18 --delay 1 --endMP 204:233310 --enddatetime 2016-12-29T09:52:10 --enforcementcount 0 &gt;&gt;C:\Users\stu\Documents\GitHub\eaglep3-reporting\EC\2016-12-29-refined-times.txt</v>
      </c>
      <c r="AI54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{"issue":{"subject":"","project_id":79,"tracker_id":40,"status_id":1,"priority_id":2,"assigned_to_id":23,"start_date":"2016-12-29","description":"","custom_fields":[{"id":1,"name":"Subdivision","value":"EC"},{"id":4,"name":"Milepost","value":"23.331"},{"id":17,"name":"Train ID","value":"145-29"},{"id":16,"name":"Locomotive ID","value":"4042"},{"id":130,"name":"Impact","value":""},{"id":150,"name":"Time of Event (Mountain Time)","value":"09:52:10"},{"id":151,"name":"Denver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16"/>
        <v>start /low /b %USERPROFILE%\Documents\GitHub\eaglep3\Utilities\DownloadLogsFromS3.py --loco 4042 --day 2016-12-29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544</v>
      </c>
      <c r="B55" s="7">
        <v>4041</v>
      </c>
      <c r="C55" s="22" t="s">
        <v>205</v>
      </c>
      <c r="D55" s="22" t="s">
        <v>332</v>
      </c>
      <c r="E55" s="13">
        <v>42733.414166666669</v>
      </c>
      <c r="F55" s="13">
        <v>42733.42459490741</v>
      </c>
      <c r="G55" s="7">
        <v>1</v>
      </c>
      <c r="H55" s="22" t="s">
        <v>224</v>
      </c>
      <c r="I55" s="13">
        <v>42733.451828703706</v>
      </c>
      <c r="J55" s="7">
        <v>0</v>
      </c>
      <c r="K55" s="105" t="str">
        <f t="shared" si="0"/>
        <v>4041/4042</v>
      </c>
      <c r="L55" s="22" t="str">
        <f>VLOOKUP(A55,'Trips&amp;Operators'!$C$1:$G$99999,5,FALSE)</f>
        <v>ISHMAEL JOSEPH</v>
      </c>
      <c r="M55" s="6">
        <f t="shared" si="1"/>
        <v>2.7233796296059154E-2</v>
      </c>
      <c r="N55" s="7">
        <f t="shared" si="18"/>
        <v>39.216666666325182</v>
      </c>
      <c r="O55" s="7"/>
      <c r="P55" s="7"/>
      <c r="Q55" s="23"/>
      <c r="R55" s="23"/>
      <c r="S55" s="32">
        <f t="shared" si="3"/>
        <v>1</v>
      </c>
      <c r="T55" s="47" t="str">
        <f t="shared" si="4"/>
        <v>Southbound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08:56:24-700',mode:absolute,to:'2016-12-29 11:50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5" s="49" t="str">
        <f t="shared" si="6"/>
        <v>N</v>
      </c>
      <c r="X55" s="173">
        <f t="shared" si="19"/>
        <v>1</v>
      </c>
      <c r="Y55" s="64">
        <f t="shared" si="7"/>
        <v>23.298500000000001</v>
      </c>
      <c r="Z55" s="64">
        <f t="shared" si="8"/>
        <v>1.54E-2</v>
      </c>
      <c r="AA55" s="64">
        <f t="shared" si="9"/>
        <v>23.283100000000001</v>
      </c>
      <c r="AB55" s="61" t="e">
        <f>VLOOKUP(A55,Enforcements!$C$7:$K$19,8,0)</f>
        <v>#N/A</v>
      </c>
      <c r="AC55" s="57" t="e">
        <f>VLOOKUP(A55,Enforcements!$C$7:$E$19,3,0)</f>
        <v>#N/A</v>
      </c>
      <c r="AD55" s="58" t="str">
        <f t="shared" si="10"/>
        <v>0146-29</v>
      </c>
      <c r="AE55" s="87" t="str">
        <f t="shared" si="11"/>
        <v>aws s3 cp s3://rtdc.mdm.uploadarchive.raw/RTDC4041/ "%USERPROFILE%\AppData\Local\Temp\OnboardLogs"\RTDC4041\2016-12-29 --exclude "*" --recursive --include "*20161229*" &amp; "%USERPROFILE%\Documents\GitHub\mrs-test-scripts\Headless Mode &amp; Sideloading\WalkAndUnGZ.bat" "%USERPROFILE%\AppData\Local\Temp\OnboardLogs"\RTDC4041\2016-12-29 &amp; aws s3 cp s3://rtdc.mdm.uploadarchive.raw/RTDC4041/ "%USERPROFILE%\AppData\Local\Temp\OnboardLogs"\RTDC4041\2016-12-30 --exclude "*" --recursive --include "*20161230*" &amp; "%USERPROFILE%\Documents\GitHub\mrs-test-scripts\Headless Mode &amp; Sideloading\WalkAndUnGZ.bat" "%USERPROFILE%\AppData\Local\Temp\OnboardLogs"\RTDC4041\2016-12-30</v>
      </c>
      <c r="AF55" s="84" t="str">
        <f t="shared" si="12"/>
        <v>"C:\Program Files (x86)\AstroGrep\AstroGrep.exe" /spath="%USERPROFILE%\AppData\Local\Temp\OnboardLogs" /stypes="app*4041*20161229*" /stext=" 17:.+((SYSTEM_STATE.+slice.+state.+changed )|(ment ac)|(multiple cpu faults)|(system.+state.+changed )|(\[timeout)|(PRM\|1\|D)|(kpr)|(kdp)|(\|lc)|(penalty))" /e /r /s</v>
      </c>
      <c r="AG55" s="1" t="str">
        <f t="shared" si="13"/>
        <v>EC</v>
      </c>
      <c r="AH55" s="88" t="str">
        <f t="shared" si="14"/>
        <v>"%USERPROFILE%\Documents\GitHub\eaglep3\Utilities\RefineRTDCRunTimes.py" --tripid 146-29 --locoid 4041 --swversion DE.1.0.8.0 --startMP 204:232985 --initTime 2016-12-29T09:56:24 --startdatetime 2016-12-29T10:11:25 --delay 1 --endMP 204:154 --enddatetime 2016-12-29T10:50:38 --enforcementcount 0 &gt;&gt;C:\Users\stu\Documents\GitHub\eaglep3-reporting\EC\2016-12-29-refined-times.txt</v>
      </c>
      <c r="AI55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{"issue":{"subject":"","project_id":79,"tracker_id":40,"status_id":1,"priority_id":2,"assigned_to_id":23,"start_date":"2016-12-29","description":"","custom_fields":[{"id":1,"name":"Subdivision","value":"EC"},{"id":4,"name":"Milepost","value":"0.0154"},{"id":17,"name":"Train ID","value":"146-29"},{"id":16,"name":"Locomotive ID","value":"4041"},{"id":130,"name":"Impact","value":""},{"id":150,"name":"Time of Event (Mountain Time)","value":"10:50:38"},{"id":151,"name":"Denver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16"/>
        <v>start /low /b %USERPROFILE%\Documents\GitHub\eaglep3\Utilities\DownloadLogsFromS3.py --loco 4041 --day 2016-12-29</v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538</v>
      </c>
      <c r="B56" s="7">
        <v>4002</v>
      </c>
      <c r="C56" s="22" t="s">
        <v>205</v>
      </c>
      <c r="D56" s="22" t="s">
        <v>240</v>
      </c>
      <c r="E56" s="13">
        <v>42733.392280092594</v>
      </c>
      <c r="F56" s="13">
        <v>42733.396122685182</v>
      </c>
      <c r="G56" s="7">
        <v>1</v>
      </c>
      <c r="H56" s="22" t="s">
        <v>294</v>
      </c>
      <c r="I56" s="13">
        <v>42733.420439814814</v>
      </c>
      <c r="J56" s="7">
        <v>0</v>
      </c>
      <c r="K56" s="105" t="str">
        <f t="shared" si="0"/>
        <v>4001/4002</v>
      </c>
      <c r="L56" s="22" t="str">
        <f>VLOOKUP(A56,'Trips&amp;Operators'!$C$1:$G$99999,5,FALSE)</f>
        <v>YANAI IAN</v>
      </c>
      <c r="M56" s="6">
        <f t="shared" si="1"/>
        <v>2.4317129631526768E-2</v>
      </c>
      <c r="N56" s="7">
        <f t="shared" si="18"/>
        <v>35.016666669398546</v>
      </c>
      <c r="O56" s="7"/>
      <c r="P56" s="7"/>
      <c r="Q56" s="23"/>
      <c r="R56" s="23"/>
      <c r="S56" s="32">
        <f t="shared" si="3"/>
        <v>1</v>
      </c>
      <c r="T56" s="47" t="str">
        <f t="shared" si="4"/>
        <v>NorthBound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08:24:53-700',mode:absolute,to:'2016-12-29 11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6" s="49" t="str">
        <f t="shared" si="6"/>
        <v>N</v>
      </c>
      <c r="X56" s="173">
        <f t="shared" si="19"/>
        <v>1</v>
      </c>
      <c r="Y56" s="64">
        <f t="shared" si="7"/>
        <v>4.58E-2</v>
      </c>
      <c r="Z56" s="64">
        <f t="shared" si="8"/>
        <v>23.330100000000002</v>
      </c>
      <c r="AA56" s="64">
        <f t="shared" si="9"/>
        <v>23.284300000000002</v>
      </c>
      <c r="AB56" s="61" t="e">
        <f>VLOOKUP(A56,Enforcements!$C$7:$K$19,8,0)</f>
        <v>#N/A</v>
      </c>
      <c r="AC56" s="57" t="e">
        <f>VLOOKUP(A56,Enforcements!$C$7:$E$19,3,0)</f>
        <v>#N/A</v>
      </c>
      <c r="AD56" s="58" t="str">
        <f t="shared" si="10"/>
        <v>0147-29</v>
      </c>
      <c r="AE56" s="87" t="str">
        <f t="shared" si="11"/>
        <v>aws s3 cp s3://rtdc.mdm.uploadarchive.raw/RTDC4002/ "%USERPROFILE%\AppData\Local\Temp\OnboardLogs"\RTDC4002\2016-12-29 --exclude "*" --recursive --include "*20161229*" &amp; "%USERPROFILE%\Documents\GitHub\mrs-test-scripts\Headless Mode &amp; Sideloading\WalkAndUnGZ.bat" "%USERPROFILE%\AppData\Local\Temp\OnboardLogs"\RTDC4002\2016-12-29 &amp; aws s3 cp s3://rtdc.mdm.uploadarchive.raw/RTDC4002/ "%USERPROFILE%\AppData\Local\Temp\OnboardLogs"\RTDC4002\2016-12-30 --exclude "*" --recursive --include "*20161230*" &amp; "%USERPROFILE%\Documents\GitHub\mrs-test-scripts\Headless Mode &amp; Sideloading\WalkAndUnGZ.bat" "%USERPROFILE%\AppData\Local\Temp\OnboardLogs"\RTDC4002\2016-12-30</v>
      </c>
      <c r="AF56" s="84" t="str">
        <f t="shared" si="12"/>
        <v>"C:\Program Files (x86)\AstroGrep\AstroGrep.exe" /spath="%USERPROFILE%\AppData\Local\Temp\OnboardLogs" /stypes="app*4002*20161229*" /stext=" 17:.+((SYSTEM_STATE.+slice.+state.+changed )|(ment ac)|(multiple cpu faults)|(system.+state.+changed )|(\[timeout)|(PRM\|1\|D)|(kpr)|(kdp)|(\|lc)|(penalty))" /e /r /s</v>
      </c>
      <c r="AG56" s="1" t="str">
        <f t="shared" si="13"/>
        <v>EC</v>
      </c>
      <c r="AH56" s="88" t="str">
        <f t="shared" si="14"/>
        <v>"%USERPROFILE%\Documents\GitHub\eaglep3\Utilities\RefineRTDCRunTimes.py" --tripid 147-29 --locoid 4002 --swversion DE.1.0.8.0 --startMP 204:458 --initTime 2016-12-29T09:24:53 --startdatetime 2016-12-29T09:30:25 --delay 1 --endMP 204:233301 --enddatetime 2016-12-29T10:05:26 --enforcementcount 0 &gt;&gt;C:\Users\stu\Documents\GitHub\eaglep3-reporting\EC\2016-12-29-refined-times.txt</v>
      </c>
      <c r="AI56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{"issue":{"subject":"","project_id":79,"tracker_id":40,"status_id":1,"priority_id":2,"assigned_to_id":23,"start_date":"2016-12-29","description":"","custom_fields":[{"id":1,"name":"Subdivision","value":"EC"},{"id":4,"name":"Milepost","value":"23.3301"},{"id":17,"name":"Train ID","value":"147-29"},{"id":16,"name":"Locomotive ID","value":"4002"},{"id":130,"name":"Impact","value":""},{"id":150,"name":"Time of Event (Mountain Time)","value":"10:05:26"},{"id":151,"name":"Denver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16"/>
        <v>start /low /b %USERPROFILE%\Documents\GitHub\eaglep3\Utilities\DownloadLogsFromS3.py --loco 4002 --day 2016-12-29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545</v>
      </c>
      <c r="B57" s="7">
        <v>4001</v>
      </c>
      <c r="C57" s="22" t="s">
        <v>205</v>
      </c>
      <c r="D57" s="22" t="s">
        <v>302</v>
      </c>
      <c r="E57" s="13">
        <v>42733.421643518515</v>
      </c>
      <c r="F57" s="13">
        <v>42733.435081018521</v>
      </c>
      <c r="G57" s="7">
        <v>1</v>
      </c>
      <c r="H57" s="22" t="s">
        <v>224</v>
      </c>
      <c r="I57" s="13">
        <v>42733.462175925924</v>
      </c>
      <c r="J57" s="7">
        <v>0</v>
      </c>
      <c r="K57" s="105" t="str">
        <f t="shared" si="0"/>
        <v>4001/4002</v>
      </c>
      <c r="L57" s="22" t="str">
        <f>VLOOKUP(A57,'Trips&amp;Operators'!$C$1:$G$99999,5,FALSE)</f>
        <v>YANAI IAN</v>
      </c>
      <c r="M57" s="6">
        <f t="shared" si="1"/>
        <v>2.7094907403807156E-2</v>
      </c>
      <c r="N57" s="7">
        <f t="shared" si="18"/>
        <v>39.016666661482304</v>
      </c>
      <c r="O57" s="7"/>
      <c r="P57" s="7"/>
      <c r="Q57" s="23"/>
      <c r="R57" s="23"/>
      <c r="S57" s="32">
        <f t="shared" si="3"/>
        <v>1</v>
      </c>
      <c r="T57" s="47" t="str">
        <f t="shared" si="4"/>
        <v>Southbound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09:07:10-700',mode:absolute,to:'2016-12-29 12:05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7" s="49" t="str">
        <f t="shared" si="6"/>
        <v>N</v>
      </c>
      <c r="X57" s="173">
        <f t="shared" si="19"/>
        <v>1</v>
      </c>
      <c r="Y57" s="64">
        <f t="shared" si="7"/>
        <v>23.298200000000001</v>
      </c>
      <c r="Z57" s="64">
        <f t="shared" si="8"/>
        <v>1.54E-2</v>
      </c>
      <c r="AA57" s="64">
        <f t="shared" si="9"/>
        <v>23.282800000000002</v>
      </c>
      <c r="AB57" s="61" t="e">
        <f>VLOOKUP(A57,Enforcements!$C$7:$K$19,8,0)</f>
        <v>#N/A</v>
      </c>
      <c r="AC57" s="57" t="e">
        <f>VLOOKUP(A57,Enforcements!$C$7:$E$19,3,0)</f>
        <v>#N/A</v>
      </c>
      <c r="AD57" s="58" t="str">
        <f t="shared" si="10"/>
        <v>0148-29</v>
      </c>
      <c r="AE57" s="87" t="str">
        <f t="shared" si="11"/>
        <v>aws s3 cp s3://rtdc.mdm.uploadarchive.raw/RTDC4001/ "%USERPROFILE%\AppData\Local\Temp\OnboardLogs"\RTDC4001\2016-12-29 --exclude "*" --recursive --include "*20161229*" &amp; "%USERPROFILE%\Documents\GitHub\mrs-test-scripts\Headless Mode &amp; Sideloading\WalkAndUnGZ.bat" "%USERPROFILE%\AppData\Local\Temp\OnboardLogs"\RTDC4001\2016-12-29 &amp; aws s3 cp s3://rtdc.mdm.uploadarchive.raw/RTDC4001/ "%USERPROFILE%\AppData\Local\Temp\OnboardLogs"\RTDC4001\2016-12-30 --exclude "*" --recursive --include "*20161230*" &amp; "%USERPROFILE%\Documents\GitHub\mrs-test-scripts\Headless Mode &amp; Sideloading\WalkAndUnGZ.bat" "%USERPROFILE%\AppData\Local\Temp\OnboardLogs"\RTDC4001\2016-12-30</v>
      </c>
      <c r="AF57" s="84" t="str">
        <f t="shared" si="12"/>
        <v>"C:\Program Files (x86)\AstroGrep\AstroGrep.exe" /spath="%USERPROFILE%\AppData\Local\Temp\OnboardLogs" /stypes="app*4001*20161229*" /stext=" 18:.+((SYSTEM_STATE.+slice.+state.+changed )|(ment ac)|(multiple cpu faults)|(system.+state.+changed )|(\[timeout)|(PRM\|1\|D)|(kpr)|(kdp)|(\|lc)|(penalty))" /e /r /s</v>
      </c>
      <c r="AG57" s="1" t="str">
        <f t="shared" si="13"/>
        <v>EC</v>
      </c>
      <c r="AH57" s="88" t="str">
        <f t="shared" si="14"/>
        <v>"%USERPROFILE%\Documents\GitHub\eaglep3\Utilities\RefineRTDCRunTimes.py" --tripid 148-29 --locoid 4001 --swversion DE.1.0.8.0 --startMP 204:232982 --initTime 2016-12-29T10:07:10 --startdatetime 2016-12-29T10:26:31 --delay 1 --endMP 204:154 --enddatetime 2016-12-29T11:05:32 --enforcementcount 0 &gt;&gt;C:\Users\stu\Documents\GitHub\eaglep3-reporting\EC\2016-12-29-refined-times.txt</v>
      </c>
      <c r="AI57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{"issue":{"subject":"","project_id":79,"tracker_id":40,"status_id":1,"priority_id":2,"assigned_to_id":23,"start_date":"2016-12-29","description":"","custom_fields":[{"id":1,"name":"Subdivision","value":"EC"},{"id":4,"name":"Milepost","value":"0.0154"},{"id":17,"name":"Train ID","value":"148-29"},{"id":16,"name":"Locomotive ID","value":"4001"},{"id":130,"name":"Impact","value":""},{"id":150,"name":"Time of Event (Mountain Time)","value":"11:05:32"},{"id":151,"name":"Denver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16"/>
        <v>start /low /b %USERPROFILE%\Documents\GitHub\eaglep3\Utilities\DownloadLogsFromS3.py --loco 4001 --day 2016-12-29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541</v>
      </c>
      <c r="B58" s="7">
        <v>4014</v>
      </c>
      <c r="C58" s="22" t="s">
        <v>205</v>
      </c>
      <c r="D58" s="22" t="s">
        <v>240</v>
      </c>
      <c r="E58" s="13">
        <v>42733.403668981482</v>
      </c>
      <c r="F58" s="13">
        <v>42733.406400462962</v>
      </c>
      <c r="G58" s="7">
        <v>1</v>
      </c>
      <c r="H58" s="22" t="s">
        <v>298</v>
      </c>
      <c r="I58" s="13">
        <v>42733.431944444441</v>
      </c>
      <c r="J58" s="7">
        <v>0</v>
      </c>
      <c r="K58" s="105" t="str">
        <f t="shared" si="0"/>
        <v>4013/4014</v>
      </c>
      <c r="L58" s="22" t="str">
        <f>VLOOKUP(A58,'Trips&amp;Operators'!$C$1:$G$99999,5,FALSE)</f>
        <v>ROBINSON KADDIBA</v>
      </c>
      <c r="M58" s="6">
        <f t="shared" si="1"/>
        <v>2.5543981479131617E-2</v>
      </c>
      <c r="N58" s="7">
        <f t="shared" si="18"/>
        <v>36.783333329949528</v>
      </c>
      <c r="O58" s="7"/>
      <c r="P58" s="7"/>
      <c r="Q58" s="23"/>
      <c r="R58" s="23"/>
      <c r="S58" s="32">
        <f t="shared" si="3"/>
        <v>1</v>
      </c>
      <c r="T58" s="47" t="str">
        <f t="shared" si="4"/>
        <v>NorthBound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08:41:17-700',mode:absolute,to:'2016-12-29 11:22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8" s="49" t="str">
        <f t="shared" si="6"/>
        <v>N</v>
      </c>
      <c r="X58" s="173">
        <f t="shared" si="19"/>
        <v>1</v>
      </c>
      <c r="Y58" s="64">
        <f t="shared" si="7"/>
        <v>4.58E-2</v>
      </c>
      <c r="Z58" s="64">
        <f t="shared" si="8"/>
        <v>23.331199999999999</v>
      </c>
      <c r="AA58" s="64">
        <f t="shared" si="9"/>
        <v>23.285399999999999</v>
      </c>
      <c r="AB58" s="61" t="e">
        <f>VLOOKUP(A58,Enforcements!$C$7:$K$19,8,0)</f>
        <v>#N/A</v>
      </c>
      <c r="AC58" s="57" t="e">
        <f>VLOOKUP(A58,Enforcements!$C$7:$E$19,3,0)</f>
        <v>#N/A</v>
      </c>
      <c r="AD58" s="58" t="str">
        <f t="shared" si="10"/>
        <v>0149-29</v>
      </c>
      <c r="AE58" s="87" t="str">
        <f t="shared" si="11"/>
        <v>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 &amp; aws s3 cp s3://rtdc.mdm.uploadarchive.raw/RTDC4014/ "%USERPROFILE%\AppData\Local\Temp\OnboardLogs"\RTDC4014\2016-12-30 --exclude "*" --recursive --include "*20161230*" &amp; "%USERPROFILE%\Documents\GitHub\mrs-test-scripts\Headless Mode &amp; Sideloading\WalkAndUnGZ.bat" "%USERPROFILE%\AppData\Local\Temp\OnboardLogs"\RTDC4014\2016-12-30</v>
      </c>
      <c r="AF58" s="84" t="str">
        <f t="shared" si="12"/>
        <v>"C:\Program Files (x86)\AstroGrep\AstroGrep.exe" /spath="%USERPROFILE%\AppData\Local\Temp\OnboardLogs" /stypes="app*4014*20161229*" /stext=" 17:.+((SYSTEM_STATE.+slice.+state.+changed )|(ment ac)|(multiple cpu faults)|(system.+state.+changed )|(\[timeout)|(PRM\|1\|D)|(kpr)|(kdp)|(\|lc)|(penalty))" /e /r /s</v>
      </c>
      <c r="AG58" s="1" t="str">
        <f t="shared" si="13"/>
        <v>EC</v>
      </c>
      <c r="AH58" s="88" t="str">
        <f t="shared" si="14"/>
        <v>"%USERPROFILE%\Documents\GitHub\eaglep3\Utilities\RefineRTDCRunTimes.py" --tripid 149-29 --locoid 4014 --swversion DE.1.0.8.0 --startMP 204:458 --initTime 2016-12-29T09:41:17 --startdatetime 2016-12-29T09:45:13 --delay 1 --endMP 204:233312 --enddatetime 2016-12-29T10:22:00 --enforcementcount 0 &gt;&gt;C:\Users\stu\Documents\GitHub\eaglep3-reporting\EC\2016-12-29-refined-times.txt</v>
      </c>
      <c r="AI58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{"issue":{"subject":"","project_id":79,"tracker_id":40,"status_id":1,"priority_id":2,"assigned_to_id":23,"start_date":"2016-12-29","description":"","custom_fields":[{"id":1,"name":"Subdivision","value":"EC"},{"id":4,"name":"Milepost","value":"23.3312"},{"id":17,"name":"Train ID","value":"149-29"},{"id":16,"name":"Locomotive ID","value":"4014"},{"id":130,"name":"Impact","value":""},{"id":150,"name":"Time of Event (Mountain Time)","value":"10:22:00"},{"id":151,"name":"Denver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16"/>
        <v>start /low /b %USERPROFILE%\Documents\GitHub\eaglep3\Utilities\DownloadLogsFromS3.py --loco 4014 --day 2016-12-29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549</v>
      </c>
      <c r="B59" s="7">
        <v>4013</v>
      </c>
      <c r="C59" s="22" t="s">
        <v>205</v>
      </c>
      <c r="D59" s="22" t="s">
        <v>330</v>
      </c>
      <c r="E59" s="13">
        <v>42733.442847222221</v>
      </c>
      <c r="F59" s="13">
        <v>42733.445543981485</v>
      </c>
      <c r="G59" s="7">
        <v>1</v>
      </c>
      <c r="H59" s="22" t="s">
        <v>233</v>
      </c>
      <c r="I59" s="13">
        <v>42733.472893518519</v>
      </c>
      <c r="J59" s="7">
        <v>0</v>
      </c>
      <c r="K59" s="105" t="str">
        <f t="shared" si="0"/>
        <v>4013/4014</v>
      </c>
      <c r="L59" s="22" t="str">
        <f>VLOOKUP(A59,'Trips&amp;Operators'!$C$1:$G$99999,5,FALSE)</f>
        <v>ROBINSON KADDIBA</v>
      </c>
      <c r="M59" s="6">
        <f t="shared" si="1"/>
        <v>2.7349537034751847E-2</v>
      </c>
      <c r="N59" s="7">
        <f t="shared" si="18"/>
        <v>39.38333333004266</v>
      </c>
      <c r="O59" s="7"/>
      <c r="P59" s="7"/>
      <c r="Q59" s="23"/>
      <c r="R59" s="23"/>
      <c r="S59" s="32">
        <f t="shared" si="3"/>
        <v>1</v>
      </c>
      <c r="T59" s="47" t="str">
        <f t="shared" si="4"/>
        <v>Southbound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09:37:42-700',mode:absolute,to:'2016-12-29 12:20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9" s="49" t="str">
        <f t="shared" si="6"/>
        <v>N</v>
      </c>
      <c r="X59" s="173">
        <f t="shared" si="19"/>
        <v>1</v>
      </c>
      <c r="Y59" s="64">
        <f t="shared" si="7"/>
        <v>23.299600000000002</v>
      </c>
      <c r="Z59" s="64">
        <f t="shared" si="8"/>
        <v>1.4500000000000001E-2</v>
      </c>
      <c r="AA59" s="64">
        <f t="shared" si="9"/>
        <v>23.2851</v>
      </c>
      <c r="AB59" s="61" t="e">
        <f>VLOOKUP(A59,Enforcements!$C$7:$K$19,8,0)</f>
        <v>#N/A</v>
      </c>
      <c r="AC59" s="57" t="e">
        <f>VLOOKUP(A59,Enforcements!$C$7:$E$19,3,0)</f>
        <v>#N/A</v>
      </c>
      <c r="AD59" s="58" t="str">
        <f t="shared" si="10"/>
        <v>0150-29</v>
      </c>
      <c r="AE59" s="87" t="str">
        <f t="shared" si="11"/>
        <v>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 &amp; aws s3 cp s3://rtdc.mdm.uploadarchive.raw/RTDC4013/ "%USERPROFILE%\AppData\Local\Temp\OnboardLogs"\RTDC4013\2016-12-30 --exclude "*" --recursive --include "*20161230*" &amp; "%USERPROFILE%\Documents\GitHub\mrs-test-scripts\Headless Mode &amp; Sideloading\WalkAndUnGZ.bat" "%USERPROFILE%\AppData\Local\Temp\OnboardLogs"\RTDC4013\2016-12-30</v>
      </c>
      <c r="AF59" s="84" t="str">
        <f t="shared" si="12"/>
        <v>"C:\Program Files (x86)\AstroGrep\AstroGrep.exe" /spath="%USERPROFILE%\AppData\Local\Temp\OnboardLogs" /stypes="app*4013*20161229*" /stext=" 18:.+((SYSTEM_STATE.+slice.+state.+changed )|(ment ac)|(multiple cpu faults)|(system.+state.+changed )|(\[timeout)|(PRM\|1\|D)|(kpr)|(kdp)|(\|lc)|(penalty))" /e /r /s</v>
      </c>
      <c r="AG59" s="1" t="str">
        <f t="shared" si="13"/>
        <v>EC</v>
      </c>
      <c r="AH59" s="88" t="str">
        <f t="shared" si="14"/>
        <v>"%USERPROFILE%\Documents\GitHub\eaglep3\Utilities\RefineRTDCRunTimes.py" --tripid 150-29 --locoid 4013 --swversion DE.1.0.8.0 --startMP 204:232996 --initTime 2016-12-29T10:37:42 --startdatetime 2016-12-29T10:41:35 --delay 1 --endMP 204:145 --enddatetime 2016-12-29T11:20:58 --enforcementcount 0 &gt;&gt;C:\Users\stu\Documents\GitHub\eaglep3-reporting\EC\2016-12-29-refined-times.txt</v>
      </c>
      <c r="AI59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{"issue":{"subject":"","project_id":79,"tracker_id":40,"status_id":1,"priority_id":2,"assigned_to_id":23,"start_date":"2016-12-29","description":"","custom_fields":[{"id":1,"name":"Subdivision","value":"EC"},{"id":4,"name":"Milepost","value":"0.0145"},{"id":17,"name":"Train ID","value":"150-29"},{"id":16,"name":"Locomotive ID","value":"4013"},{"id":130,"name":"Impact","value":""},{"id":150,"name":"Time of Event (Mountain Time)","value":"11:20:58"},{"id":151,"name":"Denver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16"/>
        <v>start /low /b %USERPROFILE%\Documents\GitHub\eaglep3\Utilities\DownloadLogsFromS3.py --loco 4013 --day 2016-12-29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543</v>
      </c>
      <c r="B60" s="7">
        <v>4031</v>
      </c>
      <c r="C60" s="22" t="s">
        <v>205</v>
      </c>
      <c r="D60" s="22" t="s">
        <v>259</v>
      </c>
      <c r="E60" s="13">
        <v>42733.41233796296</v>
      </c>
      <c r="F60" s="13">
        <v>42733.416898148149</v>
      </c>
      <c r="G60" s="7">
        <v>1</v>
      </c>
      <c r="H60" s="22" t="s">
        <v>361</v>
      </c>
      <c r="I60" s="13">
        <v>42733.441250000003</v>
      </c>
      <c r="J60" s="7">
        <v>0</v>
      </c>
      <c r="K60" s="105" t="str">
        <f t="shared" si="0"/>
        <v>4031/4032</v>
      </c>
      <c r="L60" s="22" t="str">
        <f>VLOOKUP(A60,'Trips&amp;Operators'!$C$1:$G$99999,5,FALSE)</f>
        <v>YANG JAN</v>
      </c>
      <c r="M60" s="6">
        <f t="shared" si="1"/>
        <v>2.4351851854589768E-2</v>
      </c>
      <c r="N60" s="7">
        <f t="shared" si="18"/>
        <v>35.066666670609266</v>
      </c>
      <c r="O60" s="7"/>
      <c r="P60" s="7"/>
      <c r="Q60" s="23"/>
      <c r="R60" s="23"/>
      <c r="S60" s="32">
        <f t="shared" si="3"/>
        <v>1</v>
      </c>
      <c r="T60" s="47" t="str">
        <f t="shared" si="4"/>
        <v>NorthBound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08:53:46-700',mode:absolute,to:'2016-12-29 11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0" s="49" t="str">
        <f t="shared" si="6"/>
        <v>N</v>
      </c>
      <c r="X60" s="173">
        <f t="shared" si="19"/>
        <v>1</v>
      </c>
      <c r="Y60" s="64">
        <f t="shared" si="7"/>
        <v>4.6199999999999998E-2</v>
      </c>
      <c r="Z60" s="64">
        <f t="shared" si="8"/>
        <v>23.331800000000001</v>
      </c>
      <c r="AA60" s="64">
        <f t="shared" si="9"/>
        <v>23.285600000000002</v>
      </c>
      <c r="AB60" s="61" t="e">
        <f>VLOOKUP(A60,Enforcements!$C$7:$K$19,8,0)</f>
        <v>#N/A</v>
      </c>
      <c r="AC60" s="57" t="e">
        <f>VLOOKUP(A60,Enforcements!$C$7:$E$19,3,0)</f>
        <v>#N/A</v>
      </c>
      <c r="AD60" s="58" t="str">
        <f t="shared" si="10"/>
        <v>0151-29</v>
      </c>
      <c r="AE60" s="87" t="str">
        <f t="shared" si="11"/>
        <v>aws s3 cp s3://rtdc.mdm.uploadarchive.raw/RTDC4031/ "%USERPROFILE%\AppData\Local\Temp\OnboardLogs"\RTDC4031\2016-12-29 --exclude "*" --recursive --include "*20161229*" &amp; "%USERPROFILE%\Documents\GitHub\mrs-test-scripts\Headless Mode &amp; Sideloading\WalkAndUnGZ.bat" "%USERPROFILE%\AppData\Local\Temp\OnboardLogs"\RTDC4031\2016-12-29 &amp; 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</v>
      </c>
      <c r="AF60" s="84" t="str">
        <f t="shared" si="12"/>
        <v>"C:\Program Files (x86)\AstroGrep\AstroGrep.exe" /spath="%USERPROFILE%\AppData\Local\Temp\OnboardLogs" /stypes="app*4031*20161229*" /stext=" 17:.+((SYSTEM_STATE.+slice.+state.+changed )|(ment ac)|(multiple cpu faults)|(system.+state.+changed )|(\[timeout)|(PRM\|1\|D)|(kpr)|(kdp)|(\|lc)|(penalty))" /e /r /s</v>
      </c>
      <c r="AG60" s="1" t="str">
        <f t="shared" si="13"/>
        <v>EC</v>
      </c>
      <c r="AH60" s="88" t="str">
        <f t="shared" si="14"/>
        <v>"%USERPROFILE%\Documents\GitHub\eaglep3\Utilities\RefineRTDCRunTimes.py" --tripid 151-29 --locoid 4031 --swversion DE.1.0.8.0 --startMP 204:462 --initTime 2016-12-29T09:53:46 --startdatetime 2016-12-29T10:00:20 --delay 1 --endMP 204:233318 --enddatetime 2016-12-29T10:35:24 --enforcementcount 0 &gt;&gt;C:\Users\stu\Documents\GitHub\eaglep3-reporting\EC\2016-12-29-refined-times.txt</v>
      </c>
      <c r="AI60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{"issue":{"subject":"","project_id":79,"tracker_id":40,"status_id":1,"priority_id":2,"assigned_to_id":23,"start_date":"2016-12-29","description":"","custom_fields":[{"id":1,"name":"Subdivision","value":"EC"},{"id":4,"name":"Milepost","value":"23.3318"},{"id":17,"name":"Train ID","value":"151-29"},{"id":16,"name":"Locomotive ID","value":"4031"},{"id":130,"name":"Impact","value":""},{"id":150,"name":"Time of Event (Mountain Time)","value":"10:35:24"},{"id":151,"name":"Denver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16"/>
        <v>start /low /b %USERPROFILE%\Documents\GitHub\eaglep3\Utilities\DownloadLogsFromS3.py --loco 4031 --day 2016-12-29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552</v>
      </c>
      <c r="B61" s="7">
        <v>4032</v>
      </c>
      <c r="C61" s="22" t="s">
        <v>205</v>
      </c>
      <c r="D61" s="22" t="s">
        <v>326</v>
      </c>
      <c r="E61" s="13">
        <v>42733.448807870373</v>
      </c>
      <c r="F61" s="13">
        <v>42733.45590277778</v>
      </c>
      <c r="G61" s="7">
        <v>1</v>
      </c>
      <c r="H61" s="22" t="s">
        <v>233</v>
      </c>
      <c r="I61" s="13">
        <v>42733.484803240739</v>
      </c>
      <c r="J61" s="7">
        <v>0</v>
      </c>
      <c r="K61" s="105" t="str">
        <f t="shared" si="0"/>
        <v>4031/4032</v>
      </c>
      <c r="L61" s="22" t="str">
        <f>VLOOKUP(A61,'Trips&amp;Operators'!$C$1:$G$99999,5,FALSE)</f>
        <v>YANG JAN</v>
      </c>
      <c r="M61" s="6">
        <f t="shared" si="1"/>
        <v>2.8900462959427387E-2</v>
      </c>
      <c r="N61" s="7">
        <f t="shared" si="18"/>
        <v>41.616666661575437</v>
      </c>
      <c r="O61" s="7"/>
      <c r="P61" s="7"/>
      <c r="Q61" s="23"/>
      <c r="R61" s="23"/>
      <c r="S61" s="32">
        <f t="shared" si="3"/>
        <v>1</v>
      </c>
      <c r="T61" s="47" t="str">
        <f t="shared" si="4"/>
        <v>Southbound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09:46:17-700',mode:absolute,to:'2016-12-29 12:38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1" s="49" t="str">
        <f t="shared" si="6"/>
        <v>N</v>
      </c>
      <c r="X61" s="173">
        <f t="shared" si="19"/>
        <v>1</v>
      </c>
      <c r="Y61" s="64">
        <f t="shared" si="7"/>
        <v>23.2988</v>
      </c>
      <c r="Z61" s="64">
        <f t="shared" si="8"/>
        <v>1.4500000000000001E-2</v>
      </c>
      <c r="AA61" s="64">
        <f t="shared" si="9"/>
        <v>23.284299999999998</v>
      </c>
      <c r="AB61" s="61" t="e">
        <f>VLOOKUP(A61,Enforcements!$C$7:$K$19,8,0)</f>
        <v>#N/A</v>
      </c>
      <c r="AC61" s="57" t="e">
        <f>VLOOKUP(A61,Enforcements!$C$7:$E$19,3,0)</f>
        <v>#N/A</v>
      </c>
      <c r="AD61" s="58" t="str">
        <f t="shared" si="10"/>
        <v>0152-29</v>
      </c>
      <c r="AE61" s="87" t="str">
        <f t="shared" si="11"/>
        <v>aws s3 cp s3://rtdc.mdm.uploadarchive.raw/RTDC4032/ "%USERPROFILE%\AppData\Local\Temp\OnboardLogs"\RTDC4032\2016-12-29 --exclude "*" --recursive --include "*20161229*" &amp; "%USERPROFILE%\Documents\GitHub\mrs-test-scripts\Headless Mode &amp; Sideloading\WalkAndUnGZ.bat" "%USERPROFILE%\AppData\Local\Temp\OnboardLogs"\RTDC4032\2016-12-29 &amp; 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</v>
      </c>
      <c r="AF61" s="84" t="str">
        <f t="shared" si="12"/>
        <v>"C:\Program Files (x86)\AstroGrep\AstroGrep.exe" /spath="%USERPROFILE%\AppData\Local\Temp\OnboardLogs" /stypes="app*4032*20161229*" /stext=" 18:.+((SYSTEM_STATE.+slice.+state.+changed )|(ment ac)|(multiple cpu faults)|(system.+state.+changed )|(\[timeout)|(PRM\|1\|D)|(kpr)|(kdp)|(\|lc)|(penalty))" /e /r /s</v>
      </c>
      <c r="AG61" s="1" t="str">
        <f t="shared" si="13"/>
        <v>EC</v>
      </c>
      <c r="AH61" s="88" t="str">
        <f t="shared" si="14"/>
        <v>"%USERPROFILE%\Documents\GitHub\eaglep3\Utilities\RefineRTDCRunTimes.py" --tripid 152-29 --locoid 4032 --swversion DE.1.0.8.0 --startMP 204:232988 --initTime 2016-12-29T10:46:17 --startdatetime 2016-12-29T10:56:30 --delay 1 --endMP 204:145 --enddatetime 2016-12-29T11:38:07 --enforcementcount 0 &gt;&gt;C:\Users\stu\Documents\GitHub\eaglep3-reporting\EC\2016-12-29-refined-times.txt</v>
      </c>
      <c r="AI61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{"issue":{"subject":"","project_id":79,"tracker_id":40,"status_id":1,"priority_id":2,"assigned_to_id":23,"start_date":"2016-12-29","description":"","custom_fields":[{"id":1,"name":"Subdivision","value":"EC"},{"id":4,"name":"Milepost","value":"0.0145"},{"id":17,"name":"Train ID","value":"152-29"},{"id":16,"name":"Locomotive ID","value":"4032"},{"id":130,"name":"Impact","value":""},{"id":150,"name":"Time of Event (Mountain Time)","value":"11:38:07"},{"id":151,"name":"Denver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16"/>
        <v>start /low /b %USERPROFILE%\Documents\GitHub\eaglep3\Utilities\DownloadLogsFromS3.py --loco 4032 --day 2016-12-29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546</v>
      </c>
      <c r="B62" s="7">
        <v>4003</v>
      </c>
      <c r="C62" s="22" t="s">
        <v>205</v>
      </c>
      <c r="D62" s="22" t="s">
        <v>240</v>
      </c>
      <c r="E62" s="13">
        <v>42733.422662037039</v>
      </c>
      <c r="F62" s="13">
        <v>42733.427777777775</v>
      </c>
      <c r="G62" s="7">
        <v>2</v>
      </c>
      <c r="H62" s="22" t="s">
        <v>271</v>
      </c>
      <c r="I62" s="13">
        <v>42733.452766203707</v>
      </c>
      <c r="J62" s="7">
        <v>0</v>
      </c>
      <c r="K62" s="105" t="str">
        <f t="shared" si="0"/>
        <v>4003/4004</v>
      </c>
      <c r="L62" s="22" t="str">
        <f>VLOOKUP(A62,'Trips&amp;Operators'!$C$1:$G$99999,5,FALSE)</f>
        <v>YORK EDGAR</v>
      </c>
      <c r="M62" s="6">
        <f t="shared" si="1"/>
        <v>2.4988425931951497E-2</v>
      </c>
      <c r="N62" s="7">
        <f t="shared" si="18"/>
        <v>35.983333342010155</v>
      </c>
      <c r="O62" s="7"/>
      <c r="P62" s="7"/>
      <c r="Q62" s="23"/>
      <c r="R62" s="23"/>
      <c r="S62" s="32">
        <f t="shared" si="3"/>
        <v>1</v>
      </c>
      <c r="T62" s="47" t="str">
        <f t="shared" si="4"/>
        <v>NorthBound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09:08:38-700',mode:absolute,to:'2016-12-29 11:51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2" s="49" t="str">
        <f t="shared" si="6"/>
        <v>N</v>
      </c>
      <c r="X62" s="173">
        <f t="shared" si="19"/>
        <v>1</v>
      </c>
      <c r="Y62" s="64">
        <f t="shared" si="7"/>
        <v>4.58E-2</v>
      </c>
      <c r="Z62" s="64">
        <f t="shared" si="8"/>
        <v>23.329499999999999</v>
      </c>
      <c r="AA62" s="64">
        <f t="shared" si="9"/>
        <v>23.2837</v>
      </c>
      <c r="AB62" s="61" t="e">
        <f>VLOOKUP(A62,Enforcements!$C$7:$K$19,8,0)</f>
        <v>#N/A</v>
      </c>
      <c r="AC62" s="57" t="e">
        <f>VLOOKUP(A62,Enforcements!$C$7:$E$19,3,0)</f>
        <v>#N/A</v>
      </c>
      <c r="AD62" s="58" t="str">
        <f t="shared" si="10"/>
        <v>0153-29</v>
      </c>
      <c r="AE62" s="87" t="str">
        <f t="shared" si="11"/>
        <v>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 &amp; aws s3 cp s3://rtdc.mdm.uploadarchive.raw/RTDC4003/ "%USERPROFILE%\AppData\Local\Temp\OnboardLogs"\RTDC4003\2016-12-30 --exclude "*" --recursive --include "*20161230*" &amp; "%USERPROFILE%\Documents\GitHub\mrs-test-scripts\Headless Mode &amp; Sideloading\WalkAndUnGZ.bat" "%USERPROFILE%\AppData\Local\Temp\OnboardLogs"\RTDC4003\2016-12-30</v>
      </c>
      <c r="AF62" s="84" t="str">
        <f t="shared" si="12"/>
        <v>"C:\Program Files (x86)\AstroGrep\AstroGrep.exe" /spath="%USERPROFILE%\AppData\Local\Temp\OnboardLogs" /stypes="app*4003*20161229*" /stext=" 17:.+((SYSTEM_STATE.+slice.+state.+changed )|(ment ac)|(multiple cpu faults)|(system.+state.+changed )|(\[timeout)|(PRM\|1\|D)|(kpr)|(kdp)|(\|lc)|(penalty))" /e /r /s</v>
      </c>
      <c r="AG62" s="1" t="str">
        <f t="shared" si="13"/>
        <v>EC</v>
      </c>
      <c r="AH62" s="88" t="str">
        <f t="shared" si="14"/>
        <v>"%USERPROFILE%\Documents\GitHub\eaglep3\Utilities\RefineRTDCRunTimes.py" --tripid 153-29 --locoid 4003 --swversion DE.1.0.8.0 --startMP 204:458 --initTime 2016-12-29T10:08:38 --startdatetime 2016-12-29T10:16:00 --delay 2 --endMP 204:233295 --enddatetime 2016-12-29T10:51:59 --enforcementcount 0 &gt;&gt;C:\Users\stu\Documents\GitHub\eaglep3-reporting\EC\2016-12-29-refined-times.txt</v>
      </c>
      <c r="AI62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{"issue":{"subject":"","project_id":79,"tracker_id":40,"status_id":1,"priority_id":2,"assigned_to_id":23,"start_date":"2016-12-29","description":"","custom_fields":[{"id":1,"name":"Subdivision","value":"EC"},{"id":4,"name":"Milepost","value":"23.3295"},{"id":17,"name":"Train ID","value":"153-29"},{"id":16,"name":"Locomotive ID","value":"4003"},{"id":130,"name":"Impact","value":""},{"id":150,"name":"Time of Event (Mountain Time)","value":"10:51:59"},{"id":151,"name":"Denver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16"/>
        <v>start /low /b %USERPROFILE%\Documents\GitHub\eaglep3\Utilities\DownloadLogsFromS3.py --loco 4003 --day 2016-12-29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553</v>
      </c>
      <c r="B63" s="7">
        <v>4004</v>
      </c>
      <c r="C63" s="22" t="s">
        <v>205</v>
      </c>
      <c r="D63" s="22" t="s">
        <v>696</v>
      </c>
      <c r="E63" s="13">
        <v>42733.454131944447</v>
      </c>
      <c r="F63" s="13">
        <v>42733.466296296298</v>
      </c>
      <c r="G63" s="7">
        <v>1</v>
      </c>
      <c r="H63" s="22" t="s">
        <v>697</v>
      </c>
      <c r="I63" s="13">
        <v>42733.493043981478</v>
      </c>
      <c r="J63" s="7">
        <v>0</v>
      </c>
      <c r="K63" s="105" t="str">
        <f t="shared" si="0"/>
        <v>4003/4004</v>
      </c>
      <c r="L63" s="22" t="str">
        <f>VLOOKUP(A63,'Trips&amp;Operators'!$C$1:$G$99999,5,FALSE)</f>
        <v>YORK EDGAR</v>
      </c>
      <c r="M63" s="6">
        <f t="shared" si="1"/>
        <v>2.6747685180453118E-2</v>
      </c>
      <c r="N63" s="7">
        <f t="shared" si="18"/>
        <v>38.51666665985249</v>
      </c>
      <c r="O63" s="7"/>
      <c r="P63" s="7"/>
      <c r="Q63" s="23"/>
      <c r="R63" s="23"/>
      <c r="S63" s="32">
        <f t="shared" si="3"/>
        <v>1</v>
      </c>
      <c r="T63" s="47" t="str">
        <f t="shared" si="4"/>
        <v>Southbound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09:53:57-700',mode:absolute,to:'2016-12-29 12:49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3" s="49" t="str">
        <f t="shared" si="6"/>
        <v>N</v>
      </c>
      <c r="X63" s="173">
        <f t="shared" si="19"/>
        <v>1</v>
      </c>
      <c r="Y63" s="64">
        <f t="shared" si="7"/>
        <v>23.298100000000002</v>
      </c>
      <c r="Z63" s="64">
        <f t="shared" si="8"/>
        <v>1.61E-2</v>
      </c>
      <c r="AA63" s="64">
        <f t="shared" si="9"/>
        <v>23.282</v>
      </c>
      <c r="AB63" s="61" t="e">
        <f>VLOOKUP(A63,Enforcements!$C$7:$K$19,8,0)</f>
        <v>#N/A</v>
      </c>
      <c r="AC63" s="57" t="e">
        <f>VLOOKUP(A63,Enforcements!$C$7:$E$19,3,0)</f>
        <v>#N/A</v>
      </c>
      <c r="AD63" s="58" t="str">
        <f t="shared" si="10"/>
        <v>0154-29</v>
      </c>
      <c r="AE63" s="87" t="str">
        <f t="shared" si="11"/>
        <v>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 &amp; aws s3 cp s3://rtdc.mdm.uploadarchive.raw/RTDC4004/ "%USERPROFILE%\AppData\Local\Temp\OnboardLogs"\RTDC4004\2016-12-30 --exclude "*" --recursive --include "*20161230*" &amp; "%USERPROFILE%\Documents\GitHub\mrs-test-scripts\Headless Mode &amp; Sideloading\WalkAndUnGZ.bat" "%USERPROFILE%\AppData\Local\Temp\OnboardLogs"\RTDC4004\2016-12-30</v>
      </c>
      <c r="AF63" s="84" t="str">
        <f t="shared" si="12"/>
        <v>"C:\Program Files (x86)\AstroGrep\AstroGrep.exe" /spath="%USERPROFILE%\AppData\Local\Temp\OnboardLogs" /stypes="app*4004*20161229*" /stext=" 18:.+((SYSTEM_STATE.+slice.+state.+changed )|(ment ac)|(multiple cpu faults)|(system.+state.+changed )|(\[timeout)|(PRM\|1\|D)|(kpr)|(kdp)|(\|lc)|(penalty))" /e /r /s</v>
      </c>
      <c r="AG63" s="1" t="str">
        <f t="shared" si="13"/>
        <v>EC</v>
      </c>
      <c r="AH63" s="88" t="str">
        <f t="shared" si="14"/>
        <v>"%USERPROFILE%\Documents\GitHub\eaglep3\Utilities\RefineRTDCRunTimes.py" --tripid 154-29 --locoid 4004 --swversion DE.1.0.8.0 --startMP 204:232981 --initTime 2016-12-29T10:53:57 --startdatetime 2016-12-29T11:11:28 --delay 1 --endMP 204:161 --enddatetime 2016-12-29T11:49:59 --enforcementcount 0 &gt;&gt;C:\Users\stu\Documents\GitHub\eaglep3-reporting\EC\2016-12-29-refined-times.txt</v>
      </c>
      <c r="AI63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{"issue":{"subject":"","project_id":79,"tracker_id":40,"status_id":1,"priority_id":2,"assigned_to_id":23,"start_date":"2016-12-29","description":"","custom_fields":[{"id":1,"name":"Subdivision","value":"EC"},{"id":4,"name":"Milepost","value":"0.0161"},{"id":17,"name":"Train ID","value":"154-29"},{"id":16,"name":"Locomotive ID","value":"4004"},{"id":130,"name":"Impact","value":""},{"id":150,"name":"Time of Event (Mountain Time)","value":"11:49:59"},{"id":151,"name":"Denver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16"/>
        <v>start /low /b %USERPROFILE%\Documents\GitHub\eaglep3\Utilities\DownloadLogsFromS3.py --loco 4004 --day 2016-12-29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548</v>
      </c>
      <c r="B64" s="7">
        <v>4018</v>
      </c>
      <c r="C64" s="22" t="s">
        <v>205</v>
      </c>
      <c r="D64" s="22" t="s">
        <v>698</v>
      </c>
      <c r="E64" s="13">
        <v>42733.434895833336</v>
      </c>
      <c r="F64" s="13">
        <v>42733.437719907408</v>
      </c>
      <c r="G64" s="7">
        <v>1</v>
      </c>
      <c r="H64" s="22" t="s">
        <v>699</v>
      </c>
      <c r="I64" s="13">
        <v>42733.463842592595</v>
      </c>
      <c r="J64" s="7">
        <v>0</v>
      </c>
      <c r="K64" s="105" t="str">
        <f t="shared" si="0"/>
        <v>4017/4018</v>
      </c>
      <c r="L64" s="22" t="str">
        <f>VLOOKUP(A64,'Trips&amp;Operators'!$C$1:$G$99999,5,FALSE)</f>
        <v>SHOOK JOHN</v>
      </c>
      <c r="M64" s="6">
        <f t="shared" si="1"/>
        <v>2.6122685187146999E-2</v>
      </c>
      <c r="N64" s="7">
        <f t="shared" si="18"/>
        <v>37.616666669491678</v>
      </c>
      <c r="O64" s="7"/>
      <c r="P64" s="7"/>
      <c r="Q64" s="23"/>
      <c r="R64" s="23"/>
      <c r="S64" s="32">
        <f t="shared" si="3"/>
        <v>1</v>
      </c>
      <c r="T64" s="47" t="str">
        <f t="shared" si="4"/>
        <v>NorthBound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09:26:15-700',mode:absolute,to:'2016-12-29 12:07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4" s="49" t="str">
        <f t="shared" si="6"/>
        <v>N</v>
      </c>
      <c r="X64" s="173">
        <f t="shared" si="19"/>
        <v>1</v>
      </c>
      <c r="Y64" s="64">
        <f t="shared" si="7"/>
        <v>4.7300000000000002E-2</v>
      </c>
      <c r="Z64" s="64">
        <f t="shared" si="8"/>
        <v>23.334099999999999</v>
      </c>
      <c r="AA64" s="64">
        <f t="shared" si="9"/>
        <v>23.286799999999999</v>
      </c>
      <c r="AB64" s="61" t="e">
        <f>VLOOKUP(A64,Enforcements!$C$7:$K$19,8,0)</f>
        <v>#N/A</v>
      </c>
      <c r="AC64" s="57" t="e">
        <f>VLOOKUP(A64,Enforcements!$C$7:$E$19,3,0)</f>
        <v>#N/A</v>
      </c>
      <c r="AD64" s="58" t="str">
        <f t="shared" si="10"/>
        <v>0155-29</v>
      </c>
      <c r="AE64" s="87" t="str">
        <f t="shared" si="11"/>
        <v>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 &amp; aws s3 cp s3://rtdc.mdm.uploadarchive.raw/RTDC4018/ "%USERPROFILE%\AppData\Local\Temp\OnboardLogs"\RTDC4018\2016-12-30 --exclude "*" --recursive --include "*20161230*" &amp; "%USERPROFILE%\Documents\GitHub\mrs-test-scripts\Headless Mode &amp; Sideloading\WalkAndUnGZ.bat" "%USERPROFILE%\AppData\Local\Temp\OnboardLogs"\RTDC4018\2016-12-30</v>
      </c>
      <c r="AF64" s="84" t="str">
        <f t="shared" si="12"/>
        <v>"C:\Program Files (x86)\AstroGrep\AstroGrep.exe" /spath="%USERPROFILE%\AppData\Local\Temp\OnboardLogs" /stypes="app*4018*20161229*" /stext=" 18:.+((SYSTEM_STATE.+slice.+state.+changed )|(ment ac)|(multiple cpu faults)|(system.+state.+changed )|(\[timeout)|(PRM\|1\|D)|(kpr)|(kdp)|(\|lc)|(penalty))" /e /r /s</v>
      </c>
      <c r="AG64" s="1" t="str">
        <f t="shared" si="13"/>
        <v>EC</v>
      </c>
      <c r="AH64" s="88" t="str">
        <f t="shared" si="14"/>
        <v>"%USERPROFILE%\Documents\GitHub\eaglep3\Utilities\RefineRTDCRunTimes.py" --tripid 155-29 --locoid 4018 --swversion DE.1.0.8.0 --startMP 204:473 --initTime 2016-12-29T10:26:15 --startdatetime 2016-12-29T10:30:19 --delay 1 --endMP 204:233341 --enddatetime 2016-12-29T11:07:56 --enforcementcount 0 &gt;&gt;C:\Users\stu\Documents\GitHub\eaglep3-reporting\EC\2016-12-29-refined-times.txt</v>
      </c>
      <c r="AI64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{"issue":{"subject":"","project_id":79,"tracker_id":40,"status_id":1,"priority_id":2,"assigned_to_id":23,"start_date":"2016-12-29","description":"","custom_fields":[{"id":1,"name":"Subdivision","value":"EC"},{"id":4,"name":"Milepost","value":"23.3341"},{"id":17,"name":"Train ID","value":"155-29"},{"id":16,"name":"Locomotive ID","value":"4018"},{"id":130,"name":"Impact","value":""},{"id":150,"name":"Time of Event (Mountain Time)","value":"11:07:56"},{"id":151,"name":"Denver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16"/>
        <v>start /low /b %USERPROFILE%\Documents\GitHub\eaglep3\Utilities\DownloadLogsFromS3.py --loco 4018 --day 2016-12-29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561</v>
      </c>
      <c r="B65" s="7">
        <v>4017</v>
      </c>
      <c r="C65" s="22" t="s">
        <v>205</v>
      </c>
      <c r="D65" s="22" t="s">
        <v>700</v>
      </c>
      <c r="E65" s="13">
        <v>42733.466539351852</v>
      </c>
      <c r="F65" s="13">
        <v>42733.476585648146</v>
      </c>
      <c r="G65" s="7">
        <v>1</v>
      </c>
      <c r="H65" s="22" t="s">
        <v>322</v>
      </c>
      <c r="I65" s="13">
        <v>42733.505543981482</v>
      </c>
      <c r="J65" s="7">
        <v>0</v>
      </c>
      <c r="K65" s="105" t="str">
        <f t="shared" si="0"/>
        <v>4017/4018</v>
      </c>
      <c r="L65" s="22" t="str">
        <f>VLOOKUP(A65,'Trips&amp;Operators'!$C$1:$G$99999,5,FALSE)</f>
        <v>SHOOK JOHN</v>
      </c>
      <c r="M65" s="6">
        <f t="shared" si="1"/>
        <v>2.8958333336049691E-2</v>
      </c>
      <c r="N65" s="7">
        <f t="shared" si="18"/>
        <v>41.700000003911555</v>
      </c>
      <c r="O65" s="7"/>
      <c r="P65" s="7"/>
      <c r="Q65" s="23"/>
      <c r="R65" s="23"/>
      <c r="S65" s="32">
        <f t="shared" si="3"/>
        <v>1</v>
      </c>
      <c r="T65" s="47" t="str">
        <f t="shared" si="4"/>
        <v>Southbound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10:11:49-700',mode:absolute,to:'2016-12-29 13:07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5" s="49" t="str">
        <f t="shared" si="6"/>
        <v>N</v>
      </c>
      <c r="X65" s="173">
        <f t="shared" si="19"/>
        <v>1</v>
      </c>
      <c r="Y65" s="64">
        <f t="shared" si="7"/>
        <v>23.3003</v>
      </c>
      <c r="Z65" s="64">
        <f t="shared" si="8"/>
        <v>1.5599999999999999E-2</v>
      </c>
      <c r="AA65" s="64">
        <f t="shared" si="9"/>
        <v>23.284700000000001</v>
      </c>
      <c r="AB65" s="61" t="e">
        <f>VLOOKUP(A65,Enforcements!$C$7:$K$19,8,0)</f>
        <v>#N/A</v>
      </c>
      <c r="AC65" s="57" t="e">
        <f>VLOOKUP(A65,Enforcements!$C$7:$E$19,3,0)</f>
        <v>#N/A</v>
      </c>
      <c r="AD65" s="58" t="str">
        <f t="shared" si="10"/>
        <v>0156-29</v>
      </c>
      <c r="AE65" s="87" t="str">
        <f t="shared" si="11"/>
        <v>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 &amp; aws s3 cp s3://rtdc.mdm.uploadarchive.raw/RTDC4017/ "%USERPROFILE%\AppData\Local\Temp\OnboardLogs"\RTDC4017\2016-12-30 --exclude "*" --recursive --include "*20161230*" &amp; "%USERPROFILE%\Documents\GitHub\mrs-test-scripts\Headless Mode &amp; Sideloading\WalkAndUnGZ.bat" "%USERPROFILE%\AppData\Local\Temp\OnboardLogs"\RTDC4017\2016-12-30</v>
      </c>
      <c r="AF65" s="84" t="str">
        <f t="shared" si="12"/>
        <v>"C:\Program Files (x86)\AstroGrep\AstroGrep.exe" /spath="%USERPROFILE%\AppData\Local\Temp\OnboardLogs" /stypes="app*4017*20161229*" /stext=" 19:.+((SYSTEM_STATE.+slice.+state.+changed )|(ment ac)|(multiple cpu faults)|(system.+state.+changed )|(\[timeout)|(PRM\|1\|D)|(kpr)|(kdp)|(\|lc)|(penalty))" /e /r /s</v>
      </c>
      <c r="AG65" s="1" t="str">
        <f t="shared" si="13"/>
        <v>EC</v>
      </c>
      <c r="AH65" s="88" t="str">
        <f t="shared" si="14"/>
        <v>"%USERPROFILE%\Documents\GitHub\eaglep3\Utilities\RefineRTDCRunTimes.py" --tripid 156-29 --locoid 4017 --swversion DE.1.0.8.0 --startMP 204:233003 --initTime 2016-12-29T11:11:49 --startdatetime 2016-12-29T11:26:17 --delay 1 --endMP 204:156 --enddatetime 2016-12-29T12:07:59 --enforcementcount 0 &gt;&gt;C:\Users\stu\Documents\GitHub\eaglep3-reporting\EC\2016-12-29-refined-times.txt</v>
      </c>
      <c r="AI65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{"issue":{"subject":"","project_id":79,"tracker_id":40,"status_id":1,"priority_id":2,"assigned_to_id":23,"start_date":"2016-12-29","description":"","custom_fields":[{"id":1,"name":"Subdivision","value":"EC"},{"id":4,"name":"Milepost","value":"0.0156"},{"id":17,"name":"Train ID","value":"156-29"},{"id":16,"name":"Locomotive ID","value":"4017"},{"id":130,"name":"Impact","value":""},{"id":150,"name":"Time of Event (Mountain Time)","value":"12:07:59"},{"id":151,"name":"Denver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16"/>
        <v>start /low /b %USERPROFILE%\Documents\GitHub\eaglep3\Utilities\DownloadLogsFromS3.py --loco 4017 --day 2016-12-29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551</v>
      </c>
      <c r="B66" s="7">
        <v>4044</v>
      </c>
      <c r="C66" s="22" t="s">
        <v>205</v>
      </c>
      <c r="D66" s="22" t="s">
        <v>320</v>
      </c>
      <c r="E66" s="13">
        <v>42733.445462962962</v>
      </c>
      <c r="F66" s="13">
        <v>42733.44809027778</v>
      </c>
      <c r="G66" s="7">
        <v>1</v>
      </c>
      <c r="H66" s="22" t="s">
        <v>408</v>
      </c>
      <c r="I66" s="13">
        <v>42733.474039351851</v>
      </c>
      <c r="J66" s="7">
        <v>0</v>
      </c>
      <c r="K66" s="105" t="str">
        <f t="shared" si="0"/>
        <v>4043/4044</v>
      </c>
      <c r="L66" s="22" t="str">
        <f>VLOOKUP(A66,'Trips&amp;Operators'!$C$1:$G$99999,5,FALSE)</f>
        <v>STARKS ANGELINA</v>
      </c>
      <c r="M66" s="6">
        <f t="shared" si="1"/>
        <v>2.5949074071832001E-2</v>
      </c>
      <c r="N66" s="7">
        <f t="shared" si="18"/>
        <v>37.366666663438082</v>
      </c>
      <c r="O66" s="7"/>
      <c r="P66" s="7"/>
      <c r="Q66" s="23"/>
      <c r="R66" s="23"/>
      <c r="S66" s="32">
        <f t="shared" si="3"/>
        <v>1</v>
      </c>
      <c r="T66" s="47" t="str">
        <f t="shared" si="4"/>
        <v>NorthBound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09:41:28-700',mode:absolute,to:'2016-12-29 12:22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6" s="49" t="str">
        <f t="shared" si="6"/>
        <v>N</v>
      </c>
      <c r="X66" s="173">
        <f t="shared" si="19"/>
        <v>1</v>
      </c>
      <c r="Y66" s="64">
        <f t="shared" si="7"/>
        <v>4.5699999999999998E-2</v>
      </c>
      <c r="Z66" s="64">
        <f t="shared" si="8"/>
        <v>23.330200000000001</v>
      </c>
      <c r="AA66" s="64">
        <f t="shared" si="9"/>
        <v>23.284500000000001</v>
      </c>
      <c r="AB66" s="61" t="e">
        <f>VLOOKUP(A66,Enforcements!$C$7:$K$19,8,0)</f>
        <v>#N/A</v>
      </c>
      <c r="AC66" s="57" t="e">
        <f>VLOOKUP(A66,Enforcements!$C$7:$E$19,3,0)</f>
        <v>#N/A</v>
      </c>
      <c r="AD66" s="58" t="str">
        <f t="shared" si="10"/>
        <v>0157-29</v>
      </c>
      <c r="AE66" s="87" t="str">
        <f t="shared" si="11"/>
        <v>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 &amp; aws s3 cp s3://rtdc.mdm.uploadarchive.raw/RTDC4044/ "%USERPROFILE%\AppData\Local\Temp\OnboardLogs"\RTDC4044\2016-12-30 --exclude "*" --recursive --include "*20161230*" &amp; "%USERPROFILE%\Documents\GitHub\mrs-test-scripts\Headless Mode &amp; Sideloading\WalkAndUnGZ.bat" "%USERPROFILE%\AppData\Local\Temp\OnboardLogs"\RTDC4044\2016-12-30</v>
      </c>
      <c r="AF66" s="84" t="str">
        <f t="shared" si="12"/>
        <v>"C:\Program Files (x86)\AstroGrep\AstroGrep.exe" /spath="%USERPROFILE%\AppData\Local\Temp\OnboardLogs" /stypes="app*4044*20161229*" /stext=" 18:.+((SYSTEM_STATE.+slice.+state.+changed )|(ment ac)|(multiple cpu faults)|(system.+state.+changed )|(\[timeout)|(PRM\|1\|D)|(kpr)|(kdp)|(\|lc)|(penalty))" /e /r /s</v>
      </c>
      <c r="AG66" s="1" t="str">
        <f t="shared" si="13"/>
        <v>EC</v>
      </c>
      <c r="AH66" s="88" t="str">
        <f t="shared" si="14"/>
        <v>"%USERPROFILE%\Documents\GitHub\eaglep3\Utilities\RefineRTDCRunTimes.py" --tripid 157-29 --locoid 4044 --swversion DE.1.0.8.0 --startMP 204:457 --initTime 2016-12-29T10:41:28 --startdatetime 2016-12-29T10:45:15 --delay 1 --endMP 204:233302 --enddatetime 2016-12-29T11:22:37 --enforcementcount 0 &gt;&gt;C:\Users\stu\Documents\GitHub\eaglep3-reporting\EC\2016-12-29-refined-times.txt</v>
      </c>
      <c r="AI66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{"issue":{"subject":"","project_id":79,"tracker_id":40,"status_id":1,"priority_id":2,"assigned_to_id":23,"start_date":"2016-12-29","description":"","custom_fields":[{"id":1,"name":"Subdivision","value":"EC"},{"id":4,"name":"Milepost","value":"23.3302"},{"id":17,"name":"Train ID","value":"157-29"},{"id":16,"name":"Locomotive ID","value":"4044"},{"id":130,"name":"Impact","value":""},{"id":150,"name":"Time of Event (Mountain Time)","value":"11:22:37"},{"id":151,"name":"Denver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16"/>
        <v>start /low /b %USERPROFILE%\Documents\GitHub\eaglep3\Utilities\DownloadLogsFromS3.py --loco 4044 --day 2016-12-29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566</v>
      </c>
      <c r="B67" s="7">
        <v>4043</v>
      </c>
      <c r="C67" s="22" t="s">
        <v>205</v>
      </c>
      <c r="D67" s="22" t="s">
        <v>368</v>
      </c>
      <c r="E67" s="13">
        <v>42733.484965277778</v>
      </c>
      <c r="F67" s="13">
        <v>42733.487303240741</v>
      </c>
      <c r="G67" s="7">
        <v>1</v>
      </c>
      <c r="H67" s="22" t="s">
        <v>191</v>
      </c>
      <c r="I67" s="13">
        <v>42733.515625</v>
      </c>
      <c r="J67" s="7">
        <v>0</v>
      </c>
      <c r="K67" s="105" t="str">
        <f t="shared" si="0"/>
        <v>4043/4044</v>
      </c>
      <c r="L67" s="22" t="str">
        <f>VLOOKUP(A67,'Trips&amp;Operators'!$C$1:$G$99999,5,FALSE)</f>
        <v>STARKS ANGELINA</v>
      </c>
      <c r="M67" s="6">
        <f t="shared" si="1"/>
        <v>2.8321759258687962E-2</v>
      </c>
      <c r="N67" s="7">
        <f t="shared" si="18"/>
        <v>40.783333332510665</v>
      </c>
      <c r="O67" s="7"/>
      <c r="P67" s="7"/>
      <c r="Q67" s="23"/>
      <c r="R67" s="23"/>
      <c r="S67" s="32">
        <f t="shared" si="3"/>
        <v>1</v>
      </c>
      <c r="T67" s="47" t="str">
        <f t="shared" si="4"/>
        <v>Southbound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10:38:21-700',mode:absolute,to:'2016-12-29 13:22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7" s="49" t="str">
        <f t="shared" si="6"/>
        <v>N</v>
      </c>
      <c r="X67" s="173">
        <f t="shared" si="19"/>
        <v>1</v>
      </c>
      <c r="Y67" s="64">
        <f t="shared" si="7"/>
        <v>23.3004</v>
      </c>
      <c r="Z67" s="64">
        <f t="shared" si="8"/>
        <v>1.49E-2</v>
      </c>
      <c r="AA67" s="64">
        <f t="shared" si="9"/>
        <v>23.285499999999999</v>
      </c>
      <c r="AB67" s="61" t="e">
        <f>VLOOKUP(A67,Enforcements!$C$7:$K$19,8,0)</f>
        <v>#N/A</v>
      </c>
      <c r="AC67" s="57" t="e">
        <f>VLOOKUP(A67,Enforcements!$C$7:$E$19,3,0)</f>
        <v>#N/A</v>
      </c>
      <c r="AD67" s="58" t="str">
        <f t="shared" si="10"/>
        <v>0158-29</v>
      </c>
      <c r="AE67" s="87" t="str">
        <f t="shared" si="11"/>
        <v>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 &amp; aws s3 cp s3://rtdc.mdm.uploadarchive.raw/RTDC4043/ "%USERPROFILE%\AppData\Local\Temp\OnboardLogs"\RTDC4043\2016-12-30 --exclude "*" --recursive --include "*20161230*" &amp; "%USERPROFILE%\Documents\GitHub\mrs-test-scripts\Headless Mode &amp; Sideloading\WalkAndUnGZ.bat" "%USERPROFILE%\AppData\Local\Temp\OnboardLogs"\RTDC4043\2016-12-30</v>
      </c>
      <c r="AF67" s="84" t="str">
        <f t="shared" si="12"/>
        <v>"C:\Program Files (x86)\AstroGrep\AstroGrep.exe" /spath="%USERPROFILE%\AppData\Local\Temp\OnboardLogs" /stypes="app*4043*20161229*" /stext=" 19:.+((SYSTEM_STATE.+slice.+state.+changed )|(ment ac)|(multiple cpu faults)|(system.+state.+changed )|(\[timeout)|(PRM\|1\|D)|(kpr)|(kdp)|(\|lc)|(penalty))" /e /r /s</v>
      </c>
      <c r="AG67" s="1" t="str">
        <f t="shared" si="13"/>
        <v>EC</v>
      </c>
      <c r="AH67" s="88" t="str">
        <f t="shared" si="14"/>
        <v>"%USERPROFILE%\Documents\GitHub\eaglep3\Utilities\RefineRTDCRunTimes.py" --tripid 158-29 --locoid 4043 --swversion DE.1.0.8.0 --startMP 204:233004 --initTime 2016-12-29T11:38:21 --startdatetime 2016-12-29T11:41:43 --delay 1 --endMP 204:149 --enddatetime 2016-12-29T12:22:30 --enforcementcount 0 &gt;&gt;C:\Users\stu\Documents\GitHub\eaglep3-reporting\EC\2016-12-29-refined-times.txt</v>
      </c>
      <c r="AI67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{"issue":{"subject":"","project_id":79,"tracker_id":40,"status_id":1,"priority_id":2,"assigned_to_id":23,"start_date":"2016-12-29","description":"","custom_fields":[{"id":1,"name":"Subdivision","value":"EC"},{"id":4,"name":"Milepost","value":"0.0149"},{"id":17,"name":"Train ID","value":"158-29"},{"id":16,"name":"Locomotive ID","value":"4043"},{"id":130,"name":"Impact","value":""},{"id":150,"name":"Time of Event (Mountain Time)","value":"12:22:30"},{"id":151,"name":"Denver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16"/>
        <v>start /low /b %USERPROFILE%\Documents\GitHub\eaglep3\Utilities\DownloadLogsFromS3.py --loco 4043 --day 2016-12-29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554</v>
      </c>
      <c r="B68" s="7">
        <v>4042</v>
      </c>
      <c r="C68" s="22" t="s">
        <v>205</v>
      </c>
      <c r="D68" s="22" t="s">
        <v>228</v>
      </c>
      <c r="E68" s="13">
        <v>42733.453912037039</v>
      </c>
      <c r="F68" s="13">
        <v>42733.458506944444</v>
      </c>
      <c r="G68" s="7">
        <v>2</v>
      </c>
      <c r="H68" s="22" t="s">
        <v>299</v>
      </c>
      <c r="I68" s="13">
        <v>42733.484988425924</v>
      </c>
      <c r="J68" s="7">
        <v>0</v>
      </c>
      <c r="K68" s="105" t="str">
        <f t="shared" si="0"/>
        <v>4041/4042</v>
      </c>
      <c r="L68" s="22" t="str">
        <f>VLOOKUP(A68,'Trips&amp;Operators'!$C$1:$G$99999,5,FALSE)</f>
        <v>CLARK KATHLEEN</v>
      </c>
      <c r="M68" s="6">
        <f t="shared" si="1"/>
        <v>2.6481481480004732E-2</v>
      </c>
      <c r="N68" s="7">
        <f t="shared" si="18"/>
        <v>38.133333331206813</v>
      </c>
      <c r="O68" s="7"/>
      <c r="P68" s="7"/>
      <c r="Q68" s="23"/>
      <c r="R68" s="23"/>
      <c r="S68" s="32">
        <f t="shared" si="3"/>
        <v>1</v>
      </c>
      <c r="T68" s="47" t="str">
        <f t="shared" si="4"/>
        <v>NorthBound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09:53:38-700',mode:absolute,to:'2016-12-29 12:38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8" s="49" t="str">
        <f t="shared" si="6"/>
        <v>N</v>
      </c>
      <c r="X68" s="173">
        <f t="shared" si="19"/>
        <v>1</v>
      </c>
      <c r="Y68" s="64">
        <f t="shared" si="7"/>
        <v>4.5499999999999999E-2</v>
      </c>
      <c r="Z68" s="64">
        <f t="shared" si="8"/>
        <v>23.3293</v>
      </c>
      <c r="AA68" s="64">
        <f t="shared" si="9"/>
        <v>23.283799999999999</v>
      </c>
      <c r="AB68" s="61" t="e">
        <f>VLOOKUP(A68,Enforcements!$C$7:$K$19,8,0)</f>
        <v>#N/A</v>
      </c>
      <c r="AC68" s="57" t="e">
        <f>VLOOKUP(A68,Enforcements!$C$7:$E$19,3,0)</f>
        <v>#N/A</v>
      </c>
      <c r="AD68" s="58" t="str">
        <f t="shared" si="10"/>
        <v>0159-29</v>
      </c>
      <c r="AE68" s="87" t="str">
        <f t="shared" si="11"/>
        <v>aws s3 cp s3://rtdc.mdm.uploadarchive.raw/RTDC4042/ "%USERPROFILE%\AppData\Local\Temp\OnboardLogs"\RTDC4042\2016-12-29 --exclude "*" --recursive --include "*20161229*" &amp; "%USERPROFILE%\Documents\GitHub\mrs-test-scripts\Headless Mode &amp; Sideloading\WalkAndUnGZ.bat" "%USERPROFILE%\AppData\Local\Temp\OnboardLogs"\RTDC4042\2016-12-29 &amp; aws s3 cp s3://rtdc.mdm.uploadarchive.raw/RTDC4042/ "%USERPROFILE%\AppData\Local\Temp\OnboardLogs"\RTDC4042\2016-12-30 --exclude "*" --recursive --include "*20161230*" &amp; "%USERPROFILE%\Documents\GitHub\mrs-test-scripts\Headless Mode &amp; Sideloading\WalkAndUnGZ.bat" "%USERPROFILE%\AppData\Local\Temp\OnboardLogs"\RTDC4042\2016-12-30</v>
      </c>
      <c r="AF68" s="84" t="str">
        <f t="shared" si="12"/>
        <v>"C:\Program Files (x86)\AstroGrep\AstroGrep.exe" /spath="%USERPROFILE%\AppData\Local\Temp\OnboardLogs" /stypes="app*4042*20161229*" /stext=" 18:.+((SYSTEM_STATE.+slice.+state.+changed )|(ment ac)|(multiple cpu faults)|(system.+state.+changed )|(\[timeout)|(PRM\|1\|D)|(kpr)|(kdp)|(\|lc)|(penalty))" /e /r /s</v>
      </c>
      <c r="AG68" s="1" t="str">
        <f t="shared" si="13"/>
        <v>EC</v>
      </c>
      <c r="AH68" s="88" t="str">
        <f t="shared" si="14"/>
        <v>"%USERPROFILE%\Documents\GitHub\eaglep3\Utilities\RefineRTDCRunTimes.py" --tripid 159-29 --locoid 4042 --swversion DE.1.0.8.0 --startMP 204:455 --initTime 2016-12-29T10:53:38 --startdatetime 2016-12-29T11:00:15 --delay 2 --endMP 204:233293 --enddatetime 2016-12-29T11:38:23 --enforcementcount 0 &gt;&gt;C:\Users\stu\Documents\GitHub\eaglep3-reporting\EC\2016-12-29-refined-times.txt</v>
      </c>
      <c r="AI68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{"issue":{"subject":"","project_id":79,"tracker_id":40,"status_id":1,"priority_id":2,"assigned_to_id":23,"start_date":"2016-12-29","description":"","custom_fields":[{"id":1,"name":"Subdivision","value":"EC"},{"id":4,"name":"Milepost","value":"23.3293"},{"id":17,"name":"Train ID","value":"159-29"},{"id":16,"name":"Locomotive ID","value":"4042"},{"id":130,"name":"Impact","value":""},{"id":150,"name":"Time of Event (Mountain Time)","value":"11:38:23"},{"id":151,"name":"Denver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16"/>
        <v>start /low /b %USERPROFILE%\Documents\GitHub\eaglep3\Utilities\DownloadLogsFromS3.py --loco 4042 --day 2016-12-29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568</v>
      </c>
      <c r="B69" s="7">
        <v>4041</v>
      </c>
      <c r="C69" s="22" t="s">
        <v>205</v>
      </c>
      <c r="D69" s="22" t="s">
        <v>273</v>
      </c>
      <c r="E69" s="13">
        <v>42733.492337962962</v>
      </c>
      <c r="F69" s="13">
        <v>42733.497442129628</v>
      </c>
      <c r="G69" s="7">
        <v>1</v>
      </c>
      <c r="H69" s="22" t="s">
        <v>692</v>
      </c>
      <c r="I69" s="13">
        <v>42733.526886574073</v>
      </c>
      <c r="J69" s="7">
        <v>0</v>
      </c>
      <c r="K69" s="105" t="str">
        <f t="shared" si="0"/>
        <v>4041/4042</v>
      </c>
      <c r="L69" s="22" t="str">
        <f>VLOOKUP(A69,'Trips&amp;Operators'!$C$1:$G$99999,5,FALSE)</f>
        <v>CLARK KATHLEEN</v>
      </c>
      <c r="M69" s="6">
        <f t="shared" si="1"/>
        <v>2.9444444444379769E-2</v>
      </c>
      <c r="N69" s="7">
        <f t="shared" si="18"/>
        <v>42.399999999906868</v>
      </c>
      <c r="O69" s="7"/>
      <c r="P69" s="7"/>
      <c r="Q69" s="23"/>
      <c r="R69" s="23"/>
      <c r="S69" s="32">
        <f t="shared" si="3"/>
        <v>1</v>
      </c>
      <c r="T69" s="47" t="str">
        <f t="shared" si="4"/>
        <v>Southbound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10:48:58-700',mode:absolute,to:'2016-12-29 13:38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9" s="49" t="str">
        <f t="shared" si="6"/>
        <v>N</v>
      </c>
      <c r="X69" s="173">
        <f t="shared" si="19"/>
        <v>1</v>
      </c>
      <c r="Y69" s="64">
        <f t="shared" si="7"/>
        <v>23.2973</v>
      </c>
      <c r="Z69" s="64">
        <f t="shared" si="8"/>
        <v>1.6500000000000001E-2</v>
      </c>
      <c r="AA69" s="64">
        <f t="shared" si="9"/>
        <v>23.280799999999999</v>
      </c>
      <c r="AB69" s="61" t="e">
        <f>VLOOKUP(A69,Enforcements!$C$7:$K$19,8,0)</f>
        <v>#N/A</v>
      </c>
      <c r="AC69" s="57" t="e">
        <f>VLOOKUP(A69,Enforcements!$C$7:$E$19,3,0)</f>
        <v>#N/A</v>
      </c>
      <c r="AD69" s="58" t="str">
        <f t="shared" si="10"/>
        <v>0160-29</v>
      </c>
      <c r="AE69" s="87" t="str">
        <f t="shared" si="11"/>
        <v>aws s3 cp s3://rtdc.mdm.uploadarchive.raw/RTDC4041/ "%USERPROFILE%\AppData\Local\Temp\OnboardLogs"\RTDC4041\2016-12-29 --exclude "*" --recursive --include "*20161229*" &amp; "%USERPROFILE%\Documents\GitHub\mrs-test-scripts\Headless Mode &amp; Sideloading\WalkAndUnGZ.bat" "%USERPROFILE%\AppData\Local\Temp\OnboardLogs"\RTDC4041\2016-12-29 &amp; aws s3 cp s3://rtdc.mdm.uploadarchive.raw/RTDC4041/ "%USERPROFILE%\AppData\Local\Temp\OnboardLogs"\RTDC4041\2016-12-30 --exclude "*" --recursive --include "*20161230*" &amp; "%USERPROFILE%\Documents\GitHub\mrs-test-scripts\Headless Mode &amp; Sideloading\WalkAndUnGZ.bat" "%USERPROFILE%\AppData\Local\Temp\OnboardLogs"\RTDC4041\2016-12-30</v>
      </c>
      <c r="AF69" s="84" t="str">
        <f t="shared" si="12"/>
        <v>"C:\Program Files (x86)\AstroGrep\AstroGrep.exe" /spath="%USERPROFILE%\AppData\Local\Temp\OnboardLogs" /stypes="app*4041*20161229*" /stext=" 19:.+((SYSTEM_STATE.+slice.+state.+changed )|(ment ac)|(multiple cpu faults)|(system.+state.+changed )|(\[timeout)|(PRM\|1\|D)|(kpr)|(kdp)|(\|lc)|(penalty))" /e /r /s</v>
      </c>
      <c r="AG69" s="1" t="str">
        <f t="shared" si="13"/>
        <v>EC</v>
      </c>
      <c r="AH69" s="88" t="str">
        <f t="shared" si="14"/>
        <v>"%USERPROFILE%\Documents\GitHub\eaglep3\Utilities\RefineRTDCRunTimes.py" --tripid 160-29 --locoid 4041 --swversion DE.1.0.8.0 --startMP 204:232973 --initTime 2016-12-29T11:48:58 --startdatetime 2016-12-29T11:56:19 --delay 1 --endMP 204:165 --enddatetime 2016-12-29T12:38:43 --enforcementcount 0 &gt;&gt;C:\Users\stu\Documents\GitHub\eaglep3-reporting\EC\2016-12-29-refined-times.txt</v>
      </c>
      <c r="AI69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{"issue":{"subject":"","project_id":79,"tracker_id":40,"status_id":1,"priority_id":2,"assigned_to_id":23,"start_date":"2016-12-29","description":"","custom_fields":[{"id":1,"name":"Subdivision","value":"EC"},{"id":4,"name":"Milepost","value":"0.0165"},{"id":17,"name":"Train ID","value":"160-29"},{"id":16,"name":"Locomotive ID","value":"4041"},{"id":130,"name":"Impact","value":""},{"id":150,"name":"Time of Event (Mountain Time)","value":"12:38:43"},{"id":151,"name":"Denver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16"/>
        <v>start /low /b %USERPROFILE%\Documents\GitHub\eaglep3\Utilities\DownloadLogsFromS3.py --loco 4041 --day 2016-12-29</v>
      </c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558</v>
      </c>
      <c r="B70" s="7">
        <v>4002</v>
      </c>
      <c r="C70" s="22" t="s">
        <v>205</v>
      </c>
      <c r="D70" s="22" t="s">
        <v>264</v>
      </c>
      <c r="E70" s="13">
        <v>42733.464050925926</v>
      </c>
      <c r="F70" s="13">
        <v>42733.468946759262</v>
      </c>
      <c r="G70" s="7">
        <v>1</v>
      </c>
      <c r="H70" s="22" t="s">
        <v>408</v>
      </c>
      <c r="I70" s="13">
        <v>42733.494976851849</v>
      </c>
      <c r="J70" s="7">
        <v>0</v>
      </c>
      <c r="K70" s="105" t="str">
        <f t="shared" si="0"/>
        <v>4001/4002</v>
      </c>
      <c r="L70" s="22" t="str">
        <f>VLOOKUP(A70,'Trips&amp;Operators'!$C$1:$G$99999,5,FALSE)</f>
        <v>KILLION DAVID</v>
      </c>
      <c r="M70" s="6">
        <f t="shared" si="1"/>
        <v>2.6030092587461695E-2</v>
      </c>
      <c r="N70" s="7">
        <f t="shared" si="18"/>
        <v>37.483333325944841</v>
      </c>
      <c r="O70" s="7"/>
      <c r="P70" s="7"/>
      <c r="Q70" s="23"/>
      <c r="R70" s="23"/>
      <c r="S70" s="32">
        <f t="shared" si="3"/>
        <v>1</v>
      </c>
      <c r="T70" s="47" t="str">
        <f t="shared" si="4"/>
        <v>NorthBound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10:08:14-700',mode:absolute,to:'2016-12-29 12:52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0" s="49" t="str">
        <f t="shared" si="6"/>
        <v>N</v>
      </c>
      <c r="X70" s="173">
        <f t="shared" si="19"/>
        <v>1</v>
      </c>
      <c r="Y70" s="64">
        <f t="shared" si="7"/>
        <v>4.7699999999999999E-2</v>
      </c>
      <c r="Z70" s="64">
        <f t="shared" si="8"/>
        <v>23.330200000000001</v>
      </c>
      <c r="AA70" s="64">
        <f t="shared" si="9"/>
        <v>23.282500000000002</v>
      </c>
      <c r="AB70" s="61" t="e">
        <f>VLOOKUP(A70,Enforcements!$C$7:$K$19,8,0)</f>
        <v>#N/A</v>
      </c>
      <c r="AC70" s="57" t="e">
        <f>VLOOKUP(A70,Enforcements!$C$7:$E$19,3,0)</f>
        <v>#N/A</v>
      </c>
      <c r="AD70" s="58" t="str">
        <f t="shared" si="10"/>
        <v>0161-29</v>
      </c>
      <c r="AE70" s="87" t="str">
        <f t="shared" si="11"/>
        <v>aws s3 cp s3://rtdc.mdm.uploadarchive.raw/RTDC4002/ "%USERPROFILE%\AppData\Local\Temp\OnboardLogs"\RTDC4002\2016-12-29 --exclude "*" --recursive --include "*20161229*" &amp; "%USERPROFILE%\Documents\GitHub\mrs-test-scripts\Headless Mode &amp; Sideloading\WalkAndUnGZ.bat" "%USERPROFILE%\AppData\Local\Temp\OnboardLogs"\RTDC4002\2016-12-29 &amp; aws s3 cp s3://rtdc.mdm.uploadarchive.raw/RTDC4002/ "%USERPROFILE%\AppData\Local\Temp\OnboardLogs"\RTDC4002\2016-12-30 --exclude "*" --recursive --include "*20161230*" &amp; "%USERPROFILE%\Documents\GitHub\mrs-test-scripts\Headless Mode &amp; Sideloading\WalkAndUnGZ.bat" "%USERPROFILE%\AppData\Local\Temp\OnboardLogs"\RTDC4002\2016-12-30</v>
      </c>
      <c r="AF70" s="84" t="str">
        <f t="shared" si="12"/>
        <v>"C:\Program Files (x86)\AstroGrep\AstroGrep.exe" /spath="%USERPROFILE%\AppData\Local\Temp\OnboardLogs" /stypes="app*4002*20161229*" /stext=" 18:.+((SYSTEM_STATE.+slice.+state.+changed )|(ment ac)|(multiple cpu faults)|(system.+state.+changed )|(\[timeout)|(PRM\|1\|D)|(kpr)|(kdp)|(\|lc)|(penalty))" /e /r /s</v>
      </c>
      <c r="AG70" s="1" t="str">
        <f t="shared" si="13"/>
        <v>EC</v>
      </c>
      <c r="AH70" s="88" t="str">
        <f t="shared" si="14"/>
        <v>"%USERPROFILE%\Documents\GitHub\eaglep3\Utilities\RefineRTDCRunTimes.py" --tripid 161-29 --locoid 4002 --swversion DE.1.0.8.0 --startMP 204:477 --initTime 2016-12-29T11:08:14 --startdatetime 2016-12-29T11:15:17 --delay 1 --endMP 204:233302 --enddatetime 2016-12-29T11:52:46 --enforcementcount 0 &gt;&gt;C:\Users\stu\Documents\GitHub\eaglep3-reporting\EC\2016-12-29-refined-times.txt</v>
      </c>
      <c r="AI70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{"issue":{"subject":"","project_id":79,"tracker_id":40,"status_id":1,"priority_id":2,"assigned_to_id":23,"start_date":"2016-12-29","description":"","custom_fields":[{"id":1,"name":"Subdivision","value":"EC"},{"id":4,"name":"Milepost","value":"23.3302"},{"id":17,"name":"Train ID","value":"161-29"},{"id":16,"name":"Locomotive ID","value":"4002"},{"id":130,"name":"Impact","value":""},{"id":150,"name":"Time of Event (Mountain Time)","value":"11:52:46"},{"id":151,"name":"Denver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16"/>
        <v>start /low /b %USERPROFILE%\Documents\GitHub\eaglep3\Utilities\DownloadLogsFromS3.py --loco 4002 --day 2016-12-29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439</v>
      </c>
      <c r="B71" s="7">
        <v>4001</v>
      </c>
      <c r="C71" s="22" t="s">
        <v>205</v>
      </c>
      <c r="D71" s="22" t="s">
        <v>701</v>
      </c>
      <c r="E71" s="13">
        <v>42733.501192129632</v>
      </c>
      <c r="F71" s="13">
        <v>42733.508229166669</v>
      </c>
      <c r="G71" s="7">
        <v>1</v>
      </c>
      <c r="H71" s="22" t="s">
        <v>242</v>
      </c>
      <c r="I71" s="13">
        <v>42733.536273148151</v>
      </c>
      <c r="J71" s="7">
        <v>0</v>
      </c>
      <c r="K71" s="105" t="str">
        <f t="shared" si="0"/>
        <v>4001/4002</v>
      </c>
      <c r="L71" s="22" t="str">
        <f>VLOOKUP(A71,'Trips&amp;Operators'!$C$1:$G$99999,5,FALSE)</f>
        <v>KILLION DAVID</v>
      </c>
      <c r="M71" s="6">
        <f t="shared" si="1"/>
        <v>2.8043981481459923E-2</v>
      </c>
      <c r="N71" s="7">
        <f t="shared" si="18"/>
        <v>40.383333333302289</v>
      </c>
      <c r="O71" s="7"/>
      <c r="P71" s="7"/>
      <c r="Q71" s="23"/>
      <c r="R71" s="23"/>
      <c r="S71" s="32">
        <f t="shared" si="3"/>
        <v>1</v>
      </c>
      <c r="T71" s="47" t="str">
        <f t="shared" si="4"/>
        <v>Southbound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11:01:43-700',mode:absolute,to:'2016-12-29 13:52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1" s="49" t="str">
        <f t="shared" si="6"/>
        <v>N</v>
      </c>
      <c r="X71" s="173">
        <f t="shared" si="19"/>
        <v>1</v>
      </c>
      <c r="Y71" s="64">
        <f t="shared" si="7"/>
        <v>23.298300000000001</v>
      </c>
      <c r="Z71" s="64">
        <f t="shared" si="8"/>
        <v>1.6299999999999999E-2</v>
      </c>
      <c r="AA71" s="64">
        <f t="shared" si="9"/>
        <v>23.282</v>
      </c>
      <c r="AB71" s="61" t="str">
        <f>VLOOKUP(A71,Enforcements!$C$7:$K$19,8,0)</f>
        <v>Speed (6)</v>
      </c>
      <c r="AC71" s="57" t="str">
        <f>VLOOKUP(A71,Enforcements!$C$7:$E$19,3,0)</f>
        <v>PERMANENT SPEED RESTRICTION</v>
      </c>
      <c r="AD71" s="58" t="str">
        <f t="shared" si="10"/>
        <v>0162-29</v>
      </c>
      <c r="AE71" s="87" t="str">
        <f t="shared" si="11"/>
        <v>aws s3 cp s3://rtdc.mdm.uploadarchive.raw/RTDC4001/ "%USERPROFILE%\AppData\Local\Temp\OnboardLogs"\RTDC4001\2016-12-29 --exclude "*" --recursive --include "*20161229*" &amp; "%USERPROFILE%\Documents\GitHub\mrs-test-scripts\Headless Mode &amp; Sideloading\WalkAndUnGZ.bat" "%USERPROFILE%\AppData\Local\Temp\OnboardLogs"\RTDC4001\2016-12-29 &amp; aws s3 cp s3://rtdc.mdm.uploadarchive.raw/RTDC4001/ "%USERPROFILE%\AppData\Local\Temp\OnboardLogs"\RTDC4001\2016-12-30 --exclude "*" --recursive --include "*20161230*" &amp; "%USERPROFILE%\Documents\GitHub\mrs-test-scripts\Headless Mode &amp; Sideloading\WalkAndUnGZ.bat" "%USERPROFILE%\AppData\Local\Temp\OnboardLogs"\RTDC4001\2016-12-30</v>
      </c>
      <c r="AF71" s="84" t="str">
        <f t="shared" si="12"/>
        <v>"C:\Program Files (x86)\AstroGrep\AstroGrep.exe" /spath="%USERPROFILE%\AppData\Local\Temp\OnboardLogs" /stypes="app*4001*20161229*" /stext=" 19:.+((SYSTEM_STATE.+slice.+state.+changed )|(ment ac)|(multiple cpu faults)|(system.+state.+changed )|(\[timeout)|(PRM\|1\|D)|(kpr)|(kdp)|(\|lc)|(penalty))" /e /r /s</v>
      </c>
      <c r="AG71" s="1" t="str">
        <f t="shared" si="13"/>
        <v>EC</v>
      </c>
      <c r="AH71" s="88" t="str">
        <f t="shared" si="14"/>
        <v>"%USERPROFILE%\Documents\GitHub\eaglep3\Utilities\RefineRTDCRunTimes.py" --tripid 162-29 --locoid 4001 --swversion DE.1.0.8.0 --startMP 204:232983 --initTime 2016-12-29T12:01:43 --startdatetime 2016-12-29T12:11:51 --delay 1 --endMP 204:163 --enddatetime 2016-12-29T12:52:14 --enforcementcount 0 &gt;&gt;C:\Users\stu\Documents\GitHub\eaglep3-reporting\EC\2016-12-29-refined-times.txt</v>
      </c>
      <c r="AI71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{"issue":{"subject":"","project_id":79,"tracker_id":40,"status_id":1,"priority_id":2,"assigned_to_id":23,"start_date":"2016-12-29","description":"","custom_fields":[{"id":1,"name":"Subdivision","value":"EC"},{"id":4,"name":"Milepost","value":"0.0163"},{"id":17,"name":"Train ID","value":"162-29"},{"id":16,"name":"Locomotive ID","value":"4001"},{"id":130,"name":"Impact","value":""},{"id":150,"name":"Time of Event (Mountain Time)","value":"12:52:14"},{"id":151,"name":"Denver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16"/>
        <v>start /low /b %USERPROFILE%\Documents\GitHub\eaglep3\Utilities\DownloadLogsFromS3.py --loco 4001 --day 2016-12-29</v>
      </c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562</v>
      </c>
      <c r="B72" s="7">
        <v>4014</v>
      </c>
      <c r="C72" s="22" t="s">
        <v>205</v>
      </c>
      <c r="D72" s="22" t="s">
        <v>193</v>
      </c>
      <c r="E72" s="13">
        <v>42733.476354166669</v>
      </c>
      <c r="F72" s="13">
        <v>42733.47934027778</v>
      </c>
      <c r="G72" s="7">
        <v>1</v>
      </c>
      <c r="H72" s="22" t="s">
        <v>401</v>
      </c>
      <c r="I72" s="13">
        <v>42733.503888888888</v>
      </c>
      <c r="J72" s="7">
        <v>0</v>
      </c>
      <c r="K72" s="105" t="str">
        <f t="shared" si="0"/>
        <v>4013/4014</v>
      </c>
      <c r="L72" s="22" t="str">
        <f>VLOOKUP(A72,'Trips&amp;Operators'!$C$1:$G$99999,5,FALSE)</f>
        <v>BRUDER RICHARD</v>
      </c>
      <c r="M72" s="6">
        <f t="shared" si="1"/>
        <v>2.4548611108912155E-2</v>
      </c>
      <c r="N72" s="7">
        <f t="shared" si="18"/>
        <v>35.349999996833503</v>
      </c>
      <c r="O72" s="7"/>
      <c r="P72" s="7"/>
      <c r="Q72" s="23"/>
      <c r="R72" s="23"/>
      <c r="S72" s="32">
        <f t="shared" si="3"/>
        <v>1</v>
      </c>
      <c r="T72" s="47" t="str">
        <f t="shared" si="4"/>
        <v>NorthBound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10:25:57-700',mode:absolute,to:'2016-12-29 13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2" s="49" t="str">
        <f t="shared" si="6"/>
        <v>N</v>
      </c>
      <c r="X72" s="173">
        <f t="shared" si="19"/>
        <v>1</v>
      </c>
      <c r="Y72" s="64">
        <f t="shared" si="7"/>
        <v>4.4699999999999997E-2</v>
      </c>
      <c r="Z72" s="64">
        <f t="shared" si="8"/>
        <v>23.331099999999999</v>
      </c>
      <c r="AA72" s="64">
        <f t="shared" si="9"/>
        <v>23.2864</v>
      </c>
      <c r="AB72" s="61" t="e">
        <f>VLOOKUP(A72,Enforcements!$C$7:$K$19,8,0)</f>
        <v>#N/A</v>
      </c>
      <c r="AC72" s="57" t="e">
        <f>VLOOKUP(A72,Enforcements!$C$7:$E$19,3,0)</f>
        <v>#N/A</v>
      </c>
      <c r="AD72" s="58" t="str">
        <f t="shared" si="10"/>
        <v>0163-29</v>
      </c>
      <c r="AE72" s="87" t="str">
        <f t="shared" si="11"/>
        <v>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 &amp; aws s3 cp s3://rtdc.mdm.uploadarchive.raw/RTDC4014/ "%USERPROFILE%\AppData\Local\Temp\OnboardLogs"\RTDC4014\2016-12-30 --exclude "*" --recursive --include "*20161230*" &amp; "%USERPROFILE%\Documents\GitHub\mrs-test-scripts\Headless Mode &amp; Sideloading\WalkAndUnGZ.bat" "%USERPROFILE%\AppData\Local\Temp\OnboardLogs"\RTDC4014\2016-12-30</v>
      </c>
      <c r="AF72" s="84" t="str">
        <f t="shared" si="12"/>
        <v>"C:\Program Files (x86)\AstroGrep\AstroGrep.exe" /spath="%USERPROFILE%\AppData\Local\Temp\OnboardLogs" /stypes="app*4014*20161229*" /stext=" 19:.+((SYSTEM_STATE.+slice.+state.+changed )|(ment ac)|(multiple cpu faults)|(system.+state.+changed )|(\[timeout)|(PRM\|1\|D)|(kpr)|(kdp)|(\|lc)|(penalty))" /e /r /s</v>
      </c>
      <c r="AG72" s="1" t="str">
        <f t="shared" si="13"/>
        <v>EC</v>
      </c>
      <c r="AH72" s="88" t="str">
        <f t="shared" si="14"/>
        <v>"%USERPROFILE%\Documents\GitHub\eaglep3\Utilities\RefineRTDCRunTimes.py" --tripid 163-29 --locoid 4014 --swversion DE.1.0.8.0 --startMP 204:447 --initTime 2016-12-29T11:25:57 --startdatetime 2016-12-29T11:30:15 --delay 1 --endMP 204:233311 --enddatetime 2016-12-29T12:05:36 --enforcementcount 0 &gt;&gt;C:\Users\stu\Documents\GitHub\eaglep3-reporting\EC\2016-12-29-refined-times.txt</v>
      </c>
      <c r="AI72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{"issue":{"subject":"","project_id":79,"tracker_id":40,"status_id":1,"priority_id":2,"assigned_to_id":23,"start_date":"2016-12-29","description":"","custom_fields":[{"id":1,"name":"Subdivision","value":"EC"},{"id":4,"name":"Milepost","value":"23.3311"},{"id":17,"name":"Train ID","value":"163-29"},{"id":16,"name":"Locomotive ID","value":"4014"},{"id":130,"name":"Impact","value":""},{"id":150,"name":"Time of Event (Mountain Time)","value":"12:05:36"},{"id":151,"name":"Denver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16"/>
        <v>start /low /b %USERPROFILE%\Documents\GitHub\eaglep3\Utilities\DownloadLogsFromS3.py --loco 4014 --day 2016-12-29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576</v>
      </c>
      <c r="B73" s="7">
        <v>4013</v>
      </c>
      <c r="C73" s="22" t="s">
        <v>205</v>
      </c>
      <c r="D73" s="22" t="s">
        <v>302</v>
      </c>
      <c r="E73" s="13">
        <v>42733.512048611112</v>
      </c>
      <c r="F73" s="13">
        <v>42733.518229166664</v>
      </c>
      <c r="G73" s="7">
        <v>2</v>
      </c>
      <c r="H73" s="22" t="s">
        <v>224</v>
      </c>
      <c r="I73" s="13">
        <v>42733.546319444446</v>
      </c>
      <c r="J73" s="7">
        <v>0</v>
      </c>
      <c r="K73" s="105" t="str">
        <f t="shared" si="0"/>
        <v>4013/4014</v>
      </c>
      <c r="L73" s="22" t="str">
        <f>VLOOKUP(A73,'Trips&amp;Operators'!$C$1:$G$99999,5,FALSE)</f>
        <v>BRUDER RICHARD</v>
      </c>
      <c r="M73" s="6">
        <f t="shared" si="1"/>
        <v>2.8090277781302575E-2</v>
      </c>
      <c r="N73" s="7">
        <f t="shared" si="18"/>
        <v>40.450000005075708</v>
      </c>
      <c r="O73" s="7"/>
      <c r="P73" s="7"/>
      <c r="Q73" s="23"/>
      <c r="R73" s="23"/>
      <c r="S73" s="32">
        <f t="shared" si="3"/>
        <v>1</v>
      </c>
      <c r="T73" s="47" t="str">
        <f t="shared" si="4"/>
        <v>Southbound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11:17:21-700',mode:absolute,to:'2016-12-29 14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3" s="49" t="str">
        <f t="shared" si="6"/>
        <v>N</v>
      </c>
      <c r="X73" s="173">
        <f t="shared" si="19"/>
        <v>1</v>
      </c>
      <c r="Y73" s="64">
        <f t="shared" si="7"/>
        <v>23.298200000000001</v>
      </c>
      <c r="Z73" s="64">
        <f t="shared" si="8"/>
        <v>1.54E-2</v>
      </c>
      <c r="AA73" s="64">
        <f t="shared" si="9"/>
        <v>23.282800000000002</v>
      </c>
      <c r="AB73" s="61" t="e">
        <f>VLOOKUP(A73,Enforcements!$C$7:$K$19,8,0)</f>
        <v>#N/A</v>
      </c>
      <c r="AC73" s="57" t="e">
        <f>VLOOKUP(A73,Enforcements!$C$7:$E$19,3,0)</f>
        <v>#N/A</v>
      </c>
      <c r="AD73" s="58" t="str">
        <f t="shared" si="10"/>
        <v>0164-29</v>
      </c>
      <c r="AE73" s="87" t="str">
        <f t="shared" si="11"/>
        <v>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 &amp; aws s3 cp s3://rtdc.mdm.uploadarchive.raw/RTDC4013/ "%USERPROFILE%\AppData\Local\Temp\OnboardLogs"\RTDC4013\2016-12-30 --exclude "*" --recursive --include "*20161230*" &amp; "%USERPROFILE%\Documents\GitHub\mrs-test-scripts\Headless Mode &amp; Sideloading\WalkAndUnGZ.bat" "%USERPROFILE%\AppData\Local\Temp\OnboardLogs"\RTDC4013\2016-12-30</v>
      </c>
      <c r="AF73" s="84" t="str">
        <f t="shared" si="12"/>
        <v>"C:\Program Files (x86)\AstroGrep\AstroGrep.exe" /spath="%USERPROFILE%\AppData\Local\Temp\OnboardLogs" /stypes="app*4013*20161229*" /stext=" 20:.+((SYSTEM_STATE.+slice.+state.+changed )|(ment ac)|(multiple cpu faults)|(system.+state.+changed )|(\[timeout)|(PRM\|1\|D)|(kpr)|(kdp)|(\|lc)|(penalty))" /e /r /s</v>
      </c>
      <c r="AG73" s="1" t="str">
        <f t="shared" si="13"/>
        <v>EC</v>
      </c>
      <c r="AH73" s="88" t="str">
        <f t="shared" si="14"/>
        <v>"%USERPROFILE%\Documents\GitHub\eaglep3\Utilities\RefineRTDCRunTimes.py" --tripid 164-29 --locoid 4013 --swversion DE.1.0.8.0 --startMP 204:232982 --initTime 2016-12-29T12:17:21 --startdatetime 2016-12-29T12:26:15 --delay 2 --endMP 204:154 --enddatetime 2016-12-29T13:06:42 --enforcementcount 0 &gt;&gt;C:\Users\stu\Documents\GitHub\eaglep3-reporting\EC\2016-12-29-refined-times.txt</v>
      </c>
      <c r="AI73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{"issue":{"subject":"","project_id":79,"tracker_id":40,"status_id":1,"priority_id":2,"assigned_to_id":23,"start_date":"2016-12-29","description":"","custom_fields":[{"id":1,"name":"Subdivision","value":"EC"},{"id":4,"name":"Milepost","value":"0.0154"},{"id":17,"name":"Train ID","value":"164-29"},{"id":16,"name":"Locomotive ID","value":"4013"},{"id":130,"name":"Impact","value":""},{"id":150,"name":"Time of Event (Mountain Time)","value":"13:06:42"},{"id":151,"name":"Denver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16"/>
        <v>start /low /b %USERPROFILE%\Documents\GitHub\eaglep3\Utilities\DownloadLogsFromS3.py --loco 4013 --day 2016-12-29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567</v>
      </c>
      <c r="B74" s="7">
        <v>4031</v>
      </c>
      <c r="C74" s="22" t="s">
        <v>205</v>
      </c>
      <c r="D74" s="22" t="s">
        <v>693</v>
      </c>
      <c r="E74" s="13">
        <v>42733.487129629626</v>
      </c>
      <c r="F74" s="13">
        <v>42733.489837962959</v>
      </c>
      <c r="G74" s="7">
        <v>1</v>
      </c>
      <c r="H74" s="22" t="s">
        <v>271</v>
      </c>
      <c r="I74" s="13">
        <v>42733.516134259262</v>
      </c>
      <c r="J74" s="7">
        <v>0</v>
      </c>
      <c r="K74" s="105" t="str">
        <f t="shared" si="0"/>
        <v>4031/4032</v>
      </c>
      <c r="L74" s="22" t="str">
        <f>VLOOKUP(A74,'Trips&amp;Operators'!$C$1:$G$99999,5,FALSE)</f>
        <v>SMITH MICHAEL</v>
      </c>
      <c r="M74" s="6">
        <f t="shared" si="1"/>
        <v>2.6296296302461997E-2</v>
      </c>
      <c r="N74" s="7">
        <f t="shared" si="18"/>
        <v>37.866666675545275</v>
      </c>
      <c r="O74" s="7"/>
      <c r="P74" s="7"/>
      <c r="Q74" s="23"/>
      <c r="R74" s="23"/>
      <c r="S74" s="32">
        <f t="shared" si="3"/>
        <v>1</v>
      </c>
      <c r="T74" s="47" t="str">
        <f t="shared" si="4"/>
        <v>NorthBound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10:41:28-700',mode:absolute,to:'2016-12-29 13:23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4" s="49" t="str">
        <f t="shared" si="6"/>
        <v>N</v>
      </c>
      <c r="X74" s="173">
        <f t="shared" si="19"/>
        <v>1</v>
      </c>
      <c r="Y74" s="64">
        <f t="shared" si="7"/>
        <v>4.3499999999999997E-2</v>
      </c>
      <c r="Z74" s="64">
        <f t="shared" si="8"/>
        <v>23.329499999999999</v>
      </c>
      <c r="AA74" s="64">
        <f t="shared" si="9"/>
        <v>23.285999999999998</v>
      </c>
      <c r="AB74" s="61" t="e">
        <f>VLOOKUP(A74,Enforcements!$C$7:$K$19,8,0)</f>
        <v>#N/A</v>
      </c>
      <c r="AC74" s="57" t="e">
        <f>VLOOKUP(A74,Enforcements!$C$7:$E$19,3,0)</f>
        <v>#N/A</v>
      </c>
      <c r="AD74" s="58" t="str">
        <f t="shared" si="10"/>
        <v>0165-29</v>
      </c>
      <c r="AE74" s="87" t="str">
        <f t="shared" si="11"/>
        <v>aws s3 cp s3://rtdc.mdm.uploadarchive.raw/RTDC4031/ "%USERPROFILE%\AppData\Local\Temp\OnboardLogs"\RTDC4031\2016-12-29 --exclude "*" --recursive --include "*20161229*" &amp; "%USERPROFILE%\Documents\GitHub\mrs-test-scripts\Headless Mode &amp; Sideloading\WalkAndUnGZ.bat" "%USERPROFILE%\AppData\Local\Temp\OnboardLogs"\RTDC4031\2016-12-29 &amp; 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</v>
      </c>
      <c r="AF74" s="84" t="str">
        <f t="shared" si="12"/>
        <v>"C:\Program Files (x86)\AstroGrep\AstroGrep.exe" /spath="%USERPROFILE%\AppData\Local\Temp\OnboardLogs" /stypes="app*4031*20161229*" /stext=" 19:.+((SYSTEM_STATE.+slice.+state.+changed )|(ment ac)|(multiple cpu faults)|(system.+state.+changed )|(\[timeout)|(PRM\|1\|D)|(kpr)|(kdp)|(\|lc)|(penalty))" /e /r /s</v>
      </c>
      <c r="AG74" s="1" t="str">
        <f t="shared" si="13"/>
        <v>EC</v>
      </c>
      <c r="AH74" s="88" t="str">
        <f t="shared" si="14"/>
        <v>"%USERPROFILE%\Documents\GitHub\eaglep3\Utilities\RefineRTDCRunTimes.py" --tripid 165-29 --locoid 4031 --swversion DE.1.0.8.0 --startMP 204:435 --initTime 2016-12-29T11:41:28 --startdatetime 2016-12-29T11:45:22 --delay 1 --endMP 204:233295 --enddatetime 2016-12-29T12:23:14 --enforcementcount 0 &gt;&gt;C:\Users\stu\Documents\GitHub\eaglep3-reporting\EC\2016-12-29-refined-times.txt</v>
      </c>
      <c r="AI74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{"issue":{"subject":"","project_id":79,"tracker_id":40,"status_id":1,"priority_id":2,"assigned_to_id":23,"start_date":"2016-12-29","description":"","custom_fields":[{"id":1,"name":"Subdivision","value":"EC"},{"id":4,"name":"Milepost","value":"23.3295"},{"id":17,"name":"Train ID","value":"165-29"},{"id":16,"name":"Locomotive ID","value":"4031"},{"id":130,"name":"Impact","value":""},{"id":150,"name":"Time of Event (Mountain Time)","value":"12:23:14"},{"id":151,"name":"Denver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16"/>
        <v>start /low /b %USERPROFILE%\Documents\GitHub\eaglep3\Utilities\DownloadLogsFromS3.py --loco 4031 --day 2016-12-29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578</v>
      </c>
      <c r="B75" s="7">
        <v>4032</v>
      </c>
      <c r="C75" s="22" t="s">
        <v>205</v>
      </c>
      <c r="D75" s="22" t="s">
        <v>701</v>
      </c>
      <c r="E75" s="13">
        <v>42733.520775462966</v>
      </c>
      <c r="F75" s="13">
        <v>42733.528819444444</v>
      </c>
      <c r="G75" s="7">
        <v>1</v>
      </c>
      <c r="H75" s="22" t="s">
        <v>300</v>
      </c>
      <c r="I75" s="13">
        <v>42733.558472222219</v>
      </c>
      <c r="J75" s="7">
        <v>0</v>
      </c>
      <c r="K75" s="105" t="str">
        <f t="shared" si="0"/>
        <v>4031/4032</v>
      </c>
      <c r="L75" s="22" t="str">
        <f>VLOOKUP(A75,'Trips&amp;Operators'!$C$1:$G$99999,5,FALSE)</f>
        <v>SMITH MICHAEL</v>
      </c>
      <c r="M75" s="6">
        <f t="shared" si="1"/>
        <v>2.9652777775481809E-2</v>
      </c>
      <c r="N75" s="7">
        <f t="shared" si="18"/>
        <v>42.699999996693805</v>
      </c>
      <c r="O75" s="7"/>
      <c r="P75" s="7"/>
      <c r="Q75" s="23"/>
      <c r="R75" s="23"/>
      <c r="S75" s="32">
        <f t="shared" si="3"/>
        <v>1</v>
      </c>
      <c r="T75" s="47" t="str">
        <f t="shared" si="4"/>
        <v>Southbound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11:29:55-700',mode:absolute,to:'2016-12-29 14:24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5" s="49" t="str">
        <f t="shared" si="6"/>
        <v>N</v>
      </c>
      <c r="X75" s="173">
        <f t="shared" si="19"/>
        <v>1</v>
      </c>
      <c r="Y75" s="64">
        <f t="shared" si="7"/>
        <v>23.298300000000001</v>
      </c>
      <c r="Z75" s="64">
        <f t="shared" si="8"/>
        <v>1.52E-2</v>
      </c>
      <c r="AA75" s="64">
        <f t="shared" si="9"/>
        <v>23.283100000000001</v>
      </c>
      <c r="AB75" s="61" t="e">
        <f>VLOOKUP(A75,Enforcements!$C$7:$K$19,8,0)</f>
        <v>#N/A</v>
      </c>
      <c r="AC75" s="57" t="e">
        <f>VLOOKUP(A75,Enforcements!$C$7:$E$19,3,0)</f>
        <v>#N/A</v>
      </c>
      <c r="AD75" s="58" t="str">
        <f t="shared" si="10"/>
        <v>0166-29</v>
      </c>
      <c r="AE75" s="87" t="str">
        <f t="shared" si="11"/>
        <v>aws s3 cp s3://rtdc.mdm.uploadarchive.raw/RTDC4032/ "%USERPROFILE%\AppData\Local\Temp\OnboardLogs"\RTDC4032\2016-12-29 --exclude "*" --recursive --include "*20161229*" &amp; "%USERPROFILE%\Documents\GitHub\mrs-test-scripts\Headless Mode &amp; Sideloading\WalkAndUnGZ.bat" "%USERPROFILE%\AppData\Local\Temp\OnboardLogs"\RTDC4032\2016-12-29 &amp; 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</v>
      </c>
      <c r="AF75" s="84" t="str">
        <f t="shared" si="12"/>
        <v>"C:\Program Files (x86)\AstroGrep\AstroGrep.exe" /spath="%USERPROFILE%\AppData\Local\Temp\OnboardLogs" /stypes="app*4032*20161229*" /stext=" 20:.+((SYSTEM_STATE.+slice.+state.+changed )|(ment ac)|(multiple cpu faults)|(system.+state.+changed )|(\[timeout)|(PRM\|1\|D)|(kpr)|(kdp)|(\|lc)|(penalty))" /e /r /s</v>
      </c>
      <c r="AG75" s="1" t="str">
        <f t="shared" si="13"/>
        <v>EC</v>
      </c>
      <c r="AH75" s="88" t="str">
        <f t="shared" si="14"/>
        <v>"%USERPROFILE%\Documents\GitHub\eaglep3\Utilities\RefineRTDCRunTimes.py" --tripid 166-29 --locoid 4032 --swversion DE.1.0.8.0 --startMP 204:232983 --initTime 2016-12-29T12:29:55 --startdatetime 2016-12-29T12:41:30 --delay 1 --endMP 204:152 --enddatetime 2016-12-29T13:24:12 --enforcementcount 0 &gt;&gt;C:\Users\stu\Documents\GitHub\eaglep3-reporting\EC\2016-12-29-refined-times.txt</v>
      </c>
      <c r="AI75" s="115" t="str">
        <f t="shared" si="15"/>
        <v>echo {"issue":{"subject":"","project_id":79,"tracker_id":40,"status_id":1,"priority_id":2,"assigned_to_id":23,"start_date":"2016-12-29","description":"","custom_fields":[{"id":1,"name":"Subdivision","value":"EC"},{"id":4,"name":"Milepost","value":"0.0152"},{"id":17,"name":"Train ID","value":"166-29"},{"id":16,"name":"Locomotive ID","value":"4032"},{"id":130,"name":"Impact","value":""},{"id":150,"name":"Time of Event (Mountain Time)","value":"13:24:12"},{"id":151,"name":"Denver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16"/>
        <v>start /low /b %USERPROFILE%\Documents\GitHub\eaglep3\Utilities\DownloadLogsFromS3.py --loco 4032 --day 2016-12-29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569</v>
      </c>
      <c r="B76" s="7">
        <v>4003</v>
      </c>
      <c r="C76" s="22" t="s">
        <v>205</v>
      </c>
      <c r="D76" s="22" t="s">
        <v>264</v>
      </c>
      <c r="E76" s="13">
        <v>42733.496666666666</v>
      </c>
      <c r="F76" s="13">
        <v>42733.500381944446</v>
      </c>
      <c r="G76" s="7">
        <v>2</v>
      </c>
      <c r="H76" s="22" t="s">
        <v>702</v>
      </c>
      <c r="I76" s="13">
        <v>42733.526944444442</v>
      </c>
      <c r="J76" s="7">
        <v>0</v>
      </c>
      <c r="K76" s="105" t="str">
        <f t="shared" si="0"/>
        <v>4003/4004</v>
      </c>
      <c r="L76" s="22" t="str">
        <f>VLOOKUP(A76,'Trips&amp;Operators'!$C$1:$G$99999,5,FALSE)</f>
        <v>ARVIDSON DANIEL</v>
      </c>
      <c r="M76" s="6">
        <f t="shared" si="1"/>
        <v>2.6562499995634425E-2</v>
      </c>
      <c r="N76" s="7">
        <f t="shared" si="18"/>
        <v>38.249999993713573</v>
      </c>
      <c r="O76" s="7"/>
      <c r="P76" s="7"/>
      <c r="Q76" s="23"/>
      <c r="R76" s="23"/>
      <c r="S76" s="32">
        <f t="shared" si="3"/>
        <v>1</v>
      </c>
      <c r="T76" s="47" t="str">
        <f t="shared" si="4"/>
        <v>NorthBound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https://search-rtdc-monitor-bjffxe2xuh6vdkpspy63sjmuny.us-east-1.es.amazonaws.com/_plugin/kibana/#/discover/Steve-Slow-Train-Analysis-(2080s-and-2083s)?_g=(refreshInterval:(display:Off,section:0,value:0),time:(from:'2016-12-29 10:55:12-700',mode:absolute,to:'2016-12-29 13:38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6" s="49" t="str">
        <f t="shared" si="6"/>
        <v>N</v>
      </c>
      <c r="X76" s="173">
        <f t="shared" si="19"/>
        <v>1</v>
      </c>
      <c r="Y76" s="64">
        <f t="shared" si="7"/>
        <v>4.7699999999999999E-2</v>
      </c>
      <c r="Z76" s="64">
        <f t="shared" si="8"/>
        <v>23.334900000000001</v>
      </c>
      <c r="AA76" s="64">
        <f t="shared" si="9"/>
        <v>23.287200000000002</v>
      </c>
      <c r="AB76" s="61" t="e">
        <f>VLOOKUP(A76,Enforcements!$C$7:$K$19,8,0)</f>
        <v>#N/A</v>
      </c>
      <c r="AC76" s="57" t="e">
        <f>VLOOKUP(A76,Enforcements!$C$7:$E$19,3,0)</f>
        <v>#N/A</v>
      </c>
      <c r="AD76" s="58" t="str">
        <f t="shared" si="10"/>
        <v>0167-29</v>
      </c>
      <c r="AE76" s="87" t="str">
        <f t="shared" si="11"/>
        <v>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 &amp; aws s3 cp s3://rtdc.mdm.uploadarchive.raw/RTDC4003/ "%USERPROFILE%\AppData\Local\Temp\OnboardLogs"\RTDC4003\2016-12-30 --exclude "*" --recursive --include "*20161230*" &amp; "%USERPROFILE%\Documents\GitHub\mrs-test-scripts\Headless Mode &amp; Sideloading\WalkAndUnGZ.bat" "%USERPROFILE%\AppData\Local\Temp\OnboardLogs"\RTDC4003\2016-12-30</v>
      </c>
      <c r="AF76" s="84" t="str">
        <f t="shared" si="12"/>
        <v>"C:\Program Files (x86)\AstroGrep\AstroGrep.exe" /spath="%USERPROFILE%\AppData\Local\Temp\OnboardLogs" /stypes="app*4003*20161229*" /stext=" 19:.+((SYSTEM_STATE.+slice.+state.+changed )|(ment ac)|(multiple cpu faults)|(system.+state.+changed )|(\[timeout)|(PRM\|1\|D)|(kpr)|(kdp)|(\|lc)|(penalty))" /e /r /s</v>
      </c>
      <c r="AG76" s="1" t="str">
        <f t="shared" si="13"/>
        <v>EC</v>
      </c>
      <c r="AH76" s="88" t="str">
        <f t="shared" ref="AH76:AH138" si="20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167-29 --locoid 4003 --swversion DE.1.0.8.0 --startMP 204:477 --initTime 2016-12-29T11:55:12 --startdatetime 2016-12-29T12:00:33 --delay 2 --endMP 204:233349 --enddatetime 2016-12-29T12:38:48 --enforcementcount 0 &gt;&gt;C:\Users\stu\Documents\GitHub\eaglep3-reporting\EC\2016-12-29-refined-times.txt</v>
      </c>
      <c r="AI76" s="115" t="str">
        <f t="shared" ref="AI76:AI138" si="21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{"issue":{"subject":"","project_id":79,"tracker_id":40,"status_id":1,"priority_id":2,"assigned_to_id":23,"start_date":"2016-12-29","description":"","custom_fields":[{"id":1,"name":"Subdivision","value":"EC"},{"id":4,"name":"Milepost","value":"23.3349"},{"id":17,"name":"Train ID","value":"167-29"},{"id":16,"name":"Locomotive ID","value":"4003"},{"id":130,"name":"Impact","value":""},{"id":150,"name":"Time of Event (Mountain Time)","value":"12:38:48"},{"id":151,"name":"Denver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ref="AM76:AM138" si="22">"start /low /b "&amp;dls3logs&amp;" --loco "&amp;B76&amp;" --day "&amp;TEXT(F76,"YYYY-MM-DD")</f>
        <v>start /low /b %USERPROFILE%\Documents\GitHub\eaglep3\Utilities\DownloadLogsFromS3.py --loco 4003 --day 2016-12-29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581</v>
      </c>
      <c r="B77" s="7">
        <v>4004</v>
      </c>
      <c r="C77" s="22" t="s">
        <v>205</v>
      </c>
      <c r="D77" s="22" t="s">
        <v>700</v>
      </c>
      <c r="E77" s="13">
        <v>42733.535787037035</v>
      </c>
      <c r="F77" s="13">
        <v>42733.539120370369</v>
      </c>
      <c r="G77" s="7">
        <v>1</v>
      </c>
      <c r="H77" s="22" t="s">
        <v>233</v>
      </c>
      <c r="I77" s="13">
        <v>42733.568043981482</v>
      </c>
      <c r="J77" s="7">
        <v>0</v>
      </c>
      <c r="K77" s="105" t="str">
        <f t="shared" ref="K77:K140" si="23">IF(ISEVEN(B77),(B77-1)&amp;"/"&amp;B77,B77&amp;"/"&amp;(B77+1))</f>
        <v>4003/4004</v>
      </c>
      <c r="L77" s="22" t="str">
        <f>VLOOKUP(A77,'Trips&amp;Operators'!$C$1:$G$99999,5,FALSE)</f>
        <v>ARVIDSON DANIEL</v>
      </c>
      <c r="M77" s="6">
        <f t="shared" ref="M77:M140" si="24">I77-F77</f>
        <v>2.8923611112986691E-2</v>
      </c>
      <c r="N77" s="7">
        <f t="shared" si="18"/>
        <v>41.650000002700835</v>
      </c>
      <c r="O77" s="7"/>
      <c r="P77" s="7"/>
      <c r="Q77" s="23"/>
      <c r="R77" s="23"/>
      <c r="S77" s="32">
        <f t="shared" ref="S77:S140" si="25">SUM(U77:U77)/IF(AG77="EC",12,1)</f>
        <v>1</v>
      </c>
      <c r="T77" s="47" t="str">
        <f t="shared" ref="T77:T140" si="26">IF(ISEVEN(LEFT(AD77,4)),"Southbound","NorthBound")</f>
        <v>Southbound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27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https://search-rtdc-monitor-bjffxe2xuh6vdkpspy63sjmuny.us-east-1.es.amazonaws.com/_plugin/kibana/#/discover/Steve-Slow-Train-Analysis-(2080s-and-2083s)?_g=(refreshInterval:(display:Off,section:0,value:0),time:(from:'2016-12-29 11:51:32-700',mode:absolute,to:'2016-12-29 14:37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7" s="49" t="str">
        <f t="shared" ref="W77:W140" si="28">IF(AA77&lt;IF(AG77="EC",23,5.65),"Y","N")</f>
        <v>N</v>
      </c>
      <c r="X77" s="173">
        <f t="shared" si="19"/>
        <v>1</v>
      </c>
      <c r="Y77" s="64">
        <f t="shared" ref="Y77:Y140" si="29">RIGHT(D77,LEN(D77)-4)/10000</f>
        <v>23.3003</v>
      </c>
      <c r="Z77" s="64">
        <f t="shared" ref="Z77:Z140" si="30">RIGHT(H77,LEN(H77)-4)/10000</f>
        <v>1.4500000000000001E-2</v>
      </c>
      <c r="AA77" s="64">
        <f t="shared" ref="AA77:AA140" si="31">ABS(Z77-Y77)</f>
        <v>23.285799999999998</v>
      </c>
      <c r="AB77" s="61" t="e">
        <f>VLOOKUP(A77,Enforcements!$C$7:$K$19,8,0)</f>
        <v>#N/A</v>
      </c>
      <c r="AC77" s="57" t="e">
        <f>VLOOKUP(A77,Enforcements!$C$7:$E$19,3,0)</f>
        <v>#N/A</v>
      </c>
      <c r="AD77" s="58" t="str">
        <f t="shared" ref="AD77:AD140" si="32">IF(LEN(A77)=6,"0"&amp;A77,A77)</f>
        <v>0168-29</v>
      </c>
      <c r="AE77" s="8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 &amp; aws s3 cp s3://rtdc.mdm.uploadarchive.raw/RTDC4004/ "%USERPROFILE%\AppData\Local\Temp\OnboardLogs"\RTDC4004\2016-12-30 --exclude "*" --recursive --include "*20161230*" &amp; "%USERPROFILE%\Documents\GitHub\mrs-test-scripts\Headless Mode &amp; Sideloading\WalkAndUnGZ.bat" "%USERPROFILE%\AppData\Local\Temp\OnboardLogs"\RTDC4004\2016-12-30</v>
      </c>
      <c r="AF77" s="84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/stypes="app*4004*20161229*" /stext=" 20:.+((SYSTEM_STATE.+slice.+state.+changed )|(ment ac)|(multiple cpu faults)|(system.+state.+changed )|(\[timeout)|(PRM\|1\|D)|(kpr)|(kdp)|(\|lc)|(penalty))"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8" t="str">
        <f t="shared" si="20"/>
        <v>"%USERPROFILE%\Documents\GitHub\eaglep3\Utilities\RefineRTDCRunTimes.py" --tripid 168-29 --locoid 4004 --swversion DE.1.0.8.0 --startMP 204:233003 --initTime 2016-12-29T12:51:32 --startdatetime 2016-12-29T12:56:20 --delay 1 --endMP 204:145 --enddatetime 2016-12-29T13:37:59 --enforcementcount 0 &gt;&gt;C:\Users\stu\Documents\GitHub\eaglep3-reporting\EC\2016-12-29-refined-times.txt</v>
      </c>
      <c r="AI77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{"issue":{"subject":"","project_id":79,"tracker_id":40,"status_id":1,"priority_id":2,"assigned_to_id":23,"start_date":"2016-12-29","description":"","custom_fields":[{"id":1,"name":"Subdivision","value":"EC"},{"id":4,"name":"Milepost","value":"0.0145"},{"id":17,"name":"Train ID","value":"168-29"},{"id":16,"name":"Locomotive ID","value":"4004"},{"id":130,"name":"Impact","value":""},{"id":150,"name":"Time of Event (Mountain Time)","value":"13:37:59"},{"id":151,"name":"Denver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22"/>
        <v>start /low /b %USERPROFILE%\Documents\GitHub\eaglep3\Utilities\DownloadLogsFromS3.py --loco 4004 --day 2016-12-29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572</v>
      </c>
      <c r="B78" s="7">
        <v>4018</v>
      </c>
      <c r="C78" s="22" t="s">
        <v>205</v>
      </c>
      <c r="D78" s="22" t="s">
        <v>703</v>
      </c>
      <c r="E78" s="13">
        <v>42733.50708333333</v>
      </c>
      <c r="F78" s="13">
        <v>42733.510625000003</v>
      </c>
      <c r="G78" s="7">
        <v>2</v>
      </c>
      <c r="H78" s="22" t="s">
        <v>365</v>
      </c>
      <c r="I78" s="13">
        <v>42733.538993055554</v>
      </c>
      <c r="J78" s="7">
        <v>0</v>
      </c>
      <c r="K78" s="105" t="str">
        <f t="shared" si="23"/>
        <v>4017/4018</v>
      </c>
      <c r="L78" s="22" t="str">
        <f>VLOOKUP(A78,'Trips&amp;Operators'!$C$1:$G$99999,5,FALSE)</f>
        <v>STRICKLAND EVAN</v>
      </c>
      <c r="M78" s="6">
        <f t="shared" si="24"/>
        <v>2.8368055551254656E-2</v>
      </c>
      <c r="N78" s="7">
        <f t="shared" si="18"/>
        <v>40.849999993806705</v>
      </c>
      <c r="O78" s="7"/>
      <c r="P78" s="7"/>
      <c r="Q78" s="23"/>
      <c r="R78" s="23"/>
      <c r="S78" s="32">
        <f t="shared" si="25"/>
        <v>1</v>
      </c>
      <c r="T78" s="47" t="str">
        <f t="shared" si="26"/>
        <v>NorthBound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11:10:12-700',mode:absolute,to:'2016-12-29 13:56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8" s="49" t="str">
        <f t="shared" si="28"/>
        <v>N</v>
      </c>
      <c r="X78" s="173">
        <f t="shared" ref="X78:X109" si="36">VALUE(LEFT(AD78,4))-VALUE(LEFT(AD77,4))</f>
        <v>1</v>
      </c>
      <c r="Y78" s="64">
        <f t="shared" si="29"/>
        <v>4.3799999999999999E-2</v>
      </c>
      <c r="Z78" s="64">
        <f t="shared" si="30"/>
        <v>23.332899999999999</v>
      </c>
      <c r="AA78" s="64">
        <f t="shared" si="31"/>
        <v>23.289099999999998</v>
      </c>
      <c r="AB78" s="61" t="e">
        <f>VLOOKUP(A78,Enforcements!$C$7:$K$19,8,0)</f>
        <v>#N/A</v>
      </c>
      <c r="AC78" s="57" t="e">
        <f>VLOOKUP(A78,Enforcements!$C$7:$E$19,3,0)</f>
        <v>#N/A</v>
      </c>
      <c r="AD78" s="58" t="str">
        <f t="shared" si="32"/>
        <v>0169-29</v>
      </c>
      <c r="AE78" s="87" t="str">
        <f t="shared" si="33"/>
        <v>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 &amp; aws s3 cp s3://rtdc.mdm.uploadarchive.raw/RTDC4018/ "%USERPROFILE%\AppData\Local\Temp\OnboardLogs"\RTDC4018\2016-12-30 --exclude "*" --recursive --include "*20161230*" &amp; "%USERPROFILE%\Documents\GitHub\mrs-test-scripts\Headless Mode &amp; Sideloading\WalkAndUnGZ.bat" "%USERPROFILE%\AppData\Local\Temp\OnboardLogs"\RTDC4018\2016-12-30</v>
      </c>
      <c r="AF78" s="84" t="str">
        <f t="shared" si="34"/>
        <v>"C:\Program Files (x86)\AstroGrep\AstroGrep.exe" /spath="%USERPROFILE%\AppData\Local\Temp\OnboardLogs" /stypes="app*4018*20161229*" /stext=" 19:.+((SYSTEM_STATE.+slice.+state.+changed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88" t="str">
        <f t="shared" si="20"/>
        <v>"%USERPROFILE%\Documents\GitHub\eaglep3\Utilities\RefineRTDCRunTimes.py" --tripid 169-29 --locoid 4018 --swversion DE.1.0.8.0 --startMP 204:438 --initTime 2016-12-29T12:10:12 --startdatetime 2016-12-29T12:15:18 --delay 2 --endMP 204:233329 --enddatetime 2016-12-29T12:56:09 --enforcementcount 0 &gt;&gt;C:\Users\stu\Documents\GitHub\eaglep3-reporting\EC\2016-12-29-refined-times.txt</v>
      </c>
      <c r="AI78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{"issue":{"subject":"","project_id":79,"tracker_id":40,"status_id":1,"priority_id":2,"assigned_to_id":23,"start_date":"2016-12-29","description":"","custom_fields":[{"id":1,"name":"Subdivision","value":"EC"},{"id":4,"name":"Milepost","value":"23.3329"},{"id":17,"name":"Train ID","value":"169-29"},{"id":16,"name":"Locomotive ID","value":"4018"},{"id":130,"name":"Impact","value":""},{"id":150,"name":"Time of Event (Mountain Time)","value":"12:56:09"},{"id":151,"name":"Denver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si="22"/>
        <v>start /low /b %USERPROFILE%\Documents\GitHub\eaglep3\Utilities\DownloadLogsFromS3.py --loco 4018 --day 2016-12-29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442</v>
      </c>
      <c r="B79" s="7">
        <v>4017</v>
      </c>
      <c r="C79" s="22" t="s">
        <v>205</v>
      </c>
      <c r="D79" s="22" t="s">
        <v>362</v>
      </c>
      <c r="E79" s="13">
        <v>42733.540833333333</v>
      </c>
      <c r="F79" s="13">
        <v>42733.549583333333</v>
      </c>
      <c r="G79" s="7">
        <v>1</v>
      </c>
      <c r="H79" s="22" t="s">
        <v>697</v>
      </c>
      <c r="I79" s="13">
        <v>42733.578483796293</v>
      </c>
      <c r="J79" s="7">
        <v>0</v>
      </c>
      <c r="K79" s="105" t="str">
        <f t="shared" si="23"/>
        <v>4017/4018</v>
      </c>
      <c r="L79" s="22" t="str">
        <f>VLOOKUP(A79,'Trips&amp;Operators'!$C$1:$G$99999,5,FALSE)</f>
        <v>STRICKLAND EVAN</v>
      </c>
      <c r="M79" s="6">
        <f t="shared" si="24"/>
        <v>2.8900462959427387E-2</v>
      </c>
      <c r="N79" s="7">
        <f t="shared" si="18"/>
        <v>41.616666661575437</v>
      </c>
      <c r="O79" s="7"/>
      <c r="P79" s="7"/>
      <c r="Q79" s="23"/>
      <c r="R79" s="23"/>
      <c r="S79" s="32">
        <f t="shared" si="25"/>
        <v>1</v>
      </c>
      <c r="T79" s="47" t="str">
        <f t="shared" si="26"/>
        <v>Southbound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11:58:48-700',mode:absolute,to:'2016-12-29 14:53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9" s="49" t="str">
        <f t="shared" si="28"/>
        <v>N</v>
      </c>
      <c r="X79" s="173">
        <f t="shared" si="36"/>
        <v>1</v>
      </c>
      <c r="Y79" s="64">
        <f t="shared" si="29"/>
        <v>23.301100000000002</v>
      </c>
      <c r="Z79" s="64">
        <f t="shared" si="30"/>
        <v>1.61E-2</v>
      </c>
      <c r="AA79" s="64">
        <f t="shared" si="31"/>
        <v>23.285</v>
      </c>
      <c r="AB79" s="61" t="e">
        <f>VLOOKUP(A79,Enforcements!$C$7:$K$19,8,0)</f>
        <v>#N/A</v>
      </c>
      <c r="AC79" s="57" t="e">
        <f>VLOOKUP(A79,Enforcements!$C$7:$E$19,3,0)</f>
        <v>#N/A</v>
      </c>
      <c r="AD79" s="58" t="str">
        <f t="shared" si="32"/>
        <v>0170-29</v>
      </c>
      <c r="AE79" s="87" t="str">
        <f t="shared" si="33"/>
        <v>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 &amp; aws s3 cp s3://rtdc.mdm.uploadarchive.raw/RTDC4017/ "%USERPROFILE%\AppData\Local\Temp\OnboardLogs"\RTDC4017\2016-12-30 --exclude "*" --recursive --include "*20161230*" &amp; "%USERPROFILE%\Documents\GitHub\mrs-test-scripts\Headless Mode &amp; Sideloading\WalkAndUnGZ.bat" "%USERPROFILE%\AppData\Local\Temp\OnboardLogs"\RTDC4017\2016-12-30</v>
      </c>
      <c r="AF79" s="84" t="str">
        <f t="shared" si="34"/>
        <v>"C:\Program Files (x86)\AstroGrep\AstroGrep.exe" /spath="%USERPROFILE%\AppData\Local\Temp\OnboardLogs" /stypes="app*4017*20161229*" /stext=" 20:.+((SYSTEM_STATE.+slice.+state.+changed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88" t="str">
        <f t="shared" si="20"/>
        <v>"%USERPROFILE%\Documents\GitHub\eaglep3\Utilities\RefineRTDCRunTimes.py" --tripid 170-29 --locoid 4017 --swversion DE.1.0.8.0 --startMP 204:233011 --initTime 2016-12-29T12:58:48 --startdatetime 2016-12-29T13:11:24 --delay 1 --endMP 204:161 --enddatetime 2016-12-29T13:53:01 --enforcementcount 0 &gt;&gt;C:\Users\stu\Documents\GitHub\eaglep3-reporting\EC\2016-12-29-refined-times.txt</v>
      </c>
      <c r="AI79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{"issue":{"subject":"","project_id":79,"tracker_id":40,"status_id":1,"priority_id":2,"assigned_to_id":23,"start_date":"2016-12-29","description":"","custom_fields":[{"id":1,"name":"Subdivision","value":"EC"},{"id":4,"name":"Milepost","value":"0.0161"},{"id":17,"name":"Train ID","value":"170-29"},{"id":16,"name":"Locomotive ID","value":"4017"},{"id":130,"name":"Impact","value":""},{"id":150,"name":"Time of Event (Mountain Time)","value":"13:53:01"},{"id":151,"name":"Denver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22"/>
        <v>start /low /b %USERPROFILE%\Documents\GitHub\eaglep3\Utilities\DownloadLogsFromS3.py --loco 4017 --day 2016-12-29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577</v>
      </c>
      <c r="B80" s="7">
        <v>4044</v>
      </c>
      <c r="C80" s="22" t="s">
        <v>205</v>
      </c>
      <c r="D80" s="22" t="s">
        <v>367</v>
      </c>
      <c r="E80" s="13">
        <v>42733.518113425926</v>
      </c>
      <c r="F80" s="13">
        <v>42733.520983796298</v>
      </c>
      <c r="G80" s="7">
        <v>1</v>
      </c>
      <c r="H80" s="22" t="s">
        <v>360</v>
      </c>
      <c r="I80" s="13">
        <v>42733.545787037037</v>
      </c>
      <c r="J80" s="7">
        <v>0</v>
      </c>
      <c r="K80" s="105" t="str">
        <f t="shared" si="23"/>
        <v>4043/4044</v>
      </c>
      <c r="L80" s="22" t="str">
        <f>VLOOKUP(A80,'Trips&amp;Operators'!$C$1:$G$99999,5,FALSE)</f>
        <v>BRANNON JEFFREY</v>
      </c>
      <c r="M80" s="6">
        <f t="shared" si="24"/>
        <v>2.4803240739856847E-2</v>
      </c>
      <c r="N80" s="7">
        <f t="shared" si="18"/>
        <v>35.716666665393859</v>
      </c>
      <c r="O80" s="7"/>
      <c r="P80" s="7"/>
      <c r="Q80" s="23"/>
      <c r="R80" s="23"/>
      <c r="S80" s="32">
        <f t="shared" si="25"/>
        <v>1</v>
      </c>
      <c r="T80" s="47" t="str">
        <f t="shared" si="26"/>
        <v>NorthBound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11:26:05-700',mode:absolute,to:'2016-12-29 14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0" s="49" t="str">
        <f t="shared" si="28"/>
        <v>N</v>
      </c>
      <c r="X80" s="173">
        <f t="shared" si="36"/>
        <v>1</v>
      </c>
      <c r="Y80" s="64">
        <f t="shared" si="29"/>
        <v>4.7100000000000003E-2</v>
      </c>
      <c r="Z80" s="64">
        <f t="shared" si="30"/>
        <v>23.3309</v>
      </c>
      <c r="AA80" s="64">
        <f t="shared" si="31"/>
        <v>23.283799999999999</v>
      </c>
      <c r="AB80" s="61" t="e">
        <f>VLOOKUP(A80,Enforcements!$C$7:$K$19,8,0)</f>
        <v>#N/A</v>
      </c>
      <c r="AC80" s="57" t="e">
        <f>VLOOKUP(A80,Enforcements!$C$7:$E$19,3,0)</f>
        <v>#N/A</v>
      </c>
      <c r="AD80" s="58" t="str">
        <f t="shared" si="32"/>
        <v>0171-29</v>
      </c>
      <c r="AE80" s="87" t="str">
        <f t="shared" si="33"/>
        <v>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 &amp; aws s3 cp s3://rtdc.mdm.uploadarchive.raw/RTDC4044/ "%USERPROFILE%\AppData\Local\Temp\OnboardLogs"\RTDC4044\2016-12-30 --exclude "*" --recursive --include "*20161230*" &amp; "%USERPROFILE%\Documents\GitHub\mrs-test-scripts\Headless Mode &amp; Sideloading\WalkAndUnGZ.bat" "%USERPROFILE%\AppData\Local\Temp\OnboardLogs"\RTDC4044\2016-12-30</v>
      </c>
      <c r="AF80" s="84" t="str">
        <f t="shared" si="34"/>
        <v>"C:\Program Files (x86)\AstroGrep\AstroGrep.exe" /spath="%USERPROFILE%\AppData\Local\Temp\OnboardLogs" /stypes="app*4044*20161229*" /stext=" 20:.+((SYSTEM_STATE.+slice.+state.+changed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88" t="str">
        <f t="shared" si="20"/>
        <v>"%USERPROFILE%\Documents\GitHub\eaglep3\Utilities\RefineRTDCRunTimes.py" --tripid 171-29 --locoid 4044 --swversion DE.1.0.8.0 --startMP 204:471 --initTime 2016-12-29T12:26:05 --startdatetime 2016-12-29T12:30:13 --delay 1 --endMP 204:233309 --enddatetime 2016-12-29T13:05:56 --enforcementcount 0 &gt;&gt;C:\Users\stu\Documents\GitHub\eaglep3-reporting\EC\2016-12-29-refined-times.txt</v>
      </c>
      <c r="AI80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{"issue":{"subject":"","project_id":79,"tracker_id":40,"status_id":1,"priority_id":2,"assigned_to_id":23,"start_date":"2016-12-29","description":"","custom_fields":[{"id":1,"name":"Subdivision","value":"EC"},{"id":4,"name":"Milepost","value":"23.3309"},{"id":17,"name":"Train ID","value":"171-29"},{"id":16,"name":"Locomotive ID","value":"4044"},{"id":130,"name":"Impact","value":""},{"id":150,"name":"Time of Event (Mountain Time)","value":"13:05:56"},{"id":151,"name":"Denver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22"/>
        <v>start /low /b %USERPROFILE%\Documents\GitHub\eaglep3\Utilities\DownloadLogsFromS3.py --loco 4044 --day 2016-12-29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441</v>
      </c>
      <c r="B81" s="7">
        <v>4043</v>
      </c>
      <c r="C81" s="22" t="s">
        <v>205</v>
      </c>
      <c r="D81" s="22" t="s">
        <v>330</v>
      </c>
      <c r="E81" s="13">
        <v>42733.550335648149</v>
      </c>
      <c r="F81" s="13">
        <v>42733.559884259259</v>
      </c>
      <c r="G81" s="7">
        <v>1</v>
      </c>
      <c r="H81" s="22" t="s">
        <v>692</v>
      </c>
      <c r="I81" s="13">
        <v>42733.589675925927</v>
      </c>
      <c r="J81" s="7">
        <v>0</v>
      </c>
      <c r="K81" s="105" t="str">
        <f t="shared" si="23"/>
        <v>4043/4044</v>
      </c>
      <c r="L81" s="22" t="str">
        <f>VLOOKUP(A81,'Trips&amp;Operators'!$C$1:$G$99999,5,FALSE)</f>
        <v>BRANNON JEFFREY</v>
      </c>
      <c r="M81" s="6">
        <f t="shared" si="24"/>
        <v>2.9791666667733807E-2</v>
      </c>
      <c r="N81" s="7">
        <f t="shared" si="18"/>
        <v>42.900000001536682</v>
      </c>
      <c r="O81" s="7"/>
      <c r="P81" s="7"/>
      <c r="Q81" s="23"/>
      <c r="R81" s="23"/>
      <c r="S81" s="32">
        <f t="shared" si="25"/>
        <v>1</v>
      </c>
      <c r="T81" s="47" t="str">
        <f t="shared" si="26"/>
        <v>Southbound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12:12:29-700',mode:absolute,to:'2016-12-29 15:09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1" s="49" t="str">
        <f t="shared" si="28"/>
        <v>N</v>
      </c>
      <c r="X81" s="173">
        <f t="shared" si="36"/>
        <v>1</v>
      </c>
      <c r="Y81" s="64">
        <f t="shared" si="29"/>
        <v>23.299600000000002</v>
      </c>
      <c r="Z81" s="64">
        <f t="shared" si="30"/>
        <v>1.6500000000000001E-2</v>
      </c>
      <c r="AA81" s="64">
        <f t="shared" si="31"/>
        <v>23.283100000000001</v>
      </c>
      <c r="AB81" s="61" t="str">
        <f>VLOOKUP(A81,Enforcements!$C$7:$K$19,8,0)</f>
        <v>Signal based authority (5)</v>
      </c>
      <c r="AC81" s="57" t="str">
        <f>VLOOKUP(A81,Enforcements!$C$7:$E$19,3,0)</f>
        <v>SIGNAL</v>
      </c>
      <c r="AD81" s="58" t="str">
        <f t="shared" si="32"/>
        <v>0172-29</v>
      </c>
      <c r="AE81" s="87" t="str">
        <f t="shared" si="33"/>
        <v>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 &amp; aws s3 cp s3://rtdc.mdm.uploadarchive.raw/RTDC4043/ "%USERPROFILE%\AppData\Local\Temp\OnboardLogs"\RTDC4043\2016-12-30 --exclude "*" --recursive --include "*20161230*" &amp; "%USERPROFILE%\Documents\GitHub\mrs-test-scripts\Headless Mode &amp; Sideloading\WalkAndUnGZ.bat" "%USERPROFILE%\AppData\Local\Temp\OnboardLogs"\RTDC4043\2016-12-30</v>
      </c>
      <c r="AF81" s="84" t="str">
        <f t="shared" si="34"/>
        <v>"C:\Program Files (x86)\AstroGrep\AstroGrep.exe" /spath="%USERPROFILE%\AppData\Local\Temp\OnboardLogs" /stypes="app*4043*20161229*" /stext=" 21:.+((SYSTEM_STATE.+slice.+state.+changed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88" t="str">
        <f t="shared" si="20"/>
        <v>"%USERPROFILE%\Documents\GitHub\eaglep3\Utilities\RefineRTDCRunTimes.py" --tripid 172-29 --locoid 4043 --swversion DE.1.0.8.0 --startMP 204:232996 --initTime 2016-12-29T13:12:29 --startdatetime 2016-12-29T13:26:14 --delay 1 --endMP 204:165 --enddatetime 2016-12-29T14:09:08 --enforcementcount 0 &gt;&gt;C:\Users\stu\Documents\GitHub\eaglep3-reporting\EC\2016-12-29-refined-times.txt</v>
      </c>
      <c r="AI81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{"issue":{"subject":"","project_id":79,"tracker_id":40,"status_id":1,"priority_id":2,"assigned_to_id":23,"start_date":"2016-12-29","description":"","custom_fields":[{"id":1,"name":"Subdivision","value":"EC"},{"id":4,"name":"Milepost","value":"0.0165"},{"id":17,"name":"Train ID","value":"172-29"},{"id":16,"name":"Locomotive ID","value":"4043"},{"id":130,"name":"Impact","value":""},{"id":150,"name":"Time of Event (Mountain Time)","value":"14:09:08"},{"id":151,"name":"Denver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22"/>
        <v>start /low /b %USERPROFILE%\Documents\GitHub\eaglep3\Utilities\DownloadLogsFromS3.py --loco 4043 --day 2016-12-29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580</v>
      </c>
      <c r="B82" s="7">
        <v>4042</v>
      </c>
      <c r="C82" s="22" t="s">
        <v>205</v>
      </c>
      <c r="D82" s="22" t="s">
        <v>398</v>
      </c>
      <c r="E82" s="13">
        <v>42733.528194444443</v>
      </c>
      <c r="F82" s="13">
        <v>42733.531423611108</v>
      </c>
      <c r="G82" s="7">
        <v>1</v>
      </c>
      <c r="H82" s="22" t="s">
        <v>704</v>
      </c>
      <c r="I82" s="13">
        <v>42733.558692129627</v>
      </c>
      <c r="J82" s="7">
        <v>0</v>
      </c>
      <c r="K82" s="105" t="str">
        <f t="shared" si="23"/>
        <v>4041/4042</v>
      </c>
      <c r="L82" s="22" t="str">
        <f>VLOOKUP(A82,'Trips&amp;Operators'!$C$1:$G$99999,5,FALSE)</f>
        <v>CLARK KATHLEEN</v>
      </c>
      <c r="M82" s="6">
        <f t="shared" si="24"/>
        <v>2.7268518519122154E-2</v>
      </c>
      <c r="N82" s="7">
        <f t="shared" si="18"/>
        <v>39.266666667535901</v>
      </c>
      <c r="O82" s="7"/>
      <c r="P82" s="7"/>
      <c r="Q82" s="23"/>
      <c r="R82" s="23"/>
      <c r="S82" s="32">
        <f t="shared" si="25"/>
        <v>1</v>
      </c>
      <c r="T82" s="47" t="str">
        <f t="shared" si="26"/>
        <v>NorthBound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11:40:36-700',mode:absolute,to:'2016-12-29 14:24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2" s="49" t="str">
        <f t="shared" si="28"/>
        <v>N</v>
      </c>
      <c r="X82" s="173">
        <f t="shared" si="36"/>
        <v>1</v>
      </c>
      <c r="Y82" s="64">
        <f t="shared" si="29"/>
        <v>4.6699999999999998E-2</v>
      </c>
      <c r="Z82" s="64">
        <f t="shared" si="30"/>
        <v>23.329799999999999</v>
      </c>
      <c r="AA82" s="64">
        <f t="shared" si="31"/>
        <v>23.283099999999997</v>
      </c>
      <c r="AB82" s="61" t="e">
        <f>VLOOKUP(A82,Enforcements!$C$7:$K$19,8,0)</f>
        <v>#N/A</v>
      </c>
      <c r="AC82" s="57" t="e">
        <f>VLOOKUP(A82,Enforcements!$C$7:$E$19,3,0)</f>
        <v>#N/A</v>
      </c>
      <c r="AD82" s="58" t="str">
        <f t="shared" si="32"/>
        <v>0173-29</v>
      </c>
      <c r="AE82" s="87" t="str">
        <f t="shared" si="33"/>
        <v>aws s3 cp s3://rtdc.mdm.uploadarchive.raw/RTDC4042/ "%USERPROFILE%\AppData\Local\Temp\OnboardLogs"\RTDC4042\2016-12-29 --exclude "*" --recursive --include "*20161229*" &amp; "%USERPROFILE%\Documents\GitHub\mrs-test-scripts\Headless Mode &amp; Sideloading\WalkAndUnGZ.bat" "%USERPROFILE%\AppData\Local\Temp\OnboardLogs"\RTDC4042\2016-12-29 &amp; aws s3 cp s3://rtdc.mdm.uploadarchive.raw/RTDC4042/ "%USERPROFILE%\AppData\Local\Temp\OnboardLogs"\RTDC4042\2016-12-30 --exclude "*" --recursive --include "*20161230*" &amp; "%USERPROFILE%\Documents\GitHub\mrs-test-scripts\Headless Mode &amp; Sideloading\WalkAndUnGZ.bat" "%USERPROFILE%\AppData\Local\Temp\OnboardLogs"\RTDC4042\2016-12-30</v>
      </c>
      <c r="AF82" s="84" t="str">
        <f t="shared" si="34"/>
        <v>"C:\Program Files (x86)\AstroGrep\AstroGrep.exe" /spath="%USERPROFILE%\AppData\Local\Temp\OnboardLogs" /stypes="app*4042*20161229*" /stext=" 20:.+((SYSTEM_STATE.+slice.+state.+changed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88" t="str">
        <f t="shared" si="20"/>
        <v>"%USERPROFILE%\Documents\GitHub\eaglep3\Utilities\RefineRTDCRunTimes.py" --tripid 173-29 --locoid 4042 --swversion DE.1.0.8.0 --startMP 204:467 --initTime 2016-12-29T12:40:36 --startdatetime 2016-12-29T12:45:15 --delay 1 --endMP 204:233298 --enddatetime 2016-12-29T13:24:31 --enforcementcount 0 &gt;&gt;C:\Users\stu\Documents\GitHub\eaglep3-reporting\EC\2016-12-29-refined-times.txt</v>
      </c>
      <c r="AI82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{"issue":{"subject":"","project_id":79,"tracker_id":40,"status_id":1,"priority_id":2,"assigned_to_id":23,"start_date":"2016-12-29","description":"","custom_fields":[{"id":1,"name":"Subdivision","value":"EC"},{"id":4,"name":"Milepost","value":"23.3298"},{"id":17,"name":"Train ID","value":"173-29"},{"id":16,"name":"Locomotive ID","value":"4042"},{"id":130,"name":"Impact","value":""},{"id":150,"name":"Time of Event (Mountain Time)","value":"13:24:31"},{"id":151,"name":"Denver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22"/>
        <v>start /low /b %USERPROFILE%\Documents\GitHub\eaglep3\Utilities\DownloadLogsFromS3.py --loco 4042 --day 2016-12-29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585</v>
      </c>
      <c r="B83" s="7">
        <v>4041</v>
      </c>
      <c r="C83" s="22" t="s">
        <v>205</v>
      </c>
      <c r="D83" s="22" t="s">
        <v>705</v>
      </c>
      <c r="E83" s="13">
        <v>42733.564965277779</v>
      </c>
      <c r="F83" s="13">
        <v>42733.570381944446</v>
      </c>
      <c r="G83" s="7">
        <v>1</v>
      </c>
      <c r="H83" s="22" t="s">
        <v>331</v>
      </c>
      <c r="I83" s="13">
        <v>42733.600300925929</v>
      </c>
      <c r="J83" s="7">
        <v>0</v>
      </c>
      <c r="K83" s="105" t="str">
        <f t="shared" si="23"/>
        <v>4041/4042</v>
      </c>
      <c r="L83" s="22" t="str">
        <f>VLOOKUP(A83,'Trips&amp;Operators'!$C$1:$G$99999,5,FALSE)</f>
        <v>CLARK KATHLEEN</v>
      </c>
      <c r="M83" s="6">
        <f t="shared" si="24"/>
        <v>2.9918981483206153E-2</v>
      </c>
      <c r="N83" s="7">
        <f t="shared" si="18"/>
        <v>43.08333333581686</v>
      </c>
      <c r="O83" s="7"/>
      <c r="P83" s="7"/>
      <c r="Q83" s="23"/>
      <c r="R83" s="23"/>
      <c r="S83" s="32">
        <f t="shared" si="25"/>
        <v>1</v>
      </c>
      <c r="T83" s="47" t="str">
        <f t="shared" si="26"/>
        <v>Southbound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12:33:33-700',mode:absolute,to:'2016-12-29 15:24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3" s="49" t="str">
        <f t="shared" si="28"/>
        <v>N</v>
      </c>
      <c r="X83" s="173">
        <f t="shared" si="36"/>
        <v>1</v>
      </c>
      <c r="Y83" s="64">
        <f t="shared" si="29"/>
        <v>23.2974</v>
      </c>
      <c r="Z83" s="64">
        <f t="shared" si="30"/>
        <v>1.72E-2</v>
      </c>
      <c r="AA83" s="64">
        <f t="shared" si="31"/>
        <v>23.280200000000001</v>
      </c>
      <c r="AB83" s="61" t="e">
        <f>VLOOKUP(A83,Enforcements!$C$7:$K$19,8,0)</f>
        <v>#N/A</v>
      </c>
      <c r="AC83" s="57" t="e">
        <f>VLOOKUP(A83,Enforcements!$C$7:$E$19,3,0)</f>
        <v>#N/A</v>
      </c>
      <c r="AD83" s="58" t="str">
        <f t="shared" si="32"/>
        <v>0174-29</v>
      </c>
      <c r="AE83" s="87" t="str">
        <f t="shared" si="33"/>
        <v>aws s3 cp s3://rtdc.mdm.uploadarchive.raw/RTDC4041/ "%USERPROFILE%\AppData\Local\Temp\OnboardLogs"\RTDC4041\2016-12-29 --exclude "*" --recursive --include "*20161229*" &amp; "%USERPROFILE%\Documents\GitHub\mrs-test-scripts\Headless Mode &amp; Sideloading\WalkAndUnGZ.bat" "%USERPROFILE%\AppData\Local\Temp\OnboardLogs"\RTDC4041\2016-12-29 &amp; aws s3 cp s3://rtdc.mdm.uploadarchive.raw/RTDC4041/ "%USERPROFILE%\AppData\Local\Temp\OnboardLogs"\RTDC4041\2016-12-30 --exclude "*" --recursive --include "*20161230*" &amp; "%USERPROFILE%\Documents\GitHub\mrs-test-scripts\Headless Mode &amp; Sideloading\WalkAndUnGZ.bat" "%USERPROFILE%\AppData\Local\Temp\OnboardLogs"\RTDC4041\2016-12-30</v>
      </c>
      <c r="AF83" s="84" t="str">
        <f t="shared" si="34"/>
        <v>"C:\Program Files (x86)\AstroGrep\AstroGrep.exe" /spath="%USERPROFILE%\AppData\Local\Temp\OnboardLogs" /stypes="app*4041*20161229*" /stext=" 21:.+((SYSTEM_STATE.+slice.+state.+changed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88" t="str">
        <f t="shared" si="20"/>
        <v>"%USERPROFILE%\Documents\GitHub\eaglep3\Utilities\RefineRTDCRunTimes.py" --tripid 174-29 --locoid 4041 --swversion DE.1.0.8.0 --startMP 204:232974 --initTime 2016-12-29T13:33:33 --startdatetime 2016-12-29T13:41:21 --delay 1 --endMP 204:172 --enddatetime 2016-12-29T14:24:26 --enforcementcount 0 &gt;&gt;C:\Users\stu\Documents\GitHub\eaglep3-reporting\EC\2016-12-29-refined-times.txt</v>
      </c>
      <c r="AI83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{"issue":{"subject":"","project_id":79,"tracker_id":40,"status_id":1,"priority_id":2,"assigned_to_id":23,"start_date":"2016-12-29","description":"","custom_fields":[{"id":1,"name":"Subdivision","value":"EC"},{"id":4,"name":"Milepost","value":"0.0172"},{"id":17,"name":"Train ID","value":"174-29"},{"id":16,"name":"Locomotive ID","value":"4041"},{"id":130,"name":"Impact","value":""},{"id":150,"name":"Time of Event (Mountain Time)","value":"14:24:26"},{"id":151,"name":"Denver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22"/>
        <v>start /low /b %USERPROFILE%\Documents\GitHub\eaglep3\Utilities\DownloadLogsFromS3.py --loco 4041 --day 2016-12-29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582</v>
      </c>
      <c r="B84" s="7">
        <v>4002</v>
      </c>
      <c r="C84" s="22" t="s">
        <v>205</v>
      </c>
      <c r="D84" s="22" t="s">
        <v>398</v>
      </c>
      <c r="E84" s="13">
        <v>42733.537685185183</v>
      </c>
      <c r="F84" s="13">
        <v>42733.541851851849</v>
      </c>
      <c r="G84" s="7">
        <v>0</v>
      </c>
      <c r="H84" s="22" t="s">
        <v>684</v>
      </c>
      <c r="I84" s="13">
        <v>42733.566886574074</v>
      </c>
      <c r="J84" s="7">
        <v>0</v>
      </c>
      <c r="K84" s="105" t="str">
        <f t="shared" si="23"/>
        <v>4001/4002</v>
      </c>
      <c r="L84" s="22" t="str">
        <f>VLOOKUP(A84,'Trips&amp;Operators'!$C$1:$G$99999,5,FALSE)</f>
        <v>KILLION DAVID</v>
      </c>
      <c r="M84" s="6">
        <f t="shared" si="24"/>
        <v>2.5034722224518191E-2</v>
      </c>
      <c r="N84" s="7">
        <f t="shared" si="18"/>
        <v>36.050000003306195</v>
      </c>
      <c r="O84" s="7"/>
      <c r="P84" s="7"/>
      <c r="Q84" s="23"/>
      <c r="R84" s="23"/>
      <c r="S84" s="32">
        <f t="shared" si="25"/>
        <v>1</v>
      </c>
      <c r="T84" s="47" t="str">
        <f t="shared" si="26"/>
        <v>NorthBound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11:54:16-700',mode:absolute,to:'2016-12-29 14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4" s="49" t="str">
        <f t="shared" si="28"/>
        <v>N</v>
      </c>
      <c r="X84" s="173">
        <f t="shared" si="36"/>
        <v>1</v>
      </c>
      <c r="Y84" s="64">
        <f t="shared" si="29"/>
        <v>4.6699999999999998E-2</v>
      </c>
      <c r="Z84" s="64">
        <f t="shared" si="30"/>
        <v>23.330300000000001</v>
      </c>
      <c r="AA84" s="64">
        <f t="shared" si="31"/>
        <v>23.2836</v>
      </c>
      <c r="AB84" s="61" t="e">
        <f>VLOOKUP(A84,Enforcements!$C$7:$K$19,8,0)</f>
        <v>#N/A</v>
      </c>
      <c r="AC84" s="57" t="e">
        <f>VLOOKUP(A84,Enforcements!$C$7:$E$19,3,0)</f>
        <v>#N/A</v>
      </c>
      <c r="AD84" s="58" t="str">
        <f t="shared" si="32"/>
        <v>0175-29</v>
      </c>
      <c r="AE84" s="87" t="str">
        <f t="shared" si="33"/>
        <v>aws s3 cp s3://rtdc.mdm.uploadarchive.raw/RTDC4002/ "%USERPROFILE%\AppData\Local\Temp\OnboardLogs"\RTDC4002\2016-12-29 --exclude "*" --recursive --include "*20161229*" &amp; "%USERPROFILE%\Documents\GitHub\mrs-test-scripts\Headless Mode &amp; Sideloading\WalkAndUnGZ.bat" "%USERPROFILE%\AppData\Local\Temp\OnboardLogs"\RTDC4002\2016-12-29 &amp; aws s3 cp s3://rtdc.mdm.uploadarchive.raw/RTDC4002/ "%USERPROFILE%\AppData\Local\Temp\OnboardLogs"\RTDC4002\2016-12-30 --exclude "*" --recursive --include "*20161230*" &amp; "%USERPROFILE%\Documents\GitHub\mrs-test-scripts\Headless Mode &amp; Sideloading\WalkAndUnGZ.bat" "%USERPROFILE%\AppData\Local\Temp\OnboardLogs"\RTDC4002\2016-12-30</v>
      </c>
      <c r="AF84" s="84" t="str">
        <f t="shared" si="34"/>
        <v>"C:\Program Files (x86)\AstroGrep\AstroGrep.exe" /spath="%USERPROFILE%\AppData\Local\Temp\OnboardLogs" /stypes="app*4002*20161229*" /stext=" 20:.+((SYSTEM_STATE.+slice.+state.+changed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88" t="str">
        <f t="shared" si="20"/>
        <v>"%USERPROFILE%\Documents\GitHub\eaglep3\Utilities\RefineRTDCRunTimes.py" --tripid 175-29 --locoid 4002 --swversion DE.1.0.8.0 --startMP 204:467 --initTime 2016-12-29T12:54:16 --startdatetime 2016-12-29T13:00:16 --delay 0 --endMP 204:233303 --enddatetime 2016-12-29T13:36:19 --enforcementcount 0 &gt;&gt;C:\Users\stu\Documents\GitHub\eaglep3-reporting\EC\2016-12-29-refined-times.txt</v>
      </c>
      <c r="AI84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{"issue":{"subject":"","project_id":79,"tracker_id":40,"status_id":1,"priority_id":2,"assigned_to_id":23,"start_date":"2016-12-29","description":"","custom_fields":[{"id":1,"name":"Subdivision","value":"EC"},{"id":4,"name":"Milepost","value":"23.3303"},{"id":17,"name":"Train ID","value":"175-29"},{"id":16,"name":"Locomotive ID","value":"4002"},{"id":130,"name":"Impact","value":""},{"id":150,"name":"Time of Event (Mountain Time)","value":"13:36:19"},{"id":151,"name":"Denver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22"/>
        <v>start /low /b %USERPROFILE%\Documents\GitHub\eaglep3\Utilities\DownloadLogsFromS3.py --loco 4002 --day 2016-12-29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443</v>
      </c>
      <c r="B85" s="7">
        <v>4001</v>
      </c>
      <c r="C85" s="22" t="s">
        <v>205</v>
      </c>
      <c r="D85" s="22" t="s">
        <v>274</v>
      </c>
      <c r="E85" s="13">
        <v>42733.572905092595</v>
      </c>
      <c r="F85" s="13">
        <v>42733.580983796295</v>
      </c>
      <c r="G85" s="7">
        <v>1</v>
      </c>
      <c r="H85" s="22" t="s">
        <v>192</v>
      </c>
      <c r="I85" s="13">
        <v>42733.610763888886</v>
      </c>
      <c r="J85" s="7">
        <v>0</v>
      </c>
      <c r="K85" s="105" t="str">
        <f t="shared" si="23"/>
        <v>4001/4002</v>
      </c>
      <c r="L85" s="22" t="str">
        <f>VLOOKUP(A85,'Trips&amp;Operators'!$C$1:$G$99999,5,FALSE)</f>
        <v>KILLION DAVID</v>
      </c>
      <c r="M85" s="6">
        <f t="shared" si="24"/>
        <v>2.9780092590954155E-2</v>
      </c>
      <c r="N85" s="7">
        <f t="shared" si="18"/>
        <v>42.883333330973983</v>
      </c>
      <c r="O85" s="7"/>
      <c r="P85" s="7"/>
      <c r="Q85" s="23"/>
      <c r="R85" s="23"/>
      <c r="S85" s="32">
        <f t="shared" si="25"/>
        <v>1</v>
      </c>
      <c r="T85" s="47" t="str">
        <f t="shared" si="26"/>
        <v>Southbound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12:44:59-700',mode:absolute,to:'2016-12-29 15:39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5" s="49" t="str">
        <f t="shared" si="28"/>
        <v>N</v>
      </c>
      <c r="X85" s="173">
        <f t="shared" si="36"/>
        <v>1</v>
      </c>
      <c r="Y85" s="64">
        <f t="shared" si="29"/>
        <v>23.297799999999999</v>
      </c>
      <c r="Z85" s="64">
        <f t="shared" si="30"/>
        <v>1.43E-2</v>
      </c>
      <c r="AA85" s="64">
        <f t="shared" si="31"/>
        <v>23.2835</v>
      </c>
      <c r="AB85" s="61" t="str">
        <f>VLOOKUP(A85,Enforcements!$C$7:$K$19,8,0)</f>
        <v>Bulletin (2)</v>
      </c>
      <c r="AC85" s="57" t="str">
        <f>VLOOKUP(A85,Enforcements!$C$7:$E$19,3,0)</f>
        <v>TEMPORARY SPEED RESTRICTION</v>
      </c>
      <c r="AD85" s="58" t="str">
        <f t="shared" si="32"/>
        <v>0176-29</v>
      </c>
      <c r="AE85" s="87" t="str">
        <f t="shared" si="33"/>
        <v>aws s3 cp s3://rtdc.mdm.uploadarchive.raw/RTDC4001/ "%USERPROFILE%\AppData\Local\Temp\OnboardLogs"\RTDC4001\2016-12-29 --exclude "*" --recursive --include "*20161229*" &amp; "%USERPROFILE%\Documents\GitHub\mrs-test-scripts\Headless Mode &amp; Sideloading\WalkAndUnGZ.bat" "%USERPROFILE%\AppData\Local\Temp\OnboardLogs"\RTDC4001\2016-12-29 &amp; aws s3 cp s3://rtdc.mdm.uploadarchive.raw/RTDC4001/ "%USERPROFILE%\AppData\Local\Temp\OnboardLogs"\RTDC4001\2016-12-30 --exclude "*" --recursive --include "*20161230*" &amp; "%USERPROFILE%\Documents\GitHub\mrs-test-scripts\Headless Mode &amp; Sideloading\WalkAndUnGZ.bat" "%USERPROFILE%\AppData\Local\Temp\OnboardLogs"\RTDC4001\2016-12-30</v>
      </c>
      <c r="AF85" s="84" t="str">
        <f t="shared" si="34"/>
        <v>"C:\Program Files (x86)\AstroGrep\AstroGrep.exe" /spath="%USERPROFILE%\AppData\Local\Temp\OnboardLogs" /stypes="app*4001*20161229*" /stext=" 21:.+((SYSTEM_STATE.+slice.+state.+changed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88" t="str">
        <f t="shared" si="20"/>
        <v>"%USERPROFILE%\Documents\GitHub\eaglep3\Utilities\RefineRTDCRunTimes.py" --tripid 176-29 --locoid 4001 --swversion DE.1.0.8.0 --startMP 204:232978 --initTime 2016-12-29T13:44:59 --startdatetime 2016-12-29T13:56:37 --delay 1 --endMP 204:143 --enddatetime 2016-12-29T14:39:30 --enforcementcount 0 &gt;&gt;C:\Users\stu\Documents\GitHub\eaglep3-reporting\EC\2016-12-29-refined-times.txt</v>
      </c>
      <c r="AI85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{"issue":{"subject":"","project_id":79,"tracker_id":40,"status_id":1,"priority_id":2,"assigned_to_id":23,"start_date":"2016-12-29","description":"","custom_fields":[{"id":1,"name":"Subdivision","value":"EC"},{"id":4,"name":"Milepost","value":"0.0143"},{"id":17,"name":"Train ID","value":"176-29"},{"id":16,"name":"Locomotive ID","value":"4001"},{"id":130,"name":"Impact","value":""},{"id":150,"name":"Time of Event (Mountain Time)","value":"14:39:30"},{"id":151,"name":"Denver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22"/>
        <v>start /low /b %USERPROFILE%\Documents\GitHub\eaglep3\Utilities\DownloadLogsFromS3.py --loco 4001 --day 2016-12-29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583</v>
      </c>
      <c r="B86" s="7">
        <v>4014</v>
      </c>
      <c r="C86" s="22" t="s">
        <v>205</v>
      </c>
      <c r="D86" s="22" t="s">
        <v>250</v>
      </c>
      <c r="E86" s="13">
        <v>42733.547546296293</v>
      </c>
      <c r="F86" s="13">
        <v>42733.552233796298</v>
      </c>
      <c r="G86" s="7">
        <v>1</v>
      </c>
      <c r="H86" s="22" t="s">
        <v>272</v>
      </c>
      <c r="I86" s="13">
        <v>42733.577986111108</v>
      </c>
      <c r="J86" s="7">
        <v>0</v>
      </c>
      <c r="K86" s="105" t="str">
        <f t="shared" si="23"/>
        <v>4013/4014</v>
      </c>
      <c r="L86" s="22" t="str">
        <f>VLOOKUP(A86,'Trips&amp;Operators'!$C$1:$G$99999,5,FALSE)</f>
        <v>BRUDER RICHARD</v>
      </c>
      <c r="M86" s="6">
        <f t="shared" si="24"/>
        <v>2.5752314810233656E-2</v>
      </c>
      <c r="N86" s="7">
        <f t="shared" si="18"/>
        <v>37.083333326736465</v>
      </c>
      <c r="O86" s="7"/>
      <c r="P86" s="7"/>
      <c r="Q86" s="23"/>
      <c r="R86" s="23"/>
      <c r="S86" s="32">
        <f t="shared" si="25"/>
        <v>1</v>
      </c>
      <c r="T86" s="47" t="str">
        <f t="shared" si="26"/>
        <v>NorthBound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12:08:28-700',mode:absolute,to:'2016-12-29 14:52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6" s="49" t="str">
        <f t="shared" si="28"/>
        <v>N</v>
      </c>
      <c r="X86" s="173">
        <f t="shared" si="36"/>
        <v>1</v>
      </c>
      <c r="Y86" s="64">
        <f t="shared" si="29"/>
        <v>4.53E-2</v>
      </c>
      <c r="Z86" s="64">
        <f t="shared" si="30"/>
        <v>23.3308</v>
      </c>
      <c r="AA86" s="64">
        <f t="shared" si="31"/>
        <v>23.285499999999999</v>
      </c>
      <c r="AB86" s="61" t="e">
        <f>VLOOKUP(A86,Enforcements!$C$7:$K$19,8,0)</f>
        <v>#N/A</v>
      </c>
      <c r="AC86" s="57" t="e">
        <f>VLOOKUP(A86,Enforcements!$C$7:$E$19,3,0)</f>
        <v>#N/A</v>
      </c>
      <c r="AD86" s="58" t="str">
        <f t="shared" si="32"/>
        <v>0177-29</v>
      </c>
      <c r="AE86" s="87" t="str">
        <f t="shared" si="33"/>
        <v>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 &amp; aws s3 cp s3://rtdc.mdm.uploadarchive.raw/RTDC4014/ "%USERPROFILE%\AppData\Local\Temp\OnboardLogs"\RTDC4014\2016-12-30 --exclude "*" --recursive --include "*20161230*" &amp; "%USERPROFILE%\Documents\GitHub\mrs-test-scripts\Headless Mode &amp; Sideloading\WalkAndUnGZ.bat" "%USERPROFILE%\AppData\Local\Temp\OnboardLogs"\RTDC4014\2016-12-30</v>
      </c>
      <c r="AF86" s="84" t="str">
        <f t="shared" si="34"/>
        <v>"C:\Program Files (x86)\AstroGrep\AstroGrep.exe" /spath="%USERPROFILE%\AppData\Local\Temp\OnboardLogs" /stypes="app*4014*20161229*" /stext=" 20:.+((SYSTEM_STATE.+slice.+state.+changed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88" t="str">
        <f t="shared" si="20"/>
        <v>"%USERPROFILE%\Documents\GitHub\eaglep3\Utilities\RefineRTDCRunTimes.py" --tripid 177-29 --locoid 4014 --swversion DE.1.0.8.0 --startMP 204:453 --initTime 2016-12-29T13:08:28 --startdatetime 2016-12-29T13:15:13 --delay 1 --endMP 204:233308 --enddatetime 2016-12-29T13:52:18 --enforcementcount 0 &gt;&gt;C:\Users\stu\Documents\GitHub\eaglep3-reporting\EC\2016-12-29-refined-times.txt</v>
      </c>
      <c r="AI86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{"issue":{"subject":"","project_id":79,"tracker_id":40,"status_id":1,"priority_id":2,"assigned_to_id":23,"start_date":"2016-12-29","description":"","custom_fields":[{"id":1,"name":"Subdivision","value":"EC"},{"id":4,"name":"Milepost","value":"23.3308"},{"id":17,"name":"Train ID","value":"177-29"},{"id":16,"name":"Locomotive ID","value":"4014"},{"id":130,"name":"Impact","value":""},{"id":150,"name":"Time of Event (Mountain Time)","value":"13:52:18"},{"id":151,"name":"Denver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22"/>
        <v>start /low /b %USERPROFILE%\Documents\GitHub\eaglep3\Utilities\DownloadLogsFromS3.py --loco 4014 --day 2016-12-29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589</v>
      </c>
      <c r="B87" s="7">
        <v>4013</v>
      </c>
      <c r="C87" s="22" t="s">
        <v>205</v>
      </c>
      <c r="D87" s="22" t="s">
        <v>332</v>
      </c>
      <c r="E87" s="13">
        <v>42733.586168981485</v>
      </c>
      <c r="F87" s="13">
        <v>42733.591157407405</v>
      </c>
      <c r="G87" s="7">
        <v>1</v>
      </c>
      <c r="H87" s="22" t="s">
        <v>224</v>
      </c>
      <c r="I87" s="13">
        <v>42733.619074074071</v>
      </c>
      <c r="J87" s="7">
        <v>0</v>
      </c>
      <c r="K87" s="105" t="str">
        <f t="shared" si="23"/>
        <v>4013/4014</v>
      </c>
      <c r="L87" s="22" t="str">
        <f>VLOOKUP(A87,'Trips&amp;Operators'!$C$1:$G$99999,5,FALSE)</f>
        <v>BRUDER RICHARD</v>
      </c>
      <c r="M87" s="6">
        <f t="shared" si="24"/>
        <v>2.7916666665987577E-2</v>
      </c>
      <c r="N87" s="7">
        <f t="shared" si="18"/>
        <v>40.199999999022111</v>
      </c>
      <c r="O87" s="7"/>
      <c r="P87" s="7"/>
      <c r="Q87" s="23"/>
      <c r="R87" s="23"/>
      <c r="S87" s="32">
        <f t="shared" si="25"/>
        <v>1</v>
      </c>
      <c r="T87" s="47" t="str">
        <f t="shared" si="26"/>
        <v>Southbound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13:04:05-700',mode:absolute,to:'2016-12-29 15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7" s="49" t="str">
        <f t="shared" si="28"/>
        <v>N</v>
      </c>
      <c r="X87" s="173">
        <f t="shared" si="36"/>
        <v>1</v>
      </c>
      <c r="Y87" s="64">
        <f t="shared" si="29"/>
        <v>23.298500000000001</v>
      </c>
      <c r="Z87" s="64">
        <f t="shared" si="30"/>
        <v>1.54E-2</v>
      </c>
      <c r="AA87" s="64">
        <f t="shared" si="31"/>
        <v>23.283100000000001</v>
      </c>
      <c r="AB87" s="61" t="e">
        <f>VLOOKUP(A87,Enforcements!$C$7:$K$19,8,0)</f>
        <v>#N/A</v>
      </c>
      <c r="AC87" s="57" t="e">
        <f>VLOOKUP(A87,Enforcements!$C$7:$E$19,3,0)</f>
        <v>#N/A</v>
      </c>
      <c r="AD87" s="58" t="str">
        <f t="shared" si="32"/>
        <v>0178-29</v>
      </c>
      <c r="AE87" s="87" t="str">
        <f t="shared" si="33"/>
        <v>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 &amp; aws s3 cp s3://rtdc.mdm.uploadarchive.raw/RTDC4013/ "%USERPROFILE%\AppData\Local\Temp\OnboardLogs"\RTDC4013\2016-12-30 --exclude "*" --recursive --include "*20161230*" &amp; "%USERPROFILE%\Documents\GitHub\mrs-test-scripts\Headless Mode &amp; Sideloading\WalkAndUnGZ.bat" "%USERPROFILE%\AppData\Local\Temp\OnboardLogs"\RTDC4013\2016-12-30</v>
      </c>
      <c r="AF87" s="84" t="str">
        <f t="shared" si="34"/>
        <v>"C:\Program Files (x86)\AstroGrep\AstroGrep.exe" /spath="%USERPROFILE%\AppData\Local\Temp\OnboardLogs" /stypes="app*4013*20161229*" /stext=" 21:.+((SYSTEM_STATE.+slice.+state.+changed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88" t="str">
        <f t="shared" si="20"/>
        <v>"%USERPROFILE%\Documents\GitHub\eaglep3\Utilities\RefineRTDCRunTimes.py" --tripid 178-29 --locoid 4013 --swversion DE.1.0.8.0 --startMP 204:232985 --initTime 2016-12-29T14:04:05 --startdatetime 2016-12-29T14:11:16 --delay 1 --endMP 204:154 --enddatetime 2016-12-29T14:51:28 --enforcementcount 0 &gt;&gt;C:\Users\stu\Documents\GitHub\eaglep3-reporting\EC\2016-12-29-refined-times.txt</v>
      </c>
      <c r="AI87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{"issue":{"subject":"","project_id":79,"tracker_id":40,"status_id":1,"priority_id":2,"assigned_to_id":23,"start_date":"2016-12-29","description":"","custom_fields":[{"id":1,"name":"Subdivision","value":"EC"},{"id":4,"name":"Milepost","value":"0.0154"},{"id":17,"name":"Train ID","value":"178-29"},{"id":16,"name":"Locomotive ID","value":"4013"},{"id":130,"name":"Impact","value":""},{"id":150,"name":"Time of Event (Mountain Time)","value":"14:51:28"},{"id":151,"name":"Denver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22"/>
        <v>start /low /b %USERPROFILE%\Documents\GitHub\eaglep3\Utilities\DownloadLogsFromS3.py --loco 4013 --day 2016-12-29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584</v>
      </c>
      <c r="B88" s="7">
        <v>4031</v>
      </c>
      <c r="C88" s="22" t="s">
        <v>205</v>
      </c>
      <c r="D88" s="22" t="s">
        <v>320</v>
      </c>
      <c r="E88" s="13">
        <v>42733.56</v>
      </c>
      <c r="F88" s="13">
        <v>42733.56287037037</v>
      </c>
      <c r="G88" s="7">
        <v>1</v>
      </c>
      <c r="H88" s="22" t="s">
        <v>406</v>
      </c>
      <c r="I88" s="13">
        <v>42733.588969907411</v>
      </c>
      <c r="J88" s="7">
        <v>0</v>
      </c>
      <c r="K88" s="105" t="str">
        <f t="shared" si="23"/>
        <v>4031/4032</v>
      </c>
      <c r="L88" s="22" t="str">
        <f>VLOOKUP(A88,'Trips&amp;Operators'!$C$1:$G$99999,5,FALSE)</f>
        <v>SMITH MICHAEL</v>
      </c>
      <c r="M88" s="6">
        <f t="shared" si="24"/>
        <v>2.6099537040863652E-2</v>
      </c>
      <c r="N88" s="7">
        <f t="shared" si="18"/>
        <v>37.583333338843659</v>
      </c>
      <c r="O88" s="7"/>
      <c r="P88" s="7"/>
      <c r="Q88" s="23"/>
      <c r="R88" s="23"/>
      <c r="S88" s="32">
        <f t="shared" si="25"/>
        <v>1</v>
      </c>
      <c r="T88" s="47" t="str">
        <f t="shared" si="26"/>
        <v>NorthBound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12:26:24-700',mode:absolute,to:'2016-12-29 15:08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8" s="49" t="str">
        <f t="shared" si="28"/>
        <v>N</v>
      </c>
      <c r="X88" s="173">
        <f t="shared" si="36"/>
        <v>1</v>
      </c>
      <c r="Y88" s="64">
        <f t="shared" si="29"/>
        <v>4.5699999999999998E-2</v>
      </c>
      <c r="Z88" s="64">
        <f t="shared" si="30"/>
        <v>23.328800000000001</v>
      </c>
      <c r="AA88" s="64">
        <f t="shared" si="31"/>
        <v>23.283100000000001</v>
      </c>
      <c r="AB88" s="61" t="e">
        <f>VLOOKUP(A88,Enforcements!$C$7:$K$19,8,0)</f>
        <v>#N/A</v>
      </c>
      <c r="AC88" s="57" t="e">
        <f>VLOOKUP(A88,Enforcements!$C$7:$E$19,3,0)</f>
        <v>#N/A</v>
      </c>
      <c r="AD88" s="58" t="str">
        <f t="shared" si="32"/>
        <v>0179-29</v>
      </c>
      <c r="AE88" s="87" t="str">
        <f t="shared" si="33"/>
        <v>aws s3 cp s3://rtdc.mdm.uploadarchive.raw/RTDC4031/ "%USERPROFILE%\AppData\Local\Temp\OnboardLogs"\RTDC4031\2016-12-29 --exclude "*" --recursive --include "*20161229*" &amp; "%USERPROFILE%\Documents\GitHub\mrs-test-scripts\Headless Mode &amp; Sideloading\WalkAndUnGZ.bat" "%USERPROFILE%\AppData\Local\Temp\OnboardLogs"\RTDC4031\2016-12-29 &amp; 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</v>
      </c>
      <c r="AF88" s="84" t="str">
        <f t="shared" si="34"/>
        <v>"C:\Program Files (x86)\AstroGrep\AstroGrep.exe" /spath="%USERPROFILE%\AppData\Local\Temp\OnboardLogs" /stypes="app*4031*20161229*" /stext=" 21:.+((SYSTEM_STATE.+slice.+state.+changed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88" t="str">
        <f t="shared" si="20"/>
        <v>"%USERPROFILE%\Documents\GitHub\eaglep3\Utilities\RefineRTDCRunTimes.py" --tripid 179-29 --locoid 4031 --swversion DE.1.0.8.0 --startMP 204:457 --initTime 2016-12-29T13:26:24 --startdatetime 2016-12-29T13:30:32 --delay 1 --endMP 204:233288 --enddatetime 2016-12-29T14:08:07 --enforcementcount 0 &gt;&gt;C:\Users\stu\Documents\GitHub\eaglep3-reporting\EC\2016-12-29-refined-times.txt</v>
      </c>
      <c r="AI88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{"issue":{"subject":"","project_id":79,"tracker_id":40,"status_id":1,"priority_id":2,"assigned_to_id":23,"start_date":"2016-12-29","description":"","custom_fields":[{"id":1,"name":"Subdivision","value":"EC"},{"id":4,"name":"Milepost","value":"23.3288"},{"id":17,"name":"Train ID","value":"179-29"},{"id":16,"name":"Locomotive ID","value":"4031"},{"id":130,"name":"Impact","value":""},{"id":150,"name":"Time of Event (Mountain Time)","value":"14:08:07"},{"id":151,"name":"Denver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22"/>
        <v>start /low /b %USERPROFILE%\Documents\GitHub\eaglep3\Utilities\DownloadLogsFromS3.py --loco 4031 --day 2016-12-29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591</v>
      </c>
      <c r="B89" s="7">
        <v>4032</v>
      </c>
      <c r="C89" s="22" t="s">
        <v>205</v>
      </c>
      <c r="D89" s="22" t="s">
        <v>273</v>
      </c>
      <c r="E89" s="13">
        <v>42733.592789351853</v>
      </c>
      <c r="F89" s="13">
        <v>42733.601701388892</v>
      </c>
      <c r="G89" s="7">
        <v>1</v>
      </c>
      <c r="H89" s="22" t="s">
        <v>697</v>
      </c>
      <c r="I89" s="13">
        <v>42733.630972222221</v>
      </c>
      <c r="J89" s="7">
        <v>0</v>
      </c>
      <c r="K89" s="105" t="str">
        <f t="shared" si="23"/>
        <v>4031/4032</v>
      </c>
      <c r="L89" s="22" t="str">
        <f>VLOOKUP(A89,'Trips&amp;Operators'!$C$1:$G$99999,5,FALSE)</f>
        <v>SMITH MICHAEL</v>
      </c>
      <c r="M89" s="6">
        <f t="shared" si="24"/>
        <v>2.9270833329064772E-2</v>
      </c>
      <c r="N89" s="7">
        <f t="shared" si="18"/>
        <v>42.149999993853271</v>
      </c>
      <c r="O89" s="7"/>
      <c r="P89" s="7"/>
      <c r="Q89" s="23"/>
      <c r="R89" s="23"/>
      <c r="S89" s="32">
        <f t="shared" si="25"/>
        <v>1</v>
      </c>
      <c r="T89" s="47" t="str">
        <f t="shared" si="26"/>
        <v>Southbound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13:13:37-700',mode:absolute,to:'2016-12-29 16:08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9" s="49" t="str">
        <f t="shared" si="28"/>
        <v>N</v>
      </c>
      <c r="X89" s="173">
        <f t="shared" si="36"/>
        <v>1</v>
      </c>
      <c r="Y89" s="64">
        <f t="shared" si="29"/>
        <v>23.2973</v>
      </c>
      <c r="Z89" s="64">
        <f t="shared" si="30"/>
        <v>1.61E-2</v>
      </c>
      <c r="AA89" s="64">
        <f t="shared" si="31"/>
        <v>23.281199999999998</v>
      </c>
      <c r="AB89" s="61" t="e">
        <f>VLOOKUP(A89,Enforcements!$C$7:$K$19,8,0)</f>
        <v>#N/A</v>
      </c>
      <c r="AC89" s="57" t="e">
        <f>VLOOKUP(A89,Enforcements!$C$7:$E$19,3,0)</f>
        <v>#N/A</v>
      </c>
      <c r="AD89" s="58" t="str">
        <f t="shared" si="32"/>
        <v>0180-29</v>
      </c>
      <c r="AE89" s="87" t="str">
        <f t="shared" si="33"/>
        <v>aws s3 cp s3://rtdc.mdm.uploadarchive.raw/RTDC4032/ "%USERPROFILE%\AppData\Local\Temp\OnboardLogs"\RTDC4032\2016-12-29 --exclude "*" --recursive --include "*20161229*" &amp; "%USERPROFILE%\Documents\GitHub\mrs-test-scripts\Headless Mode &amp; Sideloading\WalkAndUnGZ.bat" "%USERPROFILE%\AppData\Local\Temp\OnboardLogs"\RTDC4032\2016-12-29 &amp; 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</v>
      </c>
      <c r="AF89" s="84" t="str">
        <f t="shared" si="34"/>
        <v>"C:\Program Files (x86)\AstroGrep\AstroGrep.exe" /spath="%USERPROFILE%\AppData\Local\Temp\OnboardLogs" /stypes="app*4032*20161229*" /stext=" 22:.+((SYSTEM_STATE.+slice.+state.+changed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88" t="str">
        <f t="shared" si="20"/>
        <v>"%USERPROFILE%\Documents\GitHub\eaglep3\Utilities\RefineRTDCRunTimes.py" --tripid 180-29 --locoid 4032 --swversion DE.1.0.8.0 --startMP 204:232973 --initTime 2016-12-29T14:13:37 --startdatetime 2016-12-29T14:26:27 --delay 1 --endMP 204:161 --enddatetime 2016-12-29T15:08:36 --enforcementcount 0 &gt;&gt;C:\Users\stu\Documents\GitHub\eaglep3-reporting\EC\2016-12-29-refined-times.txt</v>
      </c>
      <c r="AI89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{"issue":{"subject":"","project_id":79,"tracker_id":40,"status_id":1,"priority_id":2,"assigned_to_id":23,"start_date":"2016-12-29","description":"","custom_fields":[{"id":1,"name":"Subdivision","value":"EC"},{"id":4,"name":"Milepost","value":"0.0161"},{"id":17,"name":"Train ID","value":"180-29"},{"id":16,"name":"Locomotive ID","value":"4032"},{"id":130,"name":"Impact","value":""},{"id":150,"name":"Time of Event (Mountain Time)","value":"15:08:36"},{"id":151,"name":"Denver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22"/>
        <v>start /low /b %USERPROFILE%\Documents\GitHub\eaglep3\Utilities\DownloadLogsFromS3.py --loco 4032 --day 2016-12-29</v>
      </c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4" t="s">
        <v>587</v>
      </c>
      <c r="B90" s="7">
        <v>4003</v>
      </c>
      <c r="C90" s="22" t="s">
        <v>205</v>
      </c>
      <c r="D90" s="22" t="s">
        <v>403</v>
      </c>
      <c r="E90" s="13">
        <v>42733.570208333331</v>
      </c>
      <c r="F90" s="13">
        <v>42733.573310185187</v>
      </c>
      <c r="G90" s="7">
        <v>4</v>
      </c>
      <c r="H90" s="22" t="s">
        <v>298</v>
      </c>
      <c r="I90" s="13">
        <v>42733.600451388891</v>
      </c>
      <c r="J90" s="7">
        <v>0</v>
      </c>
      <c r="K90" s="105" t="str">
        <f t="shared" si="23"/>
        <v>4003/4004</v>
      </c>
      <c r="L90" s="22" t="str">
        <f>VLOOKUP(A90,'Trips&amp;Operators'!$C$1:$G$99999,5,FALSE)</f>
        <v>ARVIDSON DANIEL</v>
      </c>
      <c r="M90" s="6">
        <f t="shared" si="24"/>
        <v>2.7141203703649808E-2</v>
      </c>
      <c r="N90" s="7">
        <f t="shared" si="18"/>
        <v>39.083333333255723</v>
      </c>
      <c r="O90" s="7"/>
      <c r="P90" s="7"/>
      <c r="Q90" s="23"/>
      <c r="R90" s="23"/>
      <c r="S90" s="32">
        <f t="shared" si="25"/>
        <v>1</v>
      </c>
      <c r="T90" s="47" t="str">
        <f t="shared" si="26"/>
        <v>NorthBound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12:41:06-700',mode:absolute,to:'2016-12-29 15:24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0" s="49" t="str">
        <f t="shared" si="28"/>
        <v>N</v>
      </c>
      <c r="X90" s="173">
        <f t="shared" si="36"/>
        <v>1</v>
      </c>
      <c r="Y90" s="64">
        <f t="shared" si="29"/>
        <v>4.1500000000000002E-2</v>
      </c>
      <c r="Z90" s="64">
        <f t="shared" si="30"/>
        <v>23.331199999999999</v>
      </c>
      <c r="AA90" s="64">
        <f t="shared" si="31"/>
        <v>23.2897</v>
      </c>
      <c r="AB90" s="61" t="e">
        <f>VLOOKUP(A90,Enforcements!$C$7:$K$19,8,0)</f>
        <v>#N/A</v>
      </c>
      <c r="AC90" s="57" t="e">
        <f>VLOOKUP(A90,Enforcements!$C$7:$E$19,3,0)</f>
        <v>#N/A</v>
      </c>
      <c r="AD90" s="58" t="str">
        <f t="shared" si="32"/>
        <v>0181-29</v>
      </c>
      <c r="AE90" s="87" t="str">
        <f t="shared" si="33"/>
        <v>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 &amp; aws s3 cp s3://rtdc.mdm.uploadarchive.raw/RTDC4003/ "%USERPROFILE%\AppData\Local\Temp\OnboardLogs"\RTDC4003\2016-12-30 --exclude "*" --recursive --include "*20161230*" &amp; "%USERPROFILE%\Documents\GitHub\mrs-test-scripts\Headless Mode &amp; Sideloading\WalkAndUnGZ.bat" "%USERPROFILE%\AppData\Local\Temp\OnboardLogs"\RTDC4003\2016-12-30</v>
      </c>
      <c r="AF90" s="84" t="str">
        <f t="shared" si="34"/>
        <v>"C:\Program Files (x86)\AstroGrep\AstroGrep.exe" /spath="%USERPROFILE%\AppData\Local\Temp\OnboardLogs" /stypes="app*4003*20161229*" /stext=" 21:.+((SYSTEM_STATE.+slice.+state.+changed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88" t="str">
        <f t="shared" si="20"/>
        <v>"%USERPROFILE%\Documents\GitHub\eaglep3\Utilities\RefineRTDCRunTimes.py" --tripid 181-29 --locoid 4003 --swversion DE.1.0.8.0 --startMP 204:415 --initTime 2016-12-29T13:41:06 --startdatetime 2016-12-29T13:45:34 --delay 4 --endMP 204:233312 --enddatetime 2016-12-29T14:24:39 --enforcementcount 0 &gt;&gt;C:\Users\stu\Documents\GitHub\eaglep3-reporting\EC\2016-12-29-refined-times.txt</v>
      </c>
      <c r="AI90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{"issue":{"subject":"","project_id":79,"tracker_id":40,"status_id":1,"priority_id":2,"assigned_to_id":23,"start_date":"2016-12-29","description":"","custom_fields":[{"id":1,"name":"Subdivision","value":"EC"},{"id":4,"name":"Milepost","value":"23.3312"},{"id":17,"name":"Train ID","value":"181-29"},{"id":16,"name":"Locomotive ID","value":"4003"},{"id":130,"name":"Impact","value":""},{"id":150,"name":"Time of Event (Mountain Time)","value":"14:24:39"},{"id":151,"name":"Denver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22"/>
        <v>start /low /b %USERPROFILE%\Documents\GitHub\eaglep3\Utilities\DownloadLogsFromS3.py --loco 4003 --day 2016-12-29</v>
      </c>
    </row>
    <row r="91" spans="1:91" x14ac:dyDescent="0.25">
      <c r="A91" s="34" t="s">
        <v>593</v>
      </c>
      <c r="B91" s="7">
        <v>4004</v>
      </c>
      <c r="C91" s="22" t="s">
        <v>205</v>
      </c>
      <c r="D91" s="22" t="s">
        <v>260</v>
      </c>
      <c r="E91" s="13">
        <v>42733.607939814814</v>
      </c>
      <c r="F91" s="13">
        <v>42733.612141203703</v>
      </c>
      <c r="G91" s="7">
        <v>1</v>
      </c>
      <c r="H91" s="22" t="s">
        <v>706</v>
      </c>
      <c r="I91" s="13">
        <v>42733.642465277779</v>
      </c>
      <c r="J91" s="7">
        <v>0</v>
      </c>
      <c r="K91" s="105" t="str">
        <f t="shared" si="23"/>
        <v>4003/4004</v>
      </c>
      <c r="L91" s="22" t="str">
        <f>VLOOKUP(A91,'Trips&amp;Operators'!$C$1:$G$99999,5,FALSE)</f>
        <v>ARVIDSON DANIEL</v>
      </c>
      <c r="M91" s="6">
        <f t="shared" si="24"/>
        <v>3.0324074075906537E-2</v>
      </c>
      <c r="N91" s="7">
        <f t="shared" si="18"/>
        <v>43.666666669305414</v>
      </c>
      <c r="O91" s="7"/>
      <c r="P91" s="7"/>
      <c r="Q91" s="23"/>
      <c r="R91" s="23"/>
      <c r="S91" s="32">
        <f t="shared" si="25"/>
        <v>1</v>
      </c>
      <c r="T91" s="47" t="str">
        <f t="shared" si="26"/>
        <v>Southbound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13:35:26-700',mode:absolute,to:'2016-12-29 16:25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1" s="49" t="str">
        <f t="shared" si="28"/>
        <v>N</v>
      </c>
      <c r="X91" s="173">
        <f t="shared" si="36"/>
        <v>1</v>
      </c>
      <c r="Y91" s="64">
        <f t="shared" si="29"/>
        <v>23.299299999999999</v>
      </c>
      <c r="Z91" s="64">
        <f t="shared" si="30"/>
        <v>1.01E-2</v>
      </c>
      <c r="AA91" s="64">
        <f t="shared" si="31"/>
        <v>23.289199999999997</v>
      </c>
      <c r="AB91" s="61" t="e">
        <f>VLOOKUP(A91,Enforcements!$C$7:$K$19,8,0)</f>
        <v>#N/A</v>
      </c>
      <c r="AC91" s="57" t="e">
        <f>VLOOKUP(A91,Enforcements!$C$7:$E$19,3,0)</f>
        <v>#N/A</v>
      </c>
      <c r="AD91" s="58" t="str">
        <f t="shared" si="32"/>
        <v>0182-29</v>
      </c>
      <c r="AE91" s="87" t="str">
        <f t="shared" si="33"/>
        <v>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 &amp; aws s3 cp s3://rtdc.mdm.uploadarchive.raw/RTDC4004/ "%USERPROFILE%\AppData\Local\Temp\OnboardLogs"\RTDC4004\2016-12-30 --exclude "*" --recursive --include "*20161230*" &amp; "%USERPROFILE%\Documents\GitHub\mrs-test-scripts\Headless Mode &amp; Sideloading\WalkAndUnGZ.bat" "%USERPROFILE%\AppData\Local\Temp\OnboardLogs"\RTDC4004\2016-12-30</v>
      </c>
      <c r="AF91" s="84" t="str">
        <f t="shared" si="34"/>
        <v>"C:\Program Files (x86)\AstroGrep\AstroGrep.exe" /spath="%USERPROFILE%\AppData\Local\Temp\OnboardLogs" /stypes="app*4004*20161229*" /stext=" 22:.+((SYSTEM_STATE.+slice.+state.+changed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88" t="str">
        <f t="shared" si="20"/>
        <v>"%USERPROFILE%\Documents\GitHub\eaglep3\Utilities\RefineRTDCRunTimes.py" --tripid 182-29 --locoid 4004 --swversion DE.1.0.8.0 --startMP 204:232993 --initTime 2016-12-29T14:35:26 --startdatetime 2016-12-29T14:41:29 --delay 1 --endMP 204:101 --enddatetime 2016-12-29T15:25:09 --enforcementcount 0 &gt;&gt;C:\Users\stu\Documents\GitHub\eaglep3-reporting\EC\2016-12-29-refined-times.txt</v>
      </c>
      <c r="AI91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{"issue":{"subject":"","project_id":79,"tracker_id":40,"status_id":1,"priority_id":2,"assigned_to_id":23,"start_date":"2016-12-29","description":"","custom_fields":[{"id":1,"name":"Subdivision","value":"EC"},{"id":4,"name":"Milepost","value":"0.0101"},{"id":17,"name":"Train ID","value":"182-29"},{"id":16,"name":"Locomotive ID","value":"4004"},{"id":130,"name":"Impact","value":""},{"id":150,"name":"Time of Event (Mountain Time)","value":"15:25:09"},{"id":151,"name":"Denver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22"/>
        <v>start /low /b %USERPROFILE%\Documents\GitHub\eaglep3\Utilities\DownloadLogsFromS3.py --loco 4004 --day 2016-12-29</v>
      </c>
    </row>
    <row r="92" spans="1:91" x14ac:dyDescent="0.25">
      <c r="A92" s="34" t="s">
        <v>588</v>
      </c>
      <c r="B92" s="7">
        <v>4018</v>
      </c>
      <c r="C92" s="22" t="s">
        <v>205</v>
      </c>
      <c r="D92" s="22" t="s">
        <v>194</v>
      </c>
      <c r="E92" s="13">
        <v>42733.58011574074</v>
      </c>
      <c r="F92" s="13">
        <v>42733.583553240744</v>
      </c>
      <c r="G92" s="7">
        <v>1</v>
      </c>
      <c r="H92" s="22" t="s">
        <v>361</v>
      </c>
      <c r="I92" s="13">
        <v>42733.610046296293</v>
      </c>
      <c r="J92" s="7">
        <v>0</v>
      </c>
      <c r="K92" s="105" t="str">
        <f t="shared" si="23"/>
        <v>4017/4018</v>
      </c>
      <c r="L92" s="22" t="str">
        <f>VLOOKUP(A92,'Trips&amp;Operators'!$C$1:$G$99999,5,FALSE)</f>
        <v>STRICKLAND EVAN</v>
      </c>
      <c r="M92" s="6">
        <f t="shared" si="24"/>
        <v>2.6493055549508426E-2</v>
      </c>
      <c r="N92" s="7">
        <f t="shared" si="18"/>
        <v>38.149999991292134</v>
      </c>
      <c r="O92" s="7"/>
      <c r="P92" s="7"/>
      <c r="Q92" s="23"/>
      <c r="R92" s="23"/>
      <c r="S92" s="32">
        <f t="shared" si="25"/>
        <v>1</v>
      </c>
      <c r="T92" s="47" t="str">
        <f t="shared" si="26"/>
        <v>NorthBound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12:55:22-700',mode:absolute,to:'2016-12-29 15:38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2" s="49" t="str">
        <f t="shared" si="28"/>
        <v>N</v>
      </c>
      <c r="X92" s="173">
        <f t="shared" si="36"/>
        <v>1</v>
      </c>
      <c r="Y92" s="64">
        <f t="shared" si="29"/>
        <v>4.5100000000000001E-2</v>
      </c>
      <c r="Z92" s="64">
        <f t="shared" si="30"/>
        <v>23.331800000000001</v>
      </c>
      <c r="AA92" s="64">
        <f t="shared" si="31"/>
        <v>23.2867</v>
      </c>
      <c r="AB92" s="61" t="e">
        <f>VLOOKUP(A92,Enforcements!$C$7:$K$19,8,0)</f>
        <v>#N/A</v>
      </c>
      <c r="AC92" s="57" t="e">
        <f>VLOOKUP(A92,Enforcements!$C$7:$E$19,3,0)</f>
        <v>#N/A</v>
      </c>
      <c r="AD92" s="58" t="str">
        <f t="shared" si="32"/>
        <v>0183-29</v>
      </c>
      <c r="AE92" s="87" t="str">
        <f t="shared" si="33"/>
        <v>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 &amp; aws s3 cp s3://rtdc.mdm.uploadarchive.raw/RTDC4018/ "%USERPROFILE%\AppData\Local\Temp\OnboardLogs"\RTDC4018\2016-12-30 --exclude "*" --recursive --include "*20161230*" &amp; "%USERPROFILE%\Documents\GitHub\mrs-test-scripts\Headless Mode &amp; Sideloading\WalkAndUnGZ.bat" "%USERPROFILE%\AppData\Local\Temp\OnboardLogs"\RTDC4018\2016-12-30</v>
      </c>
      <c r="AF92" s="84" t="str">
        <f t="shared" si="34"/>
        <v>"C:\Program Files (x86)\AstroGrep\AstroGrep.exe" /spath="%USERPROFILE%\AppData\Local\Temp\OnboardLogs" /stypes="app*4018*20161229*" /stext=" 21:.+((SYSTEM_STATE.+slice.+state.+changed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88" t="str">
        <f t="shared" si="20"/>
        <v>"%USERPROFILE%\Documents\GitHub\eaglep3\Utilities\RefineRTDCRunTimes.py" --tripid 183-29 --locoid 4018 --swversion DE.1.0.8.0 --startMP 204:451 --initTime 2016-12-29T13:55:22 --startdatetime 2016-12-29T14:00:19 --delay 1 --endMP 204:233318 --enddatetime 2016-12-29T14:38:28 --enforcementcount 0 &gt;&gt;C:\Users\stu\Documents\GitHub\eaglep3-reporting\EC\2016-12-29-refined-times.txt</v>
      </c>
      <c r="AI92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{"issue":{"subject":"","project_id":79,"tracker_id":40,"status_id":1,"priority_id":2,"assigned_to_id":23,"start_date":"2016-12-29","description":"","custom_fields":[{"id":1,"name":"Subdivision","value":"EC"},{"id":4,"name":"Milepost","value":"23.3318"},{"id":17,"name":"Train ID","value":"183-29"},{"id":16,"name":"Locomotive ID","value":"4018"},{"id":130,"name":"Impact","value":""},{"id":150,"name":"Time of Event (Mountain Time)","value":"14:38:28"},{"id":151,"name":"Denver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22"/>
        <v>start /low /b %USERPROFILE%\Documents\GitHub\eaglep3\Utilities\DownloadLogsFromS3.py --loco 4018 --day 2016-12-29</v>
      </c>
    </row>
    <row r="93" spans="1:91" s="21" customFormat="1" x14ac:dyDescent="0.25">
      <c r="A93" s="34" t="s">
        <v>595</v>
      </c>
      <c r="B93" s="7">
        <v>4017</v>
      </c>
      <c r="C93" s="22" t="s">
        <v>205</v>
      </c>
      <c r="D93" s="22" t="s">
        <v>700</v>
      </c>
      <c r="E93" s="13">
        <v>42733.611666666664</v>
      </c>
      <c r="F93" s="13">
        <v>42733.622569444444</v>
      </c>
      <c r="G93" s="7">
        <v>1</v>
      </c>
      <c r="H93" s="22" t="s">
        <v>322</v>
      </c>
      <c r="I93" s="13">
        <v>42733.653252314813</v>
      </c>
      <c r="J93" s="7">
        <v>0</v>
      </c>
      <c r="K93" s="105" t="str">
        <f t="shared" si="23"/>
        <v>4017/4018</v>
      </c>
      <c r="L93" s="22" t="str">
        <f>VLOOKUP(A93,'Trips&amp;Operators'!$C$1:$G$99999,5,FALSE)</f>
        <v>STRICKLAND EVAN</v>
      </c>
      <c r="M93" s="6">
        <f t="shared" si="24"/>
        <v>3.068287036876427E-2</v>
      </c>
      <c r="N93" s="7">
        <f t="shared" ref="N93:N156" si="37">24*60*SUM($M93:$M93)</f>
        <v>44.183333331020549</v>
      </c>
      <c r="O93" s="7"/>
      <c r="P93" s="7"/>
      <c r="Q93" s="23"/>
      <c r="R93" s="23"/>
      <c r="S93" s="32">
        <f t="shared" si="25"/>
        <v>1</v>
      </c>
      <c r="T93" s="47" t="str">
        <f t="shared" si="26"/>
        <v>Southbound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13:40:48-700',mode:absolute,to:'2016-12-29 16:40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3" s="49" t="str">
        <f t="shared" si="28"/>
        <v>N</v>
      </c>
      <c r="X93" s="173">
        <f t="shared" si="36"/>
        <v>1</v>
      </c>
      <c r="Y93" s="64">
        <f t="shared" si="29"/>
        <v>23.3003</v>
      </c>
      <c r="Z93" s="64">
        <f t="shared" si="30"/>
        <v>1.5599999999999999E-2</v>
      </c>
      <c r="AA93" s="64">
        <f t="shared" si="31"/>
        <v>23.284700000000001</v>
      </c>
      <c r="AB93" s="61" t="e">
        <f>VLOOKUP(A93,Enforcements!$C$7:$K$19,8,0)</f>
        <v>#N/A</v>
      </c>
      <c r="AC93" s="57" t="e">
        <f>VLOOKUP(A93,Enforcements!$C$7:$E$19,3,0)</f>
        <v>#N/A</v>
      </c>
      <c r="AD93" s="58" t="str">
        <f t="shared" si="32"/>
        <v>0184-29</v>
      </c>
      <c r="AE93" s="87" t="str">
        <f t="shared" si="33"/>
        <v>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 &amp; aws s3 cp s3://rtdc.mdm.uploadarchive.raw/RTDC4017/ "%USERPROFILE%\AppData\Local\Temp\OnboardLogs"\RTDC4017\2016-12-30 --exclude "*" --recursive --include "*20161230*" &amp; "%USERPROFILE%\Documents\GitHub\mrs-test-scripts\Headless Mode &amp; Sideloading\WalkAndUnGZ.bat" "%USERPROFILE%\AppData\Local\Temp\OnboardLogs"\RTDC4017\2016-12-30</v>
      </c>
      <c r="AF93" s="84" t="str">
        <f t="shared" si="34"/>
        <v>"C:\Program Files (x86)\AstroGrep\AstroGrep.exe" /spath="%USERPROFILE%\AppData\Local\Temp\OnboardLogs" /stypes="app*4017*20161229*" /stext=" 22:.+((SYSTEM_STATE.+slice.+state.+changed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88" t="str">
        <f t="shared" si="20"/>
        <v>"%USERPROFILE%\Documents\GitHub\eaglep3\Utilities\RefineRTDCRunTimes.py" --tripid 184-29 --locoid 4017 --swversion DE.1.0.8.0 --startMP 204:233003 --initTime 2016-12-29T14:40:48 --startdatetime 2016-12-29T14:56:30 --delay 1 --endMP 204:156 --enddatetime 2016-12-29T15:40:41 --enforcementcount 0 &gt;&gt;C:\Users\stu\Documents\GitHub\eaglep3-reporting\EC\2016-12-29-refined-times.txt</v>
      </c>
      <c r="AI93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{"issue":{"subject":"","project_id":79,"tracker_id":40,"status_id":1,"priority_id":2,"assigned_to_id":23,"start_date":"2016-12-29","description":"","custom_fields":[{"id":1,"name":"Subdivision","value":"EC"},{"id":4,"name":"Milepost","value":"0.0156"},{"id":17,"name":"Train ID","value":"184-29"},{"id":16,"name":"Locomotive ID","value":"4017"},{"id":130,"name":"Impact","value":""},{"id":150,"name":"Time of Event (Mountain Time)","value":"15:40:41"},{"id":151,"name":"Denver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22"/>
        <v>start /low /b %USERPROFILE%\Documents\GitHub\eaglep3\Utilities\DownloadLogsFromS3.py --loco 4017 --day 2016-12-29</v>
      </c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590</v>
      </c>
      <c r="B94" s="7">
        <v>4044</v>
      </c>
      <c r="C94" s="22" t="s">
        <v>205</v>
      </c>
      <c r="D94" s="22" t="s">
        <v>230</v>
      </c>
      <c r="E94" s="13">
        <v>42733.59165509259</v>
      </c>
      <c r="F94" s="13">
        <v>42733.593912037039</v>
      </c>
      <c r="G94" s="7">
        <v>1</v>
      </c>
      <c r="H94" s="22" t="s">
        <v>298</v>
      </c>
      <c r="I94" s="13">
        <v>42733.619699074072</v>
      </c>
      <c r="J94" s="7">
        <v>0</v>
      </c>
      <c r="K94" s="105" t="str">
        <f t="shared" si="23"/>
        <v>4043/4044</v>
      </c>
      <c r="L94" s="22" t="str">
        <f>VLOOKUP(A94,'Trips&amp;Operators'!$C$1:$G$99999,5,FALSE)</f>
        <v>BRANNON JEFFREY</v>
      </c>
      <c r="M94" s="6">
        <f t="shared" si="24"/>
        <v>2.5787037033296656E-2</v>
      </c>
      <c r="N94" s="7">
        <f t="shared" si="37"/>
        <v>37.133333327947184</v>
      </c>
      <c r="O94" s="7"/>
      <c r="P94" s="7"/>
      <c r="Q94" s="23"/>
      <c r="R94" s="23"/>
      <c r="S94" s="32">
        <f t="shared" si="25"/>
        <v>1</v>
      </c>
      <c r="T94" s="47" t="str">
        <f t="shared" si="26"/>
        <v>NorthBound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13:11:59-700',mode:absolute,to:'2016-12-29 15:52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4" s="49" t="str">
        <f t="shared" si="28"/>
        <v>N</v>
      </c>
      <c r="X94" s="173">
        <f t="shared" si="36"/>
        <v>1</v>
      </c>
      <c r="Y94" s="64">
        <f t="shared" si="29"/>
        <v>4.5999999999999999E-2</v>
      </c>
      <c r="Z94" s="64">
        <f t="shared" si="30"/>
        <v>23.331199999999999</v>
      </c>
      <c r="AA94" s="64">
        <f t="shared" si="31"/>
        <v>23.2852</v>
      </c>
      <c r="AB94" s="61" t="e">
        <f>VLOOKUP(A94,Enforcements!$C$7:$K$19,8,0)</f>
        <v>#N/A</v>
      </c>
      <c r="AC94" s="57" t="e">
        <f>VLOOKUP(A94,Enforcements!$C$7:$E$19,3,0)</f>
        <v>#N/A</v>
      </c>
      <c r="AD94" s="58" t="str">
        <f t="shared" si="32"/>
        <v>0185-29</v>
      </c>
      <c r="AE94" s="87" t="str">
        <f t="shared" si="33"/>
        <v>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 &amp; aws s3 cp s3://rtdc.mdm.uploadarchive.raw/RTDC4044/ "%USERPROFILE%\AppData\Local\Temp\OnboardLogs"\RTDC4044\2016-12-30 --exclude "*" --recursive --include "*20161230*" &amp; "%USERPROFILE%\Documents\GitHub\mrs-test-scripts\Headless Mode &amp; Sideloading\WalkAndUnGZ.bat" "%USERPROFILE%\AppData\Local\Temp\OnboardLogs"\RTDC4044\2016-12-30</v>
      </c>
      <c r="AF94" s="84" t="str">
        <f t="shared" si="34"/>
        <v>"C:\Program Files (x86)\AstroGrep\AstroGrep.exe" /spath="%USERPROFILE%\AppData\Local\Temp\OnboardLogs" /stypes="app*4044*20161229*" /stext=" 21:.+((SYSTEM_STATE.+slice.+state.+changed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88" t="str">
        <f t="shared" si="20"/>
        <v>"%USERPROFILE%\Documents\GitHub\eaglep3\Utilities\RefineRTDCRunTimes.py" --tripid 185-29 --locoid 4044 --swversion DE.1.0.8.0 --startMP 204:460 --initTime 2016-12-29T14:11:59 --startdatetime 2016-12-29T14:15:14 --delay 1 --endMP 204:233312 --enddatetime 2016-12-29T14:52:22 --enforcementcount 0 &gt;&gt;C:\Users\stu\Documents\GitHub\eaglep3-reporting\EC\2016-12-29-refined-times.txt</v>
      </c>
      <c r="AI94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{"issue":{"subject":"","project_id":79,"tracker_id":40,"status_id":1,"priority_id":2,"assigned_to_id":23,"start_date":"2016-12-29","description":"","custom_fields":[{"id":1,"name":"Subdivision","value":"EC"},{"id":4,"name":"Milepost","value":"23.3312"},{"id":17,"name":"Train ID","value":"185-29"},{"id":16,"name":"Locomotive ID","value":"4044"},{"id":130,"name":"Impact","value":""},{"id":150,"name":"Time of Event (Mountain Time)","value":"14:52:22"},{"id":151,"name":"Denver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22"/>
        <v>start /low /b %USERPROFILE%\Documents\GitHub\eaglep3\Utilities\DownloadLogsFromS3.py --loco 4044 --day 2016-12-29</v>
      </c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598</v>
      </c>
      <c r="B95" s="7">
        <v>4043</v>
      </c>
      <c r="C95" s="22" t="s">
        <v>205</v>
      </c>
      <c r="D95" s="22" t="s">
        <v>260</v>
      </c>
      <c r="E95" s="13">
        <v>42733.624282407407</v>
      </c>
      <c r="F95" s="13">
        <v>42733.632893518516</v>
      </c>
      <c r="G95" s="7">
        <v>6</v>
      </c>
      <c r="H95" s="22" t="s">
        <v>211</v>
      </c>
      <c r="I95" s="13">
        <v>42733.660995370374</v>
      </c>
      <c r="J95" s="7">
        <v>0</v>
      </c>
      <c r="K95" s="105" t="str">
        <f t="shared" si="23"/>
        <v>4043/4044</v>
      </c>
      <c r="L95" s="22" t="str">
        <f>VLOOKUP(A95,'Trips&amp;Operators'!$C$1:$G$99999,5,FALSE)</f>
        <v>BRANNON JEFFREY</v>
      </c>
      <c r="M95" s="6">
        <f t="shared" si="24"/>
        <v>2.8101851858082227E-2</v>
      </c>
      <c r="N95" s="7">
        <f t="shared" si="37"/>
        <v>40.466666675638407</v>
      </c>
      <c r="O95" s="7"/>
      <c r="P95" s="7"/>
      <c r="Q95" s="23"/>
      <c r="R95" s="23"/>
      <c r="S95" s="32">
        <f t="shared" si="25"/>
        <v>1</v>
      </c>
      <c r="T95" s="47" t="str">
        <f t="shared" si="26"/>
        <v>Southbound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13:58:58-700',mode:absolute,to:'2016-12-29 16:51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5" s="49" t="str">
        <f t="shared" si="28"/>
        <v>N</v>
      </c>
      <c r="X95" s="173">
        <f t="shared" si="36"/>
        <v>1</v>
      </c>
      <c r="Y95" s="64">
        <f t="shared" si="29"/>
        <v>23.299299999999999</v>
      </c>
      <c r="Z95" s="64">
        <f t="shared" si="30"/>
        <v>1.4999999999999999E-2</v>
      </c>
      <c r="AA95" s="64">
        <f t="shared" si="31"/>
        <v>23.284299999999998</v>
      </c>
      <c r="AB95" s="61" t="e">
        <f>VLOOKUP(A95,Enforcements!$C$7:$K$19,8,0)</f>
        <v>#N/A</v>
      </c>
      <c r="AC95" s="57" t="e">
        <f>VLOOKUP(A95,Enforcements!$C$7:$E$19,3,0)</f>
        <v>#N/A</v>
      </c>
      <c r="AD95" s="58" t="str">
        <f t="shared" si="32"/>
        <v>0186-29</v>
      </c>
      <c r="AE95" s="87" t="str">
        <f t="shared" si="33"/>
        <v>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 &amp; aws s3 cp s3://rtdc.mdm.uploadarchive.raw/RTDC4043/ "%USERPROFILE%\AppData\Local\Temp\OnboardLogs"\RTDC4043\2016-12-30 --exclude "*" --recursive --include "*20161230*" &amp; "%USERPROFILE%\Documents\GitHub\mrs-test-scripts\Headless Mode &amp; Sideloading\WalkAndUnGZ.bat" "%USERPROFILE%\AppData\Local\Temp\OnboardLogs"\RTDC4043\2016-12-30</v>
      </c>
      <c r="AF95" s="84" t="str">
        <f t="shared" si="34"/>
        <v>"C:\Program Files (x86)\AstroGrep\AstroGrep.exe" /spath="%USERPROFILE%\AppData\Local\Temp\OnboardLogs" /stypes="app*4043*20161229*" /stext=" 22:.+((SYSTEM_STATE.+slice.+state.+changed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88" t="str">
        <f t="shared" si="20"/>
        <v>"%USERPROFILE%\Documents\GitHub\eaglep3\Utilities\RefineRTDCRunTimes.py" --tripid 186-29 --locoid 4043 --swversion DE.1.0.8.0 --startMP 204:232993 --initTime 2016-12-29T14:58:58 --startdatetime 2016-12-29T15:11:22 --delay 6 --endMP 204:150 --enddatetime 2016-12-29T15:51:50 --enforcementcount 0 &gt;&gt;C:\Users\stu\Documents\GitHub\eaglep3-reporting\EC\2016-12-29-refined-times.txt</v>
      </c>
      <c r="AI95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{"issue":{"subject":"","project_id":79,"tracker_id":40,"status_id":1,"priority_id":2,"assigned_to_id":23,"start_date":"2016-12-29","description":"","custom_fields":[{"id":1,"name":"Subdivision","value":"EC"},{"id":4,"name":"Milepost","value":"0.015"},{"id":17,"name":"Train ID","value":"186-29"},{"id":16,"name":"Locomotive ID","value":"4043"},{"id":130,"name":"Impact","value":""},{"id":150,"name":"Time of Event (Mountain Time)","value":"15:51:50"},{"id":151,"name":"Denver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22"/>
        <v>start /low /b %USERPROFILE%\Documents\GitHub\eaglep3\Utilities\DownloadLogsFromS3.py --loco 4043 --day 2016-12-29</v>
      </c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592</v>
      </c>
      <c r="B96" s="7">
        <v>4042</v>
      </c>
      <c r="C96" s="22" t="s">
        <v>205</v>
      </c>
      <c r="D96" s="22" t="s">
        <v>707</v>
      </c>
      <c r="E96" s="13">
        <v>42733.60324074074</v>
      </c>
      <c r="F96" s="13">
        <v>42733.60664351852</v>
      </c>
      <c r="G96" s="7">
        <v>1</v>
      </c>
      <c r="H96" s="22" t="s">
        <v>268</v>
      </c>
      <c r="I96" s="13">
        <v>42733.632708333331</v>
      </c>
      <c r="J96" s="7">
        <v>0</v>
      </c>
      <c r="K96" s="105" t="str">
        <f t="shared" si="23"/>
        <v>4041/4042</v>
      </c>
      <c r="L96" s="22" t="str">
        <f>VLOOKUP(A96,'Trips&amp;Operators'!$C$1:$G$99999,5,FALSE)</f>
        <v>CLARK KATHLEEN</v>
      </c>
      <c r="M96" s="6">
        <f t="shared" si="24"/>
        <v>2.6064814810524695E-2</v>
      </c>
      <c r="N96" s="7">
        <f t="shared" si="37"/>
        <v>37.53333332715556</v>
      </c>
      <c r="O96" s="7"/>
      <c r="P96" s="7"/>
      <c r="Q96" s="23"/>
      <c r="R96" s="23"/>
      <c r="S96" s="32">
        <f t="shared" si="25"/>
        <v>1</v>
      </c>
      <c r="T96" s="47" t="str">
        <f t="shared" si="26"/>
        <v>NorthBound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13:28:40-700',mode:absolute,to:'2016-12-29 16:11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6" s="49" t="str">
        <f t="shared" si="28"/>
        <v>N</v>
      </c>
      <c r="X96" s="173">
        <f t="shared" si="36"/>
        <v>1</v>
      </c>
      <c r="Y96" s="64">
        <f t="shared" si="29"/>
        <v>4.82E-2</v>
      </c>
      <c r="Z96" s="64">
        <f t="shared" si="30"/>
        <v>23.329899999999999</v>
      </c>
      <c r="AA96" s="64">
        <f t="shared" si="31"/>
        <v>23.281699999999997</v>
      </c>
      <c r="AB96" s="61" t="e">
        <f>VLOOKUP(A96,Enforcements!$C$7:$K$19,8,0)</f>
        <v>#N/A</v>
      </c>
      <c r="AC96" s="57" t="e">
        <f>VLOOKUP(A96,Enforcements!$C$7:$E$19,3,0)</f>
        <v>#N/A</v>
      </c>
      <c r="AD96" s="58" t="str">
        <f t="shared" si="32"/>
        <v>0187-29</v>
      </c>
      <c r="AE96" s="87" t="str">
        <f t="shared" si="33"/>
        <v>aws s3 cp s3://rtdc.mdm.uploadarchive.raw/RTDC4042/ "%USERPROFILE%\AppData\Local\Temp\OnboardLogs"\RTDC4042\2016-12-29 --exclude "*" --recursive --include "*20161229*" &amp; "%USERPROFILE%\Documents\GitHub\mrs-test-scripts\Headless Mode &amp; Sideloading\WalkAndUnGZ.bat" "%USERPROFILE%\AppData\Local\Temp\OnboardLogs"\RTDC4042\2016-12-29 &amp; aws s3 cp s3://rtdc.mdm.uploadarchive.raw/RTDC4042/ "%USERPROFILE%\AppData\Local\Temp\OnboardLogs"\RTDC4042\2016-12-30 --exclude "*" --recursive --include "*20161230*" &amp; "%USERPROFILE%\Documents\GitHub\mrs-test-scripts\Headless Mode &amp; Sideloading\WalkAndUnGZ.bat" "%USERPROFILE%\AppData\Local\Temp\OnboardLogs"\RTDC4042\2016-12-30</v>
      </c>
      <c r="AF96" s="84" t="str">
        <f t="shared" si="34"/>
        <v>"C:\Program Files (x86)\AstroGrep\AstroGrep.exe" /spath="%USERPROFILE%\AppData\Local\Temp\OnboardLogs" /stypes="app*4042*20161229*" /stext=" 22:.+((SYSTEM_STATE.+slice.+state.+changed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88" t="str">
        <f t="shared" si="20"/>
        <v>"%USERPROFILE%\Documents\GitHub\eaglep3\Utilities\RefineRTDCRunTimes.py" --tripid 187-29 --locoid 4042 --swversion DE.1.0.8.0 --startMP 204:482 --initTime 2016-12-29T14:28:40 --startdatetime 2016-12-29T14:33:34 --delay 1 --endMP 204:233299 --enddatetime 2016-12-29T15:11:06 --enforcementcount 0 &gt;&gt;C:\Users\stu\Documents\GitHub\eaglep3-reporting\EC\2016-12-29-refined-times.txt</v>
      </c>
      <c r="AI96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{"issue":{"subject":"","project_id":79,"tracker_id":40,"status_id":1,"priority_id":2,"assigned_to_id":23,"start_date":"2016-12-29","description":"","custom_fields":[{"id":1,"name":"Subdivision","value":"EC"},{"id":4,"name":"Milepost","value":"23.3299"},{"id":17,"name":"Train ID","value":"187-29"},{"id":16,"name":"Locomotive ID","value":"4042"},{"id":130,"name":"Impact","value":""},{"id":150,"name":"Time of Event (Mountain Time)","value":"15:11:06"},{"id":151,"name":"Denver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22"/>
        <v>start /low /b %USERPROFILE%\Documents\GitHub\eaglep3\Utilities\DownloadLogsFromS3.py --loco 4042 --day 2016-12-29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601</v>
      </c>
      <c r="B97" s="7">
        <v>4041</v>
      </c>
      <c r="C97" s="22" t="s">
        <v>205</v>
      </c>
      <c r="D97" s="22" t="s">
        <v>708</v>
      </c>
      <c r="E97" s="13">
        <v>42733.637962962966</v>
      </c>
      <c r="F97" s="13">
        <v>42733.643217592595</v>
      </c>
      <c r="G97" s="7">
        <v>1</v>
      </c>
      <c r="H97" s="22" t="s">
        <v>709</v>
      </c>
      <c r="I97" s="13">
        <v>42733.673217592594</v>
      </c>
      <c r="J97" s="7">
        <v>0</v>
      </c>
      <c r="K97" s="105" t="str">
        <f t="shared" si="23"/>
        <v>4041/4042</v>
      </c>
      <c r="L97" s="22" t="str">
        <f>VLOOKUP(A97,'Trips&amp;Operators'!$C$1:$G$99999,5,FALSE)</f>
        <v>CLARK KATHLEEN</v>
      </c>
      <c r="M97" s="6">
        <f t="shared" si="24"/>
        <v>2.9999999998835847E-2</v>
      </c>
      <c r="N97" s="7">
        <f t="shared" si="37"/>
        <v>43.199999998323619</v>
      </c>
      <c r="O97" s="7"/>
      <c r="P97" s="7"/>
      <c r="Q97" s="23"/>
      <c r="R97" s="23"/>
      <c r="S97" s="32">
        <f t="shared" si="25"/>
        <v>1</v>
      </c>
      <c r="T97" s="47" t="str">
        <f t="shared" si="26"/>
        <v>Southbound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14:18:40-700',mode:absolute,to:'2016-12-29 17:09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7" s="49" t="str">
        <f t="shared" si="28"/>
        <v>N</v>
      </c>
      <c r="X97" s="173">
        <f t="shared" si="36"/>
        <v>1</v>
      </c>
      <c r="Y97" s="64">
        <f t="shared" si="29"/>
        <v>23.296299999999999</v>
      </c>
      <c r="Z97" s="64">
        <f t="shared" si="30"/>
        <v>1.7600000000000001E-2</v>
      </c>
      <c r="AA97" s="64">
        <f t="shared" si="31"/>
        <v>23.278699999999997</v>
      </c>
      <c r="AB97" s="61" t="e">
        <f>VLOOKUP(A97,Enforcements!$C$7:$K$19,8,0)</f>
        <v>#N/A</v>
      </c>
      <c r="AC97" s="57" t="e">
        <f>VLOOKUP(A97,Enforcements!$C$7:$E$19,3,0)</f>
        <v>#N/A</v>
      </c>
      <c r="AD97" s="58" t="str">
        <f t="shared" si="32"/>
        <v>0188-29</v>
      </c>
      <c r="AE97" s="87" t="str">
        <f t="shared" si="33"/>
        <v>aws s3 cp s3://rtdc.mdm.uploadarchive.raw/RTDC4041/ "%USERPROFILE%\AppData\Local\Temp\OnboardLogs"\RTDC4041\2016-12-29 --exclude "*" --recursive --include "*20161229*" &amp; "%USERPROFILE%\Documents\GitHub\mrs-test-scripts\Headless Mode &amp; Sideloading\WalkAndUnGZ.bat" "%USERPROFILE%\AppData\Local\Temp\OnboardLogs"\RTDC4041\2016-12-29 &amp; aws s3 cp s3://rtdc.mdm.uploadarchive.raw/RTDC4041/ "%USERPROFILE%\AppData\Local\Temp\OnboardLogs"\RTDC4041\2016-12-30 --exclude "*" --recursive --include "*20161230*" &amp; "%USERPROFILE%\Documents\GitHub\mrs-test-scripts\Headless Mode &amp; Sideloading\WalkAndUnGZ.bat" "%USERPROFILE%\AppData\Local\Temp\OnboardLogs"\RTDC4041\2016-12-30</v>
      </c>
      <c r="AF97" s="84" t="str">
        <f t="shared" si="34"/>
        <v>"C:\Program Files (x86)\AstroGrep\AstroGrep.exe" /spath="%USERPROFILE%\AppData\Local\Temp\OnboardLogs" /stypes="app*4041*20161229*" /stext=" 23:.+((SYSTEM_STATE.+slice.+state.+changed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88" t="str">
        <f t="shared" si="20"/>
        <v>"%USERPROFILE%\Documents\GitHub\eaglep3\Utilities\RefineRTDCRunTimes.py" --tripid 188-29 --locoid 4041 --swversion DE.1.0.8.0 --startMP 204:232963 --initTime 2016-12-29T15:18:40 --startdatetime 2016-12-29T15:26:14 --delay 1 --endMP 204:176 --enddatetime 2016-12-29T16:09:26 --enforcementcount 0 &gt;&gt;C:\Users\stu\Documents\GitHub\eaglep3-reporting\EC\2016-12-29-refined-times.txt</v>
      </c>
      <c r="AI97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{"issue":{"subject":"","project_id":79,"tracker_id":40,"status_id":1,"priority_id":2,"assigned_to_id":23,"start_date":"2016-12-29","description":"","custom_fields":[{"id":1,"name":"Subdivision","value":"EC"},{"id":4,"name":"Milepost","value":"0.0176"},{"id":17,"name":"Train ID","value":"188-29"},{"id":16,"name":"Locomotive ID","value":"4041"},{"id":130,"name":"Impact","value":""},{"id":150,"name":"Time of Event (Mountain Time)","value":"16:09:26"},{"id":151,"name":"Denver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22"/>
        <v>start /low /b %USERPROFILE%\Documents\GitHub\eaglep3\Utilities\DownloadLogsFromS3.py --loco 4041 --day 2016-12-29</v>
      </c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4" t="s">
        <v>596</v>
      </c>
      <c r="B98" s="7">
        <v>4002</v>
      </c>
      <c r="C98" s="22" t="s">
        <v>205</v>
      </c>
      <c r="D98" s="22" t="s">
        <v>228</v>
      </c>
      <c r="E98" s="13">
        <v>42733.612928240742</v>
      </c>
      <c r="F98" s="13">
        <v>42733.614918981482</v>
      </c>
      <c r="G98" s="7">
        <v>1</v>
      </c>
      <c r="H98" s="22" t="s">
        <v>408</v>
      </c>
      <c r="I98" s="13">
        <v>42733.641770833332</v>
      </c>
      <c r="J98" s="7">
        <v>0</v>
      </c>
      <c r="K98" s="105" t="str">
        <f t="shared" si="23"/>
        <v>4001/4002</v>
      </c>
      <c r="L98" s="22" t="str">
        <f>VLOOKUP(A98,'Trips&amp;Operators'!$C$1:$G$99999,5,FALSE)</f>
        <v>KILLION DAVID</v>
      </c>
      <c r="M98" s="6">
        <f t="shared" si="24"/>
        <v>2.6851851849642117E-2</v>
      </c>
      <c r="N98" s="7">
        <f t="shared" si="37"/>
        <v>38.666666663484648</v>
      </c>
      <c r="O98" s="7"/>
      <c r="P98" s="7"/>
      <c r="Q98" s="23"/>
      <c r="R98" s="23"/>
      <c r="S98" s="32">
        <f t="shared" si="25"/>
        <v>1</v>
      </c>
      <c r="T98" s="47" t="str">
        <f t="shared" si="26"/>
        <v>NorthBound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13:42:37-700',mode:absolute,to:'2016-12-29 16:24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8" s="49" t="str">
        <f t="shared" si="28"/>
        <v>N</v>
      </c>
      <c r="X98" s="173">
        <f t="shared" si="36"/>
        <v>1</v>
      </c>
      <c r="Y98" s="64">
        <f t="shared" si="29"/>
        <v>4.5499999999999999E-2</v>
      </c>
      <c r="Z98" s="64">
        <f t="shared" si="30"/>
        <v>23.330200000000001</v>
      </c>
      <c r="AA98" s="64">
        <f t="shared" si="31"/>
        <v>23.284700000000001</v>
      </c>
      <c r="AB98" s="61" t="e">
        <f>VLOOKUP(A98,Enforcements!$C$7:$K$19,8,0)</f>
        <v>#N/A</v>
      </c>
      <c r="AC98" s="57" t="e">
        <f>VLOOKUP(A98,Enforcements!$C$7:$E$19,3,0)</f>
        <v>#N/A</v>
      </c>
      <c r="AD98" s="58" t="str">
        <f t="shared" si="32"/>
        <v>0189-29</v>
      </c>
      <c r="AE98" s="87" t="str">
        <f t="shared" si="33"/>
        <v>aws s3 cp s3://rtdc.mdm.uploadarchive.raw/RTDC4002/ "%USERPROFILE%\AppData\Local\Temp\OnboardLogs"\RTDC4002\2016-12-29 --exclude "*" --recursive --include "*20161229*" &amp; "%USERPROFILE%\Documents\GitHub\mrs-test-scripts\Headless Mode &amp; Sideloading\WalkAndUnGZ.bat" "%USERPROFILE%\AppData\Local\Temp\OnboardLogs"\RTDC4002\2016-12-29 &amp; aws s3 cp s3://rtdc.mdm.uploadarchive.raw/RTDC4002/ "%USERPROFILE%\AppData\Local\Temp\OnboardLogs"\RTDC4002\2016-12-30 --exclude "*" --recursive --include "*20161230*" &amp; "%USERPROFILE%\Documents\GitHub\mrs-test-scripts\Headless Mode &amp; Sideloading\WalkAndUnGZ.bat" "%USERPROFILE%\AppData\Local\Temp\OnboardLogs"\RTDC4002\2016-12-30</v>
      </c>
      <c r="AF98" s="84" t="str">
        <f t="shared" si="34"/>
        <v>"C:\Program Files (x86)\AstroGrep\AstroGrep.exe" /spath="%USERPROFILE%\AppData\Local\Temp\OnboardLogs" /stypes="app*4002*20161229*" /stext=" 22:.+((SYSTEM_STATE.+slice.+state.+changed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88" t="str">
        <f t="shared" si="20"/>
        <v>"%USERPROFILE%\Documents\GitHub\eaglep3\Utilities\RefineRTDCRunTimes.py" --tripid 189-29 --locoid 4002 --swversion DE.1.0.8.0 --startMP 204:455 --initTime 2016-12-29T14:42:37 --startdatetime 2016-12-29T14:45:29 --delay 1 --endMP 204:233302 --enddatetime 2016-12-29T15:24:09 --enforcementcount 0 &gt;&gt;C:\Users\stu\Documents\GitHub\eaglep3-reporting\EC\2016-12-29-refined-times.txt</v>
      </c>
      <c r="AI98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{"issue":{"subject":"","project_id":79,"tracker_id":40,"status_id":1,"priority_id":2,"assigned_to_id":23,"start_date":"2016-12-29","description":"","custom_fields":[{"id":1,"name":"Subdivision","value":"EC"},{"id":4,"name":"Milepost","value":"23.3302"},{"id":17,"name":"Train ID","value":"189-29"},{"id":16,"name":"Locomotive ID","value":"4002"},{"id":130,"name":"Impact","value":""},{"id":150,"name":"Time of Event (Mountain Time)","value":"15:24:09"},{"id":151,"name":"Denver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22"/>
        <v>start /low /b %USERPROFILE%\Documents\GitHub\eaglep3\Utilities\DownloadLogsFromS3.py --loco 4002 --day 2016-12-29</v>
      </c>
    </row>
    <row r="99" spans="1:91" s="21" customFormat="1" x14ac:dyDescent="0.25">
      <c r="A99" s="34" t="s">
        <v>603</v>
      </c>
      <c r="B99" s="7">
        <v>4001</v>
      </c>
      <c r="C99" s="22" t="s">
        <v>205</v>
      </c>
      <c r="D99" s="22" t="s">
        <v>328</v>
      </c>
      <c r="E99" s="13">
        <v>42733.649722222224</v>
      </c>
      <c r="F99" s="13">
        <v>42733.653703703705</v>
      </c>
      <c r="G99" s="7">
        <v>2</v>
      </c>
      <c r="H99" s="22" t="s">
        <v>233</v>
      </c>
      <c r="I99" s="13">
        <v>42733.681909722225</v>
      </c>
      <c r="J99" s="7">
        <v>0</v>
      </c>
      <c r="K99" s="105" t="str">
        <f t="shared" si="23"/>
        <v>4001/4002</v>
      </c>
      <c r="L99" s="22" t="str">
        <f>VLOOKUP(A99,'Trips&amp;Operators'!$C$1:$G$99999,5,FALSE)</f>
        <v>KILLION DAVID</v>
      </c>
      <c r="M99" s="6">
        <f t="shared" si="24"/>
        <v>2.8206018519995268E-2</v>
      </c>
      <c r="N99" s="7">
        <f t="shared" si="37"/>
        <v>40.616666668793187</v>
      </c>
      <c r="O99" s="7"/>
      <c r="P99" s="7"/>
      <c r="Q99" s="23"/>
      <c r="R99" s="23"/>
      <c r="S99" s="32">
        <f t="shared" si="25"/>
        <v>1</v>
      </c>
      <c r="T99" s="47" t="str">
        <f t="shared" si="26"/>
        <v>Southbound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14:35:36-700',mode:absolute,to:'2016-12-29 17:21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9" s="49" t="str">
        <f t="shared" si="28"/>
        <v>N</v>
      </c>
      <c r="X99" s="173">
        <f t="shared" si="36"/>
        <v>1</v>
      </c>
      <c r="Y99" s="64">
        <f t="shared" si="29"/>
        <v>23.2989</v>
      </c>
      <c r="Z99" s="64">
        <f t="shared" si="30"/>
        <v>1.4500000000000001E-2</v>
      </c>
      <c r="AA99" s="64">
        <f t="shared" si="31"/>
        <v>23.284399999999998</v>
      </c>
      <c r="AB99" s="61" t="e">
        <f>VLOOKUP(A99,Enforcements!$C$7:$K$19,8,0)</f>
        <v>#N/A</v>
      </c>
      <c r="AC99" s="57" t="e">
        <f>VLOOKUP(A99,Enforcements!$C$7:$E$19,3,0)</f>
        <v>#N/A</v>
      </c>
      <c r="AD99" s="58" t="str">
        <f t="shared" si="32"/>
        <v>0190-29</v>
      </c>
      <c r="AE99" s="87" t="str">
        <f t="shared" si="33"/>
        <v>aws s3 cp s3://rtdc.mdm.uploadarchive.raw/RTDC4001/ "%USERPROFILE%\AppData\Local\Temp\OnboardLogs"\RTDC4001\2016-12-29 --exclude "*" --recursive --include "*20161229*" &amp; "%USERPROFILE%\Documents\GitHub\mrs-test-scripts\Headless Mode &amp; Sideloading\WalkAndUnGZ.bat" "%USERPROFILE%\AppData\Local\Temp\OnboardLogs"\RTDC4001\2016-12-29 &amp; aws s3 cp s3://rtdc.mdm.uploadarchive.raw/RTDC4001/ "%USERPROFILE%\AppData\Local\Temp\OnboardLogs"\RTDC4001\2016-12-30 --exclude "*" --recursive --include "*20161230*" &amp; "%USERPROFILE%\Documents\GitHub\mrs-test-scripts\Headless Mode &amp; Sideloading\WalkAndUnGZ.bat" "%USERPROFILE%\AppData\Local\Temp\OnboardLogs"\RTDC4001\2016-12-30</v>
      </c>
      <c r="AF99" s="84" t="str">
        <f t="shared" si="34"/>
        <v>"C:\Program Files (x86)\AstroGrep\AstroGrep.exe" /spath="%USERPROFILE%\AppData\Local\Temp\OnboardLogs" /stypes="app*4001*20161229*" /stext=" 23:.+((SYSTEM_STATE.+slice.+state.+changed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88" t="str">
        <f t="shared" si="20"/>
        <v>"%USERPROFILE%\Documents\GitHub\eaglep3\Utilities\RefineRTDCRunTimes.py" --tripid 190-29 --locoid 4001 --swversion DE.1.0.8.0 --startMP 204:232989 --initTime 2016-12-29T15:35:36 --startdatetime 2016-12-29T15:41:20 --delay 2 --endMP 204:145 --enddatetime 2016-12-29T16:21:57 --enforcementcount 0 &gt;&gt;C:\Users\stu\Documents\GitHub\eaglep3-reporting\EC\2016-12-29-refined-times.txt</v>
      </c>
      <c r="AI99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{"issue":{"subject":"","project_id":79,"tracker_id":40,"status_id":1,"priority_id":2,"assigned_to_id":23,"start_date":"2016-12-29","description":"","custom_fields":[{"id":1,"name":"Subdivision","value":"EC"},{"id":4,"name":"Milepost","value":"0.0145"},{"id":17,"name":"Train ID","value":"190-29"},{"id":16,"name":"Locomotive ID","value":"4001"},{"id":130,"name":"Impact","value":""},{"id":150,"name":"Time of Event (Mountain Time)","value":"16:21:57"},{"id":151,"name":"Denver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22"/>
        <v>start /low /b %USERPROFILE%\Documents\GitHub\eaglep3\Utilities\DownloadLogsFromS3.py --loco 4001 --day 2016-12-29</v>
      </c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597</v>
      </c>
      <c r="B100" s="7">
        <v>4014</v>
      </c>
      <c r="C100" s="22" t="s">
        <v>205</v>
      </c>
      <c r="D100" s="22" t="s">
        <v>259</v>
      </c>
      <c r="E100" s="13">
        <v>42733.621006944442</v>
      </c>
      <c r="F100" s="13">
        <v>42733.625173611108</v>
      </c>
      <c r="G100" s="7">
        <v>1</v>
      </c>
      <c r="H100" s="22" t="s">
        <v>268</v>
      </c>
      <c r="I100" s="13">
        <v>42733.65</v>
      </c>
      <c r="J100" s="7">
        <v>0</v>
      </c>
      <c r="K100" s="105" t="str">
        <f t="shared" si="23"/>
        <v>4013/4014</v>
      </c>
      <c r="L100" s="22" t="str">
        <f>VLOOKUP(A100,'Trips&amp;Operators'!$C$1:$G$99999,5,FALSE)</f>
        <v>BRUDER RICHARD</v>
      </c>
      <c r="M100" s="6">
        <f t="shared" si="24"/>
        <v>2.4826388893416151E-2</v>
      </c>
      <c r="N100" s="7">
        <f t="shared" si="37"/>
        <v>35.750000006519258</v>
      </c>
      <c r="O100" s="7"/>
      <c r="P100" s="7"/>
      <c r="Q100" s="23"/>
      <c r="R100" s="23"/>
      <c r="S100" s="32">
        <f t="shared" si="25"/>
        <v>1</v>
      </c>
      <c r="T100" s="47" t="str">
        <f t="shared" si="26"/>
        <v>NorthBound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13:54:15-700',mode:absolute,to:'2016-12-29 16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0" s="49" t="str">
        <f t="shared" si="28"/>
        <v>N</v>
      </c>
      <c r="X100" s="173">
        <f t="shared" si="36"/>
        <v>1</v>
      </c>
      <c r="Y100" s="64">
        <f t="shared" si="29"/>
        <v>4.6199999999999998E-2</v>
      </c>
      <c r="Z100" s="64">
        <f t="shared" si="30"/>
        <v>23.329899999999999</v>
      </c>
      <c r="AA100" s="64">
        <f t="shared" si="31"/>
        <v>23.2837</v>
      </c>
      <c r="AB100" s="61" t="e">
        <f>VLOOKUP(A100,Enforcements!$C$7:$K$19,8,0)</f>
        <v>#N/A</v>
      </c>
      <c r="AC100" s="57" t="e">
        <f>VLOOKUP(A100,Enforcements!$C$7:$E$19,3,0)</f>
        <v>#N/A</v>
      </c>
      <c r="AD100" s="58" t="str">
        <f t="shared" si="32"/>
        <v>0191-29</v>
      </c>
      <c r="AE100" s="87" t="str">
        <f t="shared" si="33"/>
        <v>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 &amp; aws s3 cp s3://rtdc.mdm.uploadarchive.raw/RTDC4014/ "%USERPROFILE%\AppData\Local\Temp\OnboardLogs"\RTDC4014\2016-12-30 --exclude "*" --recursive --include "*20161230*" &amp; "%USERPROFILE%\Documents\GitHub\mrs-test-scripts\Headless Mode &amp; Sideloading\WalkAndUnGZ.bat" "%USERPROFILE%\AppData\Local\Temp\OnboardLogs"\RTDC4014\2016-12-30</v>
      </c>
      <c r="AF100" s="84" t="str">
        <f t="shared" si="34"/>
        <v>"C:\Program Files (x86)\AstroGrep\AstroGrep.exe" /spath="%USERPROFILE%\AppData\Local\Temp\OnboardLogs" /stypes="app*4014*20161229*" /stext=" 22:.+((SYSTEM_STATE.+slice.+state.+changed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88" t="str">
        <f t="shared" si="20"/>
        <v>"%USERPROFILE%\Documents\GitHub\eaglep3\Utilities\RefineRTDCRunTimes.py" --tripid 191-29 --locoid 4014 --swversion DE.1.0.8.0 --startMP 204:462 --initTime 2016-12-29T14:54:15 --startdatetime 2016-12-29T15:00:15 --delay 1 --endMP 204:233299 --enddatetime 2016-12-29T15:36:00 --enforcementcount 0 &gt;&gt;C:\Users\stu\Documents\GitHub\eaglep3-reporting\EC\2016-12-29-refined-times.txt</v>
      </c>
      <c r="AI100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{"issue":{"subject":"","project_id":79,"tracker_id":40,"status_id":1,"priority_id":2,"assigned_to_id":23,"start_date":"2016-12-29","description":"","custom_fields":[{"id":1,"name":"Subdivision","value":"EC"},{"id":4,"name":"Milepost","value":"23.3299"},{"id":17,"name":"Train ID","value":"191-29"},{"id":16,"name":"Locomotive ID","value":"4014"},{"id":130,"name":"Impact","value":""},{"id":150,"name":"Time of Event (Mountain Time)","value":"15:36:00"},{"id":151,"name":"Denver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22"/>
        <v>start /low /b %USERPROFILE%\Documents\GitHub\eaglep3\Utilities\DownloadLogsFromS3.py --loco 4014 --day 2016-12-29</v>
      </c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606</v>
      </c>
      <c r="B101" s="7">
        <v>4013</v>
      </c>
      <c r="C101" s="22" t="s">
        <v>205</v>
      </c>
      <c r="D101" s="22" t="s">
        <v>301</v>
      </c>
      <c r="E101" s="13">
        <v>42733.656666666669</v>
      </c>
      <c r="F101" s="13">
        <v>42733.664085648146</v>
      </c>
      <c r="G101" s="7">
        <v>1</v>
      </c>
      <c r="H101" s="22" t="s">
        <v>242</v>
      </c>
      <c r="I101" s="13">
        <v>42733.693055555559</v>
      </c>
      <c r="J101" s="7">
        <v>0</v>
      </c>
      <c r="K101" s="105" t="str">
        <f t="shared" si="23"/>
        <v>4013/4014</v>
      </c>
      <c r="L101" s="22" t="str">
        <f>VLOOKUP(A101,'Trips&amp;Operators'!$C$1:$G$99999,5,FALSE)</f>
        <v>BRUDER RICHARD</v>
      </c>
      <c r="M101" s="6">
        <f t="shared" si="24"/>
        <v>2.8969907412829343E-2</v>
      </c>
      <c r="N101" s="7">
        <f t="shared" si="37"/>
        <v>41.716666674474254</v>
      </c>
      <c r="O101" s="7"/>
      <c r="P101" s="7"/>
      <c r="Q101" s="23"/>
      <c r="R101" s="23"/>
      <c r="S101" s="32">
        <f t="shared" si="25"/>
        <v>1</v>
      </c>
      <c r="T101" s="47" t="str">
        <f t="shared" si="26"/>
        <v>Southbound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14:45:36-700',mode:absolute,to:'2016-12-29 17:38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1" s="49" t="str">
        <f t="shared" si="28"/>
        <v>N</v>
      </c>
      <c r="X101" s="173">
        <f t="shared" si="36"/>
        <v>1</v>
      </c>
      <c r="Y101" s="64">
        <f t="shared" si="29"/>
        <v>23.297999999999998</v>
      </c>
      <c r="Z101" s="64">
        <f t="shared" si="30"/>
        <v>1.6299999999999999E-2</v>
      </c>
      <c r="AA101" s="64">
        <f t="shared" si="31"/>
        <v>23.281699999999997</v>
      </c>
      <c r="AB101" s="61" t="e">
        <f>VLOOKUP(A101,Enforcements!$C$7:$K$19,8,0)</f>
        <v>#N/A</v>
      </c>
      <c r="AC101" s="57" t="e">
        <f>VLOOKUP(A101,Enforcements!$C$7:$E$19,3,0)</f>
        <v>#N/A</v>
      </c>
      <c r="AD101" s="58" t="str">
        <f t="shared" si="32"/>
        <v>0192-29</v>
      </c>
      <c r="AE101" s="87" t="str">
        <f t="shared" si="33"/>
        <v>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 &amp; aws s3 cp s3://rtdc.mdm.uploadarchive.raw/RTDC4013/ "%USERPROFILE%\AppData\Local\Temp\OnboardLogs"\RTDC4013\2016-12-30 --exclude "*" --recursive --include "*20161230*" &amp; "%USERPROFILE%\Documents\GitHub\mrs-test-scripts\Headless Mode &amp; Sideloading\WalkAndUnGZ.bat" "%USERPROFILE%\AppData\Local\Temp\OnboardLogs"\RTDC4013\2016-12-30</v>
      </c>
      <c r="AF101" s="84" t="str">
        <f t="shared" si="34"/>
        <v>"C:\Program Files (x86)\AstroGrep\AstroGrep.exe" /spath="%USERPROFILE%\AppData\Local\Temp\OnboardLogs" /stypes="app*4013*20161229*" /stext=" 23:.+((SYSTEM_STATE.+slice.+state.+changed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88" t="str">
        <f t="shared" si="20"/>
        <v>"%USERPROFILE%\Documents\GitHub\eaglep3\Utilities\RefineRTDCRunTimes.py" --tripid 192-29 --locoid 4013 --swversion DE.1.0.8.0 --startMP 204:232980 --initTime 2016-12-29T15:45:36 --startdatetime 2016-12-29T15:56:17 --delay 1 --endMP 204:163 --enddatetime 2016-12-29T16:38:00 --enforcementcount 0 &gt;&gt;C:\Users\stu\Documents\GitHub\eaglep3-reporting\EC\2016-12-29-refined-times.txt</v>
      </c>
      <c r="AI101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{"issue":{"subject":"","project_id":79,"tracker_id":40,"status_id":1,"priority_id":2,"assigned_to_id":23,"start_date":"2016-12-29","description":"","custom_fields":[{"id":1,"name":"Subdivision","value":"EC"},{"id":4,"name":"Milepost","value":"0.0163"},{"id":17,"name":"Train ID","value":"192-29"},{"id":16,"name":"Locomotive ID","value":"4013"},{"id":130,"name":"Impact","value":""},{"id":150,"name":"Time of Event (Mountain Time)","value":"16:38:00"},{"id":151,"name":"Denver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22"/>
        <v>start /low /b %USERPROFILE%\Documents\GitHub\eaglep3\Utilities\DownloadLogsFromS3.py --loco 4013 --day 2016-12-29</v>
      </c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600</v>
      </c>
      <c r="B102" s="7">
        <v>4031</v>
      </c>
      <c r="C102" s="22" t="s">
        <v>205</v>
      </c>
      <c r="D102" s="22" t="s">
        <v>398</v>
      </c>
      <c r="E102" s="13">
        <v>42733.632569444446</v>
      </c>
      <c r="F102" s="13">
        <v>42733.63559027778</v>
      </c>
      <c r="G102" s="7">
        <v>1</v>
      </c>
      <c r="H102" s="22" t="s">
        <v>309</v>
      </c>
      <c r="I102" s="13">
        <v>42733.661678240744</v>
      </c>
      <c r="J102" s="7">
        <v>0</v>
      </c>
      <c r="K102" s="105" t="str">
        <f t="shared" si="23"/>
        <v>4031/4032</v>
      </c>
      <c r="L102" s="22" t="str">
        <f>VLOOKUP(A102,'Trips&amp;Operators'!$C$1:$G$99999,5,FALSE)</f>
        <v>SMITH MICHAEL</v>
      </c>
      <c r="M102" s="6">
        <f t="shared" si="24"/>
        <v>2.6087962964083999E-2</v>
      </c>
      <c r="N102" s="7">
        <f t="shared" si="37"/>
        <v>37.566666668280959</v>
      </c>
      <c r="O102" s="7"/>
      <c r="P102" s="7"/>
      <c r="Q102" s="23"/>
      <c r="R102" s="23"/>
      <c r="S102" s="32">
        <f t="shared" si="25"/>
        <v>1</v>
      </c>
      <c r="T102" s="47" t="str">
        <f t="shared" si="26"/>
        <v>NorthBound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14:10:54-700',mode:absolute,to:'2016-12-29 16:52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2" s="49" t="str">
        <f t="shared" si="28"/>
        <v>N</v>
      </c>
      <c r="X102" s="173">
        <f t="shared" si="36"/>
        <v>1</v>
      </c>
      <c r="Y102" s="64">
        <f t="shared" si="29"/>
        <v>4.6699999999999998E-2</v>
      </c>
      <c r="Z102" s="64">
        <f t="shared" si="30"/>
        <v>23.330400000000001</v>
      </c>
      <c r="AA102" s="64">
        <f t="shared" si="31"/>
        <v>23.2837</v>
      </c>
      <c r="AB102" s="61" t="e">
        <f>VLOOKUP(A102,Enforcements!$C$7:$K$19,8,0)</f>
        <v>#N/A</v>
      </c>
      <c r="AC102" s="57" t="e">
        <f>VLOOKUP(A102,Enforcements!$C$7:$E$19,3,0)</f>
        <v>#N/A</v>
      </c>
      <c r="AD102" s="58" t="str">
        <f t="shared" si="32"/>
        <v>0193-29</v>
      </c>
      <c r="AE102" s="87" t="str">
        <f t="shared" si="33"/>
        <v>aws s3 cp s3://rtdc.mdm.uploadarchive.raw/RTDC4031/ "%USERPROFILE%\AppData\Local\Temp\OnboardLogs"\RTDC4031\2016-12-29 --exclude "*" --recursive --include "*20161229*" &amp; "%USERPROFILE%\Documents\GitHub\mrs-test-scripts\Headless Mode &amp; Sideloading\WalkAndUnGZ.bat" "%USERPROFILE%\AppData\Local\Temp\OnboardLogs"\RTDC4031\2016-12-29 &amp; 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</v>
      </c>
      <c r="AF102" s="84" t="str">
        <f t="shared" si="34"/>
        <v>"C:\Program Files (x86)\AstroGrep\AstroGrep.exe" /spath="%USERPROFILE%\AppData\Local\Temp\OnboardLogs" /stypes="app*4031*20161229*" /stext=" 22:.+((SYSTEM_STATE.+slice.+state.+changed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88" t="str">
        <f t="shared" si="20"/>
        <v>"%USERPROFILE%\Documents\GitHub\eaglep3\Utilities\RefineRTDCRunTimes.py" --tripid 193-29 --locoid 4031 --swversion DE.1.0.8.0 --startMP 204:467 --initTime 2016-12-29T15:10:54 --startdatetime 2016-12-29T15:15:15 --delay 1 --endMP 204:233304 --enddatetime 2016-12-29T15:52:49 --enforcementcount 0 &gt;&gt;C:\Users\stu\Documents\GitHub\eaglep3-reporting\EC\2016-12-29-refined-times.txt</v>
      </c>
      <c r="AI102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{"issue":{"subject":"","project_id":79,"tracker_id":40,"status_id":1,"priority_id":2,"assigned_to_id":23,"start_date":"2016-12-29","description":"","custom_fields":[{"id":1,"name":"Subdivision","value":"EC"},{"id":4,"name":"Milepost","value":"23.3304"},{"id":17,"name":"Train ID","value":"193-29"},{"id":16,"name":"Locomotive ID","value":"4031"},{"id":130,"name":"Impact","value":""},{"id":150,"name":"Time of Event (Mountain Time)","value":"15:52:49"},{"id":151,"name":"Denver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22"/>
        <v>start /low /b %USERPROFILE%\Documents\GitHub\eaglep3\Utilities\DownloadLogsFromS3.py --loco 4031 --day 2016-12-29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608</v>
      </c>
      <c r="B103" s="7">
        <v>4032</v>
      </c>
      <c r="C103" s="22" t="s">
        <v>205</v>
      </c>
      <c r="D103" s="22" t="s">
        <v>328</v>
      </c>
      <c r="E103" s="13">
        <v>42733.666643518518</v>
      </c>
      <c r="F103" s="13">
        <v>42733.674641203703</v>
      </c>
      <c r="G103" s="7">
        <v>1</v>
      </c>
      <c r="H103" s="22" t="s">
        <v>322</v>
      </c>
      <c r="I103" s="13">
        <v>42733.703043981484</v>
      </c>
      <c r="J103" s="7">
        <v>0</v>
      </c>
      <c r="K103" s="105" t="str">
        <f t="shared" si="23"/>
        <v>4031/4032</v>
      </c>
      <c r="L103" s="22" t="str">
        <f>VLOOKUP(A103,'Trips&amp;Operators'!$C$1:$G$99999,5,FALSE)</f>
        <v>SMITH MICHAEL</v>
      </c>
      <c r="M103" s="6">
        <f t="shared" si="24"/>
        <v>2.8402777781593613E-2</v>
      </c>
      <c r="N103" s="7">
        <f t="shared" si="37"/>
        <v>40.900000005494803</v>
      </c>
      <c r="O103" s="7"/>
      <c r="P103" s="7"/>
      <c r="Q103" s="23"/>
      <c r="R103" s="23"/>
      <c r="S103" s="32">
        <f t="shared" si="25"/>
        <v>1</v>
      </c>
      <c r="T103" s="47" t="str">
        <f t="shared" si="26"/>
        <v>Southbound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14:59:58-700',mode:absolute,to:'2016-12-29 17:52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3" s="49" t="str">
        <f t="shared" si="28"/>
        <v>N</v>
      </c>
      <c r="X103" s="173">
        <f t="shared" si="36"/>
        <v>1</v>
      </c>
      <c r="Y103" s="64">
        <f t="shared" si="29"/>
        <v>23.2989</v>
      </c>
      <c r="Z103" s="64">
        <f t="shared" si="30"/>
        <v>1.5599999999999999E-2</v>
      </c>
      <c r="AA103" s="64">
        <f t="shared" si="31"/>
        <v>23.283300000000001</v>
      </c>
      <c r="AB103" s="61" t="e">
        <f>VLOOKUP(A103,Enforcements!$C$7:$K$19,8,0)</f>
        <v>#N/A</v>
      </c>
      <c r="AC103" s="57" t="e">
        <f>VLOOKUP(A103,Enforcements!$C$7:$E$19,3,0)</f>
        <v>#N/A</v>
      </c>
      <c r="AD103" s="58" t="str">
        <f t="shared" si="32"/>
        <v>0194-29</v>
      </c>
      <c r="AE103" s="87" t="str">
        <f t="shared" si="33"/>
        <v>aws s3 cp s3://rtdc.mdm.uploadarchive.raw/RTDC4032/ "%USERPROFILE%\AppData\Local\Temp\OnboardLogs"\RTDC4032\2016-12-29 --exclude "*" --recursive --include "*20161229*" &amp; "%USERPROFILE%\Documents\GitHub\mrs-test-scripts\Headless Mode &amp; Sideloading\WalkAndUnGZ.bat" "%USERPROFILE%\AppData\Local\Temp\OnboardLogs"\RTDC4032\2016-12-29 &amp; 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</v>
      </c>
      <c r="AF103" s="84" t="str">
        <f t="shared" si="34"/>
        <v>"C:\Program Files (x86)\AstroGrep\AstroGrep.exe" /spath="%USERPROFILE%\AppData\Local\Temp\OnboardLogs" /stypes="app*4032*20161229*" /stext=" 23:.+((SYSTEM_STATE.+slice.+state.+changed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88" t="str">
        <f t="shared" si="20"/>
        <v>"%USERPROFILE%\Documents\GitHub\eaglep3\Utilities\RefineRTDCRunTimes.py" --tripid 194-29 --locoid 4032 --swversion DE.1.0.8.0 --startMP 204:232989 --initTime 2016-12-29T15:59:58 --startdatetime 2016-12-29T16:11:29 --delay 1 --endMP 204:156 --enddatetime 2016-12-29T16:52:23 --enforcementcount 0 &gt;&gt;C:\Users\stu\Documents\GitHub\eaglep3-reporting\EC\2016-12-29-refined-times.txt</v>
      </c>
      <c r="AI103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{"issue":{"subject":"","project_id":79,"tracker_id":40,"status_id":1,"priority_id":2,"assigned_to_id":23,"start_date":"2016-12-29","description":"","custom_fields":[{"id":1,"name":"Subdivision","value":"EC"},{"id":4,"name":"Milepost","value":"0.0156"},{"id":17,"name":"Train ID","value":"194-29"},{"id":16,"name":"Locomotive ID","value":"4032"},{"id":130,"name":"Impact","value":""},{"id":150,"name":"Time of Event (Mountain Time)","value":"16:52:23"},{"id":151,"name":"Denver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22"/>
        <v>start /low /b %USERPROFILE%\Documents\GitHub\eaglep3\Utilities\DownloadLogsFromS3.py --loco 4032 --day 2016-12-29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602</v>
      </c>
      <c r="B104" s="7">
        <v>4003</v>
      </c>
      <c r="C104" s="22" t="s">
        <v>205</v>
      </c>
      <c r="D104" s="22" t="s">
        <v>710</v>
      </c>
      <c r="E104" s="13">
        <v>42733.644791666666</v>
      </c>
      <c r="F104" s="13">
        <v>42733.646504629629</v>
      </c>
      <c r="G104" s="7">
        <v>1</v>
      </c>
      <c r="H104" s="22" t="s">
        <v>295</v>
      </c>
      <c r="I104" s="13">
        <v>42733.673020833332</v>
      </c>
      <c r="J104" s="7">
        <v>0</v>
      </c>
      <c r="K104" s="105" t="str">
        <f t="shared" si="23"/>
        <v>4003/4004</v>
      </c>
      <c r="L104" s="22" t="str">
        <f>VLOOKUP(A104,'Trips&amp;Operators'!$C$1:$G$99999,5,FALSE)</f>
        <v>ARVIDSON DANIEL</v>
      </c>
      <c r="M104" s="6">
        <f t="shared" si="24"/>
        <v>2.6516203703067731E-2</v>
      </c>
      <c r="N104" s="7">
        <f t="shared" si="37"/>
        <v>38.183333332417533</v>
      </c>
      <c r="O104" s="7"/>
      <c r="P104" s="7"/>
      <c r="Q104" s="23"/>
      <c r="R104" s="23"/>
      <c r="S104" s="32">
        <f t="shared" si="25"/>
        <v>1</v>
      </c>
      <c r="T104" s="47" t="str">
        <f t="shared" si="26"/>
        <v>NorthBound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14:28:30-700',mode:absolute,to:'2016-12-29 17:09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4" s="49" t="str">
        <f t="shared" si="28"/>
        <v>N</v>
      </c>
      <c r="X104" s="173">
        <f t="shared" si="36"/>
        <v>1</v>
      </c>
      <c r="Y104" s="64">
        <f t="shared" si="29"/>
        <v>4.0899999999999999E-2</v>
      </c>
      <c r="Z104" s="64">
        <f t="shared" si="30"/>
        <v>23.329699999999999</v>
      </c>
      <c r="AA104" s="64">
        <f t="shared" si="31"/>
        <v>23.288799999999998</v>
      </c>
      <c r="AB104" s="61" t="e">
        <f>VLOOKUP(A104,Enforcements!$C$7:$K$19,8,0)</f>
        <v>#N/A</v>
      </c>
      <c r="AC104" s="57" t="e">
        <f>VLOOKUP(A104,Enforcements!$C$7:$E$19,3,0)</f>
        <v>#N/A</v>
      </c>
      <c r="AD104" s="58" t="str">
        <f t="shared" si="32"/>
        <v>0195-29</v>
      </c>
      <c r="AE104" s="87" t="str">
        <f t="shared" si="33"/>
        <v>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 &amp; aws s3 cp s3://rtdc.mdm.uploadarchive.raw/RTDC4003/ "%USERPROFILE%\AppData\Local\Temp\OnboardLogs"\RTDC4003\2016-12-30 --exclude "*" --recursive --include "*20161230*" &amp; "%USERPROFILE%\Documents\GitHub\mrs-test-scripts\Headless Mode &amp; Sideloading\WalkAndUnGZ.bat" "%USERPROFILE%\AppData\Local\Temp\OnboardLogs"\RTDC4003\2016-12-30</v>
      </c>
      <c r="AF104" s="84" t="str">
        <f t="shared" si="34"/>
        <v>"C:\Program Files (x86)\AstroGrep\AstroGrep.exe" /spath="%USERPROFILE%\AppData\Local\Temp\OnboardLogs" /stypes="app*4003*20161229*" /stext=" 23:.+((SYSTEM_STATE.+slice.+state.+changed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88" t="str">
        <f t="shared" si="20"/>
        <v>"%USERPROFILE%\Documents\GitHub\eaglep3\Utilities\RefineRTDCRunTimes.py" --tripid 195-29 --locoid 4003 --swversion DE.1.0.8.0 --startMP 204:409 --initTime 2016-12-29T15:28:30 --startdatetime 2016-12-29T15:30:58 --delay 1 --endMP 204:233297 --enddatetime 2016-12-29T16:09:09 --enforcementcount 0 &gt;&gt;C:\Users\stu\Documents\GitHub\eaglep3-reporting\EC\2016-12-29-refined-times.txt</v>
      </c>
      <c r="AI104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{"issue":{"subject":"","project_id":79,"tracker_id":40,"status_id":1,"priority_id":2,"assigned_to_id":23,"start_date":"2016-12-29","description":"","custom_fields":[{"id":1,"name":"Subdivision","value":"EC"},{"id":4,"name":"Milepost","value":"23.3297"},{"id":17,"name":"Train ID","value":"195-29"},{"id":16,"name":"Locomotive ID","value":"4003"},{"id":130,"name":"Impact","value":""},{"id":150,"name":"Time of Event (Mountain Time)","value":"16:09:09"},{"id":151,"name":"Denver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22"/>
        <v>start /low /b %USERPROFILE%\Documents\GitHub\eaglep3\Utilities\DownloadLogsFromS3.py --loco 4003 --day 2016-12-29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450</v>
      </c>
      <c r="B105" s="7">
        <v>4004</v>
      </c>
      <c r="C105" s="22" t="s">
        <v>205</v>
      </c>
      <c r="D105" s="22" t="s">
        <v>326</v>
      </c>
      <c r="E105" s="13">
        <v>42733.68005787037</v>
      </c>
      <c r="F105" s="13">
        <v>42733.685150462959</v>
      </c>
      <c r="G105" s="7">
        <v>1</v>
      </c>
      <c r="H105" s="22" t="s">
        <v>254</v>
      </c>
      <c r="I105" s="13">
        <v>42733.714363425926</v>
      </c>
      <c r="J105" s="7">
        <v>0</v>
      </c>
      <c r="K105" s="105" t="str">
        <f t="shared" si="23"/>
        <v>4003/4004</v>
      </c>
      <c r="L105" s="22" t="str">
        <f>VLOOKUP(A105,'Trips&amp;Operators'!$C$1:$G$99999,5,FALSE)</f>
        <v>ARVIDSON DANIEL</v>
      </c>
      <c r="M105" s="6">
        <f t="shared" si="24"/>
        <v>2.9212962966994382E-2</v>
      </c>
      <c r="N105" s="7">
        <f t="shared" si="37"/>
        <v>42.066666672471911</v>
      </c>
      <c r="O105" s="7"/>
      <c r="P105" s="7"/>
      <c r="Q105" s="23"/>
      <c r="R105" s="23"/>
      <c r="S105" s="32">
        <f t="shared" si="25"/>
        <v>1</v>
      </c>
      <c r="T105" s="47" t="str">
        <f t="shared" si="26"/>
        <v>Southbound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15:19:17-700',mode:absolute,to:'2016-12-29 18:08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5" s="49" t="str">
        <f t="shared" si="28"/>
        <v>N</v>
      </c>
      <c r="X105" s="173">
        <f t="shared" si="36"/>
        <v>1</v>
      </c>
      <c r="Y105" s="64">
        <f t="shared" si="29"/>
        <v>23.2988</v>
      </c>
      <c r="Z105" s="64">
        <f t="shared" si="30"/>
        <v>1.47E-2</v>
      </c>
      <c r="AA105" s="64">
        <f t="shared" si="31"/>
        <v>23.284099999999999</v>
      </c>
      <c r="AB105" s="61" t="e">
        <f>VLOOKUP(A105,Enforcements!$C$7:$K$19,8,0)</f>
        <v>#N/A</v>
      </c>
      <c r="AC105" s="57" t="e">
        <f>VLOOKUP(A105,Enforcements!$C$7:$E$19,3,0)</f>
        <v>#N/A</v>
      </c>
      <c r="AD105" s="58" t="str">
        <f t="shared" si="32"/>
        <v>0196-29</v>
      </c>
      <c r="AE105" s="87" t="str">
        <f t="shared" si="33"/>
        <v>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 &amp; aws s3 cp s3://rtdc.mdm.uploadarchive.raw/RTDC4004/ "%USERPROFILE%\AppData\Local\Temp\OnboardLogs"\RTDC4004\2016-12-30 --exclude "*" --recursive --include "*20161230*" &amp; "%USERPROFILE%\Documents\GitHub\mrs-test-scripts\Headless Mode &amp; Sideloading\WalkAndUnGZ.bat" "%USERPROFILE%\AppData\Local\Temp\OnboardLogs"\RTDC4004\2016-12-30</v>
      </c>
      <c r="AF105" s="84" t="str">
        <f t="shared" si="34"/>
        <v>"C:\Program Files (x86)\AstroGrep\AstroGrep.exe" /spath="%USERPROFILE%\AppData\Local\Temp\OnboardLogs" /stypes="app*4004*20161230*" /stext=" 00:.+((SYSTEM_STATE.+slice.+state.+changed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88" t="str">
        <f t="shared" si="20"/>
        <v>"%USERPROFILE%\Documents\GitHub\eaglep3\Utilities\RefineRTDCRunTimes.py" --tripid 196-29 --locoid 4004 --swversion DE.1.0.8.0 --startMP 204:232988 --initTime 2016-12-29T16:19:17 --startdatetime 2016-12-29T16:26:37 --delay 1 --endMP 204:147 --enddatetime 2016-12-29T17:08:41 --enforcementcount 0 &gt;&gt;C:\Users\stu\Documents\GitHub\eaglep3-reporting\EC\2016-12-29-refined-times.txt</v>
      </c>
      <c r="AI105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{"issue":{"subject":"","project_id":79,"tracker_id":40,"status_id":1,"priority_id":2,"assigned_to_id":23,"start_date":"2016-12-29","description":"","custom_fields":[{"id":1,"name":"Subdivision","value":"EC"},{"id":4,"name":"Milepost","value":"0.0147"},{"id":17,"name":"Train ID","value":"196-29"},{"id":16,"name":"Locomotive ID","value":"4004"},{"id":130,"name":"Impact","value":""},{"id":150,"name":"Time of Event (Mountain Time)","value":"17:08:41"},{"id":151,"name":"Denver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22"/>
        <v>start /low /b %USERPROFILE%\Documents\GitHub\eaglep3\Utilities\DownloadLogsFromS3.py --loco 4004 --day 2016-12-29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605</v>
      </c>
      <c r="B106" s="7">
        <v>4018</v>
      </c>
      <c r="C106" s="22" t="s">
        <v>205</v>
      </c>
      <c r="D106" s="22" t="s">
        <v>259</v>
      </c>
      <c r="E106" s="13">
        <v>42733.654444444444</v>
      </c>
      <c r="F106" s="13">
        <v>42733.656724537039</v>
      </c>
      <c r="G106" s="7">
        <v>1</v>
      </c>
      <c r="H106" s="22" t="s">
        <v>364</v>
      </c>
      <c r="I106" s="13">
        <v>42733.683333333334</v>
      </c>
      <c r="J106" s="7">
        <v>0</v>
      </c>
      <c r="K106" s="105" t="str">
        <f t="shared" si="23"/>
        <v>4017/4018</v>
      </c>
      <c r="L106" s="22" t="str">
        <f>VLOOKUP(A106,'Trips&amp;Operators'!$C$1:$G$99999,5,FALSE)</f>
        <v>STRICKLAND EVAN</v>
      </c>
      <c r="M106" s="6">
        <f t="shared" si="24"/>
        <v>2.6608796295477077E-2</v>
      </c>
      <c r="N106" s="7">
        <f t="shared" si="37"/>
        <v>38.316666665486991</v>
      </c>
      <c r="O106" s="7"/>
      <c r="P106" s="7"/>
      <c r="Q106" s="23"/>
      <c r="R106" s="23"/>
      <c r="S106" s="32">
        <f t="shared" si="25"/>
        <v>1</v>
      </c>
      <c r="T106" s="47" t="str">
        <f t="shared" si="26"/>
        <v>NorthBound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14:42:24-700',mode:absolute,to:'2016-12-29 17:24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6" s="49" t="str">
        <f t="shared" si="28"/>
        <v>N</v>
      </c>
      <c r="X106" s="173">
        <f t="shared" si="36"/>
        <v>1</v>
      </c>
      <c r="Y106" s="64">
        <f t="shared" si="29"/>
        <v>4.6199999999999998E-2</v>
      </c>
      <c r="Z106" s="64">
        <f t="shared" si="30"/>
        <v>23.331399999999999</v>
      </c>
      <c r="AA106" s="64">
        <f t="shared" si="31"/>
        <v>23.2852</v>
      </c>
      <c r="AB106" s="61" t="e">
        <f>VLOOKUP(A106,Enforcements!$C$7:$K$19,8,0)</f>
        <v>#N/A</v>
      </c>
      <c r="AC106" s="57" t="e">
        <f>VLOOKUP(A106,Enforcements!$C$7:$E$19,3,0)</f>
        <v>#N/A</v>
      </c>
      <c r="AD106" s="58" t="str">
        <f t="shared" si="32"/>
        <v>0197-29</v>
      </c>
      <c r="AE106" s="87" t="str">
        <f t="shared" si="33"/>
        <v>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 &amp; aws s3 cp s3://rtdc.mdm.uploadarchive.raw/RTDC4018/ "%USERPROFILE%\AppData\Local\Temp\OnboardLogs"\RTDC4018\2016-12-30 --exclude "*" --recursive --include "*20161230*" &amp; "%USERPROFILE%\Documents\GitHub\mrs-test-scripts\Headless Mode &amp; Sideloading\WalkAndUnGZ.bat" "%USERPROFILE%\AppData\Local\Temp\OnboardLogs"\RTDC4018\2016-12-30</v>
      </c>
      <c r="AF106" s="84" t="str">
        <f t="shared" si="34"/>
        <v>"C:\Program Files (x86)\AstroGrep\AstroGrep.exe" /spath="%USERPROFILE%\AppData\Local\Temp\OnboardLogs" /stypes="app*4018*20161229*" /stext=" 23:.+((SYSTEM_STATE.+slice.+state.+changed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88" t="str">
        <f t="shared" si="20"/>
        <v>"%USERPROFILE%\Documents\GitHub\eaglep3\Utilities\RefineRTDCRunTimes.py" --tripid 197-29 --locoid 4018 --swversion DE.1.0.8.0 --startMP 204:462 --initTime 2016-12-29T15:42:24 --startdatetime 2016-12-29T15:45:41 --delay 1 --endMP 204:233314 --enddatetime 2016-12-29T16:24:00 --enforcementcount 0 &gt;&gt;C:\Users\stu\Documents\GitHub\eaglep3-reporting\EC\2016-12-29-refined-times.txt</v>
      </c>
      <c r="AI106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{"issue":{"subject":"","project_id":79,"tracker_id":40,"status_id":1,"priority_id":2,"assigned_to_id":23,"start_date":"2016-12-29","description":"","custom_fields":[{"id":1,"name":"Subdivision","value":"EC"},{"id":4,"name":"Milepost","value":"23.3314"},{"id":17,"name":"Train ID","value":"197-29"},{"id":16,"name":"Locomotive ID","value":"4018"},{"id":130,"name":"Impact","value":""},{"id":150,"name":"Time of Event (Mountain Time)","value":"16:24:00"},{"id":151,"name":"Denver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22"/>
        <v>start /low /b %USERPROFILE%\Documents\GitHub\eaglep3\Utilities\DownloadLogsFromS3.py --loco 4018 --day 2016-12-29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612</v>
      </c>
      <c r="B107" s="7">
        <v>4017</v>
      </c>
      <c r="C107" s="22" t="s">
        <v>205</v>
      </c>
      <c r="D107" s="22" t="s">
        <v>330</v>
      </c>
      <c r="E107" s="13">
        <v>42733.685173611113</v>
      </c>
      <c r="F107" s="13">
        <v>42733.695590277777</v>
      </c>
      <c r="G107" s="7">
        <v>1</v>
      </c>
      <c r="H107" s="22" t="s">
        <v>692</v>
      </c>
      <c r="I107" s="13">
        <v>42733.725312499999</v>
      </c>
      <c r="J107" s="7">
        <v>0</v>
      </c>
      <c r="K107" s="105" t="str">
        <f t="shared" si="23"/>
        <v>4017/4018</v>
      </c>
      <c r="L107" s="22" t="str">
        <f>VLOOKUP(A107,'Trips&amp;Operators'!$C$1:$G$99999,5,FALSE)</f>
        <v>STRICKLAND EVAN</v>
      </c>
      <c r="M107" s="6">
        <f t="shared" si="24"/>
        <v>2.9722222221607808E-2</v>
      </c>
      <c r="N107" s="7">
        <f t="shared" si="37"/>
        <v>42.799999999115244</v>
      </c>
      <c r="O107" s="7"/>
      <c r="P107" s="7"/>
      <c r="Q107" s="23"/>
      <c r="R107" s="23"/>
      <c r="S107" s="32">
        <f t="shared" si="25"/>
        <v>1</v>
      </c>
      <c r="T107" s="47" t="str">
        <f t="shared" si="26"/>
        <v>Southbound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15:26:39-700',mode:absolute,to:'2016-12-29 18:24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7" s="49" t="str">
        <f t="shared" si="28"/>
        <v>N</v>
      </c>
      <c r="X107" s="173">
        <f t="shared" si="36"/>
        <v>1</v>
      </c>
      <c r="Y107" s="64">
        <f t="shared" si="29"/>
        <v>23.299600000000002</v>
      </c>
      <c r="Z107" s="64">
        <f t="shared" si="30"/>
        <v>1.6500000000000001E-2</v>
      </c>
      <c r="AA107" s="64">
        <f t="shared" si="31"/>
        <v>23.283100000000001</v>
      </c>
      <c r="AB107" s="61" t="e">
        <f>VLOOKUP(A107,Enforcements!$C$7:$K$19,8,0)</f>
        <v>#N/A</v>
      </c>
      <c r="AC107" s="57" t="e">
        <f>VLOOKUP(A107,Enforcements!$C$7:$E$19,3,0)</f>
        <v>#N/A</v>
      </c>
      <c r="AD107" s="58" t="str">
        <f t="shared" si="32"/>
        <v>0198-29</v>
      </c>
      <c r="AE107" s="87" t="str">
        <f t="shared" si="33"/>
        <v>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 &amp; aws s3 cp s3://rtdc.mdm.uploadarchive.raw/RTDC4017/ "%USERPROFILE%\AppData\Local\Temp\OnboardLogs"\RTDC4017\2016-12-30 --exclude "*" --recursive --include "*20161230*" &amp; "%USERPROFILE%\Documents\GitHub\mrs-test-scripts\Headless Mode &amp; Sideloading\WalkAndUnGZ.bat" "%USERPROFILE%\AppData\Local\Temp\OnboardLogs"\RTDC4017\2016-12-30</v>
      </c>
      <c r="AF107" s="84" t="str">
        <f t="shared" si="34"/>
        <v>"C:\Program Files (x86)\AstroGrep\AstroGrep.exe" /spath="%USERPROFILE%\AppData\Local\Temp\OnboardLogs" /stypes="app*4017*20161230*" /stext=" 00:.+((SYSTEM_STATE.+slice.+state.+changed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88" t="str">
        <f t="shared" si="20"/>
        <v>"%USERPROFILE%\Documents\GitHub\eaglep3\Utilities\RefineRTDCRunTimes.py" --tripid 198-29 --locoid 4017 --swversion DE.1.0.8.0 --startMP 204:232996 --initTime 2016-12-29T16:26:39 --startdatetime 2016-12-29T16:41:39 --delay 1 --endMP 204:165 --enddatetime 2016-12-29T17:24:27 --enforcementcount 0 &gt;&gt;C:\Users\stu\Documents\GitHub\eaglep3-reporting\EC\2016-12-29-refined-times.txt</v>
      </c>
      <c r="AI107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{"issue":{"subject":"","project_id":79,"tracker_id":40,"status_id":1,"priority_id":2,"assigned_to_id":23,"start_date":"2016-12-29","description":"","custom_fields":[{"id":1,"name":"Subdivision","value":"EC"},{"id":4,"name":"Milepost","value":"0.0165"},{"id":17,"name":"Train ID","value":"198-29"},{"id":16,"name":"Locomotive ID","value":"4017"},{"id":130,"name":"Impact","value":""},{"id":150,"name":"Time of Event (Mountain Time)","value":"17:24:27"},{"id":151,"name":"Denver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22"/>
        <v>start /low /b %USERPROFILE%\Documents\GitHub\eaglep3\Utilities\DownloadLogsFromS3.py --loco 4017 --day 2016-12-29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607</v>
      </c>
      <c r="B108" s="7">
        <v>4044</v>
      </c>
      <c r="C108" s="22" t="s">
        <v>205</v>
      </c>
      <c r="D108" s="22" t="s">
        <v>194</v>
      </c>
      <c r="E108" s="13">
        <v>42733.662268518521</v>
      </c>
      <c r="F108" s="13">
        <v>42733.666828703703</v>
      </c>
      <c r="G108" s="7">
        <v>1</v>
      </c>
      <c r="H108" s="22" t="s">
        <v>312</v>
      </c>
      <c r="I108" s="13">
        <v>42733.691435185188</v>
      </c>
      <c r="J108" s="7">
        <v>0</v>
      </c>
      <c r="K108" s="105" t="str">
        <f t="shared" si="23"/>
        <v>4043/4044</v>
      </c>
      <c r="L108" s="22" t="str">
        <f>VLOOKUP(A108,'Trips&amp;Operators'!$C$1:$G$99999,5,FALSE)</f>
        <v>BRANNON JEFFREY</v>
      </c>
      <c r="M108" s="6">
        <f t="shared" si="24"/>
        <v>2.4606481485534459E-2</v>
      </c>
      <c r="N108" s="7">
        <f t="shared" si="37"/>
        <v>35.433333339169621</v>
      </c>
      <c r="O108" s="7"/>
      <c r="P108" s="7"/>
      <c r="Q108" s="23"/>
      <c r="R108" s="23"/>
      <c r="S108" s="32">
        <f t="shared" si="25"/>
        <v>1</v>
      </c>
      <c r="T108" s="47" t="str">
        <f t="shared" si="26"/>
        <v>NorthBound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14:53:40-700',mode:absolute,to:'2016-12-29 17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8" s="49" t="str">
        <f t="shared" si="28"/>
        <v>N</v>
      </c>
      <c r="X108" s="173">
        <f t="shared" si="36"/>
        <v>1</v>
      </c>
      <c r="Y108" s="64">
        <f t="shared" si="29"/>
        <v>4.5100000000000001E-2</v>
      </c>
      <c r="Z108" s="64">
        <f t="shared" si="30"/>
        <v>23.3307</v>
      </c>
      <c r="AA108" s="64">
        <f t="shared" si="31"/>
        <v>23.285599999999999</v>
      </c>
      <c r="AB108" s="61" t="e">
        <f>VLOOKUP(A108,Enforcements!$C$7:$K$19,8,0)</f>
        <v>#N/A</v>
      </c>
      <c r="AC108" s="57" t="e">
        <f>VLOOKUP(A108,Enforcements!$C$7:$E$19,3,0)</f>
        <v>#N/A</v>
      </c>
      <c r="AD108" s="58" t="str">
        <f t="shared" si="32"/>
        <v>0199-29</v>
      </c>
      <c r="AE108" s="87" t="str">
        <f t="shared" si="33"/>
        <v>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 &amp; aws s3 cp s3://rtdc.mdm.uploadarchive.raw/RTDC4044/ "%USERPROFILE%\AppData\Local\Temp\OnboardLogs"\RTDC4044\2016-12-30 --exclude "*" --recursive --include "*20161230*" &amp; "%USERPROFILE%\Documents\GitHub\mrs-test-scripts\Headless Mode &amp; Sideloading\WalkAndUnGZ.bat" "%USERPROFILE%\AppData\Local\Temp\OnboardLogs"\RTDC4044\2016-12-30</v>
      </c>
      <c r="AF108" s="84" t="str">
        <f t="shared" si="34"/>
        <v>"C:\Program Files (x86)\AstroGrep\AstroGrep.exe" /spath="%USERPROFILE%\AppData\Local\Temp\OnboardLogs" /stypes="app*4044*20161229*" /stext=" 23:.+((SYSTEM_STATE.+slice.+state.+changed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88" t="str">
        <f t="shared" si="20"/>
        <v>"%USERPROFILE%\Documents\GitHub\eaglep3\Utilities\RefineRTDCRunTimes.py" --tripid 199-29 --locoid 4044 --swversion DE.1.0.8.0 --startMP 204:451 --initTime 2016-12-29T15:53:40 --startdatetime 2016-12-29T16:00:14 --delay 1 --endMP 204:233307 --enddatetime 2016-12-29T16:35:40 --enforcementcount 0 &gt;&gt;C:\Users\stu\Documents\GitHub\eaglep3-reporting\EC\2016-12-29-refined-times.txt</v>
      </c>
      <c r="AI108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{"issue":{"subject":"","project_id":79,"tracker_id":40,"status_id":1,"priority_id":2,"assigned_to_id":23,"start_date":"2016-12-29","description":"","custom_fields":[{"id":1,"name":"Subdivision","value":"EC"},{"id":4,"name":"Milepost","value":"23.3307"},{"id":17,"name":"Train ID","value":"199-29"},{"id":16,"name":"Locomotive ID","value":"4044"},{"id":130,"name":"Impact","value":""},{"id":150,"name":"Time of Event (Mountain Time)","value":"16:35:40"},{"id":151,"name":"Denver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22"/>
        <v>start /low /b %USERPROFILE%\Documents\GitHub\eaglep3\Utilities\DownloadLogsFromS3.py --loco 4044 --day 2016-12-29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615</v>
      </c>
      <c r="B109" s="7">
        <v>4043</v>
      </c>
      <c r="C109" s="22" t="s">
        <v>205</v>
      </c>
      <c r="D109" s="22" t="s">
        <v>402</v>
      </c>
      <c r="E109" s="13">
        <v>42733.700567129628</v>
      </c>
      <c r="F109" s="13">
        <v>42733.705706018518</v>
      </c>
      <c r="G109" s="7">
        <v>1</v>
      </c>
      <c r="H109" s="22" t="s">
        <v>697</v>
      </c>
      <c r="I109" s="13">
        <v>42733.73296296296</v>
      </c>
      <c r="J109" s="7">
        <v>0</v>
      </c>
      <c r="K109" s="105" t="str">
        <f t="shared" si="23"/>
        <v>4043/4044</v>
      </c>
      <c r="L109" s="22" t="str">
        <f>VLOOKUP(A109,'Trips&amp;Operators'!$C$1:$G$99999,5,FALSE)</f>
        <v>BRANNON JEFFREY</v>
      </c>
      <c r="M109" s="6">
        <f t="shared" si="24"/>
        <v>2.7256944442342501E-2</v>
      </c>
      <c r="N109" s="7">
        <f t="shared" si="37"/>
        <v>39.249999996973202</v>
      </c>
      <c r="O109" s="7"/>
      <c r="P109" s="7"/>
      <c r="Q109" s="23"/>
      <c r="R109" s="23"/>
      <c r="S109" s="32">
        <f t="shared" si="25"/>
        <v>1</v>
      </c>
      <c r="T109" s="47" t="str">
        <f t="shared" si="26"/>
        <v>Southbound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15:48:49-700',mode:absolute,to:'2016-12-29 18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9" s="49" t="str">
        <f t="shared" si="28"/>
        <v>N</v>
      </c>
      <c r="X109" s="173">
        <f t="shared" si="36"/>
        <v>1</v>
      </c>
      <c r="Y109" s="64">
        <f t="shared" si="29"/>
        <v>23.298400000000001</v>
      </c>
      <c r="Z109" s="64">
        <f t="shared" si="30"/>
        <v>1.61E-2</v>
      </c>
      <c r="AA109" s="64">
        <f t="shared" si="31"/>
        <v>23.282299999999999</v>
      </c>
      <c r="AB109" s="61" t="e">
        <f>VLOOKUP(A109,Enforcements!$C$7:$K$19,8,0)</f>
        <v>#N/A</v>
      </c>
      <c r="AC109" s="57" t="e">
        <f>VLOOKUP(A109,Enforcements!$C$7:$E$19,3,0)</f>
        <v>#N/A</v>
      </c>
      <c r="AD109" s="58" t="str">
        <f t="shared" si="32"/>
        <v>0200-29</v>
      </c>
      <c r="AE109" s="87" t="str">
        <f t="shared" si="33"/>
        <v>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 &amp; aws s3 cp s3://rtdc.mdm.uploadarchive.raw/RTDC4043/ "%USERPROFILE%\AppData\Local\Temp\OnboardLogs"\RTDC4043\2016-12-30 --exclude "*" --recursive --include "*20161230*" &amp; "%USERPROFILE%\Documents\GitHub\mrs-test-scripts\Headless Mode &amp; Sideloading\WalkAndUnGZ.bat" "%USERPROFILE%\AppData\Local\Temp\OnboardLogs"\RTDC4043\2016-12-30</v>
      </c>
      <c r="AF109" s="84" t="str">
        <f t="shared" si="34"/>
        <v>"C:\Program Files (x86)\AstroGrep\AstroGrep.exe" /spath="%USERPROFILE%\AppData\Local\Temp\OnboardLogs" /stypes="app*4043*20161230*" /stext=" 00:.+((SYSTEM_STATE.+slice.+state.+changed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88" t="str">
        <f t="shared" si="20"/>
        <v>"%USERPROFILE%\Documents\GitHub\eaglep3\Utilities\RefineRTDCRunTimes.py" --tripid 200-29 --locoid 4043 --swversion DE.1.0.8.0 --startMP 204:232984 --initTime 2016-12-29T16:48:49 --startdatetime 2016-12-29T16:56:13 --delay 1 --endMP 204:161 --enddatetime 2016-12-29T17:35:28 --enforcementcount 0 &gt;&gt;C:\Users\stu\Documents\GitHub\eaglep3-reporting\EC\2016-12-29-refined-times.txt</v>
      </c>
      <c r="AI109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{"issue":{"subject":"","project_id":79,"tracker_id":40,"status_id":1,"priority_id":2,"assigned_to_id":23,"start_date":"2016-12-29","description":"","custom_fields":[{"id":1,"name":"Subdivision","value":"EC"},{"id":4,"name":"Milepost","value":"0.0161"},{"id":17,"name":"Train ID","value":"200-29"},{"id":16,"name":"Locomotive ID","value":"4043"},{"id":130,"name":"Impact","value":""},{"id":150,"name":"Time of Event (Mountain Time)","value":"17:35:28"},{"id":151,"name":"Denver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22"/>
        <v>start /low /b %USERPROFILE%\Documents\GitHub\eaglep3\Utilities\DownloadLogsFromS3.py --loco 4043 --day 2016-12-29</v>
      </c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4" t="s">
        <v>609</v>
      </c>
      <c r="B110" s="7">
        <v>4042</v>
      </c>
      <c r="C110" s="22" t="s">
        <v>205</v>
      </c>
      <c r="D110" s="22" t="s">
        <v>405</v>
      </c>
      <c r="E110" s="13">
        <v>42733.674560185187</v>
      </c>
      <c r="F110" s="13">
        <v>42733.677256944444</v>
      </c>
      <c r="G110" s="7">
        <v>1</v>
      </c>
      <c r="H110" s="22" t="s">
        <v>704</v>
      </c>
      <c r="I110" s="13">
        <v>42733.704872685186</v>
      </c>
      <c r="J110" s="7">
        <v>0</v>
      </c>
      <c r="K110" s="105" t="str">
        <f t="shared" si="23"/>
        <v>4041/4042</v>
      </c>
      <c r="L110" s="22" t="str">
        <f>VLOOKUP(A110,'Trips&amp;Operators'!$C$1:$G$99999,5,FALSE)</f>
        <v>CLARK KATHLEEN</v>
      </c>
      <c r="M110" s="6">
        <f t="shared" si="24"/>
        <v>2.7615740742476191E-2</v>
      </c>
      <c r="N110" s="7">
        <f t="shared" si="37"/>
        <v>39.766666669165716</v>
      </c>
      <c r="O110" s="7"/>
      <c r="P110" s="7"/>
      <c r="Q110" s="23"/>
      <c r="R110" s="23"/>
      <c r="S110" s="32">
        <f t="shared" si="25"/>
        <v>1</v>
      </c>
      <c r="T110" s="47" t="str">
        <f t="shared" si="26"/>
        <v>NorthBound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15:11:22-700',mode:absolute,to:'2016-12-29 17:55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0" s="49" t="str">
        <f t="shared" si="28"/>
        <v>N</v>
      </c>
      <c r="X110" s="173">
        <f t="shared" ref="X110:X124" si="38">VALUE(LEFT(AD110,4))-VALUE(LEFT(AD109,4))</f>
        <v>1</v>
      </c>
      <c r="Y110" s="64">
        <f t="shared" si="29"/>
        <v>4.8599999999999997E-2</v>
      </c>
      <c r="Z110" s="64">
        <f t="shared" si="30"/>
        <v>23.329799999999999</v>
      </c>
      <c r="AA110" s="64">
        <f t="shared" si="31"/>
        <v>23.281199999999998</v>
      </c>
      <c r="AB110" s="61" t="e">
        <f>VLOOKUP(A110,Enforcements!$C$7:$K$19,8,0)</f>
        <v>#N/A</v>
      </c>
      <c r="AC110" s="57" t="e">
        <f>VLOOKUP(A110,Enforcements!$C$7:$E$19,3,0)</f>
        <v>#N/A</v>
      </c>
      <c r="AD110" s="58" t="str">
        <f t="shared" si="32"/>
        <v>0201-29</v>
      </c>
      <c r="AE110" s="87" t="str">
        <f t="shared" si="33"/>
        <v>aws s3 cp s3://rtdc.mdm.uploadarchive.raw/RTDC4042/ "%USERPROFILE%\AppData\Local\Temp\OnboardLogs"\RTDC4042\2016-12-29 --exclude "*" --recursive --include "*20161229*" &amp; "%USERPROFILE%\Documents\GitHub\mrs-test-scripts\Headless Mode &amp; Sideloading\WalkAndUnGZ.bat" "%USERPROFILE%\AppData\Local\Temp\OnboardLogs"\RTDC4042\2016-12-29 &amp; aws s3 cp s3://rtdc.mdm.uploadarchive.raw/RTDC4042/ "%USERPROFILE%\AppData\Local\Temp\OnboardLogs"\RTDC4042\2016-12-30 --exclude "*" --recursive --include "*20161230*" &amp; "%USERPROFILE%\Documents\GitHub\mrs-test-scripts\Headless Mode &amp; Sideloading\WalkAndUnGZ.bat" "%USERPROFILE%\AppData\Local\Temp\OnboardLogs"\RTDC4042\2016-12-30</v>
      </c>
      <c r="AF110" s="84" t="str">
        <f t="shared" si="34"/>
        <v>"C:\Program Files (x86)\AstroGrep\AstroGrep.exe" /spath="%USERPROFILE%\AppData\Local\Temp\OnboardLogs" /stypes="app*4042*20161229*" /stext=" 23:.+((SYSTEM_STATE.+slice.+state.+changed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88" t="str">
        <f t="shared" si="20"/>
        <v>"%USERPROFILE%\Documents\GitHub\eaglep3\Utilities\RefineRTDCRunTimes.py" --tripid 201-29 --locoid 4042 --swversion DE.1.0.8.0 --startMP 204:486 --initTime 2016-12-29T16:11:22 --startdatetime 2016-12-29T16:15:15 --delay 1 --endMP 204:233298 --enddatetime 2016-12-29T16:55:01 --enforcementcount 0 &gt;&gt;C:\Users\stu\Documents\GitHub\eaglep3-reporting\EC\2016-12-29-refined-times.txt</v>
      </c>
      <c r="AI110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{"issue":{"subject":"","project_id":79,"tracker_id":40,"status_id":1,"priority_id":2,"assigned_to_id":23,"start_date":"2016-12-29","description":"","custom_fields":[{"id":1,"name":"Subdivision","value":"EC"},{"id":4,"name":"Milepost","value":"23.3298"},{"id":17,"name":"Train ID","value":"201-29"},{"id":16,"name":"Locomotive ID","value":"4042"},{"id":130,"name":"Impact","value":""},{"id":150,"name":"Time of Event (Mountain Time)","value":"16:55:01"},{"id":151,"name":"Denver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22"/>
        <v>start /low /b %USERPROFILE%\Documents\GitHub\eaglep3\Utilities\DownloadLogsFromS3.py --loco 4042 --day 2016-12-29</v>
      </c>
    </row>
    <row r="111" spans="1:91" s="21" customFormat="1" x14ac:dyDescent="0.25">
      <c r="A111" s="34" t="s">
        <v>451</v>
      </c>
      <c r="B111" s="7">
        <v>4041</v>
      </c>
      <c r="C111" s="22" t="s">
        <v>205</v>
      </c>
      <c r="D111" s="22" t="s">
        <v>701</v>
      </c>
      <c r="E111" s="13">
        <v>42733.711805555555</v>
      </c>
      <c r="F111" s="13">
        <v>42733.716111111113</v>
      </c>
      <c r="G111" s="7">
        <v>1</v>
      </c>
      <c r="H111" s="22" t="s">
        <v>258</v>
      </c>
      <c r="I111" s="13">
        <v>42733.746550925927</v>
      </c>
      <c r="J111" s="7">
        <v>0</v>
      </c>
      <c r="K111" s="105" t="str">
        <f t="shared" si="23"/>
        <v>4041/4042</v>
      </c>
      <c r="L111" s="22" t="str">
        <f>VLOOKUP(A111,'Trips&amp;Operators'!$C$1:$G$99999,5,FALSE)</f>
        <v>CLARK KATHLEEN</v>
      </c>
      <c r="M111" s="6">
        <f t="shared" si="24"/>
        <v>3.0439814814599231E-2</v>
      </c>
      <c r="N111" s="7">
        <f t="shared" si="37"/>
        <v>43.833333333022892</v>
      </c>
      <c r="O111" s="7"/>
      <c r="P111" s="7"/>
      <c r="Q111" s="23"/>
      <c r="R111" s="23"/>
      <c r="S111" s="32">
        <f t="shared" si="25"/>
        <v>1</v>
      </c>
      <c r="T111" s="47" t="str">
        <f t="shared" si="26"/>
        <v>Southbound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16:05:00-700',mode:absolute,to:'2016-12-29 18:55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1" s="49" t="str">
        <f t="shared" si="28"/>
        <v>N</v>
      </c>
      <c r="X111" s="173">
        <f t="shared" si="38"/>
        <v>1</v>
      </c>
      <c r="Y111" s="64">
        <f t="shared" si="29"/>
        <v>23.298300000000001</v>
      </c>
      <c r="Z111" s="64">
        <f t="shared" si="30"/>
        <v>1.6E-2</v>
      </c>
      <c r="AA111" s="64">
        <f t="shared" si="31"/>
        <v>23.282300000000003</v>
      </c>
      <c r="AB111" s="61" t="str">
        <f>VLOOKUP(A111,Enforcements!$C$7:$K$19,8,0)</f>
        <v>Bulletin (2)</v>
      </c>
      <c r="AC111" s="57" t="str">
        <f>VLOOKUP(A111,Enforcements!$C$7:$E$19,3,0)</f>
        <v>TEMPORARY SPEED RESTRICTION</v>
      </c>
      <c r="AD111" s="58" t="str">
        <f t="shared" si="32"/>
        <v>0202-29</v>
      </c>
      <c r="AE111" s="87" t="str">
        <f t="shared" si="33"/>
        <v>aws s3 cp s3://rtdc.mdm.uploadarchive.raw/RTDC4041/ "%USERPROFILE%\AppData\Local\Temp\OnboardLogs"\RTDC4041\2016-12-29 --exclude "*" --recursive --include "*20161229*" &amp; "%USERPROFILE%\Documents\GitHub\mrs-test-scripts\Headless Mode &amp; Sideloading\WalkAndUnGZ.bat" "%USERPROFILE%\AppData\Local\Temp\OnboardLogs"\RTDC4041\2016-12-29 &amp; aws s3 cp s3://rtdc.mdm.uploadarchive.raw/RTDC4041/ "%USERPROFILE%\AppData\Local\Temp\OnboardLogs"\RTDC4041\2016-12-30 --exclude "*" --recursive --include "*20161230*" &amp; "%USERPROFILE%\Documents\GitHub\mrs-test-scripts\Headless Mode &amp; Sideloading\WalkAndUnGZ.bat" "%USERPROFILE%\AppData\Local\Temp\OnboardLogs"\RTDC4041\2016-12-30</v>
      </c>
      <c r="AF111" s="84" t="str">
        <f t="shared" si="34"/>
        <v>"C:\Program Files (x86)\AstroGrep\AstroGrep.exe" /spath="%USERPROFILE%\AppData\Local\Temp\OnboardLogs" /stypes="app*4041*20161230*" /stext=" 00:.+((SYSTEM_STATE.+slice.+state.+changed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88" t="str">
        <f t="shared" si="20"/>
        <v>"%USERPROFILE%\Documents\GitHub\eaglep3\Utilities\RefineRTDCRunTimes.py" --tripid 202-29 --locoid 4041 --swversion DE.1.0.8.0 --startMP 204:232983 --initTime 2016-12-29T17:05:00 --startdatetime 2016-12-29T17:11:12 --delay 1 --endMP 204:160 --enddatetime 2016-12-29T17:55:02 --enforcementcount 0 &gt;&gt;C:\Users\stu\Documents\GitHub\eaglep3-reporting\EC\2016-12-29-refined-times.txt</v>
      </c>
      <c r="AI111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{"issue":{"subject":"","project_id":79,"tracker_id":40,"status_id":1,"priority_id":2,"assigned_to_id":23,"start_date":"2016-12-29","description":"","custom_fields":[{"id":1,"name":"Subdivision","value":"EC"},{"id":4,"name":"Milepost","value":"0.016"},{"id":17,"name":"Train ID","value":"202-29"},{"id":16,"name":"Locomotive ID","value":"4041"},{"id":130,"name":"Impact","value":""},{"id":150,"name":"Time of Event (Mountain Time)","value":"17:55:02"},{"id":151,"name":"Denver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22"/>
        <v>start /low /b %USERPROFILE%\Documents\GitHub\eaglep3\Utilities\DownloadLogsFromS3.py --loco 4041 --day 2016-12-29</v>
      </c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611</v>
      </c>
      <c r="B112" s="7">
        <v>4002</v>
      </c>
      <c r="C112" s="22" t="s">
        <v>205</v>
      </c>
      <c r="D112" s="22" t="s">
        <v>320</v>
      </c>
      <c r="E112" s="13">
        <v>42733.683634259258</v>
      </c>
      <c r="F112" s="13">
        <v>42733.687754629631</v>
      </c>
      <c r="G112" s="7">
        <v>1</v>
      </c>
      <c r="H112" s="22" t="s">
        <v>294</v>
      </c>
      <c r="I112" s="13">
        <v>42733.712905092594</v>
      </c>
      <c r="J112" s="7">
        <v>0</v>
      </c>
      <c r="K112" s="105" t="str">
        <f t="shared" si="23"/>
        <v>4001/4002</v>
      </c>
      <c r="L112" s="22" t="str">
        <f>VLOOKUP(A112,'Trips&amp;Operators'!$C$1:$G$99999,5,FALSE)</f>
        <v>KILLION DAVID</v>
      </c>
      <c r="M112" s="6">
        <f t="shared" si="24"/>
        <v>2.5150462963210884E-2</v>
      </c>
      <c r="N112" s="7">
        <f t="shared" si="37"/>
        <v>36.216666667023674</v>
      </c>
      <c r="O112" s="7"/>
      <c r="P112" s="7"/>
      <c r="Q112" s="23"/>
      <c r="R112" s="23"/>
      <c r="S112" s="32">
        <f t="shared" si="25"/>
        <v>1</v>
      </c>
      <c r="T112" s="47" t="str">
        <f t="shared" si="26"/>
        <v>NorthBound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15:24:26-700',mode:absolute,to:'2016-12-29 18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2" s="49" t="str">
        <f t="shared" si="28"/>
        <v>N</v>
      </c>
      <c r="X112" s="173">
        <f t="shared" si="38"/>
        <v>1</v>
      </c>
      <c r="Y112" s="64">
        <f t="shared" si="29"/>
        <v>4.5699999999999998E-2</v>
      </c>
      <c r="Z112" s="64">
        <f t="shared" si="30"/>
        <v>23.330100000000002</v>
      </c>
      <c r="AA112" s="64">
        <f t="shared" si="31"/>
        <v>23.284400000000002</v>
      </c>
      <c r="AB112" s="61" t="e">
        <f>VLOOKUP(A112,Enforcements!$C$7:$K$19,8,0)</f>
        <v>#N/A</v>
      </c>
      <c r="AC112" s="57" t="e">
        <f>VLOOKUP(A112,Enforcements!$C$7:$E$19,3,0)</f>
        <v>#N/A</v>
      </c>
      <c r="AD112" s="58" t="str">
        <f t="shared" si="32"/>
        <v>0203-29</v>
      </c>
      <c r="AE112" s="87" t="str">
        <f t="shared" si="33"/>
        <v>aws s3 cp s3://rtdc.mdm.uploadarchive.raw/RTDC4002/ "%USERPROFILE%\AppData\Local\Temp\OnboardLogs"\RTDC4002\2016-12-29 --exclude "*" --recursive --include "*20161229*" &amp; "%USERPROFILE%\Documents\GitHub\mrs-test-scripts\Headless Mode &amp; Sideloading\WalkAndUnGZ.bat" "%USERPROFILE%\AppData\Local\Temp\OnboardLogs"\RTDC4002\2016-12-29 &amp; aws s3 cp s3://rtdc.mdm.uploadarchive.raw/RTDC4002/ "%USERPROFILE%\AppData\Local\Temp\OnboardLogs"\RTDC4002\2016-12-30 --exclude "*" --recursive --include "*20161230*" &amp; "%USERPROFILE%\Documents\GitHub\mrs-test-scripts\Headless Mode &amp; Sideloading\WalkAndUnGZ.bat" "%USERPROFILE%\AppData\Local\Temp\OnboardLogs"\RTDC4002\2016-12-30</v>
      </c>
      <c r="AF112" s="84" t="str">
        <f t="shared" si="34"/>
        <v>"C:\Program Files (x86)\AstroGrep\AstroGrep.exe" /spath="%USERPROFILE%\AppData\Local\Temp\OnboardLogs" /stypes="app*4002*20161230*" /stext=" 00:.+((SYSTEM_STATE.+slice.+state.+changed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88" t="str">
        <f t="shared" si="20"/>
        <v>"%USERPROFILE%\Documents\GitHub\eaglep3\Utilities\RefineRTDCRunTimes.py" --tripid 203-29 --locoid 4002 --swversion DE.1.0.8.0 --startMP 204:457 --initTime 2016-12-29T16:24:26 --startdatetime 2016-12-29T16:30:22 --delay 1 --endMP 204:233301 --enddatetime 2016-12-29T17:06:35 --enforcementcount 0 &gt;&gt;C:\Users\stu\Documents\GitHub\eaglep3-reporting\EC\2016-12-29-refined-times.txt</v>
      </c>
      <c r="AI112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{"issue":{"subject":"","project_id":79,"tracker_id":40,"status_id":1,"priority_id":2,"assigned_to_id":23,"start_date":"2016-12-29","description":"","custom_fields":[{"id":1,"name":"Subdivision","value":"EC"},{"id":4,"name":"Milepost","value":"23.3301"},{"id":17,"name":"Train ID","value":"203-29"},{"id":16,"name":"Locomotive ID","value":"4002"},{"id":130,"name":"Impact","value":""},{"id":150,"name":"Time of Event (Mountain Time)","value":"17:06:35"},{"id":151,"name":"Denver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22"/>
        <v>start /low /b %USERPROFILE%\Documents\GitHub\eaglep3\Utilities\DownloadLogsFromS3.py --loco 4002 --day 2016-12-29</v>
      </c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622</v>
      </c>
      <c r="B113" s="7">
        <v>4001</v>
      </c>
      <c r="C113" s="22" t="s">
        <v>205</v>
      </c>
      <c r="D113" s="22" t="s">
        <v>397</v>
      </c>
      <c r="E113" s="13">
        <v>42733.718645833331</v>
      </c>
      <c r="F113" s="13">
        <v>42733.726666666669</v>
      </c>
      <c r="G113" s="7">
        <v>1</v>
      </c>
      <c r="H113" s="22" t="s">
        <v>192</v>
      </c>
      <c r="I113" s="13">
        <v>42733.754583333335</v>
      </c>
      <c r="J113" s="7">
        <v>0</v>
      </c>
      <c r="K113" s="105" t="str">
        <f t="shared" si="23"/>
        <v>4001/4002</v>
      </c>
      <c r="L113" s="22" t="str">
        <f>VLOOKUP(A113,'Trips&amp;Operators'!$C$1:$G$99999,5,FALSE)</f>
        <v>KILLION DAVID</v>
      </c>
      <c r="M113" s="6">
        <f t="shared" si="24"/>
        <v>2.7916666665987577E-2</v>
      </c>
      <c r="N113" s="7">
        <f t="shared" si="37"/>
        <v>40.199999999022111</v>
      </c>
      <c r="O113" s="7"/>
      <c r="P113" s="7"/>
      <c r="Q113" s="23"/>
      <c r="R113" s="23"/>
      <c r="S113" s="32">
        <f t="shared" si="25"/>
        <v>1</v>
      </c>
      <c r="T113" s="47" t="str">
        <f t="shared" si="26"/>
        <v>Southbound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16:14:51-700',mode:absolute,to:'2016-12-29 19:06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3" s="49" t="str">
        <f t="shared" si="28"/>
        <v>N</v>
      </c>
      <c r="X113" s="173">
        <f t="shared" si="38"/>
        <v>1</v>
      </c>
      <c r="Y113" s="64">
        <f t="shared" si="29"/>
        <v>23.296900000000001</v>
      </c>
      <c r="Z113" s="64">
        <f t="shared" si="30"/>
        <v>1.43E-2</v>
      </c>
      <c r="AA113" s="64">
        <f t="shared" si="31"/>
        <v>23.282600000000002</v>
      </c>
      <c r="AB113" s="61" t="e">
        <f>VLOOKUP(A113,Enforcements!$C$7:$K$19,8,0)</f>
        <v>#N/A</v>
      </c>
      <c r="AC113" s="57" t="e">
        <f>VLOOKUP(A113,Enforcements!$C$7:$E$19,3,0)</f>
        <v>#N/A</v>
      </c>
      <c r="AD113" s="58" t="str">
        <f t="shared" si="32"/>
        <v>0204-29</v>
      </c>
      <c r="AE113" s="87" t="str">
        <f t="shared" si="33"/>
        <v>aws s3 cp s3://rtdc.mdm.uploadarchive.raw/RTDC4001/ "%USERPROFILE%\AppData\Local\Temp\OnboardLogs"\RTDC4001\2016-12-29 --exclude "*" --recursive --include "*20161229*" &amp; "%USERPROFILE%\Documents\GitHub\mrs-test-scripts\Headless Mode &amp; Sideloading\WalkAndUnGZ.bat" "%USERPROFILE%\AppData\Local\Temp\OnboardLogs"\RTDC4001\2016-12-29 &amp; aws s3 cp s3://rtdc.mdm.uploadarchive.raw/RTDC4001/ "%USERPROFILE%\AppData\Local\Temp\OnboardLogs"\RTDC4001\2016-12-30 --exclude "*" --recursive --include "*20161230*" &amp; "%USERPROFILE%\Documents\GitHub\mrs-test-scripts\Headless Mode &amp; Sideloading\WalkAndUnGZ.bat" "%USERPROFILE%\AppData\Local\Temp\OnboardLogs"\RTDC4001\2016-12-30</v>
      </c>
      <c r="AF113" s="84" t="str">
        <f t="shared" si="34"/>
        <v>"C:\Program Files (x86)\AstroGrep\AstroGrep.exe" /spath="%USERPROFILE%\AppData\Local\Temp\OnboardLogs" /stypes="app*4001*20161230*" /stext=" 01:.+((SYSTEM_STATE.+slice.+state.+changed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88" t="str">
        <f t="shared" si="20"/>
        <v>"%USERPROFILE%\Documents\GitHub\eaglep3\Utilities\RefineRTDCRunTimes.py" --tripid 204-29 --locoid 4001 --swversion DE.1.0.8.0 --startMP 204:232969 --initTime 2016-12-29T17:14:51 --startdatetime 2016-12-29T17:26:24 --delay 1 --endMP 204:143 --enddatetime 2016-12-29T18:06:36 --enforcementcount 0 &gt;&gt;C:\Users\stu\Documents\GitHub\eaglep3-reporting\EC\2016-12-29-refined-times.txt</v>
      </c>
      <c r="AI113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{"issue":{"subject":"","project_id":79,"tracker_id":40,"status_id":1,"priority_id":2,"assigned_to_id":23,"start_date":"2016-12-29","description":"","custom_fields":[{"id":1,"name":"Subdivision","value":"EC"},{"id":4,"name":"Milepost","value":"0.0143"},{"id":17,"name":"Train ID","value":"204-29"},{"id":16,"name":"Locomotive ID","value":"4001"},{"id":130,"name":"Impact","value":""},{"id":150,"name":"Time of Event (Mountain Time)","value":"18:06:36"},{"id":151,"name":"Denver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22"/>
        <v>start /low /b %USERPROFILE%\Documents\GitHub\eaglep3\Utilities\DownloadLogsFromS3.py --loco 4001 --day 2016-12-29</v>
      </c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613</v>
      </c>
      <c r="B114" s="7">
        <v>4014</v>
      </c>
      <c r="C114" s="22" t="s">
        <v>205</v>
      </c>
      <c r="D114" s="22" t="s">
        <v>405</v>
      </c>
      <c r="E114" s="13">
        <v>42733.694733796299</v>
      </c>
      <c r="F114" s="13">
        <v>42733.698206018518</v>
      </c>
      <c r="G114" s="7">
        <v>1</v>
      </c>
      <c r="H114" s="22" t="s">
        <v>356</v>
      </c>
      <c r="I114" s="13">
        <v>42733.723981481482</v>
      </c>
      <c r="J114" s="7">
        <v>0</v>
      </c>
      <c r="K114" s="105" t="str">
        <f t="shared" si="23"/>
        <v>4013/4014</v>
      </c>
      <c r="L114" s="22" t="str">
        <f>VLOOKUP(A114,'Trips&amp;Operators'!$C$1:$G$99999,5,FALSE)</f>
        <v>BRUDER RICHARD</v>
      </c>
      <c r="M114" s="6">
        <f t="shared" si="24"/>
        <v>2.5775462963792961E-2</v>
      </c>
      <c r="N114" s="7">
        <f t="shared" si="37"/>
        <v>37.116666667861864</v>
      </c>
      <c r="O114" s="7"/>
      <c r="P114" s="7"/>
      <c r="Q114" s="23"/>
      <c r="R114" s="23"/>
      <c r="S114" s="32">
        <f t="shared" si="25"/>
        <v>1</v>
      </c>
      <c r="T114" s="47" t="str">
        <f t="shared" si="26"/>
        <v>NorthBound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15:40:25-700',mode:absolute,to:'2016-12-29 18:22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4" s="49" t="str">
        <f t="shared" si="28"/>
        <v>N</v>
      </c>
      <c r="X114" s="173">
        <f t="shared" si="38"/>
        <v>1</v>
      </c>
      <c r="Y114" s="64">
        <f t="shared" si="29"/>
        <v>4.8599999999999997E-2</v>
      </c>
      <c r="Z114" s="64">
        <f t="shared" si="30"/>
        <v>23.331</v>
      </c>
      <c r="AA114" s="64">
        <f t="shared" si="31"/>
        <v>23.282399999999999</v>
      </c>
      <c r="AB114" s="61" t="e">
        <f>VLOOKUP(A114,Enforcements!$C$7:$K$19,8,0)</f>
        <v>#N/A</v>
      </c>
      <c r="AC114" s="57" t="e">
        <f>VLOOKUP(A114,Enforcements!$C$7:$E$19,3,0)</f>
        <v>#N/A</v>
      </c>
      <c r="AD114" s="58" t="str">
        <f t="shared" si="32"/>
        <v>0205-29</v>
      </c>
      <c r="AE114" s="87" t="str">
        <f t="shared" si="33"/>
        <v>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 &amp; aws s3 cp s3://rtdc.mdm.uploadarchive.raw/RTDC4014/ "%USERPROFILE%\AppData\Local\Temp\OnboardLogs"\RTDC4014\2016-12-30 --exclude "*" --recursive --include "*20161230*" &amp; "%USERPROFILE%\Documents\GitHub\mrs-test-scripts\Headless Mode &amp; Sideloading\WalkAndUnGZ.bat" "%USERPROFILE%\AppData\Local\Temp\OnboardLogs"\RTDC4014\2016-12-30</v>
      </c>
      <c r="AF114" s="84" t="str">
        <f t="shared" si="34"/>
        <v>"C:\Program Files (x86)\AstroGrep\AstroGrep.exe" /spath="%USERPROFILE%\AppData\Local\Temp\OnboardLogs" /stypes="app*4014*20161230*" /stext=" 00:.+((SYSTEM_STATE.+slice.+state.+changed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88" t="str">
        <f t="shared" si="20"/>
        <v>"%USERPROFILE%\Documents\GitHub\eaglep3\Utilities\RefineRTDCRunTimes.py" --tripid 205-29 --locoid 4014 --swversion DE.1.0.8.0 --startMP 204:486 --initTime 2016-12-29T16:40:25 --startdatetime 2016-12-29T16:45:25 --delay 1 --endMP 204:233310 --enddatetime 2016-12-29T17:22:32 --enforcementcount 0 &gt;&gt;C:\Users\stu\Documents\GitHub\eaglep3-reporting\EC\2016-12-29-refined-times.txt</v>
      </c>
      <c r="AI114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{"issue":{"subject":"","project_id":79,"tracker_id":40,"status_id":1,"priority_id":2,"assigned_to_id":23,"start_date":"2016-12-29","description":"","custom_fields":[{"id":1,"name":"Subdivision","value":"EC"},{"id":4,"name":"Milepost","value":"23.331"},{"id":17,"name":"Train ID","value":"205-29"},{"id":16,"name":"Locomotive ID","value":"4014"},{"id":130,"name":"Impact","value":""},{"id":150,"name":"Time of Event (Mountain Time)","value":"17:22:32"},{"id":151,"name":"Denver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22"/>
        <v>start /low /b %USERPROFILE%\Documents\GitHub\eaglep3\Utilities\DownloadLogsFromS3.py --loco 4014 --day 2016-12-29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625</v>
      </c>
      <c r="B115" s="7">
        <v>4013</v>
      </c>
      <c r="C115" s="22" t="s">
        <v>205</v>
      </c>
      <c r="D115" s="22" t="s">
        <v>328</v>
      </c>
      <c r="E115" s="13">
        <v>42733.72996527778</v>
      </c>
      <c r="F115" s="13">
        <v>42733.737002314818</v>
      </c>
      <c r="G115" s="7">
        <v>1</v>
      </c>
      <c r="H115" s="22" t="s">
        <v>254</v>
      </c>
      <c r="I115" s="13">
        <v>42733.765023148146</v>
      </c>
      <c r="J115" s="7">
        <v>0</v>
      </c>
      <c r="K115" s="105" t="str">
        <f t="shared" si="23"/>
        <v>4013/4014</v>
      </c>
      <c r="L115" s="22" t="str">
        <f>VLOOKUP(A115,'Trips&amp;Operators'!$C$1:$G$99999,5,FALSE)</f>
        <v>BRUDER RICHARD</v>
      </c>
      <c r="M115" s="6">
        <f t="shared" si="24"/>
        <v>2.8020833327900618E-2</v>
      </c>
      <c r="N115" s="7">
        <f t="shared" si="37"/>
        <v>40.34999999217689</v>
      </c>
      <c r="O115" s="7"/>
      <c r="P115" s="7"/>
      <c r="Q115" s="23"/>
      <c r="R115" s="23"/>
      <c r="S115" s="32">
        <f t="shared" si="25"/>
        <v>1</v>
      </c>
      <c r="T115" s="47" t="str">
        <f t="shared" si="26"/>
        <v>Southbound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16:31:09-700',mode:absolute,to:'2016-12-29 19:21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5" s="49" t="str">
        <f t="shared" si="28"/>
        <v>N</v>
      </c>
      <c r="X115" s="173">
        <f t="shared" si="38"/>
        <v>1</v>
      </c>
      <c r="Y115" s="64">
        <f t="shared" si="29"/>
        <v>23.2989</v>
      </c>
      <c r="Z115" s="64">
        <f t="shared" si="30"/>
        <v>1.47E-2</v>
      </c>
      <c r="AA115" s="64">
        <f t="shared" si="31"/>
        <v>23.284199999999998</v>
      </c>
      <c r="AB115" s="61" t="e">
        <f>VLOOKUP(A115,Enforcements!$C$7:$K$19,8,0)</f>
        <v>#N/A</v>
      </c>
      <c r="AC115" s="57" t="e">
        <f>VLOOKUP(A115,Enforcements!$C$7:$E$19,3,0)</f>
        <v>#N/A</v>
      </c>
      <c r="AD115" s="58" t="str">
        <f t="shared" si="32"/>
        <v>0206-29</v>
      </c>
      <c r="AE115" s="87" t="str">
        <f t="shared" si="33"/>
        <v>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 &amp; aws s3 cp s3://rtdc.mdm.uploadarchive.raw/RTDC4013/ "%USERPROFILE%\AppData\Local\Temp\OnboardLogs"\RTDC4013\2016-12-30 --exclude "*" --recursive --include "*20161230*" &amp; "%USERPROFILE%\Documents\GitHub\mrs-test-scripts\Headless Mode &amp; Sideloading\WalkAndUnGZ.bat" "%USERPROFILE%\AppData\Local\Temp\OnboardLogs"\RTDC4013\2016-12-30</v>
      </c>
      <c r="AF115" s="84" t="str">
        <f t="shared" si="34"/>
        <v>"C:\Program Files (x86)\AstroGrep\AstroGrep.exe" /spath="%USERPROFILE%\AppData\Local\Temp\OnboardLogs" /stypes="app*4013*20161230*" /stext=" 01:.+((SYSTEM_STATE.+slice.+state.+changed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88" t="str">
        <f t="shared" si="20"/>
        <v>"%USERPROFILE%\Documents\GitHub\eaglep3\Utilities\RefineRTDCRunTimes.py" --tripid 206-29 --locoid 4013 --swversion DE.1.0.8.0 --startMP 204:232989 --initTime 2016-12-29T17:31:09 --startdatetime 2016-12-29T17:41:17 --delay 1 --endMP 204:147 --enddatetime 2016-12-29T18:21:38 --enforcementcount 0 &gt;&gt;C:\Users\stu\Documents\GitHub\eaglep3-reporting\EC\2016-12-29-refined-times.txt</v>
      </c>
      <c r="AI115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{"issue":{"subject":"","project_id":79,"tracker_id":40,"status_id":1,"priority_id":2,"assigned_to_id":23,"start_date":"2016-12-29","description":"","custom_fields":[{"id":1,"name":"Subdivision","value":"EC"},{"id":4,"name":"Milepost","value":"0.0147"},{"id":17,"name":"Train ID","value":"206-29"},{"id":16,"name":"Locomotive ID","value":"4013"},{"id":130,"name":"Impact","value":""},{"id":150,"name":"Time of Event (Mountain Time)","value":"18:21:38"},{"id":151,"name":"Denver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22"/>
        <v>start /low /b %USERPROFILE%\Documents\GitHub\eaglep3\Utilities\DownloadLogsFromS3.py --loco 4013 --day 2016-12-29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616</v>
      </c>
      <c r="B116" s="7">
        <v>4031</v>
      </c>
      <c r="C116" s="22" t="s">
        <v>205</v>
      </c>
      <c r="D116" s="22" t="s">
        <v>698</v>
      </c>
      <c r="E116" s="13">
        <v>42733.704699074071</v>
      </c>
      <c r="F116" s="13">
        <v>42733.708564814813</v>
      </c>
      <c r="G116" s="7">
        <v>1</v>
      </c>
      <c r="H116" s="22" t="s">
        <v>295</v>
      </c>
      <c r="I116" s="13">
        <v>42733.733634259261</v>
      </c>
      <c r="J116" s="7">
        <v>0</v>
      </c>
      <c r="K116" s="105" t="str">
        <f t="shared" si="23"/>
        <v>4031/4032</v>
      </c>
      <c r="L116" s="22" t="str">
        <f>VLOOKUP(A116,'Trips&amp;Operators'!$C$1:$G$99999,5,FALSE)</f>
        <v>SMITH MICHAEL</v>
      </c>
      <c r="M116" s="6">
        <f t="shared" si="24"/>
        <v>2.5069444447581191E-2</v>
      </c>
      <c r="N116" s="7">
        <f t="shared" si="37"/>
        <v>36.100000004516914</v>
      </c>
      <c r="O116" s="7"/>
      <c r="P116" s="7"/>
      <c r="Q116" s="23"/>
      <c r="R116" s="23"/>
      <c r="S116" s="32">
        <f t="shared" si="25"/>
        <v>1</v>
      </c>
      <c r="T116" s="47" t="str">
        <f t="shared" si="26"/>
        <v>NorthBound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15:54:46-700',mode:absolute,to:'2016-12-29 18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6" s="49" t="str">
        <f t="shared" si="28"/>
        <v>N</v>
      </c>
      <c r="X116" s="173">
        <f t="shared" si="38"/>
        <v>1</v>
      </c>
      <c r="Y116" s="64">
        <f t="shared" si="29"/>
        <v>4.7300000000000002E-2</v>
      </c>
      <c r="Z116" s="64">
        <f t="shared" si="30"/>
        <v>23.329699999999999</v>
      </c>
      <c r="AA116" s="64">
        <f t="shared" si="31"/>
        <v>23.282399999999999</v>
      </c>
      <c r="AB116" s="61" t="e">
        <f>VLOOKUP(A116,Enforcements!$C$7:$K$19,8,0)</f>
        <v>#N/A</v>
      </c>
      <c r="AC116" s="57" t="e">
        <f>VLOOKUP(A116,Enforcements!$C$7:$E$19,3,0)</f>
        <v>#N/A</v>
      </c>
      <c r="AD116" s="58" t="str">
        <f t="shared" si="32"/>
        <v>0207-29</v>
      </c>
      <c r="AE116" s="87" t="str">
        <f t="shared" si="33"/>
        <v>aws s3 cp s3://rtdc.mdm.uploadarchive.raw/RTDC4031/ "%USERPROFILE%\AppData\Local\Temp\OnboardLogs"\RTDC4031\2016-12-29 --exclude "*" --recursive --include "*20161229*" &amp; "%USERPROFILE%\Documents\GitHub\mrs-test-scripts\Headless Mode &amp; Sideloading\WalkAndUnGZ.bat" "%USERPROFILE%\AppData\Local\Temp\OnboardLogs"\RTDC4031\2016-12-29 &amp; 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</v>
      </c>
      <c r="AF116" s="84" t="str">
        <f t="shared" si="34"/>
        <v>"C:\Program Files (x86)\AstroGrep\AstroGrep.exe" /spath="%USERPROFILE%\AppData\Local\Temp\OnboardLogs" /stypes="app*4031*20161230*" /stext=" 00:.+((SYSTEM_STATE.+slice.+state.+changed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88" t="str">
        <f t="shared" si="20"/>
        <v>"%USERPROFILE%\Documents\GitHub\eaglep3\Utilities\RefineRTDCRunTimes.py" --tripid 207-29 --locoid 4031 --swversion DE.1.0.8.0 --startMP 204:473 --initTime 2016-12-29T16:54:46 --startdatetime 2016-12-29T17:00:20 --delay 1 --endMP 204:233297 --enddatetime 2016-12-29T17:36:26 --enforcementcount 0 &gt;&gt;C:\Users\stu\Documents\GitHub\eaglep3-reporting\EC\2016-12-29-refined-times.txt</v>
      </c>
      <c r="AI116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{"issue":{"subject":"","project_id":79,"tracker_id":40,"status_id":1,"priority_id":2,"assigned_to_id":23,"start_date":"2016-12-29","description":"","custom_fields":[{"id":1,"name":"Subdivision","value":"EC"},{"id":4,"name":"Milepost","value":"23.3297"},{"id":17,"name":"Train ID","value":"207-29"},{"id":16,"name":"Locomotive ID","value":"4031"},{"id":130,"name":"Impact","value":""},{"id":150,"name":"Time of Event (Mountain Time)","value":"17:36:26"},{"id":151,"name":"Denver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22"/>
        <v>start /low /b %USERPROFILE%\Documents\GitHub\eaglep3\Utilities\DownloadLogsFromS3.py --loco 4031 --day 2016-12-29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628</v>
      </c>
      <c r="B117" s="7">
        <v>4032</v>
      </c>
      <c r="C117" s="22" t="s">
        <v>205</v>
      </c>
      <c r="D117" s="22" t="s">
        <v>273</v>
      </c>
      <c r="E117" s="13">
        <v>42733.738854166666</v>
      </c>
      <c r="F117" s="13">
        <v>42733.747465277775</v>
      </c>
      <c r="G117" s="7">
        <v>1</v>
      </c>
      <c r="H117" s="22" t="s">
        <v>359</v>
      </c>
      <c r="I117" s="13">
        <v>42733.778726851851</v>
      </c>
      <c r="J117" s="7">
        <v>0</v>
      </c>
      <c r="K117" s="105" t="str">
        <f t="shared" si="23"/>
        <v>4031/4032</v>
      </c>
      <c r="L117" s="22" t="str">
        <f>VLOOKUP(A117,'Trips&amp;Operators'!$C$1:$G$99999,5,FALSE)</f>
        <v>SMITH MICHAEL</v>
      </c>
      <c r="M117" s="6">
        <f t="shared" si="24"/>
        <v>3.1261574076779652E-2</v>
      </c>
      <c r="N117" s="7">
        <f t="shared" si="37"/>
        <v>45.016666670562699</v>
      </c>
      <c r="O117" s="7"/>
      <c r="P117" s="7"/>
      <c r="Q117" s="23"/>
      <c r="R117" s="23"/>
      <c r="S117" s="32">
        <f t="shared" si="25"/>
        <v>1</v>
      </c>
      <c r="T117" s="47" t="str">
        <f t="shared" si="26"/>
        <v>Southbound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16:43:57-700',mode:absolute,to:'2016-12-29 19:41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7" s="49" t="str">
        <f t="shared" si="28"/>
        <v>N</v>
      </c>
      <c r="X117" s="173">
        <f t="shared" si="38"/>
        <v>1</v>
      </c>
      <c r="Y117" s="64">
        <f t="shared" si="29"/>
        <v>23.2973</v>
      </c>
      <c r="Z117" s="64">
        <f t="shared" si="30"/>
        <v>1.7399999999999999E-2</v>
      </c>
      <c r="AA117" s="64">
        <f t="shared" si="31"/>
        <v>23.279900000000001</v>
      </c>
      <c r="AB117" s="61" t="e">
        <f>VLOOKUP(A117,Enforcements!$C$7:$K$19,8,0)</f>
        <v>#N/A</v>
      </c>
      <c r="AC117" s="57" t="e">
        <f>VLOOKUP(A117,Enforcements!$C$7:$E$19,3,0)</f>
        <v>#N/A</v>
      </c>
      <c r="AD117" s="58" t="str">
        <f t="shared" si="32"/>
        <v>0208-29</v>
      </c>
      <c r="AE117" s="87" t="str">
        <f t="shared" si="33"/>
        <v>aws s3 cp s3://rtdc.mdm.uploadarchive.raw/RTDC4032/ "%USERPROFILE%\AppData\Local\Temp\OnboardLogs"\RTDC4032\2016-12-29 --exclude "*" --recursive --include "*20161229*" &amp; "%USERPROFILE%\Documents\GitHub\mrs-test-scripts\Headless Mode &amp; Sideloading\WalkAndUnGZ.bat" "%USERPROFILE%\AppData\Local\Temp\OnboardLogs"\RTDC4032\2016-12-29 &amp; 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</v>
      </c>
      <c r="AF117" s="84" t="str">
        <f t="shared" si="34"/>
        <v>"C:\Program Files (x86)\AstroGrep\AstroGrep.exe" /spath="%USERPROFILE%\AppData\Local\Temp\OnboardLogs" /stypes="app*4032*20161230*" /stext=" 01:.+((SYSTEM_STATE.+slice.+state.+changed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88" t="str">
        <f t="shared" si="20"/>
        <v>"%USERPROFILE%\Documents\GitHub\eaglep3\Utilities\RefineRTDCRunTimes.py" --tripid 208-29 --locoid 4032 --swversion DE.1.0.8.0 --startMP 204:232973 --initTime 2016-12-29T17:43:57 --startdatetime 2016-12-29T17:56:21 --delay 1 --endMP 204:174 --enddatetime 2016-12-29T18:41:22 --enforcementcount 0 &gt;&gt;C:\Users\stu\Documents\GitHub\eaglep3-reporting\EC\2016-12-29-refined-times.txt</v>
      </c>
      <c r="AI117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{"issue":{"subject":"","project_id":79,"tracker_id":40,"status_id":1,"priority_id":2,"assigned_to_id":23,"start_date":"2016-12-29","description":"","custom_fields":[{"id":1,"name":"Subdivision","value":"EC"},{"id":4,"name":"Milepost","value":"0.0174"},{"id":17,"name":"Train ID","value":"208-29"},{"id":16,"name":"Locomotive ID","value":"4032"},{"id":130,"name":"Impact","value":""},{"id":150,"name":"Time of Event (Mountain Time)","value":"18:41:22"},{"id":151,"name":"Denver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22"/>
        <v>start /low /b %USERPROFILE%\Documents\GitHub\eaglep3\Utilities\DownloadLogsFromS3.py --loco 4032 --day 2016-12-29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618</v>
      </c>
      <c r="B118" s="7">
        <v>4003</v>
      </c>
      <c r="C118" s="22" t="s">
        <v>205</v>
      </c>
      <c r="D118" s="22" t="s">
        <v>698</v>
      </c>
      <c r="E118" s="13">
        <v>42733.716643518521</v>
      </c>
      <c r="F118" s="13">
        <v>42733.718923611108</v>
      </c>
      <c r="G118" s="7">
        <v>1</v>
      </c>
      <c r="H118" s="22" t="s">
        <v>271</v>
      </c>
      <c r="I118" s="13">
        <v>42733.744872685187</v>
      </c>
      <c r="J118" s="7">
        <v>0</v>
      </c>
      <c r="K118" s="105" t="str">
        <f t="shared" si="23"/>
        <v>4003/4004</v>
      </c>
      <c r="L118" s="22" t="str">
        <f>VLOOKUP(A118,'Trips&amp;Operators'!$C$1:$G$99999,5,FALSE)</f>
        <v>LOPES KIMBERLY</v>
      </c>
      <c r="M118" s="6">
        <f t="shared" si="24"/>
        <v>2.5949074079107959E-2</v>
      </c>
      <c r="N118" s="7">
        <f t="shared" si="37"/>
        <v>37.366666673915461</v>
      </c>
      <c r="O118" s="7"/>
      <c r="P118" s="7"/>
      <c r="Q118" s="23"/>
      <c r="R118" s="23"/>
      <c r="S118" s="32">
        <f t="shared" si="25"/>
        <v>1</v>
      </c>
      <c r="T118" s="47" t="str">
        <f t="shared" si="26"/>
        <v>NorthBound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16:11:58-700',mode:absolute,to:'2016-12-29 18:52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8" s="49" t="str">
        <f t="shared" si="28"/>
        <v>N</v>
      </c>
      <c r="X118" s="173">
        <f t="shared" si="38"/>
        <v>1</v>
      </c>
      <c r="Y118" s="64">
        <f t="shared" si="29"/>
        <v>4.7300000000000002E-2</v>
      </c>
      <c r="Z118" s="64">
        <f t="shared" si="30"/>
        <v>23.329499999999999</v>
      </c>
      <c r="AA118" s="64">
        <f t="shared" si="31"/>
        <v>23.2822</v>
      </c>
      <c r="AB118" s="61" t="e">
        <f>VLOOKUP(A118,Enforcements!$C$7:$K$19,8,0)</f>
        <v>#N/A</v>
      </c>
      <c r="AC118" s="57" t="e">
        <f>VLOOKUP(A118,Enforcements!$C$7:$E$19,3,0)</f>
        <v>#N/A</v>
      </c>
      <c r="AD118" s="58" t="str">
        <f t="shared" si="32"/>
        <v>0209-29</v>
      </c>
      <c r="AE118" s="87" t="str">
        <f t="shared" si="33"/>
        <v>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 &amp; aws s3 cp s3://rtdc.mdm.uploadarchive.raw/RTDC4003/ "%USERPROFILE%\AppData\Local\Temp\OnboardLogs"\RTDC4003\2016-12-30 --exclude "*" --recursive --include "*20161230*" &amp; "%USERPROFILE%\Documents\GitHub\mrs-test-scripts\Headless Mode &amp; Sideloading\WalkAndUnGZ.bat" "%USERPROFILE%\AppData\Local\Temp\OnboardLogs"\RTDC4003\2016-12-30</v>
      </c>
      <c r="AF118" s="84" t="str">
        <f t="shared" si="34"/>
        <v>"C:\Program Files (x86)\AstroGrep\AstroGrep.exe" /spath="%USERPROFILE%\AppData\Local\Temp\OnboardLogs" /stypes="app*4003*20161230*" /stext=" 00:.+((SYSTEM_STATE.+slice.+state.+changed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88" t="str">
        <f t="shared" si="20"/>
        <v>"%USERPROFILE%\Documents\GitHub\eaglep3\Utilities\RefineRTDCRunTimes.py" --tripid 209-29 --locoid 4003 --swversion DE.1.0.8.0 --startMP 204:473 --initTime 2016-12-29T17:11:58 --startdatetime 2016-12-29T17:15:15 --delay 1 --endMP 204:233295 --enddatetime 2016-12-29T17:52:37 --enforcementcount 0 &gt;&gt;C:\Users\stu\Documents\GitHub\eaglep3-reporting\EC\2016-12-29-refined-times.txt</v>
      </c>
      <c r="AI118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{"issue":{"subject":"","project_id":79,"tracker_id":40,"status_id":1,"priority_id":2,"assigned_to_id":23,"start_date":"2016-12-29","description":"","custom_fields":[{"id":1,"name":"Subdivision","value":"EC"},{"id":4,"name":"Milepost","value":"23.3295"},{"id":17,"name":"Train ID","value":"209-29"},{"id":16,"name":"Locomotive ID","value":"4003"},{"id":130,"name":"Impact","value":""},{"id":150,"name":"Time of Event (Mountain Time)","value":"17:52:37"},{"id":151,"name":"Denver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22"/>
        <v>start /low /b %USERPROFILE%\Documents\GitHub\eaglep3\Utilities\DownloadLogsFromS3.py --loco 4003 --day 2016-12-29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457</v>
      </c>
      <c r="B119" s="7">
        <v>4004</v>
      </c>
      <c r="C119" s="22" t="s">
        <v>205</v>
      </c>
      <c r="D119" s="22" t="s">
        <v>257</v>
      </c>
      <c r="E119" s="13">
        <v>42733.747673611113</v>
      </c>
      <c r="F119" s="13">
        <v>42733.757800925923</v>
      </c>
      <c r="G119" s="7">
        <v>1</v>
      </c>
      <c r="H119" s="22" t="s">
        <v>311</v>
      </c>
      <c r="I119" s="13">
        <v>42733.786041666666</v>
      </c>
      <c r="J119" s="7">
        <v>0</v>
      </c>
      <c r="K119" s="105" t="str">
        <f t="shared" si="23"/>
        <v>4003/4004</v>
      </c>
      <c r="L119" s="22" t="str">
        <f>VLOOKUP(A119,'Trips&amp;Operators'!$C$1:$G$99999,5,FALSE)</f>
        <v>LOPES KIMBERLY</v>
      </c>
      <c r="M119" s="6">
        <f t="shared" si="24"/>
        <v>2.8240740743058268E-2</v>
      </c>
      <c r="N119" s="7">
        <f t="shared" si="37"/>
        <v>40.666666670003906</v>
      </c>
      <c r="O119" s="7"/>
      <c r="P119" s="7"/>
      <c r="Q119" s="23"/>
      <c r="R119" s="23"/>
      <c r="S119" s="32">
        <f t="shared" si="25"/>
        <v>1</v>
      </c>
      <c r="T119" s="47" t="str">
        <f t="shared" si="26"/>
        <v>Southbound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16:56:39-700',mode:absolute,to:'2016-12-29 19:51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9" s="49" t="str">
        <f t="shared" si="28"/>
        <v>N</v>
      </c>
      <c r="X119" s="173">
        <f t="shared" si="38"/>
        <v>1</v>
      </c>
      <c r="Y119" s="64">
        <f t="shared" si="29"/>
        <v>23.297699999999999</v>
      </c>
      <c r="Z119" s="64">
        <f t="shared" si="30"/>
        <v>1.41E-2</v>
      </c>
      <c r="AA119" s="64">
        <f t="shared" si="31"/>
        <v>23.2836</v>
      </c>
      <c r="AB119" s="61" t="str">
        <f>VLOOKUP(A119,Enforcements!$C$7:$K$19,8,0)</f>
        <v>Bulletin (2)</v>
      </c>
      <c r="AC119" s="57" t="str">
        <f>VLOOKUP(A119,Enforcements!$C$7:$E$19,3,0)</f>
        <v>GRADE CROSSING</v>
      </c>
      <c r="AD119" s="58" t="str">
        <f t="shared" si="32"/>
        <v>0210-29</v>
      </c>
      <c r="AE119" s="87" t="str">
        <f t="shared" si="33"/>
        <v>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 &amp; aws s3 cp s3://rtdc.mdm.uploadarchive.raw/RTDC4004/ "%USERPROFILE%\AppData\Local\Temp\OnboardLogs"\RTDC4004\2016-12-30 --exclude "*" --recursive --include "*20161230*" &amp; "%USERPROFILE%\Documents\GitHub\mrs-test-scripts\Headless Mode &amp; Sideloading\WalkAndUnGZ.bat" "%USERPROFILE%\AppData\Local\Temp\OnboardLogs"\RTDC4004\2016-12-30</v>
      </c>
      <c r="AF119" s="84" t="str">
        <f t="shared" si="34"/>
        <v>"C:\Program Files (x86)\AstroGrep\AstroGrep.exe" /spath="%USERPROFILE%\AppData\Local\Temp\OnboardLogs" /stypes="app*4004*20161230*" /stext=" 01:.+((SYSTEM_STATE.+slice.+state.+changed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88" t="str">
        <f t="shared" si="20"/>
        <v>"%USERPROFILE%\Documents\GitHub\eaglep3\Utilities\RefineRTDCRunTimes.py" --tripid 210-29 --locoid 4004 --swversion DE.1.0.8.0 --startMP 204:232977 --initTime 2016-12-29T17:56:39 --startdatetime 2016-12-29T18:11:14 --delay 1 --endMP 204:141 --enddatetime 2016-12-29T18:51:54 --enforcementcount 0 &gt;&gt;C:\Users\stu\Documents\GitHub\eaglep3-reporting\EC\2016-12-29-refined-times.txt</v>
      </c>
      <c r="AI119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{"issue":{"subject":"","project_id":79,"tracker_id":40,"status_id":1,"priority_id":2,"assigned_to_id":23,"start_date":"2016-12-29","description":"","custom_fields":[{"id":1,"name":"Subdivision","value":"EC"},{"id":4,"name":"Milepost","value":"0.0141"},{"id":17,"name":"Train ID","value":"210-29"},{"id":16,"name":"Locomotive ID","value":"4004"},{"id":130,"name":"Impact","value":""},{"id":150,"name":"Time of Event (Mountain Time)","value":"18:51:54"},{"id":151,"name":"Denver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22"/>
        <v>start /low /b %USERPROFILE%\Documents\GitHub\eaglep3\Utilities\DownloadLogsFromS3.py --loco 4004 --day 2016-12-29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624</v>
      </c>
      <c r="B120" s="7">
        <v>4018</v>
      </c>
      <c r="C120" s="22" t="s">
        <v>205</v>
      </c>
      <c r="D120" s="22" t="s">
        <v>194</v>
      </c>
      <c r="E120" s="13">
        <v>42733.727523148147</v>
      </c>
      <c r="F120" s="13">
        <v>42733.730266203704</v>
      </c>
      <c r="G120" s="7">
        <v>3</v>
      </c>
      <c r="H120" s="22" t="s">
        <v>711</v>
      </c>
      <c r="I120" s="13">
        <v>42733.758368055554</v>
      </c>
      <c r="J120" s="7">
        <v>0</v>
      </c>
      <c r="K120" s="105" t="str">
        <f t="shared" si="23"/>
        <v>4017/4018</v>
      </c>
      <c r="L120" s="22" t="str">
        <f>VLOOKUP(A120,'Trips&amp;Operators'!$C$1:$G$99999,5,FALSE)</f>
        <v>ARVIDSON DANIEL</v>
      </c>
      <c r="M120" s="6">
        <f t="shared" si="24"/>
        <v>2.810185185080627E-2</v>
      </c>
      <c r="N120" s="7">
        <f t="shared" si="37"/>
        <v>40.466666665161029</v>
      </c>
      <c r="O120" s="7"/>
      <c r="P120" s="7"/>
      <c r="Q120" s="23"/>
      <c r="R120" s="23"/>
      <c r="S120" s="32">
        <f t="shared" si="25"/>
        <v>1</v>
      </c>
      <c r="T120" s="47" t="str">
        <f t="shared" si="26"/>
        <v>NorthBound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16:27:38-700',mode:absolute,to:'2016-12-29 19:12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0" s="49" t="str">
        <f t="shared" si="28"/>
        <v>N</v>
      </c>
      <c r="X120" s="173">
        <f t="shared" si="38"/>
        <v>1</v>
      </c>
      <c r="Y120" s="64">
        <f t="shared" si="29"/>
        <v>4.5100000000000001E-2</v>
      </c>
      <c r="Z120" s="64">
        <f t="shared" si="30"/>
        <v>23.333400000000001</v>
      </c>
      <c r="AA120" s="64">
        <f t="shared" si="31"/>
        <v>23.2883</v>
      </c>
      <c r="AB120" s="61" t="e">
        <f>VLOOKUP(A120,Enforcements!$C$7:$K$19,8,0)</f>
        <v>#N/A</v>
      </c>
      <c r="AC120" s="57" t="e">
        <f>VLOOKUP(A120,Enforcements!$C$7:$E$19,3,0)</f>
        <v>#N/A</v>
      </c>
      <c r="AD120" s="58" t="str">
        <f t="shared" si="32"/>
        <v>0211-29</v>
      </c>
      <c r="AE120" s="87" t="str">
        <f t="shared" si="33"/>
        <v>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 &amp; aws s3 cp s3://rtdc.mdm.uploadarchive.raw/RTDC4018/ "%USERPROFILE%\AppData\Local\Temp\OnboardLogs"\RTDC4018\2016-12-30 --exclude "*" --recursive --include "*20161230*" &amp; "%USERPROFILE%\Documents\GitHub\mrs-test-scripts\Headless Mode &amp; Sideloading\WalkAndUnGZ.bat" "%USERPROFILE%\AppData\Local\Temp\OnboardLogs"\RTDC4018\2016-12-30</v>
      </c>
      <c r="AF120" s="84" t="str">
        <f t="shared" si="34"/>
        <v>"C:\Program Files (x86)\AstroGrep\AstroGrep.exe" /spath="%USERPROFILE%\AppData\Local\Temp\OnboardLogs" /stypes="app*4018*20161230*" /stext=" 01:.+((SYSTEM_STATE.+slice.+state.+changed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88" t="str">
        <f t="shared" si="20"/>
        <v>"%USERPROFILE%\Documents\GitHub\eaglep3\Utilities\RefineRTDCRunTimes.py" --tripid 211-29 --locoid 4018 --swversion DE.1.0.8.0 --startMP 204:451 --initTime 2016-12-29T17:27:38 --startdatetime 2016-12-29T17:31:35 --delay 3 --endMP 204:233334 --enddatetime 2016-12-29T18:12:03 --enforcementcount 0 &gt;&gt;C:\Users\stu\Documents\GitHub\eaglep3-reporting\EC\2016-12-29-refined-times.txt</v>
      </c>
      <c r="AI120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{"issue":{"subject":"","project_id":79,"tracker_id":40,"status_id":1,"priority_id":2,"assigned_to_id":23,"start_date":"2016-12-29","description":"","custom_fields":[{"id":1,"name":"Subdivision","value":"EC"},{"id":4,"name":"Milepost","value":"23.3334"},{"id":17,"name":"Train ID","value":"211-29"},{"id":16,"name":"Locomotive ID","value":"4018"},{"id":130,"name":"Impact","value":""},{"id":150,"name":"Time of Event (Mountain Time)","value":"18:12:03"},{"id":151,"name":"Denver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22"/>
        <v>start /low /b %USERPROFILE%\Documents\GitHub\eaglep3\Utilities\DownloadLogsFromS3.py --loco 4018 --day 2016-12-29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635</v>
      </c>
      <c r="B121" s="7">
        <v>4017</v>
      </c>
      <c r="C121" s="22" t="s">
        <v>205</v>
      </c>
      <c r="D121" s="22" t="s">
        <v>362</v>
      </c>
      <c r="E121" s="13">
        <v>42733.764513888891</v>
      </c>
      <c r="F121" s="13">
        <v>42733.768391203703</v>
      </c>
      <c r="G121" s="7">
        <v>1</v>
      </c>
      <c r="H121" s="22" t="s">
        <v>712</v>
      </c>
      <c r="I121" s="13">
        <v>42733.799386574072</v>
      </c>
      <c r="J121" s="7">
        <v>0</v>
      </c>
      <c r="K121" s="105" t="str">
        <f t="shared" si="23"/>
        <v>4017/4018</v>
      </c>
      <c r="L121" s="22" t="str">
        <f>VLOOKUP(A121,'Trips&amp;Operators'!$C$1:$G$99999,5,FALSE)</f>
        <v>ARVIDSON DANIEL</v>
      </c>
      <c r="M121" s="6">
        <f t="shared" si="24"/>
        <v>3.0995370369055308E-2</v>
      </c>
      <c r="N121" s="7">
        <f t="shared" si="37"/>
        <v>44.633333331439644</v>
      </c>
      <c r="O121" s="7"/>
      <c r="P121" s="7"/>
      <c r="Q121" s="23"/>
      <c r="R121" s="23"/>
      <c r="S121" s="32">
        <f t="shared" si="25"/>
        <v>1</v>
      </c>
      <c r="T121" s="47" t="str">
        <f t="shared" si="26"/>
        <v>Southbound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17:20:54-700',mode:absolute,to:'2016-12-29 20:11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1" s="49" t="str">
        <f t="shared" si="28"/>
        <v>N</v>
      </c>
      <c r="X121" s="173">
        <f t="shared" si="38"/>
        <v>1</v>
      </c>
      <c r="Y121" s="64">
        <f t="shared" si="29"/>
        <v>23.301100000000002</v>
      </c>
      <c r="Z121" s="64">
        <f t="shared" si="30"/>
        <v>1.32E-2</v>
      </c>
      <c r="AA121" s="64">
        <f t="shared" si="31"/>
        <v>23.2879</v>
      </c>
      <c r="AB121" s="61" t="e">
        <f>VLOOKUP(A121,Enforcements!$C$7:$K$19,8,0)</f>
        <v>#N/A</v>
      </c>
      <c r="AC121" s="57" t="e">
        <f>VLOOKUP(A121,Enforcements!$C$7:$E$19,3,0)</f>
        <v>#N/A</v>
      </c>
      <c r="AD121" s="58" t="str">
        <f t="shared" si="32"/>
        <v>0212-29</v>
      </c>
      <c r="AE121" s="87" t="str">
        <f t="shared" si="33"/>
        <v>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 &amp; aws s3 cp s3://rtdc.mdm.uploadarchive.raw/RTDC4017/ "%USERPROFILE%\AppData\Local\Temp\OnboardLogs"\RTDC4017\2016-12-30 --exclude "*" --recursive --include "*20161230*" &amp; "%USERPROFILE%\Documents\GitHub\mrs-test-scripts\Headless Mode &amp; Sideloading\WalkAndUnGZ.bat" "%USERPROFILE%\AppData\Local\Temp\OnboardLogs"\RTDC4017\2016-12-30</v>
      </c>
      <c r="AF121" s="84" t="str">
        <f t="shared" si="34"/>
        <v>"C:\Program Files (x86)\AstroGrep\AstroGrep.exe" /spath="%USERPROFILE%\AppData\Local\Temp\OnboardLogs" /stypes="app*4017*20161230*" /stext=" 02:.+((SYSTEM_STATE.+slice.+state.+changed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88" t="str">
        <f t="shared" si="20"/>
        <v>"%USERPROFILE%\Documents\GitHub\eaglep3\Utilities\RefineRTDCRunTimes.py" --tripid 212-29 --locoid 4017 --swversion DE.1.0.8.0 --startMP 204:233011 --initTime 2016-12-29T18:20:54 --startdatetime 2016-12-29T18:26:29 --delay 1 --endMP 204:132 --enddatetime 2016-12-29T19:11:07 --enforcementcount 0 &gt;&gt;C:\Users\stu\Documents\GitHub\eaglep3-reporting\EC\2016-12-29-refined-times.txt</v>
      </c>
      <c r="AI121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{"issue":{"subject":"","project_id":79,"tracker_id":40,"status_id":1,"priority_id":2,"assigned_to_id":23,"start_date":"2016-12-29","description":"","custom_fields":[{"id":1,"name":"Subdivision","value":"EC"},{"id":4,"name":"Milepost","value":"0.0132"},{"id":17,"name":"Train ID","value":"212-29"},{"id":16,"name":"Locomotive ID","value":"4017"},{"id":130,"name":"Impact","value":""},{"id":150,"name":"Time of Event (Mountain Time)","value":"19:11:07"},{"id":151,"name":"Denver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22"/>
        <v>start /low /b %USERPROFILE%\Documents\GitHub\eaglep3\Utilities\DownloadLogsFromS3.py --loco 4017 --day 2016-12-29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626</v>
      </c>
      <c r="B122" s="7">
        <v>4044</v>
      </c>
      <c r="C122" s="22" t="s">
        <v>205</v>
      </c>
      <c r="D122" s="22" t="s">
        <v>698</v>
      </c>
      <c r="E122" s="13">
        <v>42733.734918981485</v>
      </c>
      <c r="F122" s="13">
        <v>42733.739791666667</v>
      </c>
      <c r="G122" s="7">
        <v>1</v>
      </c>
      <c r="H122" s="22" t="s">
        <v>685</v>
      </c>
      <c r="I122" s="13">
        <v>42733.765659722223</v>
      </c>
      <c r="J122" s="7">
        <v>0</v>
      </c>
      <c r="K122" s="105" t="str">
        <f t="shared" si="23"/>
        <v>4043/4044</v>
      </c>
      <c r="L122" s="22" t="str">
        <f>VLOOKUP(A122,'Trips&amp;Operators'!$C$1:$G$99999,5,FALSE)</f>
        <v>NEWELL JAMES</v>
      </c>
      <c r="M122" s="6">
        <f t="shared" si="24"/>
        <v>2.5868055556202307E-2</v>
      </c>
      <c r="N122" s="7">
        <f t="shared" si="37"/>
        <v>37.250000000931323</v>
      </c>
      <c r="O122" s="7"/>
      <c r="P122" s="7"/>
      <c r="Q122" s="23"/>
      <c r="R122" s="23"/>
      <c r="S122" s="32">
        <f t="shared" si="25"/>
        <v>1</v>
      </c>
      <c r="T122" s="47" t="str">
        <f t="shared" si="26"/>
        <v>NorthBound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16:38:17-700',mode:absolute,to:'2016-12-29 19:22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2" s="49" t="str">
        <f t="shared" si="28"/>
        <v>N</v>
      </c>
      <c r="X122" s="173">
        <f t="shared" si="38"/>
        <v>1</v>
      </c>
      <c r="Y122" s="64">
        <f t="shared" si="29"/>
        <v>4.7300000000000002E-2</v>
      </c>
      <c r="Z122" s="64">
        <f t="shared" si="30"/>
        <v>23.3306</v>
      </c>
      <c r="AA122" s="64">
        <f t="shared" si="31"/>
        <v>23.283300000000001</v>
      </c>
      <c r="AB122" s="61" t="e">
        <f>VLOOKUP(A122,Enforcements!$C$7:$K$19,8,0)</f>
        <v>#N/A</v>
      </c>
      <c r="AC122" s="57" t="e">
        <f>VLOOKUP(A122,Enforcements!$C$7:$E$19,3,0)</f>
        <v>#N/A</v>
      </c>
      <c r="AD122" s="58" t="str">
        <f t="shared" si="32"/>
        <v>0213-29</v>
      </c>
      <c r="AE122" s="87" t="str">
        <f t="shared" si="33"/>
        <v>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 &amp; aws s3 cp s3://rtdc.mdm.uploadarchive.raw/RTDC4044/ "%USERPROFILE%\AppData\Local\Temp\OnboardLogs"\RTDC4044\2016-12-30 --exclude "*" --recursive --include "*20161230*" &amp; "%USERPROFILE%\Documents\GitHub\mrs-test-scripts\Headless Mode &amp; Sideloading\WalkAndUnGZ.bat" "%USERPROFILE%\AppData\Local\Temp\OnboardLogs"\RTDC4044\2016-12-30</v>
      </c>
      <c r="AF122" s="84" t="str">
        <f t="shared" si="34"/>
        <v>"C:\Program Files (x86)\AstroGrep\AstroGrep.exe" /spath="%USERPROFILE%\AppData\Local\Temp\OnboardLogs" /stypes="app*4044*20161230*" /stext=" 01:.+((SYSTEM_STATE.+slice.+state.+changed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88" t="str">
        <f t="shared" si="20"/>
        <v>"%USERPROFILE%\Documents\GitHub\eaglep3\Utilities\RefineRTDCRunTimes.py" --tripid 213-29 --locoid 4044 --swversion DE.1.0.8.0 --startMP 204:473 --initTime 2016-12-29T17:38:17 --startdatetime 2016-12-29T17:45:18 --delay 1 --endMP 204:233306 --enddatetime 2016-12-29T18:22:33 --enforcementcount 0 &gt;&gt;C:\Users\stu\Documents\GitHub\eaglep3-reporting\EC\2016-12-29-refined-times.txt</v>
      </c>
      <c r="AI122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{"issue":{"subject":"","project_id":79,"tracker_id":40,"status_id":1,"priority_id":2,"assigned_to_id":23,"start_date":"2016-12-29","description":"","custom_fields":[{"id":1,"name":"Subdivision","value":"EC"},{"id":4,"name":"Milepost","value":"23.3306"},{"id":17,"name":"Train ID","value":"213-29"},{"id":16,"name":"Locomotive ID","value":"4044"},{"id":130,"name":"Impact","value":""},{"id":150,"name":"Time of Event (Mountain Time)","value":"18:22:33"},{"id":151,"name":"Denver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22"/>
        <v>start /low /b %USERPROFILE%\Documents\GitHub\eaglep3\Utilities\DownloadLogsFromS3.py --loco 4044 --day 2016-12-29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636</v>
      </c>
      <c r="B123" s="7">
        <v>4043</v>
      </c>
      <c r="C123" s="22" t="s">
        <v>205</v>
      </c>
      <c r="D123" s="22" t="s">
        <v>701</v>
      </c>
      <c r="E123" s="13">
        <v>42733.772835648146</v>
      </c>
      <c r="F123" s="13">
        <v>42733.778657407405</v>
      </c>
      <c r="G123" s="7">
        <v>1</v>
      </c>
      <c r="H123" s="22" t="s">
        <v>254</v>
      </c>
      <c r="I123" s="13">
        <v>42733.806597222225</v>
      </c>
      <c r="J123" s="7">
        <v>0</v>
      </c>
      <c r="K123" s="105" t="str">
        <f t="shared" si="23"/>
        <v>4043/4044</v>
      </c>
      <c r="L123" s="22" t="str">
        <f>VLOOKUP(A123,'Trips&amp;Operators'!$C$1:$G$99999,5,FALSE)</f>
        <v>NEWELL JAMES</v>
      </c>
      <c r="M123" s="6">
        <f t="shared" si="24"/>
        <v>2.7939814819546882E-2</v>
      </c>
      <c r="N123" s="7">
        <f t="shared" si="37"/>
        <v>40.23333334014751</v>
      </c>
      <c r="O123" s="7"/>
      <c r="P123" s="7"/>
      <c r="Q123" s="23"/>
      <c r="R123" s="23"/>
      <c r="S123" s="32">
        <f t="shared" si="25"/>
        <v>1</v>
      </c>
      <c r="T123" s="47" t="str">
        <f t="shared" si="26"/>
        <v>Southbound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17:32:53-700',mode:absolute,to:'2016-12-29 20:21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3" s="49" t="str">
        <f t="shared" si="28"/>
        <v>N</v>
      </c>
      <c r="X123" s="173">
        <f t="shared" si="38"/>
        <v>1</v>
      </c>
      <c r="Y123" s="64">
        <f t="shared" si="29"/>
        <v>23.298300000000001</v>
      </c>
      <c r="Z123" s="64">
        <f t="shared" si="30"/>
        <v>1.47E-2</v>
      </c>
      <c r="AA123" s="64">
        <f t="shared" si="31"/>
        <v>23.2836</v>
      </c>
      <c r="AB123" s="61" t="e">
        <f>VLOOKUP(A123,Enforcements!$C$7:$K$19,8,0)</f>
        <v>#N/A</v>
      </c>
      <c r="AC123" s="57" t="e">
        <f>VLOOKUP(A123,Enforcements!$C$7:$E$19,3,0)</f>
        <v>#N/A</v>
      </c>
      <c r="AD123" s="58" t="str">
        <f t="shared" si="32"/>
        <v>0214-29</v>
      </c>
      <c r="AE123" s="87" t="str">
        <f t="shared" si="33"/>
        <v>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 &amp; aws s3 cp s3://rtdc.mdm.uploadarchive.raw/RTDC4043/ "%USERPROFILE%\AppData\Local\Temp\OnboardLogs"\RTDC4043\2016-12-30 --exclude "*" --recursive --include "*20161230*" &amp; "%USERPROFILE%\Documents\GitHub\mrs-test-scripts\Headless Mode &amp; Sideloading\WalkAndUnGZ.bat" "%USERPROFILE%\AppData\Local\Temp\OnboardLogs"\RTDC4043\2016-12-30</v>
      </c>
      <c r="AF123" s="84" t="str">
        <f t="shared" si="34"/>
        <v>"C:\Program Files (x86)\AstroGrep\AstroGrep.exe" /spath="%USERPROFILE%\AppData\Local\Temp\OnboardLogs" /stypes="app*4043*20161230*" /stext=" 02:.+((SYSTEM_STATE.+slice.+state.+changed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88" t="str">
        <f t="shared" si="20"/>
        <v>"%USERPROFILE%\Documents\GitHub\eaglep3\Utilities\RefineRTDCRunTimes.py" --tripid 214-29 --locoid 4043 --swversion DE.1.0.8.0 --startMP 204:232983 --initTime 2016-12-29T18:32:53 --startdatetime 2016-12-29T18:41:16 --delay 1 --endMP 204:147 --enddatetime 2016-12-29T19:21:30 --enforcementcount 0 &gt;&gt;C:\Users\stu\Documents\GitHub\eaglep3-reporting\EC\2016-12-29-refined-times.txt</v>
      </c>
      <c r="AI123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{"issue":{"subject":"","project_id":79,"tracker_id":40,"status_id":1,"priority_id":2,"assigned_to_id":23,"start_date":"2016-12-29","description":"","custom_fields":[{"id":1,"name":"Subdivision","value":"EC"},{"id":4,"name":"Milepost","value":"0.0147"},{"id":17,"name":"Train ID","value":"214-29"},{"id":16,"name":"Locomotive ID","value":"4043"},{"id":130,"name":"Impact","value":""},{"id":150,"name":"Time of Event (Mountain Time)","value":"19:21:30"},{"id":151,"name":"Denver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22"/>
        <v>start /low /b %USERPROFILE%\Documents\GitHub\eaglep3\Utilities\DownloadLogsFromS3.py --loco 4043 --day 2016-12-29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453</v>
      </c>
      <c r="B124" s="7">
        <v>4042</v>
      </c>
      <c r="C124" s="22" t="s">
        <v>205</v>
      </c>
      <c r="D124" s="22" t="s">
        <v>344</v>
      </c>
      <c r="E124" s="13">
        <v>42733.747928240744</v>
      </c>
      <c r="F124" s="13">
        <v>42733.750162037039</v>
      </c>
      <c r="G124" s="7">
        <v>1</v>
      </c>
      <c r="H124" s="22" t="s">
        <v>363</v>
      </c>
      <c r="I124" s="13">
        <v>42733.774710648147</v>
      </c>
      <c r="J124" s="7">
        <v>0</v>
      </c>
      <c r="K124" s="105" t="str">
        <f t="shared" si="23"/>
        <v>4041/4042</v>
      </c>
      <c r="L124" s="22" t="str">
        <f>VLOOKUP(A124,'Trips&amp;Operators'!$C$1:$G$99999,5,FALSE)</f>
        <v>BRANNON JEFFREY</v>
      </c>
      <c r="M124" s="6">
        <f t="shared" si="24"/>
        <v>2.4548611108912155E-2</v>
      </c>
      <c r="N124" s="7">
        <f t="shared" si="37"/>
        <v>35.349999996833503</v>
      </c>
      <c r="O124" s="7"/>
      <c r="P124" s="7"/>
      <c r="Q124" s="23"/>
      <c r="R124" s="23"/>
      <c r="S124" s="32">
        <f t="shared" si="25"/>
        <v>1</v>
      </c>
      <c r="T124" s="47" t="str">
        <f t="shared" si="26"/>
        <v>NorthBound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16:57:01-700',mode:absolute,to:'2016-12-29 19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4" s="49" t="str">
        <f t="shared" si="28"/>
        <v>N</v>
      </c>
      <c r="X124" s="173">
        <f t="shared" si="38"/>
        <v>1</v>
      </c>
      <c r="Y124" s="64">
        <f t="shared" si="29"/>
        <v>4.6899999999999997E-2</v>
      </c>
      <c r="Z124" s="64">
        <f t="shared" si="30"/>
        <v>23.328600000000002</v>
      </c>
      <c r="AA124" s="64">
        <f t="shared" si="31"/>
        <v>23.281700000000001</v>
      </c>
      <c r="AB124" s="61" t="str">
        <f>VLOOKUP(A124,Enforcements!$C$7:$K$19,8,0)</f>
        <v>Bulletin (2)</v>
      </c>
      <c r="AC124" s="57" t="str">
        <f>VLOOKUP(A124,Enforcements!$C$7:$E$19,3,0)</f>
        <v>GRADE CROSSING</v>
      </c>
      <c r="AD124" s="58" t="str">
        <f t="shared" si="32"/>
        <v>0215-29</v>
      </c>
      <c r="AE124" s="87" t="str">
        <f t="shared" si="33"/>
        <v>aws s3 cp s3://rtdc.mdm.uploadarchive.raw/RTDC4042/ "%USERPROFILE%\AppData\Local\Temp\OnboardLogs"\RTDC4042\2016-12-29 --exclude "*" --recursive --include "*20161229*" &amp; "%USERPROFILE%\Documents\GitHub\mrs-test-scripts\Headless Mode &amp; Sideloading\WalkAndUnGZ.bat" "%USERPROFILE%\AppData\Local\Temp\OnboardLogs"\RTDC4042\2016-12-29 &amp; aws s3 cp s3://rtdc.mdm.uploadarchive.raw/RTDC4042/ "%USERPROFILE%\AppData\Local\Temp\OnboardLogs"\RTDC4042\2016-12-30 --exclude "*" --recursive --include "*20161230*" &amp; "%USERPROFILE%\Documents\GitHub\mrs-test-scripts\Headless Mode &amp; Sideloading\WalkAndUnGZ.bat" "%USERPROFILE%\AppData\Local\Temp\OnboardLogs"\RTDC4042\2016-12-30</v>
      </c>
      <c r="AF124" s="84" t="str">
        <f t="shared" si="34"/>
        <v>"C:\Program Files (x86)\AstroGrep\AstroGrep.exe" /spath="%USERPROFILE%\AppData\Local\Temp\OnboardLogs" /stypes="app*4042*20161230*" /stext=" 01:.+((SYSTEM_STATE.+slice.+state.+changed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88" t="str">
        <f t="shared" si="20"/>
        <v>"%USERPROFILE%\Documents\GitHub\eaglep3\Utilities\RefineRTDCRunTimes.py" --tripid 215-29 --locoid 4042 --swversion DE.1.0.8.0 --startMP 204:469 --initTime 2016-12-29T17:57:01 --startdatetime 2016-12-29T18:00:14 --delay 1 --endMP 204:233286 --enddatetime 2016-12-29T18:35:35 --enforcementcount 0 &gt;&gt;C:\Users\stu\Documents\GitHub\eaglep3-reporting\EC\2016-12-29-refined-times.txt</v>
      </c>
      <c r="AI124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{"issue":{"subject":"","project_id":79,"tracker_id":40,"status_id":1,"priority_id":2,"assigned_to_id":23,"start_date":"2016-12-29","description":"","custom_fields":[{"id":1,"name":"Subdivision","value":"EC"},{"id":4,"name":"Milepost","value":"23.3286"},{"id":17,"name":"Train ID","value":"215-29"},{"id":16,"name":"Locomotive ID","value":"4042"},{"id":130,"name":"Impact","value":""},{"id":150,"name":"Time of Event (Mountain Time)","value":"18:35:35"},{"id":151,"name":"Denver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22"/>
        <v>start /low /b %USERPROFILE%\Documents\GitHub\eaglep3\Utilities\DownloadLogsFromS3.py --loco 4042 --day 2016-12-29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642</v>
      </c>
      <c r="B125" s="7">
        <v>4041</v>
      </c>
      <c r="C125" s="22" t="s">
        <v>205</v>
      </c>
      <c r="D125" s="22" t="s">
        <v>266</v>
      </c>
      <c r="E125" s="13">
        <v>42733.786481481482</v>
      </c>
      <c r="F125" s="13">
        <v>42733.789027777777</v>
      </c>
      <c r="G125" s="7">
        <v>3</v>
      </c>
      <c r="H125" s="22" t="s">
        <v>254</v>
      </c>
      <c r="I125" s="13">
        <v>42733.816701388889</v>
      </c>
      <c r="J125" s="7">
        <v>0</v>
      </c>
      <c r="K125" s="105" t="str">
        <f t="shared" si="23"/>
        <v>4041/4042</v>
      </c>
      <c r="L125" s="22" t="str">
        <f>VLOOKUP(A125,'Trips&amp;Operators'!$C$1:$G$99999,5,FALSE)</f>
        <v>BRANNON JEFFREY</v>
      </c>
      <c r="M125" s="6">
        <f t="shared" si="24"/>
        <v>2.7673611111822538E-2</v>
      </c>
      <c r="N125" s="7">
        <f t="shared" si="37"/>
        <v>39.850000001024455</v>
      </c>
      <c r="O125" s="7"/>
      <c r="P125" s="7"/>
      <c r="Q125" s="23"/>
      <c r="R125" s="23"/>
      <c r="S125" s="32">
        <f t="shared" si="25"/>
        <v>1</v>
      </c>
      <c r="T125" s="47" t="str">
        <f t="shared" si="26"/>
        <v>Southbound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17:52:32-700',mode:absolute,to:'2016-12-29 20:36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5" s="49" t="str">
        <f t="shared" si="28"/>
        <v>N</v>
      </c>
      <c r="X125" s="173">
        <f t="shared" ref="X125:X129" si="39">VALUE(LEFT(AD125,4))-VALUE(LEFT(AD124,4))</f>
        <v>1</v>
      </c>
      <c r="Y125" s="64">
        <f t="shared" si="29"/>
        <v>23.2986</v>
      </c>
      <c r="Z125" s="64">
        <f t="shared" si="30"/>
        <v>1.47E-2</v>
      </c>
      <c r="AA125" s="64">
        <f t="shared" si="31"/>
        <v>23.283899999999999</v>
      </c>
      <c r="AB125" s="61" t="e">
        <f>VLOOKUP(A125,Enforcements!$C$7:$K$19,8,0)</f>
        <v>#N/A</v>
      </c>
      <c r="AC125" s="57" t="e">
        <f>VLOOKUP(A125,Enforcements!$C$7:$E$19,3,0)</f>
        <v>#N/A</v>
      </c>
      <c r="AD125" s="58" t="str">
        <f t="shared" si="32"/>
        <v>0216-29</v>
      </c>
      <c r="AE125" s="87" t="str">
        <f t="shared" si="33"/>
        <v>aws s3 cp s3://rtdc.mdm.uploadarchive.raw/RTDC4041/ "%USERPROFILE%\AppData\Local\Temp\OnboardLogs"\RTDC4041\2016-12-29 --exclude "*" --recursive --include "*20161229*" &amp; "%USERPROFILE%\Documents\GitHub\mrs-test-scripts\Headless Mode &amp; Sideloading\WalkAndUnGZ.bat" "%USERPROFILE%\AppData\Local\Temp\OnboardLogs"\RTDC4041\2016-12-29 &amp; aws s3 cp s3://rtdc.mdm.uploadarchive.raw/RTDC4041/ "%USERPROFILE%\AppData\Local\Temp\OnboardLogs"\RTDC4041\2016-12-30 --exclude "*" --recursive --include "*20161230*" &amp; "%USERPROFILE%\Documents\GitHub\mrs-test-scripts\Headless Mode &amp; Sideloading\WalkAndUnGZ.bat" "%USERPROFILE%\AppData\Local\Temp\OnboardLogs"\RTDC4041\2016-12-30</v>
      </c>
      <c r="AF125" s="84" t="str">
        <f t="shared" si="34"/>
        <v>"C:\Program Files (x86)\AstroGrep\AstroGrep.exe" /spath="%USERPROFILE%\AppData\Local\Temp\OnboardLogs" /stypes="app*4041*20161230*" /stext=" 02:.+((SYSTEM_STATE.+slice.+state.+changed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88" t="str">
        <f t="shared" si="20"/>
        <v>"%USERPROFILE%\Documents\GitHub\eaglep3\Utilities\RefineRTDCRunTimes.py" --tripid 216-29 --locoid 4041 --swversion DE.1.0.8.0 --startMP 204:232986 --initTime 2016-12-29T18:52:32 --startdatetime 2016-12-29T18:56:12 --delay 3 --endMP 204:147 --enddatetime 2016-12-29T19:36:03 --enforcementcount 0 &gt;&gt;C:\Users\stu\Documents\GitHub\eaglep3-reporting\EC\2016-12-29-refined-times.txt</v>
      </c>
      <c r="AI125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{"issue":{"subject":"","project_id":79,"tracker_id":40,"status_id":1,"priority_id":2,"assigned_to_id":23,"start_date":"2016-12-29","description":"","custom_fields":[{"id":1,"name":"Subdivision","value":"EC"},{"id":4,"name":"Milepost","value":"0.0147"},{"id":17,"name":"Train ID","value":"216-29"},{"id":16,"name":"Locomotive ID","value":"4041"},{"id":130,"name":"Impact","value":""},{"id":150,"name":"Time of Event (Mountain Time)","value":"19:36:03"},{"id":151,"name":"Denver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22"/>
        <v>start /low /b %USERPROFILE%\Documents\GitHub\eaglep3\Utilities\DownloadLogsFromS3.py --loco 4041 --day 2016-12-29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630</v>
      </c>
      <c r="B126" s="7">
        <v>4002</v>
      </c>
      <c r="C126" s="22" t="s">
        <v>205</v>
      </c>
      <c r="D126" s="22" t="s">
        <v>698</v>
      </c>
      <c r="E126" s="13">
        <v>42733.757638888892</v>
      </c>
      <c r="F126" s="13">
        <v>42733.760601851849</v>
      </c>
      <c r="G126" s="7">
        <v>1</v>
      </c>
      <c r="H126" s="22" t="s">
        <v>685</v>
      </c>
      <c r="I126" s="13">
        <v>42733.786979166667</v>
      </c>
      <c r="J126" s="7">
        <v>0</v>
      </c>
      <c r="K126" s="105" t="str">
        <f t="shared" si="23"/>
        <v>4001/4002</v>
      </c>
      <c r="L126" s="22" t="str">
        <f>VLOOKUP(A126,'Trips&amp;Operators'!$C$1:$G$99999,5,FALSE)</f>
        <v>BROWN JACOB</v>
      </c>
      <c r="M126" s="6">
        <f t="shared" si="24"/>
        <v>2.6377314818091691E-2</v>
      </c>
      <c r="N126" s="7">
        <f t="shared" si="37"/>
        <v>37.983333338052034</v>
      </c>
      <c r="O126" s="7"/>
      <c r="P126" s="7"/>
      <c r="Q126" s="23"/>
      <c r="R126" s="23"/>
      <c r="S126" s="32">
        <f t="shared" si="25"/>
        <v>1</v>
      </c>
      <c r="T126" s="47" t="str">
        <f t="shared" si="26"/>
        <v>NorthBound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17:11:00-700',mode:absolute,to:'2016-12-29 19:53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6" s="49" t="str">
        <f t="shared" si="28"/>
        <v>N</v>
      </c>
      <c r="X126" s="173">
        <f t="shared" si="39"/>
        <v>1</v>
      </c>
      <c r="Y126" s="64">
        <f t="shared" si="29"/>
        <v>4.7300000000000002E-2</v>
      </c>
      <c r="Z126" s="64">
        <f t="shared" si="30"/>
        <v>23.3306</v>
      </c>
      <c r="AA126" s="64">
        <f t="shared" si="31"/>
        <v>23.283300000000001</v>
      </c>
      <c r="AB126" s="61" t="e">
        <f>VLOOKUP(A126,Enforcements!$C$7:$K$19,8,0)</f>
        <v>#N/A</v>
      </c>
      <c r="AC126" s="57" t="e">
        <f>VLOOKUP(A126,Enforcements!$C$7:$E$19,3,0)</f>
        <v>#N/A</v>
      </c>
      <c r="AD126" s="58" t="str">
        <f t="shared" si="32"/>
        <v>0217-29</v>
      </c>
      <c r="AE126" s="87" t="str">
        <f t="shared" si="33"/>
        <v>aws s3 cp s3://rtdc.mdm.uploadarchive.raw/RTDC4002/ "%USERPROFILE%\AppData\Local\Temp\OnboardLogs"\RTDC4002\2016-12-29 --exclude "*" --recursive --include "*20161229*" &amp; "%USERPROFILE%\Documents\GitHub\mrs-test-scripts\Headless Mode &amp; Sideloading\WalkAndUnGZ.bat" "%USERPROFILE%\AppData\Local\Temp\OnboardLogs"\RTDC4002\2016-12-29 &amp; aws s3 cp s3://rtdc.mdm.uploadarchive.raw/RTDC4002/ "%USERPROFILE%\AppData\Local\Temp\OnboardLogs"\RTDC4002\2016-12-30 --exclude "*" --recursive --include "*20161230*" &amp; "%USERPROFILE%\Documents\GitHub\mrs-test-scripts\Headless Mode &amp; Sideloading\WalkAndUnGZ.bat" "%USERPROFILE%\AppData\Local\Temp\OnboardLogs"\RTDC4002\2016-12-30</v>
      </c>
      <c r="AF126" s="84" t="str">
        <f t="shared" si="34"/>
        <v>"C:\Program Files (x86)\AstroGrep\AstroGrep.exe" /spath="%USERPROFILE%\AppData\Local\Temp\OnboardLogs" /stypes="app*4002*20161230*" /stext=" 01:.+((SYSTEM_STATE.+slice.+state.+changed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88" t="str">
        <f t="shared" si="20"/>
        <v>"%USERPROFILE%\Documents\GitHub\eaglep3\Utilities\RefineRTDCRunTimes.py" --tripid 217-29 --locoid 4002 --swversion DE.1.0.8.0 --startMP 204:473 --initTime 2016-12-29T18:11:00 --startdatetime 2016-12-29T18:15:16 --delay 1 --endMP 204:233306 --enddatetime 2016-12-29T18:53:15 --enforcementcount 0 &gt;&gt;C:\Users\stu\Documents\GitHub\eaglep3-reporting\EC\2016-12-29-refined-times.txt</v>
      </c>
      <c r="AI126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{"issue":{"subject":"","project_id":79,"tracker_id":40,"status_id":1,"priority_id":2,"assigned_to_id":23,"start_date":"2016-12-29","description":"","custom_fields":[{"id":1,"name":"Subdivision","value":"EC"},{"id":4,"name":"Milepost","value":"23.3306"},{"id":17,"name":"Train ID","value":"217-29"},{"id":16,"name":"Locomotive ID","value":"4002"},{"id":130,"name":"Impact","value":""},{"id":150,"name":"Time of Event (Mountain Time)","value":"18:53:15"},{"id":151,"name":"Denver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22"/>
        <v>start /low /b %USERPROFILE%\Documents\GitHub\eaglep3\Utilities\DownloadLogsFromS3.py --loco 4002 --day 2016-12-29</v>
      </c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644</v>
      </c>
      <c r="B127" s="7">
        <v>4001</v>
      </c>
      <c r="C127" s="22" t="s">
        <v>205</v>
      </c>
      <c r="D127" s="22" t="s">
        <v>713</v>
      </c>
      <c r="E127" s="13">
        <v>42733.794907407406</v>
      </c>
      <c r="F127" s="13">
        <v>42733.799467592595</v>
      </c>
      <c r="G127" s="7">
        <v>1</v>
      </c>
      <c r="H127" s="22" t="s">
        <v>258</v>
      </c>
      <c r="I127" s="13">
        <v>42733.827743055554</v>
      </c>
      <c r="J127" s="7">
        <v>0</v>
      </c>
      <c r="K127" s="105" t="str">
        <f t="shared" si="23"/>
        <v>4001/4002</v>
      </c>
      <c r="L127" s="22" t="str">
        <f>VLOOKUP(A127,'Trips&amp;Operators'!$C$1:$G$99999,5,FALSE)</f>
        <v>BROWN JACOB</v>
      </c>
      <c r="M127" s="6">
        <f t="shared" si="24"/>
        <v>2.827546295884531E-2</v>
      </c>
      <c r="N127" s="7">
        <f t="shared" si="37"/>
        <v>40.716666660737246</v>
      </c>
      <c r="O127" s="7"/>
      <c r="P127" s="7"/>
      <c r="Q127" s="23"/>
      <c r="R127" s="23"/>
      <c r="S127" s="32">
        <f t="shared" si="25"/>
        <v>1</v>
      </c>
      <c r="T127" s="47" t="str">
        <f t="shared" si="26"/>
        <v>Southbound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18:04:40-700',mode:absolute,to:'2016-12-29 20:51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7" s="49" t="str">
        <f t="shared" si="28"/>
        <v>N</v>
      </c>
      <c r="X127" s="173">
        <f t="shared" si="39"/>
        <v>1</v>
      </c>
      <c r="Y127" s="64">
        <f t="shared" si="29"/>
        <v>23.3002</v>
      </c>
      <c r="Z127" s="64">
        <f t="shared" si="30"/>
        <v>1.6E-2</v>
      </c>
      <c r="AA127" s="64">
        <f t="shared" si="31"/>
        <v>23.284200000000002</v>
      </c>
      <c r="AB127" s="61" t="e">
        <f>VLOOKUP(A127,Enforcements!$C$7:$K$19,8,0)</f>
        <v>#N/A</v>
      </c>
      <c r="AC127" s="57" t="e">
        <f>VLOOKUP(A127,Enforcements!$C$7:$E$19,3,0)</f>
        <v>#N/A</v>
      </c>
      <c r="AD127" s="58" t="str">
        <f t="shared" si="32"/>
        <v>0218-29</v>
      </c>
      <c r="AE127" s="87" t="str">
        <f t="shared" si="33"/>
        <v>aws s3 cp s3://rtdc.mdm.uploadarchive.raw/RTDC4001/ "%USERPROFILE%\AppData\Local\Temp\OnboardLogs"\RTDC4001\2016-12-29 --exclude "*" --recursive --include "*20161229*" &amp; "%USERPROFILE%\Documents\GitHub\mrs-test-scripts\Headless Mode &amp; Sideloading\WalkAndUnGZ.bat" "%USERPROFILE%\AppData\Local\Temp\OnboardLogs"\RTDC4001\2016-12-29 &amp; aws s3 cp s3://rtdc.mdm.uploadarchive.raw/RTDC4001/ "%USERPROFILE%\AppData\Local\Temp\OnboardLogs"\RTDC4001\2016-12-30 --exclude "*" --recursive --include "*20161230*" &amp; "%USERPROFILE%\Documents\GitHub\mrs-test-scripts\Headless Mode &amp; Sideloading\WalkAndUnGZ.bat" "%USERPROFILE%\AppData\Local\Temp\OnboardLogs"\RTDC4001\2016-12-30</v>
      </c>
      <c r="AF127" s="84" t="str">
        <f t="shared" si="34"/>
        <v>"C:\Program Files (x86)\AstroGrep\AstroGrep.exe" /spath="%USERPROFILE%\AppData\Local\Temp\OnboardLogs" /stypes="app*4001*20161230*" /stext=" 02:.+((SYSTEM_STATE.+slice.+state.+changed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88" t="str">
        <f t="shared" si="20"/>
        <v>"%USERPROFILE%\Documents\GitHub\eaglep3\Utilities\RefineRTDCRunTimes.py" --tripid 218-29 --locoid 4001 --swversion DE.1.0.8.0 --startMP 204:233002 --initTime 2016-12-29T19:04:40 --startdatetime 2016-12-29T19:11:14 --delay 1 --endMP 204:160 --enddatetime 2016-12-29T19:51:57 --enforcementcount 0 &gt;&gt;C:\Users\stu\Documents\GitHub\eaglep3-reporting\EC\2016-12-29-refined-times.txt</v>
      </c>
      <c r="AI127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{"issue":{"subject":"","project_id":79,"tracker_id":40,"status_id":1,"priority_id":2,"assigned_to_id":23,"start_date":"2016-12-29","description":"","custom_fields":[{"id":1,"name":"Subdivision","value":"EC"},{"id":4,"name":"Milepost","value":"0.016"},{"id":17,"name":"Train ID","value":"218-29"},{"id":16,"name":"Locomotive ID","value":"4001"},{"id":130,"name":"Impact","value":""},{"id":150,"name":"Time of Event (Mountain Time)","value":"19:51:57"},{"id":151,"name":"Denver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22"/>
        <v>start /low /b %USERPROFILE%\Documents\GitHub\eaglep3\Utilities\DownloadLogsFromS3.py --loco 4001 --day 2016-12-29</v>
      </c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4" t="s">
        <v>456</v>
      </c>
      <c r="B128" s="7">
        <v>4014</v>
      </c>
      <c r="C128" s="22" t="s">
        <v>205</v>
      </c>
      <c r="D128" s="22" t="s">
        <v>398</v>
      </c>
      <c r="E128" s="13">
        <v>42733.768020833333</v>
      </c>
      <c r="F128" s="13">
        <v>42733.77138888889</v>
      </c>
      <c r="G128" s="7">
        <v>1</v>
      </c>
      <c r="H128" s="22" t="s">
        <v>714</v>
      </c>
      <c r="I128" s="13">
        <v>42733.796400462961</v>
      </c>
      <c r="J128" s="7">
        <v>0</v>
      </c>
      <c r="K128" s="105" t="str">
        <f t="shared" si="23"/>
        <v>4013/4014</v>
      </c>
      <c r="L128" s="22" t="str">
        <f>VLOOKUP(A128,'Trips&amp;Operators'!$C$1:$G$99999,5,FALSE)</f>
        <v>HILLS DUSTIN</v>
      </c>
      <c r="M128" s="6">
        <f t="shared" si="24"/>
        <v>2.5011574070958886E-2</v>
      </c>
      <c r="N128" s="7">
        <f t="shared" si="37"/>
        <v>36.016666662180796</v>
      </c>
      <c r="O128" s="7"/>
      <c r="P128" s="7"/>
      <c r="Q128" s="23"/>
      <c r="R128" s="23"/>
      <c r="S128" s="32">
        <f t="shared" si="25"/>
        <v>1</v>
      </c>
      <c r="T128" s="47" t="str">
        <f t="shared" si="26"/>
        <v>NorthBound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17:25:57-700',mode:absolute,to:'2016-12-29 20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8" s="49" t="str">
        <f t="shared" si="28"/>
        <v>N</v>
      </c>
      <c r="X128" s="173">
        <f t="shared" si="39"/>
        <v>1</v>
      </c>
      <c r="Y128" s="64">
        <f t="shared" si="29"/>
        <v>4.6699999999999998E-2</v>
      </c>
      <c r="Z128" s="64">
        <f t="shared" si="30"/>
        <v>23.322600000000001</v>
      </c>
      <c r="AA128" s="64">
        <f t="shared" si="31"/>
        <v>23.2759</v>
      </c>
      <c r="AB128" s="61" t="str">
        <f>VLOOKUP(A128,Enforcements!$C$7:$K$19,8,0)</f>
        <v>Bulletin (2)</v>
      </c>
      <c r="AC128" s="57" t="str">
        <f>VLOOKUP(A128,Enforcements!$C$7:$E$19,3,0)</f>
        <v>GRADE CROSSING</v>
      </c>
      <c r="AD128" s="58" t="str">
        <f t="shared" si="32"/>
        <v>0219-29</v>
      </c>
      <c r="AE128" s="87" t="str">
        <f t="shared" si="33"/>
        <v>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 &amp; aws s3 cp s3://rtdc.mdm.uploadarchive.raw/RTDC4014/ "%USERPROFILE%\AppData\Local\Temp\OnboardLogs"\RTDC4014\2016-12-30 --exclude "*" --recursive --include "*20161230*" &amp; "%USERPROFILE%\Documents\GitHub\mrs-test-scripts\Headless Mode &amp; Sideloading\WalkAndUnGZ.bat" "%USERPROFILE%\AppData\Local\Temp\OnboardLogs"\RTDC4014\2016-12-30</v>
      </c>
      <c r="AF128" s="84" t="str">
        <f t="shared" si="34"/>
        <v>"C:\Program Files (x86)\AstroGrep\AstroGrep.exe" /spath="%USERPROFILE%\AppData\Local\Temp\OnboardLogs" /stypes="app*4014*20161230*" /stext=" 02:.+((SYSTEM_STATE.+slice.+state.+changed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88" t="str">
        <f t="shared" si="20"/>
        <v>"%USERPROFILE%\Documents\GitHub\eaglep3\Utilities\RefineRTDCRunTimes.py" --tripid 219-29 --locoid 4014 --swversion DE.1.0.8.0 --startMP 204:467 --initTime 2016-12-29T18:25:57 --startdatetime 2016-12-29T18:30:48 --delay 1 --endMP 204:233226 --enddatetime 2016-12-29T19:06:49 --enforcementcount 0 &gt;&gt;C:\Users\stu\Documents\GitHub\eaglep3-reporting\EC\2016-12-29-refined-times.txt</v>
      </c>
      <c r="AI128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{"issue":{"subject":"","project_id":79,"tracker_id":40,"status_id":1,"priority_id":2,"assigned_to_id":23,"start_date":"2016-12-29","description":"","custom_fields":[{"id":1,"name":"Subdivision","value":"EC"},{"id":4,"name":"Milepost","value":"23.3226"},{"id":17,"name":"Train ID","value":"219-29"},{"id":16,"name":"Locomotive ID","value":"4014"},{"id":130,"name":"Impact","value":""},{"id":150,"name":"Time of Event (Mountain Time)","value":"19:06:49"},{"id":151,"name":"Denver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22"/>
        <v>start /low /b %USERPROFILE%\Documents\GitHub\eaglep3\Utilities\DownloadLogsFromS3.py --loco 4014 --day 2016-12-29</v>
      </c>
    </row>
    <row r="129" spans="1:91" x14ac:dyDescent="0.25">
      <c r="A129" s="34" t="s">
        <v>458</v>
      </c>
      <c r="B129" s="7">
        <v>4013</v>
      </c>
      <c r="C129" s="22" t="s">
        <v>205</v>
      </c>
      <c r="D129" s="22" t="s">
        <v>715</v>
      </c>
      <c r="E129" s="13">
        <v>42733.799039351848</v>
      </c>
      <c r="F129" s="13">
        <v>42733.810914351852</v>
      </c>
      <c r="G129" s="7">
        <v>1</v>
      </c>
      <c r="H129" s="22" t="s">
        <v>716</v>
      </c>
      <c r="I129" s="13">
        <v>42733.837650462963</v>
      </c>
      <c r="J129" s="7">
        <v>0</v>
      </c>
      <c r="K129" s="105" t="str">
        <f t="shared" si="23"/>
        <v>4013/4014</v>
      </c>
      <c r="L129" s="22" t="str">
        <f>VLOOKUP(A129,'Trips&amp;Operators'!$C$1:$G$99999,5,FALSE)</f>
        <v>HILLS DUSTIN</v>
      </c>
      <c r="M129" s="6">
        <f t="shared" si="24"/>
        <v>2.6736111110949423E-2</v>
      </c>
      <c r="N129" s="7">
        <f t="shared" si="37"/>
        <v>38.499999999767169</v>
      </c>
      <c r="O129" s="7"/>
      <c r="P129" s="7"/>
      <c r="Q129" s="23"/>
      <c r="R129" s="23"/>
      <c r="S129" s="32">
        <f t="shared" si="25"/>
        <v>1</v>
      </c>
      <c r="T129" s="47" t="str">
        <f t="shared" si="26"/>
        <v>Southbound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18:10:37-700',mode:absolute,to:'2016-12-29 21:06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9" s="49" t="str">
        <f t="shared" si="28"/>
        <v>N</v>
      </c>
      <c r="X129" s="173">
        <f t="shared" si="39"/>
        <v>1</v>
      </c>
      <c r="Y129" s="64">
        <f t="shared" si="29"/>
        <v>23.2925</v>
      </c>
      <c r="Z129" s="64">
        <f t="shared" si="30"/>
        <v>8.8000000000000005E-3</v>
      </c>
      <c r="AA129" s="64">
        <f t="shared" si="31"/>
        <v>23.2837</v>
      </c>
      <c r="AB129" s="61" t="e">
        <f>VLOOKUP(A129,Enforcements!$C$7:$K$19,8,0)</f>
        <v>#N/A</v>
      </c>
      <c r="AC129" s="57" t="e">
        <f>VLOOKUP(A129,Enforcements!$C$7:$E$19,3,0)</f>
        <v>#N/A</v>
      </c>
      <c r="AD129" s="58" t="str">
        <f t="shared" si="32"/>
        <v>0220-29</v>
      </c>
      <c r="AE129" s="87" t="str">
        <f t="shared" si="33"/>
        <v>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 &amp; aws s3 cp s3://rtdc.mdm.uploadarchive.raw/RTDC4013/ "%USERPROFILE%\AppData\Local\Temp\OnboardLogs"\RTDC4013\2016-12-30 --exclude "*" --recursive --include "*20161230*" &amp; "%USERPROFILE%\Documents\GitHub\mrs-test-scripts\Headless Mode &amp; Sideloading\WalkAndUnGZ.bat" "%USERPROFILE%\AppData\Local\Temp\OnboardLogs"\RTDC4013\2016-12-30</v>
      </c>
      <c r="AF129" s="84" t="str">
        <f t="shared" si="34"/>
        <v>"C:\Program Files (x86)\AstroGrep\AstroGrep.exe" /spath="%USERPROFILE%\AppData\Local\Temp\OnboardLogs" /stypes="app*4013*20161230*" /stext=" 03:.+((SYSTEM_STATE.+slice.+state.+changed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88" t="str">
        <f t="shared" si="20"/>
        <v>"%USERPROFILE%\Documents\GitHub\eaglep3\Utilities\RefineRTDCRunTimes.py" --tripid 220-29 --locoid 4013 --swversion DE.1.0.8.0 --startMP 204:232925 --initTime 2016-12-29T19:10:37 --startdatetime 2016-12-29T19:27:43 --delay 1 --endMP 204:88 --enddatetime 2016-12-29T20:06:13 --enforcementcount 0 &gt;&gt;C:\Users\stu\Documents\GitHub\eaglep3-reporting\EC\2016-12-29-refined-times.txt</v>
      </c>
      <c r="AI129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{"issue":{"subject":"","project_id":79,"tracker_id":40,"status_id":1,"priority_id":2,"assigned_to_id":23,"start_date":"2016-12-29","description":"","custom_fields":[{"id":1,"name":"Subdivision","value":"EC"},{"id":4,"name":"Milepost","value":"0.0088"},{"id":17,"name":"Train ID","value":"220-29"},{"id":16,"name":"Locomotive ID","value":"4013"},{"id":130,"name":"Impact","value":""},{"id":150,"name":"Time of Event (Mountain Time)","value":"20:06:13"},{"id":151,"name":"Denver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22"/>
        <v>start /low /b %USERPROFILE%\Documents\GitHub\eaglep3\Utilities\DownloadLogsFromS3.py --loco 4013 --day 2016-12-29</v>
      </c>
    </row>
    <row r="130" spans="1:91" s="21" customFormat="1" x14ac:dyDescent="0.25">
      <c r="A130" s="34" t="s">
        <v>643</v>
      </c>
      <c r="B130" s="7">
        <v>4003</v>
      </c>
      <c r="C130" s="22" t="s">
        <v>205</v>
      </c>
      <c r="D130" s="22" t="s">
        <v>396</v>
      </c>
      <c r="E130" s="13">
        <v>42733.787581018521</v>
      </c>
      <c r="F130" s="13">
        <v>42733.79184027778</v>
      </c>
      <c r="G130" s="7">
        <v>1</v>
      </c>
      <c r="H130" s="22" t="s">
        <v>309</v>
      </c>
      <c r="I130" s="13">
        <v>42733.818171296298</v>
      </c>
      <c r="J130" s="7">
        <v>0</v>
      </c>
      <c r="K130" s="105" t="str">
        <f t="shared" si="23"/>
        <v>4003/4004</v>
      </c>
      <c r="L130" s="22" t="str">
        <f>VLOOKUP(A130,'Trips&amp;Operators'!$C$1:$G$99999,5,FALSE)</f>
        <v>LOPES KIMBERLY</v>
      </c>
      <c r="M130" s="6">
        <f t="shared" si="24"/>
        <v>2.6331018518249039E-2</v>
      </c>
      <c r="N130" s="7">
        <f t="shared" si="37"/>
        <v>37.916666666278616</v>
      </c>
      <c r="O130" s="7"/>
      <c r="P130" s="7"/>
      <c r="Q130" s="23"/>
      <c r="R130" s="23"/>
      <c r="S130" s="32">
        <f t="shared" si="25"/>
        <v>1</v>
      </c>
      <c r="T130" s="47" t="str">
        <f t="shared" si="26"/>
        <v>NorthBound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17:54:07-700',mode:absolute,to:'2016-12-29 20:38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0" s="49" t="str">
        <f t="shared" si="28"/>
        <v>N</v>
      </c>
      <c r="X130" s="173">
        <f t="shared" ref="X130:X161" si="40">VALUE(LEFT(AD130,4))-VALUE(LEFT(AD129,4))</f>
        <v>1</v>
      </c>
      <c r="Y130" s="64">
        <f t="shared" si="29"/>
        <v>4.4200000000000003E-2</v>
      </c>
      <c r="Z130" s="64">
        <f t="shared" si="30"/>
        <v>23.330400000000001</v>
      </c>
      <c r="AA130" s="64">
        <f t="shared" si="31"/>
        <v>23.286200000000001</v>
      </c>
      <c r="AB130" s="61" t="e">
        <f>VLOOKUP(A130,Enforcements!$C$7:$K$19,8,0)</f>
        <v>#N/A</v>
      </c>
      <c r="AC130" s="57" t="e">
        <f>VLOOKUP(A130,Enforcements!$C$7:$E$19,3,0)</f>
        <v>#N/A</v>
      </c>
      <c r="AD130" s="58" t="str">
        <f t="shared" si="32"/>
        <v>0221-29</v>
      </c>
      <c r="AE130" s="87" t="str">
        <f t="shared" si="33"/>
        <v>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 &amp; aws s3 cp s3://rtdc.mdm.uploadarchive.raw/RTDC4003/ "%USERPROFILE%\AppData\Local\Temp\OnboardLogs"\RTDC4003\2016-12-30 --exclude "*" --recursive --include "*20161230*" &amp; "%USERPROFILE%\Documents\GitHub\mrs-test-scripts\Headless Mode &amp; Sideloading\WalkAndUnGZ.bat" "%USERPROFILE%\AppData\Local\Temp\OnboardLogs"\RTDC4003\2016-12-30</v>
      </c>
      <c r="AF130" s="84" t="str">
        <f t="shared" si="34"/>
        <v>"C:\Program Files (x86)\AstroGrep\AstroGrep.exe" /spath="%USERPROFILE%\AppData\Local\Temp\OnboardLogs" /stypes="app*4003*20161230*" /stext=" 02:.+((SYSTEM_STATE.+slice.+state.+changed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88" t="str">
        <f t="shared" si="20"/>
        <v>"%USERPROFILE%\Documents\GitHub\eaglep3\Utilities\RefineRTDCRunTimes.py" --tripid 221-29 --locoid 4003 --swversion DE.1.0.8.0 --startMP 204:442 --initTime 2016-12-29T18:54:07 --startdatetime 2016-12-29T19:00:15 --delay 1 --endMP 204:233304 --enddatetime 2016-12-29T19:38:10 --enforcementcount 0 &gt;&gt;C:\Users\stu\Documents\GitHub\eaglep3-reporting\EC\2016-12-29-refined-times.txt</v>
      </c>
      <c r="AI130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{"issue":{"subject":"","project_id":79,"tracker_id":40,"status_id":1,"priority_id":2,"assigned_to_id":23,"start_date":"2016-12-29","description":"","custom_fields":[{"id":1,"name":"Subdivision","value":"EC"},{"id":4,"name":"Milepost","value":"23.3304"},{"id":17,"name":"Train ID","value":"221-29"},{"id":16,"name":"Locomotive ID","value":"4003"},{"id":130,"name":"Impact","value":""},{"id":150,"name":"Time of Event (Mountain Time)","value":"19:38:10"},{"id":151,"name":"Denver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22"/>
        <v>start /low /b %USERPROFILE%\Documents\GitHub\eaglep3\Utilities\DownloadLogsFromS3.py --loco 4003 --day 2016-12-29</v>
      </c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459</v>
      </c>
      <c r="B131" s="7">
        <v>4004</v>
      </c>
      <c r="C131" s="22" t="s">
        <v>205</v>
      </c>
      <c r="D131" s="22" t="s">
        <v>328</v>
      </c>
      <c r="E131" s="13">
        <v>42733.822245370371</v>
      </c>
      <c r="F131" s="13">
        <v>42733.830694444441</v>
      </c>
      <c r="G131" s="7">
        <v>1</v>
      </c>
      <c r="H131" s="22" t="s">
        <v>242</v>
      </c>
      <c r="I131" s="13">
        <v>42733.859930555554</v>
      </c>
      <c r="J131" s="7">
        <v>0</v>
      </c>
      <c r="K131" s="105" t="str">
        <f t="shared" si="23"/>
        <v>4003/4004</v>
      </c>
      <c r="L131" s="22" t="str">
        <f>VLOOKUP(A131,'Trips&amp;Operators'!$C$1:$G$99999,5,FALSE)</f>
        <v>LOPES KIMBERLY</v>
      </c>
      <c r="M131" s="6">
        <f t="shared" si="24"/>
        <v>2.923611111327773E-2</v>
      </c>
      <c r="N131" s="7">
        <f t="shared" si="37"/>
        <v>42.100000003119931</v>
      </c>
      <c r="O131" s="7"/>
      <c r="P131" s="7"/>
      <c r="Q131" s="23"/>
      <c r="R131" s="23"/>
      <c r="S131" s="32">
        <f t="shared" si="25"/>
        <v>1</v>
      </c>
      <c r="T131" s="47" t="str">
        <f t="shared" si="26"/>
        <v>Southbound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18:44:02-700',mode:absolute,to:'2016-12-29 21:38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1" s="49" t="str">
        <f t="shared" si="28"/>
        <v>N</v>
      </c>
      <c r="X131" s="173">
        <f t="shared" si="40"/>
        <v>1</v>
      </c>
      <c r="Y131" s="64">
        <f t="shared" si="29"/>
        <v>23.2989</v>
      </c>
      <c r="Z131" s="64">
        <f t="shared" si="30"/>
        <v>1.6299999999999999E-2</v>
      </c>
      <c r="AA131" s="64">
        <f t="shared" si="31"/>
        <v>23.282599999999999</v>
      </c>
      <c r="AB131" s="61" t="str">
        <f>VLOOKUP(A131,Enforcements!$C$7:$K$19,8,0)</f>
        <v>Speed (6)</v>
      </c>
      <c r="AC131" s="57" t="str">
        <f>VLOOKUP(A131,Enforcements!$C$7:$E$19,3,0)</f>
        <v>PERMANENT SPEED RESTRICTION</v>
      </c>
      <c r="AD131" s="58" t="str">
        <f t="shared" si="32"/>
        <v>0222-29</v>
      </c>
      <c r="AE131" s="87" t="str">
        <f t="shared" si="33"/>
        <v>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 &amp; aws s3 cp s3://rtdc.mdm.uploadarchive.raw/RTDC4004/ "%USERPROFILE%\AppData\Local\Temp\OnboardLogs"\RTDC4004\2016-12-30 --exclude "*" --recursive --include "*20161230*" &amp; "%USERPROFILE%\Documents\GitHub\mrs-test-scripts\Headless Mode &amp; Sideloading\WalkAndUnGZ.bat" "%USERPROFILE%\AppData\Local\Temp\OnboardLogs"\RTDC4004\2016-12-30</v>
      </c>
      <c r="AF131" s="84" t="str">
        <f t="shared" si="34"/>
        <v>"C:\Program Files (x86)\AstroGrep\AstroGrep.exe" /spath="%USERPROFILE%\AppData\Local\Temp\OnboardLogs" /stypes="app*4004*20161230*" /stext=" 03:.+((SYSTEM_STATE.+slice.+state.+changed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88" t="str">
        <f t="shared" si="20"/>
        <v>"%USERPROFILE%\Documents\GitHub\eaglep3\Utilities\RefineRTDCRunTimes.py" --tripid 222-29 --locoid 4004 --swversion DE.1.0.8.0 --startMP 204:232989 --initTime 2016-12-29T19:44:02 --startdatetime 2016-12-29T19:56:12 --delay 1 --endMP 204:163 --enddatetime 2016-12-29T20:38:18 --enforcementcount 0 &gt;&gt;C:\Users\stu\Documents\GitHub\eaglep3-reporting\EC\2016-12-29-refined-times.txt</v>
      </c>
      <c r="AI131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{"issue":{"subject":"","project_id":79,"tracker_id":40,"status_id":1,"priority_id":2,"assigned_to_id":23,"start_date":"2016-12-29","description":"","custom_fields":[{"id":1,"name":"Subdivision","value":"EC"},{"id":4,"name":"Milepost","value":"0.0163"},{"id":17,"name":"Train ID","value":"222-29"},{"id":16,"name":"Locomotive ID","value":"4004"},{"id":130,"name":"Impact","value":""},{"id":150,"name":"Time of Event (Mountain Time)","value":"20:38:18"},{"id":151,"name":"Denver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22"/>
        <v>start /low /b %USERPROFILE%\Documents\GitHub\eaglep3\Utilities\DownloadLogsFromS3.py --loco 4004 --day 2016-12-29</v>
      </c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648</v>
      </c>
      <c r="B132" s="7">
        <v>4044</v>
      </c>
      <c r="C132" s="22" t="s">
        <v>205</v>
      </c>
      <c r="D132" s="22" t="s">
        <v>396</v>
      </c>
      <c r="E132" s="13">
        <v>42733.808935185189</v>
      </c>
      <c r="F132" s="13">
        <v>42733.812673611108</v>
      </c>
      <c r="G132" s="7">
        <v>1</v>
      </c>
      <c r="H132" s="22" t="s">
        <v>265</v>
      </c>
      <c r="I132" s="13">
        <v>42733.836956018517</v>
      </c>
      <c r="J132" s="7">
        <v>0</v>
      </c>
      <c r="K132" s="105" t="str">
        <f t="shared" si="23"/>
        <v>4043/4044</v>
      </c>
      <c r="L132" s="22" t="str">
        <f>VLOOKUP(A132,'Trips&amp;Operators'!$C$1:$G$99999,5,FALSE)</f>
        <v>NEWELL JAMES</v>
      </c>
      <c r="M132" s="6">
        <f t="shared" si="24"/>
        <v>2.4282407408463769E-2</v>
      </c>
      <c r="N132" s="7">
        <f t="shared" si="37"/>
        <v>34.966666668187827</v>
      </c>
      <c r="O132" s="7"/>
      <c r="P132" s="7"/>
      <c r="Q132" s="23"/>
      <c r="R132" s="23"/>
      <c r="S132" s="32">
        <f t="shared" si="25"/>
        <v>1</v>
      </c>
      <c r="T132" s="47" t="str">
        <f t="shared" si="26"/>
        <v>NorthBound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18:24:52-700',mode:absolute,to:'2016-12-29 21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2" s="49" t="str">
        <f t="shared" si="28"/>
        <v>N</v>
      </c>
      <c r="X132" s="173">
        <f t="shared" si="40"/>
        <v>1</v>
      </c>
      <c r="Y132" s="64">
        <f t="shared" si="29"/>
        <v>4.4200000000000003E-2</v>
      </c>
      <c r="Z132" s="64">
        <f t="shared" si="30"/>
        <v>23.328900000000001</v>
      </c>
      <c r="AA132" s="64">
        <f t="shared" si="31"/>
        <v>23.284700000000001</v>
      </c>
      <c r="AB132" s="61" t="e">
        <f>VLOOKUP(A132,Enforcements!$C$7:$K$19,8,0)</f>
        <v>#N/A</v>
      </c>
      <c r="AC132" s="57" t="e">
        <f>VLOOKUP(A132,Enforcements!$C$7:$E$19,3,0)</f>
        <v>#N/A</v>
      </c>
      <c r="AD132" s="58" t="str">
        <f t="shared" si="32"/>
        <v>0223-29</v>
      </c>
      <c r="AE132" s="87" t="str">
        <f t="shared" si="33"/>
        <v>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 &amp; aws s3 cp s3://rtdc.mdm.uploadarchive.raw/RTDC4044/ "%USERPROFILE%\AppData\Local\Temp\OnboardLogs"\RTDC4044\2016-12-30 --exclude "*" --recursive --include "*20161230*" &amp; "%USERPROFILE%\Documents\GitHub\mrs-test-scripts\Headless Mode &amp; Sideloading\WalkAndUnGZ.bat" "%USERPROFILE%\AppData\Local\Temp\OnboardLogs"\RTDC4044\2016-12-30</v>
      </c>
      <c r="AF132" s="84" t="str">
        <f t="shared" si="34"/>
        <v>"C:\Program Files (x86)\AstroGrep\AstroGrep.exe" /spath="%USERPROFILE%\AppData\Local\Temp\OnboardLogs" /stypes="app*4044*20161230*" /stext=" 03:.+((SYSTEM_STATE.+slice.+state.+changed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88" t="str">
        <f t="shared" si="20"/>
        <v>"%USERPROFILE%\Documents\GitHub\eaglep3\Utilities\RefineRTDCRunTimes.py" --tripid 223-29 --locoid 4044 --swversion DE.1.0.8.0 --startMP 204:442 --initTime 2016-12-29T19:24:52 --startdatetime 2016-12-29T19:30:15 --delay 1 --endMP 204:233289 --enddatetime 2016-12-29T20:05:13 --enforcementcount 0 &gt;&gt;C:\Users\stu\Documents\GitHub\eaglep3-reporting\EC\2016-12-29-refined-times.txt</v>
      </c>
      <c r="AI132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{"issue":{"subject":"","project_id":79,"tracker_id":40,"status_id":1,"priority_id":2,"assigned_to_id":23,"start_date":"2016-12-29","description":"","custom_fields":[{"id":1,"name":"Subdivision","value":"EC"},{"id":4,"name":"Milepost","value":"23.3289"},{"id":17,"name":"Train ID","value":"223-29"},{"id":16,"name":"Locomotive ID","value":"4044"},{"id":130,"name":"Impact","value":""},{"id":150,"name":"Time of Event (Mountain Time)","value":"20:05:13"},{"id":151,"name":"Denver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22"/>
        <v>start /low /b %USERPROFILE%\Documents\GitHub\eaglep3\Utilities\DownloadLogsFromS3.py --loco 4044 --day 2016-12-29</v>
      </c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654</v>
      </c>
      <c r="B133" s="7">
        <v>4043</v>
      </c>
      <c r="C133" s="22" t="s">
        <v>205</v>
      </c>
      <c r="D133" s="22" t="s">
        <v>301</v>
      </c>
      <c r="E133" s="13">
        <v>42733.842847222222</v>
      </c>
      <c r="F133" s="13">
        <v>42733.851782407408</v>
      </c>
      <c r="G133" s="7">
        <v>1</v>
      </c>
      <c r="H133" s="22" t="s">
        <v>697</v>
      </c>
      <c r="I133" s="13">
        <v>42733.880208333336</v>
      </c>
      <c r="J133" s="7">
        <v>0</v>
      </c>
      <c r="K133" s="105" t="str">
        <f t="shared" si="23"/>
        <v>4043/4044</v>
      </c>
      <c r="L133" s="22" t="str">
        <f>VLOOKUP(A133,'Trips&amp;Operators'!$C$1:$G$99999,5,FALSE)</f>
        <v>NEWELL JAMES</v>
      </c>
      <c r="M133" s="6">
        <f t="shared" si="24"/>
        <v>2.842592592787696E-2</v>
      </c>
      <c r="N133" s="7">
        <f t="shared" si="37"/>
        <v>40.933333336142823</v>
      </c>
      <c r="O133" s="7"/>
      <c r="P133" s="7"/>
      <c r="Q133" s="23"/>
      <c r="R133" s="23"/>
      <c r="S133" s="32">
        <f t="shared" si="25"/>
        <v>1</v>
      </c>
      <c r="T133" s="47" t="str">
        <f t="shared" si="26"/>
        <v>Southbound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19:13:42-700',mode:absolute,to:'2016-12-29 22:07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3" s="49" t="str">
        <f t="shared" si="28"/>
        <v>N</v>
      </c>
      <c r="X133" s="173">
        <f t="shared" si="40"/>
        <v>1</v>
      </c>
      <c r="Y133" s="64">
        <f t="shared" si="29"/>
        <v>23.297999999999998</v>
      </c>
      <c r="Z133" s="64">
        <f t="shared" si="30"/>
        <v>1.61E-2</v>
      </c>
      <c r="AA133" s="64">
        <f t="shared" si="31"/>
        <v>23.281899999999997</v>
      </c>
      <c r="AB133" s="61" t="e">
        <f>VLOOKUP(A133,Enforcements!$C$7:$K$19,8,0)</f>
        <v>#N/A</v>
      </c>
      <c r="AC133" s="57" t="e">
        <f>VLOOKUP(A133,Enforcements!$C$7:$E$19,3,0)</f>
        <v>#N/A</v>
      </c>
      <c r="AD133" s="58" t="str">
        <f t="shared" si="32"/>
        <v>0224-29</v>
      </c>
      <c r="AE133" s="87" t="str">
        <f t="shared" si="33"/>
        <v>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 &amp; aws s3 cp s3://rtdc.mdm.uploadarchive.raw/RTDC4043/ "%USERPROFILE%\AppData\Local\Temp\OnboardLogs"\RTDC4043\2016-12-30 --exclude "*" --recursive --include "*20161230*" &amp; "%USERPROFILE%\Documents\GitHub\mrs-test-scripts\Headless Mode &amp; Sideloading\WalkAndUnGZ.bat" "%USERPROFILE%\AppData\Local\Temp\OnboardLogs"\RTDC4043\2016-12-30</v>
      </c>
      <c r="AF133" s="84" t="str">
        <f t="shared" si="34"/>
        <v>"C:\Program Files (x86)\AstroGrep\AstroGrep.exe" /spath="%USERPROFILE%\AppData\Local\Temp\OnboardLogs" /stypes="app*4043*20161230*" /stext=" 04:.+((SYSTEM_STATE.+slice.+state.+changed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88" t="str">
        <f t="shared" si="20"/>
        <v>"%USERPROFILE%\Documents\GitHub\eaglep3\Utilities\RefineRTDCRunTimes.py" --tripid 224-29 --locoid 4043 --swversion DE.1.0.8.0 --startMP 204:232980 --initTime 2016-12-29T20:13:42 --startdatetime 2016-12-29T20:26:34 --delay 1 --endMP 204:161 --enddatetime 2016-12-29T21:07:30 --enforcementcount 0 &gt;&gt;C:\Users\stu\Documents\GitHub\eaglep3-reporting\EC\2016-12-29-refined-times.txt</v>
      </c>
      <c r="AI133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{"issue":{"subject":"","project_id":79,"tracker_id":40,"status_id":1,"priority_id":2,"assigned_to_id":23,"start_date":"2016-12-29","description":"","custom_fields":[{"id":1,"name":"Subdivision","value":"EC"},{"id":4,"name":"Milepost","value":"0.0161"},{"id":17,"name":"Train ID","value":"224-29"},{"id":16,"name":"Locomotive ID","value":"4043"},{"id":130,"name":"Impact","value":""},{"id":150,"name":"Time of Event (Mountain Time)","value":"21:07:30"},{"id":151,"name":"Denver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22"/>
        <v>start /low /b %USERPROFILE%\Documents\GitHub\eaglep3\Utilities\DownloadLogsFromS3.py --loco 4043 --day 2016-12-29</v>
      </c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651</v>
      </c>
      <c r="B134" s="7">
        <v>4002</v>
      </c>
      <c r="C134" s="22" t="s">
        <v>205</v>
      </c>
      <c r="D134" s="22" t="s">
        <v>194</v>
      </c>
      <c r="E134" s="13">
        <v>42733.832280092596</v>
      </c>
      <c r="F134" s="13">
        <v>42733.833738425928</v>
      </c>
      <c r="G134" s="7">
        <v>1</v>
      </c>
      <c r="H134" s="22" t="s">
        <v>717</v>
      </c>
      <c r="I134" s="13">
        <v>42733.861076388886</v>
      </c>
      <c r="J134" s="7">
        <v>0</v>
      </c>
      <c r="K134" s="105" t="str">
        <f t="shared" si="23"/>
        <v>4001/4002</v>
      </c>
      <c r="L134" s="22" t="str">
        <f>VLOOKUP(A134,'Trips&amp;Operators'!$C$1:$G$99999,5,FALSE)</f>
        <v>BROWN JACOB</v>
      </c>
      <c r="M134" s="6">
        <f t="shared" si="24"/>
        <v>2.7337962957972195E-2</v>
      </c>
      <c r="N134" s="7">
        <f t="shared" si="37"/>
        <v>39.366666659479961</v>
      </c>
      <c r="O134" s="7"/>
      <c r="P134" s="7"/>
      <c r="Q134" s="23"/>
      <c r="R134" s="23"/>
      <c r="S134" s="32">
        <f t="shared" si="25"/>
        <v>1</v>
      </c>
      <c r="T134" s="47" t="str">
        <f t="shared" si="26"/>
        <v>NorthBound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18:58:29-700',mode:absolute,to:'2016-12-29 21:39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4" s="49" t="str">
        <f t="shared" si="28"/>
        <v>N</v>
      </c>
      <c r="X134" s="173">
        <f t="shared" si="40"/>
        <v>1</v>
      </c>
      <c r="Y134" s="64">
        <f t="shared" si="29"/>
        <v>4.5100000000000001E-2</v>
      </c>
      <c r="Z134" s="64">
        <f t="shared" si="30"/>
        <v>23.336600000000001</v>
      </c>
      <c r="AA134" s="64">
        <f t="shared" si="31"/>
        <v>23.291499999999999</v>
      </c>
      <c r="AB134" s="61" t="e">
        <f>VLOOKUP(A134,Enforcements!$C$7:$K$19,8,0)</f>
        <v>#N/A</v>
      </c>
      <c r="AC134" s="57" t="e">
        <f>VLOOKUP(A134,Enforcements!$C$7:$E$19,3,0)</f>
        <v>#N/A</v>
      </c>
      <c r="AD134" s="58" t="str">
        <f t="shared" si="32"/>
        <v>0225-29</v>
      </c>
      <c r="AE134" s="87" t="str">
        <f t="shared" si="33"/>
        <v>aws s3 cp s3://rtdc.mdm.uploadarchive.raw/RTDC4002/ "%USERPROFILE%\AppData\Local\Temp\OnboardLogs"\RTDC4002\2016-12-29 --exclude "*" --recursive --include "*20161229*" &amp; "%USERPROFILE%\Documents\GitHub\mrs-test-scripts\Headless Mode &amp; Sideloading\WalkAndUnGZ.bat" "%USERPROFILE%\AppData\Local\Temp\OnboardLogs"\RTDC4002\2016-12-29 &amp; aws s3 cp s3://rtdc.mdm.uploadarchive.raw/RTDC4002/ "%USERPROFILE%\AppData\Local\Temp\OnboardLogs"\RTDC4002\2016-12-30 --exclude "*" --recursive --include "*20161230*" &amp; "%USERPROFILE%\Documents\GitHub\mrs-test-scripts\Headless Mode &amp; Sideloading\WalkAndUnGZ.bat" "%USERPROFILE%\AppData\Local\Temp\OnboardLogs"\RTDC4002\2016-12-30</v>
      </c>
      <c r="AF134" s="84" t="str">
        <f t="shared" si="34"/>
        <v>"C:\Program Files (x86)\AstroGrep\AstroGrep.exe" /spath="%USERPROFILE%\AppData\Local\Temp\OnboardLogs" /stypes="app*4002*20161230*" /stext=" 03:.+((SYSTEM_STATE.+slice.+state.+changed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88" t="str">
        <f t="shared" si="20"/>
        <v>"%USERPROFILE%\Documents\GitHub\eaglep3\Utilities\RefineRTDCRunTimes.py" --tripid 225-29 --locoid 4002 --swversion DE.1.0.8.0 --startMP 204:451 --initTime 2016-12-29T19:58:29 --startdatetime 2016-12-29T20:00:35 --delay 1 --endMP 204:233366 --enddatetime 2016-12-29T20:39:57 --enforcementcount 0 &gt;&gt;C:\Users\stu\Documents\GitHub\eaglep3-reporting\EC\2016-12-29-refined-times.txt</v>
      </c>
      <c r="AI134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{"issue":{"subject":"","project_id":79,"tracker_id":40,"status_id":1,"priority_id":2,"assigned_to_id":23,"start_date":"2016-12-29","description":"","custom_fields":[{"id":1,"name":"Subdivision","value":"EC"},{"id":4,"name":"Milepost","value":"23.3366"},{"id":17,"name":"Train ID","value":"225-29"},{"id":16,"name":"Locomotive ID","value":"4002"},{"id":130,"name":"Impact","value":""},{"id":150,"name":"Time of Event (Mountain Time)","value":"20:39:57"},{"id":151,"name":"Denver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22"/>
        <v>start /low /b %USERPROFILE%\Documents\GitHub\eaglep3\Utilities\DownloadLogsFromS3.py --loco 4002 --day 2016-12-29</v>
      </c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657</v>
      </c>
      <c r="B135" s="7">
        <v>4001</v>
      </c>
      <c r="C135" s="22" t="s">
        <v>205</v>
      </c>
      <c r="D135" s="22" t="s">
        <v>400</v>
      </c>
      <c r="E135" s="13">
        <v>42733.868171296293</v>
      </c>
      <c r="F135" s="13">
        <v>42733.872430555559</v>
      </c>
      <c r="G135" s="7">
        <v>1</v>
      </c>
      <c r="H135" s="22" t="s">
        <v>258</v>
      </c>
      <c r="I135" s="13">
        <v>42733.901099537034</v>
      </c>
      <c r="J135" s="7">
        <v>0</v>
      </c>
      <c r="K135" s="105" t="str">
        <f t="shared" si="23"/>
        <v>4001/4002</v>
      </c>
      <c r="L135" s="22" t="str">
        <f>VLOOKUP(A135,'Trips&amp;Operators'!$C$1:$G$99999,5,FALSE)</f>
        <v>BROWN JACOB</v>
      </c>
      <c r="M135" s="6">
        <f t="shared" si="24"/>
        <v>2.8668981474766042E-2</v>
      </c>
      <c r="N135" s="7">
        <f t="shared" si="37"/>
        <v>41.283333323663101</v>
      </c>
      <c r="O135" s="7"/>
      <c r="P135" s="7"/>
      <c r="Q135" s="23"/>
      <c r="R135" s="23"/>
      <c r="S135" s="32">
        <f t="shared" si="25"/>
        <v>1</v>
      </c>
      <c r="T135" s="47" t="str">
        <f t="shared" si="26"/>
        <v>Southbound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19:50:10-700',mode:absolute,to:'2016-12-29 22:37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5" s="49" t="str">
        <f t="shared" si="28"/>
        <v>N</v>
      </c>
      <c r="X135" s="173">
        <f t="shared" si="40"/>
        <v>1</v>
      </c>
      <c r="Y135" s="64">
        <f t="shared" si="29"/>
        <v>23.302499999999998</v>
      </c>
      <c r="Z135" s="64">
        <f t="shared" si="30"/>
        <v>1.6E-2</v>
      </c>
      <c r="AA135" s="64">
        <f t="shared" si="31"/>
        <v>23.2865</v>
      </c>
      <c r="AB135" s="61" t="e">
        <f>VLOOKUP(A135,Enforcements!$C$7:$K$19,8,0)</f>
        <v>#N/A</v>
      </c>
      <c r="AC135" s="57" t="e">
        <f>VLOOKUP(A135,Enforcements!$C$7:$E$19,3,0)</f>
        <v>#N/A</v>
      </c>
      <c r="AD135" s="58" t="str">
        <f t="shared" si="32"/>
        <v>0226-29</v>
      </c>
      <c r="AE135" s="87" t="str">
        <f t="shared" si="33"/>
        <v>aws s3 cp s3://rtdc.mdm.uploadarchive.raw/RTDC4001/ "%USERPROFILE%\AppData\Local\Temp\OnboardLogs"\RTDC4001\2016-12-29 --exclude "*" --recursive --include "*20161229*" &amp; "%USERPROFILE%\Documents\GitHub\mrs-test-scripts\Headless Mode &amp; Sideloading\WalkAndUnGZ.bat" "%USERPROFILE%\AppData\Local\Temp\OnboardLogs"\RTDC4001\2016-12-29 &amp; aws s3 cp s3://rtdc.mdm.uploadarchive.raw/RTDC4001/ "%USERPROFILE%\AppData\Local\Temp\OnboardLogs"\RTDC4001\2016-12-30 --exclude "*" --recursive --include "*20161230*" &amp; "%USERPROFILE%\Documents\GitHub\mrs-test-scripts\Headless Mode &amp; Sideloading\WalkAndUnGZ.bat" "%USERPROFILE%\AppData\Local\Temp\OnboardLogs"\RTDC4001\2016-12-30</v>
      </c>
      <c r="AF135" s="84" t="str">
        <f t="shared" si="34"/>
        <v>"C:\Program Files (x86)\AstroGrep\AstroGrep.exe" /spath="%USERPROFILE%\AppData\Local\Temp\OnboardLogs" /stypes="app*4001*20161230*" /stext=" 04:.+((SYSTEM_STATE.+slice.+state.+changed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88" t="str">
        <f t="shared" si="20"/>
        <v>"%USERPROFILE%\Documents\GitHub\eaglep3\Utilities\RefineRTDCRunTimes.py" --tripid 226-29 --locoid 4001 --swversion DE.1.0.8.0 --startMP 204:233025 --initTime 2016-12-29T20:50:10 --startdatetime 2016-12-29T20:56:18 --delay 1 --endMP 204:160 --enddatetime 2016-12-29T21:37:35 --enforcementcount 0 &gt;&gt;C:\Users\stu\Documents\GitHub\eaglep3-reporting\EC\2016-12-29-refined-times.txt</v>
      </c>
      <c r="AI135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{"issue":{"subject":"","project_id":79,"tracker_id":40,"status_id":1,"priority_id":2,"assigned_to_id":23,"start_date":"2016-12-29","description":"","custom_fields":[{"id":1,"name":"Subdivision","value":"EC"},{"id":4,"name":"Milepost","value":"0.016"},{"id":17,"name":"Train ID","value":"226-29"},{"id":16,"name":"Locomotive ID","value":"4001"},{"id":130,"name":"Impact","value":""},{"id":150,"name":"Time of Event (Mountain Time)","value":"21:37:35"},{"id":151,"name":"Denver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22"/>
        <v>start /low /b %USERPROFILE%\Documents\GitHub\eaglep3\Utilities\DownloadLogsFromS3.py --loco 4001 --day 2016-12-29</v>
      </c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653</v>
      </c>
      <c r="B136" s="7">
        <v>4014</v>
      </c>
      <c r="C136" s="22" t="s">
        <v>205</v>
      </c>
      <c r="D136" s="22" t="s">
        <v>718</v>
      </c>
      <c r="E136" s="13">
        <v>42733.840497685182</v>
      </c>
      <c r="F136" s="13">
        <v>42733.854375000003</v>
      </c>
      <c r="G136" s="7">
        <v>1</v>
      </c>
      <c r="H136" s="22" t="s">
        <v>407</v>
      </c>
      <c r="I136" s="13">
        <v>42733.879918981482</v>
      </c>
      <c r="J136" s="7">
        <v>0</v>
      </c>
      <c r="K136" s="105" t="str">
        <f t="shared" si="23"/>
        <v>4013/4014</v>
      </c>
      <c r="L136" s="22" t="str">
        <f>VLOOKUP(A136,'Trips&amp;Operators'!$C$1:$G$99999,5,FALSE)</f>
        <v>HILLS DUSTIN</v>
      </c>
      <c r="M136" s="6">
        <f t="shared" si="24"/>
        <v>2.5543981479131617E-2</v>
      </c>
      <c r="N136" s="7">
        <f t="shared" si="37"/>
        <v>36.783333329949528</v>
      </c>
      <c r="O136" s="7"/>
      <c r="P136" s="7"/>
      <c r="Q136" s="23"/>
      <c r="R136" s="23"/>
      <c r="S136" s="32">
        <f t="shared" si="25"/>
        <v>1</v>
      </c>
      <c r="T136" s="47" t="str">
        <f t="shared" si="26"/>
        <v>NorthBound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19:10:19-700',mode:absolute,to:'2016-12-29 22:07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6" s="49" t="str">
        <f t="shared" si="28"/>
        <v>N</v>
      </c>
      <c r="X136" s="173">
        <f t="shared" si="40"/>
        <v>1</v>
      </c>
      <c r="Y136" s="64">
        <f t="shared" si="29"/>
        <v>3.9800000000000002E-2</v>
      </c>
      <c r="Z136" s="64">
        <f t="shared" si="30"/>
        <v>23.338699999999999</v>
      </c>
      <c r="AA136" s="64">
        <f t="shared" si="31"/>
        <v>23.2989</v>
      </c>
      <c r="AB136" s="61" t="e">
        <f>VLOOKUP(A136,Enforcements!$C$7:$K$19,8,0)</f>
        <v>#N/A</v>
      </c>
      <c r="AC136" s="57" t="e">
        <f>VLOOKUP(A136,Enforcements!$C$7:$E$19,3,0)</f>
        <v>#N/A</v>
      </c>
      <c r="AD136" s="58" t="str">
        <f t="shared" si="32"/>
        <v>0227-29</v>
      </c>
      <c r="AE136" s="87" t="str">
        <f t="shared" si="33"/>
        <v>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 &amp; aws s3 cp s3://rtdc.mdm.uploadarchive.raw/RTDC4014/ "%USERPROFILE%\AppData\Local\Temp\OnboardLogs"\RTDC4014\2016-12-30 --exclude "*" --recursive --include "*20161230*" &amp; "%USERPROFILE%\Documents\GitHub\mrs-test-scripts\Headless Mode &amp; Sideloading\WalkAndUnGZ.bat" "%USERPROFILE%\AppData\Local\Temp\OnboardLogs"\RTDC4014\2016-12-30</v>
      </c>
      <c r="AF136" s="84" t="str">
        <f t="shared" si="34"/>
        <v>"C:\Program Files (x86)\AstroGrep\AstroGrep.exe" /spath="%USERPROFILE%\AppData\Local\Temp\OnboardLogs" /stypes="app*4014*20161230*" /stext=" 04:.+((SYSTEM_STATE.+slice.+state.+changed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88" t="str">
        <f t="shared" si="20"/>
        <v>"%USERPROFILE%\Documents\GitHub\eaglep3\Utilities\RefineRTDCRunTimes.py" --tripid 227-29 --locoid 4014 --swversion DE.1.0.8.0 --startMP 204:398 --initTime 2016-12-29T20:10:19 --startdatetime 2016-12-29T20:30:18 --delay 1 --endMP 204:233387 --enddatetime 2016-12-29T21:07:05 --enforcementcount 0 &gt;&gt;C:\Users\stu\Documents\GitHub\eaglep3-reporting\EC\2016-12-29-refined-times.txt</v>
      </c>
      <c r="AI136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{"issue":{"subject":"","project_id":79,"tracker_id":40,"status_id":1,"priority_id":2,"assigned_to_id":23,"start_date":"2016-12-29","description":"","custom_fields":[{"id":1,"name":"Subdivision","value":"EC"},{"id":4,"name":"Milepost","value":"23.3387"},{"id":17,"name":"Train ID","value":"227-29"},{"id":16,"name":"Locomotive ID","value":"4014"},{"id":130,"name":"Impact","value":""},{"id":150,"name":"Time of Event (Mountain Time)","value":"21:07:05"},{"id":151,"name":"Denver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22"/>
        <v>start /low /b %USERPROFILE%\Documents\GitHub\eaglep3\Utilities\DownloadLogsFromS3.py --loco 4014 --day 2016-12-29</v>
      </c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658</v>
      </c>
      <c r="B137" s="7">
        <v>4013</v>
      </c>
      <c r="C137" s="22" t="s">
        <v>205</v>
      </c>
      <c r="D137" s="22" t="s">
        <v>411</v>
      </c>
      <c r="E137" s="13">
        <v>42733.881319444445</v>
      </c>
      <c r="F137" s="13">
        <v>42733.893333333333</v>
      </c>
      <c r="G137" s="7">
        <v>0</v>
      </c>
      <c r="H137" s="22" t="s">
        <v>719</v>
      </c>
      <c r="I137" s="13">
        <v>42733.921365740738</v>
      </c>
      <c r="J137" s="7">
        <v>0</v>
      </c>
      <c r="K137" s="105" t="str">
        <f t="shared" si="23"/>
        <v>4013/4014</v>
      </c>
      <c r="L137" s="22" t="str">
        <f>VLOOKUP(A137,'Trips&amp;Operators'!$C$1:$G$99999,5,FALSE)</f>
        <v>HILLS DUSTIN</v>
      </c>
      <c r="M137" s="6">
        <f t="shared" si="24"/>
        <v>2.8032407404680271E-2</v>
      </c>
      <c r="N137" s="7">
        <f t="shared" si="37"/>
        <v>40.36666666273959</v>
      </c>
      <c r="O137" s="7"/>
      <c r="P137" s="7"/>
      <c r="Q137" s="23"/>
      <c r="R137" s="23"/>
      <c r="S137" s="32">
        <f t="shared" si="25"/>
        <v>1</v>
      </c>
      <c r="T137" s="47" t="str">
        <f t="shared" si="26"/>
        <v>Southbound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20:09:06-700',mode:absolute,to:'2016-12-29 23:06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7" s="49" t="str">
        <f t="shared" si="28"/>
        <v>N</v>
      </c>
      <c r="X137" s="173">
        <f t="shared" si="40"/>
        <v>1</v>
      </c>
      <c r="Y137" s="64">
        <f t="shared" si="29"/>
        <v>23.307600000000001</v>
      </c>
      <c r="Z137" s="64">
        <f t="shared" si="30"/>
        <v>1.03E-2</v>
      </c>
      <c r="AA137" s="64">
        <f t="shared" si="31"/>
        <v>23.2973</v>
      </c>
      <c r="AB137" s="61" t="e">
        <f>VLOOKUP(A137,Enforcements!$C$7:$K$19,8,0)</f>
        <v>#N/A</v>
      </c>
      <c r="AC137" s="57" t="e">
        <f>VLOOKUP(A137,Enforcements!$C$7:$E$19,3,0)</f>
        <v>#N/A</v>
      </c>
      <c r="AD137" s="58" t="str">
        <f t="shared" si="32"/>
        <v>0228-29</v>
      </c>
      <c r="AE137" s="87" t="str">
        <f t="shared" si="33"/>
        <v>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 &amp; aws s3 cp s3://rtdc.mdm.uploadarchive.raw/RTDC4013/ "%USERPROFILE%\AppData\Local\Temp\OnboardLogs"\RTDC4013\2016-12-30 --exclude "*" --recursive --include "*20161230*" &amp; "%USERPROFILE%\Documents\GitHub\mrs-test-scripts\Headless Mode &amp; Sideloading\WalkAndUnGZ.bat" "%USERPROFILE%\AppData\Local\Temp\OnboardLogs"\RTDC4013\2016-12-30</v>
      </c>
      <c r="AF137" s="84" t="str">
        <f t="shared" si="34"/>
        <v>"C:\Program Files (x86)\AstroGrep\AstroGrep.exe" /spath="%USERPROFILE%\AppData\Local\Temp\OnboardLogs" /stypes="app*4013*20161230*" /stext=" 05:.+((SYSTEM_STATE.+slice.+state.+changed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88" t="str">
        <f t="shared" si="20"/>
        <v>"%USERPROFILE%\Documents\GitHub\eaglep3\Utilities\RefineRTDCRunTimes.py" --tripid 228-29 --locoid 4013 --swversion DE.1.0.8.0 --startMP 204:233076 --initTime 2016-12-29T21:09:06 --startdatetime 2016-12-29T21:26:24 --delay 0 --endMP 204:103 --enddatetime 2016-12-29T22:06:46 --enforcementcount 0 &gt;&gt;C:\Users\stu\Documents\GitHub\eaglep3-reporting\EC\2016-12-29-refined-times.txt</v>
      </c>
      <c r="AI137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{"issue":{"subject":"","project_id":79,"tracker_id":40,"status_id":1,"priority_id":2,"assigned_to_id":23,"start_date":"2016-12-29","description":"","custom_fields":[{"id":1,"name":"Subdivision","value":"EC"},{"id":4,"name":"Milepost","value":"0.0103"},{"id":17,"name":"Train ID","value":"228-29"},{"id":16,"name":"Locomotive ID","value":"4013"},{"id":130,"name":"Impact","value":""},{"id":150,"name":"Time of Event (Mountain Time)","value":"22:06:46"},{"id":151,"name":"Denver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22"/>
        <v>start /low /b %USERPROFILE%\Documents\GitHub\eaglep3\Utilities\DownloadLogsFromS3.py --loco 4013 --day 2016-12-29</v>
      </c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656</v>
      </c>
      <c r="B138" s="7">
        <v>4003</v>
      </c>
      <c r="C138" s="22" t="s">
        <v>205</v>
      </c>
      <c r="D138" s="22" t="s">
        <v>698</v>
      </c>
      <c r="E138" s="13">
        <v>42733.861481481479</v>
      </c>
      <c r="F138" s="13">
        <v>42733.875243055554</v>
      </c>
      <c r="G138" s="7">
        <v>1</v>
      </c>
      <c r="H138" s="22" t="s">
        <v>720</v>
      </c>
      <c r="I138" s="13">
        <v>42733.901585648149</v>
      </c>
      <c r="J138" s="7">
        <v>0</v>
      </c>
      <c r="K138" s="105" t="str">
        <f t="shared" si="23"/>
        <v>4003/4004</v>
      </c>
      <c r="L138" s="22" t="str">
        <f>VLOOKUP(A138,'Trips&amp;Operators'!$C$1:$G$99999,5,FALSE)</f>
        <v>LOPES KIMBERLY</v>
      </c>
      <c r="M138" s="6">
        <f t="shared" si="24"/>
        <v>2.6342592595028691E-2</v>
      </c>
      <c r="N138" s="7">
        <f t="shared" si="37"/>
        <v>37.933333336841315</v>
      </c>
      <c r="O138" s="7"/>
      <c r="P138" s="7"/>
      <c r="Q138" s="23"/>
      <c r="R138" s="23"/>
      <c r="S138" s="32">
        <f t="shared" si="25"/>
        <v>1</v>
      </c>
      <c r="T138" s="47" t="str">
        <f t="shared" si="26"/>
        <v>NorthBound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19:40:32-700',mode:absolute,to:'2016-12-29 22:38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8" s="49" t="str">
        <f t="shared" si="28"/>
        <v>N</v>
      </c>
      <c r="X138" s="173">
        <f t="shared" si="40"/>
        <v>1</v>
      </c>
      <c r="Y138" s="64">
        <f t="shared" si="29"/>
        <v>4.7300000000000002E-2</v>
      </c>
      <c r="Z138" s="64">
        <f t="shared" si="30"/>
        <v>23.327200000000001</v>
      </c>
      <c r="AA138" s="64">
        <f t="shared" si="31"/>
        <v>23.279900000000001</v>
      </c>
      <c r="AB138" s="61" t="e">
        <f>VLOOKUP(A138,Enforcements!$C$7:$K$19,8,0)</f>
        <v>#N/A</v>
      </c>
      <c r="AC138" s="57" t="e">
        <f>VLOOKUP(A138,Enforcements!$C$7:$E$19,3,0)</f>
        <v>#N/A</v>
      </c>
      <c r="AD138" s="58" t="str">
        <f t="shared" si="32"/>
        <v>0229-29</v>
      </c>
      <c r="AE138" s="87" t="str">
        <f t="shared" si="33"/>
        <v>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 &amp; aws s3 cp s3://rtdc.mdm.uploadarchive.raw/RTDC4003/ "%USERPROFILE%\AppData\Local\Temp\OnboardLogs"\RTDC4003\2016-12-30 --exclude "*" --recursive --include "*20161230*" &amp; "%USERPROFILE%\Documents\GitHub\mrs-test-scripts\Headless Mode &amp; Sideloading\WalkAndUnGZ.bat" "%USERPROFILE%\AppData\Local\Temp\OnboardLogs"\RTDC4003\2016-12-30</v>
      </c>
      <c r="AF138" s="84" t="str">
        <f t="shared" si="34"/>
        <v>"C:\Program Files (x86)\AstroGrep\AstroGrep.exe" /spath="%USERPROFILE%\AppData\Local\Temp\OnboardLogs" /stypes="app*4003*20161230*" /stext=" 04:.+((SYSTEM_STATE.+slice.+state.+changed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88" t="str">
        <f t="shared" si="20"/>
        <v>"%USERPROFILE%\Documents\GitHub\eaglep3\Utilities\RefineRTDCRunTimes.py" --tripid 229-29 --locoid 4003 --swversion DE.1.0.8.0 --startMP 204:473 --initTime 2016-12-29T20:40:32 --startdatetime 2016-12-29T21:00:21 --delay 1 --endMP 204:233272 --enddatetime 2016-12-29T21:38:17 --enforcementcount 0 &gt;&gt;C:\Users\stu\Documents\GitHub\eaglep3-reporting\EC\2016-12-29-refined-times.txt</v>
      </c>
      <c r="AI138" s="115" t="str">
        <f t="shared" si="21"/>
        <v>echo {"issue":{"subject":"","project_id":79,"tracker_id":40,"status_id":1,"priority_id":2,"assigned_to_id":23,"start_date":"2016-12-29","description":"","custom_fields":[{"id":1,"name":"Subdivision","value":"EC"},{"id":4,"name":"Milepost","value":"23.3272"},{"id":17,"name":"Train ID","value":"229-29"},{"id":16,"name":"Locomotive ID","value":"4003"},{"id":130,"name":"Impact","value":""},{"id":150,"name":"Time of Event (Mountain Time)","value":"21:38:17"},{"id":151,"name":"Denver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22"/>
        <v>start /low /b %USERPROFILE%\Documents\GitHub\eaglep3\Utilities\DownloadLogsFromS3.py --loco 4003 --day 2016-12-29</v>
      </c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662</v>
      </c>
      <c r="B139" s="7">
        <v>4004</v>
      </c>
      <c r="C139" s="22" t="s">
        <v>205</v>
      </c>
      <c r="D139" s="22" t="s">
        <v>260</v>
      </c>
      <c r="E139" s="13">
        <v>42733.906655092593</v>
      </c>
      <c r="F139" s="13">
        <v>42733.914444444446</v>
      </c>
      <c r="G139" s="7">
        <v>1</v>
      </c>
      <c r="H139" s="22" t="s">
        <v>345</v>
      </c>
      <c r="I139" s="13">
        <v>42733.942881944444</v>
      </c>
      <c r="J139" s="7">
        <v>0</v>
      </c>
      <c r="K139" s="105" t="str">
        <f t="shared" si="23"/>
        <v>4003/4004</v>
      </c>
      <c r="L139" s="22" t="str">
        <f>VLOOKUP(A139,'Trips&amp;Operators'!$C$1:$G$99999,5,FALSE)</f>
        <v>LOPES KIMBERLY</v>
      </c>
      <c r="M139" s="6">
        <f t="shared" si="24"/>
        <v>2.8437499997380655E-2</v>
      </c>
      <c r="N139" s="7">
        <f t="shared" si="37"/>
        <v>40.949999996228144</v>
      </c>
      <c r="O139" s="7"/>
      <c r="P139" s="7"/>
      <c r="Q139" s="23"/>
      <c r="R139" s="23"/>
      <c r="S139" s="32">
        <f t="shared" si="25"/>
        <v>1</v>
      </c>
      <c r="T139" s="47" t="str">
        <f t="shared" si="26"/>
        <v>Southbound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20:45:35-700',mode:absolute,to:'2016-12-29 23:37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9" s="49" t="str">
        <f t="shared" si="28"/>
        <v>N</v>
      </c>
      <c r="X139" s="173">
        <f t="shared" si="40"/>
        <v>1</v>
      </c>
      <c r="Y139" s="64">
        <f t="shared" si="29"/>
        <v>23.299299999999999</v>
      </c>
      <c r="Z139" s="64">
        <f t="shared" si="30"/>
        <v>1.6899999999999998E-2</v>
      </c>
      <c r="AA139" s="64">
        <f t="shared" si="31"/>
        <v>23.282399999999999</v>
      </c>
      <c r="AB139" s="61" t="e">
        <f>VLOOKUP(A139,Enforcements!$C$7:$K$19,8,0)</f>
        <v>#N/A</v>
      </c>
      <c r="AC139" s="57" t="e">
        <f>VLOOKUP(A139,Enforcements!$C$7:$E$19,3,0)</f>
        <v>#N/A</v>
      </c>
      <c r="AD139" s="58" t="str">
        <f t="shared" si="32"/>
        <v>0230-29</v>
      </c>
      <c r="AE139" s="87" t="str">
        <f t="shared" si="33"/>
        <v>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 &amp; aws s3 cp s3://rtdc.mdm.uploadarchive.raw/RTDC4004/ "%USERPROFILE%\AppData\Local\Temp\OnboardLogs"\RTDC4004\2016-12-30 --exclude "*" --recursive --include "*20161230*" &amp; "%USERPROFILE%\Documents\GitHub\mrs-test-scripts\Headless Mode &amp; Sideloading\WalkAndUnGZ.bat" "%USERPROFILE%\AppData\Local\Temp\OnboardLogs"\RTDC4004\2016-12-30</v>
      </c>
      <c r="AF139" s="84" t="str">
        <f t="shared" si="34"/>
        <v>"C:\Program Files (x86)\AstroGrep\AstroGrep.exe" /spath="%USERPROFILE%\AppData\Local\Temp\OnboardLogs" /stypes="app*4004*20161230*" /stext=" 05:.+((SYSTEM_STATE.+slice.+state.+changed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88" t="str">
        <f t="shared" ref="AH139:AH202" si="41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230-29 --locoid 4004 --swversion DE.1.0.8.0 --startMP 204:232993 --initTime 2016-12-29T21:45:35 --startdatetime 2016-12-29T21:56:48 --delay 1 --endMP 204:169 --enddatetime 2016-12-29T22:37:45 --enforcementcount 0 &gt;&gt;C:\Users\stu\Documents\GitHub\eaglep3-reporting\EC\2016-12-29-refined-times.txt</v>
      </c>
      <c r="AI139" s="115" t="str">
        <f t="shared" ref="AI139:AI202" si="42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{"issue":{"subject":"","project_id":79,"tracker_id":40,"status_id":1,"priority_id":2,"assigned_to_id":23,"start_date":"2016-12-29","description":"","custom_fields":[{"id":1,"name":"Subdivision","value":"EC"},{"id":4,"name":"Milepost","value":"0.0169"},{"id":17,"name":"Train ID","value":"230-29"},{"id":16,"name":"Locomotive ID","value":"4004"},{"id":130,"name":"Impact","value":""},{"id":150,"name":"Time of Event (Mountain Time)","value":"22:37:45"},{"id":151,"name":"Denver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ref="AM139:AM202" si="43">"start /low /b "&amp;dls3logs&amp;" --loco "&amp;B139&amp;" --day "&amp;TEXT(F139,"YYYY-MM-DD")</f>
        <v>start /low /b %USERPROFILE%\Documents\GitHub\eaglep3\Utilities\DownloadLogsFromS3.py --loco 4004 --day 2016-12-29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660</v>
      </c>
      <c r="B140" s="7">
        <v>4044</v>
      </c>
      <c r="C140" s="22" t="s">
        <v>205</v>
      </c>
      <c r="D140" s="22" t="s">
        <v>327</v>
      </c>
      <c r="E140" s="13">
        <v>42733.889340277776</v>
      </c>
      <c r="F140" s="13">
        <v>42733.895983796298</v>
      </c>
      <c r="G140" s="7">
        <v>1</v>
      </c>
      <c r="H140" s="22" t="s">
        <v>272</v>
      </c>
      <c r="I140" s="13">
        <v>42733.921550925923</v>
      </c>
      <c r="J140" s="7">
        <v>0</v>
      </c>
      <c r="K140" s="105" t="str">
        <f t="shared" si="23"/>
        <v>4043/4044</v>
      </c>
      <c r="L140" s="22" t="str">
        <f>VLOOKUP(A140,'Trips&amp;Operators'!$C$1:$G$99999,5,FALSE)</f>
        <v>NEWELL JAMES</v>
      </c>
      <c r="M140" s="6">
        <f t="shared" si="24"/>
        <v>2.5567129625414964E-2</v>
      </c>
      <c r="N140" s="7">
        <f t="shared" si="37"/>
        <v>36.816666660597548</v>
      </c>
      <c r="O140" s="7"/>
      <c r="P140" s="7"/>
      <c r="Q140" s="23"/>
      <c r="R140" s="23"/>
      <c r="S140" s="32">
        <f t="shared" si="25"/>
        <v>1</v>
      </c>
      <c r="T140" s="47" t="str">
        <f t="shared" si="26"/>
        <v>NorthBound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27"/>
        <v>https://search-rtdc-monitor-bjffxe2xuh6vdkpspy63sjmuny.us-east-1.es.amazonaws.com/_plugin/kibana/#/discover/Steve-Slow-Train-Analysis-(2080s-and-2083s)?_g=(refreshInterval:(display:Off,section:0,value:0),time:(from:'2016-12-29 20:20:39-700',mode:absolute,to:'2016-12-29 23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0" s="49" t="str">
        <f t="shared" si="28"/>
        <v>N</v>
      </c>
      <c r="X140" s="173">
        <f t="shared" si="40"/>
        <v>1</v>
      </c>
      <c r="Y140" s="64">
        <f t="shared" si="29"/>
        <v>4.4400000000000002E-2</v>
      </c>
      <c r="Z140" s="64">
        <f t="shared" si="30"/>
        <v>23.3308</v>
      </c>
      <c r="AA140" s="64">
        <f t="shared" si="31"/>
        <v>23.2864</v>
      </c>
      <c r="AB140" s="61" t="e">
        <f>VLOOKUP(A140,Enforcements!$C$7:$K$19,8,0)</f>
        <v>#N/A</v>
      </c>
      <c r="AC140" s="57" t="e">
        <f>VLOOKUP(A140,Enforcements!$C$7:$E$19,3,0)</f>
        <v>#N/A</v>
      </c>
      <c r="AD140" s="58" t="str">
        <f t="shared" si="32"/>
        <v>0231-29</v>
      </c>
      <c r="AE140" s="87" t="str">
        <f t="shared" si="33"/>
        <v>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 &amp; aws s3 cp s3://rtdc.mdm.uploadarchive.raw/RTDC4044/ "%USERPROFILE%\AppData\Local\Temp\OnboardLogs"\RTDC4044\2016-12-30 --exclude "*" --recursive --include "*20161230*" &amp; "%USERPROFILE%\Documents\GitHub\mrs-test-scripts\Headless Mode &amp; Sideloading\WalkAndUnGZ.bat" "%USERPROFILE%\AppData\Local\Temp\OnboardLogs"\RTDC4044\2016-12-30</v>
      </c>
      <c r="AF140" s="84" t="str">
        <f t="shared" si="34"/>
        <v>"C:\Program Files (x86)\AstroGrep\AstroGrep.exe" /spath="%USERPROFILE%\AppData\Local\Temp\OnboardLogs" /stypes="app*4044*20161230*" /stext=" 05:.+((SYSTEM_STATE.+slice.+state.+changed )|(ment ac)|(multiple cpu faults)|(system.+state.+changed )|(\[timeout)|(PRM\|1\|D)|(kpr)|(kdp)|(\|lc)|(penalty))" /e /r /s</v>
      </c>
      <c r="AG140" s="1" t="str">
        <f t="shared" si="35"/>
        <v>EC</v>
      </c>
      <c r="AH140" s="88" t="str">
        <f t="shared" si="41"/>
        <v>"%USERPROFILE%\Documents\GitHub\eaglep3\Utilities\RefineRTDCRunTimes.py" --tripid 231-29 --locoid 4044 --swversion DE.1.0.8.0 --startMP 204:444 --initTime 2016-12-29T21:20:39 --startdatetime 2016-12-29T21:30:13 --delay 1 --endMP 204:233308 --enddatetime 2016-12-29T22:07:02 --enforcementcount 0 &gt;&gt;C:\Users\stu\Documents\GitHub\eaglep3-reporting\EC\2016-12-29-refined-times.txt</v>
      </c>
      <c r="AI140" s="115" t="str">
        <f t="shared" si="42"/>
        <v>echo {"issue":{"subject":"","project_id":79,"tracker_id":40,"status_id":1,"priority_id":2,"assigned_to_id":23,"start_date":"2016-12-29","description":"","custom_fields":[{"id":1,"name":"Subdivision","value":"EC"},{"id":4,"name":"Milepost","value":"23.3308"},{"id":17,"name":"Train ID","value":"231-29"},{"id":16,"name":"Locomotive ID","value":"4044"},{"id":130,"name":"Impact","value":""},{"id":150,"name":"Time of Event (Mountain Time)","value":"22:07:02"},{"id":151,"name":"Denver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43"/>
        <v>start /low /b %USERPROFILE%\Documents\GitHub\eaglep3\Utilities\DownloadLogsFromS3.py --loco 4044 --day 2016-12-29</v>
      </c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461</v>
      </c>
      <c r="B141" s="7">
        <v>4043</v>
      </c>
      <c r="C141" s="22" t="s">
        <v>205</v>
      </c>
      <c r="D141" s="22" t="s">
        <v>713</v>
      </c>
      <c r="E141" s="13">
        <v>42733.932523148149</v>
      </c>
      <c r="F141" s="13">
        <v>42733.934965277775</v>
      </c>
      <c r="G141" s="7">
        <v>2</v>
      </c>
      <c r="H141" s="22" t="s">
        <v>399</v>
      </c>
      <c r="I141" s="13">
        <v>42733.962465277778</v>
      </c>
      <c r="J141" s="7">
        <v>0</v>
      </c>
      <c r="K141" s="105" t="str">
        <f t="shared" ref="K141:K204" si="44">IF(ISEVEN(B141),(B141-1)&amp;"/"&amp;B141,B141&amp;"/"&amp;(B141+1))</f>
        <v>4043/4044</v>
      </c>
      <c r="L141" s="22" t="str">
        <f>VLOOKUP(A141,'Trips&amp;Operators'!$C$1:$G$99999,5,FALSE)</f>
        <v>NEWELL JAMES</v>
      </c>
      <c r="M141" s="6">
        <f t="shared" ref="M141:M204" si="45">I141-F141</f>
        <v>2.7500000003783498E-2</v>
      </c>
      <c r="N141" s="7">
        <f t="shared" si="37"/>
        <v>39.600000005448237</v>
      </c>
      <c r="O141" s="7"/>
      <c r="P141" s="7"/>
      <c r="Q141" s="23"/>
      <c r="R141" s="23"/>
      <c r="S141" s="32">
        <f t="shared" ref="S141:S204" si="46">SUM(U141:U141)/IF(AG141="EC",12,1)</f>
        <v>1</v>
      </c>
      <c r="T141" s="47" t="str">
        <f t="shared" ref="T141:T204" si="47">IF(ISEVEN(LEFT(AD141,4)),"Southbound","NorthBound")</f>
        <v>Southbound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48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https://search-rtdc-monitor-bjffxe2xuh6vdkpspy63sjmuny.us-east-1.es.amazonaws.com/_plugin/kibana/#/discover/Steve-Slow-Train-Analysis-(2080s-and-2083s)?_g=(refreshInterval:(display:Off,section:0,value:0),time:(from:'2016-12-29 21:22:50-700',mode:absolute,to:'2016-12-30 00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1" s="49" t="str">
        <f t="shared" ref="W141:W204" si="49">IF(AA141&lt;IF(AG141="EC",23,5.65),"Y","N")</f>
        <v>N</v>
      </c>
      <c r="X141" s="173">
        <f t="shared" si="40"/>
        <v>1</v>
      </c>
      <c r="Y141" s="64">
        <f t="shared" ref="Y141:Y204" si="50">RIGHT(D141,LEN(D141)-4)/10000</f>
        <v>23.3002</v>
      </c>
      <c r="Z141" s="64">
        <f t="shared" ref="Z141:Z204" si="51">RIGHT(H141,LEN(H141)-4)/10000</f>
        <v>1.3599999999999999E-2</v>
      </c>
      <c r="AA141" s="64">
        <f t="shared" ref="AA141:AA204" si="52">ABS(Z141-Y141)</f>
        <v>23.2866</v>
      </c>
      <c r="AB141" s="61" t="str">
        <f>VLOOKUP(A141,Enforcements!$C$7:$K$19,8,0)</f>
        <v>Bulletin (2)</v>
      </c>
      <c r="AC141" s="57" t="str">
        <f>VLOOKUP(A141,Enforcements!$C$7:$E$19,3,0)</f>
        <v>TEMPORARY SPEED RESTRICTION</v>
      </c>
      <c r="AD141" s="58" t="str">
        <f t="shared" ref="AD141:AD204" si="53">IF(LEN(A141)=6,"0"&amp;A141,A141)</f>
        <v>0232-29</v>
      </c>
      <c r="AE141" s="87" t="str">
        <f t="shared" ref="AE141:AE204" si="5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 &amp; aws s3 cp s3://rtdc.mdm.uploadarchive.raw/RTDC4043/ "%USERPROFILE%\AppData\Local\Temp\OnboardLogs"\RTDC4043\2016-12-30 --exclude "*" --recursive --include "*20161230*" &amp; "%USERPROFILE%\Documents\GitHub\mrs-test-scripts\Headless Mode &amp; Sideloading\WalkAndUnGZ.bat" "%USERPROFILE%\AppData\Local\Temp\OnboardLogs"\RTDC4043\2016-12-30</v>
      </c>
      <c r="AF141" s="84" t="str">
        <f t="shared" ref="AF141:AF204" si="55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/stypes="app*4043*20161230*" /stext=" 06:.+((SYSTEM_STATE.+slice.+state.+changed )|(ment ac)|(multiple cpu faults)|(system.+state.+changed )|(\[timeout)|(PRM\|1\|D)|(kpr)|(kdp)|(\|lc)|(penalty))" /e /r /s</v>
      </c>
      <c r="AG141" s="1" t="str">
        <f t="shared" ref="AG141:AG204" si="56">IFERROR(IF(VALUE(LEFT(AD141,2))&lt;=2,"EC",IF(OR(VALUE(LEFT(AD141,2))=8,VALUE(LEFT(AD141,2))=18),"NW","Other")),"Other")</f>
        <v>EC</v>
      </c>
      <c r="AH141" s="88" t="str">
        <f t="shared" si="41"/>
        <v>"%USERPROFILE%\Documents\GitHub\eaglep3\Utilities\RefineRTDCRunTimes.py" --tripid 232-29 --locoid 4043 --swversion DE.1.0.8.0 --startMP 204:233002 --initTime 2016-12-29T22:22:50 --startdatetime 2016-12-29T22:26:21 --delay 2 --endMP 204:136 --enddatetime 2016-12-29T23:05:57 --enforcementcount 0 &gt;&gt;C:\Users\stu\Documents\GitHub\eaglep3-reporting\EC\2016-12-29-refined-times.txt</v>
      </c>
      <c r="AI141" s="115" t="str">
        <f t="shared" si="42"/>
        <v>echo {"issue":{"subject":"","project_id":79,"tracker_id":40,"status_id":1,"priority_id":2,"assigned_to_id":23,"start_date":"2016-12-29","description":"","custom_fields":[{"id":1,"name":"Subdivision","value":"EC"},{"id":4,"name":"Milepost","value":"0.0136"},{"id":17,"name":"Train ID","value":"232-29"},{"id":16,"name":"Locomotive ID","value":"4043"},{"id":130,"name":"Impact","value":""},{"id":150,"name":"Time of Event (Mountain Time)","value":"23:05:57"},{"id":151,"name":"Denver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si="43"/>
        <v>start /low /b %USERPROFILE%\Documents\GitHub\eaglep3\Utilities\DownloadLogsFromS3.py --loco 4043 --day 2016-12-29</v>
      </c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663</v>
      </c>
      <c r="B142" s="7">
        <v>4002</v>
      </c>
      <c r="C142" s="22" t="s">
        <v>205</v>
      </c>
      <c r="D142" s="22" t="s">
        <v>398</v>
      </c>
      <c r="E142" s="13">
        <v>42733.90996527778</v>
      </c>
      <c r="F142" s="13">
        <v>42733.917071759257</v>
      </c>
      <c r="G142" s="7">
        <v>1</v>
      </c>
      <c r="H142" s="22" t="s">
        <v>413</v>
      </c>
      <c r="I142" s="13">
        <v>42733.942372685182</v>
      </c>
      <c r="J142" s="7">
        <v>0</v>
      </c>
      <c r="K142" s="105" t="str">
        <f t="shared" si="44"/>
        <v>4001/4002</v>
      </c>
      <c r="L142" s="22" t="str">
        <f>VLOOKUP(A142,'Trips&amp;Operators'!$C$1:$G$99999,5,FALSE)</f>
        <v>BROWN JACOB</v>
      </c>
      <c r="M142" s="6">
        <f t="shared" si="45"/>
        <v>2.5300925924966577E-2</v>
      </c>
      <c r="N142" s="7">
        <f t="shared" si="37"/>
        <v>36.433333331951872</v>
      </c>
      <c r="O142" s="7"/>
      <c r="P142" s="7"/>
      <c r="Q142" s="23"/>
      <c r="R142" s="23"/>
      <c r="S142" s="32">
        <f t="shared" si="46"/>
        <v>1</v>
      </c>
      <c r="T142" s="47" t="str">
        <f t="shared" si="47"/>
        <v>NorthBound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20:50:21-700',mode:absolute,to:'2016-12-29 23:37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2" s="49" t="str">
        <f t="shared" si="49"/>
        <v>N</v>
      </c>
      <c r="X142" s="173">
        <f t="shared" si="40"/>
        <v>1</v>
      </c>
      <c r="Y142" s="64">
        <f t="shared" si="50"/>
        <v>4.6699999999999998E-2</v>
      </c>
      <c r="Z142" s="64">
        <f t="shared" si="51"/>
        <v>23.334</v>
      </c>
      <c r="AA142" s="64">
        <f t="shared" si="52"/>
        <v>23.287299999999998</v>
      </c>
      <c r="AB142" s="61" t="e">
        <f>VLOOKUP(A142,Enforcements!$C$7:$K$19,8,0)</f>
        <v>#N/A</v>
      </c>
      <c r="AC142" s="57" t="e">
        <f>VLOOKUP(A142,Enforcements!$C$7:$E$19,3,0)</f>
        <v>#N/A</v>
      </c>
      <c r="AD142" s="58" t="str">
        <f t="shared" si="53"/>
        <v>0233-29</v>
      </c>
      <c r="AE142" s="87" t="str">
        <f t="shared" si="54"/>
        <v>aws s3 cp s3://rtdc.mdm.uploadarchive.raw/RTDC4002/ "%USERPROFILE%\AppData\Local\Temp\OnboardLogs"\RTDC4002\2016-12-29 --exclude "*" --recursive --include "*20161229*" &amp; "%USERPROFILE%\Documents\GitHub\mrs-test-scripts\Headless Mode &amp; Sideloading\WalkAndUnGZ.bat" "%USERPROFILE%\AppData\Local\Temp\OnboardLogs"\RTDC4002\2016-12-29 &amp; aws s3 cp s3://rtdc.mdm.uploadarchive.raw/RTDC4002/ "%USERPROFILE%\AppData\Local\Temp\OnboardLogs"\RTDC4002\2016-12-30 --exclude "*" --recursive --include "*20161230*" &amp; "%USERPROFILE%\Documents\GitHub\mrs-test-scripts\Headless Mode &amp; Sideloading\WalkAndUnGZ.bat" "%USERPROFILE%\AppData\Local\Temp\OnboardLogs"\RTDC4002\2016-12-30</v>
      </c>
      <c r="AF142" s="84" t="str">
        <f t="shared" si="55"/>
        <v>"C:\Program Files (x86)\AstroGrep\AstroGrep.exe" /spath="%USERPROFILE%\AppData\Local\Temp\OnboardLogs" /stypes="app*4002*20161230*" /stext=" 05:.+((SYSTEM_STATE.+slice.+state.+changed )|(ment ac)|(multiple cpu faults)|(system.+state.+changed )|(\[timeout)|(PRM\|1\|D)|(kpr)|(kdp)|(\|lc)|(penalty))" /e /r /s</v>
      </c>
      <c r="AG142" s="1" t="str">
        <f t="shared" si="56"/>
        <v>EC</v>
      </c>
      <c r="AH142" s="88" t="str">
        <f t="shared" si="41"/>
        <v>"%USERPROFILE%\Documents\GitHub\eaglep3\Utilities\RefineRTDCRunTimes.py" --tripid 233-29 --locoid 4002 --swversion DE.1.0.8.0 --startMP 204:467 --initTime 2016-12-29T21:50:21 --startdatetime 2016-12-29T22:00:35 --delay 1 --endMP 204:233340 --enddatetime 2016-12-29T22:37:01 --enforcementcount 0 &gt;&gt;C:\Users\stu\Documents\GitHub\eaglep3-reporting\EC\2016-12-29-refined-times.txt</v>
      </c>
      <c r="AI142" s="115" t="str">
        <f t="shared" si="42"/>
        <v>echo {"issue":{"subject":"","project_id":79,"tracker_id":40,"status_id":1,"priority_id":2,"assigned_to_id":23,"start_date":"2016-12-29","description":"","custom_fields":[{"id":1,"name":"Subdivision","value":"EC"},{"id":4,"name":"Milepost","value":"23.334"},{"id":17,"name":"Train ID","value":"233-29"},{"id":16,"name":"Locomotive ID","value":"4002"},{"id":130,"name":"Impact","value":""},{"id":150,"name":"Time of Event (Mountain Time)","value":"22:37:01"},{"id":151,"name":"Denver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43"/>
        <v>start /low /b %USERPROFILE%\Documents\GitHub\eaglep3\Utilities\DownloadLogsFromS3.py --loco 4002 --day 2016-12-29</v>
      </c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667</v>
      </c>
      <c r="B143" s="7">
        <v>4001</v>
      </c>
      <c r="C143" s="22" t="s">
        <v>205</v>
      </c>
      <c r="D143" s="22" t="s">
        <v>414</v>
      </c>
      <c r="E143" s="13">
        <v>42733.951574074075</v>
      </c>
      <c r="F143" s="13">
        <v>42733.955717592595</v>
      </c>
      <c r="G143" s="7">
        <v>1</v>
      </c>
      <c r="H143" s="22" t="s">
        <v>399</v>
      </c>
      <c r="I143" s="13">
        <v>42733.984409722223</v>
      </c>
      <c r="J143" s="7">
        <v>0</v>
      </c>
      <c r="K143" s="105" t="str">
        <f t="shared" si="44"/>
        <v>4001/4002</v>
      </c>
      <c r="L143" s="22" t="str">
        <f>VLOOKUP(A143,'Trips&amp;Operators'!$C$1:$G$99999,5,FALSE)</f>
        <v>BROWN JACOB</v>
      </c>
      <c r="M143" s="6">
        <f t="shared" si="45"/>
        <v>2.8692129628325347E-2</v>
      </c>
      <c r="N143" s="7">
        <f t="shared" si="37"/>
        <v>41.316666664788499</v>
      </c>
      <c r="O143" s="7"/>
      <c r="P143" s="7"/>
      <c r="Q143" s="23"/>
      <c r="R143" s="23"/>
      <c r="S143" s="32">
        <f t="shared" si="46"/>
        <v>1</v>
      </c>
      <c r="T143" s="47" t="str">
        <f t="shared" si="47"/>
        <v>Southbound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21:50:16-700',mode:absolute,to:'2016-12-30 00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3" s="49" t="str">
        <f t="shared" si="49"/>
        <v>N</v>
      </c>
      <c r="X143" s="173">
        <f t="shared" si="40"/>
        <v>1</v>
      </c>
      <c r="Y143" s="64">
        <f t="shared" si="50"/>
        <v>23.3019</v>
      </c>
      <c r="Z143" s="64">
        <f t="shared" si="51"/>
        <v>1.3599999999999999E-2</v>
      </c>
      <c r="AA143" s="64">
        <f t="shared" si="52"/>
        <v>23.2883</v>
      </c>
      <c r="AB143" s="61" t="e">
        <f>VLOOKUP(A143,Enforcements!$C$7:$K$19,8,0)</f>
        <v>#N/A</v>
      </c>
      <c r="AC143" s="57" t="e">
        <f>VLOOKUP(A143,Enforcements!$C$7:$E$19,3,0)</f>
        <v>#N/A</v>
      </c>
      <c r="AD143" s="58" t="str">
        <f t="shared" si="53"/>
        <v>0234-29</v>
      </c>
      <c r="AE143" s="87" t="str">
        <f t="shared" si="54"/>
        <v>aws s3 cp s3://rtdc.mdm.uploadarchive.raw/RTDC4001/ "%USERPROFILE%\AppData\Local\Temp\OnboardLogs"\RTDC4001\2016-12-29 --exclude "*" --recursive --include "*20161229*" &amp; "%USERPROFILE%\Documents\GitHub\mrs-test-scripts\Headless Mode &amp; Sideloading\WalkAndUnGZ.bat" "%USERPROFILE%\AppData\Local\Temp\OnboardLogs"\RTDC4001\2016-12-29 &amp; aws s3 cp s3://rtdc.mdm.uploadarchive.raw/RTDC4001/ "%USERPROFILE%\AppData\Local\Temp\OnboardLogs"\RTDC4001\2016-12-30 --exclude "*" --recursive --include "*20161230*" &amp; "%USERPROFILE%\Documents\GitHub\mrs-test-scripts\Headless Mode &amp; Sideloading\WalkAndUnGZ.bat" "%USERPROFILE%\AppData\Local\Temp\OnboardLogs"\RTDC4001\2016-12-30</v>
      </c>
      <c r="AF143" s="84" t="str">
        <f t="shared" si="55"/>
        <v>"C:\Program Files (x86)\AstroGrep\AstroGrep.exe" /spath="%USERPROFILE%\AppData\Local\Temp\OnboardLogs" /stypes="app*4001*20161230*" /stext=" 06:.+((SYSTEM_STATE.+slice.+state.+changed )|(ment ac)|(multiple cpu faults)|(system.+state.+changed )|(\[timeout)|(PRM\|1\|D)|(kpr)|(kdp)|(\|lc)|(penalty))" /e /r /s</v>
      </c>
      <c r="AG143" s="1" t="str">
        <f t="shared" si="56"/>
        <v>EC</v>
      </c>
      <c r="AH143" s="88" t="str">
        <f t="shared" si="41"/>
        <v>"%USERPROFILE%\Documents\GitHub\eaglep3\Utilities\RefineRTDCRunTimes.py" --tripid 234-29 --locoid 4001 --swversion DE.1.0.8.0 --startMP 204:233019 --initTime 2016-12-29T22:50:16 --startdatetime 2016-12-29T22:56:14 --delay 1 --endMP 204:136 --enddatetime 2016-12-29T23:37:33 --enforcementcount 0 &gt;&gt;C:\Users\stu\Documents\GitHub\eaglep3-reporting\EC\2016-12-29-refined-times.txt</v>
      </c>
      <c r="AI143" s="115" t="str">
        <f t="shared" si="42"/>
        <v>echo {"issue":{"subject":"","project_id":79,"tracker_id":40,"status_id":1,"priority_id":2,"assigned_to_id":23,"start_date":"2016-12-29","description":"","custom_fields":[{"id":1,"name":"Subdivision","value":"EC"},{"id":4,"name":"Milepost","value":"0.0136"},{"id":17,"name":"Train ID","value":"234-29"},{"id":16,"name":"Locomotive ID","value":"4001"},{"id":130,"name":"Impact","value":""},{"id":150,"name":"Time of Event (Mountain Time)","value":"23:37:33"},{"id":151,"name":"Denver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43"/>
        <v>start /low /b %USERPROFILE%\Documents\GitHub\eaglep3\Utilities\DownloadLogsFromS3.py --loco 4001 --day 2016-12-29</v>
      </c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462</v>
      </c>
      <c r="B144" s="7">
        <v>4014</v>
      </c>
      <c r="C144" s="22" t="s">
        <v>205</v>
      </c>
      <c r="D144" s="22" t="s">
        <v>721</v>
      </c>
      <c r="E144" s="13">
        <v>42733.922743055555</v>
      </c>
      <c r="F144" s="13">
        <v>42733.937951388885</v>
      </c>
      <c r="G144" s="7">
        <v>1</v>
      </c>
      <c r="H144" s="22" t="s">
        <v>722</v>
      </c>
      <c r="I144" s="13">
        <v>42733.963402777779</v>
      </c>
      <c r="J144" s="7">
        <v>0</v>
      </c>
      <c r="K144" s="105" t="str">
        <f t="shared" si="44"/>
        <v>4013/4014</v>
      </c>
      <c r="L144" s="22" t="str">
        <f>VLOOKUP(A144,'Trips&amp;Operators'!$C$1:$G$99999,5,FALSE)</f>
        <v>HILLS DUSTIN</v>
      </c>
      <c r="M144" s="6">
        <f t="shared" si="45"/>
        <v>2.5451388893998228E-2</v>
      </c>
      <c r="N144" s="7">
        <f t="shared" si="37"/>
        <v>36.650000007357448</v>
      </c>
      <c r="O144" s="7"/>
      <c r="P144" s="7"/>
      <c r="Q144" s="23"/>
      <c r="R144" s="23"/>
      <c r="S144" s="32">
        <f t="shared" si="46"/>
        <v>1</v>
      </c>
      <c r="T144" s="47" t="str">
        <f t="shared" si="47"/>
        <v>NorthBound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21:08:45-700',mode:absolute,to:'2016-12-30 00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4" s="49" t="str">
        <f t="shared" si="49"/>
        <v>N</v>
      </c>
      <c r="X144" s="173">
        <f t="shared" si="40"/>
        <v>1</v>
      </c>
      <c r="Y144" s="64">
        <f t="shared" si="50"/>
        <v>4.1799999999999997E-2</v>
      </c>
      <c r="Z144" s="64">
        <f t="shared" si="51"/>
        <v>23.338899999999999</v>
      </c>
      <c r="AA144" s="64">
        <f t="shared" si="52"/>
        <v>23.2971</v>
      </c>
      <c r="AB144" s="61" t="e">
        <f>VLOOKUP(A144,Enforcements!$C$7:$K$19,8,0)</f>
        <v>#N/A</v>
      </c>
      <c r="AC144" s="57" t="e">
        <f>VLOOKUP(A144,Enforcements!$C$7:$E$19,3,0)</f>
        <v>#N/A</v>
      </c>
      <c r="AD144" s="58" t="str">
        <f t="shared" si="53"/>
        <v>0235-29</v>
      </c>
      <c r="AE144" s="87" t="str">
        <f t="shared" si="54"/>
        <v>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 &amp; aws s3 cp s3://rtdc.mdm.uploadarchive.raw/RTDC4014/ "%USERPROFILE%\AppData\Local\Temp\OnboardLogs"\RTDC4014\2016-12-30 --exclude "*" --recursive --include "*20161230*" &amp; "%USERPROFILE%\Documents\GitHub\mrs-test-scripts\Headless Mode &amp; Sideloading\WalkAndUnGZ.bat" "%USERPROFILE%\AppData\Local\Temp\OnboardLogs"\RTDC4014\2016-12-30</v>
      </c>
      <c r="AF144" s="84" t="str">
        <f t="shared" si="55"/>
        <v>"C:\Program Files (x86)\AstroGrep\AstroGrep.exe" /spath="%USERPROFILE%\AppData\Local\Temp\OnboardLogs" /stypes="app*4014*20161230*" /stext=" 06:.+((SYSTEM_STATE.+slice.+state.+changed )|(ment ac)|(multiple cpu faults)|(system.+state.+changed )|(\[timeout)|(PRM\|1\|D)|(kpr)|(kdp)|(\|lc)|(penalty))" /e /r /s</v>
      </c>
      <c r="AG144" s="1" t="str">
        <f t="shared" si="56"/>
        <v>EC</v>
      </c>
      <c r="AH144" s="88" t="str">
        <f t="shared" si="41"/>
        <v>"%USERPROFILE%\Documents\GitHub\eaglep3\Utilities\RefineRTDCRunTimes.py" --tripid 235-29 --locoid 4014 --swversion DE.1.0.8.0 --startMP 204:418 --initTime 2016-12-29T22:08:45 --startdatetime 2016-12-29T22:30:39 --delay 1 --endMP 204:233389 --enddatetime 2016-12-29T23:07:18 --enforcementcount 0 &gt;&gt;C:\Users\stu\Documents\GitHub\eaglep3-reporting\EC\2016-12-29-refined-times.txt</v>
      </c>
      <c r="AI144" s="115" t="str">
        <f t="shared" si="42"/>
        <v>echo {"issue":{"subject":"","project_id":79,"tracker_id":40,"status_id":1,"priority_id":2,"assigned_to_id":23,"start_date":"2016-12-29","description":"","custom_fields":[{"id":1,"name":"Subdivision","value":"EC"},{"id":4,"name":"Milepost","value":"23.3389"},{"id":17,"name":"Train ID","value":"235-29"},{"id":16,"name":"Locomotive ID","value":"4014"},{"id":130,"name":"Impact","value":""},{"id":150,"name":"Time of Event (Mountain Time)","value":"23:07:18"},{"id":151,"name":"Denver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43"/>
        <v>start /low /b %USERPROFILE%\Documents\GitHub\eaglep3\Utilities\DownloadLogsFromS3.py --loco 4014 --day 2016-12-29</v>
      </c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668</v>
      </c>
      <c r="B145" s="7">
        <v>4013</v>
      </c>
      <c r="C145" s="22" t="s">
        <v>205</v>
      </c>
      <c r="D145" s="22" t="s">
        <v>723</v>
      </c>
      <c r="E145" s="13">
        <v>42733.965624999997</v>
      </c>
      <c r="F145" s="13">
        <v>42733.976678240739</v>
      </c>
      <c r="G145" s="7">
        <v>1</v>
      </c>
      <c r="H145" s="22" t="s">
        <v>724</v>
      </c>
      <c r="I145" s="13">
        <v>42734.005196759259</v>
      </c>
      <c r="J145" s="7">
        <v>0</v>
      </c>
      <c r="K145" s="105" t="str">
        <f t="shared" si="44"/>
        <v>4013/4014</v>
      </c>
      <c r="L145" s="22" t="str">
        <f>VLOOKUP(A145,'Trips&amp;Operators'!$C$1:$G$99999,5,FALSE)</f>
        <v>HILLS DUSTIN</v>
      </c>
      <c r="M145" s="6">
        <f t="shared" si="45"/>
        <v>2.8518518520286307E-2</v>
      </c>
      <c r="N145" s="7">
        <f t="shared" si="37"/>
        <v>41.066666669212282</v>
      </c>
      <c r="O145" s="7"/>
      <c r="P145" s="7"/>
      <c r="Q145" s="23"/>
      <c r="R145" s="23"/>
      <c r="S145" s="32">
        <f t="shared" si="46"/>
        <v>1</v>
      </c>
      <c r="T145" s="47" t="str">
        <f t="shared" si="47"/>
        <v>Southbound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22:10:30-700',mode:absolute,to:'2016-12-30 01:07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5" s="49" t="str">
        <f t="shared" si="49"/>
        <v>N</v>
      </c>
      <c r="X145" s="173">
        <f t="shared" si="40"/>
        <v>1</v>
      </c>
      <c r="Y145" s="64">
        <f t="shared" si="50"/>
        <v>23.3064</v>
      </c>
      <c r="Z145" s="64">
        <f t="shared" si="51"/>
        <v>7.7999999999999996E-3</v>
      </c>
      <c r="AA145" s="64">
        <f t="shared" si="52"/>
        <v>23.2986</v>
      </c>
      <c r="AB145" s="61" t="e">
        <f>VLOOKUP(A145,Enforcements!$C$7:$K$19,8,0)</f>
        <v>#N/A</v>
      </c>
      <c r="AC145" s="57" t="e">
        <f>VLOOKUP(A145,Enforcements!$C$7:$E$19,3,0)</f>
        <v>#N/A</v>
      </c>
      <c r="AD145" s="58" t="str">
        <f t="shared" si="53"/>
        <v>0236-29</v>
      </c>
      <c r="AE145" s="87" t="str">
        <f t="shared" si="54"/>
        <v>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 &amp; aws s3 cp s3://rtdc.mdm.uploadarchive.raw/RTDC4013/ "%USERPROFILE%\AppData\Local\Temp\OnboardLogs"\RTDC4013\2016-12-30 --exclude "*" --recursive --include "*20161230*" &amp; "%USERPROFILE%\Documents\GitHub\mrs-test-scripts\Headless Mode &amp; Sideloading\WalkAndUnGZ.bat" "%USERPROFILE%\AppData\Local\Temp\OnboardLogs"\RTDC4013\2016-12-30</v>
      </c>
      <c r="AF145" s="84" t="str">
        <f t="shared" si="55"/>
        <v>"C:\Program Files (x86)\AstroGrep\AstroGrep.exe" /spath="%USERPROFILE%\AppData\Local\Temp\OnboardLogs" /stypes="app*4013*20161230*" /stext=" 07:.+((SYSTEM_STATE.+slice.+state.+changed )|(ment ac)|(multiple cpu faults)|(system.+state.+changed )|(\[timeout)|(PRM\|1\|D)|(kpr)|(kdp)|(\|lc)|(penalty))" /e /r /s</v>
      </c>
      <c r="AG145" s="1" t="str">
        <f t="shared" si="56"/>
        <v>EC</v>
      </c>
      <c r="AH145" s="88" t="str">
        <f t="shared" si="41"/>
        <v>"%USERPROFILE%\Documents\GitHub\eaglep3\Utilities\RefineRTDCRunTimes.py" --tripid 236-29 --locoid 4013 --swversion DE.1.0.8.0 --startMP 204:233064 --initTime 2016-12-29T23:10:30 --startdatetime 2016-12-29T23:26:25 --delay 1 --endMP 204:78 --enddatetime 2016-12-30T00:07:29 --enforcementcount 0 &gt;&gt;C:\Users\stu\Documents\GitHub\eaglep3-reporting\EC\2016-12-29-refined-times.txt</v>
      </c>
      <c r="AI145" s="115" t="str">
        <f t="shared" si="42"/>
        <v>echo {"issue":{"subject":"","project_id":79,"tracker_id":40,"status_id":1,"priority_id":2,"assigned_to_id":23,"start_date":"2016-12-30","description":"","custom_fields":[{"id":1,"name":"Subdivision","value":"EC"},{"id":4,"name":"Milepost","value":"0.0078"},{"id":17,"name":"Train ID","value":"236-29"},{"id":16,"name":"Locomotive ID","value":"4013"},{"id":130,"name":"Impact","value":""},{"id":150,"name":"Time of Event (Mountain Time)","value":"00:07:29"},{"id":151,"name":"Denver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43"/>
        <v>start /low /b %USERPROFILE%\Documents\GitHub\eaglep3\Utilities\DownloadLogsFromS3.py --loco 4013 --day 2016-12-29</v>
      </c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666</v>
      </c>
      <c r="B146" s="7">
        <v>4003</v>
      </c>
      <c r="C146" s="22" t="s">
        <v>205</v>
      </c>
      <c r="D146" s="22" t="s">
        <v>398</v>
      </c>
      <c r="E146" s="13">
        <v>42733.950104166666</v>
      </c>
      <c r="F146" s="13">
        <v>42733.958506944444</v>
      </c>
      <c r="G146" s="7">
        <v>1</v>
      </c>
      <c r="H146" s="22" t="s">
        <v>309</v>
      </c>
      <c r="I146" s="13">
        <v>42733.984652777777</v>
      </c>
      <c r="J146" s="7">
        <v>0</v>
      </c>
      <c r="K146" s="105" t="str">
        <f t="shared" si="44"/>
        <v>4003/4004</v>
      </c>
      <c r="L146" s="22" t="str">
        <f>VLOOKUP(A146,'Trips&amp;Operators'!$C$1:$G$99999,5,FALSE)</f>
        <v>LOPES KIMBERLY</v>
      </c>
      <c r="M146" s="6">
        <f t="shared" si="45"/>
        <v>2.6145833333430346E-2</v>
      </c>
      <c r="N146" s="7">
        <f t="shared" si="37"/>
        <v>37.650000000139698</v>
      </c>
      <c r="O146" s="7"/>
      <c r="P146" s="7"/>
      <c r="Q146" s="23"/>
      <c r="R146" s="23"/>
      <c r="S146" s="32">
        <f t="shared" si="46"/>
        <v>1</v>
      </c>
      <c r="T146" s="47" t="str">
        <f t="shared" si="47"/>
        <v>NorthBound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21:48:09-700',mode:absolute,to:'2016-12-30 00:37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6" s="49" t="str">
        <f t="shared" si="49"/>
        <v>N</v>
      </c>
      <c r="X146" s="173">
        <f t="shared" si="40"/>
        <v>1</v>
      </c>
      <c r="Y146" s="64">
        <f t="shared" si="50"/>
        <v>4.6699999999999998E-2</v>
      </c>
      <c r="Z146" s="64">
        <f t="shared" si="51"/>
        <v>23.330400000000001</v>
      </c>
      <c r="AA146" s="64">
        <f t="shared" si="52"/>
        <v>23.2837</v>
      </c>
      <c r="AB146" s="61" t="e">
        <f>VLOOKUP(A146,Enforcements!$C$7:$K$19,8,0)</f>
        <v>#N/A</v>
      </c>
      <c r="AC146" s="57" t="e">
        <f>VLOOKUP(A146,Enforcements!$C$7:$E$19,3,0)</f>
        <v>#N/A</v>
      </c>
      <c r="AD146" s="58" t="str">
        <f t="shared" si="53"/>
        <v>0237-29</v>
      </c>
      <c r="AE146" s="87" t="str">
        <f t="shared" si="54"/>
        <v>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 &amp; aws s3 cp s3://rtdc.mdm.uploadarchive.raw/RTDC4003/ "%USERPROFILE%\AppData\Local\Temp\OnboardLogs"\RTDC4003\2016-12-30 --exclude "*" --recursive --include "*20161230*" &amp; "%USERPROFILE%\Documents\GitHub\mrs-test-scripts\Headless Mode &amp; Sideloading\WalkAndUnGZ.bat" "%USERPROFILE%\AppData\Local\Temp\OnboardLogs"\RTDC4003\2016-12-30</v>
      </c>
      <c r="AF146" s="84" t="str">
        <f t="shared" si="55"/>
        <v>"C:\Program Files (x86)\AstroGrep\AstroGrep.exe" /spath="%USERPROFILE%\AppData\Local\Temp\OnboardLogs" /stypes="app*4003*20161230*" /stext=" 06:.+((SYSTEM_STATE.+slice.+state.+changed )|(ment ac)|(multiple cpu faults)|(system.+state.+changed )|(\[timeout)|(PRM\|1\|D)|(kpr)|(kdp)|(\|lc)|(penalty))" /e /r /s</v>
      </c>
      <c r="AG146" s="1" t="str">
        <f t="shared" si="56"/>
        <v>EC</v>
      </c>
      <c r="AH146" s="88" t="str">
        <f t="shared" si="41"/>
        <v>"%USERPROFILE%\Documents\GitHub\eaglep3\Utilities\RefineRTDCRunTimes.py" --tripid 237-29 --locoid 4003 --swversion DE.1.0.8.0 --startMP 204:467 --initTime 2016-12-29T22:48:09 --startdatetime 2016-12-29T23:00:15 --delay 1 --endMP 204:233304 --enddatetime 2016-12-29T23:37:54 --enforcementcount 0 &gt;&gt;C:\Users\stu\Documents\GitHub\eaglep3-reporting\EC\2016-12-29-refined-times.txt</v>
      </c>
      <c r="AI146" s="115" t="str">
        <f t="shared" si="42"/>
        <v>echo {"issue":{"subject":"","project_id":79,"tracker_id":40,"status_id":1,"priority_id":2,"assigned_to_id":23,"start_date":"2016-12-29","description":"","custom_fields":[{"id":1,"name":"Subdivision","value":"EC"},{"id":4,"name":"Milepost","value":"23.3304"},{"id":17,"name":"Train ID","value":"237-29"},{"id":16,"name":"Locomotive ID","value":"4003"},{"id":130,"name":"Impact","value":""},{"id":150,"name":"Time of Event (Mountain Time)","value":"23:37:54"},{"id":151,"name":"Denver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43"/>
        <v>start /low /b %USERPROFILE%\Documents\GitHub\eaglep3\Utilities\DownloadLogsFromS3.py --loco 4003 --day 2016-12-29</v>
      </c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670</v>
      </c>
      <c r="B147" s="7">
        <v>4004</v>
      </c>
      <c r="C147" s="22" t="s">
        <v>205</v>
      </c>
      <c r="D147" s="22" t="s">
        <v>260</v>
      </c>
      <c r="E147" s="13">
        <v>42733.990937499999</v>
      </c>
      <c r="F147" s="13">
        <v>42733.997384259259</v>
      </c>
      <c r="G147" s="7">
        <v>1</v>
      </c>
      <c r="H147" s="22" t="s">
        <v>725</v>
      </c>
      <c r="I147" s="13">
        <v>42734.02579861111</v>
      </c>
      <c r="J147" s="7">
        <v>0</v>
      </c>
      <c r="K147" s="105" t="str">
        <f t="shared" si="44"/>
        <v>4003/4004</v>
      </c>
      <c r="L147" s="22" t="str">
        <f>VLOOKUP(A147,'Trips&amp;Operators'!$C$1:$G$99999,5,FALSE)</f>
        <v>LOPES KIMBERLY</v>
      </c>
      <c r="M147" s="6">
        <f t="shared" si="45"/>
        <v>2.8414351851097308E-2</v>
      </c>
      <c r="N147" s="7">
        <f t="shared" si="37"/>
        <v>40.916666665580124</v>
      </c>
      <c r="O147" s="7"/>
      <c r="P147" s="7"/>
      <c r="Q147" s="23"/>
      <c r="R147" s="23"/>
      <c r="S147" s="32">
        <f t="shared" si="46"/>
        <v>1</v>
      </c>
      <c r="T147" s="47" t="str">
        <f t="shared" si="47"/>
        <v>Southbound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22:46:57-700',mode:absolute,to:'2016-12-30 01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7" s="49" t="str">
        <f t="shared" si="49"/>
        <v>N</v>
      </c>
      <c r="X147" s="173">
        <f t="shared" si="40"/>
        <v>1</v>
      </c>
      <c r="Y147" s="64">
        <f t="shared" si="50"/>
        <v>23.299299999999999</v>
      </c>
      <c r="Z147" s="64">
        <f t="shared" si="51"/>
        <v>1.67E-2</v>
      </c>
      <c r="AA147" s="64">
        <f t="shared" si="52"/>
        <v>23.282599999999999</v>
      </c>
      <c r="AB147" s="61" t="e">
        <f>VLOOKUP(A147,Enforcements!$C$7:$K$19,8,0)</f>
        <v>#N/A</v>
      </c>
      <c r="AC147" s="57" t="e">
        <f>VLOOKUP(A147,Enforcements!$C$7:$E$19,3,0)</f>
        <v>#N/A</v>
      </c>
      <c r="AD147" s="58" t="str">
        <f t="shared" si="53"/>
        <v>0238-29</v>
      </c>
      <c r="AE147" s="87" t="str">
        <f t="shared" si="54"/>
        <v>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 &amp; aws s3 cp s3://rtdc.mdm.uploadarchive.raw/RTDC4004/ "%USERPROFILE%\AppData\Local\Temp\OnboardLogs"\RTDC4004\2016-12-30 --exclude "*" --recursive --include "*20161230*" &amp; "%USERPROFILE%\Documents\GitHub\mrs-test-scripts\Headless Mode &amp; Sideloading\WalkAndUnGZ.bat" "%USERPROFILE%\AppData\Local\Temp\OnboardLogs"\RTDC4004\2016-12-30</v>
      </c>
      <c r="AF147" s="84" t="str">
        <f t="shared" si="55"/>
        <v>"C:\Program Files (x86)\AstroGrep\AstroGrep.exe" /spath="%USERPROFILE%\AppData\Local\Temp\OnboardLogs" /stypes="app*4004*20161230*" /stext=" 07:.+((SYSTEM_STATE.+slice.+state.+changed )|(ment ac)|(multiple cpu faults)|(system.+state.+changed )|(\[timeout)|(PRM\|1\|D)|(kpr)|(kdp)|(\|lc)|(penalty))" /e /r /s</v>
      </c>
      <c r="AG147" s="1" t="str">
        <f t="shared" si="56"/>
        <v>EC</v>
      </c>
      <c r="AH147" s="88" t="str">
        <f t="shared" si="41"/>
        <v>"%USERPROFILE%\Documents\GitHub\eaglep3\Utilities\RefineRTDCRunTimes.py" --tripid 238-29 --locoid 4004 --swversion DE.1.0.8.0 --startMP 204:232993 --initTime 2016-12-29T23:46:57 --startdatetime 2016-12-29T23:56:14 --delay 1 --endMP 204:167 --enddatetime 2016-12-30T00:37:09 --enforcementcount 0 &gt;&gt;C:\Users\stu\Documents\GitHub\eaglep3-reporting\EC\2016-12-29-refined-times.txt</v>
      </c>
      <c r="AI147" s="115" t="str">
        <f t="shared" si="42"/>
        <v>echo {"issue":{"subject":"","project_id":79,"tracker_id":40,"status_id":1,"priority_id":2,"assigned_to_id":23,"start_date":"2016-12-30","description":"","custom_fields":[{"id":1,"name":"Subdivision","value":"EC"},{"id":4,"name":"Milepost","value":"0.0167"},{"id":17,"name":"Train ID","value":"238-29"},{"id":16,"name":"Locomotive ID","value":"4004"},{"id":130,"name":"Impact","value":""},{"id":150,"name":"Time of Event (Mountain Time)","value":"00:37:09"},{"id":151,"name":"Denver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43"/>
        <v>start /low /b %USERPROFILE%\Documents\GitHub\eaglep3\Utilities\DownloadLogsFromS3.py --loco 4004 --day 2016-12-29</v>
      </c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4" t="s">
        <v>669</v>
      </c>
      <c r="B148" s="7">
        <v>4044</v>
      </c>
      <c r="C148" s="22" t="s">
        <v>205</v>
      </c>
      <c r="D148" s="22" t="s">
        <v>240</v>
      </c>
      <c r="E148" s="13">
        <v>42733.9687962963</v>
      </c>
      <c r="F148" s="13">
        <v>42733.979328703703</v>
      </c>
      <c r="G148" s="7">
        <v>1</v>
      </c>
      <c r="H148" s="22" t="s">
        <v>323</v>
      </c>
      <c r="I148" s="13">
        <v>42734.003993055558</v>
      </c>
      <c r="J148" s="7">
        <v>0</v>
      </c>
      <c r="K148" s="105" t="str">
        <f t="shared" si="44"/>
        <v>4043/4044</v>
      </c>
      <c r="L148" s="22" t="str">
        <f>VLOOKUP(A148,'Trips&amp;Operators'!$C$1:$G$99999,5,FALSE)</f>
        <v>NEWELL JAMES</v>
      </c>
      <c r="M148" s="6">
        <f t="shared" si="45"/>
        <v>2.4664351854880806E-2</v>
      </c>
      <c r="N148" s="7">
        <f t="shared" si="37"/>
        <v>35.516666671028361</v>
      </c>
      <c r="O148" s="7"/>
      <c r="P148" s="7"/>
      <c r="Q148" s="23"/>
      <c r="R148" s="23"/>
      <c r="S148" s="32">
        <f t="shared" si="46"/>
        <v>1</v>
      </c>
      <c r="T148" s="47" t="str">
        <f t="shared" si="47"/>
        <v>NorthBound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22:15:04-700',mode:absolute,to:'2016-12-30 01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8" s="49" t="str">
        <f t="shared" si="49"/>
        <v>N</v>
      </c>
      <c r="X148" s="173">
        <f t="shared" si="40"/>
        <v>1</v>
      </c>
      <c r="Y148" s="64">
        <f t="shared" si="50"/>
        <v>4.58E-2</v>
      </c>
      <c r="Z148" s="64">
        <f t="shared" si="51"/>
        <v>23.331700000000001</v>
      </c>
      <c r="AA148" s="64">
        <f t="shared" si="52"/>
        <v>23.285900000000002</v>
      </c>
      <c r="AB148" s="61" t="e">
        <f>VLOOKUP(A148,Enforcements!$C$7:$K$19,8,0)</f>
        <v>#N/A</v>
      </c>
      <c r="AC148" s="57" t="e">
        <f>VLOOKUP(A148,Enforcements!$C$7:$E$19,3,0)</f>
        <v>#N/A</v>
      </c>
      <c r="AD148" s="58" t="str">
        <f t="shared" si="53"/>
        <v>0239-29</v>
      </c>
      <c r="AE148" s="87" t="str">
        <f t="shared" si="54"/>
        <v>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 &amp; aws s3 cp s3://rtdc.mdm.uploadarchive.raw/RTDC4044/ "%USERPROFILE%\AppData\Local\Temp\OnboardLogs"\RTDC4044\2016-12-30 --exclude "*" --recursive --include "*20161230*" &amp; "%USERPROFILE%\Documents\GitHub\mrs-test-scripts\Headless Mode &amp; Sideloading\WalkAndUnGZ.bat" "%USERPROFILE%\AppData\Local\Temp\OnboardLogs"\RTDC4044\2016-12-30</v>
      </c>
      <c r="AF148" s="84" t="str">
        <f t="shared" si="55"/>
        <v>"C:\Program Files (x86)\AstroGrep\AstroGrep.exe" /spath="%USERPROFILE%\AppData\Local\Temp\OnboardLogs" /stypes="app*4044*20161230*" /stext=" 07:.+((SYSTEM_STATE.+slice.+state.+changed )|(ment ac)|(multiple cpu faults)|(system.+state.+changed )|(\[timeout)|(PRM\|1\|D)|(kpr)|(kdp)|(\|lc)|(penalty))" /e /r /s</v>
      </c>
      <c r="AG148" s="1" t="str">
        <f t="shared" si="56"/>
        <v>EC</v>
      </c>
      <c r="AH148" s="88" t="str">
        <f t="shared" si="41"/>
        <v>"%USERPROFILE%\Documents\GitHub\eaglep3\Utilities\RefineRTDCRunTimes.py" --tripid 239-29 --locoid 4044 --swversion DE.1.0.8.0 --startMP 204:458 --initTime 2016-12-29T23:15:04 --startdatetime 2016-12-29T23:30:14 --delay 1 --endMP 204:233317 --enddatetime 2016-12-30T00:05:45 --enforcementcount 0 &gt;&gt;C:\Users\stu\Documents\GitHub\eaglep3-reporting\EC\2016-12-29-refined-times.txt</v>
      </c>
      <c r="AI148" s="115" t="str">
        <f t="shared" si="42"/>
        <v>echo {"issue":{"subject":"","project_id":79,"tracker_id":40,"status_id":1,"priority_id":2,"assigned_to_id":23,"start_date":"2016-12-30","description":"","custom_fields":[{"id":1,"name":"Subdivision","value":"EC"},{"id":4,"name":"Milepost","value":"23.3317"},{"id":17,"name":"Train ID","value":"239-29"},{"id":16,"name":"Locomotive ID","value":"4044"},{"id":130,"name":"Impact","value":""},{"id":150,"name":"Time of Event (Mountain Time)","value":"00:05:45"},{"id":151,"name":"Denver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43"/>
        <v>start /low /b %USERPROFILE%\Documents\GitHub\eaglep3\Utilities\DownloadLogsFromS3.py --loco 4044 --day 2016-12-29</v>
      </c>
    </row>
    <row r="149" spans="1:91" s="21" customFormat="1" x14ac:dyDescent="0.25">
      <c r="A149" s="34" t="s">
        <v>671</v>
      </c>
      <c r="B149" s="7">
        <v>4043</v>
      </c>
      <c r="C149" s="22" t="s">
        <v>205</v>
      </c>
      <c r="D149" s="22" t="s">
        <v>329</v>
      </c>
      <c r="E149" s="13">
        <v>42734.015393518515</v>
      </c>
      <c r="F149" s="13">
        <v>42734.018206018518</v>
      </c>
      <c r="G149" s="7">
        <v>1</v>
      </c>
      <c r="H149" s="22" t="s">
        <v>258</v>
      </c>
      <c r="I149" s="13">
        <v>42734.045567129629</v>
      </c>
      <c r="J149" s="7">
        <v>0</v>
      </c>
      <c r="K149" s="105" t="str">
        <f t="shared" si="44"/>
        <v>4043/4044</v>
      </c>
      <c r="L149" s="22" t="str">
        <f>VLOOKUP(A149,'Trips&amp;Operators'!$C$1:$G$99999,5,FALSE)</f>
        <v>NEWELL JAMES</v>
      </c>
      <c r="M149" s="6">
        <f t="shared" si="45"/>
        <v>2.73611111115315E-2</v>
      </c>
      <c r="N149" s="7">
        <f t="shared" si="37"/>
        <v>39.40000000060536</v>
      </c>
      <c r="O149" s="7"/>
      <c r="P149" s="7"/>
      <c r="Q149" s="23"/>
      <c r="R149" s="23"/>
      <c r="S149" s="32">
        <f t="shared" si="46"/>
        <v>1</v>
      </c>
      <c r="T149" s="47" t="str">
        <f t="shared" si="47"/>
        <v>Southbound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23:22:10-700',mode:absolute,to:'2016-12-30 02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9" s="49" t="str">
        <f t="shared" si="49"/>
        <v>N</v>
      </c>
      <c r="X149" s="173">
        <f t="shared" si="40"/>
        <v>1</v>
      </c>
      <c r="Y149" s="64">
        <f t="shared" si="50"/>
        <v>23.300599999999999</v>
      </c>
      <c r="Z149" s="64">
        <f t="shared" si="51"/>
        <v>1.6E-2</v>
      </c>
      <c r="AA149" s="64">
        <f t="shared" si="52"/>
        <v>23.284600000000001</v>
      </c>
      <c r="AB149" s="61" t="e">
        <f>VLOOKUP(A149,Enforcements!$C$7:$K$19,8,0)</f>
        <v>#N/A</v>
      </c>
      <c r="AC149" s="57" t="e">
        <f>VLOOKUP(A149,Enforcements!$C$7:$E$19,3,0)</f>
        <v>#N/A</v>
      </c>
      <c r="AD149" s="58" t="str">
        <f t="shared" si="53"/>
        <v>0240-29</v>
      </c>
      <c r="AE149" s="87" t="str">
        <f t="shared" si="54"/>
        <v>aws s3 cp s3://rtdc.mdm.uploadarchive.raw/RTDC4043/ "%USERPROFILE%\AppData\Local\Temp\OnboardLogs"\RTDC4043\2016-12-30 --exclude "*" --recursive --include "*20161230*" &amp; "%USERPROFILE%\Documents\GitHub\mrs-test-scripts\Headless Mode &amp; Sideloading\WalkAndUnGZ.bat" "%USERPROFILE%\AppData\Local\Temp\OnboardLogs"\RTDC4043\2016-12-30 &amp; aws s3 cp s3://rtdc.mdm.uploadarchive.raw/RTDC4043/ "%USERPROFILE%\AppData\Local\Temp\OnboardLogs"\RTDC4043\2016-12-31 --exclude "*" --recursive --include "*20161231*" &amp; "%USERPROFILE%\Documents\GitHub\mrs-test-scripts\Headless Mode &amp; Sideloading\WalkAndUnGZ.bat" "%USERPROFILE%\AppData\Local\Temp\OnboardLogs"\RTDC4043\2016-12-31</v>
      </c>
      <c r="AF149" s="84" t="str">
        <f t="shared" si="55"/>
        <v>"C:\Program Files (x86)\AstroGrep\AstroGrep.exe" /spath="%USERPROFILE%\AppData\Local\Temp\OnboardLogs" /stypes="app*4043*20161230*" /stext=" 08:.+((SYSTEM_STATE.+slice.+state.+changed )|(ment ac)|(multiple cpu faults)|(system.+state.+changed )|(\[timeout)|(PRM\|1\|D)|(kpr)|(kdp)|(\|lc)|(penalty))" /e /r /s</v>
      </c>
      <c r="AG149" s="1" t="str">
        <f t="shared" si="56"/>
        <v>EC</v>
      </c>
      <c r="AH149" s="88" t="str">
        <f t="shared" si="41"/>
        <v>"%USERPROFILE%\Documents\GitHub\eaglep3\Utilities\RefineRTDCRunTimes.py" --tripid 240-29 --locoid 4043 --swversion DE.1.0.8.0 --startMP 204:233006 --initTime 2016-12-30T00:22:10 --startdatetime 2016-12-30T00:26:13 --delay 1 --endMP 204:160 --enddatetime 2016-12-30T01:05:37 --enforcementcount 0 &gt;&gt;C:\Users\stu\Documents\GitHub\eaglep3-reporting\EC\2016-12-29-refined-times.txt</v>
      </c>
      <c r="AI149" s="115" t="str">
        <f t="shared" si="42"/>
        <v>echo {"issue":{"subject":"","project_id":79,"tracker_id":40,"status_id":1,"priority_id":2,"assigned_to_id":23,"start_date":"2016-12-30","description":"","custom_fields":[{"id":1,"name":"Subdivision","value":"EC"},{"id":4,"name":"Milepost","value":"0.016"},{"id":17,"name":"Train ID","value":"240-29"},{"id":16,"name":"Locomotive ID","value":"4043"},{"id":130,"name":"Impact","value":""},{"id":150,"name":"Time of Event (Mountain Time)","value":"01:05:37"},{"id":151,"name":"Denver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43"/>
        <v>start /low /b %USERPROFILE%\Documents\GitHub\eaglep3\Utilities\DownloadLogsFromS3.py --loco 4043 --day 2016-12-30</v>
      </c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463</v>
      </c>
      <c r="B150" s="7">
        <v>4002</v>
      </c>
      <c r="C150" s="22" t="s">
        <v>205</v>
      </c>
      <c r="D150" s="22" t="s">
        <v>726</v>
      </c>
      <c r="E150" s="13">
        <v>42733.995879629627</v>
      </c>
      <c r="F150" s="13">
        <v>42734.000300925924</v>
      </c>
      <c r="G150" s="7">
        <v>2</v>
      </c>
      <c r="H150" s="22" t="s">
        <v>309</v>
      </c>
      <c r="I150" s="13">
        <v>42734.025601851848</v>
      </c>
      <c r="J150" s="7">
        <v>0</v>
      </c>
      <c r="K150" s="105" t="str">
        <f t="shared" si="44"/>
        <v>4001/4002</v>
      </c>
      <c r="L150" s="22" t="str">
        <f>VLOOKUP(A150,'Trips&amp;Operators'!$C$1:$G$99999,5,FALSE)</f>
        <v>BROWN JACOB</v>
      </c>
      <c r="M150" s="6">
        <f t="shared" si="45"/>
        <v>2.5300925924966577E-2</v>
      </c>
      <c r="N150" s="7">
        <f t="shared" si="37"/>
        <v>36.433333331951872</v>
      </c>
      <c r="O150" s="7"/>
      <c r="P150" s="7"/>
      <c r="Q150" s="23"/>
      <c r="R150" s="23"/>
      <c r="S150" s="32">
        <f t="shared" si="46"/>
        <v>1</v>
      </c>
      <c r="T150" s="47" t="str">
        <f t="shared" si="47"/>
        <v>NorthBound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22:54:04-700',mode:absolute,to:'2016-12-30 01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0" s="49" t="str">
        <f t="shared" si="49"/>
        <v>N</v>
      </c>
      <c r="X150" s="173">
        <f t="shared" si="40"/>
        <v>1</v>
      </c>
      <c r="Y150" s="64">
        <f t="shared" si="50"/>
        <v>4.4600000000000001E-2</v>
      </c>
      <c r="Z150" s="64">
        <f t="shared" si="51"/>
        <v>23.330400000000001</v>
      </c>
      <c r="AA150" s="64">
        <f t="shared" si="52"/>
        <v>23.285800000000002</v>
      </c>
      <c r="AB150" s="61" t="str">
        <f>VLOOKUP(A150,Enforcements!$C$7:$K$19,8,0)</f>
        <v>Bulletin (2)</v>
      </c>
      <c r="AC150" s="57" t="str">
        <f>VLOOKUP(A150,Enforcements!$C$7:$E$19,3,0)</f>
        <v>GRADE CROSSING</v>
      </c>
      <c r="AD150" s="58" t="str">
        <f t="shared" si="53"/>
        <v>0241-29</v>
      </c>
      <c r="AE150" s="87" t="str">
        <f t="shared" si="54"/>
        <v>aws s3 cp s3://rtdc.mdm.uploadarchive.raw/RTDC4002/ "%USERPROFILE%\AppData\Local\Temp\OnboardLogs"\RTDC4002\2016-12-30 --exclude "*" --recursive --include "*20161230*" &amp; "%USERPROFILE%\Documents\GitHub\mrs-test-scripts\Headless Mode &amp; Sideloading\WalkAndUnGZ.bat" "%USERPROFILE%\AppData\Local\Temp\OnboardLogs"\RTDC4002\2016-12-30 &amp; aws s3 cp s3://rtdc.mdm.uploadarchive.raw/RTDC4002/ "%USERPROFILE%\AppData\Local\Temp\OnboardLogs"\RTDC4002\2016-12-31 --exclude "*" --recursive --include "*20161231*" &amp; "%USERPROFILE%\Documents\GitHub\mrs-test-scripts\Headless Mode &amp; Sideloading\WalkAndUnGZ.bat" "%USERPROFILE%\AppData\Local\Temp\OnboardLogs"\RTDC4002\2016-12-31</v>
      </c>
      <c r="AF150" s="84" t="str">
        <f t="shared" si="55"/>
        <v>"C:\Program Files (x86)\AstroGrep\AstroGrep.exe" /spath="%USERPROFILE%\AppData\Local\Temp\OnboardLogs" /stypes="app*4002*20161230*" /stext=" 07:.+((SYSTEM_STATE.+slice.+state.+changed )|(ment ac)|(multiple cpu faults)|(system.+state.+changed )|(\[timeout)|(PRM\|1\|D)|(kpr)|(kdp)|(\|lc)|(penalty))" /e /r /s</v>
      </c>
      <c r="AG150" s="1" t="str">
        <f t="shared" si="56"/>
        <v>EC</v>
      </c>
      <c r="AH150" s="88" t="str">
        <f t="shared" si="41"/>
        <v>"%USERPROFILE%\Documents\GitHub\eaglep3\Utilities\RefineRTDCRunTimes.py" --tripid 241-29 --locoid 4002 --swversion DE.1.0.8.0 --startMP 204:446 --initTime 2016-12-29T23:54:04 --startdatetime 2016-12-30T00:00:26 --delay 2 --endMP 204:233304 --enddatetime 2016-12-30T00:36:52 --enforcementcount 0 &gt;&gt;C:\Users\stu\Documents\GitHub\eaglep3-reporting\EC\2016-12-29-refined-times.txt</v>
      </c>
      <c r="AI150" s="115" t="str">
        <f t="shared" si="42"/>
        <v>echo {"issue":{"subject":"","project_id":79,"tracker_id":40,"status_id":1,"priority_id":2,"assigned_to_id":23,"start_date":"2016-12-30","description":"","custom_fields":[{"id":1,"name":"Subdivision","value":"EC"},{"id":4,"name":"Milepost","value":"23.3304"},{"id":17,"name":"Train ID","value":"241-29"},{"id":16,"name":"Locomotive ID","value":"4002"},{"id":130,"name":"Impact","value":""},{"id":150,"name":"Time of Event (Mountain Time)","value":"00:36:52"},{"id":151,"name":"Denver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43"/>
        <v>start /low /b %USERPROFILE%\Documents\GitHub\eaglep3\Utilities\DownloadLogsFromS3.py --loco 4002 --day 2016-12-30</v>
      </c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4" t="s">
        <v>673</v>
      </c>
      <c r="B151" s="7">
        <v>4001</v>
      </c>
      <c r="C151" s="22" t="s">
        <v>205</v>
      </c>
      <c r="D151" s="22" t="s">
        <v>701</v>
      </c>
      <c r="E151" s="13">
        <v>42734.031712962962</v>
      </c>
      <c r="F151" s="13">
        <v>42734.039189814815</v>
      </c>
      <c r="G151" s="7">
        <v>1</v>
      </c>
      <c r="H151" s="22" t="s">
        <v>727</v>
      </c>
      <c r="I151" s="13">
        <v>42734.067766203705</v>
      </c>
      <c r="J151" s="7">
        <v>0</v>
      </c>
      <c r="K151" s="105" t="str">
        <f t="shared" si="44"/>
        <v>4001/4002</v>
      </c>
      <c r="L151" s="22" t="str">
        <f>VLOOKUP(A151,'Trips&amp;Operators'!$C$1:$G$99999,5,FALSE)</f>
        <v>BROWN JACOB</v>
      </c>
      <c r="M151" s="6">
        <f t="shared" si="45"/>
        <v>2.8576388889632653E-2</v>
      </c>
      <c r="N151" s="7">
        <f t="shared" si="37"/>
        <v>41.150000001071021</v>
      </c>
      <c r="O151" s="7"/>
      <c r="P151" s="7"/>
      <c r="Q151" s="23"/>
      <c r="R151" s="23"/>
      <c r="S151" s="32">
        <f t="shared" si="46"/>
        <v>1</v>
      </c>
      <c r="T151" s="47" t="str">
        <f t="shared" si="47"/>
        <v>Southbound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23:45:40-700',mode:absolute,to:'2016-12-30 02:37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1" s="49" t="str">
        <f t="shared" si="49"/>
        <v>N</v>
      </c>
      <c r="X151" s="173">
        <f t="shared" si="40"/>
        <v>1</v>
      </c>
      <c r="Y151" s="64">
        <f t="shared" si="50"/>
        <v>23.298300000000001</v>
      </c>
      <c r="Z151" s="64">
        <f t="shared" si="51"/>
        <v>1.35E-2</v>
      </c>
      <c r="AA151" s="64">
        <f t="shared" si="52"/>
        <v>23.284800000000001</v>
      </c>
      <c r="AB151" s="61" t="e">
        <f>VLOOKUP(A151,Enforcements!$C$7:$K$19,8,0)</f>
        <v>#N/A</v>
      </c>
      <c r="AC151" s="57" t="e">
        <f>VLOOKUP(A151,Enforcements!$C$7:$E$19,3,0)</f>
        <v>#N/A</v>
      </c>
      <c r="AD151" s="58" t="str">
        <f t="shared" si="53"/>
        <v>0242-29</v>
      </c>
      <c r="AE151" s="87" t="str">
        <f t="shared" si="54"/>
        <v>aws s3 cp s3://rtdc.mdm.uploadarchive.raw/RTDC4001/ "%USERPROFILE%\AppData\Local\Temp\OnboardLogs"\RTDC4001\2016-12-30 --exclude "*" --recursive --include "*20161230*" &amp; "%USERPROFILE%\Documents\GitHub\mrs-test-scripts\Headless Mode &amp; Sideloading\WalkAndUnGZ.bat" "%USERPROFILE%\AppData\Local\Temp\OnboardLogs"\RTDC4001\2016-12-30 &amp; aws s3 cp s3://rtdc.mdm.uploadarchive.raw/RTDC4001/ "%USERPROFILE%\AppData\Local\Temp\OnboardLogs"\RTDC4001\2016-12-31 --exclude "*" --recursive --include "*20161231*" &amp; "%USERPROFILE%\Documents\GitHub\mrs-test-scripts\Headless Mode &amp; Sideloading\WalkAndUnGZ.bat" "%USERPROFILE%\AppData\Local\Temp\OnboardLogs"\RTDC4001\2016-12-31</v>
      </c>
      <c r="AF151" s="84" t="str">
        <f t="shared" si="55"/>
        <v>"C:\Program Files (x86)\AstroGrep\AstroGrep.exe" /spath="%USERPROFILE%\AppData\Local\Temp\OnboardLogs" /stypes="app*4001*20161230*" /stext=" 08:.+((SYSTEM_STATE.+slice.+state.+changed )|(ment ac)|(multiple cpu faults)|(system.+state.+changed )|(\[timeout)|(PRM\|1\|D)|(kpr)|(kdp)|(\|lc)|(penalty))" /e /r /s</v>
      </c>
      <c r="AG151" s="1" t="str">
        <f t="shared" si="56"/>
        <v>EC</v>
      </c>
      <c r="AH151" s="88" t="str">
        <f t="shared" si="41"/>
        <v>"%USERPROFILE%\Documents\GitHub\eaglep3\Utilities\RefineRTDCRunTimes.py" --tripid 242-29 --locoid 4001 --swversion DE.1.0.8.0 --startMP 204:232983 --initTime 2016-12-30T00:45:40 --startdatetime 2016-12-30T00:56:26 --delay 1 --endMP 204:135 --enddatetime 2016-12-30T01:37:35 --enforcementcount 0 &gt;&gt;C:\Users\stu\Documents\GitHub\eaglep3-reporting\EC\2016-12-29-refined-times.txt</v>
      </c>
      <c r="AI151" s="115" t="str">
        <f t="shared" si="42"/>
        <v>echo {"issue":{"subject":"","project_id":79,"tracker_id":40,"status_id":1,"priority_id":2,"assigned_to_id":23,"start_date":"2016-12-30","description":"","custom_fields":[{"id":1,"name":"Subdivision","value":"EC"},{"id":4,"name":"Milepost","value":"0.0135"},{"id":17,"name":"Train ID","value":"242-29"},{"id":16,"name":"Locomotive ID","value":"4001"},{"id":130,"name":"Impact","value":""},{"id":150,"name":"Time of Event (Mountain Time)","value":"01:37:35"},{"id":151,"name":"Denver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43"/>
        <v>start /low /b %USERPROFILE%\Documents\GitHub\eaglep3\Utilities\DownloadLogsFromS3.py --loco 4001 --day 2016-12-30</v>
      </c>
    </row>
    <row r="152" spans="1:91" s="21" customFormat="1" x14ac:dyDescent="0.25">
      <c r="A152" s="34" t="s">
        <v>466</v>
      </c>
      <c r="B152" s="7">
        <v>4014</v>
      </c>
      <c r="C152" s="22" t="s">
        <v>205</v>
      </c>
      <c r="D152" s="22" t="s">
        <v>412</v>
      </c>
      <c r="E152" s="13">
        <v>42734.011354166665</v>
      </c>
      <c r="F152" s="13">
        <v>42734.021006944444</v>
      </c>
      <c r="G152" s="7">
        <v>1</v>
      </c>
      <c r="H152" s="22" t="s">
        <v>410</v>
      </c>
      <c r="I152" s="13">
        <v>42734.046261574076</v>
      </c>
      <c r="J152" s="7">
        <v>0</v>
      </c>
      <c r="K152" s="105" t="str">
        <f t="shared" si="44"/>
        <v>4013/4014</v>
      </c>
      <c r="L152" s="22" t="str">
        <f>VLOOKUP(A152,'Trips&amp;Operators'!$C$1:$G$99999,5,FALSE)</f>
        <v>HILLS DUSTIN</v>
      </c>
      <c r="M152" s="6">
        <f t="shared" si="45"/>
        <v>2.5254629632399883E-2</v>
      </c>
      <c r="N152" s="7">
        <f t="shared" si="37"/>
        <v>36.366666670655832</v>
      </c>
      <c r="O152" s="7"/>
      <c r="P152" s="7"/>
      <c r="Q152" s="23"/>
      <c r="R152" s="23"/>
      <c r="S152" s="32">
        <f t="shared" si="46"/>
        <v>1</v>
      </c>
      <c r="T152" s="47" t="str">
        <f t="shared" si="47"/>
        <v>NorthBound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23:16:21-700',mode:absolute,to:'2016-12-30 02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2" s="49" t="str">
        <f t="shared" si="49"/>
        <v>N</v>
      </c>
      <c r="X152" s="173">
        <f t="shared" si="40"/>
        <v>1</v>
      </c>
      <c r="Y152" s="64">
        <f t="shared" si="50"/>
        <v>3.95E-2</v>
      </c>
      <c r="Z152" s="64">
        <f t="shared" si="51"/>
        <v>23.338000000000001</v>
      </c>
      <c r="AA152" s="64">
        <f t="shared" si="52"/>
        <v>23.298500000000001</v>
      </c>
      <c r="AB152" s="61" t="e">
        <f>VLOOKUP(A152,Enforcements!$C$7:$K$19,8,0)</f>
        <v>#N/A</v>
      </c>
      <c r="AC152" s="57" t="e">
        <f>VLOOKUP(A152,Enforcements!$C$7:$E$19,3,0)</f>
        <v>#N/A</v>
      </c>
      <c r="AD152" s="58" t="str">
        <f t="shared" si="53"/>
        <v>0243-29</v>
      </c>
      <c r="AE152" s="87" t="str">
        <f t="shared" si="54"/>
        <v>aws s3 cp s3://rtdc.mdm.uploadarchive.raw/RTDC4014/ "%USERPROFILE%\AppData\Local\Temp\OnboardLogs"\RTDC4014\2016-12-30 --exclude "*" --recursive --include "*20161230*" &amp; "%USERPROFILE%\Documents\GitHub\mrs-test-scripts\Headless Mode &amp; Sideloading\WalkAndUnGZ.bat" "%USERPROFILE%\AppData\Local\Temp\OnboardLogs"\RTDC4014\2016-12-30 &amp; aws s3 cp s3://rtdc.mdm.uploadarchive.raw/RTDC4014/ "%USERPROFILE%\AppData\Local\Temp\OnboardLogs"\RTDC4014\2016-12-31 --exclude "*" --recursive --include "*20161231*" &amp; "%USERPROFILE%\Documents\GitHub\mrs-test-scripts\Headless Mode &amp; Sideloading\WalkAndUnGZ.bat" "%USERPROFILE%\AppData\Local\Temp\OnboardLogs"\RTDC4014\2016-12-31</v>
      </c>
      <c r="AF152" s="84" t="str">
        <f t="shared" si="55"/>
        <v>"C:\Program Files (x86)\AstroGrep\AstroGrep.exe" /spath="%USERPROFILE%\AppData\Local\Temp\OnboardLogs" /stypes="app*4014*20161230*" /stext=" 08:.+((SYSTEM_STATE.+slice.+state.+changed )|(ment ac)|(multiple cpu faults)|(system.+state.+changed )|(\[timeout)|(PRM\|1\|D)|(kpr)|(kdp)|(\|lc)|(penalty))" /e /r /s</v>
      </c>
      <c r="AG152" s="1" t="str">
        <f t="shared" si="56"/>
        <v>EC</v>
      </c>
      <c r="AH152" s="88" t="str">
        <f t="shared" si="41"/>
        <v>"%USERPROFILE%\Documents\GitHub\eaglep3\Utilities\RefineRTDCRunTimes.py" --tripid 243-29 --locoid 4014 --swversion DE.1.0.8.0 --startMP 204:395 --initTime 2016-12-30T00:16:21 --startdatetime 2016-12-30T00:30:15 --delay 1 --endMP 204:233380 --enddatetime 2016-12-30T01:06:37 --enforcementcount 0 &gt;&gt;C:\Users\stu\Documents\GitHub\eaglep3-reporting\EC\2016-12-29-refined-times.txt</v>
      </c>
      <c r="AI152" s="115" t="str">
        <f t="shared" si="42"/>
        <v>echo {"issue":{"subject":"","project_id":79,"tracker_id":40,"status_id":1,"priority_id":2,"assigned_to_id":23,"start_date":"2016-12-30","description":"","custom_fields":[{"id":1,"name":"Subdivision","value":"EC"},{"id":4,"name":"Milepost","value":"23.338"},{"id":17,"name":"Train ID","value":"243-29"},{"id":16,"name":"Locomotive ID","value":"4014"},{"id":130,"name":"Impact","value":""},{"id":150,"name":"Time of Event (Mountain Time)","value":"01:06:37"},{"id":151,"name":"Denver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43"/>
        <v>start /low /b %USERPROFILE%\Documents\GitHub\eaglep3\Utilities\DownloadLogsFromS3.py --loco 4014 --day 2016-12-30</v>
      </c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675</v>
      </c>
      <c r="B153" s="7">
        <v>4013</v>
      </c>
      <c r="C153" s="22" t="s">
        <v>205</v>
      </c>
      <c r="D153" s="22" t="s">
        <v>728</v>
      </c>
      <c r="E153" s="13">
        <v>42734.05097222222</v>
      </c>
      <c r="F153" s="13">
        <v>42734.060023148151</v>
      </c>
      <c r="G153" s="7">
        <v>1</v>
      </c>
      <c r="H153" s="22" t="s">
        <v>729</v>
      </c>
      <c r="I153" s="13">
        <v>42734.086805555555</v>
      </c>
      <c r="J153" s="7">
        <v>0</v>
      </c>
      <c r="K153" s="105" t="str">
        <f t="shared" si="44"/>
        <v>4013/4014</v>
      </c>
      <c r="L153" s="22" t="str">
        <f>VLOOKUP(A153,'Trips&amp;Operators'!$C$1:$G$99999,5,FALSE)</f>
        <v>HILLS DUSTIN</v>
      </c>
      <c r="M153" s="6">
        <f t="shared" si="45"/>
        <v>2.6782407403516117E-2</v>
      </c>
      <c r="N153" s="7">
        <f t="shared" si="37"/>
        <v>38.566666661063209</v>
      </c>
      <c r="O153" s="7"/>
      <c r="P153" s="7"/>
      <c r="Q153" s="23"/>
      <c r="R153" s="23"/>
      <c r="S153" s="32">
        <f t="shared" si="46"/>
        <v>1</v>
      </c>
      <c r="T153" s="47" t="str">
        <f t="shared" si="47"/>
        <v>Southbound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https://search-rtdc-monitor-bjffxe2xuh6vdkpspy63sjmuny.us-east-1.es.amazonaws.com/_plugin/kibana/#/discover/Steve-Slow-Train-Analysis-(2080s-and-2083s)?_g=(refreshInterval:(display:Off,section:0,value:0),time:(from:'2016-12-30 00:13:24-700',mode:absolute,to:'2016-12-30 03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3" s="49" t="str">
        <f t="shared" si="49"/>
        <v>N</v>
      </c>
      <c r="X153" s="173">
        <f t="shared" si="40"/>
        <v>1</v>
      </c>
      <c r="Y153" s="64">
        <f t="shared" si="50"/>
        <v>23.302099999999999</v>
      </c>
      <c r="Z153" s="64">
        <f t="shared" si="51"/>
        <v>7.3000000000000001E-3</v>
      </c>
      <c r="AA153" s="64">
        <f t="shared" si="52"/>
        <v>23.294799999999999</v>
      </c>
      <c r="AB153" s="61" t="e">
        <f>VLOOKUP(A153,Enforcements!$C$7:$K$19,8,0)</f>
        <v>#N/A</v>
      </c>
      <c r="AC153" s="57" t="e">
        <f>VLOOKUP(A153,Enforcements!$C$7:$E$19,3,0)</f>
        <v>#N/A</v>
      </c>
      <c r="AD153" s="58" t="str">
        <f t="shared" si="53"/>
        <v>0244-29</v>
      </c>
      <c r="AE153" s="87" t="str">
        <f t="shared" si="54"/>
        <v>aws s3 cp s3://rtdc.mdm.uploadarchive.raw/RTDC4013/ "%USERPROFILE%\AppData\Local\Temp\OnboardLogs"\RTDC4013\2016-12-30 --exclude "*" --recursive --include "*20161230*" &amp; "%USERPROFILE%\Documents\GitHub\mrs-test-scripts\Headless Mode &amp; Sideloading\WalkAndUnGZ.bat" "%USERPROFILE%\AppData\Local\Temp\OnboardLogs"\RTDC4013\2016-12-30 &amp; aws s3 cp s3://rtdc.mdm.uploadarchive.raw/RTDC4013/ "%USERPROFILE%\AppData\Local\Temp\OnboardLogs"\RTDC4013\2016-12-31 --exclude "*" --recursive --include "*20161231*" &amp; "%USERPROFILE%\Documents\GitHub\mrs-test-scripts\Headless Mode &amp; Sideloading\WalkAndUnGZ.bat" "%USERPROFILE%\AppData\Local\Temp\OnboardLogs"\RTDC4013\2016-12-31</v>
      </c>
      <c r="AF153" s="84" t="str">
        <f t="shared" si="55"/>
        <v>"C:\Program Files (x86)\AstroGrep\AstroGrep.exe" /spath="%USERPROFILE%\AppData\Local\Temp\OnboardLogs" /stypes="app*4013*20161230*" /stext=" 09:.+((SYSTEM_STATE.+slice.+state.+changed )|(ment ac)|(multiple cpu faults)|(system.+state.+changed )|(\[timeout)|(PRM\|1\|D)|(kpr)|(kdp)|(\|lc)|(penalty))" /e /r /s</v>
      </c>
      <c r="AG153" s="1" t="str">
        <f t="shared" si="56"/>
        <v>EC</v>
      </c>
      <c r="AH153" s="88" t="str">
        <f t="shared" si="41"/>
        <v>"%USERPROFILE%\Documents\GitHub\eaglep3\Utilities\RefineRTDCRunTimes.py" --tripid 244-29 --locoid 4013 --swversion DE.1.0.8.0 --startMP 204:233021 --initTime 2016-12-30T01:13:24 --startdatetime 2016-12-30T01:26:26 --delay 1 --endMP 204:73 --enddatetime 2016-12-30T02:05:00 --enforcementcount 0 &gt;&gt;C:\Users\stu\Documents\GitHub\eaglep3-reporting\EC\2016-12-29-refined-times.txt</v>
      </c>
      <c r="AI153" s="115" t="str">
        <f t="shared" si="42"/>
        <v>echo {"issue":{"subject":"","project_id":79,"tracker_id":40,"status_id":1,"priority_id":2,"assigned_to_id":23,"start_date":"2016-12-30","description":"","custom_fields":[{"id":1,"name":"Subdivision","value":"EC"},{"id":4,"name":"Milepost","value":"0.0073"},{"id":17,"name":"Train ID","value":"244-29"},{"id":16,"name":"Locomotive ID","value":"4013"},{"id":130,"name":"Impact","value":""},{"id":150,"name":"Time of Event (Mountain Time)","value":"02:05:00"},{"id":151,"name":"Denver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43"/>
        <v>start /low /b %USERPROFILE%\Documents\GitHub\eaglep3\Utilities\DownloadLogsFromS3.py --loco 4013 --day 2016-12-30</v>
      </c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485</v>
      </c>
      <c r="B154" s="7">
        <v>4030</v>
      </c>
      <c r="C154" s="22" t="s">
        <v>205</v>
      </c>
      <c r="D154" s="22" t="s">
        <v>754</v>
      </c>
      <c r="E154" s="13">
        <v>42733.215081018519</v>
      </c>
      <c r="F154" s="13">
        <v>42733.216805555552</v>
      </c>
      <c r="G154" s="7">
        <v>1</v>
      </c>
      <c r="H154" s="22" t="s">
        <v>755</v>
      </c>
      <c r="I154" s="13">
        <v>42733.228564814817</v>
      </c>
      <c r="J154" s="7">
        <v>0</v>
      </c>
      <c r="K154" s="105" t="str">
        <f t="shared" si="44"/>
        <v>4029/4030</v>
      </c>
      <c r="L154" s="22" t="str">
        <f>VLOOKUP(A154,'Trips&amp;Operators'!$C$1:$G$99999,5,FALSE)</f>
        <v>SHOOK JOHN</v>
      </c>
      <c r="M154" s="6">
        <f t="shared" si="45"/>
        <v>1.1759259265090805E-2</v>
      </c>
      <c r="N154" s="7">
        <f t="shared" si="37"/>
        <v>16.933333341730759</v>
      </c>
      <c r="O154" s="7"/>
      <c r="P154" s="7"/>
      <c r="Q154" s="23"/>
      <c r="R154" s="23" t="s">
        <v>943</v>
      </c>
      <c r="S154" s="32">
        <f t="shared" si="46"/>
        <v>1</v>
      </c>
      <c r="T154" s="47" t="str">
        <f t="shared" si="47"/>
        <v>Southbound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04:09:43-700',mode:absolute,to:'2016-12-29 06:29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4" s="49" t="str">
        <f t="shared" si="49"/>
        <v>N</v>
      </c>
      <c r="X154" s="173">
        <f t="shared" si="40"/>
        <v>556</v>
      </c>
      <c r="Y154" s="64">
        <f t="shared" si="50"/>
        <v>5.8659999999999997</v>
      </c>
      <c r="Z154" s="64">
        <f t="shared" si="51"/>
        <v>7.3400000000000007E-2</v>
      </c>
      <c r="AA154" s="64">
        <f t="shared" si="52"/>
        <v>5.7925999999999993</v>
      </c>
      <c r="AB154" s="61" t="e">
        <f>VLOOKUP(A154,Enforcements!$C$7:$K$19,8,0)</f>
        <v>#N/A</v>
      </c>
      <c r="AC154" s="57" t="e">
        <f>VLOOKUP(A154,Enforcements!$C$7:$E$19,3,0)</f>
        <v>#N/A</v>
      </c>
      <c r="AD154" s="58" t="str">
        <f t="shared" si="53"/>
        <v>0800-29</v>
      </c>
      <c r="AE154" s="87" t="str">
        <f t="shared" si="54"/>
        <v>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 &amp; 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</v>
      </c>
      <c r="AF154" s="84" t="str">
        <f t="shared" si="55"/>
        <v>"C:\Program Files (x86)\AstroGrep\AstroGrep.exe" /spath="%USERPROFILE%\AppData\Local\Temp\OnboardLogs" /stypes="app*4030*20161229*" /stext=" 12:.+((SYSTEM_STATE.+slice.+state.+changed )|(ment ac)|(multiple cpu faults)|(system.+state.+changed )|(\[timeout)|(PRM\|1\|D)|(kpr)|(kdp)|(\|lc)|(penalty))" /e /r /s</v>
      </c>
      <c r="AG154" s="1" t="str">
        <f t="shared" si="56"/>
        <v>NW</v>
      </c>
      <c r="AH154" s="88" t="str">
        <f t="shared" si="41"/>
        <v>"%USERPROFILE%\Documents\GitHub\eaglep3\Utilities\RefineRTDCRunTimes.py" --tripid 800-29 --locoid 4030 --swversion DE.1.0.8.0 --startMP 300:58660 --initTime 2016-12-29T05:09:43 --startdatetime 2016-12-29T05:12:12 --delay 1 --endMP 204:734 --enddatetime 2016-12-29T05:29:08 --enforcementcount 0 &gt;&gt;C:\Users\stu\Documents\GitHub\eaglep3-reporting\EC\2016-12-29-refined-times.txt</v>
      </c>
      <c r="AI154" s="115" t="str">
        <f t="shared" si="42"/>
        <v>echo {"issue":{"subject":"Incident 33000 - no PTC restrictions found","project_id":79,"tracker_id":40,"status_id":1,"priority_id":2,"assigned_to_id":23,"start_date":"2016-12-29","description":"","custom_fields":[{"id":1,"name":"Subdivision","value":"NW"},{"id":4,"name":"Milepost","value":"0.0734"},{"id":17,"name":"Train ID","value":"800-29"},{"id":16,"name":"Locomotive ID","value":"4030"},{"id":130,"name":"Impact","value":""},{"id":150,"name":"Time of Event (Mountain Time)","value":"05:29:08"},{"id":151,"name":"Denver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43"/>
        <v>start /low /b %USERPROFILE%\Documents\GitHub\eaglep3\Utilities\DownloadLogsFromS3.py --loco 4030 --day 2016-12-29</v>
      </c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4" t="s">
        <v>488</v>
      </c>
      <c r="B155" s="7">
        <v>4029</v>
      </c>
      <c r="C155" s="22" t="s">
        <v>205</v>
      </c>
      <c r="D155" s="22" t="s">
        <v>756</v>
      </c>
      <c r="E155" s="13">
        <v>42733.23028935185</v>
      </c>
      <c r="F155" s="13">
        <v>42733.244027777779</v>
      </c>
      <c r="G155" s="7">
        <v>9</v>
      </c>
      <c r="H155" s="22" t="s">
        <v>757</v>
      </c>
      <c r="I155" s="13">
        <v>42733.255370370367</v>
      </c>
      <c r="J155" s="7">
        <v>0</v>
      </c>
      <c r="K155" s="105" t="str">
        <f t="shared" si="44"/>
        <v>4029/4030</v>
      </c>
      <c r="L155" s="22" t="str">
        <f>VLOOKUP(A155,'Trips&amp;Operators'!$C$1:$G$99999,5,FALSE)</f>
        <v>SHOOK JOHN</v>
      </c>
      <c r="M155" s="6">
        <f t="shared" si="45"/>
        <v>1.134259258833481E-2</v>
      </c>
      <c r="N155" s="7">
        <f t="shared" si="37"/>
        <v>16.333333327202126</v>
      </c>
      <c r="O155" s="7"/>
      <c r="P155" s="7"/>
      <c r="Q155" s="23"/>
      <c r="R155" s="23" t="s">
        <v>943</v>
      </c>
      <c r="S155" s="32">
        <f t="shared" si="46"/>
        <v>1</v>
      </c>
      <c r="T155" s="47" t="str">
        <f t="shared" si="47"/>
        <v>NorthBound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04:31:37-700',mode:absolute,to:'2016-12-29 07:07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5" s="49" t="str">
        <f t="shared" si="49"/>
        <v>N</v>
      </c>
      <c r="X155" s="173">
        <f t="shared" si="40"/>
        <v>1</v>
      </c>
      <c r="Y155" s="64">
        <f t="shared" si="50"/>
        <v>0.1014</v>
      </c>
      <c r="Z155" s="64">
        <f t="shared" si="51"/>
        <v>5.9005000000000001</v>
      </c>
      <c r="AA155" s="64">
        <f t="shared" si="52"/>
        <v>5.7991000000000001</v>
      </c>
      <c r="AB155" s="61" t="e">
        <f>VLOOKUP(A155,Enforcements!$C$7:$K$19,8,0)</f>
        <v>#N/A</v>
      </c>
      <c r="AC155" s="57" t="e">
        <f>VLOOKUP(A155,Enforcements!$C$7:$E$19,3,0)</f>
        <v>#N/A</v>
      </c>
      <c r="AD155" s="58" t="str">
        <f t="shared" si="53"/>
        <v>0801-29</v>
      </c>
      <c r="AE155" s="87" t="str">
        <f t="shared" si="54"/>
        <v>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 &amp; 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</v>
      </c>
      <c r="AF155" s="84" t="str">
        <f t="shared" si="55"/>
        <v>"C:\Program Files (x86)\AstroGrep\AstroGrep.exe" /spath="%USERPROFILE%\AppData\Local\Temp\OnboardLogs" /stypes="app*4029*20161229*" /stext=" 13:.+((SYSTEM_STATE.+slice.+state.+changed )|(ment ac)|(multiple cpu faults)|(system.+state.+changed )|(\[timeout)|(PRM\|1\|D)|(kpr)|(kdp)|(\|lc)|(penalty))" /e /r /s</v>
      </c>
      <c r="AG155" s="1" t="str">
        <f t="shared" si="56"/>
        <v>NW</v>
      </c>
      <c r="AH155" s="88" t="str">
        <f t="shared" si="41"/>
        <v>"%USERPROFILE%\Documents\GitHub\eaglep3\Utilities\RefineRTDCRunTimes.py" --tripid 801-29 --locoid 4029 --swversion DE.1.0.8.0 --startMP 204:1014 --initTime 2016-12-29T05:31:37 --startdatetime 2016-12-29T05:51:24 --delay 9 --endMP 300:59005 --enddatetime 2016-12-29T06:07:44 --enforcementcount 0 &gt;&gt;C:\Users\stu\Documents\GitHub\eaglep3-reporting\EC\2016-12-29-refined-times.txt</v>
      </c>
      <c r="AI155" s="115" t="str">
        <f t="shared" si="42"/>
        <v>echo {"issue":{"subject":"Incident 33000 - no PTC restrictions found","project_id":79,"tracker_id":40,"status_id":1,"priority_id":2,"assigned_to_id":23,"start_date":"2016-12-29","description":"","custom_fields":[{"id":1,"name":"Subdivision","value":"NW"},{"id":4,"name":"Milepost","value":"5.9005"},{"id":17,"name":"Train ID","value":"801-29"},{"id":16,"name":"Locomotive ID","value":"4029"},{"id":130,"name":"Impact","value":""},{"id":150,"name":"Time of Event (Mountain Time)","value":"06:07:44"},{"id":151,"name":"Denver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43"/>
        <v>start /low /b %USERPROFILE%\Documents\GitHub\eaglep3\Utilities\DownloadLogsFromS3.py --loco 4029 --day 2016-12-29</v>
      </c>
    </row>
    <row r="156" spans="1:91" s="21" customFormat="1" x14ac:dyDescent="0.25">
      <c r="A156" s="34" t="s">
        <v>500</v>
      </c>
      <c r="B156" s="7">
        <v>4030</v>
      </c>
      <c r="C156" s="22" t="s">
        <v>205</v>
      </c>
      <c r="D156" s="22" t="s">
        <v>758</v>
      </c>
      <c r="E156" s="13">
        <v>42733.256747685184</v>
      </c>
      <c r="F156" s="13">
        <v>42733.258368055554</v>
      </c>
      <c r="G156" s="7">
        <v>1</v>
      </c>
      <c r="H156" s="22" t="s">
        <v>371</v>
      </c>
      <c r="I156" s="13">
        <v>42733.269108796296</v>
      </c>
      <c r="J156" s="7">
        <v>0</v>
      </c>
      <c r="K156" s="105" t="str">
        <f t="shared" si="44"/>
        <v>4029/4030</v>
      </c>
      <c r="L156" s="22" t="str">
        <f>VLOOKUP(A156,'Trips&amp;Operators'!$C$1:$G$99999,5,FALSE)</f>
        <v>SHOOK JOHN</v>
      </c>
      <c r="M156" s="6">
        <f t="shared" si="45"/>
        <v>1.0740740741312038E-2</v>
      </c>
      <c r="N156" s="7">
        <f t="shared" si="37"/>
        <v>15.466666667489335</v>
      </c>
      <c r="O156" s="7"/>
      <c r="P156" s="7"/>
      <c r="Q156" s="23"/>
      <c r="R156" s="23"/>
      <c r="S156" s="32">
        <f t="shared" si="46"/>
        <v>1</v>
      </c>
      <c r="T156" s="47" t="str">
        <f t="shared" si="47"/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05:09:43-700',mode:absolute,to:'2016-12-29 07:27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6" s="49" t="str">
        <f t="shared" si="49"/>
        <v>N</v>
      </c>
      <c r="X156" s="173">
        <f t="shared" si="40"/>
        <v>1</v>
      </c>
      <c r="Y156" s="64">
        <f t="shared" si="50"/>
        <v>5.8688000000000002</v>
      </c>
      <c r="Z156" s="64">
        <f t="shared" si="51"/>
        <v>7.2599999999999998E-2</v>
      </c>
      <c r="AA156" s="64">
        <f t="shared" si="52"/>
        <v>5.7962000000000007</v>
      </c>
      <c r="AB156" s="61" t="e">
        <f>VLOOKUP(A156,Enforcements!$C$7:$K$19,8,0)</f>
        <v>#N/A</v>
      </c>
      <c r="AC156" s="57" t="e">
        <f>VLOOKUP(A156,Enforcements!$C$7:$E$19,3,0)</f>
        <v>#N/A</v>
      </c>
      <c r="AD156" s="58" t="str">
        <f t="shared" si="53"/>
        <v>0802-29</v>
      </c>
      <c r="AE156" s="87" t="str">
        <f t="shared" si="54"/>
        <v>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 &amp; 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</v>
      </c>
      <c r="AF156" s="84" t="str">
        <f t="shared" si="55"/>
        <v>"C:\Program Files (x86)\AstroGrep\AstroGrep.exe" /spath="%USERPROFILE%\AppData\Local\Temp\OnboardLogs" /stypes="app*4030*20161229*" /stext=" 13:.+((SYSTEM_STATE.+slice.+state.+changed )|(ment ac)|(multiple cpu faults)|(system.+state.+changed )|(\[timeout)|(PRM\|1\|D)|(kpr)|(kdp)|(\|lc)|(penalty))" /e /r /s</v>
      </c>
      <c r="AG156" s="1" t="str">
        <f t="shared" si="56"/>
        <v>NW</v>
      </c>
      <c r="AH156" s="88" t="str">
        <f t="shared" si="41"/>
        <v>"%USERPROFILE%\Documents\GitHub\eaglep3\Utilities\RefineRTDCRunTimes.py" --tripid 802-29 --locoid 4030 --swversion DE.1.0.8.0 --startMP 300:58688 --initTime 2016-12-29T06:09:43 --startdatetime 2016-12-29T06:12:03 --delay 1 --endMP 204:726 --enddatetime 2016-12-29T06:27:31 --enforcementcount 0 &gt;&gt;C:\Users\stu\Documents\GitHub\eaglep3-reporting\EC\2016-12-29-refined-times.txt</v>
      </c>
      <c r="AI156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{"issue":{"subject":"","project_id":79,"tracker_id":40,"status_id":1,"priority_id":2,"assigned_to_id":23,"start_date":"2016-12-29","description":"","custom_fields":[{"id":1,"name":"Subdivision","value":"NW"},{"id":4,"name":"Milepost","value":"0.0726"},{"id":17,"name":"Train ID","value":"802-29"},{"id":16,"name":"Locomotive ID","value":"4030"},{"id":130,"name":"Impact","value":""},{"id":150,"name":"Time of Event (Mountain Time)","value":"06:27:31"},{"id":151,"name":"Denver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43"/>
        <v>start /low /b %USERPROFILE%\Documents\GitHub\eaglep3\Utilities\DownloadLogsFromS3.py --loco 4030 --day 2016-12-29</v>
      </c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502</v>
      </c>
      <c r="B157" s="7">
        <v>4022</v>
      </c>
      <c r="C157" s="22" t="s">
        <v>205</v>
      </c>
      <c r="D157" s="22" t="s">
        <v>759</v>
      </c>
      <c r="E157" s="13">
        <v>42733.262962962966</v>
      </c>
      <c r="F157" s="13">
        <v>42733.264791666668</v>
      </c>
      <c r="G157" s="7">
        <v>1</v>
      </c>
      <c r="H157" s="22" t="s">
        <v>760</v>
      </c>
      <c r="I157" s="13">
        <v>42733.274652777778</v>
      </c>
      <c r="J157" s="7">
        <v>0</v>
      </c>
      <c r="K157" s="105" t="str">
        <f t="shared" si="44"/>
        <v>4021/4022</v>
      </c>
      <c r="L157" s="22" t="str">
        <f>VLOOKUP(A157,'Trips&amp;Operators'!$C$1:$G$99999,5,FALSE)</f>
        <v>LOZA FIDEL</v>
      </c>
      <c r="M157" s="6">
        <f t="shared" si="45"/>
        <v>9.8611111097852699E-3</v>
      </c>
      <c r="N157" s="7">
        <f t="shared" ref="N157:N220" si="57">24*60*SUM($M157:$M157)</f>
        <v>14.199999998090789</v>
      </c>
      <c r="O157" s="7"/>
      <c r="P157" s="7"/>
      <c r="Q157" s="23"/>
      <c r="R157" s="23"/>
      <c r="S157" s="32">
        <f t="shared" si="46"/>
        <v>1</v>
      </c>
      <c r="T157" s="47" t="str">
        <f t="shared" si="47"/>
        <v>NorthBound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05:18:40-700',mode:absolute,to:'2016-12-29 07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7" s="49" t="str">
        <f t="shared" si="49"/>
        <v>N</v>
      </c>
      <c r="X157" s="173">
        <f t="shared" si="40"/>
        <v>1</v>
      </c>
      <c r="Y157" s="64">
        <f t="shared" si="50"/>
        <v>9.6699999999999994E-2</v>
      </c>
      <c r="Z157" s="64">
        <f t="shared" si="51"/>
        <v>5.8956</v>
      </c>
      <c r="AA157" s="64">
        <f t="shared" si="52"/>
        <v>5.7988999999999997</v>
      </c>
      <c r="AB157" s="61" t="e">
        <f>VLOOKUP(A157,Enforcements!$C$7:$K$19,8,0)</f>
        <v>#N/A</v>
      </c>
      <c r="AC157" s="57" t="e">
        <f>VLOOKUP(A157,Enforcements!$C$7:$E$19,3,0)</f>
        <v>#N/A</v>
      </c>
      <c r="AD157" s="58" t="str">
        <f t="shared" si="53"/>
        <v>0803-29</v>
      </c>
      <c r="AE157" s="87" t="str">
        <f t="shared" si="54"/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AF157" s="84" t="str">
        <f t="shared" si="55"/>
        <v>"C:\Program Files (x86)\AstroGrep\AstroGrep.exe" /spath="%USERPROFILE%\AppData\Local\Temp\OnboardLogs" /stypes="app*4022*20161229*" /stext=" 13:.+((SYSTEM_STATE.+slice.+state.+changed )|(ment ac)|(multiple cpu faults)|(system.+state.+changed )|(\[timeout)|(PRM\|1\|D)|(kpr)|(kdp)|(\|lc)|(penalty))" /e /r /s</v>
      </c>
      <c r="AG157" s="1" t="str">
        <f t="shared" si="56"/>
        <v>NW</v>
      </c>
      <c r="AH157" s="88" t="str">
        <f t="shared" si="41"/>
        <v>"%USERPROFILE%\Documents\GitHub\eaglep3\Utilities\RefineRTDCRunTimes.py" --tripid 803-29 --locoid 4022 --swversion DE.1.0.8.0 --startMP 204:967 --initTime 2016-12-29T06:18:40 --startdatetime 2016-12-29T06:21:18 --delay 1 --endMP 300:58956 --enddatetime 2016-12-29T06:35:30 --enforcementcount 0 &gt;&gt;C:\Users\stu\Documents\GitHub\eaglep3-reporting\EC\2016-12-29-refined-times.txt</v>
      </c>
      <c r="AI157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{"issue":{"subject":"","project_id":79,"tracker_id":40,"status_id":1,"priority_id":2,"assigned_to_id":23,"start_date":"2016-12-29","description":"","custom_fields":[{"id":1,"name":"Subdivision","value":"NW"},{"id":4,"name":"Milepost","value":"5.8956"},{"id":17,"name":"Train ID","value":"803-29"},{"id":16,"name":"Locomotive ID","value":"4022"},{"id":130,"name":"Impact","value":""},{"id":150,"name":"Time of Event (Mountain Time)","value":"06:35:30"},{"id":151,"name":"Denver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43"/>
        <v>start /low /b %USERPROFILE%\Documents\GitHub\eaglep3\Utilities\DownloadLogsFromS3.py --loco 4022 --day 2016-12-29</v>
      </c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507</v>
      </c>
      <c r="B158" s="7">
        <v>4021</v>
      </c>
      <c r="C158" s="22" t="s">
        <v>205</v>
      </c>
      <c r="D158" s="22" t="s">
        <v>372</v>
      </c>
      <c r="E158" s="13">
        <v>42733.275682870371</v>
      </c>
      <c r="F158" s="13">
        <v>42733.278275462966</v>
      </c>
      <c r="G158" s="7">
        <v>2</v>
      </c>
      <c r="H158" s="22" t="s">
        <v>416</v>
      </c>
      <c r="I158" s="13">
        <v>42733.2887962963</v>
      </c>
      <c r="J158" s="7">
        <v>0</v>
      </c>
      <c r="K158" s="105" t="str">
        <f t="shared" si="44"/>
        <v>4021/4022</v>
      </c>
      <c r="L158" s="22" t="str">
        <f>VLOOKUP(A158,'Trips&amp;Operators'!$C$1:$G$99999,5,FALSE)</f>
        <v>LOZA FIDEL</v>
      </c>
      <c r="M158" s="6">
        <f t="shared" si="45"/>
        <v>1.0520833333430346E-2</v>
      </c>
      <c r="N158" s="7">
        <f t="shared" si="57"/>
        <v>15.150000000139698</v>
      </c>
      <c r="O158" s="7"/>
      <c r="P158" s="7"/>
      <c r="Q158" s="23"/>
      <c r="R158" s="23"/>
      <c r="S158" s="32">
        <f t="shared" si="46"/>
        <v>1</v>
      </c>
      <c r="T158" s="47" t="str">
        <f t="shared" si="47"/>
        <v>Southbound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05:36:59-700',mode:absolute,to:'2016-12-29 07:55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8" s="49" t="str">
        <f t="shared" si="49"/>
        <v>N</v>
      </c>
      <c r="X158" s="173">
        <f t="shared" si="40"/>
        <v>1</v>
      </c>
      <c r="Y158" s="64">
        <f t="shared" si="50"/>
        <v>5.8635999999999999</v>
      </c>
      <c r="Z158" s="64">
        <f t="shared" si="51"/>
        <v>6.8400000000000002E-2</v>
      </c>
      <c r="AA158" s="64">
        <f t="shared" si="52"/>
        <v>5.7952000000000004</v>
      </c>
      <c r="AB158" s="61" t="e">
        <f>VLOOKUP(A158,Enforcements!$C$7:$K$19,8,0)</f>
        <v>#N/A</v>
      </c>
      <c r="AC158" s="57" t="e">
        <f>VLOOKUP(A158,Enforcements!$C$7:$E$19,3,0)</f>
        <v>#N/A</v>
      </c>
      <c r="AD158" s="58" t="str">
        <f t="shared" si="53"/>
        <v>0804-29</v>
      </c>
      <c r="AE158" s="87" t="str">
        <f t="shared" si="54"/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AF158" s="84" t="str">
        <f t="shared" si="55"/>
        <v>"C:\Program Files (x86)\AstroGrep\AstroGrep.exe" /spath="%USERPROFILE%\AppData\Local\Temp\OnboardLogs" /stypes="app*4021*20161229*" /stext=" 13:.+((SYSTEM_STATE.+slice.+state.+changed )|(ment ac)|(multiple cpu faults)|(system.+state.+changed )|(\[timeout)|(PRM\|1\|D)|(kpr)|(kdp)|(\|lc)|(penalty))" /e /r /s</v>
      </c>
      <c r="AG158" s="1" t="str">
        <f t="shared" si="56"/>
        <v>NW</v>
      </c>
      <c r="AH158" s="88" t="str">
        <f t="shared" si="41"/>
        <v>"%USERPROFILE%\Documents\GitHub\eaglep3\Utilities\RefineRTDCRunTimes.py" --tripid 804-29 --locoid 4021 --swversion DE.1.0.8.0 --startMP 300:58636 --initTime 2016-12-29T06:36:59 --startdatetime 2016-12-29T06:40:43 --delay 2 --endMP 204:684 --enddatetime 2016-12-29T06:55:52 --enforcementcount 0 &gt;&gt;C:\Users\stu\Documents\GitHub\eaglep3-reporting\EC\2016-12-29-refined-times.txt</v>
      </c>
      <c r="AI158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{"issue":{"subject":"","project_id":79,"tracker_id":40,"status_id":1,"priority_id":2,"assigned_to_id":23,"start_date":"2016-12-29","description":"","custom_fields":[{"id":1,"name":"Subdivision","value":"NW"},{"id":4,"name":"Milepost","value":"0.0684"},{"id":17,"name":"Train ID","value":"804-29"},{"id":16,"name":"Locomotive ID","value":"4021"},{"id":130,"name":"Impact","value":""},{"id":150,"name":"Time of Event (Mountain Time)","value":"06:55:52"},{"id":151,"name":"Denver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43"/>
        <v>start /low /b %USERPROFILE%\Documents\GitHub\eaglep3\Utilities\DownloadLogsFromS3.py --loco 4021 --day 2016-12-29</v>
      </c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505</v>
      </c>
      <c r="B159" s="7">
        <v>4029</v>
      </c>
      <c r="C159" s="22" t="s">
        <v>205</v>
      </c>
      <c r="D159" s="22" t="s">
        <v>761</v>
      </c>
      <c r="E159" s="13">
        <v>42733.271249999998</v>
      </c>
      <c r="F159" s="13">
        <v>42733.285682870373</v>
      </c>
      <c r="G159" s="7">
        <v>1</v>
      </c>
      <c r="H159" s="22" t="s">
        <v>762</v>
      </c>
      <c r="I159" s="13">
        <v>42733.296631944446</v>
      </c>
      <c r="J159" s="7">
        <v>0</v>
      </c>
      <c r="K159" s="105" t="str">
        <f t="shared" si="44"/>
        <v>4029/4030</v>
      </c>
      <c r="L159" s="22" t="str">
        <f>VLOOKUP(A159,'Trips&amp;Operators'!$C$1:$G$99999,5,FALSE)</f>
        <v>SHOOK JOHN</v>
      </c>
      <c r="M159" s="6">
        <f t="shared" si="45"/>
        <v>1.0949074072414078E-2</v>
      </c>
      <c r="N159" s="7">
        <f t="shared" si="57"/>
        <v>15.766666664276272</v>
      </c>
      <c r="O159" s="7"/>
      <c r="P159" s="7"/>
      <c r="Q159" s="23"/>
      <c r="R159" s="23"/>
      <c r="S159" s="32">
        <f t="shared" si="46"/>
        <v>1</v>
      </c>
      <c r="T159" s="47" t="str">
        <f t="shared" si="47"/>
        <v>NorthBound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05:30:36-700',mode:absolute,to:'2016-12-29 08:07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9" s="49" t="str">
        <f t="shared" si="49"/>
        <v>N</v>
      </c>
      <c r="X159" s="173">
        <f t="shared" si="40"/>
        <v>1</v>
      </c>
      <c r="Y159" s="64">
        <f t="shared" si="50"/>
        <v>0.1028</v>
      </c>
      <c r="Z159" s="64">
        <f t="shared" si="51"/>
        <v>5.8987999999999996</v>
      </c>
      <c r="AA159" s="64">
        <f t="shared" si="52"/>
        <v>5.7959999999999994</v>
      </c>
      <c r="AB159" s="61" t="e">
        <f>VLOOKUP(A159,Enforcements!$C$7:$K$19,8,0)</f>
        <v>#N/A</v>
      </c>
      <c r="AC159" s="57" t="e">
        <f>VLOOKUP(A159,Enforcements!$C$7:$E$19,3,0)</f>
        <v>#N/A</v>
      </c>
      <c r="AD159" s="58" t="str">
        <f t="shared" si="53"/>
        <v>0805-29</v>
      </c>
      <c r="AE159" s="87" t="str">
        <f t="shared" si="54"/>
        <v>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 &amp; 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</v>
      </c>
      <c r="AF159" s="84" t="str">
        <f t="shared" si="55"/>
        <v>"C:\Program Files (x86)\AstroGrep\AstroGrep.exe" /spath="%USERPROFILE%\AppData\Local\Temp\OnboardLogs" /stypes="app*4029*20161229*" /stext=" 14:.+((SYSTEM_STATE.+slice.+state.+changed )|(ment ac)|(multiple cpu faults)|(system.+state.+changed )|(\[timeout)|(PRM\|1\|D)|(kpr)|(kdp)|(\|lc)|(penalty))" /e /r /s</v>
      </c>
      <c r="AG159" s="1" t="str">
        <f t="shared" si="56"/>
        <v>NW</v>
      </c>
      <c r="AH159" s="88" t="str">
        <f t="shared" si="41"/>
        <v>"%USERPROFILE%\Documents\GitHub\eaglep3\Utilities\RefineRTDCRunTimes.py" --tripid 805-29 --locoid 4029 --swversion DE.1.0.8.0 --startMP 204:1028 --initTime 2016-12-29T06:30:36 --startdatetime 2016-12-29T06:51:23 --delay 1 --endMP 300:58988 --enddatetime 2016-12-29T07:07:09 --enforcementcount 0 &gt;&gt;C:\Users\stu\Documents\GitHub\eaglep3-reporting\EC\2016-12-29-refined-times.txt</v>
      </c>
      <c r="AI159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{"issue":{"subject":"","project_id":79,"tracker_id":40,"status_id":1,"priority_id":2,"assigned_to_id":23,"start_date":"2016-12-29","description":"","custom_fields":[{"id":1,"name":"Subdivision","value":"NW"},{"id":4,"name":"Milepost","value":"5.8988"},{"id":17,"name":"Train ID","value":"805-29"},{"id":16,"name":"Locomotive ID","value":"4029"},{"id":130,"name":"Impact","value":""},{"id":150,"name":"Time of Event (Mountain Time)","value":"07:07:09"},{"id":151,"name":"Denver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43"/>
        <v>start /low /b %USERPROFILE%\Documents\GitHub\eaglep3\Utilities\DownloadLogsFromS3.py --loco 4029 --day 2016-12-29</v>
      </c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513</v>
      </c>
      <c r="B160" s="7">
        <v>4030</v>
      </c>
      <c r="C160" s="22" t="s">
        <v>205</v>
      </c>
      <c r="D160" s="22" t="s">
        <v>763</v>
      </c>
      <c r="E160" s="13">
        <v>42733.29791666667</v>
      </c>
      <c r="F160" s="13">
        <v>42733.299421296295</v>
      </c>
      <c r="G160" s="7">
        <v>1</v>
      </c>
      <c r="H160" s="22" t="s">
        <v>371</v>
      </c>
      <c r="I160" s="13">
        <v>42733.311076388891</v>
      </c>
      <c r="J160" s="7">
        <v>0</v>
      </c>
      <c r="K160" s="105" t="str">
        <f t="shared" si="44"/>
        <v>4029/4030</v>
      </c>
      <c r="L160" s="22" t="str">
        <f>VLOOKUP(A160,'Trips&amp;Operators'!$C$1:$G$99999,5,FALSE)</f>
        <v>SHOOK JOHN</v>
      </c>
      <c r="M160" s="6">
        <f t="shared" si="45"/>
        <v>1.1655092595901806E-2</v>
      </c>
      <c r="N160" s="7">
        <f t="shared" si="57"/>
        <v>16.783333338098601</v>
      </c>
      <c r="O160" s="7"/>
      <c r="P160" s="7"/>
      <c r="Q160" s="23"/>
      <c r="R160" s="23"/>
      <c r="S160" s="32">
        <f t="shared" si="46"/>
        <v>1</v>
      </c>
      <c r="T160" s="47" t="str">
        <f t="shared" si="47"/>
        <v>Southbound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06:09:00-700',mode:absolute,to:'2016-12-29 08:27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0" s="49" t="str">
        <f t="shared" si="49"/>
        <v>N</v>
      </c>
      <c r="X160" s="173">
        <f t="shared" si="40"/>
        <v>1</v>
      </c>
      <c r="Y160" s="64">
        <f t="shared" si="50"/>
        <v>5.8678999999999997</v>
      </c>
      <c r="Z160" s="64">
        <f t="shared" si="51"/>
        <v>7.2599999999999998E-2</v>
      </c>
      <c r="AA160" s="64">
        <f t="shared" si="52"/>
        <v>5.7952999999999992</v>
      </c>
      <c r="AB160" s="61" t="e">
        <f>VLOOKUP(A160,Enforcements!$C$7:$K$19,8,0)</f>
        <v>#N/A</v>
      </c>
      <c r="AC160" s="57" t="e">
        <f>VLOOKUP(A160,Enforcements!$C$7:$E$19,3,0)</f>
        <v>#N/A</v>
      </c>
      <c r="AD160" s="58" t="str">
        <f t="shared" si="53"/>
        <v>0806-29</v>
      </c>
      <c r="AE160" s="87" t="str">
        <f t="shared" si="54"/>
        <v>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 &amp; 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</v>
      </c>
      <c r="AF160" s="84" t="str">
        <f t="shared" si="55"/>
        <v>"C:\Program Files (x86)\AstroGrep\AstroGrep.exe" /spath="%USERPROFILE%\AppData\Local\Temp\OnboardLogs" /stypes="app*4030*20161229*" /stext=" 14:.+((SYSTEM_STATE.+slice.+state.+changed )|(ment ac)|(multiple cpu faults)|(system.+state.+changed )|(\[timeout)|(PRM\|1\|D)|(kpr)|(kdp)|(\|lc)|(penalty))" /e /r /s</v>
      </c>
      <c r="AG160" s="1" t="str">
        <f t="shared" si="56"/>
        <v>NW</v>
      </c>
      <c r="AH160" s="88" t="str">
        <f t="shared" si="41"/>
        <v>"%USERPROFILE%\Documents\GitHub\eaglep3\Utilities\RefineRTDCRunTimes.py" --tripid 806-29 --locoid 4030 --swversion DE.1.0.8.0 --startMP 300:58679 --initTime 2016-12-29T07:09:00 --startdatetime 2016-12-29T07:11:10 --delay 1 --endMP 204:726 --enddatetime 2016-12-29T07:27:57 --enforcementcount 0 &gt;&gt;C:\Users\stu\Documents\GitHub\eaglep3-reporting\EC\2016-12-29-refined-times.txt</v>
      </c>
      <c r="AI160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{"issue":{"subject":"","project_id":79,"tracker_id":40,"status_id":1,"priority_id":2,"assigned_to_id":23,"start_date":"2016-12-29","description":"","custom_fields":[{"id":1,"name":"Subdivision","value":"NW"},{"id":4,"name":"Milepost","value":"0.0726"},{"id":17,"name":"Train ID","value":"806-29"},{"id":16,"name":"Locomotive ID","value":"4030"},{"id":130,"name":"Impact","value":""},{"id":150,"name":"Time of Event (Mountain Time)","value":"07:27:57"},{"id":151,"name":"Denver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43"/>
        <v>start /low /b %USERPROFILE%\Documents\GitHub\eaglep3\Utilities\DownloadLogsFromS3.py --loco 4030 --day 2016-12-29</v>
      </c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511</v>
      </c>
      <c r="B161" s="7">
        <v>4022</v>
      </c>
      <c r="C161" s="22" t="s">
        <v>205</v>
      </c>
      <c r="D161" s="22" t="s">
        <v>764</v>
      </c>
      <c r="E161" s="13">
        <v>42733.291284722225</v>
      </c>
      <c r="F161" s="13">
        <v>42733.306620370371</v>
      </c>
      <c r="G161" s="7">
        <v>1</v>
      </c>
      <c r="H161" s="22" t="s">
        <v>765</v>
      </c>
      <c r="I161" s="13">
        <v>42733.316261574073</v>
      </c>
      <c r="J161" s="7">
        <v>0</v>
      </c>
      <c r="K161" s="105" t="str">
        <f t="shared" si="44"/>
        <v>4021/4022</v>
      </c>
      <c r="L161" s="22" t="str">
        <f>VLOOKUP(A161,'Trips&amp;Operators'!$C$1:$G$99999,5,FALSE)</f>
        <v>LOZA FIDEL</v>
      </c>
      <c r="M161" s="6">
        <f t="shared" si="45"/>
        <v>9.6412037019035779E-3</v>
      </c>
      <c r="N161" s="7">
        <f t="shared" si="57"/>
        <v>13.883333330741152</v>
      </c>
      <c r="O161" s="7"/>
      <c r="P161" s="7"/>
      <c r="Q161" s="23"/>
      <c r="R161" s="23"/>
      <c r="S161" s="32">
        <f t="shared" si="46"/>
        <v>1</v>
      </c>
      <c r="T161" s="47" t="str">
        <f t="shared" si="47"/>
        <v>NorthBound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05:59:27-700',mode:absolute,to:'2016-12-29 08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1" s="49" t="str">
        <f t="shared" si="49"/>
        <v>N</v>
      </c>
      <c r="X161" s="173">
        <f t="shared" si="40"/>
        <v>1</v>
      </c>
      <c r="Y161" s="64">
        <f t="shared" si="50"/>
        <v>9.74E-2</v>
      </c>
      <c r="Z161" s="64">
        <f t="shared" si="51"/>
        <v>5.8924000000000003</v>
      </c>
      <c r="AA161" s="64">
        <f t="shared" si="52"/>
        <v>5.7949999999999999</v>
      </c>
      <c r="AB161" s="61" t="e">
        <f>VLOOKUP(A161,Enforcements!$C$7:$K$19,8,0)</f>
        <v>#N/A</v>
      </c>
      <c r="AC161" s="57" t="e">
        <f>VLOOKUP(A161,Enforcements!$C$7:$E$19,3,0)</f>
        <v>#N/A</v>
      </c>
      <c r="AD161" s="58" t="str">
        <f t="shared" si="53"/>
        <v>0807-29</v>
      </c>
      <c r="AE161" s="87" t="str">
        <f t="shared" si="54"/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AF161" s="84" t="str">
        <f t="shared" si="55"/>
        <v>"C:\Program Files (x86)\AstroGrep\AstroGrep.exe" /spath="%USERPROFILE%\AppData\Local\Temp\OnboardLogs" /stypes="app*4022*20161229*" /stext=" 14:.+((SYSTEM_STATE.+slice.+state.+changed )|(ment ac)|(multiple cpu faults)|(system.+state.+changed )|(\[timeout)|(PRM\|1\|D)|(kpr)|(kdp)|(\|lc)|(penalty))" /e /r /s</v>
      </c>
      <c r="AG161" s="1" t="str">
        <f t="shared" si="56"/>
        <v>NW</v>
      </c>
      <c r="AH161" s="88" t="str">
        <f t="shared" si="41"/>
        <v>"%USERPROFILE%\Documents\GitHub\eaglep3\Utilities\RefineRTDCRunTimes.py" --tripid 807-29 --locoid 4022 --swversion DE.1.0.8.0 --startMP 204:974 --initTime 2016-12-29T06:59:27 --startdatetime 2016-12-29T07:21:32 --delay 1 --endMP 300:58924 --enddatetime 2016-12-29T07:35:25 --enforcementcount 0 &gt;&gt;C:\Users\stu\Documents\GitHub\eaglep3-reporting\EC\2016-12-29-refined-times.txt</v>
      </c>
      <c r="AI161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{"issue":{"subject":"","project_id":79,"tracker_id":40,"status_id":1,"priority_id":2,"assigned_to_id":23,"start_date":"2016-12-29","description":"","custom_fields":[{"id":1,"name":"Subdivision","value":"NW"},{"id":4,"name":"Milepost","value":"5.8924"},{"id":17,"name":"Train ID","value":"807-29"},{"id":16,"name":"Locomotive ID","value":"4022"},{"id":130,"name":"Impact","value":""},{"id":150,"name":"Time of Event (Mountain Time)","value":"07:35:25"},{"id":151,"name":"Denver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43"/>
        <v>start /low /b %USERPROFILE%\Documents\GitHub\eaglep3\Utilities\DownloadLogsFromS3.py --loco 4022 --day 2016-12-29</v>
      </c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518</v>
      </c>
      <c r="B162" s="7">
        <v>4021</v>
      </c>
      <c r="C162" s="22" t="s">
        <v>205</v>
      </c>
      <c r="D162" s="22" t="s">
        <v>766</v>
      </c>
      <c r="E162" s="13">
        <v>42733.317777777775</v>
      </c>
      <c r="F162" s="13">
        <v>42733.319490740738</v>
      </c>
      <c r="G162" s="7">
        <v>1</v>
      </c>
      <c r="H162" s="22" t="s">
        <v>767</v>
      </c>
      <c r="I162" s="13">
        <v>42733.330439814818</v>
      </c>
      <c r="J162" s="7">
        <v>0</v>
      </c>
      <c r="K162" s="105" t="str">
        <f t="shared" si="44"/>
        <v>4021/4022</v>
      </c>
      <c r="L162" s="22" t="str">
        <f>VLOOKUP(A162,'Trips&amp;Operators'!$C$1:$G$99999,5,FALSE)</f>
        <v>LOZA FIDEL</v>
      </c>
      <c r="M162" s="6">
        <f t="shared" si="45"/>
        <v>1.0949074079690035E-2</v>
      </c>
      <c r="N162" s="7">
        <f t="shared" si="57"/>
        <v>15.766666674753651</v>
      </c>
      <c r="O162" s="7"/>
      <c r="P162" s="7"/>
      <c r="Q162" s="23"/>
      <c r="R162" s="23"/>
      <c r="S162" s="32">
        <f t="shared" si="46"/>
        <v>1</v>
      </c>
      <c r="T162" s="47" t="str">
        <f t="shared" si="47"/>
        <v>Southbound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06:37:36-700',mode:absolute,to:'2016-12-29 08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2" s="49" t="str">
        <f t="shared" si="49"/>
        <v>N</v>
      </c>
      <c r="X162" s="173">
        <f t="shared" ref="X162:X193" si="58">VALUE(LEFT(AD162,4))-VALUE(LEFT(AD161,4))</f>
        <v>1</v>
      </c>
      <c r="Y162" s="64">
        <f t="shared" si="50"/>
        <v>5.8608000000000002</v>
      </c>
      <c r="Z162" s="64">
        <f t="shared" si="51"/>
        <v>6.8699999999999997E-2</v>
      </c>
      <c r="AA162" s="64">
        <f t="shared" si="52"/>
        <v>5.7921000000000005</v>
      </c>
      <c r="AB162" s="61" t="e">
        <f>VLOOKUP(A162,Enforcements!$C$7:$K$19,8,0)</f>
        <v>#N/A</v>
      </c>
      <c r="AC162" s="57" t="e">
        <f>VLOOKUP(A162,Enforcements!$C$7:$E$19,3,0)</f>
        <v>#N/A</v>
      </c>
      <c r="AD162" s="58" t="str">
        <f t="shared" si="53"/>
        <v>0808-29</v>
      </c>
      <c r="AE162" s="87" t="str">
        <f t="shared" si="54"/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AF162" s="84" t="str">
        <f t="shared" si="55"/>
        <v>"C:\Program Files (x86)\AstroGrep\AstroGrep.exe" /spath="%USERPROFILE%\AppData\Local\Temp\OnboardLogs" /stypes="app*4021*20161229*" /stext=" 14:.+((SYSTEM_STATE.+slice.+state.+changed )|(ment ac)|(multiple cpu faults)|(system.+state.+changed )|(\[timeout)|(PRM\|1\|D)|(kpr)|(kdp)|(\|lc)|(penalty))" /e /r /s</v>
      </c>
      <c r="AG162" s="1" t="str">
        <f t="shared" si="56"/>
        <v>NW</v>
      </c>
      <c r="AH162" s="88" t="str">
        <f t="shared" si="41"/>
        <v>"%USERPROFILE%\Documents\GitHub\eaglep3\Utilities\RefineRTDCRunTimes.py" --tripid 808-29 --locoid 4021 --swversion DE.1.0.8.0 --startMP 300:58608 --initTime 2016-12-29T07:37:36 --startdatetime 2016-12-29T07:40:04 --delay 1 --endMP 204:687 --enddatetime 2016-12-29T07:55:50 --enforcementcount 0 &gt;&gt;C:\Users\stu\Documents\GitHub\eaglep3-reporting\EC\2016-12-29-refined-times.txt</v>
      </c>
      <c r="AI162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{"issue":{"subject":"","project_id":79,"tracker_id":40,"status_id":1,"priority_id":2,"assigned_to_id":23,"start_date":"2016-12-29","description":"","custom_fields":[{"id":1,"name":"Subdivision","value":"NW"},{"id":4,"name":"Milepost","value":"0.0687"},{"id":17,"name":"Train ID","value":"808-29"},{"id":16,"name":"Locomotive ID","value":"4021"},{"id":130,"name":"Impact","value":""},{"id":150,"name":"Time of Event (Mountain Time)","value":"07:55:50"},{"id":151,"name":"Denver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43"/>
        <v>start /low /b %USERPROFILE%\Documents\GitHub\eaglep3\Utilities\DownloadLogsFromS3.py --loco 4021 --day 2016-12-29</v>
      </c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4" t="s">
        <v>438</v>
      </c>
      <c r="B163" s="7">
        <v>4029</v>
      </c>
      <c r="C163" s="22" t="s">
        <v>205</v>
      </c>
      <c r="D163" s="22" t="s">
        <v>768</v>
      </c>
      <c r="E163" s="13">
        <v>42733.313368055555</v>
      </c>
      <c r="F163" s="13">
        <v>42733.327314814815</v>
      </c>
      <c r="G163" s="7">
        <v>1</v>
      </c>
      <c r="H163" s="22" t="s">
        <v>422</v>
      </c>
      <c r="I163" s="13">
        <v>42733.337939814817</v>
      </c>
      <c r="J163" s="7">
        <v>0</v>
      </c>
      <c r="K163" s="105" t="str">
        <f t="shared" si="44"/>
        <v>4029/4030</v>
      </c>
      <c r="L163" s="22" t="str">
        <f>VLOOKUP(A163,'Trips&amp;Operators'!$C$1:$G$99999,5,FALSE)</f>
        <v>SHOOK JOHN</v>
      </c>
      <c r="M163" s="6">
        <f t="shared" si="45"/>
        <v>1.0625000002619345E-2</v>
      </c>
      <c r="N163" s="7">
        <f t="shared" si="57"/>
        <v>15.300000003771856</v>
      </c>
      <c r="O163" s="7"/>
      <c r="P163" s="7"/>
      <c r="Q163" s="23"/>
      <c r="R163" s="23"/>
      <c r="S163" s="32">
        <f t="shared" si="46"/>
        <v>1</v>
      </c>
      <c r="T163" s="47" t="str">
        <f t="shared" si="47"/>
        <v>NorthBound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06:31:15-700',mode:absolute,to:'2016-12-29 09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3" s="49" t="str">
        <f t="shared" si="49"/>
        <v>N</v>
      </c>
      <c r="X163" s="173">
        <f t="shared" si="58"/>
        <v>1</v>
      </c>
      <c r="Y163" s="64">
        <f t="shared" si="50"/>
        <v>0.1013</v>
      </c>
      <c r="Z163" s="64">
        <f t="shared" si="51"/>
        <v>5.8994999999999997</v>
      </c>
      <c r="AA163" s="64">
        <f t="shared" si="52"/>
        <v>5.7981999999999996</v>
      </c>
      <c r="AB163" s="61" t="e">
        <f>VLOOKUP(A163,Enforcements!$C$7:$K$19,8,0)</f>
        <v>#N/A</v>
      </c>
      <c r="AC163" s="57" t="e">
        <f>VLOOKUP(A163,Enforcements!$C$7:$E$19,3,0)</f>
        <v>#N/A</v>
      </c>
      <c r="AD163" s="58" t="str">
        <f t="shared" si="53"/>
        <v>0809-29</v>
      </c>
      <c r="AE163" s="87" t="str">
        <f t="shared" si="54"/>
        <v>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 &amp; 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</v>
      </c>
      <c r="AF163" s="84" t="str">
        <f t="shared" si="55"/>
        <v>"C:\Program Files (x86)\AstroGrep\AstroGrep.exe" /spath="%USERPROFILE%\AppData\Local\Temp\OnboardLogs" /stypes="app*4029*20161229*" /stext=" 15:.+((SYSTEM_STATE.+slice.+state.+changed )|(ment ac)|(multiple cpu faults)|(system.+state.+changed )|(\[timeout)|(PRM\|1\|D)|(kpr)|(kdp)|(\|lc)|(penalty))" /e /r /s</v>
      </c>
      <c r="AG163" s="1" t="str">
        <f t="shared" si="56"/>
        <v>NW</v>
      </c>
      <c r="AH163" s="88" t="str">
        <f t="shared" si="41"/>
        <v>"%USERPROFILE%\Documents\GitHub\eaglep3\Utilities\RefineRTDCRunTimes.py" --tripid 809-29 --locoid 4029 --swversion DE.1.0.8.0 --startMP 204:1013 --initTime 2016-12-29T07:31:15 --startdatetime 2016-12-29T07:51:20 --delay 1 --endMP 300:58995 --enddatetime 2016-12-29T08:06:38 --enforcementcount 0 &gt;&gt;C:\Users\stu\Documents\GitHub\eaglep3-reporting\EC\2016-12-29-refined-times.txt</v>
      </c>
      <c r="AI163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{"issue":{"subject":"","project_id":79,"tracker_id":40,"status_id":1,"priority_id":2,"assigned_to_id":23,"start_date":"2016-12-29","description":"","custom_fields":[{"id":1,"name":"Subdivision","value":"NW"},{"id":4,"name":"Milepost","value":"5.8995"},{"id":17,"name":"Train ID","value":"809-29"},{"id":16,"name":"Locomotive ID","value":"4029"},{"id":130,"name":"Impact","value":""},{"id":150,"name":"Time of Event (Mountain Time)","value":"08:06:38"},{"id":151,"name":"Denver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43"/>
        <v>start /low /b %USERPROFILE%\Documents\GitHub\eaglep3\Utilities\DownloadLogsFromS3.py --loco 4029 --day 2016-12-29</v>
      </c>
    </row>
    <row r="164" spans="1:91" x14ac:dyDescent="0.25">
      <c r="A164" s="34" t="s">
        <v>523</v>
      </c>
      <c r="B164" s="7">
        <v>4030</v>
      </c>
      <c r="C164" s="22" t="s">
        <v>205</v>
      </c>
      <c r="D164" s="22" t="s">
        <v>769</v>
      </c>
      <c r="E164" s="13">
        <v>42733.339363425926</v>
      </c>
      <c r="F164" s="13">
        <v>42733.341006944444</v>
      </c>
      <c r="G164" s="7">
        <v>1</v>
      </c>
      <c r="H164" s="22" t="s">
        <v>770</v>
      </c>
      <c r="I164" s="13">
        <v>42733.352152777778</v>
      </c>
      <c r="J164" s="7">
        <v>0</v>
      </c>
      <c r="K164" s="105" t="str">
        <f t="shared" si="44"/>
        <v>4029/4030</v>
      </c>
      <c r="L164" s="22" t="str">
        <f>VLOOKUP(A164,'Trips&amp;Operators'!$C$1:$G$99999,5,FALSE)</f>
        <v>SHOOK JOHN</v>
      </c>
      <c r="M164" s="6">
        <f t="shared" si="45"/>
        <v>1.1145833334012423E-2</v>
      </c>
      <c r="N164" s="7">
        <f t="shared" si="57"/>
        <v>16.050000000977889</v>
      </c>
      <c r="O164" s="7"/>
      <c r="P164" s="7"/>
      <c r="Q164" s="23"/>
      <c r="R164" s="23"/>
      <c r="S164" s="32">
        <f t="shared" si="46"/>
        <v>1</v>
      </c>
      <c r="T164" s="47" t="str">
        <f t="shared" si="47"/>
        <v>Southbound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07:08:41-700',mode:absolute,to:'2016-12-29 09:27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4" s="49" t="str">
        <f t="shared" si="49"/>
        <v>N</v>
      </c>
      <c r="X164" s="173">
        <f t="shared" si="58"/>
        <v>1</v>
      </c>
      <c r="Y164" s="64">
        <f t="shared" si="50"/>
        <v>5.8677000000000001</v>
      </c>
      <c r="Z164" s="64">
        <f t="shared" si="51"/>
        <v>1.9599999999999999E-2</v>
      </c>
      <c r="AA164" s="64">
        <f t="shared" si="52"/>
        <v>5.8481000000000005</v>
      </c>
      <c r="AB164" s="61" t="e">
        <f>VLOOKUP(A164,Enforcements!$C$7:$K$19,8,0)</f>
        <v>#N/A</v>
      </c>
      <c r="AC164" s="57" t="e">
        <f>VLOOKUP(A164,Enforcements!$C$7:$E$19,3,0)</f>
        <v>#N/A</v>
      </c>
      <c r="AD164" s="58" t="str">
        <f t="shared" si="53"/>
        <v>0810-29</v>
      </c>
      <c r="AE164" s="87" t="str">
        <f t="shared" si="54"/>
        <v>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 &amp; 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</v>
      </c>
      <c r="AF164" s="84" t="str">
        <f t="shared" si="55"/>
        <v>"C:\Program Files (x86)\AstroGrep\AstroGrep.exe" /spath="%USERPROFILE%\AppData\Local\Temp\OnboardLogs" /stypes="app*4030*20161229*" /stext=" 15:.+((SYSTEM_STATE.+slice.+state.+changed )|(ment ac)|(multiple cpu faults)|(system.+state.+changed )|(\[timeout)|(PRM\|1\|D)|(kpr)|(kdp)|(\|lc)|(penalty))" /e /r /s</v>
      </c>
      <c r="AG164" s="1" t="str">
        <f t="shared" si="56"/>
        <v>NW</v>
      </c>
      <c r="AH164" s="88" t="str">
        <f t="shared" si="41"/>
        <v>"%USERPROFILE%\Documents\GitHub\eaglep3\Utilities\RefineRTDCRunTimes.py" --tripid 810-29 --locoid 4030 --swversion DE.1.0.8.0 --startMP 300:58677 --initTime 2016-12-29T08:08:41 --startdatetime 2016-12-29T08:11:03 --delay 1 --endMP 204:196 --enddatetime 2016-12-29T08:27:06 --enforcementcount 0 &gt;&gt;C:\Users\stu\Documents\GitHub\eaglep3-reporting\EC\2016-12-29-refined-times.txt</v>
      </c>
      <c r="AI164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{"issue":{"subject":"","project_id":79,"tracker_id":40,"status_id":1,"priority_id":2,"assigned_to_id":23,"start_date":"2016-12-29","description":"","custom_fields":[{"id":1,"name":"Subdivision","value":"NW"},{"id":4,"name":"Milepost","value":"0.0196"},{"id":17,"name":"Train ID","value":"810-29"},{"id":16,"name":"Locomotive ID","value":"4030"},{"id":130,"name":"Impact","value":""},{"id":150,"name":"Time of Event (Mountain Time)","value":"08:27:06"},{"id":151,"name":"Denver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43"/>
        <v>start /low /b %USERPROFILE%\Documents\GitHub\eaglep3\Utilities\DownloadLogsFromS3.py --loco 4030 --day 2016-12-29</v>
      </c>
    </row>
    <row r="165" spans="1:91" x14ac:dyDescent="0.25">
      <c r="A165" s="34" t="s">
        <v>525</v>
      </c>
      <c r="B165" s="7">
        <v>4022</v>
      </c>
      <c r="C165" s="22" t="s">
        <v>205</v>
      </c>
      <c r="D165" s="22" t="s">
        <v>771</v>
      </c>
      <c r="E165" s="13">
        <v>42733.346307870372</v>
      </c>
      <c r="F165" s="13">
        <v>42733.34815972222</v>
      </c>
      <c r="G165" s="7">
        <v>0</v>
      </c>
      <c r="H165" s="22" t="s">
        <v>772</v>
      </c>
      <c r="I165" s="13">
        <v>42733.358067129629</v>
      </c>
      <c r="J165" s="7">
        <v>0</v>
      </c>
      <c r="K165" s="105" t="str">
        <f t="shared" si="44"/>
        <v>4021/4022</v>
      </c>
      <c r="L165" s="22" t="str">
        <f>VLOOKUP(A165,'Trips&amp;Operators'!$C$1:$G$99999,5,FALSE)</f>
        <v>LOZA FIDEL</v>
      </c>
      <c r="M165" s="6">
        <f t="shared" si="45"/>
        <v>9.9074074096279219E-3</v>
      </c>
      <c r="N165" s="7">
        <f t="shared" si="57"/>
        <v>14.266666669864208</v>
      </c>
      <c r="O165" s="7"/>
      <c r="P165" s="7"/>
      <c r="Q165" s="23"/>
      <c r="R165" s="23"/>
      <c r="S165" s="32">
        <f t="shared" si="46"/>
        <v>1</v>
      </c>
      <c r="T165" s="47" t="str">
        <f t="shared" si="47"/>
        <v>NorthBound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07:18:41-700',mode:absolute,to:'2016-12-29 09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5" s="49" t="str">
        <f t="shared" si="49"/>
        <v>N</v>
      </c>
      <c r="X165" s="173">
        <f t="shared" si="58"/>
        <v>1</v>
      </c>
      <c r="Y165" s="64">
        <f t="shared" si="50"/>
        <v>9.7100000000000006E-2</v>
      </c>
      <c r="Z165" s="64">
        <f t="shared" si="51"/>
        <v>5.8949999999999996</v>
      </c>
      <c r="AA165" s="64">
        <f t="shared" si="52"/>
        <v>5.7978999999999994</v>
      </c>
      <c r="AB165" s="61" t="e">
        <f>VLOOKUP(A165,Enforcements!$C$7:$K$19,8,0)</f>
        <v>#N/A</v>
      </c>
      <c r="AC165" s="57" t="e">
        <f>VLOOKUP(A165,Enforcements!$C$7:$E$19,3,0)</f>
        <v>#N/A</v>
      </c>
      <c r="AD165" s="58" t="str">
        <f t="shared" si="53"/>
        <v>0811-29</v>
      </c>
      <c r="AE165" s="87" t="str">
        <f t="shared" si="54"/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AF165" s="84" t="str">
        <f t="shared" si="55"/>
        <v>"C:\Program Files (x86)\AstroGrep\AstroGrep.exe" /spath="%USERPROFILE%\AppData\Local\Temp\OnboardLogs" /stypes="app*4022*20161229*" /stext=" 15:.+((SYSTEM_STATE.+slice.+state.+changed )|(ment ac)|(multiple cpu faults)|(system.+state.+changed )|(\[timeout)|(PRM\|1\|D)|(kpr)|(kdp)|(\|lc)|(penalty))" /e /r /s</v>
      </c>
      <c r="AG165" s="1" t="str">
        <f t="shared" si="56"/>
        <v>NW</v>
      </c>
      <c r="AH165" s="88" t="str">
        <f t="shared" si="41"/>
        <v>"%USERPROFILE%\Documents\GitHub\eaglep3\Utilities\RefineRTDCRunTimes.py" --tripid 811-29 --locoid 4022 --swversion DE.1.0.8.0 --startMP 204:971 --initTime 2016-12-29T08:18:41 --startdatetime 2016-12-29T08:21:21 --delay 0 --endMP 300:58950 --enddatetime 2016-12-29T08:35:37 --enforcementcount 0 &gt;&gt;C:\Users\stu\Documents\GitHub\eaglep3-reporting\EC\2016-12-29-refined-times.txt</v>
      </c>
      <c r="AI165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{"issue":{"subject":"","project_id":79,"tracker_id":40,"status_id":1,"priority_id":2,"assigned_to_id":23,"start_date":"2016-12-29","description":"","custom_fields":[{"id":1,"name":"Subdivision","value":"NW"},{"id":4,"name":"Milepost","value":"5.895"},{"id":17,"name":"Train ID","value":"811-29"},{"id":16,"name":"Locomotive ID","value":"4022"},{"id":130,"name":"Impact","value":""},{"id":150,"name":"Time of Event (Mountain Time)","value":"08:35:37"},{"id":151,"name":"Denver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43"/>
        <v>start /low /b %USERPROFILE%\Documents\GitHub\eaglep3\Utilities\DownloadLogsFromS3.py --loco 4022 --day 2016-12-29</v>
      </c>
    </row>
    <row r="166" spans="1:91" x14ac:dyDescent="0.25">
      <c r="A166" s="34" t="s">
        <v>530</v>
      </c>
      <c r="B166" s="7">
        <v>4021</v>
      </c>
      <c r="C166" s="22" t="s">
        <v>205</v>
      </c>
      <c r="D166" s="22" t="s">
        <v>773</v>
      </c>
      <c r="E166" s="13">
        <v>42733.359571759262</v>
      </c>
      <c r="F166" s="13">
        <v>42733.361550925925</v>
      </c>
      <c r="G166" s="7">
        <v>1</v>
      </c>
      <c r="H166" s="22" t="s">
        <v>430</v>
      </c>
      <c r="I166" s="13">
        <v>42733.371736111112</v>
      </c>
      <c r="J166" s="7">
        <v>0</v>
      </c>
      <c r="K166" s="105" t="str">
        <f t="shared" si="44"/>
        <v>4021/4022</v>
      </c>
      <c r="L166" s="22" t="str">
        <f>VLOOKUP(A166,'Trips&amp;Operators'!$C$1:$G$99999,5,FALSE)</f>
        <v>LOZA FIDEL</v>
      </c>
      <c r="M166" s="6">
        <f t="shared" si="45"/>
        <v>1.0185185186855961E-2</v>
      </c>
      <c r="N166" s="7">
        <f t="shared" si="57"/>
        <v>14.666666669072583</v>
      </c>
      <c r="O166" s="7"/>
      <c r="P166" s="7"/>
      <c r="Q166" s="23"/>
      <c r="R166" s="23"/>
      <c r="S166" s="32">
        <f t="shared" si="46"/>
        <v>1</v>
      </c>
      <c r="T166" s="47" t="str">
        <f t="shared" si="47"/>
        <v>Southbound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07:37:47-700',mode:absolute,to:'2016-12-29 09:55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6" s="49" t="str">
        <f t="shared" si="49"/>
        <v>N</v>
      </c>
      <c r="X166" s="173">
        <f t="shared" si="58"/>
        <v>1</v>
      </c>
      <c r="Y166" s="64">
        <f t="shared" si="50"/>
        <v>5.8639999999999999</v>
      </c>
      <c r="Z166" s="64">
        <f t="shared" si="51"/>
        <v>6.6299999999999998E-2</v>
      </c>
      <c r="AA166" s="64">
        <f t="shared" si="52"/>
        <v>5.7976999999999999</v>
      </c>
      <c r="AB166" s="61" t="e">
        <f>VLOOKUP(A166,Enforcements!$C$7:$K$19,8,0)</f>
        <v>#N/A</v>
      </c>
      <c r="AC166" s="57" t="e">
        <f>VLOOKUP(A166,Enforcements!$C$7:$E$19,3,0)</f>
        <v>#N/A</v>
      </c>
      <c r="AD166" s="58" t="str">
        <f t="shared" si="53"/>
        <v>0812-29</v>
      </c>
      <c r="AE166" s="87" t="str">
        <f t="shared" si="54"/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AF166" s="84" t="str">
        <f t="shared" si="55"/>
        <v>"C:\Program Files (x86)\AstroGrep\AstroGrep.exe" /spath="%USERPROFILE%\AppData\Local\Temp\OnboardLogs" /stypes="app*4021*20161229*" /stext=" 15:.+((SYSTEM_STATE.+slice.+state.+changed )|(ment ac)|(multiple cpu faults)|(system.+state.+changed )|(\[timeout)|(PRM\|1\|D)|(kpr)|(kdp)|(\|lc)|(penalty))" /e /r /s</v>
      </c>
      <c r="AG166" s="1" t="str">
        <f t="shared" si="56"/>
        <v>NW</v>
      </c>
      <c r="AH166" s="88" t="str">
        <f t="shared" si="41"/>
        <v>"%USERPROFILE%\Documents\GitHub\eaglep3\Utilities\RefineRTDCRunTimes.py" --tripid 812-29 --locoid 4021 --swversion DE.1.0.8.0 --startMP 300:58640 --initTime 2016-12-29T08:37:47 --startdatetime 2016-12-29T08:40:38 --delay 1 --endMP 204:663 --enddatetime 2016-12-29T08:55:18 --enforcementcount 0 &gt;&gt;C:\Users\stu\Documents\GitHub\eaglep3-reporting\EC\2016-12-29-refined-times.txt</v>
      </c>
      <c r="AI166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{"issue":{"subject":"","project_id":79,"tracker_id":40,"status_id":1,"priority_id":2,"assigned_to_id":23,"start_date":"2016-12-29","description":"","custom_fields":[{"id":1,"name":"Subdivision","value":"NW"},{"id":4,"name":"Milepost","value":"0.0663"},{"id":17,"name":"Train ID","value":"812-29"},{"id":16,"name":"Locomotive ID","value":"4021"},{"id":130,"name":"Impact","value":""},{"id":150,"name":"Time of Event (Mountain Time)","value":"08:55:18"},{"id":151,"name":"Denver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43"/>
        <v>start /low /b %USERPROFILE%\Documents\GitHub\eaglep3\Utilities\DownloadLogsFromS3.py --loco 4021 --day 2016-12-29</v>
      </c>
    </row>
    <row r="167" spans="1:91" s="21" customFormat="1" x14ac:dyDescent="0.25">
      <c r="A167" s="34" t="s">
        <v>537</v>
      </c>
      <c r="B167" s="7">
        <v>4022</v>
      </c>
      <c r="C167" s="22" t="s">
        <v>205</v>
      </c>
      <c r="D167" s="22" t="s">
        <v>425</v>
      </c>
      <c r="E167" s="13">
        <v>42733.385717592595</v>
      </c>
      <c r="F167" s="13">
        <v>42733.389826388891</v>
      </c>
      <c r="G167" s="7">
        <v>1</v>
      </c>
      <c r="H167" s="22" t="s">
        <v>774</v>
      </c>
      <c r="I167" s="13">
        <v>42733.399247685185</v>
      </c>
      <c r="J167" s="7">
        <v>0</v>
      </c>
      <c r="K167" s="105" t="str">
        <f t="shared" si="44"/>
        <v>4021/4022</v>
      </c>
      <c r="L167" s="22" t="str">
        <f>VLOOKUP(A167,'Trips&amp;Operators'!$C$1:$G$99999,5,FALSE)</f>
        <v>LOZA FIDEL</v>
      </c>
      <c r="M167" s="6">
        <f t="shared" si="45"/>
        <v>9.4212962940218858E-3</v>
      </c>
      <c r="N167" s="7">
        <f t="shared" si="57"/>
        <v>13.566666663391516</v>
      </c>
      <c r="O167" s="7"/>
      <c r="P167" s="7"/>
      <c r="Q167" s="23"/>
      <c r="R167" s="23"/>
      <c r="S167" s="32">
        <f t="shared" si="46"/>
        <v>1</v>
      </c>
      <c r="T167" s="47" t="str">
        <f t="shared" si="47"/>
        <v>NorthBound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08:15:26-700',mode:absolute,to:'2016-12-29 10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7" s="49" t="str">
        <f t="shared" si="49"/>
        <v>N</v>
      </c>
      <c r="X167" s="173">
        <f t="shared" si="58"/>
        <v>1</v>
      </c>
      <c r="Y167" s="64">
        <f t="shared" si="50"/>
        <v>9.7600000000000006E-2</v>
      </c>
      <c r="Z167" s="64">
        <f t="shared" si="51"/>
        <v>5.8952</v>
      </c>
      <c r="AA167" s="64">
        <f t="shared" si="52"/>
        <v>5.7976000000000001</v>
      </c>
      <c r="AB167" s="61" t="e">
        <f>VLOOKUP(A167,Enforcements!$C$7:$K$19,8,0)</f>
        <v>#N/A</v>
      </c>
      <c r="AC167" s="57" t="e">
        <f>VLOOKUP(A167,Enforcements!$C$7:$E$19,3,0)</f>
        <v>#N/A</v>
      </c>
      <c r="AD167" s="58" t="str">
        <f t="shared" si="53"/>
        <v>0813-29</v>
      </c>
      <c r="AE167" s="87" t="str">
        <f t="shared" si="54"/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AF167" s="84" t="str">
        <f t="shared" si="55"/>
        <v>"C:\Program Files (x86)\AstroGrep\AstroGrep.exe" /spath="%USERPROFILE%\AppData\Local\Temp\OnboardLogs" /stypes="app*4022*20161229*" /stext=" 16:.+((SYSTEM_STATE.+slice.+state.+changed )|(ment ac)|(multiple cpu faults)|(system.+state.+changed )|(\[timeout)|(PRM\|1\|D)|(kpr)|(kdp)|(\|lc)|(penalty))" /e /r /s</v>
      </c>
      <c r="AG167" s="1" t="str">
        <f t="shared" si="56"/>
        <v>NW</v>
      </c>
      <c r="AH167" s="88" t="str">
        <f t="shared" si="41"/>
        <v>"%USERPROFILE%\Documents\GitHub\eaglep3\Utilities\RefineRTDCRunTimes.py" --tripid 813-29 --locoid 4022 --swversion DE.1.0.8.0 --startMP 204:976 --initTime 2016-12-29T09:15:26 --startdatetime 2016-12-29T09:21:21 --delay 1 --endMP 300:58952 --enddatetime 2016-12-29T09:34:55 --enforcementcount 0 &gt;&gt;C:\Users\stu\Documents\GitHub\eaglep3-reporting\EC\2016-12-29-refined-times.txt</v>
      </c>
      <c r="AI167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{"issue":{"subject":"","project_id":79,"tracker_id":40,"status_id":1,"priority_id":2,"assigned_to_id":23,"start_date":"2016-12-29","description":"","custom_fields":[{"id":1,"name":"Subdivision","value":"NW"},{"id":4,"name":"Milepost","value":"5.8952"},{"id":17,"name":"Train ID","value":"813-29"},{"id":16,"name":"Locomotive ID","value":"4022"},{"id":130,"name":"Impact","value":""},{"id":150,"name":"Time of Event (Mountain Time)","value":"09:34:55"},{"id":151,"name":"Denver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43"/>
        <v>start /low /b %USERPROFILE%\Documents\GitHub\eaglep3\Utilities\DownloadLogsFromS3.py --loco 4022 --day 2016-12-29</v>
      </c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4" t="s">
        <v>540</v>
      </c>
      <c r="B168" s="7">
        <v>4021</v>
      </c>
      <c r="C168" s="22" t="s">
        <v>205</v>
      </c>
      <c r="D168" s="22" t="s">
        <v>775</v>
      </c>
      <c r="E168" s="13">
        <v>42733.401504629626</v>
      </c>
      <c r="F168" s="13">
        <v>42733.40347222222</v>
      </c>
      <c r="G168" s="7">
        <v>1</v>
      </c>
      <c r="H168" s="22" t="s">
        <v>418</v>
      </c>
      <c r="I168" s="13">
        <v>42733.413518518515</v>
      </c>
      <c r="J168" s="7">
        <v>0</v>
      </c>
      <c r="K168" s="105" t="str">
        <f t="shared" si="44"/>
        <v>4021/4022</v>
      </c>
      <c r="L168" s="22" t="str">
        <f>VLOOKUP(A168,'Trips&amp;Operators'!$C$1:$G$99999,5,FALSE)</f>
        <v>LOZA FIDEL</v>
      </c>
      <c r="M168" s="6">
        <f t="shared" si="45"/>
        <v>1.0046296294603962E-2</v>
      </c>
      <c r="N168" s="7">
        <f t="shared" si="57"/>
        <v>14.466666664229706</v>
      </c>
      <c r="O168" s="7"/>
      <c r="P168" s="7"/>
      <c r="Q168" s="23"/>
      <c r="R168" s="23"/>
      <c r="S168" s="32">
        <f t="shared" si="46"/>
        <v>1</v>
      </c>
      <c r="T168" s="47" t="str">
        <f t="shared" si="47"/>
        <v>Southbound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08:38:10-700',mode:absolute,to:'2016-12-29 10:55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8" s="49" t="str">
        <f t="shared" si="49"/>
        <v>N</v>
      </c>
      <c r="X168" s="173">
        <f t="shared" si="58"/>
        <v>1</v>
      </c>
      <c r="Y168" s="64">
        <f t="shared" si="50"/>
        <v>5.8632</v>
      </c>
      <c r="Z168" s="64">
        <f t="shared" si="51"/>
        <v>6.7100000000000007E-2</v>
      </c>
      <c r="AA168" s="64">
        <f t="shared" si="52"/>
        <v>5.7961</v>
      </c>
      <c r="AB168" s="61" t="e">
        <f>VLOOKUP(A168,Enforcements!$C$7:$K$19,8,0)</f>
        <v>#N/A</v>
      </c>
      <c r="AC168" s="57" t="e">
        <f>VLOOKUP(A168,Enforcements!$C$7:$E$19,3,0)</f>
        <v>#N/A</v>
      </c>
      <c r="AD168" s="58" t="str">
        <f t="shared" si="53"/>
        <v>0814-29</v>
      </c>
      <c r="AE168" s="87" t="str">
        <f t="shared" si="54"/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AF168" s="84" t="str">
        <f t="shared" si="55"/>
        <v>"C:\Program Files (x86)\AstroGrep\AstroGrep.exe" /spath="%USERPROFILE%\AppData\Local\Temp\OnboardLogs" /stypes="app*4021*20161229*" /stext=" 16:.+((SYSTEM_STATE.+slice.+state.+changed )|(ment ac)|(multiple cpu faults)|(system.+state.+changed )|(\[timeout)|(PRM\|1\|D)|(kpr)|(kdp)|(\|lc)|(penalty))" /e /r /s</v>
      </c>
      <c r="AG168" s="1" t="str">
        <f t="shared" si="56"/>
        <v>NW</v>
      </c>
      <c r="AH168" s="88" t="str">
        <f t="shared" si="41"/>
        <v>"%USERPROFILE%\Documents\GitHub\eaglep3\Utilities\RefineRTDCRunTimes.py" --tripid 814-29 --locoid 4021 --swversion DE.1.0.8.0 --startMP 300:58632 --initTime 2016-12-29T09:38:10 --startdatetime 2016-12-29T09:41:00 --delay 1 --endMP 204:671 --enddatetime 2016-12-29T09:55:28 --enforcementcount 0 &gt;&gt;C:\Users\stu\Documents\GitHub\eaglep3-reporting\EC\2016-12-29-refined-times.txt</v>
      </c>
      <c r="AI168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{"issue":{"subject":"","project_id":79,"tracker_id":40,"status_id":1,"priority_id":2,"assigned_to_id":23,"start_date":"2016-12-29","description":"","custom_fields":[{"id":1,"name":"Subdivision","value":"NW"},{"id":4,"name":"Milepost","value":"0.0671"},{"id":17,"name":"Train ID","value":"814-29"},{"id":16,"name":"Locomotive ID","value":"4021"},{"id":130,"name":"Impact","value":""},{"id":150,"name":"Time of Event (Mountain Time)","value":"09:55:28"},{"id":151,"name":"Denver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43"/>
        <v>start /low /b %USERPROFILE%\Documents\GitHub\eaglep3\Utilities\DownloadLogsFromS3.py --loco 4021 --day 2016-12-29</v>
      </c>
    </row>
    <row r="169" spans="1:91" x14ac:dyDescent="0.25">
      <c r="A169" s="34" t="s">
        <v>547</v>
      </c>
      <c r="B169" s="7">
        <v>4022</v>
      </c>
      <c r="C169" s="22" t="s">
        <v>205</v>
      </c>
      <c r="D169" s="22" t="s">
        <v>415</v>
      </c>
      <c r="E169" s="13">
        <v>42733.425844907404</v>
      </c>
      <c r="F169" s="13">
        <v>42733.431979166664</v>
      </c>
      <c r="G169" s="7">
        <v>3</v>
      </c>
      <c r="H169" s="22" t="s">
        <v>776</v>
      </c>
      <c r="I169" s="13">
        <v>42733.442291666666</v>
      </c>
      <c r="J169" s="7">
        <v>0</v>
      </c>
      <c r="K169" s="105" t="str">
        <f t="shared" si="44"/>
        <v>4021/4022</v>
      </c>
      <c r="L169" s="22" t="str">
        <f>VLOOKUP(A169,'Trips&amp;Operators'!$C$1:$G$99999,5,FALSE)</f>
        <v>MAGEE KENYA</v>
      </c>
      <c r="M169" s="6">
        <f t="shared" si="45"/>
        <v>1.0312500002328306E-2</v>
      </c>
      <c r="N169" s="7">
        <f t="shared" si="57"/>
        <v>14.850000003352761</v>
      </c>
      <c r="O169" s="7"/>
      <c r="P169" s="7"/>
      <c r="Q169" s="23"/>
      <c r="R169" s="23"/>
      <c r="S169" s="32">
        <f t="shared" si="46"/>
        <v>1</v>
      </c>
      <c r="T169" s="47" t="str">
        <f t="shared" si="47"/>
        <v>NorthBound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09:13:13-700',mode:absolute,to:'2016-12-29 11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9" s="49" t="str">
        <f t="shared" si="49"/>
        <v>N</v>
      </c>
      <c r="X169" s="173">
        <f t="shared" si="58"/>
        <v>1</v>
      </c>
      <c r="Y169" s="64">
        <f t="shared" si="50"/>
        <v>9.7199999999999995E-2</v>
      </c>
      <c r="Z169" s="64">
        <f t="shared" si="51"/>
        <v>5.8975999999999997</v>
      </c>
      <c r="AA169" s="64">
        <f t="shared" si="52"/>
        <v>5.8003999999999998</v>
      </c>
      <c r="AB169" s="61" t="e">
        <f>VLOOKUP(A169,Enforcements!$C$7:$K$19,8,0)</f>
        <v>#N/A</v>
      </c>
      <c r="AC169" s="57" t="e">
        <f>VLOOKUP(A169,Enforcements!$C$7:$E$19,3,0)</f>
        <v>#N/A</v>
      </c>
      <c r="AD169" s="58" t="str">
        <f t="shared" si="53"/>
        <v>0815-29</v>
      </c>
      <c r="AE169" s="87" t="str">
        <f t="shared" si="54"/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AF169" s="84" t="str">
        <f t="shared" si="55"/>
        <v>"C:\Program Files (x86)\AstroGrep\AstroGrep.exe" /spath="%USERPROFILE%\AppData\Local\Temp\OnboardLogs" /stypes="app*4022*20161229*" /stext=" 17:.+((SYSTEM_STATE.+slice.+state.+changed )|(ment ac)|(multiple cpu faults)|(system.+state.+changed )|(\[timeout)|(PRM\|1\|D)|(kpr)|(kdp)|(\|lc)|(penalty))" /e /r /s</v>
      </c>
      <c r="AG169" s="1" t="str">
        <f t="shared" si="56"/>
        <v>NW</v>
      </c>
      <c r="AH169" s="88" t="str">
        <f t="shared" si="41"/>
        <v>"%USERPROFILE%\Documents\GitHub\eaglep3\Utilities\RefineRTDCRunTimes.py" --tripid 815-29 --locoid 4022 --swversion DE.1.0.8.0 --startMP 204:972 --initTime 2016-12-29T10:13:13 --startdatetime 2016-12-29T10:22:03 --delay 3 --endMP 300:58976 --enddatetime 2016-12-29T10:36:54 --enforcementcount 0 &gt;&gt;C:\Users\stu\Documents\GitHub\eaglep3-reporting\EC\2016-12-29-refined-times.txt</v>
      </c>
      <c r="AI169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{"issue":{"subject":"","project_id":79,"tracker_id":40,"status_id":1,"priority_id":2,"assigned_to_id":23,"start_date":"2016-12-29","description":"","custom_fields":[{"id":1,"name":"Subdivision","value":"NW"},{"id":4,"name":"Milepost","value":"5.8976"},{"id":17,"name":"Train ID","value":"815-29"},{"id":16,"name":"Locomotive ID","value":"4022"},{"id":130,"name":"Impact","value":""},{"id":150,"name":"Time of Event (Mountain Time)","value":"10:36:54"},{"id":151,"name":"Denver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43"/>
        <v>start /low /b %USERPROFILE%\Documents\GitHub\eaglep3\Utilities\DownloadLogsFromS3.py --loco 4022 --day 2016-12-29</v>
      </c>
    </row>
    <row r="170" spans="1:91" x14ac:dyDescent="0.25">
      <c r="A170" s="34" t="s">
        <v>550</v>
      </c>
      <c r="B170" s="7">
        <v>4021</v>
      </c>
      <c r="C170" s="22" t="s">
        <v>205</v>
      </c>
      <c r="D170" s="22" t="s">
        <v>754</v>
      </c>
      <c r="E170" s="13">
        <v>42733.443182870367</v>
      </c>
      <c r="F170" s="13">
        <v>42733.445972222224</v>
      </c>
      <c r="G170" s="7">
        <v>3</v>
      </c>
      <c r="H170" s="22" t="s">
        <v>357</v>
      </c>
      <c r="I170" s="13">
        <v>42733.456226851849</v>
      </c>
      <c r="J170" s="7">
        <v>0</v>
      </c>
      <c r="K170" s="105" t="str">
        <f t="shared" si="44"/>
        <v>4021/4022</v>
      </c>
      <c r="L170" s="22" t="str">
        <f>VLOOKUP(A170,'Trips&amp;Operators'!$C$1:$G$99999,5,FALSE)</f>
        <v>MAGEE KENYA</v>
      </c>
      <c r="M170" s="6">
        <f t="shared" si="45"/>
        <v>1.0254629625706002E-2</v>
      </c>
      <c r="N170" s="7">
        <f t="shared" si="57"/>
        <v>14.766666661016643</v>
      </c>
      <c r="O170" s="7"/>
      <c r="P170" s="7"/>
      <c r="Q170" s="23"/>
      <c r="R170" s="23"/>
      <c r="S170" s="32">
        <f t="shared" si="46"/>
        <v>1</v>
      </c>
      <c r="T170" s="47" t="str">
        <f t="shared" si="47"/>
        <v>Southbound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09:38:11-700',mode:absolute,to:'2016-12-29 11:56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0" s="49" t="str">
        <f t="shared" si="49"/>
        <v>N</v>
      </c>
      <c r="X170" s="173">
        <f t="shared" si="58"/>
        <v>1</v>
      </c>
      <c r="Y170" s="64">
        <f t="shared" si="50"/>
        <v>5.8659999999999997</v>
      </c>
      <c r="Z170" s="64">
        <f t="shared" si="51"/>
        <v>7.0099999999999996E-2</v>
      </c>
      <c r="AA170" s="64">
        <f t="shared" si="52"/>
        <v>5.7958999999999996</v>
      </c>
      <c r="AB170" s="61" t="e">
        <f>VLOOKUP(A170,Enforcements!$C$7:$K$19,8,0)</f>
        <v>#N/A</v>
      </c>
      <c r="AC170" s="57" t="e">
        <f>VLOOKUP(A170,Enforcements!$C$7:$E$19,3,0)</f>
        <v>#N/A</v>
      </c>
      <c r="AD170" s="58" t="str">
        <f t="shared" si="53"/>
        <v>0816-29</v>
      </c>
      <c r="AE170" s="87" t="str">
        <f t="shared" si="54"/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AF170" s="84" t="str">
        <f t="shared" si="55"/>
        <v>"C:\Program Files (x86)\AstroGrep\AstroGrep.exe" /spath="%USERPROFILE%\AppData\Local\Temp\OnboardLogs" /stypes="app*4021*20161229*" /stext=" 17:.+((SYSTEM_STATE.+slice.+state.+changed )|(ment ac)|(multiple cpu faults)|(system.+state.+changed )|(\[timeout)|(PRM\|1\|D)|(kpr)|(kdp)|(\|lc)|(penalty))" /e /r /s</v>
      </c>
      <c r="AG170" s="1" t="str">
        <f t="shared" si="56"/>
        <v>NW</v>
      </c>
      <c r="AH170" s="88" t="str">
        <f t="shared" si="41"/>
        <v>"%USERPROFILE%\Documents\GitHub\eaglep3\Utilities\RefineRTDCRunTimes.py" --tripid 816-29 --locoid 4021 --swversion DE.1.0.8.0 --startMP 300:58660 --initTime 2016-12-29T10:38:11 --startdatetime 2016-12-29T10:42:12 --delay 3 --endMP 204:701 --enddatetime 2016-12-29T10:56:58 --enforcementcount 0 &gt;&gt;C:\Users\stu\Documents\GitHub\eaglep3-reporting\EC\2016-12-29-refined-times.txt</v>
      </c>
      <c r="AI170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{"issue":{"subject":"","project_id":79,"tracker_id":40,"status_id":1,"priority_id":2,"assigned_to_id":23,"start_date":"2016-12-29","description":"","custom_fields":[{"id":1,"name":"Subdivision","value":"NW"},{"id":4,"name":"Milepost","value":"0.0701"},{"id":17,"name":"Train ID","value":"816-29"},{"id":16,"name":"Locomotive ID","value":"4021"},{"id":130,"name":"Impact","value":""},{"id":150,"name":"Time of Event (Mountain Time)","value":"10:56:58"},{"id":151,"name":"Denver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43"/>
        <v>start /low /b %USERPROFILE%\Documents\GitHub\eaglep3\Utilities\DownloadLogsFromS3.py --loco 4021 --day 2016-12-29</v>
      </c>
    </row>
    <row r="171" spans="1:91" x14ac:dyDescent="0.25">
      <c r="A171" s="34" t="s">
        <v>557</v>
      </c>
      <c r="B171" s="7">
        <v>4022</v>
      </c>
      <c r="C171" s="22" t="s">
        <v>205</v>
      </c>
      <c r="D171" s="22" t="s">
        <v>419</v>
      </c>
      <c r="E171" s="13">
        <v>42733.458541666667</v>
      </c>
      <c r="F171" s="13">
        <v>42733.473182870373</v>
      </c>
      <c r="G171" s="7">
        <v>1</v>
      </c>
      <c r="H171" s="22" t="s">
        <v>777</v>
      </c>
      <c r="I171" s="13">
        <v>42733.48296296296</v>
      </c>
      <c r="J171" s="7">
        <v>0</v>
      </c>
      <c r="K171" s="105" t="str">
        <f t="shared" si="44"/>
        <v>4021/4022</v>
      </c>
      <c r="L171" s="22" t="str">
        <f>VLOOKUP(A171,'Trips&amp;Operators'!$C$1:$G$99999,5,FALSE)</f>
        <v>LOZA FIDEL</v>
      </c>
      <c r="M171" s="6">
        <f t="shared" si="45"/>
        <v>9.7800925868796185E-3</v>
      </c>
      <c r="N171" s="7">
        <f t="shared" si="57"/>
        <v>14.083333325106651</v>
      </c>
      <c r="O171" s="7"/>
      <c r="P171" s="7"/>
      <c r="Q171" s="23"/>
      <c r="R171" s="23"/>
      <c r="S171" s="32">
        <f t="shared" si="46"/>
        <v>1</v>
      </c>
      <c r="T171" s="47" t="str">
        <f t="shared" si="47"/>
        <v>NorthBound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10:00:18-700',mode:absolute,to:'2016-12-29 12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1" s="49" t="str">
        <f t="shared" si="49"/>
        <v>N</v>
      </c>
      <c r="X171" s="173">
        <f t="shared" si="58"/>
        <v>1</v>
      </c>
      <c r="Y171" s="64">
        <f t="shared" si="50"/>
        <v>9.8500000000000004E-2</v>
      </c>
      <c r="Z171" s="64">
        <f t="shared" si="51"/>
        <v>5.8943000000000003</v>
      </c>
      <c r="AA171" s="64">
        <f t="shared" si="52"/>
        <v>5.7958000000000007</v>
      </c>
      <c r="AB171" s="61" t="e">
        <f>VLOOKUP(A171,Enforcements!$C$7:$K$19,8,0)</f>
        <v>#N/A</v>
      </c>
      <c r="AC171" s="57" t="e">
        <f>VLOOKUP(A171,Enforcements!$C$7:$E$19,3,0)</f>
        <v>#N/A</v>
      </c>
      <c r="AD171" s="58" t="str">
        <f t="shared" si="53"/>
        <v>0817-29</v>
      </c>
      <c r="AE171" s="87" t="str">
        <f t="shared" si="54"/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AF171" s="84" t="str">
        <f t="shared" si="55"/>
        <v>"C:\Program Files (x86)\AstroGrep\AstroGrep.exe" /spath="%USERPROFILE%\AppData\Local\Temp\OnboardLogs" /stypes="app*4022*20161229*" /stext=" 18:.+((SYSTEM_STATE.+slice.+state.+changed )|(ment ac)|(multiple cpu faults)|(system.+state.+changed )|(\[timeout)|(PRM\|1\|D)|(kpr)|(kdp)|(\|lc)|(penalty))" /e /r /s</v>
      </c>
      <c r="AG171" s="1" t="str">
        <f t="shared" si="56"/>
        <v>NW</v>
      </c>
      <c r="AH171" s="88" t="str">
        <f t="shared" si="41"/>
        <v>"%USERPROFILE%\Documents\GitHub\eaglep3\Utilities\RefineRTDCRunTimes.py" --tripid 817-29 --locoid 4022 --swversion DE.1.0.8.0 --startMP 204:985 --initTime 2016-12-29T11:00:18 --startdatetime 2016-12-29T11:21:23 --delay 1 --endMP 300:58943 --enddatetime 2016-12-29T11:35:28 --enforcementcount 0 &gt;&gt;C:\Users\stu\Documents\GitHub\eaglep3-reporting\EC\2016-12-29-refined-times.txt</v>
      </c>
      <c r="AI171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{"issue":{"subject":"","project_id":79,"tracker_id":40,"status_id":1,"priority_id":2,"assigned_to_id":23,"start_date":"2016-12-29","description":"","custom_fields":[{"id":1,"name":"Subdivision","value":"NW"},{"id":4,"name":"Milepost","value":"5.8943"},{"id":17,"name":"Train ID","value":"817-29"},{"id":16,"name":"Locomotive ID","value":"4022"},{"id":130,"name":"Impact","value":""},{"id":150,"name":"Time of Event (Mountain Time)","value":"11:35:28"},{"id":151,"name":"Denver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43"/>
        <v>start /low /b %USERPROFILE%\Documents\GitHub\eaglep3\Utilities\DownloadLogsFromS3.py --loco 4022 --day 2016-12-29</v>
      </c>
    </row>
    <row r="172" spans="1:91" x14ac:dyDescent="0.25">
      <c r="A172" s="34" t="s">
        <v>565</v>
      </c>
      <c r="B172" s="7">
        <v>4021</v>
      </c>
      <c r="C172" s="22" t="s">
        <v>205</v>
      </c>
      <c r="D172" s="22" t="s">
        <v>778</v>
      </c>
      <c r="E172" s="13">
        <v>42733.484131944446</v>
      </c>
      <c r="F172" s="13">
        <v>42733.485636574071</v>
      </c>
      <c r="G172" s="7">
        <v>1</v>
      </c>
      <c r="H172" s="22" t="s">
        <v>418</v>
      </c>
      <c r="I172" s="13">
        <v>42733.496689814812</v>
      </c>
      <c r="J172" s="7">
        <v>0</v>
      </c>
      <c r="K172" s="105" t="str">
        <f t="shared" si="44"/>
        <v>4021/4022</v>
      </c>
      <c r="L172" s="22" t="str">
        <f>VLOOKUP(A172,'Trips&amp;Operators'!$C$1:$G$99999,5,FALSE)</f>
        <v>LOZA FIDEL</v>
      </c>
      <c r="M172" s="6">
        <f t="shared" si="45"/>
        <v>1.1053240741603076E-2</v>
      </c>
      <c r="N172" s="7">
        <f t="shared" si="57"/>
        <v>15.91666666790843</v>
      </c>
      <c r="O172" s="7"/>
      <c r="P172" s="7"/>
      <c r="Q172" s="23"/>
      <c r="R172" s="23"/>
      <c r="S172" s="32">
        <f t="shared" si="46"/>
        <v>1</v>
      </c>
      <c r="T172" s="47" t="str">
        <f t="shared" si="47"/>
        <v>Southbound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10:37:09-700',mode:absolute,to:'2016-12-29 12:55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2" s="49" t="str">
        <f t="shared" si="49"/>
        <v>N</v>
      </c>
      <c r="X172" s="173">
        <f t="shared" si="58"/>
        <v>1</v>
      </c>
      <c r="Y172" s="64">
        <f t="shared" si="50"/>
        <v>5.8628</v>
      </c>
      <c r="Z172" s="64">
        <f t="shared" si="51"/>
        <v>6.7100000000000007E-2</v>
      </c>
      <c r="AA172" s="64">
        <f t="shared" si="52"/>
        <v>5.7957000000000001</v>
      </c>
      <c r="AB172" s="61" t="e">
        <f>VLOOKUP(A172,Enforcements!$C$7:$K$19,8,0)</f>
        <v>#N/A</v>
      </c>
      <c r="AC172" s="57" t="e">
        <f>VLOOKUP(A172,Enforcements!$C$7:$E$19,3,0)</f>
        <v>#N/A</v>
      </c>
      <c r="AD172" s="58" t="str">
        <f t="shared" si="53"/>
        <v>0818-29</v>
      </c>
      <c r="AE172" s="87" t="str">
        <f t="shared" si="54"/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AF172" s="84" t="str">
        <f t="shared" si="55"/>
        <v>"C:\Program Files (x86)\AstroGrep\AstroGrep.exe" /spath="%USERPROFILE%\AppData\Local\Temp\OnboardLogs" /stypes="app*4021*20161229*" /stext=" 18:.+((SYSTEM_STATE.+slice.+state.+changed )|(ment ac)|(multiple cpu faults)|(system.+state.+changed )|(\[timeout)|(PRM\|1\|D)|(kpr)|(kdp)|(\|lc)|(penalty))" /e /r /s</v>
      </c>
      <c r="AG172" s="1" t="str">
        <f t="shared" si="56"/>
        <v>NW</v>
      </c>
      <c r="AH172" s="88" t="str">
        <f t="shared" si="41"/>
        <v>"%USERPROFILE%\Documents\GitHub\eaglep3\Utilities\RefineRTDCRunTimes.py" --tripid 818-29 --locoid 4021 --swversion DE.1.0.8.0 --startMP 300:58628 --initTime 2016-12-29T11:37:09 --startdatetime 2016-12-29T11:39:19 --delay 1 --endMP 204:671 --enddatetime 2016-12-29T11:55:14 --enforcementcount 0 &gt;&gt;C:\Users\stu\Documents\GitHub\eaglep3-reporting\EC\2016-12-29-refined-times.txt</v>
      </c>
      <c r="AI172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{"issue":{"subject":"","project_id":79,"tracker_id":40,"status_id":1,"priority_id":2,"assigned_to_id":23,"start_date":"2016-12-29","description":"","custom_fields":[{"id":1,"name":"Subdivision","value":"NW"},{"id":4,"name":"Milepost","value":"0.0671"},{"id":17,"name":"Train ID","value":"818-29"},{"id":16,"name":"Locomotive ID","value":"4021"},{"id":130,"name":"Impact","value":""},{"id":150,"name":"Time of Event (Mountain Time)","value":"11:55:14"},{"id":151,"name":"Denver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43"/>
        <v>start /low /b %USERPROFILE%\Documents\GitHub\eaglep3\Utilities\DownloadLogsFromS3.py --loco 4021 --day 2016-12-29</v>
      </c>
    </row>
    <row r="173" spans="1:91" s="21" customFormat="1" x14ac:dyDescent="0.25">
      <c r="A173" s="34" t="s">
        <v>575</v>
      </c>
      <c r="B173" s="7">
        <v>4022</v>
      </c>
      <c r="C173" s="22" t="s">
        <v>205</v>
      </c>
      <c r="D173" s="22" t="s">
        <v>347</v>
      </c>
      <c r="E173" s="13">
        <v>42733.510694444441</v>
      </c>
      <c r="F173" s="13">
        <v>42733.514837962961</v>
      </c>
      <c r="G173" s="7">
        <v>1</v>
      </c>
      <c r="H173" s="22" t="s">
        <v>779</v>
      </c>
      <c r="I173" s="13">
        <v>42733.524872685186</v>
      </c>
      <c r="J173" s="7">
        <v>0</v>
      </c>
      <c r="K173" s="105" t="str">
        <f t="shared" si="44"/>
        <v>4021/4022</v>
      </c>
      <c r="L173" s="22" t="str">
        <f>VLOOKUP(A173,'Trips&amp;Operators'!$C$1:$G$99999,5,FALSE)</f>
        <v>LOZA FIDEL</v>
      </c>
      <c r="M173" s="6">
        <f t="shared" si="45"/>
        <v>1.0034722225100268E-2</v>
      </c>
      <c r="N173" s="7">
        <f t="shared" si="57"/>
        <v>14.450000004144385</v>
      </c>
      <c r="O173" s="7"/>
      <c r="P173" s="7"/>
      <c r="Q173" s="23"/>
      <c r="R173" s="23"/>
      <c r="S173" s="32">
        <f t="shared" si="46"/>
        <v>1</v>
      </c>
      <c r="T173" s="47" t="str">
        <f t="shared" si="47"/>
        <v>NorthBound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11:15:24-700',mode:absolute,to:'2016-12-29 13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3" s="49" t="str">
        <f t="shared" si="49"/>
        <v>N</v>
      </c>
      <c r="X173" s="173">
        <f t="shared" si="58"/>
        <v>1</v>
      </c>
      <c r="Y173" s="64">
        <f t="shared" si="50"/>
        <v>9.6500000000000002E-2</v>
      </c>
      <c r="Z173" s="64">
        <f t="shared" si="51"/>
        <v>5.8986000000000001</v>
      </c>
      <c r="AA173" s="64">
        <f t="shared" si="52"/>
        <v>5.8021000000000003</v>
      </c>
      <c r="AB173" s="61" t="e">
        <f>VLOOKUP(A173,Enforcements!$C$7:$K$19,8,0)</f>
        <v>#N/A</v>
      </c>
      <c r="AC173" s="57" t="e">
        <f>VLOOKUP(A173,Enforcements!$C$7:$E$19,3,0)</f>
        <v>#N/A</v>
      </c>
      <c r="AD173" s="58" t="str">
        <f t="shared" si="53"/>
        <v>0819-29</v>
      </c>
      <c r="AE173" s="87" t="str">
        <f t="shared" si="54"/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AF173" s="84" t="str">
        <f t="shared" si="55"/>
        <v>"C:\Program Files (x86)\AstroGrep\AstroGrep.exe" /spath="%USERPROFILE%\AppData\Local\Temp\OnboardLogs" /stypes="app*4022*20161229*" /stext=" 19:.+((SYSTEM_STATE.+slice.+state.+changed )|(ment ac)|(multiple cpu faults)|(system.+state.+changed )|(\[timeout)|(PRM\|1\|D)|(kpr)|(kdp)|(\|lc)|(penalty))" /e /r /s</v>
      </c>
      <c r="AG173" s="1" t="str">
        <f t="shared" si="56"/>
        <v>NW</v>
      </c>
      <c r="AH173" s="88" t="str">
        <f t="shared" si="41"/>
        <v>"%USERPROFILE%\Documents\GitHub\eaglep3\Utilities\RefineRTDCRunTimes.py" --tripid 819-29 --locoid 4022 --swversion DE.1.0.8.0 --startMP 204:965 --initTime 2016-12-29T12:15:24 --startdatetime 2016-12-29T12:21:22 --delay 1 --endMP 300:58986 --enddatetime 2016-12-29T12:35:49 --enforcementcount 0 &gt;&gt;C:\Users\stu\Documents\GitHub\eaglep3-reporting\EC\2016-12-29-refined-times.txt</v>
      </c>
      <c r="AI173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{"issue":{"subject":"","project_id":79,"tracker_id":40,"status_id":1,"priority_id":2,"assigned_to_id":23,"start_date":"2016-12-29","description":"","custom_fields":[{"id":1,"name":"Subdivision","value":"NW"},{"id":4,"name":"Milepost","value":"5.8986"},{"id":17,"name":"Train ID","value":"819-29"},{"id":16,"name":"Locomotive ID","value":"4022"},{"id":130,"name":"Impact","value":""},{"id":150,"name":"Time of Event (Mountain Time)","value":"12:35:49"},{"id":151,"name":"Denver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43"/>
        <v>start /low /b %USERPROFILE%\Documents\GitHub\eaglep3\Utilities\DownloadLogsFromS3.py --loco 4022 --day 2016-12-29</v>
      </c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579</v>
      </c>
      <c r="B174" s="7">
        <v>4021</v>
      </c>
      <c r="C174" s="22" t="s">
        <v>205</v>
      </c>
      <c r="D174" s="22" t="s">
        <v>780</v>
      </c>
      <c r="E174" s="13">
        <v>42733.526041666664</v>
      </c>
      <c r="F174" s="13">
        <v>42733.527499999997</v>
      </c>
      <c r="G174" s="7">
        <v>1</v>
      </c>
      <c r="H174" s="22" t="s">
        <v>427</v>
      </c>
      <c r="I174" s="13">
        <v>42733.538449074076</v>
      </c>
      <c r="J174" s="7">
        <v>0</v>
      </c>
      <c r="K174" s="105" t="str">
        <f t="shared" si="44"/>
        <v>4021/4022</v>
      </c>
      <c r="L174" s="22" t="str">
        <f>VLOOKUP(A174,'Trips&amp;Operators'!$C$1:$G$99999,5,FALSE)</f>
        <v>LOZA FIDEL</v>
      </c>
      <c r="M174" s="6">
        <f t="shared" si="45"/>
        <v>1.0949074079690035E-2</v>
      </c>
      <c r="N174" s="7">
        <f t="shared" si="57"/>
        <v>15.766666674753651</v>
      </c>
      <c r="O174" s="7"/>
      <c r="P174" s="7"/>
      <c r="Q174" s="23"/>
      <c r="R174" s="23"/>
      <c r="S174" s="32">
        <f t="shared" si="46"/>
        <v>1</v>
      </c>
      <c r="T174" s="47" t="str">
        <f t="shared" si="47"/>
        <v>Southbound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11:37:30-700',mode:absolute,to:'2016-12-29 13:55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4" s="49" t="str">
        <f t="shared" si="49"/>
        <v>N</v>
      </c>
      <c r="X174" s="173">
        <f t="shared" si="58"/>
        <v>1</v>
      </c>
      <c r="Y174" s="64">
        <f t="shared" si="50"/>
        <v>5.8666</v>
      </c>
      <c r="Z174" s="64">
        <f t="shared" si="51"/>
        <v>6.9199999999999998E-2</v>
      </c>
      <c r="AA174" s="64">
        <f t="shared" si="52"/>
        <v>5.7973999999999997</v>
      </c>
      <c r="AB174" s="61" t="e">
        <f>VLOOKUP(A174,Enforcements!$C$7:$K$19,8,0)</f>
        <v>#N/A</v>
      </c>
      <c r="AC174" s="57" t="e">
        <f>VLOOKUP(A174,Enforcements!$C$7:$E$19,3,0)</f>
        <v>#N/A</v>
      </c>
      <c r="AD174" s="58" t="str">
        <f t="shared" si="53"/>
        <v>0820-29</v>
      </c>
      <c r="AE174" s="87" t="str">
        <f t="shared" si="54"/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AF174" s="84" t="str">
        <f t="shared" si="55"/>
        <v>"C:\Program Files (x86)\AstroGrep\AstroGrep.exe" /spath="%USERPROFILE%\AppData\Local\Temp\OnboardLogs" /stypes="app*4021*20161229*" /stext=" 19:.+((SYSTEM_STATE.+slice.+state.+changed )|(ment ac)|(multiple cpu faults)|(system.+state.+changed )|(\[timeout)|(PRM\|1\|D)|(kpr)|(kdp)|(\|lc)|(penalty))" /e /r /s</v>
      </c>
      <c r="AG174" s="1" t="str">
        <f t="shared" si="56"/>
        <v>NW</v>
      </c>
      <c r="AH174" s="88" t="str">
        <f t="shared" si="41"/>
        <v>"%USERPROFILE%\Documents\GitHub\eaglep3\Utilities\RefineRTDCRunTimes.py" --tripid 820-29 --locoid 4021 --swversion DE.1.0.8.0 --startMP 300:58666 --initTime 2016-12-29T12:37:30 --startdatetime 2016-12-29T12:39:36 --delay 1 --endMP 204:692 --enddatetime 2016-12-29T12:55:22 --enforcementcount 0 &gt;&gt;C:\Users\stu\Documents\GitHub\eaglep3-reporting\EC\2016-12-29-refined-times.txt</v>
      </c>
      <c r="AI174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{"issue":{"subject":"","project_id":79,"tracker_id":40,"status_id":1,"priority_id":2,"assigned_to_id":23,"start_date":"2016-12-29","description":"","custom_fields":[{"id":1,"name":"Subdivision","value":"NW"},{"id":4,"name":"Milepost","value":"0.0692"},{"id":17,"name":"Train ID","value":"820-29"},{"id":16,"name":"Locomotive ID","value":"4021"},{"id":130,"name":"Impact","value":""},{"id":150,"name":"Time of Event (Mountain Time)","value":"12:55:22"},{"id":151,"name":"Denver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43"/>
        <v>start /low /b %USERPROFILE%\Documents\GitHub\eaglep3\Utilities\DownloadLogsFromS3.py --loco 4021 --day 2016-12-29</v>
      </c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440</v>
      </c>
      <c r="B175" s="7">
        <v>4022</v>
      </c>
      <c r="C175" s="22" t="s">
        <v>205</v>
      </c>
      <c r="D175" s="22" t="s">
        <v>771</v>
      </c>
      <c r="E175" s="13">
        <v>42733.544270833336</v>
      </c>
      <c r="F175" s="13">
        <v>42733.556689814817</v>
      </c>
      <c r="G175" s="7">
        <v>1</v>
      </c>
      <c r="H175" s="22" t="s">
        <v>781</v>
      </c>
      <c r="I175" s="13">
        <v>42733.567199074074</v>
      </c>
      <c r="J175" s="7">
        <v>0</v>
      </c>
      <c r="K175" s="105" t="str">
        <f t="shared" si="44"/>
        <v>4021/4022</v>
      </c>
      <c r="L175" s="22" t="str">
        <f>VLOOKUP(A175,'Trips&amp;Operators'!$C$1:$G$99999,5,FALSE)</f>
        <v>SIMMONS SHYHESHA</v>
      </c>
      <c r="M175" s="6">
        <f t="shared" si="45"/>
        <v>1.0509259256650694E-2</v>
      </c>
      <c r="N175" s="7">
        <f t="shared" si="57"/>
        <v>15.133333329576999</v>
      </c>
      <c r="O175" s="7"/>
      <c r="P175" s="7"/>
      <c r="Q175" s="23"/>
      <c r="R175" s="23"/>
      <c r="S175" s="32">
        <f t="shared" si="46"/>
        <v>1</v>
      </c>
      <c r="T175" s="47" t="str">
        <f t="shared" si="47"/>
        <v>NorthBound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12:03:45-700',mode:absolute,to:'2016-12-29 14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5" s="49" t="str">
        <f t="shared" si="49"/>
        <v>N</v>
      </c>
      <c r="X175" s="173">
        <f t="shared" si="58"/>
        <v>1</v>
      </c>
      <c r="Y175" s="64">
        <f t="shared" si="50"/>
        <v>9.7100000000000006E-2</v>
      </c>
      <c r="Z175" s="64">
        <f t="shared" si="51"/>
        <v>5.8967000000000001</v>
      </c>
      <c r="AA175" s="64">
        <f t="shared" si="52"/>
        <v>5.7995999999999999</v>
      </c>
      <c r="AB175" s="61" t="e">
        <f>VLOOKUP(A175,Enforcements!$C$7:$K$19,8,0)</f>
        <v>#N/A</v>
      </c>
      <c r="AC175" s="57" t="e">
        <f>VLOOKUP(A175,Enforcements!$C$7:$E$19,3,0)</f>
        <v>#N/A</v>
      </c>
      <c r="AD175" s="58" t="str">
        <f t="shared" si="53"/>
        <v>0821-29</v>
      </c>
      <c r="AE175" s="87" t="str">
        <f t="shared" si="54"/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AF175" s="84" t="str">
        <f t="shared" si="55"/>
        <v>"C:\Program Files (x86)\AstroGrep\AstroGrep.exe" /spath="%USERPROFILE%\AppData\Local\Temp\OnboardLogs" /stypes="app*4022*20161229*" /stext=" 20:.+((SYSTEM_STATE.+slice.+state.+changed )|(ment ac)|(multiple cpu faults)|(system.+state.+changed )|(\[timeout)|(PRM\|1\|D)|(kpr)|(kdp)|(\|lc)|(penalty))" /e /r /s</v>
      </c>
      <c r="AG175" s="1" t="str">
        <f t="shared" si="56"/>
        <v>NW</v>
      </c>
      <c r="AH175" s="88" t="str">
        <f t="shared" si="41"/>
        <v>"%USERPROFILE%\Documents\GitHub\eaglep3\Utilities\RefineRTDCRunTimes.py" --tripid 821-29 --locoid 4022 --swversion DE.1.0.8.0 --startMP 204:971 --initTime 2016-12-29T13:03:45 --startdatetime 2016-12-29T13:21:38 --delay 1 --endMP 300:58967 --enddatetime 2016-12-29T13:36:46 --enforcementcount 0 &gt;&gt;C:\Users\stu\Documents\GitHub\eaglep3-reporting\EC\2016-12-29-refined-times.txt</v>
      </c>
      <c r="AI175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{"issue":{"subject":"","project_id":79,"tracker_id":40,"status_id":1,"priority_id":2,"assigned_to_id":23,"start_date":"2016-12-29","description":"","custom_fields":[{"id":1,"name":"Subdivision","value":"NW"},{"id":4,"name":"Milepost","value":"5.8967"},{"id":17,"name":"Train ID","value":"821-29"},{"id":16,"name":"Locomotive ID","value":"4022"},{"id":130,"name":"Impact","value":""},{"id":150,"name":"Time of Event (Mountain Time)","value":"13:36:46"},{"id":151,"name":"Denver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43"/>
        <v>start /low /b %USERPROFILE%\Documents\GitHub\eaglep3\Utilities\DownloadLogsFromS3.py --loco 4022 --day 2016-12-29</v>
      </c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4" t="s">
        <v>586</v>
      </c>
      <c r="B176" s="7">
        <v>4021</v>
      </c>
      <c r="C176" s="22" t="s">
        <v>205</v>
      </c>
      <c r="D176" s="22" t="s">
        <v>782</v>
      </c>
      <c r="E176" s="13">
        <v>42733.568252314813</v>
      </c>
      <c r="F176" s="13">
        <v>42733.569803240738</v>
      </c>
      <c r="G176" s="7">
        <v>1</v>
      </c>
      <c r="H176" s="22" t="s">
        <v>430</v>
      </c>
      <c r="I176" s="13">
        <v>42733.581377314818</v>
      </c>
      <c r="J176" s="7">
        <v>0</v>
      </c>
      <c r="K176" s="105" t="str">
        <f t="shared" si="44"/>
        <v>4021/4022</v>
      </c>
      <c r="L176" s="22" t="str">
        <f>VLOOKUP(A176,'Trips&amp;Operators'!$C$1:$G$99999,5,FALSE)</f>
        <v>SIMMONS SHYHESHA</v>
      </c>
      <c r="M176" s="6">
        <f t="shared" si="45"/>
        <v>1.1574074080272112E-2</v>
      </c>
      <c r="N176" s="7">
        <f t="shared" si="57"/>
        <v>16.666666675591841</v>
      </c>
      <c r="O176" s="7"/>
      <c r="P176" s="7"/>
      <c r="Q176" s="23"/>
      <c r="R176" s="23"/>
      <c r="S176" s="32">
        <f t="shared" si="46"/>
        <v>1</v>
      </c>
      <c r="T176" s="47" t="str">
        <f t="shared" si="47"/>
        <v>Southbound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12:38:17-700',mode:absolute,to:'2016-12-29 14:57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6" s="49" t="str">
        <f t="shared" si="49"/>
        <v>N</v>
      </c>
      <c r="X176" s="173">
        <f t="shared" si="58"/>
        <v>1</v>
      </c>
      <c r="Y176" s="64">
        <f t="shared" si="50"/>
        <v>5.8647</v>
      </c>
      <c r="Z176" s="64">
        <f t="shared" si="51"/>
        <v>6.6299999999999998E-2</v>
      </c>
      <c r="AA176" s="64">
        <f t="shared" si="52"/>
        <v>5.7984</v>
      </c>
      <c r="AB176" s="61" t="e">
        <f>VLOOKUP(A176,Enforcements!$C$7:$K$19,8,0)</f>
        <v>#N/A</v>
      </c>
      <c r="AC176" s="57" t="e">
        <f>VLOOKUP(A176,Enforcements!$C$7:$E$19,3,0)</f>
        <v>#N/A</v>
      </c>
      <c r="AD176" s="58" t="str">
        <f t="shared" si="53"/>
        <v>0822-29</v>
      </c>
      <c r="AE176" s="87" t="str">
        <f t="shared" si="54"/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AF176" s="84" t="str">
        <f t="shared" si="55"/>
        <v>"C:\Program Files (x86)\AstroGrep\AstroGrep.exe" /spath="%USERPROFILE%\AppData\Local\Temp\OnboardLogs" /stypes="app*4021*20161229*" /stext=" 20:.+((SYSTEM_STATE.+slice.+state.+changed )|(ment ac)|(multiple cpu faults)|(system.+state.+changed )|(\[timeout)|(PRM\|1\|D)|(kpr)|(kdp)|(\|lc)|(penalty))" /e /r /s</v>
      </c>
      <c r="AG176" s="1" t="str">
        <f t="shared" si="56"/>
        <v>NW</v>
      </c>
      <c r="AH176" s="88" t="str">
        <f t="shared" si="41"/>
        <v>"%USERPROFILE%\Documents\GitHub\eaglep3\Utilities\RefineRTDCRunTimes.py" --tripid 822-29 --locoid 4021 --swversion DE.1.0.8.0 --startMP 300:58647 --initTime 2016-12-29T13:38:17 --startdatetime 2016-12-29T13:40:31 --delay 1 --endMP 204:663 --enddatetime 2016-12-29T13:57:11 --enforcementcount 0 &gt;&gt;C:\Users\stu\Documents\GitHub\eaglep3-reporting\EC\2016-12-29-refined-times.txt</v>
      </c>
      <c r="AI176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{"issue":{"subject":"","project_id":79,"tracker_id":40,"status_id":1,"priority_id":2,"assigned_to_id":23,"start_date":"2016-12-29","description":"","custom_fields":[{"id":1,"name":"Subdivision","value":"NW"},{"id":4,"name":"Milepost","value":"0.0663"},{"id":17,"name":"Train ID","value":"822-29"},{"id":16,"name":"Locomotive ID","value":"4021"},{"id":130,"name":"Impact","value":""},{"id":150,"name":"Time of Event (Mountain Time)","value":"13:57:11"},{"id":151,"name":"Denver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43"/>
        <v>start /low /b %USERPROFILE%\Documents\GitHub\eaglep3\Utilities\DownloadLogsFromS3.py --loco 4021 --day 2016-12-29</v>
      </c>
    </row>
    <row r="177" spans="1:91" x14ac:dyDescent="0.25">
      <c r="A177" s="34" t="s">
        <v>444</v>
      </c>
      <c r="B177" s="7">
        <v>4022</v>
      </c>
      <c r="C177" s="22" t="s">
        <v>205</v>
      </c>
      <c r="D177" s="22" t="s">
        <v>425</v>
      </c>
      <c r="E177" s="13">
        <v>42733.588726851849</v>
      </c>
      <c r="F177" s="13">
        <v>42733.59820601852</v>
      </c>
      <c r="G177" s="7">
        <v>1</v>
      </c>
      <c r="H177" s="22" t="s">
        <v>774</v>
      </c>
      <c r="I177" s="13">
        <v>42733.608541666668</v>
      </c>
      <c r="J177" s="7">
        <v>0</v>
      </c>
      <c r="K177" s="105" t="str">
        <f t="shared" si="44"/>
        <v>4021/4022</v>
      </c>
      <c r="L177" s="22" t="str">
        <f>VLOOKUP(A177,'Trips&amp;Operators'!$C$1:$G$99999,5,FALSE)</f>
        <v>SIMMONS SHYHESHA</v>
      </c>
      <c r="M177" s="6">
        <f t="shared" si="45"/>
        <v>1.0335648148611654E-2</v>
      </c>
      <c r="N177" s="7">
        <f t="shared" si="57"/>
        <v>14.883333334000781</v>
      </c>
      <c r="O177" s="7"/>
      <c r="P177" s="7"/>
      <c r="Q177" s="23"/>
      <c r="R177" s="23"/>
      <c r="S177" s="32">
        <f t="shared" si="46"/>
        <v>1</v>
      </c>
      <c r="T177" s="47" t="str">
        <f t="shared" si="47"/>
        <v>NorthBound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13:07:46-700',mode:absolute,to:'2016-12-29 15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7" s="49" t="str">
        <f t="shared" si="49"/>
        <v>N</v>
      </c>
      <c r="X177" s="173">
        <f t="shared" si="58"/>
        <v>1</v>
      </c>
      <c r="Y177" s="64">
        <f t="shared" si="50"/>
        <v>9.7600000000000006E-2</v>
      </c>
      <c r="Z177" s="64">
        <f t="shared" si="51"/>
        <v>5.8952</v>
      </c>
      <c r="AA177" s="64">
        <f t="shared" si="52"/>
        <v>5.7976000000000001</v>
      </c>
      <c r="AB177" s="61" t="e">
        <f>VLOOKUP(A177,Enforcements!$C$7:$K$19,8,0)</f>
        <v>#N/A</v>
      </c>
      <c r="AC177" s="57" t="e">
        <f>VLOOKUP(A177,Enforcements!$C$7:$E$19,3,0)</f>
        <v>#N/A</v>
      </c>
      <c r="AD177" s="58" t="str">
        <f t="shared" si="53"/>
        <v>0823-29</v>
      </c>
      <c r="AE177" s="87" t="str">
        <f t="shared" si="54"/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AF177" s="84" t="str">
        <f t="shared" si="55"/>
        <v>"C:\Program Files (x86)\AstroGrep\AstroGrep.exe" /spath="%USERPROFILE%\AppData\Local\Temp\OnboardLogs" /stypes="app*4022*20161229*" /stext=" 21:.+((SYSTEM_STATE.+slice.+state.+changed )|(ment ac)|(multiple cpu faults)|(system.+state.+changed )|(\[timeout)|(PRM\|1\|D)|(kpr)|(kdp)|(\|lc)|(penalty))" /e /r /s</v>
      </c>
      <c r="AG177" s="1" t="str">
        <f t="shared" si="56"/>
        <v>NW</v>
      </c>
      <c r="AH177" s="88" t="str">
        <f t="shared" si="41"/>
        <v>"%USERPROFILE%\Documents\GitHub\eaglep3\Utilities\RefineRTDCRunTimes.py" --tripid 823-29 --locoid 4022 --swversion DE.1.0.8.0 --startMP 204:976 --initTime 2016-12-29T14:07:46 --startdatetime 2016-12-29T14:21:25 --delay 1 --endMP 300:58952 --enddatetime 2016-12-29T14:36:18 --enforcementcount 0 &gt;&gt;C:\Users\stu\Documents\GitHub\eaglep3-reporting\EC\2016-12-29-refined-times.txt</v>
      </c>
      <c r="AI177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{"issue":{"subject":"","project_id":79,"tracker_id":40,"status_id":1,"priority_id":2,"assigned_to_id":23,"start_date":"2016-12-29","description":"","custom_fields":[{"id":1,"name":"Subdivision","value":"NW"},{"id":4,"name":"Milepost","value":"5.8952"},{"id":17,"name":"Train ID","value":"823-29"},{"id":16,"name":"Locomotive ID","value":"4022"},{"id":130,"name":"Impact","value":""},{"id":150,"name":"Time of Event (Mountain Time)","value":"14:36:18"},{"id":151,"name":"Denver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43"/>
        <v>start /low /b %USERPROFILE%\Documents\GitHub\eaglep3\Utilities\DownloadLogsFromS3.py --loco 4022 --day 2016-12-29</v>
      </c>
    </row>
    <row r="178" spans="1:91" x14ac:dyDescent="0.25">
      <c r="A178" s="34" t="s">
        <v>594</v>
      </c>
      <c r="B178" s="7">
        <v>4021</v>
      </c>
      <c r="C178" s="22" t="s">
        <v>205</v>
      </c>
      <c r="D178" s="22" t="s">
        <v>372</v>
      </c>
      <c r="E178" s="13">
        <v>42733.6094212963</v>
      </c>
      <c r="F178" s="13">
        <v>42733.610949074071</v>
      </c>
      <c r="G178" s="7">
        <v>1</v>
      </c>
      <c r="H178" s="22" t="s">
        <v>783</v>
      </c>
      <c r="I178" s="13">
        <v>42733.622858796298</v>
      </c>
      <c r="J178" s="7">
        <v>0</v>
      </c>
      <c r="K178" s="105" t="str">
        <f t="shared" si="44"/>
        <v>4021/4022</v>
      </c>
      <c r="L178" s="22" t="str">
        <f>VLOOKUP(A178,'Trips&amp;Operators'!$C$1:$G$99999,5,FALSE)</f>
        <v>SIMMONS SHYHESHA</v>
      </c>
      <c r="M178" s="6">
        <f t="shared" si="45"/>
        <v>1.1909722226846498E-2</v>
      </c>
      <c r="N178" s="7">
        <f t="shared" si="57"/>
        <v>17.150000006658956</v>
      </c>
      <c r="O178" s="7"/>
      <c r="P178" s="7"/>
      <c r="Q178" s="23"/>
      <c r="R178" s="23"/>
      <c r="S178" s="32">
        <f t="shared" si="46"/>
        <v>1</v>
      </c>
      <c r="T178" s="47" t="str">
        <f t="shared" si="47"/>
        <v>Southbound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13:37:34-700',mode:absolute,to:'2016-12-29 15:56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8" s="49" t="str">
        <f t="shared" si="49"/>
        <v>N</v>
      </c>
      <c r="X178" s="173">
        <f t="shared" si="58"/>
        <v>1</v>
      </c>
      <c r="Y178" s="64">
        <f t="shared" si="50"/>
        <v>5.8635999999999999</v>
      </c>
      <c r="Z178" s="64">
        <f t="shared" si="51"/>
        <v>6.8199999999999997E-2</v>
      </c>
      <c r="AA178" s="64">
        <f t="shared" si="52"/>
        <v>5.7953999999999999</v>
      </c>
      <c r="AB178" s="61" t="e">
        <f>VLOOKUP(A178,Enforcements!$C$7:$K$19,8,0)</f>
        <v>#N/A</v>
      </c>
      <c r="AC178" s="57" t="e">
        <f>VLOOKUP(A178,Enforcements!$C$7:$E$19,3,0)</f>
        <v>#N/A</v>
      </c>
      <c r="AD178" s="58" t="str">
        <f t="shared" si="53"/>
        <v>0824-29</v>
      </c>
      <c r="AE178" s="87" t="str">
        <f t="shared" si="54"/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AF178" s="84" t="str">
        <f t="shared" si="55"/>
        <v>"C:\Program Files (x86)\AstroGrep\AstroGrep.exe" /spath="%USERPROFILE%\AppData\Local\Temp\OnboardLogs" /stypes="app*4021*20161229*" /stext=" 21:.+((SYSTEM_STATE.+slice.+state.+changed )|(ment ac)|(multiple cpu faults)|(system.+state.+changed )|(\[timeout)|(PRM\|1\|D)|(kpr)|(kdp)|(\|lc)|(penalty))" /e /r /s</v>
      </c>
      <c r="AG178" s="1" t="str">
        <f t="shared" si="56"/>
        <v>NW</v>
      </c>
      <c r="AH178" s="88" t="str">
        <f t="shared" si="41"/>
        <v>"%USERPROFILE%\Documents\GitHub\eaglep3\Utilities\RefineRTDCRunTimes.py" --tripid 824-29 --locoid 4021 --swversion DE.1.0.8.0 --startMP 300:58636 --initTime 2016-12-29T14:37:34 --startdatetime 2016-12-29T14:39:46 --delay 1 --endMP 204:682 --enddatetime 2016-12-29T14:56:55 --enforcementcount 0 &gt;&gt;C:\Users\stu\Documents\GitHub\eaglep3-reporting\EC\2016-12-29-refined-times.txt</v>
      </c>
      <c r="AI178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{"issue":{"subject":"","project_id":79,"tracker_id":40,"status_id":1,"priority_id":2,"assigned_to_id":23,"start_date":"2016-12-29","description":"","custom_fields":[{"id":1,"name":"Subdivision","value":"NW"},{"id":4,"name":"Milepost","value":"0.0682"},{"id":17,"name":"Train ID","value":"824-29"},{"id":16,"name":"Locomotive ID","value":"4021"},{"id":130,"name":"Impact","value":""},{"id":150,"name":"Time of Event (Mountain Time)","value":"14:56:55"},{"id":151,"name":"Denver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43"/>
        <v>start /low /b %USERPROFILE%\Documents\GitHub\eaglep3\Utilities\DownloadLogsFromS3.py --loco 4021 --day 2016-12-29</v>
      </c>
    </row>
    <row r="179" spans="1:91" x14ac:dyDescent="0.25">
      <c r="A179" s="34" t="s">
        <v>599</v>
      </c>
      <c r="B179" s="7">
        <v>4022</v>
      </c>
      <c r="C179" s="22" t="s">
        <v>205</v>
      </c>
      <c r="D179" s="22" t="s">
        <v>759</v>
      </c>
      <c r="E179" s="13">
        <v>42733.626354166663</v>
      </c>
      <c r="F179" s="13">
        <v>42733.639814814815</v>
      </c>
      <c r="G179" s="7">
        <v>1</v>
      </c>
      <c r="H179" s="22" t="s">
        <v>428</v>
      </c>
      <c r="I179" s="13">
        <v>42733.650590277779</v>
      </c>
      <c r="J179" s="7">
        <v>0</v>
      </c>
      <c r="K179" s="105" t="str">
        <f t="shared" si="44"/>
        <v>4021/4022</v>
      </c>
      <c r="L179" s="22" t="str">
        <f>VLOOKUP(A179,'Trips&amp;Operators'!$C$1:$G$99999,5,FALSE)</f>
        <v>SIMMONS SHYHESHA</v>
      </c>
      <c r="M179" s="6">
        <f t="shared" si="45"/>
        <v>1.0775462964375038E-2</v>
      </c>
      <c r="N179" s="7">
        <f t="shared" si="57"/>
        <v>15.516666668700054</v>
      </c>
      <c r="O179" s="7"/>
      <c r="P179" s="7"/>
      <c r="Q179" s="23"/>
      <c r="R179" s="23"/>
      <c r="S179" s="32">
        <f t="shared" si="46"/>
        <v>1</v>
      </c>
      <c r="T179" s="47" t="str">
        <f t="shared" si="47"/>
        <v>NorthBound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14:01:57-700',mode:absolute,to:'2016-12-29 16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9" s="49" t="str">
        <f t="shared" si="49"/>
        <v>N</v>
      </c>
      <c r="X179" s="173">
        <f t="shared" si="58"/>
        <v>1</v>
      </c>
      <c r="Y179" s="64">
        <f t="shared" si="50"/>
        <v>9.6699999999999994E-2</v>
      </c>
      <c r="Z179" s="64">
        <f t="shared" si="51"/>
        <v>5.8963000000000001</v>
      </c>
      <c r="AA179" s="64">
        <f t="shared" si="52"/>
        <v>5.7995999999999999</v>
      </c>
      <c r="AB179" s="61" t="e">
        <f>VLOOKUP(A179,Enforcements!$C$7:$K$19,8,0)</f>
        <v>#N/A</v>
      </c>
      <c r="AC179" s="57" t="e">
        <f>VLOOKUP(A179,Enforcements!$C$7:$E$19,3,0)</f>
        <v>#N/A</v>
      </c>
      <c r="AD179" s="58" t="str">
        <f t="shared" si="53"/>
        <v>0825-29</v>
      </c>
      <c r="AE179" s="87" t="str">
        <f t="shared" si="54"/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AF179" s="84" t="str">
        <f t="shared" si="55"/>
        <v>"C:\Program Files (x86)\AstroGrep\AstroGrep.exe" /spath="%USERPROFILE%\AppData\Local\Temp\OnboardLogs" /stypes="app*4022*20161229*" /stext=" 22:.+((SYSTEM_STATE.+slice.+state.+changed )|(ment ac)|(multiple cpu faults)|(system.+state.+changed )|(\[timeout)|(PRM\|1\|D)|(kpr)|(kdp)|(\|lc)|(penalty))" /e /r /s</v>
      </c>
      <c r="AG179" s="1" t="str">
        <f t="shared" si="56"/>
        <v>NW</v>
      </c>
      <c r="AH179" s="88" t="str">
        <f t="shared" si="41"/>
        <v>"%USERPROFILE%\Documents\GitHub\eaglep3\Utilities\RefineRTDCRunTimes.py" --tripid 825-29 --locoid 4022 --swversion DE.1.0.8.0 --startMP 204:967 --initTime 2016-12-29T15:01:57 --startdatetime 2016-12-29T15:21:20 --delay 1 --endMP 300:58963 --enddatetime 2016-12-29T15:36:51 --enforcementcount 0 &gt;&gt;C:\Users\stu\Documents\GitHub\eaglep3-reporting\EC\2016-12-29-refined-times.txt</v>
      </c>
      <c r="AI179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{"issue":{"subject":"","project_id":79,"tracker_id":40,"status_id":1,"priority_id":2,"assigned_to_id":23,"start_date":"2016-12-29","description":"","custom_fields":[{"id":1,"name":"Subdivision","value":"NW"},{"id":4,"name":"Milepost","value":"5.8963"},{"id":17,"name":"Train ID","value":"825-29"},{"id":16,"name":"Locomotive ID","value":"4022"},{"id":130,"name":"Impact","value":""},{"id":150,"name":"Time of Event (Mountain Time)","value":"15:36:51"},{"id":151,"name":"Denver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43"/>
        <v>start /low /b %USERPROFILE%\Documents\GitHub\eaglep3\Utilities\DownloadLogsFromS3.py --loco 4022 --day 2016-12-29</v>
      </c>
    </row>
    <row r="180" spans="1:91" x14ac:dyDescent="0.25">
      <c r="A180" s="34" t="s">
        <v>604</v>
      </c>
      <c r="B180" s="7">
        <v>4021</v>
      </c>
      <c r="C180" s="22" t="s">
        <v>205</v>
      </c>
      <c r="D180" s="22" t="s">
        <v>784</v>
      </c>
      <c r="E180" s="13">
        <v>42733.651550925926</v>
      </c>
      <c r="F180" s="13">
        <v>42733.652905092589</v>
      </c>
      <c r="G180" s="7">
        <v>1</v>
      </c>
      <c r="H180" s="22" t="s">
        <v>427</v>
      </c>
      <c r="I180" s="13">
        <v>42733.664826388886</v>
      </c>
      <c r="J180" s="7">
        <v>0</v>
      </c>
      <c r="K180" s="105" t="str">
        <f t="shared" si="44"/>
        <v>4021/4022</v>
      </c>
      <c r="L180" s="22" t="str">
        <f>VLOOKUP(A180,'Trips&amp;Operators'!$C$1:$G$99999,5,FALSE)</f>
        <v>SIMMONS SHYHESHA</v>
      </c>
      <c r="M180" s="6">
        <f t="shared" si="45"/>
        <v>1.1921296296350192E-2</v>
      </c>
      <c r="N180" s="7">
        <f t="shared" si="57"/>
        <v>17.166666666744277</v>
      </c>
      <c r="O180" s="7"/>
      <c r="P180" s="7"/>
      <c r="Q180" s="23"/>
      <c r="R180" s="23"/>
      <c r="S180" s="32">
        <f t="shared" si="46"/>
        <v>1</v>
      </c>
      <c r="T180" s="47" t="str">
        <f t="shared" si="47"/>
        <v>Southbound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14:38:14-700',mode:absolute,to:'2016-12-29 16:57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0" s="49" t="str">
        <f t="shared" si="49"/>
        <v>N</v>
      </c>
      <c r="X180" s="173">
        <f t="shared" si="58"/>
        <v>1</v>
      </c>
      <c r="Y180" s="64">
        <f t="shared" si="50"/>
        <v>5.8648999999999996</v>
      </c>
      <c r="Z180" s="64">
        <f t="shared" si="51"/>
        <v>6.9199999999999998E-2</v>
      </c>
      <c r="AA180" s="64">
        <f t="shared" si="52"/>
        <v>5.7956999999999992</v>
      </c>
      <c r="AB180" s="61" t="e">
        <f>VLOOKUP(A180,Enforcements!$C$7:$K$19,8,0)</f>
        <v>#N/A</v>
      </c>
      <c r="AC180" s="57" t="e">
        <f>VLOOKUP(A180,Enforcements!$C$7:$E$19,3,0)</f>
        <v>#N/A</v>
      </c>
      <c r="AD180" s="58" t="str">
        <f t="shared" si="53"/>
        <v>0826-29</v>
      </c>
      <c r="AE180" s="87" t="str">
        <f t="shared" si="54"/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AF180" s="84" t="str">
        <f t="shared" si="55"/>
        <v>"C:\Program Files (x86)\AstroGrep\AstroGrep.exe" /spath="%USERPROFILE%\AppData\Local\Temp\OnboardLogs" /stypes="app*4021*20161229*" /stext=" 22:.+((SYSTEM_STATE.+slice.+state.+changed )|(ment ac)|(multiple cpu faults)|(system.+state.+changed )|(\[timeout)|(PRM\|1\|D)|(kpr)|(kdp)|(\|lc)|(penalty))" /e /r /s</v>
      </c>
      <c r="AG180" s="1" t="str">
        <f t="shared" si="56"/>
        <v>NW</v>
      </c>
      <c r="AH180" s="88" t="str">
        <f t="shared" si="41"/>
        <v>"%USERPROFILE%\Documents\GitHub\eaglep3\Utilities\RefineRTDCRunTimes.py" --tripid 826-29 --locoid 4021 --swversion DE.1.0.8.0 --startMP 300:58649 --initTime 2016-12-29T15:38:14 --startdatetime 2016-12-29T15:40:11 --delay 1 --endMP 204:692 --enddatetime 2016-12-29T15:57:21 --enforcementcount 0 &gt;&gt;C:\Users\stu\Documents\GitHub\eaglep3-reporting\EC\2016-12-29-refined-times.txt</v>
      </c>
      <c r="AI180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{"issue":{"subject":"","project_id":79,"tracker_id":40,"status_id":1,"priority_id":2,"assigned_to_id":23,"start_date":"2016-12-29","description":"","custom_fields":[{"id":1,"name":"Subdivision","value":"NW"},{"id":4,"name":"Milepost","value":"0.0692"},{"id":17,"name":"Train ID","value":"826-29"},{"id":16,"name":"Locomotive ID","value":"4021"},{"id":130,"name":"Impact","value":""},{"id":150,"name":"Time of Event (Mountain Time)","value":"15:57:21"},{"id":151,"name":"Denver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43"/>
        <v>start /low /b %USERPROFILE%\Documents\GitHub\eaglep3\Utilities\DownloadLogsFromS3.py --loco 4021 --day 2016-12-29</v>
      </c>
    </row>
    <row r="181" spans="1:91" x14ac:dyDescent="0.25">
      <c r="A181" s="34" t="s">
        <v>446</v>
      </c>
      <c r="B181" s="7">
        <v>4029</v>
      </c>
      <c r="C181" s="22" t="s">
        <v>205</v>
      </c>
      <c r="D181" s="22" t="s">
        <v>785</v>
      </c>
      <c r="E181" s="13">
        <v>42733.657685185186</v>
      </c>
      <c r="F181" s="13">
        <v>42733.660740740743</v>
      </c>
      <c r="G181" s="7">
        <v>2</v>
      </c>
      <c r="H181" s="22" t="s">
        <v>786</v>
      </c>
      <c r="I181" s="13">
        <v>42733.672500000001</v>
      </c>
      <c r="J181" s="7">
        <v>0</v>
      </c>
      <c r="K181" s="105" t="str">
        <f t="shared" si="44"/>
        <v>4029/4030</v>
      </c>
      <c r="L181" s="22" t="str">
        <f>VLOOKUP(A181,'Trips&amp;Operators'!$C$1:$G$99999,5,FALSE)</f>
        <v>SIMONEAUX TERA</v>
      </c>
      <c r="M181" s="6">
        <f t="shared" si="45"/>
        <v>1.1759259257814847E-2</v>
      </c>
      <c r="N181" s="7">
        <f t="shared" si="57"/>
        <v>16.93333333125338</v>
      </c>
      <c r="O181" s="7"/>
      <c r="P181" s="7"/>
      <c r="Q181" s="23"/>
      <c r="R181" s="23"/>
      <c r="S181" s="32">
        <f t="shared" si="46"/>
        <v>1</v>
      </c>
      <c r="T181" s="47" t="str">
        <f t="shared" si="47"/>
        <v>NorthBound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14:47:04-700',mode:absolute,to:'2016-12-29 17:08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1" s="49" t="str">
        <f t="shared" si="49"/>
        <v>N</v>
      </c>
      <c r="X181" s="173">
        <f t="shared" si="58"/>
        <v>1</v>
      </c>
      <c r="Y181" s="64">
        <f t="shared" si="50"/>
        <v>9.3700000000000006E-2</v>
      </c>
      <c r="Z181" s="64">
        <f t="shared" si="51"/>
        <v>5.8964999999999996</v>
      </c>
      <c r="AA181" s="64">
        <f t="shared" si="52"/>
        <v>5.8027999999999995</v>
      </c>
      <c r="AB181" s="61" t="e">
        <f>VLOOKUP(A181,Enforcements!$C$7:$K$19,8,0)</f>
        <v>#N/A</v>
      </c>
      <c r="AC181" s="57" t="e">
        <f>VLOOKUP(A181,Enforcements!$C$7:$E$19,3,0)</f>
        <v>#N/A</v>
      </c>
      <c r="AD181" s="58" t="str">
        <f t="shared" si="53"/>
        <v>0827-29</v>
      </c>
      <c r="AE181" s="87" t="str">
        <f t="shared" si="54"/>
        <v>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 &amp; 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</v>
      </c>
      <c r="AF181" s="84" t="str">
        <f t="shared" si="55"/>
        <v>"C:\Program Files (x86)\AstroGrep\AstroGrep.exe" /spath="%USERPROFILE%\AppData\Local\Temp\OnboardLogs" /stypes="app*4029*20161229*" /stext=" 23:.+((SYSTEM_STATE.+slice.+state.+changed )|(ment ac)|(multiple cpu faults)|(system.+state.+changed )|(\[timeout)|(PRM\|1\|D)|(kpr)|(kdp)|(\|lc)|(penalty))" /e /r /s</v>
      </c>
      <c r="AG181" s="1" t="str">
        <f t="shared" si="56"/>
        <v>NW</v>
      </c>
      <c r="AH181" s="88" t="str">
        <f t="shared" si="41"/>
        <v>"%USERPROFILE%\Documents\GitHub\eaglep3\Utilities\RefineRTDCRunTimes.py" --tripid 827-29 --locoid 4029 --swversion DE.1.0.8.0 --startMP 204:937 --initTime 2016-12-29T15:47:04 --startdatetime 2016-12-29T15:51:28 --delay 2 --endMP 300:58965 --enddatetime 2016-12-29T16:08:24 --enforcementcount 0 &gt;&gt;C:\Users\stu\Documents\GitHub\eaglep3-reporting\EC\2016-12-29-refined-times.txt</v>
      </c>
      <c r="AI181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{"issue":{"subject":"","project_id":79,"tracker_id":40,"status_id":1,"priority_id":2,"assigned_to_id":23,"start_date":"2016-12-29","description":"","custom_fields":[{"id":1,"name":"Subdivision","value":"NW"},{"id":4,"name":"Milepost","value":"5.8965"},{"id":17,"name":"Train ID","value":"827-29"},{"id":16,"name":"Locomotive ID","value":"4029"},{"id":130,"name":"Impact","value":""},{"id":150,"name":"Time of Event (Mountain Time)","value":"16:08:24"},{"id":151,"name":"Denver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43"/>
        <v>start /low /b %USERPROFILE%\Documents\GitHub\eaglep3\Utilities\DownloadLogsFromS3.py --loco 4029 --day 2016-12-29</v>
      </c>
    </row>
    <row r="182" spans="1:91" x14ac:dyDescent="0.25">
      <c r="A182" s="34" t="s">
        <v>447</v>
      </c>
      <c r="B182" s="7">
        <v>4030</v>
      </c>
      <c r="C182" s="22" t="s">
        <v>205</v>
      </c>
      <c r="D182" s="22" t="s">
        <v>773</v>
      </c>
      <c r="E182" s="13">
        <v>42733.673796296294</v>
      </c>
      <c r="F182" s="13">
        <v>42733.675150462965</v>
      </c>
      <c r="G182" s="7">
        <v>1</v>
      </c>
      <c r="H182" s="22" t="s">
        <v>787</v>
      </c>
      <c r="I182" s="13">
        <v>42733.686921296299</v>
      </c>
      <c r="J182" s="7">
        <v>0</v>
      </c>
      <c r="K182" s="105" t="str">
        <f t="shared" si="44"/>
        <v>4029/4030</v>
      </c>
      <c r="L182" s="22" t="str">
        <f>VLOOKUP(A182,'Trips&amp;Operators'!$C$1:$G$99999,5,FALSE)</f>
        <v>SIMONEAUX TERA</v>
      </c>
      <c r="M182" s="6">
        <f t="shared" si="45"/>
        <v>1.1770833334594499E-2</v>
      </c>
      <c r="N182" s="7">
        <f t="shared" si="57"/>
        <v>16.950000001816079</v>
      </c>
      <c r="O182" s="7"/>
      <c r="P182" s="7"/>
      <c r="Q182" s="23"/>
      <c r="R182" s="23"/>
      <c r="S182" s="32">
        <f t="shared" si="46"/>
        <v>1</v>
      </c>
      <c r="T182" s="47" t="str">
        <f t="shared" si="47"/>
        <v>Southbound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15:10:16-700',mode:absolute,to:'2016-12-29 17:29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2" s="49" t="str">
        <f t="shared" si="49"/>
        <v>N</v>
      </c>
      <c r="X182" s="173">
        <f t="shared" si="58"/>
        <v>1</v>
      </c>
      <c r="Y182" s="64">
        <f t="shared" si="50"/>
        <v>5.8639999999999999</v>
      </c>
      <c r="Z182" s="64">
        <f t="shared" si="51"/>
        <v>6.1699999999999998E-2</v>
      </c>
      <c r="AA182" s="64">
        <f t="shared" si="52"/>
        <v>5.8022999999999998</v>
      </c>
      <c r="AB182" s="61" t="e">
        <f>VLOOKUP(A182,Enforcements!$C$7:$K$19,8,0)</f>
        <v>#N/A</v>
      </c>
      <c r="AC182" s="57" t="e">
        <f>VLOOKUP(A182,Enforcements!$C$7:$E$19,3,0)</f>
        <v>#N/A</v>
      </c>
      <c r="AD182" s="58" t="str">
        <f t="shared" si="53"/>
        <v>0828-29</v>
      </c>
      <c r="AE182" s="87" t="str">
        <f t="shared" si="54"/>
        <v>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 &amp; 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</v>
      </c>
      <c r="AF182" s="84" t="str">
        <f t="shared" si="55"/>
        <v>"C:\Program Files (x86)\AstroGrep\AstroGrep.exe" /spath="%USERPROFILE%\AppData\Local\Temp\OnboardLogs" /stypes="app*4030*20161229*" /stext=" 23:.+((SYSTEM_STATE.+slice.+state.+changed )|(ment ac)|(multiple cpu faults)|(system.+state.+changed )|(\[timeout)|(PRM\|1\|D)|(kpr)|(kdp)|(\|lc)|(penalty))" /e /r /s</v>
      </c>
      <c r="AG182" s="1" t="str">
        <f t="shared" si="56"/>
        <v>NW</v>
      </c>
      <c r="AH182" s="88" t="str">
        <f t="shared" si="41"/>
        <v>"%USERPROFILE%\Documents\GitHub\eaglep3\Utilities\RefineRTDCRunTimes.py" --tripid 828-29 --locoid 4030 --swversion DE.1.0.8.0 --startMP 300:58640 --initTime 2016-12-29T16:10:16 --startdatetime 2016-12-29T16:12:13 --delay 1 --endMP 204:617 --enddatetime 2016-12-29T16:29:10 --enforcementcount 0 &gt;&gt;C:\Users\stu\Documents\GitHub\eaglep3-reporting\EC\2016-12-29-refined-times.txt</v>
      </c>
      <c r="AI182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{"issue":{"subject":"","project_id":79,"tracker_id":40,"status_id":1,"priority_id":2,"assigned_to_id":23,"start_date":"2016-12-29","description":"","custom_fields":[{"id":1,"name":"Subdivision","value":"NW"},{"id":4,"name":"Milepost","value":"0.0617"},{"id":17,"name":"Train ID","value":"828-29"},{"id":16,"name":"Locomotive ID","value":"4030"},{"id":130,"name":"Impact","value":""},{"id":150,"name":"Time of Event (Mountain Time)","value":"16:29:10"},{"id":151,"name":"Denver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43"/>
        <v>start /low /b %USERPROFILE%\Documents\GitHub\eaglep3\Utilities\DownloadLogsFromS3.py --loco 4030 --day 2016-12-29</v>
      </c>
    </row>
    <row r="183" spans="1:91" s="21" customFormat="1" x14ac:dyDescent="0.25">
      <c r="A183" s="34" t="s">
        <v>610</v>
      </c>
      <c r="B183" s="7">
        <v>4022</v>
      </c>
      <c r="C183" s="22" t="s">
        <v>205</v>
      </c>
      <c r="D183" s="22" t="s">
        <v>421</v>
      </c>
      <c r="E183" s="13">
        <v>42733.677418981482</v>
      </c>
      <c r="F183" s="13">
        <v>42733.681446759256</v>
      </c>
      <c r="G183" s="7">
        <v>1</v>
      </c>
      <c r="H183" s="22" t="s">
        <v>333</v>
      </c>
      <c r="I183" s="13">
        <v>42733.692199074074</v>
      </c>
      <c r="J183" s="7">
        <v>0</v>
      </c>
      <c r="K183" s="105" t="str">
        <f t="shared" si="44"/>
        <v>4021/4022</v>
      </c>
      <c r="L183" s="22" t="str">
        <f>VLOOKUP(A183,'Trips&amp;Operators'!$C$1:$G$99999,5,FALSE)</f>
        <v>SIMMONS SHYHESHA</v>
      </c>
      <c r="M183" s="6">
        <f t="shared" si="45"/>
        <v>1.0752314818091691E-2</v>
      </c>
      <c r="N183" s="7">
        <f t="shared" si="57"/>
        <v>15.483333338052034</v>
      </c>
      <c r="O183" s="7"/>
      <c r="P183" s="7"/>
      <c r="Q183" s="23"/>
      <c r="R183" s="23"/>
      <c r="S183" s="32">
        <f t="shared" si="46"/>
        <v>1</v>
      </c>
      <c r="T183" s="47" t="str">
        <f t="shared" si="47"/>
        <v>NorthBound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15:15:29-700',mode:absolute,to:'2016-12-29 17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3" s="49" t="str">
        <f t="shared" si="49"/>
        <v>N</v>
      </c>
      <c r="X183" s="173">
        <f t="shared" si="58"/>
        <v>1</v>
      </c>
      <c r="Y183" s="64">
        <f t="shared" si="50"/>
        <v>9.69E-2</v>
      </c>
      <c r="Z183" s="64">
        <f t="shared" si="51"/>
        <v>5.8944000000000001</v>
      </c>
      <c r="AA183" s="64">
        <f t="shared" si="52"/>
        <v>5.7975000000000003</v>
      </c>
      <c r="AB183" s="61" t="e">
        <f>VLOOKUP(A183,Enforcements!$C$7:$K$19,8,0)</f>
        <v>#N/A</v>
      </c>
      <c r="AC183" s="57" t="e">
        <f>VLOOKUP(A183,Enforcements!$C$7:$E$19,3,0)</f>
        <v>#N/A</v>
      </c>
      <c r="AD183" s="58" t="str">
        <f t="shared" si="53"/>
        <v>0829-29</v>
      </c>
      <c r="AE183" s="87" t="str">
        <f t="shared" si="54"/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AF183" s="84" t="str">
        <f t="shared" si="55"/>
        <v>"C:\Program Files (x86)\AstroGrep\AstroGrep.exe" /spath="%USERPROFILE%\AppData\Local\Temp\OnboardLogs" /stypes="app*4022*20161229*" /stext=" 23:.+((SYSTEM_STATE.+slice.+state.+changed )|(ment ac)|(multiple cpu faults)|(system.+state.+changed )|(\[timeout)|(PRM\|1\|D)|(kpr)|(kdp)|(\|lc)|(penalty))" /e /r /s</v>
      </c>
      <c r="AG183" s="1" t="str">
        <f t="shared" si="56"/>
        <v>NW</v>
      </c>
      <c r="AH183" s="88" t="str">
        <f t="shared" si="41"/>
        <v>"%USERPROFILE%\Documents\GitHub\eaglep3\Utilities\RefineRTDCRunTimes.py" --tripid 829-29 --locoid 4022 --swversion DE.1.0.8.0 --startMP 204:969 --initTime 2016-12-29T16:15:29 --startdatetime 2016-12-29T16:21:17 --delay 1 --endMP 300:58944 --enddatetime 2016-12-29T16:36:46 --enforcementcount 0 &gt;&gt;C:\Users\stu\Documents\GitHub\eaglep3-reporting\EC\2016-12-29-refined-times.txt</v>
      </c>
      <c r="AI183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{"issue":{"subject":"","project_id":79,"tracker_id":40,"status_id":1,"priority_id":2,"assigned_to_id":23,"start_date":"2016-12-29","description":"","custom_fields":[{"id":1,"name":"Subdivision","value":"NW"},{"id":4,"name":"Milepost","value":"5.8944"},{"id":17,"name":"Train ID","value":"829-29"},{"id":16,"name":"Locomotive ID","value":"4022"},{"id":130,"name":"Impact","value":""},{"id":150,"name":"Time of Event (Mountain Time)","value":"16:36:46"},{"id":151,"name":"Denver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43"/>
        <v>start /low /b %USERPROFILE%\Documents\GitHub\eaglep3\Utilities\DownloadLogsFromS3.py --loco 4022 --day 2016-12-29</v>
      </c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4" t="s">
        <v>449</v>
      </c>
      <c r="B184" s="7">
        <v>4021</v>
      </c>
      <c r="C184" s="22" t="s">
        <v>205</v>
      </c>
      <c r="D184" s="22" t="s">
        <v>778</v>
      </c>
      <c r="E184" s="13">
        <v>42733.69332175926</v>
      </c>
      <c r="F184" s="13">
        <v>42733.695011574076</v>
      </c>
      <c r="G184" s="7">
        <v>1</v>
      </c>
      <c r="H184" s="22" t="s">
        <v>423</v>
      </c>
      <c r="I184" s="13">
        <v>42733.706770833334</v>
      </c>
      <c r="J184" s="7">
        <v>0</v>
      </c>
      <c r="K184" s="105" t="str">
        <f t="shared" si="44"/>
        <v>4021/4022</v>
      </c>
      <c r="L184" s="22" t="str">
        <f>VLOOKUP(A184,'Trips&amp;Operators'!$C$1:$G$99999,5,FALSE)</f>
        <v>SIMMONS SHYHESHA</v>
      </c>
      <c r="M184" s="6">
        <f t="shared" si="45"/>
        <v>1.1759259257814847E-2</v>
      </c>
      <c r="N184" s="7">
        <f t="shared" si="57"/>
        <v>16.93333333125338</v>
      </c>
      <c r="O184" s="7"/>
      <c r="P184" s="7"/>
      <c r="Q184" s="23"/>
      <c r="R184" s="23"/>
      <c r="S184" s="32">
        <f t="shared" si="46"/>
        <v>1</v>
      </c>
      <c r="T184" s="47" t="str">
        <f t="shared" si="47"/>
        <v>Southbound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15:38:23-700',mode:absolute,to:'2016-12-29 17:57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4" s="49" t="str">
        <f t="shared" si="49"/>
        <v>N</v>
      </c>
      <c r="X184" s="173">
        <f t="shared" si="58"/>
        <v>1</v>
      </c>
      <c r="Y184" s="64">
        <f t="shared" si="50"/>
        <v>5.8628</v>
      </c>
      <c r="Z184" s="64">
        <f t="shared" si="51"/>
        <v>6.8000000000000005E-2</v>
      </c>
      <c r="AA184" s="64">
        <f t="shared" si="52"/>
        <v>5.7948000000000004</v>
      </c>
      <c r="AB184" s="61" t="e">
        <f>VLOOKUP(A184,Enforcements!$C$7:$K$19,8,0)</f>
        <v>#N/A</v>
      </c>
      <c r="AC184" s="57" t="e">
        <f>VLOOKUP(A184,Enforcements!$C$7:$E$19,3,0)</f>
        <v>#N/A</v>
      </c>
      <c r="AD184" s="58" t="str">
        <f t="shared" si="53"/>
        <v>0830-29</v>
      </c>
      <c r="AE184" s="87" t="str">
        <f t="shared" si="54"/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AF184" s="84" t="str">
        <f t="shared" si="55"/>
        <v>"C:\Program Files (x86)\AstroGrep\AstroGrep.exe" /spath="%USERPROFILE%\AppData\Local\Temp\OnboardLogs" /stypes="app*4021*20161229*" /stext=" 23:.+((SYSTEM_STATE.+slice.+state.+changed )|(ment ac)|(multiple cpu faults)|(system.+state.+changed )|(\[timeout)|(PRM\|1\|D)|(kpr)|(kdp)|(\|lc)|(penalty))" /e /r /s</v>
      </c>
      <c r="AG184" s="1" t="str">
        <f t="shared" si="56"/>
        <v>NW</v>
      </c>
      <c r="AH184" s="88" t="str">
        <f t="shared" si="41"/>
        <v>"%USERPROFILE%\Documents\GitHub\eaglep3\Utilities\RefineRTDCRunTimes.py" --tripid 830-29 --locoid 4021 --swversion DE.1.0.8.0 --startMP 300:58628 --initTime 2016-12-29T16:38:23 --startdatetime 2016-12-29T16:40:49 --delay 1 --endMP 204:680 --enddatetime 2016-12-29T16:57:45 --enforcementcount 0 &gt;&gt;C:\Users\stu\Documents\GitHub\eaglep3-reporting\EC\2016-12-29-refined-times.txt</v>
      </c>
      <c r="AI184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{"issue":{"subject":"","project_id":79,"tracker_id":40,"status_id":1,"priority_id":2,"assigned_to_id":23,"start_date":"2016-12-29","description":"","custom_fields":[{"id":1,"name":"Subdivision","value":"NW"},{"id":4,"name":"Milepost","value":"0.068"},{"id":17,"name":"Train ID","value":"830-29"},{"id":16,"name":"Locomotive ID","value":"4021"},{"id":130,"name":"Impact","value":""},{"id":150,"name":"Time of Event (Mountain Time)","value":"16:57:45"},{"id":151,"name":"Denver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43"/>
        <v>start /low /b %USERPROFILE%\Documents\GitHub\eaglep3\Utilities\DownloadLogsFromS3.py --loco 4021 --day 2016-12-29</v>
      </c>
    </row>
    <row r="185" spans="1:91" s="21" customFormat="1" x14ac:dyDescent="0.25">
      <c r="A185" s="34" t="s">
        <v>614</v>
      </c>
      <c r="B185" s="7">
        <v>4029</v>
      </c>
      <c r="C185" s="22" t="s">
        <v>205</v>
      </c>
      <c r="D185" s="22" t="s">
        <v>788</v>
      </c>
      <c r="E185" s="13">
        <v>42733.696597222224</v>
      </c>
      <c r="F185" s="13">
        <v>42733.702349537038</v>
      </c>
      <c r="G185" s="7">
        <v>2</v>
      </c>
      <c r="H185" s="22" t="s">
        <v>781</v>
      </c>
      <c r="I185" s="13">
        <v>42733.714305555557</v>
      </c>
      <c r="J185" s="7">
        <v>0</v>
      </c>
      <c r="K185" s="105" t="str">
        <f t="shared" si="44"/>
        <v>4029/4030</v>
      </c>
      <c r="L185" s="22" t="str">
        <f>VLOOKUP(A185,'Trips&amp;Operators'!$C$1:$G$99999,5,FALSE)</f>
        <v>SIMONEAUX TERA</v>
      </c>
      <c r="M185" s="6">
        <f t="shared" si="45"/>
        <v>1.1956018519413192E-2</v>
      </c>
      <c r="N185" s="7">
        <f t="shared" si="57"/>
        <v>17.216666667954996</v>
      </c>
      <c r="O185" s="7"/>
      <c r="P185" s="7"/>
      <c r="Q185" s="23"/>
      <c r="R185" s="23"/>
      <c r="S185" s="32">
        <f t="shared" si="46"/>
        <v>1</v>
      </c>
      <c r="T185" s="47" t="str">
        <f t="shared" si="47"/>
        <v>NorthBound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15:43:06-700',mode:absolute,to:'2016-12-29 18:08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5" s="49" t="str">
        <f t="shared" si="49"/>
        <v>N</v>
      </c>
      <c r="X185" s="173">
        <f t="shared" si="58"/>
        <v>1</v>
      </c>
      <c r="Y185" s="64">
        <f t="shared" si="50"/>
        <v>8.9499999999999996E-2</v>
      </c>
      <c r="Z185" s="64">
        <f t="shared" si="51"/>
        <v>5.8967000000000001</v>
      </c>
      <c r="AA185" s="64">
        <f t="shared" si="52"/>
        <v>5.8071999999999999</v>
      </c>
      <c r="AB185" s="61" t="e">
        <f>VLOOKUP(A185,Enforcements!$C$7:$K$19,8,0)</f>
        <v>#N/A</v>
      </c>
      <c r="AC185" s="57" t="e">
        <f>VLOOKUP(A185,Enforcements!$C$7:$E$19,3,0)</f>
        <v>#N/A</v>
      </c>
      <c r="AD185" s="58" t="str">
        <f t="shared" si="53"/>
        <v>0831-29</v>
      </c>
      <c r="AE185" s="87" t="str">
        <f t="shared" si="54"/>
        <v>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 &amp; 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</v>
      </c>
      <c r="AF185" s="84" t="str">
        <f t="shared" si="55"/>
        <v>"C:\Program Files (x86)\AstroGrep\AstroGrep.exe" /spath="%USERPROFILE%\AppData\Local\Temp\OnboardLogs" /stypes="app*4029*20161230*" /stext=" 00:.+((SYSTEM_STATE.+slice.+state.+changed )|(ment ac)|(multiple cpu faults)|(system.+state.+changed )|(\[timeout)|(PRM\|1\|D)|(kpr)|(kdp)|(\|lc)|(penalty))" /e /r /s</v>
      </c>
      <c r="AG185" s="1" t="str">
        <f t="shared" si="56"/>
        <v>NW</v>
      </c>
      <c r="AH185" s="88" t="str">
        <f t="shared" si="41"/>
        <v>"%USERPROFILE%\Documents\GitHub\eaglep3\Utilities\RefineRTDCRunTimes.py" --tripid 831-29 --locoid 4029 --swversion DE.1.0.8.0 --startMP 204:895 --initTime 2016-12-29T16:43:06 --startdatetime 2016-12-29T16:51:23 --delay 2 --endMP 300:58967 --enddatetime 2016-12-29T17:08:36 --enforcementcount 0 &gt;&gt;C:\Users\stu\Documents\GitHub\eaglep3-reporting\EC\2016-12-29-refined-times.txt</v>
      </c>
      <c r="AI185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{"issue":{"subject":"","project_id":79,"tracker_id":40,"status_id":1,"priority_id":2,"assigned_to_id":23,"start_date":"2016-12-29","description":"","custom_fields":[{"id":1,"name":"Subdivision","value":"NW"},{"id":4,"name":"Milepost","value":"5.8967"},{"id":17,"name":"Train ID","value":"831-29"},{"id":16,"name":"Locomotive ID","value":"4029"},{"id":130,"name":"Impact","value":""},{"id":150,"name":"Time of Event (Mountain Time)","value":"17:08:36"},{"id":151,"name":"Denver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43"/>
        <v>start /low /b %USERPROFILE%\Documents\GitHub\eaglep3\Utilities\DownloadLogsFromS3.py --loco 4029 --day 2016-12-29</v>
      </c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4" t="s">
        <v>617</v>
      </c>
      <c r="B186" s="7">
        <v>4030</v>
      </c>
      <c r="C186" s="22" t="s">
        <v>205</v>
      </c>
      <c r="D186" s="22" t="s">
        <v>754</v>
      </c>
      <c r="E186" s="13">
        <v>42733.715833333335</v>
      </c>
      <c r="F186" s="13">
        <v>42733.717673611114</v>
      </c>
      <c r="G186" s="7">
        <v>2</v>
      </c>
      <c r="H186" s="22" t="s">
        <v>789</v>
      </c>
      <c r="I186" s="13">
        <v>42733.728159722225</v>
      </c>
      <c r="J186" s="7">
        <v>0</v>
      </c>
      <c r="K186" s="105" t="str">
        <f t="shared" si="44"/>
        <v>4029/4030</v>
      </c>
      <c r="L186" s="22" t="str">
        <f>VLOOKUP(A186,'Trips&amp;Operators'!$C$1:$G$99999,5,FALSE)</f>
        <v>SIMONEAUX TERA</v>
      </c>
      <c r="M186" s="6">
        <f t="shared" si="45"/>
        <v>1.0486111110367347E-2</v>
      </c>
      <c r="N186" s="7">
        <f t="shared" si="57"/>
        <v>15.099999998928979</v>
      </c>
      <c r="O186" s="7"/>
      <c r="P186" s="7"/>
      <c r="Q186" s="23"/>
      <c r="R186" s="23"/>
      <c r="S186" s="32">
        <f t="shared" si="46"/>
        <v>1</v>
      </c>
      <c r="T186" s="47" t="str">
        <f t="shared" si="47"/>
        <v>Southbound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16:10:48-700',mode:absolute,to:'2016-12-29 18:28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6" s="49" t="str">
        <f t="shared" si="49"/>
        <v>N</v>
      </c>
      <c r="X186" s="173">
        <f t="shared" si="58"/>
        <v>1</v>
      </c>
      <c r="Y186" s="64">
        <f t="shared" si="50"/>
        <v>5.8659999999999997</v>
      </c>
      <c r="Z186" s="64">
        <f t="shared" si="51"/>
        <v>6.5000000000000002E-2</v>
      </c>
      <c r="AA186" s="64">
        <f t="shared" si="52"/>
        <v>5.8009999999999993</v>
      </c>
      <c r="AB186" s="61" t="e">
        <f>VLOOKUP(A186,Enforcements!$C$7:$K$19,8,0)</f>
        <v>#N/A</v>
      </c>
      <c r="AC186" s="57" t="e">
        <f>VLOOKUP(A186,Enforcements!$C$7:$E$19,3,0)</f>
        <v>#N/A</v>
      </c>
      <c r="AD186" s="58" t="str">
        <f t="shared" si="53"/>
        <v>0832-29</v>
      </c>
      <c r="AE186" s="87" t="str">
        <f t="shared" si="54"/>
        <v>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 &amp; 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</v>
      </c>
      <c r="AF186" s="84" t="str">
        <f t="shared" si="55"/>
        <v>"C:\Program Files (x86)\AstroGrep\AstroGrep.exe" /spath="%USERPROFILE%\AppData\Local\Temp\OnboardLogs" /stypes="app*4030*20161230*" /stext=" 00:.+((SYSTEM_STATE.+slice.+state.+changed )|(ment ac)|(multiple cpu faults)|(system.+state.+changed )|(\[timeout)|(PRM\|1\|D)|(kpr)|(kdp)|(\|lc)|(penalty))" /e /r /s</v>
      </c>
      <c r="AG186" s="1" t="str">
        <f t="shared" si="56"/>
        <v>NW</v>
      </c>
      <c r="AH186" s="88" t="str">
        <f t="shared" si="41"/>
        <v>"%USERPROFILE%\Documents\GitHub\eaglep3\Utilities\RefineRTDCRunTimes.py" --tripid 832-29 --locoid 4030 --swversion DE.1.0.8.0 --startMP 300:58660 --initTime 2016-12-29T17:10:48 --startdatetime 2016-12-29T17:13:27 --delay 2 --endMP 204:650 --enddatetime 2016-12-29T17:28:33 --enforcementcount 0 &gt;&gt;C:\Users\stu\Documents\GitHub\eaglep3-reporting\EC\2016-12-29-refined-times.txt</v>
      </c>
      <c r="AI186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{"issue":{"subject":"","project_id":79,"tracker_id":40,"status_id":1,"priority_id":2,"assigned_to_id":23,"start_date":"2016-12-29","description":"","custom_fields":[{"id":1,"name":"Subdivision","value":"NW"},{"id":4,"name":"Milepost","value":"0.065"},{"id":17,"name":"Train ID","value":"832-29"},{"id":16,"name":"Locomotive ID","value":"4030"},{"id":130,"name":"Impact","value":""},{"id":150,"name":"Time of Event (Mountain Time)","value":"17:28:33"},{"id":151,"name":"Denver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43"/>
        <v>start /low /b %USERPROFILE%\Documents\GitHub\eaglep3\Utilities\DownloadLogsFromS3.py --loco 4030 --day 2016-12-29</v>
      </c>
    </row>
    <row r="187" spans="1:91" x14ac:dyDescent="0.25">
      <c r="A187" s="34" t="s">
        <v>621</v>
      </c>
      <c r="B187" s="7">
        <v>4022</v>
      </c>
      <c r="C187" s="22" t="s">
        <v>205</v>
      </c>
      <c r="D187" s="22" t="s">
        <v>348</v>
      </c>
      <c r="E187" s="13">
        <v>42733.718726851854</v>
      </c>
      <c r="F187" s="13">
        <v>42733.723449074074</v>
      </c>
      <c r="G187" s="7">
        <v>1</v>
      </c>
      <c r="H187" s="22" t="s">
        <v>790</v>
      </c>
      <c r="I187" s="13">
        <v>42733.734166666669</v>
      </c>
      <c r="J187" s="7">
        <v>0</v>
      </c>
      <c r="K187" s="105" t="str">
        <f t="shared" si="44"/>
        <v>4021/4022</v>
      </c>
      <c r="L187" s="22" t="str">
        <f>VLOOKUP(A187,'Trips&amp;Operators'!$C$1:$G$99999,5,FALSE)</f>
        <v>SIMMONS SHYHESHA</v>
      </c>
      <c r="M187" s="6">
        <f t="shared" si="45"/>
        <v>1.0717592595028691E-2</v>
      </c>
      <c r="N187" s="7">
        <f t="shared" si="57"/>
        <v>15.433333336841315</v>
      </c>
      <c r="O187" s="7"/>
      <c r="P187" s="7"/>
      <c r="Q187" s="23"/>
      <c r="R187" s="23"/>
      <c r="S187" s="32">
        <f t="shared" si="46"/>
        <v>1</v>
      </c>
      <c r="T187" s="47" t="str">
        <f t="shared" si="47"/>
        <v>NorthBound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16:14:58-700',mode:absolute,to:'2016-12-29 18:37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7" s="49" t="str">
        <f t="shared" si="49"/>
        <v>N</v>
      </c>
      <c r="X187" s="173">
        <f t="shared" si="58"/>
        <v>1</v>
      </c>
      <c r="Y187" s="64">
        <f t="shared" si="50"/>
        <v>9.7900000000000001E-2</v>
      </c>
      <c r="Z187" s="64">
        <f t="shared" si="51"/>
        <v>5.8960999999999997</v>
      </c>
      <c r="AA187" s="64">
        <f t="shared" si="52"/>
        <v>5.7981999999999996</v>
      </c>
      <c r="AB187" s="61" t="e">
        <f>VLOOKUP(A187,Enforcements!$C$7:$K$19,8,0)</f>
        <v>#N/A</v>
      </c>
      <c r="AC187" s="57" t="e">
        <f>VLOOKUP(A187,Enforcements!$C$7:$E$19,3,0)</f>
        <v>#N/A</v>
      </c>
      <c r="AD187" s="58" t="str">
        <f t="shared" si="53"/>
        <v>0833-29</v>
      </c>
      <c r="AE187" s="87" t="str">
        <f t="shared" si="54"/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AF187" s="84" t="str">
        <f t="shared" si="55"/>
        <v>"C:\Program Files (x86)\AstroGrep\AstroGrep.exe" /spath="%USERPROFILE%\AppData\Local\Temp\OnboardLogs" /stypes="app*4022*20161230*" /stext=" 00:.+((SYSTEM_STATE.+slice.+state.+changed )|(ment ac)|(multiple cpu faults)|(system.+state.+changed )|(\[timeout)|(PRM\|1\|D)|(kpr)|(kdp)|(\|lc)|(penalty))" /e /r /s</v>
      </c>
      <c r="AG187" s="1" t="str">
        <f t="shared" si="56"/>
        <v>NW</v>
      </c>
      <c r="AH187" s="88" t="str">
        <f t="shared" si="41"/>
        <v>"%USERPROFILE%\Documents\GitHub\eaglep3\Utilities\RefineRTDCRunTimes.py" --tripid 833-29 --locoid 4022 --swversion DE.1.0.8.0 --startMP 204:979 --initTime 2016-12-29T17:14:58 --startdatetime 2016-12-29T17:21:46 --delay 1 --endMP 300:58961 --enddatetime 2016-12-29T17:37:12 --enforcementcount 0 &gt;&gt;C:\Users\stu\Documents\GitHub\eaglep3-reporting\EC\2016-12-29-refined-times.txt</v>
      </c>
      <c r="AI187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{"issue":{"subject":"","project_id":79,"tracker_id":40,"status_id":1,"priority_id":2,"assigned_to_id":23,"start_date":"2016-12-29","description":"","custom_fields":[{"id":1,"name":"Subdivision","value":"NW"},{"id":4,"name":"Milepost","value":"5.8961"},{"id":17,"name":"Train ID","value":"833-29"},{"id":16,"name":"Locomotive ID","value":"4022"},{"id":130,"name":"Impact","value":""},{"id":150,"name":"Time of Event (Mountain Time)","value":"17:37:12"},{"id":151,"name":"Denver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43"/>
        <v>start /low /b %USERPROFILE%\Documents\GitHub\eaglep3\Utilities\DownloadLogsFromS3.py --loco 4022 --day 2016-12-29</v>
      </c>
    </row>
    <row r="188" spans="1:91" x14ac:dyDescent="0.25">
      <c r="A188" s="34" t="s">
        <v>627</v>
      </c>
      <c r="B188" s="7">
        <v>4021</v>
      </c>
      <c r="C188" s="22" t="s">
        <v>205</v>
      </c>
      <c r="D188" s="22" t="s">
        <v>784</v>
      </c>
      <c r="E188" s="13">
        <v>42733.735289351855</v>
      </c>
      <c r="F188" s="13">
        <v>42733.737037037034</v>
      </c>
      <c r="G188" s="7">
        <v>1</v>
      </c>
      <c r="H188" s="22" t="s">
        <v>429</v>
      </c>
      <c r="I188" s="13">
        <v>42733.748368055552</v>
      </c>
      <c r="J188" s="7">
        <v>0</v>
      </c>
      <c r="K188" s="105" t="str">
        <f t="shared" si="44"/>
        <v>4021/4022</v>
      </c>
      <c r="L188" s="22" t="str">
        <f>VLOOKUP(A188,'Trips&amp;Operators'!$C$1:$G$99999,5,FALSE)</f>
        <v>SIMMONS SHYHESHA</v>
      </c>
      <c r="M188" s="6">
        <f t="shared" si="45"/>
        <v>1.1331018518831115E-2</v>
      </c>
      <c r="N188" s="7">
        <f t="shared" si="57"/>
        <v>16.316666667116806</v>
      </c>
      <c r="O188" s="7"/>
      <c r="P188" s="7"/>
      <c r="Q188" s="23"/>
      <c r="R188" s="23"/>
      <c r="S188" s="32">
        <f t="shared" si="46"/>
        <v>1</v>
      </c>
      <c r="T188" s="47" t="str">
        <f t="shared" si="47"/>
        <v>Southbound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16:38:49-700',mode:absolute,to:'2016-12-29 18:57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8" s="49" t="str">
        <f t="shared" si="49"/>
        <v>N</v>
      </c>
      <c r="X188" s="173">
        <f t="shared" si="58"/>
        <v>1</v>
      </c>
      <c r="Y188" s="64">
        <f t="shared" si="50"/>
        <v>5.8648999999999996</v>
      </c>
      <c r="Z188" s="64">
        <f t="shared" si="51"/>
        <v>6.7500000000000004E-2</v>
      </c>
      <c r="AA188" s="64">
        <f t="shared" si="52"/>
        <v>5.7973999999999997</v>
      </c>
      <c r="AB188" s="61" t="e">
        <f>VLOOKUP(A188,Enforcements!$C$7:$K$19,8,0)</f>
        <v>#N/A</v>
      </c>
      <c r="AC188" s="57" t="e">
        <f>VLOOKUP(A188,Enforcements!$C$7:$E$19,3,0)</f>
        <v>#N/A</v>
      </c>
      <c r="AD188" s="58" t="str">
        <f t="shared" si="53"/>
        <v>0834-29</v>
      </c>
      <c r="AE188" s="87" t="str">
        <f t="shared" si="54"/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AF188" s="84" t="str">
        <f t="shared" si="55"/>
        <v>"C:\Program Files (x86)\AstroGrep\AstroGrep.exe" /spath="%USERPROFILE%\AppData\Local\Temp\OnboardLogs" /stypes="app*4021*20161230*" /stext=" 00:.+((SYSTEM_STATE.+slice.+state.+changed )|(ment ac)|(multiple cpu faults)|(system.+state.+changed )|(\[timeout)|(PRM\|1\|D)|(kpr)|(kdp)|(\|lc)|(penalty))" /e /r /s</v>
      </c>
      <c r="AG188" s="1" t="str">
        <f t="shared" si="56"/>
        <v>NW</v>
      </c>
      <c r="AH188" s="88" t="str">
        <f t="shared" si="41"/>
        <v>"%USERPROFILE%\Documents\GitHub\eaglep3\Utilities\RefineRTDCRunTimes.py" --tripid 834-29 --locoid 4021 --swversion DE.1.0.8.0 --startMP 300:58649 --initTime 2016-12-29T17:38:49 --startdatetime 2016-12-29T17:41:20 --delay 1 --endMP 204:675 --enddatetime 2016-12-29T17:57:39 --enforcementcount 0 &gt;&gt;C:\Users\stu\Documents\GitHub\eaglep3-reporting\EC\2016-12-29-refined-times.txt</v>
      </c>
      <c r="AI188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{"issue":{"subject":"","project_id":79,"tracker_id":40,"status_id":1,"priority_id":2,"assigned_to_id":23,"start_date":"2016-12-29","description":"","custom_fields":[{"id":1,"name":"Subdivision","value":"NW"},{"id":4,"name":"Milepost","value":"0.0675"},{"id":17,"name":"Train ID","value":"834-29"},{"id":16,"name":"Locomotive ID","value":"4021"},{"id":130,"name":"Impact","value":""},{"id":150,"name":"Time of Event (Mountain Time)","value":"17:57:39"},{"id":151,"name":"Denver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43"/>
        <v>start /low /b %USERPROFILE%\Documents\GitHub\eaglep3\Utilities\DownloadLogsFromS3.py --loco 4021 --day 2016-12-29</v>
      </c>
    </row>
    <row r="189" spans="1:91" s="21" customFormat="1" x14ac:dyDescent="0.25">
      <c r="A189" s="34" t="s">
        <v>452</v>
      </c>
      <c r="B189" s="7">
        <v>4029</v>
      </c>
      <c r="C189" s="22" t="s">
        <v>205</v>
      </c>
      <c r="D189" s="22" t="s">
        <v>426</v>
      </c>
      <c r="E189" s="13">
        <v>42733.736990740741</v>
      </c>
      <c r="F189" s="13">
        <v>42733.74417824074</v>
      </c>
      <c r="G189" s="7">
        <v>1</v>
      </c>
      <c r="H189" s="22" t="s">
        <v>791</v>
      </c>
      <c r="I189" s="13">
        <v>42733.756006944444</v>
      </c>
      <c r="J189" s="7">
        <v>0</v>
      </c>
      <c r="K189" s="105" t="str">
        <f t="shared" si="44"/>
        <v>4029/4030</v>
      </c>
      <c r="L189" s="22" t="str">
        <f>VLOOKUP(A189,'Trips&amp;Operators'!$C$1:$G$99999,5,FALSE)</f>
        <v>SIMONEAUX TERA</v>
      </c>
      <c r="M189" s="6">
        <f t="shared" si="45"/>
        <v>1.1828703703940846E-2</v>
      </c>
      <c r="N189" s="7">
        <f t="shared" si="57"/>
        <v>17.033333333674818</v>
      </c>
      <c r="O189" s="7"/>
      <c r="P189" s="7"/>
      <c r="Q189" s="23"/>
      <c r="R189" s="23"/>
      <c r="S189" s="32">
        <f t="shared" si="46"/>
        <v>1</v>
      </c>
      <c r="T189" s="47" t="str">
        <f t="shared" si="47"/>
        <v>NorthBound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16:41:16-700',mode:absolute,to:'2016-12-29 19:08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9" s="49" t="str">
        <f t="shared" si="49"/>
        <v>N</v>
      </c>
      <c r="X189" s="173">
        <f t="shared" si="58"/>
        <v>1</v>
      </c>
      <c r="Y189" s="64">
        <f t="shared" si="50"/>
        <v>9.2999999999999999E-2</v>
      </c>
      <c r="Z189" s="64">
        <f t="shared" si="51"/>
        <v>5.8954000000000004</v>
      </c>
      <c r="AA189" s="64">
        <f t="shared" si="52"/>
        <v>5.8024000000000004</v>
      </c>
      <c r="AB189" s="61" t="e">
        <f>VLOOKUP(A189,Enforcements!$C$7:$K$19,8,0)</f>
        <v>#N/A</v>
      </c>
      <c r="AC189" s="57" t="e">
        <f>VLOOKUP(A189,Enforcements!$C$7:$E$19,3,0)</f>
        <v>#N/A</v>
      </c>
      <c r="AD189" s="58" t="str">
        <f t="shared" si="53"/>
        <v>0835-29</v>
      </c>
      <c r="AE189" s="87" t="str">
        <f t="shared" si="54"/>
        <v>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 &amp; 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</v>
      </c>
      <c r="AF189" s="84" t="str">
        <f t="shared" si="55"/>
        <v>"C:\Program Files (x86)\AstroGrep\AstroGrep.exe" /spath="%USERPROFILE%\AppData\Local\Temp\OnboardLogs" /stypes="app*4029*20161230*" /stext=" 01:.+((SYSTEM_STATE.+slice.+state.+changed )|(ment ac)|(multiple cpu faults)|(system.+state.+changed )|(\[timeout)|(PRM\|1\|D)|(kpr)|(kdp)|(\|lc)|(penalty))" /e /r /s</v>
      </c>
      <c r="AG189" s="1" t="str">
        <f t="shared" si="56"/>
        <v>NW</v>
      </c>
      <c r="AH189" s="88" t="str">
        <f t="shared" si="41"/>
        <v>"%USERPROFILE%\Documents\GitHub\eaglep3\Utilities\RefineRTDCRunTimes.py" --tripid 835-29 --locoid 4029 --swversion DE.1.0.8.0 --startMP 204:930 --initTime 2016-12-29T17:41:16 --startdatetime 2016-12-29T17:51:37 --delay 1 --endMP 300:58954 --enddatetime 2016-12-29T18:08:39 --enforcementcount 0 &gt;&gt;C:\Users\stu\Documents\GitHub\eaglep3-reporting\EC\2016-12-29-refined-times.txt</v>
      </c>
      <c r="AI189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{"issue":{"subject":"","project_id":79,"tracker_id":40,"status_id":1,"priority_id":2,"assigned_to_id":23,"start_date":"2016-12-29","description":"","custom_fields":[{"id":1,"name":"Subdivision","value":"NW"},{"id":4,"name":"Milepost","value":"5.8954"},{"id":17,"name":"Train ID","value":"835-29"},{"id":16,"name":"Locomotive ID","value":"4029"},{"id":130,"name":"Impact","value":""},{"id":150,"name":"Time of Event (Mountain Time)","value":"18:08:39"},{"id":151,"name":"Denver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43"/>
        <v>start /low /b %USERPROFILE%\Documents\GitHub\eaglep3\Utilities\DownloadLogsFromS3.py --loco 4029 --day 2016-12-29</v>
      </c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4" t="s">
        <v>631</v>
      </c>
      <c r="B190" s="7">
        <v>4030</v>
      </c>
      <c r="C190" s="22" t="s">
        <v>205</v>
      </c>
      <c r="D190" s="22" t="s">
        <v>775</v>
      </c>
      <c r="E190" s="13">
        <v>42733.758587962962</v>
      </c>
      <c r="F190" s="13">
        <v>42733.760289351849</v>
      </c>
      <c r="G190" s="7">
        <v>1</v>
      </c>
      <c r="H190" s="22" t="s">
        <v>792</v>
      </c>
      <c r="I190" s="13">
        <v>42733.771458333336</v>
      </c>
      <c r="J190" s="7">
        <v>0</v>
      </c>
      <c r="K190" s="105" t="str">
        <f t="shared" si="44"/>
        <v>4029/4030</v>
      </c>
      <c r="L190" s="22" t="str">
        <f>VLOOKUP(A190,'Trips&amp;Operators'!$C$1:$G$99999,5,FALSE)</f>
        <v>SIMONEAUX TERA</v>
      </c>
      <c r="M190" s="6">
        <f t="shared" si="45"/>
        <v>1.1168981487571727E-2</v>
      </c>
      <c r="N190" s="7">
        <f t="shared" si="57"/>
        <v>16.083333342103288</v>
      </c>
      <c r="O190" s="7"/>
      <c r="P190" s="7"/>
      <c r="Q190" s="23"/>
      <c r="R190" s="23"/>
      <c r="S190" s="32">
        <f t="shared" si="46"/>
        <v>1</v>
      </c>
      <c r="T190" s="47" t="str">
        <f t="shared" si="47"/>
        <v>Southbound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17:12:22-700',mode:absolute,to:'2016-12-29 19:30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0" s="49" t="str">
        <f t="shared" si="49"/>
        <v>N</v>
      </c>
      <c r="X190" s="173">
        <f t="shared" si="58"/>
        <v>1</v>
      </c>
      <c r="Y190" s="64">
        <f t="shared" si="50"/>
        <v>5.8632</v>
      </c>
      <c r="Z190" s="64">
        <f t="shared" si="51"/>
        <v>6.2399999999999997E-2</v>
      </c>
      <c r="AA190" s="64">
        <f t="shared" si="52"/>
        <v>5.8007999999999997</v>
      </c>
      <c r="AB190" s="61" t="e">
        <f>VLOOKUP(A190,Enforcements!$C$7:$K$19,8,0)</f>
        <v>#N/A</v>
      </c>
      <c r="AC190" s="57" t="e">
        <f>VLOOKUP(A190,Enforcements!$C$7:$E$19,3,0)</f>
        <v>#N/A</v>
      </c>
      <c r="AD190" s="58" t="str">
        <f t="shared" si="53"/>
        <v>0836-29</v>
      </c>
      <c r="AE190" s="87" t="str">
        <f t="shared" si="54"/>
        <v>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 &amp; 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</v>
      </c>
      <c r="AF190" s="84" t="str">
        <f t="shared" si="55"/>
        <v>"C:\Program Files (x86)\AstroGrep\AstroGrep.exe" /spath="%USERPROFILE%\AppData\Local\Temp\OnboardLogs" /stypes="app*4030*20161230*" /stext=" 01:.+((SYSTEM_STATE.+slice.+state.+changed )|(ment ac)|(multiple cpu faults)|(system.+state.+changed )|(\[timeout)|(PRM\|1\|D)|(kpr)|(kdp)|(\|lc)|(penalty))" /e /r /s</v>
      </c>
      <c r="AG190" s="1" t="str">
        <f t="shared" si="56"/>
        <v>NW</v>
      </c>
      <c r="AH190" s="88" t="str">
        <f t="shared" si="41"/>
        <v>"%USERPROFILE%\Documents\GitHub\eaglep3\Utilities\RefineRTDCRunTimes.py" --tripid 836-29 --locoid 4030 --swversion DE.1.0.8.0 --startMP 300:58632 --initTime 2016-12-29T18:12:22 --startdatetime 2016-12-29T18:14:49 --delay 1 --endMP 204:624 --enddatetime 2016-12-29T18:30:54 --enforcementcount 0 &gt;&gt;C:\Users\stu\Documents\GitHub\eaglep3-reporting\EC\2016-12-29-refined-times.txt</v>
      </c>
      <c r="AI190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{"issue":{"subject":"","project_id":79,"tracker_id":40,"status_id":1,"priority_id":2,"assigned_to_id":23,"start_date":"2016-12-29","description":"","custom_fields":[{"id":1,"name":"Subdivision","value":"NW"},{"id":4,"name":"Milepost","value":"0.0624"},{"id":17,"name":"Train ID","value":"836-29"},{"id":16,"name":"Locomotive ID","value":"4030"},{"id":130,"name":"Impact","value":""},{"id":150,"name":"Time of Event (Mountain Time)","value":"18:30:54"},{"id":151,"name":"Denver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43"/>
        <v>start /low /b %USERPROFILE%\Documents\GitHub\eaglep3\Utilities\DownloadLogsFromS3.py --loco 4030 --day 2016-12-29</v>
      </c>
    </row>
    <row r="191" spans="1:91" x14ac:dyDescent="0.25">
      <c r="A191" s="34" t="s">
        <v>455</v>
      </c>
      <c r="B191" s="7">
        <v>4022</v>
      </c>
      <c r="C191" s="22" t="s">
        <v>205</v>
      </c>
      <c r="D191" s="22" t="s">
        <v>347</v>
      </c>
      <c r="E191" s="13">
        <v>42733.757488425923</v>
      </c>
      <c r="F191" s="13">
        <v>42733.764803240738</v>
      </c>
      <c r="G191" s="7">
        <v>1</v>
      </c>
      <c r="H191" s="22" t="s">
        <v>793</v>
      </c>
      <c r="I191" s="13">
        <v>42733.775127314817</v>
      </c>
      <c r="J191" s="7">
        <v>0</v>
      </c>
      <c r="K191" s="105" t="str">
        <f t="shared" si="44"/>
        <v>4021/4022</v>
      </c>
      <c r="L191" s="22" t="str">
        <f>VLOOKUP(A191,'Trips&amp;Operators'!$C$1:$G$99999,5,FALSE)</f>
        <v>SIMMONS SHYHESHA</v>
      </c>
      <c r="M191" s="6">
        <f t="shared" si="45"/>
        <v>1.0324074079107959E-2</v>
      </c>
      <c r="N191" s="7">
        <f t="shared" si="57"/>
        <v>14.866666673915461</v>
      </c>
      <c r="O191" s="7"/>
      <c r="P191" s="7"/>
      <c r="Q191" s="23"/>
      <c r="R191" s="23"/>
      <c r="S191" s="32">
        <f t="shared" si="46"/>
        <v>1</v>
      </c>
      <c r="T191" s="47" t="str">
        <f t="shared" si="47"/>
        <v>NorthBound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17:10:47-700',mode:absolute,to:'2016-12-29 19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1" s="49" t="str">
        <f t="shared" si="49"/>
        <v>N</v>
      </c>
      <c r="X191" s="173">
        <f t="shared" si="58"/>
        <v>1</v>
      </c>
      <c r="Y191" s="64">
        <f t="shared" si="50"/>
        <v>9.6500000000000002E-2</v>
      </c>
      <c r="Z191" s="64">
        <f t="shared" si="51"/>
        <v>5.8939000000000004</v>
      </c>
      <c r="AA191" s="64">
        <f t="shared" si="52"/>
        <v>5.7974000000000006</v>
      </c>
      <c r="AB191" s="61" t="e">
        <f>VLOOKUP(A191,Enforcements!$C$7:$K$19,8,0)</f>
        <v>#N/A</v>
      </c>
      <c r="AC191" s="57" t="e">
        <f>VLOOKUP(A191,Enforcements!$C$7:$E$19,3,0)</f>
        <v>#N/A</v>
      </c>
      <c r="AD191" s="58" t="str">
        <f t="shared" si="53"/>
        <v>0837-29</v>
      </c>
      <c r="AE191" s="87" t="str">
        <f t="shared" si="54"/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AF191" s="84" t="str">
        <f t="shared" si="55"/>
        <v>"C:\Program Files (x86)\AstroGrep\AstroGrep.exe" /spath="%USERPROFILE%\AppData\Local\Temp\OnboardLogs" /stypes="app*4022*20161230*" /stext=" 01:.+((SYSTEM_STATE.+slice.+state.+changed )|(ment ac)|(multiple cpu faults)|(system.+state.+changed )|(\[timeout)|(PRM\|1\|D)|(kpr)|(kdp)|(\|lc)|(penalty))" /e /r /s</v>
      </c>
      <c r="AG191" s="1" t="str">
        <f t="shared" si="56"/>
        <v>NW</v>
      </c>
      <c r="AH191" s="88" t="str">
        <f t="shared" si="41"/>
        <v>"%USERPROFILE%\Documents\GitHub\eaglep3\Utilities\RefineRTDCRunTimes.py" --tripid 837-29 --locoid 4022 --swversion DE.1.0.8.0 --startMP 204:965 --initTime 2016-12-29T18:10:47 --startdatetime 2016-12-29T18:21:19 --delay 1 --endMP 300:58939 --enddatetime 2016-12-29T18:36:11 --enforcementcount 0 &gt;&gt;C:\Users\stu\Documents\GitHub\eaglep3-reporting\EC\2016-12-29-refined-times.txt</v>
      </c>
      <c r="AI191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{"issue":{"subject":"","project_id":79,"tracker_id":40,"status_id":1,"priority_id":2,"assigned_to_id":23,"start_date":"2016-12-29","description":"","custom_fields":[{"id":1,"name":"Subdivision","value":"NW"},{"id":4,"name":"Milepost","value":"5.8939"},{"id":17,"name":"Train ID","value":"837-29"},{"id":16,"name":"Locomotive ID","value":"4022"},{"id":130,"name":"Impact","value":""},{"id":150,"name":"Time of Event (Mountain Time)","value":"18:36:11"},{"id":151,"name":"Denver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43"/>
        <v>start /low /b %USERPROFILE%\Documents\GitHub\eaglep3\Utilities\DownloadLogsFromS3.py --loco 4022 --day 2016-12-29</v>
      </c>
    </row>
    <row r="192" spans="1:91" x14ac:dyDescent="0.25">
      <c r="A192" s="34" t="s">
        <v>637</v>
      </c>
      <c r="B192" s="7">
        <v>4021</v>
      </c>
      <c r="C192" s="22" t="s">
        <v>205</v>
      </c>
      <c r="D192" s="22" t="s">
        <v>417</v>
      </c>
      <c r="E192" s="13">
        <v>42733.776736111111</v>
      </c>
      <c r="F192" s="13">
        <v>42733.778043981481</v>
      </c>
      <c r="G192" s="7">
        <v>1</v>
      </c>
      <c r="H192" s="22" t="s">
        <v>794</v>
      </c>
      <c r="I192" s="13">
        <v>42733.789525462962</v>
      </c>
      <c r="J192" s="7">
        <v>0</v>
      </c>
      <c r="K192" s="105" t="str">
        <f t="shared" si="44"/>
        <v>4021/4022</v>
      </c>
      <c r="L192" s="22" t="str">
        <f>VLOOKUP(A192,'Trips&amp;Operators'!$C$1:$G$99999,5,FALSE)</f>
        <v>SIMMONS SHYHESHA</v>
      </c>
      <c r="M192" s="6">
        <f t="shared" si="45"/>
        <v>1.1481481480586808E-2</v>
      </c>
      <c r="N192" s="7">
        <f t="shared" si="57"/>
        <v>16.533333332045004</v>
      </c>
      <c r="O192" s="7"/>
      <c r="P192" s="7"/>
      <c r="Q192" s="23"/>
      <c r="R192" s="23"/>
      <c r="S192" s="32">
        <f t="shared" si="46"/>
        <v>1</v>
      </c>
      <c r="T192" s="47" t="str">
        <f t="shared" si="47"/>
        <v>Southbound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17:38:30-700',mode:absolute,to:'2016-12-29 19:56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2" s="49" t="str">
        <f t="shared" si="49"/>
        <v>N</v>
      </c>
      <c r="X192" s="173">
        <f t="shared" si="58"/>
        <v>1</v>
      </c>
      <c r="Y192" s="64">
        <f t="shared" si="50"/>
        <v>5.8611000000000004</v>
      </c>
      <c r="Z192" s="64">
        <f t="shared" si="51"/>
        <v>7.0599999999999996E-2</v>
      </c>
      <c r="AA192" s="64">
        <f t="shared" si="52"/>
        <v>5.7905000000000006</v>
      </c>
      <c r="AB192" s="61" t="e">
        <f>VLOOKUP(A192,Enforcements!$C$7:$K$19,8,0)</f>
        <v>#N/A</v>
      </c>
      <c r="AC192" s="57" t="e">
        <f>VLOOKUP(A192,Enforcements!$C$7:$E$19,3,0)</f>
        <v>#N/A</v>
      </c>
      <c r="AD192" s="58" t="str">
        <f t="shared" si="53"/>
        <v>0838-29</v>
      </c>
      <c r="AE192" s="87" t="str">
        <f t="shared" si="54"/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AF192" s="84" t="str">
        <f t="shared" si="55"/>
        <v>"C:\Program Files (x86)\AstroGrep\AstroGrep.exe" /spath="%USERPROFILE%\AppData\Local\Temp\OnboardLogs" /stypes="app*4021*20161230*" /stext=" 01:.+((SYSTEM_STATE.+slice.+state.+changed )|(ment ac)|(multiple cpu faults)|(system.+state.+changed )|(\[timeout)|(PRM\|1\|D)|(kpr)|(kdp)|(\|lc)|(penalty))" /e /r /s</v>
      </c>
      <c r="AG192" s="1" t="str">
        <f t="shared" si="56"/>
        <v>NW</v>
      </c>
      <c r="AH192" s="88" t="str">
        <f t="shared" si="41"/>
        <v>"%USERPROFILE%\Documents\GitHub\eaglep3\Utilities\RefineRTDCRunTimes.py" --tripid 838-29 --locoid 4021 --swversion DE.1.0.8.0 --startMP 300:58611 --initTime 2016-12-29T18:38:30 --startdatetime 2016-12-29T18:40:23 --delay 1 --endMP 204:706 --enddatetime 2016-12-29T18:56:55 --enforcementcount 0 &gt;&gt;C:\Users\stu\Documents\GitHub\eaglep3-reporting\EC\2016-12-29-refined-times.txt</v>
      </c>
      <c r="AI192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{"issue":{"subject":"","project_id":79,"tracker_id":40,"status_id":1,"priority_id":2,"assigned_to_id":23,"start_date":"2016-12-29","description":"","custom_fields":[{"id":1,"name":"Subdivision","value":"NW"},{"id":4,"name":"Milepost","value":"0.0706"},{"id":17,"name":"Train ID","value":"838-29"},{"id":16,"name":"Locomotive ID","value":"4021"},{"id":130,"name":"Impact","value":""},{"id":150,"name":"Time of Event (Mountain Time)","value":"18:56:55"},{"id":151,"name":"Denver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43"/>
        <v>start /low /b %USERPROFILE%\Documents\GitHub\eaglep3\Utilities\DownloadLogsFromS3.py --loco 4021 --day 2016-12-29</v>
      </c>
    </row>
    <row r="193" spans="1:91" x14ac:dyDescent="0.25">
      <c r="A193" s="34" t="s">
        <v>639</v>
      </c>
      <c r="B193" s="7">
        <v>4029</v>
      </c>
      <c r="C193" s="22" t="s">
        <v>205</v>
      </c>
      <c r="D193" s="22" t="s">
        <v>795</v>
      </c>
      <c r="E193" s="13">
        <v>42733.783171296294</v>
      </c>
      <c r="F193" s="13">
        <v>42733.785740740743</v>
      </c>
      <c r="G193" s="7">
        <v>1</v>
      </c>
      <c r="H193" s="22" t="s">
        <v>776</v>
      </c>
      <c r="I193" s="13">
        <v>42733.796782407408</v>
      </c>
      <c r="J193" s="7">
        <v>0</v>
      </c>
      <c r="K193" s="105" t="str">
        <f t="shared" si="44"/>
        <v>4029/4030</v>
      </c>
      <c r="L193" s="22" t="str">
        <f>VLOOKUP(A193,'Trips&amp;Operators'!$C$1:$G$99999,5,FALSE)</f>
        <v>SIMONEAUX TERA</v>
      </c>
      <c r="M193" s="6">
        <f t="shared" si="45"/>
        <v>1.1041666664823424E-2</v>
      </c>
      <c r="N193" s="7">
        <f t="shared" si="57"/>
        <v>15.899999997345731</v>
      </c>
      <c r="O193" s="7"/>
      <c r="P193" s="7"/>
      <c r="Q193" s="23"/>
      <c r="R193" s="23"/>
      <c r="S193" s="32">
        <f t="shared" si="46"/>
        <v>1</v>
      </c>
      <c r="T193" s="47" t="str">
        <f t="shared" si="47"/>
        <v>NorthBound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17:47:46-700',mode:absolute,to:'2016-12-29 20:07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3" s="49" t="str">
        <f t="shared" si="49"/>
        <v>N</v>
      </c>
      <c r="X193" s="173">
        <f t="shared" si="58"/>
        <v>1</v>
      </c>
      <c r="Y193" s="64">
        <f t="shared" si="50"/>
        <v>9.4100000000000003E-2</v>
      </c>
      <c r="Z193" s="64">
        <f t="shared" si="51"/>
        <v>5.8975999999999997</v>
      </c>
      <c r="AA193" s="64">
        <f t="shared" si="52"/>
        <v>5.8034999999999997</v>
      </c>
      <c r="AB193" s="61" t="e">
        <f>VLOOKUP(A193,Enforcements!$C$7:$K$19,8,0)</f>
        <v>#N/A</v>
      </c>
      <c r="AC193" s="57" t="e">
        <f>VLOOKUP(A193,Enforcements!$C$7:$E$19,3,0)</f>
        <v>#N/A</v>
      </c>
      <c r="AD193" s="58" t="str">
        <f t="shared" si="53"/>
        <v>0839-29</v>
      </c>
      <c r="AE193" s="87" t="str">
        <f t="shared" si="54"/>
        <v>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 &amp; 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</v>
      </c>
      <c r="AF193" s="84" t="str">
        <f t="shared" si="55"/>
        <v>"C:\Program Files (x86)\AstroGrep\AstroGrep.exe" /spath="%USERPROFILE%\AppData\Local\Temp\OnboardLogs" /stypes="app*4029*20161230*" /stext=" 02:.+((SYSTEM_STATE.+slice.+state.+changed )|(ment ac)|(multiple cpu faults)|(system.+state.+changed )|(\[timeout)|(PRM\|1\|D)|(kpr)|(kdp)|(\|lc)|(penalty))" /e /r /s</v>
      </c>
      <c r="AG193" s="1" t="str">
        <f t="shared" si="56"/>
        <v>NW</v>
      </c>
      <c r="AH193" s="88" t="str">
        <f t="shared" si="41"/>
        <v>"%USERPROFILE%\Documents\GitHub\eaglep3\Utilities\RefineRTDCRunTimes.py" --tripid 839-29 --locoid 4029 --swversion DE.1.0.8.0 --startMP 204:941 --initTime 2016-12-29T18:47:46 --startdatetime 2016-12-29T18:51:28 --delay 1 --endMP 300:58976 --enddatetime 2016-12-29T19:07:22 --enforcementcount 0 &gt;&gt;C:\Users\stu\Documents\GitHub\eaglep3-reporting\EC\2016-12-29-refined-times.txt</v>
      </c>
      <c r="AI193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{"issue":{"subject":"","project_id":79,"tracker_id":40,"status_id":1,"priority_id":2,"assigned_to_id":23,"start_date":"2016-12-29","description":"","custom_fields":[{"id":1,"name":"Subdivision","value":"NW"},{"id":4,"name":"Milepost","value":"5.8976"},{"id":17,"name":"Train ID","value":"839-29"},{"id":16,"name":"Locomotive ID","value":"4029"},{"id":130,"name":"Impact","value":""},{"id":150,"name":"Time of Event (Mountain Time)","value":"19:07:22"},{"id":151,"name":"Denver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43"/>
        <v>start /low /b %USERPROFILE%\Documents\GitHub\eaglep3\Utilities\DownloadLogsFromS3.py --loco 4029 --day 2016-12-29</v>
      </c>
    </row>
    <row r="194" spans="1:91" s="21" customFormat="1" x14ac:dyDescent="0.25">
      <c r="A194" s="34" t="s">
        <v>650</v>
      </c>
      <c r="B194" s="7">
        <v>4021</v>
      </c>
      <c r="C194" s="22" t="s">
        <v>205</v>
      </c>
      <c r="D194" s="22" t="s">
        <v>796</v>
      </c>
      <c r="E194" s="13">
        <v>42733.819189814814</v>
      </c>
      <c r="F194" s="13">
        <v>42733.820752314816</v>
      </c>
      <c r="G194" s="7">
        <v>1</v>
      </c>
      <c r="H194" s="22" t="s">
        <v>424</v>
      </c>
      <c r="I194" s="13">
        <v>42733.832881944443</v>
      </c>
      <c r="J194" s="7">
        <v>0</v>
      </c>
      <c r="K194" s="105" t="str">
        <f t="shared" si="44"/>
        <v>4021/4022</v>
      </c>
      <c r="L194" s="22" t="str">
        <f>VLOOKUP(A194,'Trips&amp;Operators'!$C$1:$G$99999,5,FALSE)</f>
        <v>SIMMONS SHYHESHA</v>
      </c>
      <c r="M194" s="6">
        <f t="shared" si="45"/>
        <v>1.2129629627452232E-2</v>
      </c>
      <c r="N194" s="7">
        <f t="shared" si="57"/>
        <v>17.466666663531214</v>
      </c>
      <c r="O194" s="7"/>
      <c r="P194" s="7"/>
      <c r="Q194" s="23"/>
      <c r="R194" s="23"/>
      <c r="S194" s="32">
        <f t="shared" si="46"/>
        <v>1</v>
      </c>
      <c r="T194" s="47" t="str">
        <f t="shared" si="47"/>
        <v>Southbound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18:39:38-700',mode:absolute,to:'2016-12-29 20:59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4" s="49" t="str">
        <f t="shared" si="49"/>
        <v>N</v>
      </c>
      <c r="X194" s="173">
        <f t="shared" ref="X194:X225" si="59">VALUE(LEFT(AD194,4))-VALUE(LEFT(AD193,4))</f>
        <v>1</v>
      </c>
      <c r="Y194" s="64">
        <f t="shared" si="50"/>
        <v>5.8644999999999996</v>
      </c>
      <c r="Z194" s="64">
        <f t="shared" si="51"/>
        <v>6.9800000000000001E-2</v>
      </c>
      <c r="AA194" s="64">
        <f t="shared" si="52"/>
        <v>5.7946999999999997</v>
      </c>
      <c r="AB194" s="61" t="e">
        <f>VLOOKUP(A194,Enforcements!$C$7:$K$19,8,0)</f>
        <v>#N/A</v>
      </c>
      <c r="AC194" s="57" t="e">
        <f>VLOOKUP(A194,Enforcements!$C$7:$E$19,3,0)</f>
        <v>#N/A</v>
      </c>
      <c r="AD194" s="58" t="str">
        <f t="shared" si="53"/>
        <v>0840-29</v>
      </c>
      <c r="AE194" s="87" t="str">
        <f t="shared" si="54"/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AF194" s="84" t="str">
        <f t="shared" si="55"/>
        <v>"C:\Program Files (x86)\AstroGrep\AstroGrep.exe" /spath="%USERPROFILE%\AppData\Local\Temp\OnboardLogs" /stypes="app*4021*20161230*" /stext=" 02:.+((SYSTEM_STATE.+slice.+state.+changed )|(ment ac)|(multiple cpu faults)|(system.+state.+changed )|(\[timeout)|(PRM\|1\|D)|(kpr)|(kdp)|(\|lc)|(penalty))" /e /r /s</v>
      </c>
      <c r="AG194" s="1" t="str">
        <f t="shared" si="56"/>
        <v>NW</v>
      </c>
      <c r="AH194" s="88" t="str">
        <f t="shared" si="41"/>
        <v>"%USERPROFILE%\Documents\GitHub\eaglep3\Utilities\RefineRTDCRunTimes.py" --tripid 840-29 --locoid 4021 --swversion DE.1.0.8.0 --startMP 300:58645 --initTime 2016-12-29T19:39:38 --startdatetime 2016-12-29T19:41:53 --delay 1 --endMP 204:698 --enddatetime 2016-12-29T19:59:21 --enforcementcount 0 &gt;&gt;C:\Users\stu\Documents\GitHub\eaglep3-reporting\EC\2016-12-29-refined-times.txt</v>
      </c>
      <c r="AI194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{"issue":{"subject":"","project_id":79,"tracker_id":40,"status_id":1,"priority_id":2,"assigned_to_id":23,"start_date":"2016-12-29","description":"","custom_fields":[{"id":1,"name":"Subdivision","value":"NW"},{"id":4,"name":"Milepost","value":"0.0698"},{"id":17,"name":"Train ID","value":"840-29"},{"id":16,"name":"Locomotive ID","value":"4021"},{"id":130,"name":"Impact","value":""},{"id":150,"name":"Time of Event (Mountain Time)","value":"19:59:21"},{"id":151,"name":"Denver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43"/>
        <v>start /low /b %USERPROFILE%\Documents\GitHub\eaglep3\Utilities\DownloadLogsFromS3.py --loco 4021 --day 2016-12-29</v>
      </c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4" t="s">
        <v>647</v>
      </c>
      <c r="B195" s="7">
        <v>4022</v>
      </c>
      <c r="C195" s="22" t="s">
        <v>205</v>
      </c>
      <c r="D195" s="22" t="s">
        <v>797</v>
      </c>
      <c r="E195" s="13">
        <v>42733.804305555554</v>
      </c>
      <c r="F195" s="13">
        <v>42733.806493055556</v>
      </c>
      <c r="G195" s="7">
        <v>1</v>
      </c>
      <c r="H195" s="22" t="s">
        <v>790</v>
      </c>
      <c r="I195" s="13">
        <v>42733.818194444444</v>
      </c>
      <c r="J195" s="7">
        <v>0</v>
      </c>
      <c r="K195" s="105" t="str">
        <f t="shared" si="44"/>
        <v>4021/4022</v>
      </c>
      <c r="L195" s="22" t="str">
        <f>VLOOKUP(A195,'Trips&amp;Operators'!$C$1:$G$99999,5,FALSE)</f>
        <v>SIMMONS SHYHESHA</v>
      </c>
      <c r="M195" s="6">
        <f t="shared" si="45"/>
        <v>1.17013888884685E-2</v>
      </c>
      <c r="N195" s="7">
        <f t="shared" si="57"/>
        <v>16.84999999939464</v>
      </c>
      <c r="O195" s="7"/>
      <c r="P195" s="7"/>
      <c r="Q195" s="23"/>
      <c r="R195" s="23"/>
      <c r="S195" s="32">
        <f t="shared" si="46"/>
        <v>1</v>
      </c>
      <c r="T195" s="47" t="str">
        <f t="shared" si="47"/>
        <v>NorthBound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18:18:12-700',mode:absolute,to:'2016-12-29 20:38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5" s="49" t="str">
        <f t="shared" si="49"/>
        <v>N</v>
      </c>
      <c r="X195" s="173">
        <f t="shared" si="59"/>
        <v>1</v>
      </c>
      <c r="Y195" s="64">
        <f t="shared" si="50"/>
        <v>9.8799999999999999E-2</v>
      </c>
      <c r="Z195" s="64">
        <f t="shared" si="51"/>
        <v>5.8960999999999997</v>
      </c>
      <c r="AA195" s="64">
        <f t="shared" si="52"/>
        <v>5.7972999999999999</v>
      </c>
      <c r="AB195" s="61" t="e">
        <f>VLOOKUP(A195,Enforcements!$C$7:$K$19,8,0)</f>
        <v>#N/A</v>
      </c>
      <c r="AC195" s="57" t="e">
        <f>VLOOKUP(A195,Enforcements!$C$7:$E$19,3,0)</f>
        <v>#N/A</v>
      </c>
      <c r="AD195" s="58" t="str">
        <f t="shared" si="53"/>
        <v>0841-29</v>
      </c>
      <c r="AE195" s="87" t="str">
        <f t="shared" si="54"/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AF195" s="84" t="str">
        <f t="shared" si="55"/>
        <v>"C:\Program Files (x86)\AstroGrep\AstroGrep.exe" /spath="%USERPROFILE%\AppData\Local\Temp\OnboardLogs" /stypes="app*4022*20161230*" /stext=" 02:.+((SYSTEM_STATE.+slice.+state.+changed )|(ment ac)|(multiple cpu faults)|(system.+state.+changed )|(\[timeout)|(PRM\|1\|D)|(kpr)|(kdp)|(\|lc)|(penalty))" /e /r /s</v>
      </c>
      <c r="AG195" s="1" t="str">
        <f t="shared" si="56"/>
        <v>NW</v>
      </c>
      <c r="AH195" s="88" t="str">
        <f t="shared" si="41"/>
        <v>"%USERPROFILE%\Documents\GitHub\eaglep3\Utilities\RefineRTDCRunTimes.py" --tripid 841-29 --locoid 4022 --swversion DE.1.0.8.0 --startMP 204:988 --initTime 2016-12-29T19:18:12 --startdatetime 2016-12-29T19:21:21 --delay 1 --endMP 300:58961 --enddatetime 2016-12-29T19:38:12 --enforcementcount 0 &gt;&gt;C:\Users\stu\Documents\GitHub\eaglep3-reporting\EC\2016-12-29-refined-times.txt</v>
      </c>
      <c r="AI195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{"issue":{"subject":"","project_id":79,"tracker_id":40,"status_id":1,"priority_id":2,"assigned_to_id":23,"start_date":"2016-12-29","description":"","custom_fields":[{"id":1,"name":"Subdivision","value":"NW"},{"id":4,"name":"Milepost","value":"5.8961"},{"id":17,"name":"Train ID","value":"841-29"},{"id":16,"name":"Locomotive ID","value":"4022"},{"id":130,"name":"Impact","value":""},{"id":150,"name":"Time of Event (Mountain Time)","value":"19:38:12"},{"id":151,"name":"Denver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43"/>
        <v>start /low /b %USERPROFILE%\Documents\GitHub\eaglep3\Utilities\DownloadLogsFromS3.py --loco 4022 --day 2016-12-29</v>
      </c>
    </row>
    <row r="196" spans="1:91" s="21" customFormat="1" x14ac:dyDescent="0.25">
      <c r="A196" s="34" t="s">
        <v>655</v>
      </c>
      <c r="B196" s="7">
        <v>4021</v>
      </c>
      <c r="C196" s="22" t="s">
        <v>205</v>
      </c>
      <c r="D196" s="22" t="s">
        <v>773</v>
      </c>
      <c r="E196" s="13">
        <v>42733.860949074071</v>
      </c>
      <c r="F196" s="13">
        <v>42733.862500000003</v>
      </c>
      <c r="G196" s="7">
        <v>1</v>
      </c>
      <c r="H196" s="22" t="s">
        <v>798</v>
      </c>
      <c r="I196" s="13">
        <v>42733.872499999998</v>
      </c>
      <c r="J196" s="7">
        <v>0</v>
      </c>
      <c r="K196" s="105" t="str">
        <f t="shared" si="44"/>
        <v>4021/4022</v>
      </c>
      <c r="L196" s="22" t="str">
        <f>VLOOKUP(A196,'Trips&amp;Operators'!$C$1:$G$99999,5,FALSE)</f>
        <v>SIMMONS SHYHESHA</v>
      </c>
      <c r="M196" s="6">
        <f t="shared" si="45"/>
        <v>9.9999999947613105E-3</v>
      </c>
      <c r="N196" s="7">
        <f t="shared" si="57"/>
        <v>14.399999992456287</v>
      </c>
      <c r="O196" s="7"/>
      <c r="P196" s="7"/>
      <c r="Q196" s="23"/>
      <c r="R196" s="23"/>
      <c r="S196" s="32">
        <f t="shared" si="46"/>
        <v>1</v>
      </c>
      <c r="T196" s="47" t="str">
        <f t="shared" si="47"/>
        <v>Southbound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19:39:46-700',mode:absolute,to:'2016-12-29 21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6" s="49" t="str">
        <f t="shared" si="49"/>
        <v>N</v>
      </c>
      <c r="X196" s="173">
        <f t="shared" si="59"/>
        <v>1</v>
      </c>
      <c r="Y196" s="64">
        <f t="shared" si="50"/>
        <v>5.8639999999999999</v>
      </c>
      <c r="Z196" s="64">
        <f t="shared" si="51"/>
        <v>7.0499999999999993E-2</v>
      </c>
      <c r="AA196" s="64">
        <f t="shared" si="52"/>
        <v>5.7934999999999999</v>
      </c>
      <c r="AB196" s="61" t="e">
        <f>VLOOKUP(A196,Enforcements!$C$7:$K$19,8,0)</f>
        <v>#N/A</v>
      </c>
      <c r="AC196" s="57" t="e">
        <f>VLOOKUP(A196,Enforcements!$C$7:$E$19,3,0)</f>
        <v>#N/A</v>
      </c>
      <c r="AD196" s="58" t="str">
        <f t="shared" si="53"/>
        <v>0842-29</v>
      </c>
      <c r="AE196" s="87" t="str">
        <f t="shared" si="54"/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AF196" s="84" t="str">
        <f t="shared" si="55"/>
        <v>"C:\Program Files (x86)\AstroGrep\AstroGrep.exe" /spath="%USERPROFILE%\AppData\Local\Temp\OnboardLogs" /stypes="app*4021*20161230*" /stext=" 03:.+((SYSTEM_STATE.+slice.+state.+changed )|(ment ac)|(multiple cpu faults)|(system.+state.+changed )|(\[timeout)|(PRM\|1\|D)|(kpr)|(kdp)|(\|lc)|(penalty))" /e /r /s</v>
      </c>
      <c r="AG196" s="1" t="str">
        <f t="shared" si="56"/>
        <v>NW</v>
      </c>
      <c r="AH196" s="88" t="str">
        <f t="shared" si="41"/>
        <v>"%USERPROFILE%\Documents\GitHub\eaglep3\Utilities\RefineRTDCRunTimes.py" --tripid 842-29 --locoid 4021 --swversion DE.1.0.8.0 --startMP 300:58640 --initTime 2016-12-29T20:39:46 --startdatetime 2016-12-29T20:42:00 --delay 1 --endMP 204:705 --enddatetime 2016-12-29T20:56:24 --enforcementcount 0 &gt;&gt;C:\Users\stu\Documents\GitHub\eaglep3-reporting\EC\2016-12-29-refined-times.txt</v>
      </c>
      <c r="AI196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{"issue":{"subject":"","project_id":79,"tracker_id":40,"status_id":1,"priority_id":2,"assigned_to_id":23,"start_date":"2016-12-29","description":"","custom_fields":[{"id":1,"name":"Subdivision","value":"NW"},{"id":4,"name":"Milepost","value":"0.0705"},{"id":17,"name":"Train ID","value":"842-29"},{"id":16,"name":"Locomotive ID","value":"4021"},{"id":130,"name":"Impact","value":""},{"id":150,"name":"Time of Event (Mountain Time)","value":"20:56:24"},{"id":151,"name":"Denver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43"/>
        <v>start /low /b %USERPROFILE%\Documents\GitHub\eaglep3\Utilities\DownloadLogsFromS3.py --loco 4021 --day 2016-12-29</v>
      </c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4" t="s">
        <v>652</v>
      </c>
      <c r="B197" s="7">
        <v>4022</v>
      </c>
      <c r="C197" s="22" t="s">
        <v>205</v>
      </c>
      <c r="D197" s="22" t="s">
        <v>797</v>
      </c>
      <c r="E197" s="13">
        <v>42733.836851851855</v>
      </c>
      <c r="F197" s="13">
        <v>42733.848124999997</v>
      </c>
      <c r="G197" s="7">
        <v>1</v>
      </c>
      <c r="H197" s="22" t="s">
        <v>772</v>
      </c>
      <c r="I197" s="13">
        <v>42733.859467592592</v>
      </c>
      <c r="J197" s="7">
        <v>0</v>
      </c>
      <c r="K197" s="105" t="str">
        <f t="shared" si="44"/>
        <v>4021/4022</v>
      </c>
      <c r="L197" s="22" t="str">
        <f>VLOOKUP(A197,'Trips&amp;Operators'!$C$1:$G$99999,5,FALSE)</f>
        <v>SIMMONS SHYHESHA</v>
      </c>
      <c r="M197" s="6">
        <f t="shared" si="45"/>
        <v>1.1342592595610768E-2</v>
      </c>
      <c r="N197" s="7">
        <f t="shared" si="57"/>
        <v>16.333333337679505</v>
      </c>
      <c r="O197" s="7"/>
      <c r="P197" s="7"/>
      <c r="Q197" s="23"/>
      <c r="R197" s="23"/>
      <c r="S197" s="32">
        <f t="shared" si="46"/>
        <v>1</v>
      </c>
      <c r="T197" s="47" t="str">
        <f t="shared" si="47"/>
        <v>NorthBound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19:05:04-700',mode:absolute,to:'2016-12-29 21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7" s="49" t="str">
        <f t="shared" si="49"/>
        <v>N</v>
      </c>
      <c r="X197" s="173">
        <f t="shared" si="59"/>
        <v>1</v>
      </c>
      <c r="Y197" s="64">
        <f t="shared" si="50"/>
        <v>9.8799999999999999E-2</v>
      </c>
      <c r="Z197" s="64">
        <f t="shared" si="51"/>
        <v>5.8949999999999996</v>
      </c>
      <c r="AA197" s="64">
        <f t="shared" si="52"/>
        <v>5.7961999999999998</v>
      </c>
      <c r="AB197" s="61" t="e">
        <f>VLOOKUP(A197,Enforcements!$C$7:$K$19,8,0)</f>
        <v>#N/A</v>
      </c>
      <c r="AC197" s="57" t="e">
        <f>VLOOKUP(A197,Enforcements!$C$7:$E$19,3,0)</f>
        <v>#N/A</v>
      </c>
      <c r="AD197" s="58" t="str">
        <f t="shared" si="53"/>
        <v>0843-29</v>
      </c>
      <c r="AE197" s="87" t="str">
        <f t="shared" si="54"/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AF197" s="84" t="str">
        <f t="shared" si="55"/>
        <v>"C:\Program Files (x86)\AstroGrep\AstroGrep.exe" /spath="%USERPROFILE%\AppData\Local\Temp\OnboardLogs" /stypes="app*4022*20161230*" /stext=" 03:.+((SYSTEM_STATE.+slice.+state.+changed )|(ment ac)|(multiple cpu faults)|(system.+state.+changed )|(\[timeout)|(PRM\|1\|D)|(kpr)|(kdp)|(\|lc)|(penalty))" /e /r /s</v>
      </c>
      <c r="AG197" s="1" t="str">
        <f t="shared" si="56"/>
        <v>NW</v>
      </c>
      <c r="AH197" s="88" t="str">
        <f t="shared" si="41"/>
        <v>"%USERPROFILE%\Documents\GitHub\eaglep3\Utilities\RefineRTDCRunTimes.py" --tripid 843-29 --locoid 4022 --swversion DE.1.0.8.0 --startMP 204:988 --initTime 2016-12-29T20:05:04 --startdatetime 2016-12-29T20:21:18 --delay 1 --endMP 300:58950 --enddatetime 2016-12-29T20:37:38 --enforcementcount 0 &gt;&gt;C:\Users\stu\Documents\GitHub\eaglep3-reporting\EC\2016-12-29-refined-times.txt</v>
      </c>
      <c r="AI197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{"issue":{"subject":"","project_id":79,"tracker_id":40,"status_id":1,"priority_id":2,"assigned_to_id":23,"start_date":"2016-12-29","description":"","custom_fields":[{"id":1,"name":"Subdivision","value":"NW"},{"id":4,"name":"Milepost","value":"5.895"},{"id":17,"name":"Train ID","value":"843-29"},{"id":16,"name":"Locomotive ID","value":"4022"},{"id":130,"name":"Impact","value":""},{"id":150,"name":"Time of Event (Mountain Time)","value":"20:37:38"},{"id":151,"name":"Denver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43"/>
        <v>start /low /b %USERPROFILE%\Documents\GitHub\eaglep3\Utilities\DownloadLogsFromS3.py --loco 4022 --day 2016-12-29</v>
      </c>
    </row>
    <row r="198" spans="1:91" x14ac:dyDescent="0.25">
      <c r="A198" s="34" t="s">
        <v>661</v>
      </c>
      <c r="B198" s="7">
        <v>4021</v>
      </c>
      <c r="C198" s="22" t="s">
        <v>205</v>
      </c>
      <c r="D198" s="22" t="s">
        <v>369</v>
      </c>
      <c r="E198" s="13">
        <v>42733.903333333335</v>
      </c>
      <c r="F198" s="13">
        <v>42733.905543981484</v>
      </c>
      <c r="G198" s="7">
        <v>1</v>
      </c>
      <c r="H198" s="22" t="s">
        <v>798</v>
      </c>
      <c r="I198" s="13">
        <v>42733.915937500002</v>
      </c>
      <c r="J198" s="7">
        <v>0</v>
      </c>
      <c r="K198" s="105" t="str">
        <f t="shared" si="44"/>
        <v>4021/4022</v>
      </c>
      <c r="L198" s="22" t="str">
        <f>VLOOKUP(A198,'Trips&amp;Operators'!$C$1:$G$99999,5,FALSE)</f>
        <v>SIMONEAUX TERA</v>
      </c>
      <c r="M198" s="6">
        <f t="shared" si="45"/>
        <v>1.0393518517958E-2</v>
      </c>
      <c r="N198" s="7">
        <f t="shared" si="57"/>
        <v>14.96666666585952</v>
      </c>
      <c r="O198" s="7"/>
      <c r="P198" s="7"/>
      <c r="Q198" s="23"/>
      <c r="R198" s="23"/>
      <c r="S198" s="32">
        <f t="shared" si="46"/>
        <v>1</v>
      </c>
      <c r="T198" s="47" t="str">
        <f t="shared" si="47"/>
        <v>Southbound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20:40:48-700',mode:absolute,to:'2016-12-29 22:58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8" s="49" t="str">
        <f t="shared" si="49"/>
        <v>N</v>
      </c>
      <c r="X198" s="173">
        <f t="shared" si="59"/>
        <v>1</v>
      </c>
      <c r="Y198" s="64">
        <f t="shared" si="50"/>
        <v>5.8630000000000004</v>
      </c>
      <c r="Z198" s="64">
        <f t="shared" si="51"/>
        <v>7.0499999999999993E-2</v>
      </c>
      <c r="AA198" s="64">
        <f t="shared" si="52"/>
        <v>5.7925000000000004</v>
      </c>
      <c r="AB198" s="61" t="e">
        <f>VLOOKUP(A198,Enforcements!$C$7:$K$19,8,0)</f>
        <v>#N/A</v>
      </c>
      <c r="AC198" s="57" t="e">
        <f>VLOOKUP(A198,Enforcements!$C$7:$E$19,3,0)</f>
        <v>#N/A</v>
      </c>
      <c r="AD198" s="58" t="str">
        <f t="shared" si="53"/>
        <v>0844-29</v>
      </c>
      <c r="AE198" s="87" t="str">
        <f t="shared" si="54"/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AF198" s="84" t="str">
        <f t="shared" si="55"/>
        <v>"C:\Program Files (x86)\AstroGrep\AstroGrep.exe" /spath="%USERPROFILE%\AppData\Local\Temp\OnboardLogs" /stypes="app*4021*20161230*" /stext=" 04:.+((SYSTEM_STATE.+slice.+state.+changed )|(ment ac)|(multiple cpu faults)|(system.+state.+changed )|(\[timeout)|(PRM\|1\|D)|(kpr)|(kdp)|(\|lc)|(penalty))" /e /r /s</v>
      </c>
      <c r="AG198" s="1" t="str">
        <f t="shared" si="56"/>
        <v>NW</v>
      </c>
      <c r="AH198" s="88" t="str">
        <f t="shared" si="41"/>
        <v>"%USERPROFILE%\Documents\GitHub\eaglep3\Utilities\RefineRTDCRunTimes.py" --tripid 844-29 --locoid 4021 --swversion DE.1.0.8.0 --startMP 300:58630 --initTime 2016-12-29T21:40:48 --startdatetime 2016-12-29T21:43:59 --delay 1 --endMP 204:705 --enddatetime 2016-12-29T21:58:57 --enforcementcount 0 &gt;&gt;C:\Users\stu\Documents\GitHub\eaglep3-reporting\EC\2016-12-29-refined-times.txt</v>
      </c>
      <c r="AI198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{"issue":{"subject":"","project_id":79,"tracker_id":40,"status_id":1,"priority_id":2,"assigned_to_id":23,"start_date":"2016-12-29","description":"","custom_fields":[{"id":1,"name":"Subdivision","value":"NW"},{"id":4,"name":"Milepost","value":"0.0705"},{"id":17,"name":"Train ID","value":"844-29"},{"id":16,"name":"Locomotive ID","value":"4021"},{"id":130,"name":"Impact","value":""},{"id":150,"name":"Time of Event (Mountain Time)","value":"21:58:57"},{"id":151,"name":"Denver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43"/>
        <v>start /low /b %USERPROFILE%\Documents\GitHub\eaglep3\Utilities\DownloadLogsFromS3.py --loco 4021 --day 2016-12-29</v>
      </c>
    </row>
    <row r="199" spans="1:91" x14ac:dyDescent="0.25">
      <c r="A199" s="34" t="s">
        <v>659</v>
      </c>
      <c r="B199" s="7">
        <v>4022</v>
      </c>
      <c r="C199" s="22" t="s">
        <v>205</v>
      </c>
      <c r="D199" s="22" t="s">
        <v>799</v>
      </c>
      <c r="E199" s="13">
        <v>42733.881643518522</v>
      </c>
      <c r="F199" s="13">
        <v>42733.88989583333</v>
      </c>
      <c r="G199" s="7">
        <v>1</v>
      </c>
      <c r="H199" s="22" t="s">
        <v>370</v>
      </c>
      <c r="I199" s="13">
        <v>42733.902025462965</v>
      </c>
      <c r="J199" s="7">
        <v>0</v>
      </c>
      <c r="K199" s="105" t="str">
        <f t="shared" si="44"/>
        <v>4021/4022</v>
      </c>
      <c r="L199" s="22" t="str">
        <f>VLOOKUP(A199,'Trips&amp;Operators'!$C$1:$G$99999,5,FALSE)</f>
        <v>SIMONEAUX TERA</v>
      </c>
      <c r="M199" s="6">
        <f t="shared" si="45"/>
        <v>1.212962963472819E-2</v>
      </c>
      <c r="N199" s="7">
        <f t="shared" si="57"/>
        <v>17.466666674008593</v>
      </c>
      <c r="O199" s="7"/>
      <c r="P199" s="7"/>
      <c r="Q199" s="23"/>
      <c r="R199" s="23"/>
      <c r="S199" s="32">
        <f t="shared" si="46"/>
        <v>1</v>
      </c>
      <c r="T199" s="47" t="str">
        <f t="shared" si="47"/>
        <v>NorthBound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20:09:34-700',mode:absolute,to:'2016-12-29 22:38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9" s="49" t="str">
        <f t="shared" si="49"/>
        <v>N</v>
      </c>
      <c r="X199" s="173">
        <f t="shared" si="59"/>
        <v>1</v>
      </c>
      <c r="Y199" s="64">
        <f t="shared" si="50"/>
        <v>9.8599999999999993E-2</v>
      </c>
      <c r="Z199" s="64">
        <f t="shared" si="51"/>
        <v>5.8936999999999999</v>
      </c>
      <c r="AA199" s="64">
        <f t="shared" si="52"/>
        <v>5.7950999999999997</v>
      </c>
      <c r="AB199" s="61" t="e">
        <f>VLOOKUP(A199,Enforcements!$C$7:$K$19,8,0)</f>
        <v>#N/A</v>
      </c>
      <c r="AC199" s="57" t="e">
        <f>VLOOKUP(A199,Enforcements!$C$7:$E$19,3,0)</f>
        <v>#N/A</v>
      </c>
      <c r="AD199" s="58" t="str">
        <f t="shared" si="53"/>
        <v>0845-29</v>
      </c>
      <c r="AE199" s="87" t="str">
        <f t="shared" si="54"/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AF199" s="84" t="str">
        <f t="shared" si="55"/>
        <v>"C:\Program Files (x86)\AstroGrep\AstroGrep.exe" /spath="%USERPROFILE%\AppData\Local\Temp\OnboardLogs" /stypes="app*4022*20161230*" /stext=" 04:.+((SYSTEM_STATE.+slice.+state.+changed )|(ment ac)|(multiple cpu faults)|(system.+state.+changed )|(\[timeout)|(PRM\|1\|D)|(kpr)|(kdp)|(\|lc)|(penalty))" /e /r /s</v>
      </c>
      <c r="AG199" s="1" t="str">
        <f t="shared" si="56"/>
        <v>NW</v>
      </c>
      <c r="AH199" s="88" t="str">
        <f t="shared" si="41"/>
        <v>"%USERPROFILE%\Documents\GitHub\eaglep3\Utilities\RefineRTDCRunTimes.py" --tripid 845-29 --locoid 4022 --swversion DE.1.0.8.0 --startMP 204:986 --initTime 2016-12-29T21:09:34 --startdatetime 2016-12-29T21:21:27 --delay 1 --endMP 300:58937 --enddatetime 2016-12-29T21:38:55 --enforcementcount 0 &gt;&gt;C:\Users\stu\Documents\GitHub\eaglep3-reporting\EC\2016-12-29-refined-times.txt</v>
      </c>
      <c r="AI199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{"issue":{"subject":"","project_id":79,"tracker_id":40,"status_id":1,"priority_id":2,"assigned_to_id":23,"start_date":"2016-12-29","description":"","custom_fields":[{"id":1,"name":"Subdivision","value":"NW"},{"id":4,"name":"Milepost","value":"5.8937"},{"id":17,"name":"Train ID","value":"845-29"},{"id":16,"name":"Locomotive ID","value":"4022"},{"id":130,"name":"Impact","value":""},{"id":150,"name":"Time of Event (Mountain Time)","value":"21:38:55"},{"id":151,"name":"Denver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43"/>
        <v>start /low /b %USERPROFILE%\Documents\GitHub\eaglep3\Utilities\DownloadLogsFromS3.py --loco 4022 --day 2016-12-29</v>
      </c>
    </row>
    <row r="200" spans="1:91" x14ac:dyDescent="0.25">
      <c r="A200" s="34" t="s">
        <v>664</v>
      </c>
      <c r="B200" s="7">
        <v>4022</v>
      </c>
      <c r="C200" s="22" t="s">
        <v>205</v>
      </c>
      <c r="D200" s="22" t="s">
        <v>800</v>
      </c>
      <c r="E200" s="13">
        <v>42733.924189814818</v>
      </c>
      <c r="F200" s="13">
        <v>42733.931585648148</v>
      </c>
      <c r="G200" s="7">
        <v>1</v>
      </c>
      <c r="H200" s="22" t="s">
        <v>790</v>
      </c>
      <c r="I200" s="13">
        <v>42733.943009259259</v>
      </c>
      <c r="J200" s="7">
        <v>0</v>
      </c>
      <c r="K200" s="105" t="str">
        <f t="shared" si="44"/>
        <v>4021/4022</v>
      </c>
      <c r="L200" s="22" t="str">
        <f>VLOOKUP(A200,'Trips&amp;Operators'!$C$1:$G$99999,5,FALSE)</f>
        <v>SIMONEAUX TERA</v>
      </c>
      <c r="M200" s="6">
        <f t="shared" si="45"/>
        <v>1.1423611111240461E-2</v>
      </c>
      <c r="N200" s="7">
        <f t="shared" si="57"/>
        <v>16.450000000186265</v>
      </c>
      <c r="O200" s="7"/>
      <c r="P200" s="7"/>
      <c r="Q200" s="23"/>
      <c r="R200" s="23"/>
      <c r="S200" s="32">
        <f t="shared" si="46"/>
        <v>1</v>
      </c>
      <c r="T200" s="47" t="str">
        <f t="shared" si="47"/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21:10:50-700',mode:absolute,to:'2016-12-29 23:37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0" s="49" t="str">
        <f t="shared" si="49"/>
        <v>N</v>
      </c>
      <c r="X200" s="173">
        <f t="shared" si="59"/>
        <v>2</v>
      </c>
      <c r="Y200" s="64">
        <f t="shared" si="50"/>
        <v>9.9500000000000005E-2</v>
      </c>
      <c r="Z200" s="64">
        <f t="shared" si="51"/>
        <v>5.8960999999999997</v>
      </c>
      <c r="AA200" s="64">
        <f t="shared" si="52"/>
        <v>5.7965999999999998</v>
      </c>
      <c r="AB200" s="61" t="e">
        <f>VLOOKUP(A200,Enforcements!$C$7:$K$19,8,0)</f>
        <v>#N/A</v>
      </c>
      <c r="AC200" s="57" t="e">
        <f>VLOOKUP(A200,Enforcements!$C$7:$E$19,3,0)</f>
        <v>#N/A</v>
      </c>
      <c r="AD200" s="58" t="str">
        <f t="shared" si="53"/>
        <v>0847-29</v>
      </c>
      <c r="AE200" s="87" t="str">
        <f t="shared" si="54"/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AF200" s="84" t="str">
        <f t="shared" si="55"/>
        <v>"C:\Program Files (x86)\AstroGrep\AstroGrep.exe" /spath="%USERPROFILE%\AppData\Local\Temp\OnboardLogs" /stypes="app*4022*20161230*" /stext=" 05:.+((SYSTEM_STATE.+slice.+state.+changed )|(ment ac)|(multiple cpu faults)|(system.+state.+changed )|(\[timeout)|(PRM\|1\|D)|(kpr)|(kdp)|(\|lc)|(penalty))" /e /r /s</v>
      </c>
      <c r="AG200" s="1" t="str">
        <f t="shared" si="56"/>
        <v>NW</v>
      </c>
      <c r="AH200" s="88" t="str">
        <f t="shared" si="41"/>
        <v>"%USERPROFILE%\Documents\GitHub\eaglep3\Utilities\RefineRTDCRunTimes.py" --tripid 847-29 --locoid 4022 --swversion DE.1.0.8.0 --startMP 204:995 --initTime 2016-12-29T22:10:50 --startdatetime 2016-12-29T22:21:29 --delay 1 --endMP 300:58961 --enddatetime 2016-12-29T22:37:56 --enforcementcount 0 &gt;&gt;C:\Users\stu\Documents\GitHub\eaglep3-reporting\EC\2016-12-29-refined-times.txt</v>
      </c>
      <c r="AI200" s="115" t="str">
        <f t="shared" si="42"/>
        <v>echo {"issue":{"subject":"","project_id":79,"tracker_id":40,"status_id":1,"priority_id":2,"assigned_to_id":23,"start_date":"2016-12-29","description":"","custom_fields":[{"id":1,"name":"Subdivision","value":"NW"},{"id":4,"name":"Milepost","value":"5.8961"},{"id":17,"name":"Train ID","value":"847-29"},{"id":16,"name":"Locomotive ID","value":"4022"},{"id":130,"name":"Impact","value":""},{"id":150,"name":"Time of Event (Mountain Time)","value":"22:37:56"},{"id":151,"name":"Denver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43"/>
        <v>start /low /b %USERPROFILE%\Documents\GitHub\eaglep3\Utilities\DownloadLogsFromS3.py --loco 4022 --day 2016-12-29</v>
      </c>
    </row>
    <row r="201" spans="1:91" x14ac:dyDescent="0.25">
      <c r="A201" s="34" t="s">
        <v>678</v>
      </c>
      <c r="B201" s="7">
        <v>4052</v>
      </c>
      <c r="C201" s="22" t="s">
        <v>205</v>
      </c>
      <c r="D201" s="22" t="s">
        <v>730</v>
      </c>
      <c r="E201" s="13">
        <v>42734.113912037035</v>
      </c>
      <c r="F201" s="13">
        <v>42734.114999999998</v>
      </c>
      <c r="G201" s="7">
        <v>0</v>
      </c>
      <c r="H201" s="22" t="s">
        <v>300</v>
      </c>
      <c r="I201" s="13">
        <v>42734.12158564815</v>
      </c>
      <c r="J201" s="7">
        <v>0</v>
      </c>
      <c r="K201" s="105" t="str">
        <f t="shared" si="44"/>
        <v>4051/4052</v>
      </c>
      <c r="L201" s="22" t="str">
        <f>VLOOKUP(A201,'Trips&amp;Operators'!$C$1:$G$99999,5,FALSE)</f>
        <v>ISHMAEL JOSEPH</v>
      </c>
      <c r="M201" s="6">
        <f t="shared" si="45"/>
        <v>6.5856481523951516E-3</v>
      </c>
      <c r="N201" s="7">
        <f t="shared" si="57"/>
        <v>9.4833333394490182</v>
      </c>
      <c r="O201" s="7"/>
      <c r="P201" s="7"/>
      <c r="Q201" s="23"/>
      <c r="R201" s="23"/>
      <c r="S201" s="32">
        <f t="shared" si="46"/>
        <v>1</v>
      </c>
      <c r="T201" s="47" t="str">
        <f t="shared" si="47"/>
        <v>Southbound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https://search-rtdc-monitor-bjffxe2xuh6vdkpspy63sjmuny.us-east-1.es.amazonaws.com/_plugin/kibana/#/discover/Steve-Slow-Train-Analysis-(2080s-and-2083s)?_g=(refreshInterval:(display:Off,section:0,value:0),time:(from:'2016-12-30 01:44:02-700',mode:absolute,to:'2016-12-30 03:55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1" s="49" t="str">
        <f t="shared" si="49"/>
        <v>Y</v>
      </c>
      <c r="X201" s="173">
        <f t="shared" si="59"/>
        <v>-545</v>
      </c>
      <c r="Y201" s="64">
        <f t="shared" si="50"/>
        <v>2.3096999999999999</v>
      </c>
      <c r="Z201" s="64">
        <f t="shared" si="51"/>
        <v>1.52E-2</v>
      </c>
      <c r="AA201" s="64">
        <f t="shared" si="52"/>
        <v>2.2944999999999998</v>
      </c>
      <c r="AB201" s="61" t="e">
        <f>VLOOKUP(A201,Enforcements!$C$7:$K$19,8,0)</f>
        <v>#N/A</v>
      </c>
      <c r="AC201" s="57" t="e">
        <f>VLOOKUP(A201,Enforcements!$C$7:$E$19,3,0)</f>
        <v>#N/A</v>
      </c>
      <c r="AD201" s="58" t="str">
        <f t="shared" si="53"/>
        <v>0302-30</v>
      </c>
      <c r="AE201" s="87" t="str">
        <f t="shared" si="54"/>
        <v>aws s3 cp s3://rtdc.mdm.uploadarchive.raw/RTDC4052/ "%USERPROFILE%\AppData\Local\Temp\OnboardLogs"\RTDC4052\2016-12-30 --exclude "*" --recursive --include "*20161230*" &amp; "%USERPROFILE%\Documents\GitHub\mrs-test-scripts\Headless Mode &amp; Sideloading\WalkAndUnGZ.bat" "%USERPROFILE%\AppData\Local\Temp\OnboardLogs"\RTDC4052\2016-12-30 &amp; aws s3 cp s3://rtdc.mdm.uploadarchive.raw/RTDC4052/ "%USERPROFILE%\AppData\Local\Temp\OnboardLogs"\RTDC4052\2016-12-31 --exclude "*" --recursive --include "*20161231*" &amp; "%USERPROFILE%\Documents\GitHub\mrs-test-scripts\Headless Mode &amp; Sideloading\WalkAndUnGZ.bat" "%USERPROFILE%\AppData\Local\Temp\OnboardLogs"\RTDC4052\2016-12-31</v>
      </c>
      <c r="AF201" s="84" t="str">
        <f t="shared" si="55"/>
        <v>"C:\Program Files (x86)\AstroGrep\AstroGrep.exe" /spath="%USERPROFILE%\AppData\Local\Temp\OnboardLogs" /stypes="app*4052*20161230*" /stext=" 09:.+((SYSTEM_STATE.+slice.+state.+changed )|(ment ac)|(multiple cpu faults)|(system.+state.+changed )|(\[timeout)|(PRM\|1\|D)|(kpr)|(kdp)|(\|lc)|(penalty))" /e /r /s</v>
      </c>
      <c r="AG201" s="1" t="str">
        <f t="shared" si="56"/>
        <v>Other</v>
      </c>
      <c r="AH201" s="88" t="str">
        <f t="shared" si="41"/>
        <v>"%USERPROFILE%\Documents\GitHub\eaglep3\Utilities\RefineRTDCRunTimes.py" --tripid 302-30 --locoid 4052 --swversion DE.1.0.8.0 --startMP 300:23097 --initTime 2016-12-30T02:44:02 --startdatetime 2016-12-30T02:45:36 --delay 0 --endMP 204:152 --enddatetime 2016-12-30T02:55:05 --enforcementcount 0 &gt;&gt;C:\Users\stu\Documents\GitHub\eaglep3-reporting\EC\2016-12-29-refined-times.txt</v>
      </c>
      <c r="AI201" s="115" t="str">
        <f t="shared" si="42"/>
        <v>echo {"issue":{"subject":"","project_id":79,"tracker_id":40,"status_id":1,"priority_id":2,"assigned_to_id":23,"start_date":"2016-12-30","description":"","custom_fields":[{"id":1,"name":"Subdivision","value":"Other"},{"id":4,"name":"Milepost","value":"0.0152"},{"id":17,"name":"Train ID","value":"302-30"},{"id":16,"name":"Locomotive ID","value":"4052"},{"id":130,"name":"Impact","value":""},{"id":150,"name":"Time of Event (Mountain Time)","value":"02:55:05"},{"id":151,"name":"Denver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43"/>
        <v>start /low /b %USERPROFILE%\Documents\GitHub\eaglep3\Utilities\DownloadLogsFromS3.py --loco 4052 --day 2016-12-30</v>
      </c>
    </row>
    <row r="202" spans="1:91" x14ac:dyDescent="0.25">
      <c r="A202" s="34" t="s">
        <v>638</v>
      </c>
      <c r="B202" s="7">
        <v>4031</v>
      </c>
      <c r="C202" s="22" t="s">
        <v>205</v>
      </c>
      <c r="D202" s="22" t="s">
        <v>343</v>
      </c>
      <c r="E202" s="13">
        <v>42733.781863425924</v>
      </c>
      <c r="F202" s="13">
        <v>42733.789525462962</v>
      </c>
      <c r="G202" s="7">
        <v>1</v>
      </c>
      <c r="H202" s="22" t="s">
        <v>731</v>
      </c>
      <c r="I202" s="13">
        <v>42733.795254629629</v>
      </c>
      <c r="J202" s="7">
        <v>0</v>
      </c>
      <c r="K202" s="105" t="str">
        <f t="shared" si="44"/>
        <v>4031/4032</v>
      </c>
      <c r="L202" s="22" t="str">
        <f>VLOOKUP(A202,'Trips&amp;Operators'!$C$1:$G$99999,5,FALSE)</f>
        <v>SMITH MICHAEL</v>
      </c>
      <c r="M202" s="6">
        <f t="shared" si="45"/>
        <v>5.7291666671517305E-3</v>
      </c>
      <c r="N202" s="7">
        <f t="shared" si="57"/>
        <v>8.2500000006984919</v>
      </c>
      <c r="O202" s="7"/>
      <c r="P202" s="7"/>
      <c r="Q202" s="23"/>
      <c r="R202" s="23"/>
      <c r="S202" s="32">
        <f t="shared" si="46"/>
        <v>1</v>
      </c>
      <c r="T202" s="47" t="str">
        <f t="shared" si="47"/>
        <v>NorthBound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17:45:53-700',mode:absolute,to:'2016-12-29 20:05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2" s="49" t="str">
        <f t="shared" si="49"/>
        <v>Y</v>
      </c>
      <c r="X202" s="173">
        <f t="shared" si="59"/>
        <v>1</v>
      </c>
      <c r="Y202" s="64">
        <f t="shared" si="50"/>
        <v>4.6600000000000003E-2</v>
      </c>
      <c r="Z202" s="64">
        <f t="shared" si="51"/>
        <v>2.2801</v>
      </c>
      <c r="AA202" s="64">
        <f t="shared" si="52"/>
        <v>2.2334999999999998</v>
      </c>
      <c r="AB202" s="61" t="e">
        <f>VLOOKUP(A202,Enforcements!$C$7:$K$19,8,0)</f>
        <v>#N/A</v>
      </c>
      <c r="AC202" s="57" t="e">
        <f>VLOOKUP(A202,Enforcements!$C$7:$E$19,3,0)</f>
        <v>#N/A</v>
      </c>
      <c r="AD202" s="58" t="str">
        <f t="shared" si="53"/>
        <v>0303-29</v>
      </c>
      <c r="AE202" s="87" t="str">
        <f t="shared" si="54"/>
        <v>aws s3 cp s3://rtdc.mdm.uploadarchive.raw/RTDC4031/ "%USERPROFILE%\AppData\Local\Temp\OnboardLogs"\RTDC4031\2016-12-29 --exclude "*" --recursive --include "*20161229*" &amp; "%USERPROFILE%\Documents\GitHub\mrs-test-scripts\Headless Mode &amp; Sideloading\WalkAndUnGZ.bat" "%USERPROFILE%\AppData\Local\Temp\OnboardLogs"\RTDC4031\2016-12-29 &amp; aws s3 cp s3://rtdc.mdm.uploadarchive.raw/RTDC4031/ "%USERPROFILE%\AppData\Local\Temp\OnboardLogs"\RTDC4031\2016-12-30 --exclude "*" --recursive --include "*20161230*" &amp; "%USERPROFILE%\Documents\GitHub\mrs-test-scripts\Headless Mode &amp; Sideloading\WalkAndUnGZ.bat" "%USERPROFILE%\AppData\Local\Temp\OnboardLogs"\RTDC4031\2016-12-30</v>
      </c>
      <c r="AF202" s="84" t="str">
        <f t="shared" si="55"/>
        <v>"C:\Program Files (x86)\AstroGrep\AstroGrep.exe" /spath="%USERPROFILE%\AppData\Local\Temp\OnboardLogs" /stypes="app*4031*20161230*" /stext=" 02:.+((SYSTEM_STATE.+slice.+state.+changed )|(ment ac)|(multiple cpu faults)|(system.+state.+changed )|(\[timeout)|(PRM\|1\|D)|(kpr)|(kdp)|(\|lc)|(penalty))" /e /r /s</v>
      </c>
      <c r="AG202" s="1" t="str">
        <f t="shared" si="56"/>
        <v>Other</v>
      </c>
      <c r="AH202" s="88" t="str">
        <f t="shared" si="41"/>
        <v>"%USERPROFILE%\Documents\GitHub\eaglep3\Utilities\RefineRTDCRunTimes.py" --tripid 303-29 --locoid 4031 --swversion DE.1.0.8.0 --startMP 204:466 --initTime 2016-12-29T18:45:53 --startdatetime 2016-12-29T18:56:55 --delay 1 --endMP 300:22801 --enddatetime 2016-12-29T19:05:10 --enforcementcount 0 &gt;&gt;C:\Users\stu\Documents\GitHub\eaglep3-reporting\EC\2016-12-29-refined-times.txt</v>
      </c>
      <c r="AI202" s="115" t="str">
        <f t="shared" si="42"/>
        <v>echo {"issue":{"subject":"","project_id":79,"tracker_id":40,"status_id":1,"priority_id":2,"assigned_to_id":23,"start_date":"2016-12-29","description":"","custom_fields":[{"id":1,"name":"Subdivision","value":"Other"},{"id":4,"name":"Milepost","value":"2.2801"},{"id":17,"name":"Train ID","value":"303-29"},{"id":16,"name":"Locomotive ID","value":"4031"},{"id":130,"name":"Impact","value":""},{"id":150,"name":"Time of Event (Mountain Time)","value":"19:05:10"},{"id":151,"name":"Denver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43"/>
        <v>start /low /b %USERPROFILE%\Documents\GitHub\eaglep3\Utilities\DownloadLogsFromS3.py --loco 4031 --day 2016-12-29</v>
      </c>
    </row>
    <row r="203" spans="1:91" x14ac:dyDescent="0.25">
      <c r="A203" s="34" t="s">
        <v>468</v>
      </c>
      <c r="B203" s="7">
        <v>4028</v>
      </c>
      <c r="C203" s="22" t="s">
        <v>205</v>
      </c>
      <c r="D203" s="22" t="s">
        <v>732</v>
      </c>
      <c r="E203" s="13">
        <v>42733.135520833333</v>
      </c>
      <c r="F203" s="13">
        <v>42733.137743055559</v>
      </c>
      <c r="G203" s="7">
        <v>3</v>
      </c>
      <c r="H203" s="22" t="s">
        <v>254</v>
      </c>
      <c r="I203" s="13">
        <v>42733.14371527778</v>
      </c>
      <c r="J203" s="7">
        <v>0</v>
      </c>
      <c r="K203" s="105" t="str">
        <f t="shared" si="44"/>
        <v>4027/4028</v>
      </c>
      <c r="L203" s="22" t="str">
        <f>VLOOKUP(A203,'Trips&amp;Operators'!$C$1:$G$99999,5,FALSE)</f>
        <v>YANAI IAN</v>
      </c>
      <c r="M203" s="6">
        <f t="shared" si="45"/>
        <v>5.9722222213167697E-3</v>
      </c>
      <c r="N203" s="7">
        <f t="shared" si="57"/>
        <v>8.5999999986961484</v>
      </c>
      <c r="O203" s="7"/>
      <c r="P203" s="7"/>
      <c r="Q203" s="23"/>
      <c r="R203" s="23"/>
      <c r="S203" s="32">
        <f t="shared" si="46"/>
        <v>1</v>
      </c>
      <c r="T203" s="47" t="str">
        <f t="shared" si="47"/>
        <v>Southbound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02:15:09-700',mode:absolute,to:'2016-12-29 04:26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3" s="49" t="str">
        <f t="shared" si="49"/>
        <v>Y</v>
      </c>
      <c r="X203" s="173">
        <f t="shared" si="59"/>
        <v>1</v>
      </c>
      <c r="Y203" s="64">
        <f t="shared" si="50"/>
        <v>2.2023999999999999</v>
      </c>
      <c r="Z203" s="64">
        <f t="shared" si="51"/>
        <v>1.47E-2</v>
      </c>
      <c r="AA203" s="64">
        <f t="shared" si="52"/>
        <v>2.1877</v>
      </c>
      <c r="AB203" s="61" t="e">
        <f>VLOOKUP(A203,Enforcements!$C$7:$K$19,8,0)</f>
        <v>#N/A</v>
      </c>
      <c r="AC203" s="57" t="e">
        <f>VLOOKUP(A203,Enforcements!$C$7:$E$19,3,0)</f>
        <v>#N/A</v>
      </c>
      <c r="AD203" s="58" t="str">
        <f t="shared" si="53"/>
        <v>0304-29</v>
      </c>
      <c r="AE203" s="87" t="str">
        <f t="shared" si="54"/>
        <v>aws s3 cp s3://rtdc.mdm.uploadarchive.raw/RTDC4028/ "%USERPROFILE%\AppData\Local\Temp\OnboardLogs"\RTDC4028\2016-12-29 --exclude "*" --recursive --include "*20161229*" &amp; "%USERPROFILE%\Documents\GitHub\mrs-test-scripts\Headless Mode &amp; Sideloading\WalkAndUnGZ.bat" "%USERPROFILE%\AppData\Local\Temp\OnboardLogs"\RTDC4028\2016-12-29 &amp; aws s3 cp s3://rtdc.mdm.uploadarchive.raw/RTDC4028/ "%USERPROFILE%\AppData\Local\Temp\OnboardLogs"\RTDC4028\2016-12-30 --exclude "*" --recursive --include "*20161230*" &amp; "%USERPROFILE%\Documents\GitHub\mrs-test-scripts\Headless Mode &amp; Sideloading\WalkAndUnGZ.bat" "%USERPROFILE%\AppData\Local\Temp\OnboardLogs"\RTDC4028\2016-12-30</v>
      </c>
      <c r="AF203" s="84" t="str">
        <f t="shared" si="55"/>
        <v>"C:\Program Files (x86)\AstroGrep\AstroGrep.exe" /spath="%USERPROFILE%\AppData\Local\Temp\OnboardLogs" /stypes="app*4028*20161229*" /stext=" 10:.+((SYSTEM_STATE.+slice.+state.+changed )|(ment ac)|(multiple cpu faults)|(system.+state.+changed )|(\[timeout)|(PRM\|1\|D)|(kpr)|(kdp)|(\|lc)|(penalty))" /e /r /s</v>
      </c>
      <c r="AG203" s="1" t="str">
        <f t="shared" si="56"/>
        <v>Other</v>
      </c>
      <c r="AH203" s="88" t="str">
        <f t="shared" ref="AH203:AH231" si="60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304-29 --locoid 4028 --swversion DE.1.0.8.0 --startMP 300:22024 --initTime 2016-12-29T03:15:09 --startdatetime 2016-12-29T03:18:21 --delay 3 --endMP 204:147 --enddatetime 2016-12-29T03:26:57 --enforcementcount 0 &gt;&gt;C:\Users\stu\Documents\GitHub\eaglep3-reporting\EC\2016-12-29-refined-times.txt</v>
      </c>
      <c r="AI203" s="115" t="str">
        <f t="shared" ref="AI203:AI231" si="61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{"issue":{"subject":"","project_id":79,"tracker_id":40,"status_id":1,"priority_id":2,"assigned_to_id":23,"start_date":"2016-12-29","description":"","custom_fields":[{"id":1,"name":"Subdivision","value":"Other"},{"id":4,"name":"Milepost","value":"0.0147"},{"id":17,"name":"Train ID","value":"304-29"},{"id":16,"name":"Locomotive ID","value":"4028"},{"id":130,"name":"Impact","value":""},{"id":150,"name":"Time of Event (Mountain Time)","value":"03:26:57"},{"id":151,"name":"Denver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ref="AM203:AM231" si="62">"start /low /b "&amp;dls3logs&amp;" --loco "&amp;B203&amp;" --day "&amp;TEXT(F203,"YYYY-MM-DD")</f>
        <v>start /low /b %USERPROFILE%\Documents\GitHub\eaglep3\Utilities\DownloadLogsFromS3.py --loco 4028 --day 2016-12-29</v>
      </c>
    </row>
    <row r="204" spans="1:91" x14ac:dyDescent="0.25">
      <c r="A204" s="34" t="s">
        <v>646</v>
      </c>
      <c r="B204" s="7">
        <v>4018</v>
      </c>
      <c r="C204" s="22" t="s">
        <v>205</v>
      </c>
      <c r="D204" s="22" t="s">
        <v>267</v>
      </c>
      <c r="E204" s="13">
        <v>42733.802418981482</v>
      </c>
      <c r="F204" s="13">
        <v>42733.80364583333</v>
      </c>
      <c r="G204" s="7">
        <v>1</v>
      </c>
      <c r="H204" s="22" t="s">
        <v>733</v>
      </c>
      <c r="I204" s="13">
        <v>42733.814143518517</v>
      </c>
      <c r="J204" s="7">
        <v>0</v>
      </c>
      <c r="K204" s="105" t="str">
        <f t="shared" si="44"/>
        <v>4017/4018</v>
      </c>
      <c r="L204" s="22" t="str">
        <f>VLOOKUP(A204,'Trips&amp;Operators'!$C$1:$G$99999,5,FALSE)</f>
        <v>ARVIDSON DANIEL</v>
      </c>
      <c r="M204" s="6">
        <f t="shared" si="45"/>
        <v>1.0497685187146999E-2</v>
      </c>
      <c r="N204" s="7">
        <f t="shared" si="57"/>
        <v>15.116666669491678</v>
      </c>
      <c r="O204" s="7"/>
      <c r="P204" s="7"/>
      <c r="Q204" s="23"/>
      <c r="R204" s="23"/>
      <c r="S204" s="32">
        <f t="shared" si="46"/>
        <v>1</v>
      </c>
      <c r="T204" s="47" t="str">
        <f t="shared" si="47"/>
        <v>NorthBound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48"/>
        <v>https://search-rtdc-monitor-bjffxe2xuh6vdkpspy63sjmuny.us-east-1.es.amazonaws.com/_plugin/kibana/#/discover/Steve-Slow-Train-Analysis-(2080s-and-2083s)?_g=(refreshInterval:(display:Off,section:0,value:0),time:(from:'2016-12-29 18:15:29-700',mode:absolute,to:'2016-12-29 20:32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4" s="49" t="str">
        <f t="shared" si="49"/>
        <v>Y</v>
      </c>
      <c r="X204" s="173">
        <f t="shared" si="59"/>
        <v>1</v>
      </c>
      <c r="Y204" s="64">
        <f t="shared" si="50"/>
        <v>4.3999999999999997E-2</v>
      </c>
      <c r="Z204" s="64">
        <f t="shared" si="51"/>
        <v>2.2970999999999999</v>
      </c>
      <c r="AA204" s="64">
        <f t="shared" si="52"/>
        <v>2.2530999999999999</v>
      </c>
      <c r="AB204" s="61" t="e">
        <f>VLOOKUP(A204,Enforcements!$C$7:$K$19,8,0)</f>
        <v>#N/A</v>
      </c>
      <c r="AC204" s="57" t="e">
        <f>VLOOKUP(A204,Enforcements!$C$7:$E$19,3,0)</f>
        <v>#N/A</v>
      </c>
      <c r="AD204" s="58" t="str">
        <f t="shared" si="53"/>
        <v>0305-29</v>
      </c>
      <c r="AE204" s="87" t="str">
        <f t="shared" si="54"/>
        <v>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 &amp; aws s3 cp s3://rtdc.mdm.uploadarchive.raw/RTDC4018/ "%USERPROFILE%\AppData\Local\Temp\OnboardLogs"\RTDC4018\2016-12-30 --exclude "*" --recursive --include "*20161230*" &amp; "%USERPROFILE%\Documents\GitHub\mrs-test-scripts\Headless Mode &amp; Sideloading\WalkAndUnGZ.bat" "%USERPROFILE%\AppData\Local\Temp\OnboardLogs"\RTDC4018\2016-12-30</v>
      </c>
      <c r="AF204" s="84" t="str">
        <f t="shared" si="55"/>
        <v>"C:\Program Files (x86)\AstroGrep\AstroGrep.exe" /spath="%USERPROFILE%\AppData\Local\Temp\OnboardLogs" /stypes="app*4018*20161230*" /stext=" 02:.+((SYSTEM_STATE.+slice.+state.+changed )|(ment ac)|(multiple cpu faults)|(system.+state.+changed )|(\[timeout)|(PRM\|1\|D)|(kpr)|(kdp)|(\|lc)|(penalty))" /e /r /s</v>
      </c>
      <c r="AG204" s="1" t="str">
        <f t="shared" si="56"/>
        <v>Other</v>
      </c>
      <c r="AH204" s="88" t="str">
        <f t="shared" si="60"/>
        <v>"%USERPROFILE%\Documents\GitHub\eaglep3\Utilities\RefineRTDCRunTimes.py" --tripid 305-29 --locoid 4018 --swversion DE.1.0.8.0 --startMP 204:440 --initTime 2016-12-29T19:15:29 --startdatetime 2016-12-29T19:17:15 --delay 1 --endMP 300:22971 --enddatetime 2016-12-29T19:32:22 --enforcementcount 0 &gt;&gt;C:\Users\stu\Documents\GitHub\eaglep3-reporting\EC\2016-12-29-refined-times.txt</v>
      </c>
      <c r="AI204" s="115" t="str">
        <f t="shared" si="61"/>
        <v>echo {"issue":{"subject":"","project_id":79,"tracker_id":40,"status_id":1,"priority_id":2,"assigned_to_id":23,"start_date":"2016-12-29","description":"","custom_fields":[{"id":1,"name":"Subdivision","value":"Other"},{"id":4,"name":"Milepost","value":"2.2971"},{"id":17,"name":"Train ID","value":"305-29"},{"id":16,"name":"Locomotive ID","value":"4018"},{"id":130,"name":"Impact","value":""},{"id":150,"name":"Time of Event (Mountain Time)","value":"19:32:22"},{"id":151,"name":"Denver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62"/>
        <v>start /low /b %USERPROFILE%\Documents\GitHub\eaglep3\Utilities\DownloadLogsFromS3.py --loco 4018 --day 2016-12-29</v>
      </c>
    </row>
    <row r="205" spans="1:91" x14ac:dyDescent="0.25">
      <c r="A205" s="34" t="s">
        <v>471</v>
      </c>
      <c r="B205" s="7">
        <v>4032</v>
      </c>
      <c r="C205" s="22" t="s">
        <v>205</v>
      </c>
      <c r="D205" s="22" t="s">
        <v>734</v>
      </c>
      <c r="E205" s="13">
        <v>42733.16511574074</v>
      </c>
      <c r="F205" s="13">
        <v>42733.167002314818</v>
      </c>
      <c r="G205" s="7">
        <v>1</v>
      </c>
      <c r="H205" s="22" t="s">
        <v>254</v>
      </c>
      <c r="I205" s="13">
        <v>42733.182488425926</v>
      </c>
      <c r="J205" s="7">
        <v>0</v>
      </c>
      <c r="K205" s="105" t="str">
        <f t="shared" ref="K205:K231" si="63">IF(ISEVEN(B205),(B205-1)&amp;"/"&amp;B205,B205&amp;"/"&amp;(B205+1))</f>
        <v>4031/4032</v>
      </c>
      <c r="L205" s="22" t="str">
        <f>VLOOKUP(A205,'Trips&amp;Operators'!$C$1:$G$99999,5,FALSE)</f>
        <v>ROBINSON KADDIBA</v>
      </c>
      <c r="M205" s="6">
        <f t="shared" ref="M205:M231" si="64">I205-F205</f>
        <v>1.5486111107748002E-2</v>
      </c>
      <c r="N205" s="7">
        <f t="shared" si="57"/>
        <v>22.299999995157123</v>
      </c>
      <c r="O205" s="7"/>
      <c r="P205" s="7"/>
      <c r="Q205" s="23"/>
      <c r="R205" s="23"/>
      <c r="S205" s="32">
        <f t="shared" ref="S205:S231" si="65">SUM(U205:U205)/IF(AG205="EC",12,1)</f>
        <v>1</v>
      </c>
      <c r="T205" s="47" t="str">
        <f t="shared" ref="T205:T231" si="66">IF(ISEVEN(LEFT(AD205,4)),"Southbound","NorthBound")</f>
        <v>Southbound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31" si="67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https://search-rtdc-monitor-bjffxe2xuh6vdkpspy63sjmuny.us-east-1.es.amazonaws.com/_plugin/kibana/#/discover/Steve-Slow-Train-Analysis-(2080s-and-2083s)?_g=(refreshInterval:(display:Off,section:0,value:0),time:(from:'2016-12-29 02:57:46-700',mode:absolute,to:'2016-12-29 05:22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5" s="49" t="str">
        <f t="shared" ref="W205:W231" si="68">IF(AA205&lt;IF(AG205="EC",23,5.65),"Y","N")</f>
        <v>Y</v>
      </c>
      <c r="X205" s="173">
        <f t="shared" si="59"/>
        <v>1</v>
      </c>
      <c r="Y205" s="64">
        <f t="shared" ref="Y205:Y231" si="69">RIGHT(D205,LEN(D205)-4)/10000</f>
        <v>2.2044999999999999</v>
      </c>
      <c r="Z205" s="64">
        <f t="shared" ref="Z205:Z231" si="70">RIGHT(H205,LEN(H205)-4)/10000</f>
        <v>1.47E-2</v>
      </c>
      <c r="AA205" s="64">
        <f t="shared" ref="AA205:AA231" si="71">ABS(Z205-Y205)</f>
        <v>2.1898</v>
      </c>
      <c r="AB205" s="61" t="e">
        <f>VLOOKUP(A205,Enforcements!$C$7:$K$19,8,0)</f>
        <v>#N/A</v>
      </c>
      <c r="AC205" s="57" t="e">
        <f>VLOOKUP(A205,Enforcements!$C$7:$E$19,3,0)</f>
        <v>#N/A</v>
      </c>
      <c r="AD205" s="58" t="str">
        <f t="shared" ref="AD205:AD231" si="72">IF(LEN(A205)=6,"0"&amp;A205,A205)</f>
        <v>0306-29</v>
      </c>
      <c r="AE205" s="87" t="str">
        <f t="shared" ref="AE205:AE231" si="7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s3://rtdc.mdm.uploadarchive.raw/RTDC4032/ "%USERPROFILE%\AppData\Local\Temp\OnboardLogs"\RTDC4032\2016-12-29 --exclude "*" --recursive --include "*20161229*" &amp; "%USERPROFILE%\Documents\GitHub\mrs-test-scripts\Headless Mode &amp; Sideloading\WalkAndUnGZ.bat" "%USERPROFILE%\AppData\Local\Temp\OnboardLogs"\RTDC4032\2016-12-29 &amp; aws s3 cp s3://rtdc.mdm.uploadarchive.raw/RTDC4032/ "%USERPROFILE%\AppData\Local\Temp\OnboardLogs"\RTDC4032\2016-12-30 --exclude "*" --recursive --include "*20161230*" &amp; "%USERPROFILE%\Documents\GitHub\mrs-test-scripts\Headless Mode &amp; Sideloading\WalkAndUnGZ.bat" "%USERPROFILE%\AppData\Local\Temp\OnboardLogs"\RTDC4032\2016-12-30</v>
      </c>
      <c r="AF205" s="84" t="str">
        <f t="shared" ref="AF205:AF231" si="74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/stypes="app*4032*20161229*" /stext=" 11:.+((SYSTEM_STATE.+slice.+state.+changed )|(ment ac)|(multiple cpu faults)|(system.+state.+changed )|(\[timeout)|(PRM\|1\|D)|(kpr)|(kdp)|(\|lc)|(penalty))" /e /r /s</v>
      </c>
      <c r="AG205" s="1" t="str">
        <f t="shared" ref="AG205:AG231" si="75">IFERROR(IF(VALUE(LEFT(AD205,2))&lt;=2,"EC",IF(OR(VALUE(LEFT(AD205,2))=8,VALUE(LEFT(AD205,2))=18),"NW","Other")),"Other")</f>
        <v>Other</v>
      </c>
      <c r="AH205" s="88" t="str">
        <f t="shared" si="60"/>
        <v>"%USERPROFILE%\Documents\GitHub\eaglep3\Utilities\RefineRTDCRunTimes.py" --tripid 306-29 --locoid 4032 --swversion DE.1.0.8.0 --startMP 300:22045 --initTime 2016-12-29T03:57:46 --startdatetime 2016-12-29T04:00:29 --delay 1 --endMP 204:147 --enddatetime 2016-12-29T04:22:47 --enforcementcount 0 &gt;&gt;C:\Users\stu\Documents\GitHub\eaglep3-reporting\EC\2016-12-29-refined-times.txt</v>
      </c>
      <c r="AI205" s="115" t="str">
        <f t="shared" si="61"/>
        <v>echo {"issue":{"subject":"","project_id":79,"tracker_id":40,"status_id":1,"priority_id":2,"assigned_to_id":23,"start_date":"2016-12-29","description":"","custom_fields":[{"id":1,"name":"Subdivision","value":"Other"},{"id":4,"name":"Milepost","value":"0.0147"},{"id":17,"name":"Train ID","value":"306-29"},{"id":16,"name":"Locomotive ID","value":"4032"},{"id":130,"name":"Impact","value":""},{"id":150,"name":"Time of Event (Mountain Time)","value":"04:22:47"},{"id":151,"name":"Denver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62"/>
        <v>start /low /b %USERPROFILE%\Documents\GitHub\eaglep3\Utilities\DownloadLogsFromS3.py --loco 4032 --day 2016-12-29</v>
      </c>
    </row>
    <row r="206" spans="1:91" x14ac:dyDescent="0.25">
      <c r="A206" s="34" t="s">
        <v>649</v>
      </c>
      <c r="B206" s="7">
        <v>4042</v>
      </c>
      <c r="C206" s="22" t="s">
        <v>205</v>
      </c>
      <c r="D206" s="22" t="s">
        <v>327</v>
      </c>
      <c r="E206" s="13">
        <v>42733.81832175926</v>
      </c>
      <c r="F206" s="13">
        <v>25568.708333333332</v>
      </c>
      <c r="G206" s="7">
        <v>1</v>
      </c>
      <c r="H206" s="22" t="s">
        <v>735</v>
      </c>
      <c r="I206" s="13">
        <v>25568.708333333332</v>
      </c>
      <c r="J206" s="7">
        <v>0</v>
      </c>
      <c r="K206" s="105" t="str">
        <f t="shared" si="63"/>
        <v>4041/4042</v>
      </c>
      <c r="L206" s="22" t="str">
        <f>VLOOKUP(A206,'Trips&amp;Operators'!$C$1:$G$99999,5,FALSE)</f>
        <v>BRANNON JEFFREY</v>
      </c>
      <c r="M206" s="6">
        <f t="shared" si="64"/>
        <v>0</v>
      </c>
      <c r="N206" s="7">
        <f t="shared" si="57"/>
        <v>0</v>
      </c>
      <c r="O206" s="7"/>
      <c r="P206" s="7"/>
      <c r="Q206" s="23"/>
      <c r="R206" s="23"/>
      <c r="S206" s="32">
        <f t="shared" si="65"/>
        <v>1</v>
      </c>
      <c r="T206" s="47" t="str">
        <f t="shared" si="66"/>
        <v>NorthBound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18:38:23-700',mode:absolute,to:'1969-12-31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6" s="49" t="str">
        <f t="shared" si="68"/>
        <v>Y</v>
      </c>
      <c r="X206" s="173">
        <f t="shared" si="59"/>
        <v>1</v>
      </c>
      <c r="Y206" s="64">
        <f t="shared" si="69"/>
        <v>4.4400000000000002E-2</v>
      </c>
      <c r="Z206" s="64">
        <f t="shared" si="70"/>
        <v>2.3298999999999999</v>
      </c>
      <c r="AA206" s="64">
        <f t="shared" si="71"/>
        <v>2.2854999999999999</v>
      </c>
      <c r="AB206" s="61" t="e">
        <f>VLOOKUP(A206,Enforcements!$C$7:$K$19,8,0)</f>
        <v>#N/A</v>
      </c>
      <c r="AC206" s="57" t="e">
        <f>VLOOKUP(A206,Enforcements!$C$7:$E$19,3,0)</f>
        <v>#N/A</v>
      </c>
      <c r="AD206" s="58" t="str">
        <f t="shared" si="72"/>
        <v>0307-29</v>
      </c>
      <c r="AE206" s="87" t="str">
        <f t="shared" si="73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6" s="84" t="str">
        <f t="shared" si="74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06" s="1" t="str">
        <f t="shared" si="75"/>
        <v>Other</v>
      </c>
      <c r="AH206" s="88" t="str">
        <f t="shared" si="60"/>
        <v>"%USERPROFILE%\Documents\GitHub\eaglep3\Utilities\RefineRTDCRunTimes.py" --tripid 307-29 --locoid 4042 --swversion DE.1.0.8.0 --startMP 204:444 --initTime 2016-12-29T19:38:23 --startdatetime 1969-12-31T17:00:00 --delay 1 --endMP 300:23299 --enddatetime 1969-12-31T17:00:00 --enforcementcount 0 &gt;&gt;C:\Users\stu\Documents\GitHub\eaglep3-reporting\EC\2016-12-29-refined-times.txt</v>
      </c>
      <c r="AI206" s="115" t="str">
        <f t="shared" si="61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ID","value":"307-29"},{"id":16,"name":"Locomotive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62"/>
        <v>start /low /b %USERPROFILE%\Documents\GitHub\eaglep3\Utilities\DownloadLogsFromS3.py --loco 4042 --day 1969-12-31</v>
      </c>
    </row>
    <row r="207" spans="1:91" x14ac:dyDescent="0.25">
      <c r="A207" s="34" t="s">
        <v>474</v>
      </c>
      <c r="B207" s="7">
        <v>4017</v>
      </c>
      <c r="C207" s="22" t="s">
        <v>205</v>
      </c>
      <c r="D207" s="22" t="s">
        <v>736</v>
      </c>
      <c r="E207" s="13">
        <v>42733.171782407408</v>
      </c>
      <c r="F207" s="13">
        <v>42733.17328703704</v>
      </c>
      <c r="G207" s="7">
        <v>1</v>
      </c>
      <c r="H207" s="22" t="s">
        <v>737</v>
      </c>
      <c r="I207" s="13">
        <v>42733.186863425923</v>
      </c>
      <c r="J207" s="7">
        <v>0</v>
      </c>
      <c r="K207" s="105" t="str">
        <f t="shared" si="63"/>
        <v>4017/4018</v>
      </c>
      <c r="L207" s="22" t="str">
        <f>VLOOKUP(A207,'Trips&amp;Operators'!$C$1:$G$99999,5,FALSE)</f>
        <v>YANG JAN</v>
      </c>
      <c r="M207" s="6">
        <f t="shared" si="64"/>
        <v>1.3576388882938772E-2</v>
      </c>
      <c r="N207" s="7">
        <f t="shared" si="57"/>
        <v>19.549999991431832</v>
      </c>
      <c r="O207" s="7"/>
      <c r="P207" s="7"/>
      <c r="Q207" s="23"/>
      <c r="R207" s="23"/>
      <c r="S207" s="32">
        <f t="shared" si="65"/>
        <v>1</v>
      </c>
      <c r="T207" s="47" t="str">
        <f t="shared" si="66"/>
        <v>Southbound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03:07:22-700',mode:absolute,to:'2016-12-29 05:29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7" s="49" t="str">
        <f t="shared" si="68"/>
        <v>Y</v>
      </c>
      <c r="X207" s="173">
        <f t="shared" si="59"/>
        <v>1</v>
      </c>
      <c r="Y207" s="64">
        <f t="shared" si="69"/>
        <v>2.3557000000000001</v>
      </c>
      <c r="Z207" s="64">
        <f t="shared" si="70"/>
        <v>9.11E-2</v>
      </c>
      <c r="AA207" s="64">
        <f t="shared" si="71"/>
        <v>2.2646000000000002</v>
      </c>
      <c r="AB207" s="61" t="e">
        <f>VLOOKUP(A207,Enforcements!$C$7:$K$19,8,0)</f>
        <v>#N/A</v>
      </c>
      <c r="AC207" s="57" t="e">
        <f>VLOOKUP(A207,Enforcements!$C$7:$E$19,3,0)</f>
        <v>#N/A</v>
      </c>
      <c r="AD207" s="58" t="str">
        <f t="shared" si="72"/>
        <v>0308-29</v>
      </c>
      <c r="AE207" s="87" t="str">
        <f t="shared" si="73"/>
        <v>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 &amp; aws s3 cp s3://rtdc.mdm.uploadarchive.raw/RTDC4017/ "%USERPROFILE%\AppData\Local\Temp\OnboardLogs"\RTDC4017\2016-12-30 --exclude "*" --recursive --include "*20161230*" &amp; "%USERPROFILE%\Documents\GitHub\mrs-test-scripts\Headless Mode &amp; Sideloading\WalkAndUnGZ.bat" "%USERPROFILE%\AppData\Local\Temp\OnboardLogs"\RTDC4017\2016-12-30</v>
      </c>
      <c r="AF207" s="84" t="str">
        <f t="shared" si="74"/>
        <v>"C:\Program Files (x86)\AstroGrep\AstroGrep.exe" /spath="%USERPROFILE%\AppData\Local\Temp\OnboardLogs" /stypes="app*4017*20161229*" /stext=" 11:.+((SYSTEM_STATE.+slice.+state.+changed )|(ment ac)|(multiple cpu faults)|(system.+state.+changed )|(\[timeout)|(PRM\|1\|D)|(kpr)|(kdp)|(\|lc)|(penalty))" /e /r /s</v>
      </c>
      <c r="AG207" s="1" t="str">
        <f t="shared" si="75"/>
        <v>Other</v>
      </c>
      <c r="AH207" s="88" t="str">
        <f t="shared" si="60"/>
        <v>"%USERPROFILE%\Documents\GitHub\eaglep3\Utilities\RefineRTDCRunTimes.py" --tripid 308-29 --locoid 4017 --swversion DE.1.0.8.0 --startMP 300:23557 --initTime 2016-12-29T04:07:22 --startdatetime 2016-12-29T04:09:32 --delay 1 --endMP 204:911 --enddatetime 2016-12-29T04:29:05 --enforcementcount 0 &gt;&gt;C:\Users\stu\Documents\GitHub\eaglep3-reporting\EC\2016-12-29-refined-times.txt</v>
      </c>
      <c r="AI207" s="115" t="str">
        <f t="shared" si="61"/>
        <v>echo {"issue":{"subject":"","project_id":79,"tracker_id":40,"status_id":1,"priority_id":2,"assigned_to_id":23,"start_date":"2016-12-29","description":"","custom_fields":[{"id":1,"name":"Subdivision","value":"Other"},{"id":4,"name":"Milepost","value":"0.0911"},{"id":17,"name":"Train ID","value":"308-29"},{"id":16,"name":"Locomotive ID","value":"4017"},{"id":130,"name":"Impact","value":""},{"id":150,"name":"Time of Event (Mountain Time)","value":"04:29:05"},{"id":151,"name":"Denver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62"/>
        <v>start /low /b %USERPROFILE%\Documents\GitHub\eaglep3\Utilities\DownloadLogsFromS3.py --loco 4017 --day 2016-12-29</v>
      </c>
    </row>
    <row r="208" spans="1:91" x14ac:dyDescent="0.25">
      <c r="A208" s="34" t="s">
        <v>674</v>
      </c>
      <c r="B208" s="7">
        <v>4044</v>
      </c>
      <c r="C208" s="22" t="s">
        <v>205</v>
      </c>
      <c r="D208" s="22" t="s">
        <v>738</v>
      </c>
      <c r="E208" s="13">
        <v>42734.047893518517</v>
      </c>
      <c r="F208" s="13">
        <v>25568.708333333332</v>
      </c>
      <c r="G208" s="7">
        <v>0</v>
      </c>
      <c r="H208" s="22" t="s">
        <v>739</v>
      </c>
      <c r="I208" s="13">
        <v>25568.708333333332</v>
      </c>
      <c r="J208" s="7">
        <v>0</v>
      </c>
      <c r="K208" s="105" t="str">
        <f t="shared" si="63"/>
        <v>4043/4044</v>
      </c>
      <c r="L208" s="22" t="str">
        <f>VLOOKUP(A208,'Trips&amp;Operators'!$C$1:$G$99999,5,FALSE)</f>
        <v>NEWELL JAMES</v>
      </c>
      <c r="M208" s="6">
        <f t="shared" si="64"/>
        <v>0</v>
      </c>
      <c r="N208" s="7">
        <f t="shared" si="57"/>
        <v>0</v>
      </c>
      <c r="O208" s="7"/>
      <c r="P208" s="7"/>
      <c r="Q208" s="23"/>
      <c r="R208" s="23"/>
      <c r="S208" s="32">
        <f t="shared" si="65"/>
        <v>1</v>
      </c>
      <c r="T208" s="47" t="str">
        <f t="shared" si="66"/>
        <v>NorthBound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https://search-rtdc-monitor-bjffxe2xuh6vdkpspy63sjmuny.us-east-1.es.amazonaws.com/_plugin/kibana/#/discover/Steve-Slow-Train-Analysis-(2080s-and-2083s)?_g=(refreshInterval:(display:Off,section:0,value:0),time:(from:'2016-12-30 00:08:58-700',mode:absolute,to:'1969-12-31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8" s="49" t="str">
        <f t="shared" si="68"/>
        <v>Y</v>
      </c>
      <c r="X208" s="173">
        <f t="shared" si="59"/>
        <v>3</v>
      </c>
      <c r="Y208" s="64">
        <f t="shared" si="69"/>
        <v>4.3299999999999998E-2</v>
      </c>
      <c r="Z208" s="64">
        <f t="shared" si="70"/>
        <v>2.2988</v>
      </c>
      <c r="AA208" s="64">
        <f t="shared" si="71"/>
        <v>2.2555000000000001</v>
      </c>
      <c r="AB208" s="61" t="e">
        <f>VLOOKUP(A208,Enforcements!$C$7:$K$19,8,0)</f>
        <v>#N/A</v>
      </c>
      <c r="AC208" s="57" t="e">
        <f>VLOOKUP(A208,Enforcements!$C$7:$E$19,3,0)</f>
        <v>#N/A</v>
      </c>
      <c r="AD208" s="58" t="str">
        <f t="shared" si="72"/>
        <v>0311-29</v>
      </c>
      <c r="AE208" s="87" t="str">
        <f t="shared" si="73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8" s="84" t="str">
        <f t="shared" si="74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8" s="1" t="str">
        <f t="shared" si="75"/>
        <v>Other</v>
      </c>
      <c r="AH208" s="88" t="str">
        <f t="shared" si="60"/>
        <v>"%USERPROFILE%\Documents\GitHub\eaglep3\Utilities\RefineRTDCRunTimes.py" --tripid 311-29 --locoid 4044 --swversion DE.1.0.8.0 --startMP 204:433 --initTime 2016-12-30T01:08:58 --startdatetime 1969-12-31T17:00:00 --delay 0 --endMP 300:22988 --enddatetime 1969-12-31T17:00:00 --enforcementcount 0 &gt;&gt;C:\Users\stu\Documents\GitHub\eaglep3-reporting\EC\2016-12-29-refined-times.txt</v>
      </c>
      <c r="AI208" s="115" t="str">
        <f t="shared" si="61"/>
        <v>echo {"issue":{"subject":"","project_id":79,"tracker_id":40,"status_id":1,"priority_id":2,"assigned_to_id":23,"start_date":"1969-12-31","description":"","custom_fields":[{"id":1,"name":"Subdivision","value":"Other"},{"id":4,"name":"Milepost","value":"2.2988"},{"id":17,"name":"Train ID","value":"311-29"},{"id":16,"name":"Locomotive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62"/>
        <v>start /low /b %USERPROFILE%\Documents\GitHub\eaglep3\Utilities\DownloadLogsFromS3.py --loco 4044 --day 1969-12-31</v>
      </c>
    </row>
    <row r="209" spans="1:39" x14ac:dyDescent="0.25">
      <c r="A209" s="34" t="s">
        <v>676</v>
      </c>
      <c r="B209" s="7">
        <v>4002</v>
      </c>
      <c r="C209" s="22" t="s">
        <v>205</v>
      </c>
      <c r="D209" s="22" t="s">
        <v>396</v>
      </c>
      <c r="E209" s="13">
        <v>42734.07230324074</v>
      </c>
      <c r="F209" s="13">
        <v>25568.708333333332</v>
      </c>
      <c r="G209" s="7">
        <v>1</v>
      </c>
      <c r="H209" s="22" t="s">
        <v>740</v>
      </c>
      <c r="I209" s="13">
        <v>25568.708333333332</v>
      </c>
      <c r="J209" s="7">
        <v>0</v>
      </c>
      <c r="K209" s="105" t="str">
        <f t="shared" si="63"/>
        <v>4001/4002</v>
      </c>
      <c r="L209" s="22" t="str">
        <f>VLOOKUP(A209,'Trips&amp;Operators'!$C$1:$G$99999,5,FALSE)</f>
        <v>BROWN JACOB</v>
      </c>
      <c r="M209" s="6">
        <f t="shared" si="64"/>
        <v>0</v>
      </c>
      <c r="N209" s="7">
        <f t="shared" si="57"/>
        <v>0</v>
      </c>
      <c r="O209" s="7"/>
      <c r="P209" s="7"/>
      <c r="Q209" s="23"/>
      <c r="R209" s="23"/>
      <c r="S209" s="32">
        <f t="shared" si="65"/>
        <v>1</v>
      </c>
      <c r="T209" s="47" t="str">
        <f t="shared" si="66"/>
        <v>NorthBound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https://search-rtdc-monitor-bjffxe2xuh6vdkpspy63sjmuny.us-east-1.es.amazonaws.com/_plugin/kibana/#/discover/Steve-Slow-Train-Analysis-(2080s-and-2083s)?_g=(refreshInterval:(display:Off,section:0,value:0),time:(from:'2016-12-30 00:44:07-700',mode:absolute,to:'1969-12-31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9" s="49" t="str">
        <f t="shared" si="68"/>
        <v>Y</v>
      </c>
      <c r="X209" s="173">
        <f t="shared" si="59"/>
        <v>2</v>
      </c>
      <c r="Y209" s="64">
        <f t="shared" si="69"/>
        <v>4.4200000000000003E-2</v>
      </c>
      <c r="Z209" s="64">
        <f t="shared" si="70"/>
        <v>2.3083</v>
      </c>
      <c r="AA209" s="64">
        <f t="shared" si="71"/>
        <v>2.2641</v>
      </c>
      <c r="AB209" s="61" t="e">
        <f>VLOOKUP(A209,Enforcements!$C$7:$K$19,8,0)</f>
        <v>#N/A</v>
      </c>
      <c r="AC209" s="57" t="e">
        <f>VLOOKUP(A209,Enforcements!$C$7:$E$19,3,0)</f>
        <v>#N/A</v>
      </c>
      <c r="AD209" s="58" t="str">
        <f t="shared" si="72"/>
        <v>0313-29</v>
      </c>
      <c r="AE209" s="87" t="str">
        <f t="shared" si="73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9" s="84" t="str">
        <f t="shared" si="74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09" s="1" t="str">
        <f t="shared" si="75"/>
        <v>Other</v>
      </c>
      <c r="AH209" s="88" t="str">
        <f t="shared" si="60"/>
        <v>"%USERPROFILE%\Documents\GitHub\eaglep3\Utilities\RefineRTDCRunTimes.py" --tripid 313-29 --locoid 4002 --swversion DE.1.0.8.0 --startMP 204:442 --initTime 2016-12-30T01:44:07 --startdatetime 1969-12-31T17:00:00 --delay 1 --endMP 300:23083 --enddatetime 1969-12-31T17:00:00 --enforcementcount 0 &gt;&gt;C:\Users\stu\Documents\GitHub\eaglep3-reporting\EC\2016-12-29-refined-times.txt</v>
      </c>
      <c r="AI209" s="115" t="str">
        <f t="shared" si="61"/>
        <v>echo {"issue":{"subject":"","project_id":79,"tracker_id":40,"status_id":1,"priority_id":2,"assigned_to_id":23,"start_date":"1969-12-31","description":"","custom_fields":[{"id":1,"name":"Subdivision","value":"Other"},{"id":4,"name":"Milepost","value":"2.3083"},{"id":17,"name":"Train ID","value":"313-29"},{"id":16,"name":"Locomotive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62"/>
        <v>start /low /b %USERPROFILE%\Documents\GitHub\eaglep3\Utilities\DownloadLogsFromS3.py --loco 4002 --day 1969-12-31</v>
      </c>
    </row>
    <row r="210" spans="1:39" x14ac:dyDescent="0.25">
      <c r="A210" s="34" t="s">
        <v>677</v>
      </c>
      <c r="B210" s="7">
        <v>4014</v>
      </c>
      <c r="C210" s="22" t="s">
        <v>205</v>
      </c>
      <c r="D210" s="22" t="s">
        <v>741</v>
      </c>
      <c r="E210" s="13">
        <v>42734.088680555556</v>
      </c>
      <c r="F210" s="13">
        <v>25568.708333333332</v>
      </c>
      <c r="G210" s="7">
        <v>1</v>
      </c>
      <c r="H210" s="22" t="s">
        <v>346</v>
      </c>
      <c r="I210" s="13">
        <v>25568.708333333332</v>
      </c>
      <c r="J210" s="7">
        <v>0</v>
      </c>
      <c r="K210" s="105" t="str">
        <f t="shared" si="63"/>
        <v>4013/4014</v>
      </c>
      <c r="L210" s="22" t="str">
        <f>VLOOKUP(A210,'Trips&amp;Operators'!$C$1:$G$99999,5,FALSE)</f>
        <v>HILLS DUSTIN</v>
      </c>
      <c r="M210" s="6">
        <f t="shared" si="64"/>
        <v>0</v>
      </c>
      <c r="N210" s="7">
        <f t="shared" si="57"/>
        <v>0</v>
      </c>
      <c r="O210" s="7"/>
      <c r="P210" s="7"/>
      <c r="Q210" s="23"/>
      <c r="R210" s="23"/>
      <c r="S210" s="32">
        <f t="shared" si="65"/>
        <v>1</v>
      </c>
      <c r="T210" s="47" t="str">
        <f t="shared" si="66"/>
        <v>NorthBound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https://search-rtdc-monitor-bjffxe2xuh6vdkpspy63sjmuny.us-east-1.es.amazonaws.com/_plugin/kibana/#/discover/Steve-Slow-Train-Analysis-(2080s-and-2083s)?_g=(refreshInterval:(display:Off,section:0,value:0),time:(from:'2016-12-30 01:07:42-700',mode:absolute,to:'1969-12-31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0" s="49" t="str">
        <f t="shared" si="68"/>
        <v>Y</v>
      </c>
      <c r="X210" s="173">
        <f t="shared" si="59"/>
        <v>2</v>
      </c>
      <c r="Y210" s="64">
        <f t="shared" si="69"/>
        <v>3.5900000000000001E-2</v>
      </c>
      <c r="Z210" s="64">
        <f t="shared" si="70"/>
        <v>2.331</v>
      </c>
      <c r="AA210" s="64">
        <f t="shared" si="71"/>
        <v>2.2951000000000001</v>
      </c>
      <c r="AB210" s="61" t="e">
        <f>VLOOKUP(A210,Enforcements!$C$7:$K$19,8,0)</f>
        <v>#N/A</v>
      </c>
      <c r="AC210" s="57" t="e">
        <f>VLOOKUP(A210,Enforcements!$C$7:$E$19,3,0)</f>
        <v>#N/A</v>
      </c>
      <c r="AD210" s="58" t="str">
        <f t="shared" si="72"/>
        <v>0315-29</v>
      </c>
      <c r="AE210" s="87" t="str">
        <f t="shared" si="73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10" s="84" t="str">
        <f t="shared" si="74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10" s="1" t="str">
        <f t="shared" si="75"/>
        <v>Other</v>
      </c>
      <c r="AH210" s="88" t="str">
        <f t="shared" si="60"/>
        <v>"%USERPROFILE%\Documents\GitHub\eaglep3\Utilities\RefineRTDCRunTimes.py" --tripid 315-29 --locoid 4014 --swversion DE.1.0.8.0 --startMP 204:359 --initTime 2016-12-30T02:07:42 --startdatetime 1969-12-31T17:00:00 --delay 1 --endMP 300:23310 --enddatetime 1969-12-31T17:00:00 --enforcementcount 0 &gt;&gt;C:\Users\stu\Documents\GitHub\eaglep3-reporting\EC\2016-12-29-refined-times.txt</v>
      </c>
      <c r="AI210" s="115" t="str">
        <f t="shared" si="61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ID","value":"315-29"},{"id":16,"name":"Locomotive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62"/>
        <v>start /low /b %USERPROFILE%\Documents\GitHub\eaglep3\Utilities\DownloadLogsFromS3.py --loco 4014 --day 1969-12-31</v>
      </c>
    </row>
    <row r="211" spans="1:39" x14ac:dyDescent="0.25">
      <c r="A211" s="34" t="s">
        <v>483</v>
      </c>
      <c r="B211" s="7">
        <v>4029</v>
      </c>
      <c r="C211" s="22" t="s">
        <v>205</v>
      </c>
      <c r="D211" s="22" t="s">
        <v>812</v>
      </c>
      <c r="E211" s="13">
        <v>42733.206238425926</v>
      </c>
      <c r="F211" s="13">
        <v>42733.207303240742</v>
      </c>
      <c r="G211" s="7">
        <v>1</v>
      </c>
      <c r="H211" s="22" t="s">
        <v>762</v>
      </c>
      <c r="I211" s="13">
        <v>42733.213368055556</v>
      </c>
      <c r="J211" s="7">
        <v>0</v>
      </c>
      <c r="K211" s="105" t="str">
        <f t="shared" si="63"/>
        <v>4029/4030</v>
      </c>
      <c r="L211" s="22" t="str">
        <f>VLOOKUP(A211,'Trips&amp;Operators'!$C$1:$G$99999,5,FALSE)</f>
        <v>SHOOK JOHN</v>
      </c>
      <c r="M211" s="6">
        <f t="shared" si="64"/>
        <v>6.064814813726116E-3</v>
      </c>
      <c r="N211" s="7">
        <f t="shared" si="57"/>
        <v>8.733333331765607</v>
      </c>
      <c r="O211" s="7"/>
      <c r="P211" s="7"/>
      <c r="Q211" s="23"/>
      <c r="R211" s="23"/>
      <c r="S211" s="32">
        <f t="shared" si="65"/>
        <v>0</v>
      </c>
      <c r="T211" s="47" t="str">
        <f t="shared" si="66"/>
        <v>NorthBound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03:56:59-700',mode:absolute,to:'2016-12-29 06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1" s="49" t="str">
        <f t="shared" si="68"/>
        <v>Y</v>
      </c>
      <c r="X211" s="173">
        <f t="shared" si="59"/>
        <v>586</v>
      </c>
      <c r="Y211" s="64">
        <f t="shared" si="69"/>
        <v>2.9937999999999998</v>
      </c>
      <c r="Z211" s="64">
        <f t="shared" si="70"/>
        <v>5.8987999999999996</v>
      </c>
      <c r="AA211" s="64">
        <f t="shared" si="71"/>
        <v>2.9049999999999998</v>
      </c>
      <c r="AB211" s="61" t="e">
        <f>VLOOKUP(A211,Enforcements!$C$7:$K$19,8,0)</f>
        <v>#N/A</v>
      </c>
      <c r="AC211" s="57" t="e">
        <f>VLOOKUP(A211,Enforcements!$C$7:$E$19,3,0)</f>
        <v>#N/A</v>
      </c>
      <c r="AD211" s="58" t="str">
        <f t="shared" si="72"/>
        <v>0901-29</v>
      </c>
      <c r="AE211" s="87" t="str">
        <f t="shared" si="73"/>
        <v>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 &amp; 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</v>
      </c>
      <c r="AF211" s="84" t="str">
        <f t="shared" si="74"/>
        <v>"C:\Program Files (x86)\AstroGrep\AstroGrep.exe" /spath="%USERPROFILE%\AppData\Local\Temp\OnboardLogs" /stypes="app*4029*20161229*" /stext=" 12:.+((SYSTEM_STATE.+slice.+state.+changed )|(ment ac)|(multiple cpu faults)|(system.+state.+changed )|(\[timeout)|(PRM\|1\|D)|(kpr)|(kdp)|(\|lc)|(penalty))" /e /r /s</v>
      </c>
      <c r="AG211" s="1" t="str">
        <f t="shared" si="75"/>
        <v>Other</v>
      </c>
      <c r="AH211" s="88" t="str">
        <f t="shared" si="60"/>
        <v>"%USERPROFILE%\Documents\GitHub\eaglep3\Utilities\RefineRTDCRunTimes.py" --tripid 901-29 --locoid 4029 --swversion DE.1.0.8.0 --startMP 300:29938 --initTime 2016-12-29T04:56:59 --startdatetime 2016-12-29T04:58:31 --delay 1 --endMP 300:58988 --enddatetime 2016-12-29T05:07:15 --enforcementcount 0 &gt;&gt;C:\Users\stu\Documents\GitHub\eaglep3-reporting\EC\2016-12-29-refined-times.txt</v>
      </c>
      <c r="AI211" s="115" t="str">
        <f t="shared" si="61"/>
        <v>echo {"issue":{"subject":"","project_id":79,"tracker_id":40,"status_id":1,"priority_id":2,"assigned_to_id":23,"start_date":"2016-12-29","description":"","custom_fields":[{"id":1,"name":"Subdivision","value":"Other"},{"id":4,"name":"Milepost","value":"5.8988"},{"id":17,"name":"Train ID","value":"901-29"},{"id":16,"name":"Locomotive ID","value":"4029"},{"id":130,"name":"Impact","value":""},{"id":150,"name":"Time of Event (Mountain Time)","value":"05:07:15"},{"id":151,"name":"Denver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62"/>
        <v>start /low /b %USERPROFILE%\Documents\GitHub\eaglep3\Utilities\DownloadLogsFromS3.py --loco 4029 --day 2016-12-29</v>
      </c>
    </row>
    <row r="212" spans="1:39" x14ac:dyDescent="0.25">
      <c r="A212" s="34" t="s">
        <v>497</v>
      </c>
      <c r="B212" s="7">
        <v>4021</v>
      </c>
      <c r="C212" s="22" t="s">
        <v>205</v>
      </c>
      <c r="D212" s="22" t="s">
        <v>813</v>
      </c>
      <c r="E212" s="13">
        <v>42733.252662037034</v>
      </c>
      <c r="F212" s="13">
        <v>42733.25409722222</v>
      </c>
      <c r="G212" s="7">
        <v>1</v>
      </c>
      <c r="H212" s="22" t="s">
        <v>420</v>
      </c>
      <c r="I212" s="13">
        <v>42733.260092592594</v>
      </c>
      <c r="J212" s="7">
        <v>0</v>
      </c>
      <c r="K212" s="105" t="str">
        <f t="shared" si="63"/>
        <v>4021/4022</v>
      </c>
      <c r="L212" s="22" t="str">
        <f>VLOOKUP(A212,'Trips&amp;Operators'!$C$1:$G$99999,5,FALSE)</f>
        <v>LOZA FIDEL</v>
      </c>
      <c r="M212" s="6">
        <f t="shared" si="64"/>
        <v>5.9953703748760745E-3</v>
      </c>
      <c r="N212" s="7">
        <f t="shared" si="57"/>
        <v>8.6333333398215473</v>
      </c>
      <c r="O212" s="7"/>
      <c r="P212" s="7"/>
      <c r="Q212" s="23"/>
      <c r="R212" s="23"/>
      <c r="S212" s="32">
        <f t="shared" si="65"/>
        <v>1</v>
      </c>
      <c r="T212" s="47" t="str">
        <f t="shared" si="66"/>
        <v>Southbound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05:03:50-700',mode:absolute,to:'2016-12-29 07:14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2" s="49" t="str">
        <f t="shared" si="68"/>
        <v>Y</v>
      </c>
      <c r="X212" s="173">
        <f t="shared" si="59"/>
        <v>1</v>
      </c>
      <c r="Y212" s="64">
        <f t="shared" si="69"/>
        <v>2.3100999999999998</v>
      </c>
      <c r="Z212" s="64">
        <f t="shared" si="70"/>
        <v>6.7699999999999996E-2</v>
      </c>
      <c r="AA212" s="64">
        <f t="shared" si="71"/>
        <v>2.2423999999999999</v>
      </c>
      <c r="AB212" s="61" t="e">
        <f>VLOOKUP(A212,Enforcements!$C$7:$K$19,8,0)</f>
        <v>#N/A</v>
      </c>
      <c r="AC212" s="57" t="e">
        <f>VLOOKUP(A212,Enforcements!$C$7:$E$19,3,0)</f>
        <v>#N/A</v>
      </c>
      <c r="AD212" s="58" t="str">
        <f t="shared" si="72"/>
        <v>0902-29</v>
      </c>
      <c r="AE212" s="87" t="str">
        <f t="shared" si="73"/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AF212" s="84" t="str">
        <f t="shared" si="74"/>
        <v>"C:\Program Files (x86)\AstroGrep\AstroGrep.exe" /spath="%USERPROFILE%\AppData\Local\Temp\OnboardLogs" /stypes="app*4021*20161229*" /stext=" 13:.+((SYSTEM_STATE.+slice.+state.+changed )|(ment ac)|(multiple cpu faults)|(system.+state.+changed )|(\[timeout)|(PRM\|1\|D)|(kpr)|(kdp)|(\|lc)|(penalty))" /e /r /s</v>
      </c>
      <c r="AG212" s="1" t="str">
        <f t="shared" si="75"/>
        <v>Other</v>
      </c>
      <c r="AH212" s="88" t="str">
        <f t="shared" si="60"/>
        <v>"%USERPROFILE%\Documents\GitHub\eaglep3\Utilities\RefineRTDCRunTimes.py" --tripid 902-29 --locoid 4021 --swversion DE.1.0.8.0 --startMP 300:23101 --initTime 2016-12-29T06:03:50 --startdatetime 2016-12-29T06:05:54 --delay 1 --endMP 204:677 --enddatetime 2016-12-29T06:14:32 --enforcementcount 0 &gt;&gt;C:\Users\stu\Documents\GitHub\eaglep3-reporting\EC\2016-12-29-refined-times.txt</v>
      </c>
      <c r="AI212" s="115" t="str">
        <f t="shared" si="61"/>
        <v>echo {"issue":{"subject":"","project_id":79,"tracker_id":40,"status_id":1,"priority_id":2,"assigned_to_id":23,"start_date":"2016-12-29","description":"","custom_fields":[{"id":1,"name":"Subdivision","value":"Other"},{"id":4,"name":"Milepost","value":"0.0677"},{"id":17,"name":"Train ID","value":"902-29"},{"id":16,"name":"Locomotive ID","value":"4021"},{"id":130,"name":"Impact","value":""},{"id":150,"name":"Time of Event (Mountain Time)","value":"06:14:32"},{"id":151,"name":"Denver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62"/>
        <v>start /low /b %USERPROFILE%\Documents\GitHub\eaglep3\Utilities\DownloadLogsFromS3.py --loco 4021 --day 2016-12-29</v>
      </c>
    </row>
    <row r="213" spans="1:39" x14ac:dyDescent="0.25">
      <c r="A213" s="34" t="s">
        <v>528</v>
      </c>
      <c r="B213" s="7">
        <v>4029</v>
      </c>
      <c r="C213" s="22" t="s">
        <v>205</v>
      </c>
      <c r="D213" s="22" t="s">
        <v>814</v>
      </c>
      <c r="E213" s="13">
        <v>42733.353958333333</v>
      </c>
      <c r="F213" s="13">
        <v>42733.355555555558</v>
      </c>
      <c r="G213" s="7">
        <v>1</v>
      </c>
      <c r="H213" s="22" t="s">
        <v>815</v>
      </c>
      <c r="I213" s="13">
        <v>42733.362164351849</v>
      </c>
      <c r="J213" s="7">
        <v>0</v>
      </c>
      <c r="K213" s="105" t="str">
        <f t="shared" si="63"/>
        <v>4029/4030</v>
      </c>
      <c r="L213" s="22" t="str">
        <f>VLOOKUP(A213,'Trips&amp;Operators'!$C$1:$G$99999,5,FALSE)</f>
        <v>SHOOK JOHN</v>
      </c>
      <c r="M213" s="6">
        <f t="shared" si="64"/>
        <v>6.6087962914025411E-3</v>
      </c>
      <c r="N213" s="7">
        <f t="shared" si="57"/>
        <v>9.5166666596196592</v>
      </c>
      <c r="O213" s="7"/>
      <c r="P213" s="7"/>
      <c r="Q213" s="23"/>
      <c r="R213" s="23"/>
      <c r="S213" s="32">
        <f t="shared" si="65"/>
        <v>1</v>
      </c>
      <c r="T213" s="47" t="str">
        <f t="shared" si="66"/>
        <v>NorthBound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07:29:42-700',mode:absolute,to:'2016-12-29 09:41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3" s="49" t="str">
        <f t="shared" si="68"/>
        <v>Y</v>
      </c>
      <c r="X213" s="173">
        <f t="shared" si="59"/>
        <v>1</v>
      </c>
      <c r="Y213" s="64">
        <f t="shared" si="69"/>
        <v>5.04E-2</v>
      </c>
      <c r="Z213" s="64">
        <f t="shared" si="70"/>
        <v>2.4209999999999998</v>
      </c>
      <c r="AA213" s="64">
        <f t="shared" si="71"/>
        <v>2.3705999999999996</v>
      </c>
      <c r="AB213" s="61" t="e">
        <f>VLOOKUP(A213,Enforcements!$C$7:$K$19,8,0)</f>
        <v>#N/A</v>
      </c>
      <c r="AC213" s="57" t="e">
        <f>VLOOKUP(A213,Enforcements!$C$7:$E$19,3,0)</f>
        <v>#N/A</v>
      </c>
      <c r="AD213" s="58" t="str">
        <f t="shared" si="72"/>
        <v>0903-29</v>
      </c>
      <c r="AE213" s="87" t="str">
        <f t="shared" si="73"/>
        <v>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 &amp; 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</v>
      </c>
      <c r="AF213" s="84" t="str">
        <f t="shared" si="74"/>
        <v>"C:\Program Files (x86)\AstroGrep\AstroGrep.exe" /spath="%USERPROFILE%\AppData\Local\Temp\OnboardLogs" /stypes="app*4029*20161229*" /stext=" 15:.+((SYSTEM_STATE.+slice.+state.+changed )|(ment ac)|(multiple cpu faults)|(system.+state.+changed )|(\[timeout)|(PRM\|1\|D)|(kpr)|(kdp)|(\|lc)|(penalty))" /e /r /s</v>
      </c>
      <c r="AG213" s="1" t="str">
        <f t="shared" si="75"/>
        <v>Other</v>
      </c>
      <c r="AH213" s="88" t="str">
        <f t="shared" si="60"/>
        <v>"%USERPROFILE%\Documents\GitHub\eaglep3\Utilities\RefineRTDCRunTimes.py" --tripid 903-29 --locoid 4029 --swversion DE.1.0.8.0 --startMP 204:504 --initTime 2016-12-29T08:29:42 --startdatetime 2016-12-29T08:32:00 --delay 1 --endMP 300:24210 --enddatetime 2016-12-29T08:41:31 --enforcementcount 0 &gt;&gt;C:\Users\stu\Documents\GitHub\eaglep3-reporting\EC\2016-12-29-refined-times.txt</v>
      </c>
      <c r="AI213" s="115" t="str">
        <f t="shared" si="61"/>
        <v>echo {"issue":{"subject":"","project_id":79,"tracker_id":40,"status_id":1,"priority_id":2,"assigned_to_id":23,"start_date":"2016-12-29","description":"","custom_fields":[{"id":1,"name":"Subdivision","value":"Other"},{"id":4,"name":"Milepost","value":"2.421"},{"id":17,"name":"Train ID","value":"903-29"},{"id":16,"name":"Locomotive ID","value":"4029"},{"id":130,"name":"Impact","value":""},{"id":150,"name":"Time of Event (Mountain Time)","value":"08:41:31"},{"id":151,"name":"Denver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62"/>
        <v>start /low /b %USERPROFILE%\Documents\GitHub\eaglep3\Utilities\DownloadLogsFromS3.py --loco 4029 --day 2016-12-29</v>
      </c>
    </row>
    <row r="214" spans="1:39" x14ac:dyDescent="0.25">
      <c r="A214" s="34" t="s">
        <v>445</v>
      </c>
      <c r="B214" s="7">
        <v>4030</v>
      </c>
      <c r="C214" s="22" t="s">
        <v>205</v>
      </c>
      <c r="D214" s="22" t="s">
        <v>816</v>
      </c>
      <c r="E214" s="13">
        <v>42733.647187499999</v>
      </c>
      <c r="F214" s="13">
        <v>42733.6481712963</v>
      </c>
      <c r="G214" s="7">
        <v>1</v>
      </c>
      <c r="H214" s="22" t="s">
        <v>817</v>
      </c>
      <c r="I214" s="13">
        <v>42733.655486111114</v>
      </c>
      <c r="J214" s="7">
        <v>0</v>
      </c>
      <c r="K214" s="105" t="str">
        <f t="shared" si="63"/>
        <v>4029/4030</v>
      </c>
      <c r="L214" s="22" t="str">
        <f>VLOOKUP(A214,'Trips&amp;Operators'!$C$1:$G$99999,5,FALSE)</f>
        <v>SIMONEAUX TERA</v>
      </c>
      <c r="M214" s="6">
        <f t="shared" si="64"/>
        <v>7.3148148148902692E-3</v>
      </c>
      <c r="N214" s="7">
        <f t="shared" si="57"/>
        <v>10.533333333441988</v>
      </c>
      <c r="O214" s="7"/>
      <c r="P214" s="7"/>
      <c r="Q214" s="23"/>
      <c r="R214" s="23"/>
      <c r="S214" s="32">
        <f t="shared" si="65"/>
        <v>1</v>
      </c>
      <c r="T214" s="47" t="str">
        <f t="shared" si="66"/>
        <v>Southbound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14:31:57-700',mode:absolute,to:'2016-12-29 16:43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4" s="49" t="str">
        <f t="shared" si="68"/>
        <v>Y</v>
      </c>
      <c r="X214" s="173">
        <f t="shared" si="59"/>
        <v>1</v>
      </c>
      <c r="Y214" s="64">
        <f t="shared" si="69"/>
        <v>2.3273000000000001</v>
      </c>
      <c r="Z214" s="64">
        <f t="shared" si="70"/>
        <v>6.3799999999999996E-2</v>
      </c>
      <c r="AA214" s="64">
        <f t="shared" si="71"/>
        <v>2.2635000000000001</v>
      </c>
      <c r="AB214" s="61" t="e">
        <f>VLOOKUP(A214,Enforcements!$C$7:$K$19,8,0)</f>
        <v>#N/A</v>
      </c>
      <c r="AC214" s="57" t="e">
        <f>VLOOKUP(A214,Enforcements!$C$7:$E$19,3,0)</f>
        <v>#N/A</v>
      </c>
      <c r="AD214" s="58" t="str">
        <f t="shared" si="72"/>
        <v>0904-29</v>
      </c>
      <c r="AE214" s="87" t="str">
        <f t="shared" si="73"/>
        <v>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 &amp; 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</v>
      </c>
      <c r="AF214" s="84" t="str">
        <f t="shared" si="74"/>
        <v>"C:\Program Files (x86)\AstroGrep\AstroGrep.exe" /spath="%USERPROFILE%\AppData\Local\Temp\OnboardLogs" /stypes="app*4030*20161229*" /stext=" 22:.+((SYSTEM_STATE.+slice.+state.+changed )|(ment ac)|(multiple cpu faults)|(system.+state.+changed )|(\[timeout)|(PRM\|1\|D)|(kpr)|(kdp)|(\|lc)|(penalty))" /e /r /s</v>
      </c>
      <c r="AG214" s="1" t="str">
        <f t="shared" si="75"/>
        <v>Other</v>
      </c>
      <c r="AH214" s="88" t="str">
        <f t="shared" si="60"/>
        <v>"%USERPROFILE%\Documents\GitHub\eaglep3\Utilities\RefineRTDCRunTimes.py" --tripid 904-29 --locoid 4030 --swversion DE.1.0.8.0 --startMP 300:23273 --initTime 2016-12-29T15:31:57 --startdatetime 2016-12-29T15:33:22 --delay 1 --endMP 204:638 --enddatetime 2016-12-29T15:43:54 --enforcementcount 0 &gt;&gt;C:\Users\stu\Documents\GitHub\eaglep3-reporting\EC\2016-12-29-refined-times.txt</v>
      </c>
      <c r="AI214" s="115" t="str">
        <f t="shared" si="61"/>
        <v>echo {"issue":{"subject":"","project_id":79,"tracker_id":40,"status_id":1,"priority_id":2,"assigned_to_id":23,"start_date":"2016-12-29","description":"","custom_fields":[{"id":1,"name":"Subdivision","value":"Other"},{"id":4,"name":"Milepost","value":"0.0638"},{"id":17,"name":"Train ID","value":"904-29"},{"id":16,"name":"Locomotive ID","value":"4030"},{"id":130,"name":"Impact","value":""},{"id":150,"name":"Time of Event (Mountain Time)","value":"15:43:54"},{"id":151,"name":"Denver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62"/>
        <v>start /low /b %USERPROFILE%\Documents\GitHub\eaglep3\Utilities\DownloadLogsFromS3.py --loco 4030 --day 2016-12-29</v>
      </c>
    </row>
    <row r="215" spans="1:39" x14ac:dyDescent="0.25">
      <c r="A215" s="34" t="s">
        <v>645</v>
      </c>
      <c r="B215" s="7">
        <v>4030</v>
      </c>
      <c r="C215" s="22" t="s">
        <v>205</v>
      </c>
      <c r="D215" s="22" t="s">
        <v>784</v>
      </c>
      <c r="E215" s="13">
        <v>42733.797951388886</v>
      </c>
      <c r="F215" s="13">
        <v>42733.799201388887</v>
      </c>
      <c r="G215" s="7">
        <v>1</v>
      </c>
      <c r="H215" s="22" t="s">
        <v>818</v>
      </c>
      <c r="I215" s="13">
        <v>42733.804837962962</v>
      </c>
      <c r="J215" s="7">
        <v>0</v>
      </c>
      <c r="K215" s="105" t="str">
        <f t="shared" si="63"/>
        <v>4029/4030</v>
      </c>
      <c r="L215" s="22" t="str">
        <f>VLOOKUP(A215,'Trips&amp;Operators'!$C$1:$G$99999,5,FALSE)</f>
        <v>SIMONEAUX TERA</v>
      </c>
      <c r="M215" s="6">
        <f t="shared" si="64"/>
        <v>5.6365740747423843E-3</v>
      </c>
      <c r="N215" s="7">
        <f t="shared" si="57"/>
        <v>8.1166666676290333</v>
      </c>
      <c r="O215" s="7"/>
      <c r="P215" s="7"/>
      <c r="Q215" s="23"/>
      <c r="R215" s="23"/>
      <c r="S215" s="32">
        <f t="shared" si="65"/>
        <v>0</v>
      </c>
      <c r="T215" s="47" t="str">
        <f t="shared" si="66"/>
        <v>Southbound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18:09:03-700',mode:absolute,to:'2016-12-29 20:18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5" s="49" t="str">
        <f t="shared" si="68"/>
        <v>Y</v>
      </c>
      <c r="X215" s="173">
        <f t="shared" si="59"/>
        <v>2</v>
      </c>
      <c r="Y215" s="64">
        <f t="shared" si="69"/>
        <v>5.8648999999999996</v>
      </c>
      <c r="Z215" s="64">
        <f t="shared" si="70"/>
        <v>2.1518999999999999</v>
      </c>
      <c r="AA215" s="64">
        <f t="shared" si="71"/>
        <v>3.7129999999999996</v>
      </c>
      <c r="AB215" s="61" t="e">
        <f>VLOOKUP(A215,Enforcements!$C$7:$K$19,8,0)</f>
        <v>#N/A</v>
      </c>
      <c r="AC215" s="57" t="e">
        <f>VLOOKUP(A215,Enforcements!$C$7:$E$19,3,0)</f>
        <v>#N/A</v>
      </c>
      <c r="AD215" s="58" t="str">
        <f t="shared" si="72"/>
        <v>0906-29</v>
      </c>
      <c r="AE215" s="87" t="str">
        <f t="shared" si="73"/>
        <v>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 &amp; 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</v>
      </c>
      <c r="AF215" s="84" t="str">
        <f t="shared" si="74"/>
        <v>"C:\Program Files (x86)\AstroGrep\AstroGrep.exe" /spath="%USERPROFILE%\AppData\Local\Temp\OnboardLogs" /stypes="app*4030*20161230*" /stext=" 02:.+((SYSTEM_STATE.+slice.+state.+changed )|(ment ac)|(multiple cpu faults)|(system.+state.+changed )|(\[timeout)|(PRM\|1\|D)|(kpr)|(kdp)|(\|lc)|(penalty))" /e /r /s</v>
      </c>
      <c r="AG215" s="1" t="str">
        <f t="shared" si="75"/>
        <v>Other</v>
      </c>
      <c r="AH215" s="88" t="str">
        <f t="shared" si="60"/>
        <v>"%USERPROFILE%\Documents\GitHub\eaglep3\Utilities\RefineRTDCRunTimes.py" --tripid 906-29 --locoid 4030 --swversion DE.1.0.8.0 --startMP 300:58649 --initTime 2016-12-29T19:09:03 --startdatetime 2016-12-29T19:10:51 --delay 1 --endMP 300:21519 --enddatetime 2016-12-29T19:18:58 --enforcementcount 0 &gt;&gt;C:\Users\stu\Documents\GitHub\eaglep3-reporting\EC\2016-12-29-refined-times.txt</v>
      </c>
      <c r="AI215" s="115" t="str">
        <f t="shared" si="61"/>
        <v>echo {"issue":{"subject":"","project_id":79,"tracker_id":40,"status_id":1,"priority_id":2,"assigned_to_id":23,"start_date":"2016-12-29","description":"","custom_fields":[{"id":1,"name":"Subdivision","value":"Other"},{"id":4,"name":"Milepost","value":"2.1519"},{"id":17,"name":"Train ID","value":"906-29"},{"id":16,"name":"Locomotive ID","value":"4030"},{"id":130,"name":"Impact","value":""},{"id":150,"name":"Time of Event (Mountain Time)","value":"19:18:58"},{"id":151,"name":"Denver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62"/>
        <v>start /low /b %USERPROFILE%\Documents\GitHub\eaglep3\Utilities\DownloadLogsFromS3.py --loco 4030 --day 2016-12-29</v>
      </c>
    </row>
    <row r="216" spans="1:39" x14ac:dyDescent="0.25">
      <c r="A216" s="34" t="s">
        <v>665</v>
      </c>
      <c r="B216" s="7">
        <v>4021</v>
      </c>
      <c r="C216" s="22" t="s">
        <v>205</v>
      </c>
      <c r="D216" s="22" t="s">
        <v>819</v>
      </c>
      <c r="E216" s="13">
        <v>42733.944178240738</v>
      </c>
      <c r="F216" s="13">
        <v>42733.945821759262</v>
      </c>
      <c r="G216" s="7">
        <v>1</v>
      </c>
      <c r="H216" s="22" t="s">
        <v>820</v>
      </c>
      <c r="I216" s="13">
        <v>42733.951354166667</v>
      </c>
      <c r="J216" s="7">
        <v>0</v>
      </c>
      <c r="K216" s="105" t="str">
        <f t="shared" si="63"/>
        <v>4021/4022</v>
      </c>
      <c r="L216" s="22" t="str">
        <f>VLOOKUP(A216,'Trips&amp;Operators'!$C$1:$G$99999,5,FALSE)</f>
        <v>SIMONEAUX TERA</v>
      </c>
      <c r="M216" s="6">
        <f t="shared" si="64"/>
        <v>5.5324074055533856E-3</v>
      </c>
      <c r="N216" s="7">
        <f t="shared" si="57"/>
        <v>7.9666666639968753</v>
      </c>
      <c r="O216" s="7"/>
      <c r="P216" s="7"/>
      <c r="Q216" s="23"/>
      <c r="R216" s="23"/>
      <c r="S216" s="32">
        <f t="shared" si="65"/>
        <v>0</v>
      </c>
      <c r="T216" s="47" t="str">
        <f t="shared" si="66"/>
        <v>Southbound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21:39:37-700',mode:absolute,to:'2016-12-29 23:49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6" s="49" t="str">
        <f t="shared" si="68"/>
        <v>Y</v>
      </c>
      <c r="X216" s="173">
        <f t="shared" si="59"/>
        <v>2</v>
      </c>
      <c r="Y216" s="64">
        <f t="shared" si="69"/>
        <v>5.8651</v>
      </c>
      <c r="Z216" s="64">
        <f t="shared" si="70"/>
        <v>2.1631999999999998</v>
      </c>
      <c r="AA216" s="64">
        <f t="shared" si="71"/>
        <v>3.7019000000000002</v>
      </c>
      <c r="AB216" s="61" t="e">
        <f>VLOOKUP(A216,Enforcements!$C$7:$K$19,8,0)</f>
        <v>#N/A</v>
      </c>
      <c r="AC216" s="57" t="e">
        <f>VLOOKUP(A216,Enforcements!$C$7:$E$19,3,0)</f>
        <v>#N/A</v>
      </c>
      <c r="AD216" s="58" t="str">
        <f t="shared" si="72"/>
        <v>0908-29</v>
      </c>
      <c r="AE216" s="87" t="str">
        <f t="shared" si="73"/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AF216" s="84" t="str">
        <f t="shared" si="74"/>
        <v>"C:\Program Files (x86)\AstroGrep\AstroGrep.exe" /spath="%USERPROFILE%\AppData\Local\Temp\OnboardLogs" /stypes="app*4021*20161230*" /stext=" 05:.+((SYSTEM_STATE.+slice.+state.+changed )|(ment ac)|(multiple cpu faults)|(system.+state.+changed )|(\[timeout)|(PRM\|1\|D)|(kpr)|(kdp)|(\|lc)|(penalty))" /e /r /s</v>
      </c>
      <c r="AG216" s="1" t="str">
        <f t="shared" si="75"/>
        <v>Other</v>
      </c>
      <c r="AH216" s="88" t="str">
        <f t="shared" si="60"/>
        <v>"%USERPROFILE%\Documents\GitHub\eaglep3\Utilities\RefineRTDCRunTimes.py" --tripid 908-29 --locoid 4021 --swversion DE.1.0.8.0 --startMP 300:58651 --initTime 2016-12-29T22:39:37 --startdatetime 2016-12-29T22:41:59 --delay 1 --endMP 300:21632 --enddatetime 2016-12-29T22:49:57 --enforcementcount 0 &gt;&gt;C:\Users\stu\Documents\GitHub\eaglep3-reporting\EC\2016-12-29-refined-times.txt</v>
      </c>
      <c r="AI216" s="115" t="str">
        <f t="shared" si="61"/>
        <v>echo {"issue":{"subject":"","project_id":79,"tracker_id":40,"status_id":1,"priority_id":2,"assigned_to_id":23,"start_date":"2016-12-29","description":"","custom_fields":[{"id":1,"name":"Subdivision","value":"Other"},{"id":4,"name":"Milepost","value":"2.1632"},{"id":17,"name":"Train ID","value":"908-29"},{"id":16,"name":"Locomotive ID","value":"4021"},{"id":130,"name":"Impact","value":""},{"id":150,"name":"Time of Event (Mountain Time)","value":"22:49:57"},{"id":151,"name":"Denver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62"/>
        <v>start /low /b %USERPROFILE%\Documents\GitHub\eaglep3\Utilities\DownloadLogsFromS3.py --loco 4021 --day 2016-12-29</v>
      </c>
    </row>
    <row r="217" spans="1:39" x14ac:dyDescent="0.25">
      <c r="A217" s="34" t="s">
        <v>436</v>
      </c>
      <c r="B217" s="7">
        <v>4015</v>
      </c>
      <c r="C217" s="22" t="s">
        <v>205</v>
      </c>
      <c r="D217" s="22" t="s">
        <v>742</v>
      </c>
      <c r="E217" s="13">
        <v>42733.136956018519</v>
      </c>
      <c r="F217" s="13">
        <v>42733.202685185184</v>
      </c>
      <c r="G217" s="7">
        <v>1</v>
      </c>
      <c r="H217" s="22" t="s">
        <v>743</v>
      </c>
      <c r="I217" s="13">
        <v>42733.219085648147</v>
      </c>
      <c r="J217" s="7">
        <v>0</v>
      </c>
      <c r="K217" s="105" t="str">
        <f t="shared" si="63"/>
        <v>4015/4016</v>
      </c>
      <c r="L217" s="22" t="str">
        <f>VLOOKUP(A217,'Trips&amp;Operators'!$C$1:$G$99999,5,FALSE)</f>
        <v>SPECTOR MICHAEL</v>
      </c>
      <c r="M217" s="6">
        <f t="shared" si="64"/>
        <v>1.640046296233777E-2</v>
      </c>
      <c r="N217" s="7">
        <f t="shared" si="57"/>
        <v>23.616666665766388</v>
      </c>
      <c r="O217" s="7"/>
      <c r="P217" s="7"/>
      <c r="Q217" s="23"/>
      <c r="R217" s="23"/>
      <c r="S217" s="32">
        <f t="shared" si="65"/>
        <v>0</v>
      </c>
      <c r="T217" s="47" t="e">
        <f t="shared" si="66"/>
        <v>#VALUE!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02:17:13-700',mode:absolute,to:'2016-12-29 06:15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17" s="49" t="str">
        <f t="shared" si="68"/>
        <v>N</v>
      </c>
      <c r="X217" s="173" t="e">
        <f t="shared" si="59"/>
        <v>#VALUE!</v>
      </c>
      <c r="Y217" s="64">
        <f t="shared" si="69"/>
        <v>10.7111</v>
      </c>
      <c r="Z217" s="64">
        <f t="shared" si="70"/>
        <v>0.1026</v>
      </c>
      <c r="AA217" s="64">
        <f t="shared" si="71"/>
        <v>10.608499999999999</v>
      </c>
      <c r="AB217" s="61" t="e">
        <f>VLOOKUP(A217,Enforcements!$C$7:$K$19,8,0)</f>
        <v>#N/A</v>
      </c>
      <c r="AC217" s="57" t="e">
        <f>VLOOKUP(A217,Enforcements!$C$7:$E$19,3,0)</f>
        <v>#N/A</v>
      </c>
      <c r="AD217" s="58" t="str">
        <f t="shared" si="72"/>
        <v>50-29</v>
      </c>
      <c r="AE217" s="87" t="str">
        <f t="shared" si="73"/>
        <v>aws s3 cp s3://rtdc.mdm.uploadarchive.raw/RTDC4015/ "%USERPROFILE%\AppData\Local\Temp\OnboardLogs"\RTDC4015\2016-12-29 --exclude "*" --recursive --include "*20161229*" &amp; "%USERPROFILE%\Documents\GitHub\mrs-test-scripts\Headless Mode &amp; Sideloading\WalkAndUnGZ.bat" "%USERPROFILE%\AppData\Local\Temp\OnboardLogs"\RTDC4015\2016-12-29 &amp; aws s3 cp s3://rtdc.mdm.uploadarchive.raw/RTDC4015/ "%USERPROFILE%\AppData\Local\Temp\OnboardLogs"\RTDC4015\2016-12-30 --exclude "*" --recursive --include "*20161230*" &amp; "%USERPROFILE%\Documents\GitHub\mrs-test-scripts\Headless Mode &amp; Sideloading\WalkAndUnGZ.bat" "%USERPROFILE%\AppData\Local\Temp\OnboardLogs"\RTDC4015\2016-12-30</v>
      </c>
      <c r="AF217" s="84" t="str">
        <f t="shared" si="74"/>
        <v>"C:\Program Files (x86)\AstroGrep\AstroGrep.exe" /spath="%USERPROFILE%\AppData\Local\Temp\OnboardLogs" /stypes="app*4015*20161229*" /stext=" 12:.+((SYSTEM_STATE.+slice.+state.+changed )|(ment ac)|(multiple cpu faults)|(system.+state.+changed )|(\[timeout)|(PRM\|1\|D)|(kpr)|(kdp)|(\|lc)|(penalty))" /e /r /s</v>
      </c>
      <c r="AG217" s="1" t="str">
        <f t="shared" si="75"/>
        <v>Other</v>
      </c>
      <c r="AH217" s="88" t="str">
        <f t="shared" si="60"/>
        <v>"%USERPROFILE%\Documents\GitHub\eaglep3\Utilities\RefineRTDCRunTimes.py" --tripid 50-29 --locoid 4015 --swversion DE.1.0.8.0 --startMP 204:107111 --initTime 2016-12-29T03:17:13 --startdatetime 2016-12-29T04:51:52 --delay 1 --endMP 204:1026 --enddatetime 2016-12-29T05:15:29 --enforcementcount 0 &gt;&gt;C:\Users\stu\Documents\GitHub\eaglep3-reporting\EC\2016-12-29-refined-times.txt</v>
      </c>
      <c r="AI217" s="115" t="str">
        <f t="shared" si="61"/>
        <v>echo {"issue":{"subject":"","project_id":79,"tracker_id":40,"status_id":1,"priority_id":2,"assigned_to_id":23,"start_date":"2016-12-29","description":"","custom_fields":[{"id":1,"name":"Subdivision","value":"Other"},{"id":4,"name":"Milepost","value":"0.1026"},{"id":17,"name":"Train ID","value":"50-29"},{"id":16,"name":"Locomotive ID","value":"4015"},{"id":130,"name":"Impact","value":""},{"id":150,"name":"Time of Event (Mountain Time)","value":"05:15:29"},{"id":151,"name":"Denver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62"/>
        <v>start /low /b %USERPROFILE%\Documents\GitHub\eaglep3\Utilities\DownloadLogsFromS3.py --loco 4015 --day 2016-12-29</v>
      </c>
    </row>
    <row r="218" spans="1:39" x14ac:dyDescent="0.25">
      <c r="A218" s="34" t="s">
        <v>556</v>
      </c>
      <c r="B218" s="7">
        <v>4008</v>
      </c>
      <c r="C218" s="22" t="s">
        <v>205</v>
      </c>
      <c r="D218" s="22" t="s">
        <v>744</v>
      </c>
      <c r="E218" s="13">
        <v>42733.457384259258</v>
      </c>
      <c r="F218" s="13">
        <v>42733.458680555559</v>
      </c>
      <c r="G218" s="7">
        <v>1</v>
      </c>
      <c r="H218" s="22" t="s">
        <v>745</v>
      </c>
      <c r="I218" s="13">
        <v>42733.464386574073</v>
      </c>
      <c r="J218" s="7">
        <v>0</v>
      </c>
      <c r="K218" s="105" t="str">
        <f t="shared" si="63"/>
        <v>4007/4008</v>
      </c>
      <c r="L218" s="22" t="str">
        <f>VLOOKUP(A218,'Trips&amp;Operators'!$C$1:$G$99999,5,FALSE)</f>
        <v>SMITH MICHAEL</v>
      </c>
      <c r="M218" s="6">
        <f t="shared" si="64"/>
        <v>5.7060185135924257E-3</v>
      </c>
      <c r="N218" s="7">
        <f t="shared" si="57"/>
        <v>8.2166666595730931</v>
      </c>
      <c r="O218" s="7"/>
      <c r="P218" s="7"/>
      <c r="Q218" s="23"/>
      <c r="R218" s="23"/>
      <c r="S218" s="32">
        <f t="shared" si="65"/>
        <v>0</v>
      </c>
      <c r="T218" s="47" t="e">
        <f t="shared" si="66"/>
        <v>#VALUE!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09:58:38-700',mode:absolute,to:'2016-12-29 12:08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8" s="49" t="str">
        <f t="shared" si="68"/>
        <v>Y</v>
      </c>
      <c r="X218" s="173" t="e">
        <f t="shared" si="59"/>
        <v>#VALUE!</v>
      </c>
      <c r="Y218" s="64">
        <f t="shared" si="69"/>
        <v>2.1768999999999998</v>
      </c>
      <c r="Z218" s="64">
        <f t="shared" si="70"/>
        <v>1.4800000000000001E-2</v>
      </c>
      <c r="AA218" s="64">
        <f t="shared" si="71"/>
        <v>2.1620999999999997</v>
      </c>
      <c r="AB218" s="61" t="e">
        <f>VLOOKUP(A218,Enforcements!$C$7:$K$19,8,0)</f>
        <v>#N/A</v>
      </c>
      <c r="AC218" s="57" t="e">
        <f>VLOOKUP(A218,Enforcements!$C$7:$E$19,3,0)</f>
        <v>#N/A</v>
      </c>
      <c r="AD218" s="58" t="str">
        <f t="shared" si="72"/>
        <v>52-29</v>
      </c>
      <c r="AE218" s="87" t="str">
        <f t="shared" si="73"/>
        <v>aws s3 cp s3://rtdc.mdm.uploadarchive.raw/RTDC4008/ "%USERPROFILE%\AppData\Local\Temp\OnboardLogs"\RTDC4008\2016-12-29 --exclude "*" --recursive --include "*20161229*" &amp; "%USERPROFILE%\Documents\GitHub\mrs-test-scripts\Headless Mode &amp; Sideloading\WalkAndUnGZ.bat" "%USERPROFILE%\AppData\Local\Temp\OnboardLogs"\RTDC4008\2016-12-29 &amp; aws s3 cp s3://rtdc.mdm.uploadarchive.raw/RTDC4008/ "%USERPROFILE%\AppData\Local\Temp\OnboardLogs"\RTDC4008\2016-12-30 --exclude "*" --recursive --include "*20161230*" &amp; "%USERPROFILE%\Documents\GitHub\mrs-test-scripts\Headless Mode &amp; Sideloading\WalkAndUnGZ.bat" "%USERPROFILE%\AppData\Local\Temp\OnboardLogs"\RTDC4008\2016-12-30</v>
      </c>
      <c r="AF218" s="84" t="str">
        <f t="shared" si="74"/>
        <v>"C:\Program Files (x86)\AstroGrep\AstroGrep.exe" /spath="%USERPROFILE%\AppData\Local\Temp\OnboardLogs" /stypes="app*4008*20161229*" /stext=" 18:.+((SYSTEM_STATE.+slice.+state.+changed )|(ment ac)|(multiple cpu faults)|(system.+state.+changed )|(\[timeout)|(PRM\|1\|D)|(kpr)|(kdp)|(\|lc)|(penalty))" /e /r /s</v>
      </c>
      <c r="AG218" s="1" t="str">
        <f t="shared" si="75"/>
        <v>Other</v>
      </c>
      <c r="AH218" s="88" t="str">
        <f t="shared" si="60"/>
        <v>"%USERPROFILE%\Documents\GitHub\eaglep3\Utilities\RefineRTDCRunTimes.py" --tripid 52-29 --locoid 4008 --swversion DE.1.0.8.0 --startMP 300:21769 --initTime 2016-12-29T10:58:38 --startdatetime 2016-12-29T11:00:30 --delay 1 --endMP 204:148 --enddatetime 2016-12-29T11:08:43 --enforcementcount 0 &gt;&gt;C:\Users\stu\Documents\GitHub\eaglep3-reporting\EC\2016-12-29-refined-times.txt</v>
      </c>
      <c r="AI218" s="115" t="str">
        <f t="shared" si="61"/>
        <v>echo {"issue":{"subject":"","project_id":79,"tracker_id":40,"status_id":1,"priority_id":2,"assigned_to_id":23,"start_date":"2016-12-29","description":"","custom_fields":[{"id":1,"name":"Subdivision","value":"Other"},{"id":4,"name":"Milepost","value":"0.0148"},{"id":17,"name":"Train ID","value":"52-29"},{"id":16,"name":"Locomotive ID","value":"4008"},{"id":130,"name":"Impact","value":""},{"id":150,"name":"Time of Event (Mountain Time)","value":"11:08:43"},{"id":151,"name":"Denver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62"/>
        <v>start /low /b %USERPROFILE%\Documents\GitHub\eaglep3\Utilities\DownloadLogsFromS3.py --loco 4008 --day 2016-12-29</v>
      </c>
    </row>
    <row r="219" spans="1:39" x14ac:dyDescent="0.25">
      <c r="A219" s="34" t="s">
        <v>564</v>
      </c>
      <c r="B219" s="7">
        <v>4007</v>
      </c>
      <c r="C219" s="22" t="s">
        <v>205</v>
      </c>
      <c r="D219" s="22" t="s">
        <v>250</v>
      </c>
      <c r="E219" s="13">
        <v>42733.480925925927</v>
      </c>
      <c r="F219" s="13">
        <v>25568.708333333332</v>
      </c>
      <c r="G219" s="7">
        <v>1</v>
      </c>
      <c r="H219" s="22" t="s">
        <v>746</v>
      </c>
      <c r="I219" s="13">
        <v>25568.708333333332</v>
      </c>
      <c r="J219" s="7">
        <v>0</v>
      </c>
      <c r="K219" s="105" t="str">
        <f t="shared" si="63"/>
        <v>4007/4008</v>
      </c>
      <c r="L219" s="22" t="str">
        <f>VLOOKUP(A219,'Trips&amp;Operators'!$C$1:$G$99999,5,FALSE)</f>
        <v>ROBINSON KADDIBA</v>
      </c>
      <c r="M219" s="6">
        <f t="shared" si="64"/>
        <v>0</v>
      </c>
      <c r="N219" s="7">
        <f t="shared" si="57"/>
        <v>0</v>
      </c>
      <c r="O219" s="7"/>
      <c r="P219" s="7"/>
      <c r="Q219" s="23"/>
      <c r="R219" s="23"/>
      <c r="S219" s="32">
        <f t="shared" si="65"/>
        <v>0</v>
      </c>
      <c r="T219" s="47" t="e">
        <f t="shared" si="66"/>
        <v>#VALUE!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10:32:32-700',mode:absolute,to:'1969-12-31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9" s="49" t="str">
        <f t="shared" si="68"/>
        <v>Y</v>
      </c>
      <c r="X219" s="173" t="e">
        <f t="shared" si="59"/>
        <v>#VALUE!</v>
      </c>
      <c r="Y219" s="64">
        <f t="shared" si="69"/>
        <v>4.53E-2</v>
      </c>
      <c r="Z219" s="64">
        <f t="shared" si="70"/>
        <v>0.184</v>
      </c>
      <c r="AA219" s="64">
        <f t="shared" si="71"/>
        <v>0.13869999999999999</v>
      </c>
      <c r="AB219" s="61" t="e">
        <f>VLOOKUP(A219,Enforcements!$C$7:$K$19,8,0)</f>
        <v>#N/A</v>
      </c>
      <c r="AC219" s="57" t="e">
        <f>VLOOKUP(A219,Enforcements!$C$7:$E$19,3,0)</f>
        <v>#N/A</v>
      </c>
      <c r="AD219" s="58" t="str">
        <f t="shared" si="72"/>
        <v>53-29</v>
      </c>
      <c r="AE219" s="87" t="str">
        <f t="shared" si="73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9" s="84" t="str">
        <f t="shared" si="74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9" s="1" t="str">
        <f t="shared" si="75"/>
        <v>Other</v>
      </c>
      <c r="AH219" s="88" t="str">
        <f t="shared" si="60"/>
        <v>"%USERPROFILE%\Documents\GitHub\eaglep3\Utilities\RefineRTDCRunTimes.py" --tripid 53-29 --locoid 4007 --swversion DE.1.0.8.0 --startMP 204:453 --initTime 2016-12-29T11:32:32 --startdatetime 1969-12-31T17:00:00 --delay 1 --endMP 204:1840 --enddatetime 1969-12-31T17:00:00 --enforcementcount 0 &gt;&gt;C:\Users\stu\Documents\GitHub\eaglep3-reporting\EC\2016-12-29-refined-times.txt</v>
      </c>
      <c r="AI219" s="115" t="str">
        <f t="shared" si="61"/>
        <v>echo {"issue":{"subject":"","project_id":79,"tracker_id":40,"status_id":1,"priority_id":2,"assigned_to_id":23,"start_date":"1969-12-31","description":"","custom_fields":[{"id":1,"name":"Subdivision","value":"Other"},{"id":4,"name":"Milepost","value":"0.184"},{"id":17,"name":"Train ID","value":"53-29"},{"id":16,"name":"Locomotive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62"/>
        <v>start /low /b %USERPROFILE%\Documents\GitHub\eaglep3\Utilities\DownloadLogsFromS3.py --loco 4007 --day 1969-12-31</v>
      </c>
    </row>
    <row r="220" spans="1:39" x14ac:dyDescent="0.25">
      <c r="A220" s="34" t="s">
        <v>623</v>
      </c>
      <c r="B220" s="7">
        <v>4027</v>
      </c>
      <c r="C220" s="22" t="s">
        <v>205</v>
      </c>
      <c r="D220" s="22" t="s">
        <v>747</v>
      </c>
      <c r="E220" s="13">
        <v>42733.722048611111</v>
      </c>
      <c r="F220" s="13">
        <v>25568.708333333332</v>
      </c>
      <c r="G220" s="7">
        <v>1</v>
      </c>
      <c r="H220" s="22" t="s">
        <v>748</v>
      </c>
      <c r="I220" s="13">
        <v>25568.708333333332</v>
      </c>
      <c r="J220" s="7">
        <v>0</v>
      </c>
      <c r="K220" s="105" t="str">
        <f t="shared" si="63"/>
        <v>4027/4028</v>
      </c>
      <c r="L220" s="22" t="str">
        <f>VLOOKUP(A220,'Trips&amp;Operators'!$C$1:$G$99999,5,FALSE)</f>
        <v>DE LA ROSA ALEX</v>
      </c>
      <c r="M220" s="6">
        <f t="shared" si="64"/>
        <v>0</v>
      </c>
      <c r="N220" s="7">
        <f t="shared" si="57"/>
        <v>0</v>
      </c>
      <c r="O220" s="7"/>
      <c r="P220" s="7"/>
      <c r="Q220" s="23"/>
      <c r="R220" s="23"/>
      <c r="S220" s="32">
        <f t="shared" si="65"/>
        <v>0</v>
      </c>
      <c r="T220" s="47" t="e">
        <f t="shared" si="66"/>
        <v>#VALUE!</v>
      </c>
      <c r="U220" s="16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16:19:45-700',mode:absolute,to:'1969-12-31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0" s="49" t="str">
        <f t="shared" si="68"/>
        <v>Y</v>
      </c>
      <c r="X220" s="173" t="e">
        <f t="shared" si="59"/>
        <v>#VALUE!</v>
      </c>
      <c r="Y220" s="64">
        <f t="shared" si="69"/>
        <v>0.1484</v>
      </c>
      <c r="Z220" s="64">
        <f t="shared" si="70"/>
        <v>2.3302</v>
      </c>
      <c r="AA220" s="64">
        <f t="shared" si="71"/>
        <v>2.1818</v>
      </c>
      <c r="AB220" s="61" t="e">
        <f>VLOOKUP(A220,Enforcements!$C$7:$K$19,8,0)</f>
        <v>#N/A</v>
      </c>
      <c r="AC220" s="57" t="e">
        <f>VLOOKUP(A220,Enforcements!$C$7:$E$19,3,0)</f>
        <v>#N/A</v>
      </c>
      <c r="AD220" s="58" t="str">
        <f t="shared" si="72"/>
        <v>55-29</v>
      </c>
      <c r="AE220" s="87" t="str">
        <f t="shared" si="73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0" s="84" t="str">
        <f t="shared" si="74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20" s="1" t="str">
        <f t="shared" si="75"/>
        <v>Other</v>
      </c>
      <c r="AH220" s="88" t="str">
        <f t="shared" si="60"/>
        <v>"%USERPROFILE%\Documents\GitHub\eaglep3\Utilities\RefineRTDCRunTimes.py" --tripid 55-29 --locoid 4027 --swversion DE.1.0.8.0 --startMP 204:1484 --initTime 2016-12-29T17:19:45 --startdatetime 1969-12-31T17:00:00 --delay 1 --endMP 300:23302 --enddatetime 1969-12-31T17:00:00 --enforcementcount 0 &gt;&gt;C:\Users\stu\Documents\GitHub\eaglep3-reporting\EC\2016-12-29-refined-times.txt</v>
      </c>
      <c r="AI220" s="115" t="str">
        <f t="shared" si="61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ID","value":"55-29"},{"id":16,"name":"Locomotive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80" t="str">
        <f t="shared" si="62"/>
        <v>start /low /b %USERPROFILE%\Documents\GitHub\eaglep3\Utilities\DownloadLogsFromS3.py --loco 4027 --day 1969-12-31</v>
      </c>
    </row>
    <row r="221" spans="1:39" x14ac:dyDescent="0.25">
      <c r="A221" s="34" t="s">
        <v>629</v>
      </c>
      <c r="B221" s="7">
        <v>4008</v>
      </c>
      <c r="C221" s="22" t="s">
        <v>205</v>
      </c>
      <c r="D221" s="22" t="s">
        <v>749</v>
      </c>
      <c r="E221" s="13">
        <v>42733.737916666665</v>
      </c>
      <c r="F221" s="13">
        <v>42733.745104166665</v>
      </c>
      <c r="G221" s="7">
        <v>9</v>
      </c>
      <c r="H221" s="22" t="s">
        <v>750</v>
      </c>
      <c r="I221" s="13">
        <v>42733.752118055556</v>
      </c>
      <c r="J221" s="7">
        <v>0</v>
      </c>
      <c r="K221" s="105" t="str">
        <f t="shared" si="63"/>
        <v>4007/4008</v>
      </c>
      <c r="L221" s="22" t="str">
        <f>VLOOKUP(A221,'Trips&amp;Operators'!$C$1:$G$99999,5,FALSE)</f>
        <v>BROWN JACOB</v>
      </c>
      <c r="M221" s="6">
        <f t="shared" si="64"/>
        <v>7.0138888913788833E-3</v>
      </c>
      <c r="N221" s="7">
        <f t="shared" ref="N221:N231" si="76">24*60*SUM($M221:$M221)</f>
        <v>10.100000003585592</v>
      </c>
      <c r="O221" s="7"/>
      <c r="P221" s="7"/>
      <c r="Q221" s="23"/>
      <c r="R221" s="23"/>
      <c r="S221" s="32">
        <f t="shared" si="65"/>
        <v>0</v>
      </c>
      <c r="T221" s="47" t="e">
        <f t="shared" si="66"/>
        <v>#VALUE!</v>
      </c>
      <c r="U221" s="16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16:42:36-700',mode:absolute,to:'2016-12-29 19:03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1" s="49" t="str">
        <f t="shared" si="68"/>
        <v>Y</v>
      </c>
      <c r="X221" s="173" t="e">
        <f t="shared" si="59"/>
        <v>#VALUE!</v>
      </c>
      <c r="Y221" s="64">
        <f t="shared" si="69"/>
        <v>2.3262</v>
      </c>
      <c r="Z221" s="64">
        <f t="shared" si="70"/>
        <v>1.4200000000000001E-2</v>
      </c>
      <c r="AA221" s="64">
        <f t="shared" si="71"/>
        <v>2.3119999999999998</v>
      </c>
      <c r="AB221" s="61" t="e">
        <f>VLOOKUP(A221,Enforcements!$C$7:$K$19,8,0)</f>
        <v>#N/A</v>
      </c>
      <c r="AC221" s="57" t="e">
        <f>VLOOKUP(A221,Enforcements!$C$7:$E$19,3,0)</f>
        <v>#N/A</v>
      </c>
      <c r="AD221" s="58" t="str">
        <f t="shared" si="72"/>
        <v>56-29</v>
      </c>
      <c r="AE221" s="87" t="str">
        <f t="shared" si="73"/>
        <v>aws s3 cp s3://rtdc.mdm.uploadarchive.raw/RTDC4008/ "%USERPROFILE%\AppData\Local\Temp\OnboardLogs"\RTDC4008\2016-12-29 --exclude "*" --recursive --include "*20161229*" &amp; "%USERPROFILE%\Documents\GitHub\mrs-test-scripts\Headless Mode &amp; Sideloading\WalkAndUnGZ.bat" "%USERPROFILE%\AppData\Local\Temp\OnboardLogs"\RTDC4008\2016-12-29 &amp; aws s3 cp s3://rtdc.mdm.uploadarchive.raw/RTDC4008/ "%USERPROFILE%\AppData\Local\Temp\OnboardLogs"\RTDC4008\2016-12-30 --exclude "*" --recursive --include "*20161230*" &amp; "%USERPROFILE%\Documents\GitHub\mrs-test-scripts\Headless Mode &amp; Sideloading\WalkAndUnGZ.bat" "%USERPROFILE%\AppData\Local\Temp\OnboardLogs"\RTDC4008\2016-12-30</v>
      </c>
      <c r="AF221" s="84" t="str">
        <f t="shared" si="74"/>
        <v>"C:\Program Files (x86)\AstroGrep\AstroGrep.exe" /spath="%USERPROFILE%\AppData\Local\Temp\OnboardLogs" /stypes="app*4008*20161230*" /stext=" 01:.+((SYSTEM_STATE.+slice.+state.+changed )|(ment ac)|(multiple cpu faults)|(system.+state.+changed )|(\[timeout)|(PRM\|1\|D)|(kpr)|(kdp)|(\|lc)|(penalty))" /e /r /s</v>
      </c>
      <c r="AG221" s="1" t="str">
        <f t="shared" si="75"/>
        <v>Other</v>
      </c>
      <c r="AH221" s="88" t="str">
        <f t="shared" si="60"/>
        <v>"%USERPROFILE%\Documents\GitHub\eaglep3\Utilities\RefineRTDCRunTimes.py" --tripid 56-29 --locoid 4008 --swversion DE.1.0.8.0 --startMP 300:23262 --initTime 2016-12-29T17:42:36 --startdatetime 2016-12-29T17:52:57 --delay 9 --endMP 204:142 --enddatetime 2016-12-29T18:03:03 --enforcementcount 0 &gt;&gt;C:\Users\stu\Documents\GitHub\eaglep3-reporting\EC\2016-12-29-refined-times.txt</v>
      </c>
      <c r="AI221" s="115" t="str">
        <f t="shared" si="61"/>
        <v>echo {"issue":{"subject":"","project_id":79,"tracker_id":40,"status_id":1,"priority_id":2,"assigned_to_id":23,"start_date":"2016-12-29","description":"","custom_fields":[{"id":1,"name":"Subdivision","value":"Other"},{"id":4,"name":"Milepost","value":"0.0142"},{"id":17,"name":"Train ID","value":"56-29"},{"id":16,"name":"Locomotive ID","value":"4008"},{"id":130,"name":"Impact","value":""},{"id":150,"name":"Time of Event (Mountain Time)","value":"18:03:03"},{"id":151,"name":"Denver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80" t="str">
        <f t="shared" si="62"/>
        <v>start /low /b %USERPROFILE%\Documents\GitHub\eaglep3\Utilities\DownloadLogsFromS3.py --loco 4008 --day 2016-12-29</v>
      </c>
    </row>
    <row r="222" spans="1:39" x14ac:dyDescent="0.25">
      <c r="A222" s="34" t="s">
        <v>634</v>
      </c>
      <c r="B222" s="7">
        <v>4007</v>
      </c>
      <c r="C222" s="22" t="s">
        <v>205</v>
      </c>
      <c r="D222" s="22" t="s">
        <v>726</v>
      </c>
      <c r="E222" s="13">
        <v>42733.760949074072</v>
      </c>
      <c r="F222" s="13">
        <v>42733.766087962962</v>
      </c>
      <c r="G222" s="7">
        <v>1</v>
      </c>
      <c r="H222" s="22" t="s">
        <v>751</v>
      </c>
      <c r="I222" s="13">
        <v>42733.76667824074</v>
      </c>
      <c r="J222" s="7">
        <v>0</v>
      </c>
      <c r="K222" s="105" t="str">
        <f t="shared" si="63"/>
        <v>4007/4008</v>
      </c>
      <c r="L222" s="22" t="str">
        <f>VLOOKUP(A222,'Trips&amp;Operators'!$C$1:$G$99999,5,FALSE)</f>
        <v>KILLION DAVID</v>
      </c>
      <c r="M222" s="6">
        <f t="shared" si="64"/>
        <v>5.9027777751907706E-4</v>
      </c>
      <c r="N222" s="7">
        <f t="shared" si="76"/>
        <v>0.84999999962747097</v>
      </c>
      <c r="O222" s="7"/>
      <c r="P222" s="7"/>
      <c r="Q222" s="23"/>
      <c r="R222" s="23"/>
      <c r="S222" s="32">
        <f t="shared" si="65"/>
        <v>0</v>
      </c>
      <c r="T222" s="47" t="e">
        <f t="shared" si="66"/>
        <v>#VALUE!</v>
      </c>
      <c r="U222" s="16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17:15:46-700',mode:absolute,to:'2016-12-29 19:24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2" s="49" t="str">
        <f t="shared" si="68"/>
        <v>Y</v>
      </c>
      <c r="X222" s="173" t="e">
        <f t="shared" si="59"/>
        <v>#VALUE!</v>
      </c>
      <c r="Y222" s="64">
        <f t="shared" si="69"/>
        <v>4.4600000000000001E-2</v>
      </c>
      <c r="Z222" s="64">
        <f t="shared" si="70"/>
        <v>0.1522</v>
      </c>
      <c r="AA222" s="64">
        <f t="shared" si="71"/>
        <v>0.1076</v>
      </c>
      <c r="AB222" s="61" t="e">
        <f>VLOOKUP(A222,Enforcements!$C$7:$K$19,8,0)</f>
        <v>#N/A</v>
      </c>
      <c r="AC222" s="57" t="e">
        <f>VLOOKUP(A222,Enforcements!$C$7:$E$19,3,0)</f>
        <v>#N/A</v>
      </c>
      <c r="AD222" s="58" t="str">
        <f t="shared" si="72"/>
        <v>57-29</v>
      </c>
      <c r="AE222" s="87" t="str">
        <f t="shared" si="73"/>
        <v>aws s3 cp s3://rtdc.mdm.uploadarchive.raw/RTDC4007/ "%USERPROFILE%\AppData\Local\Temp\OnboardLogs"\RTDC4007\2016-12-29 --exclude "*" --recursive --include "*20161229*" &amp; "%USERPROFILE%\Documents\GitHub\mrs-test-scripts\Headless Mode &amp; Sideloading\WalkAndUnGZ.bat" "%USERPROFILE%\AppData\Local\Temp\OnboardLogs"\RTDC4007\2016-12-29 &amp; aws s3 cp s3://rtdc.mdm.uploadarchive.raw/RTDC4007/ "%USERPROFILE%\AppData\Local\Temp\OnboardLogs"\RTDC4007\2016-12-30 --exclude "*" --recursive --include "*20161230*" &amp; "%USERPROFILE%\Documents\GitHub\mrs-test-scripts\Headless Mode &amp; Sideloading\WalkAndUnGZ.bat" "%USERPROFILE%\AppData\Local\Temp\OnboardLogs"\RTDC4007\2016-12-30</v>
      </c>
      <c r="AF222" s="84" t="str">
        <f t="shared" si="74"/>
        <v>"C:\Program Files (x86)\AstroGrep\AstroGrep.exe" /spath="%USERPROFILE%\AppData\Local\Temp\OnboardLogs" /stypes="app*4007*20161230*" /stext=" 01:.+((SYSTEM_STATE.+slice.+state.+changed )|(ment ac)|(multiple cpu faults)|(system.+state.+changed )|(\[timeout)|(PRM\|1\|D)|(kpr)|(kdp)|(\|lc)|(penalty))" /e /r /s</v>
      </c>
      <c r="AG222" s="1" t="str">
        <f t="shared" si="75"/>
        <v>Other</v>
      </c>
      <c r="AH222" s="88" t="str">
        <f t="shared" si="60"/>
        <v>"%USERPROFILE%\Documents\GitHub\eaglep3\Utilities\RefineRTDCRunTimes.py" --tripid 57-29 --locoid 4007 --swversion DE.1.0.8.0 --startMP 204:446 --initTime 2016-12-29T18:15:46 --startdatetime 2016-12-29T18:23:10 --delay 1 --endMP 204:1522 --enddatetime 2016-12-29T18:24:01 --enforcementcount 0 &gt;&gt;C:\Users\stu\Documents\GitHub\eaglep3-reporting\EC\2016-12-29-refined-times.txt</v>
      </c>
      <c r="AI222" s="115" t="str">
        <f t="shared" si="61"/>
        <v>echo {"issue":{"subject":"","project_id":79,"tracker_id":40,"status_id":1,"priority_id":2,"assigned_to_id":23,"start_date":"2016-12-29","description":"","custom_fields":[{"id":1,"name":"Subdivision","value":"Other"},{"id":4,"name":"Milepost","value":"0.1522"},{"id":17,"name":"Train ID","value":"57-29"},{"id":16,"name":"Locomotive ID","value":"4007"},{"id":130,"name":"Impact","value":""},{"id":150,"name":"Time of Event (Mountain Time)","value":"18:24:01"},{"id":151,"name":"Denver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80" t="str">
        <f t="shared" si="62"/>
        <v>start /low /b %USERPROFILE%\Documents\GitHub\eaglep3\Utilities\DownloadLogsFromS3.py --loco 4007 --day 2016-12-29</v>
      </c>
    </row>
    <row r="223" spans="1:39" x14ac:dyDescent="0.25">
      <c r="A223" s="34" t="s">
        <v>454</v>
      </c>
      <c r="B223" s="7">
        <v>4045</v>
      </c>
      <c r="C223" s="22" t="s">
        <v>205</v>
      </c>
      <c r="D223" s="22" t="s">
        <v>752</v>
      </c>
      <c r="E223" s="13">
        <v>42733.75854166667</v>
      </c>
      <c r="F223" s="13">
        <v>42733.760081018518</v>
      </c>
      <c r="G223" s="7">
        <v>1</v>
      </c>
      <c r="H223" s="22" t="s">
        <v>753</v>
      </c>
      <c r="I223" s="13">
        <v>42733.766886574071</v>
      </c>
      <c r="J223" s="7">
        <v>0</v>
      </c>
      <c r="K223" s="105" t="str">
        <f t="shared" si="63"/>
        <v>4045/4046</v>
      </c>
      <c r="L223" s="22" t="str">
        <f>VLOOKUP(A223,'Trips&amp;Operators'!$C$1:$G$99999,5,FALSE)</f>
        <v>PERKINS DARREN</v>
      </c>
      <c r="M223" s="6">
        <f t="shared" si="64"/>
        <v>6.805555553000886E-3</v>
      </c>
      <c r="N223" s="7">
        <f t="shared" si="76"/>
        <v>9.7999999963212758</v>
      </c>
      <c r="O223" s="7"/>
      <c r="P223" s="7"/>
      <c r="Q223" s="23"/>
      <c r="R223" s="23"/>
      <c r="S223" s="32">
        <f t="shared" si="65"/>
        <v>0</v>
      </c>
      <c r="T223" s="47" t="e">
        <f t="shared" si="66"/>
        <v>#VALUE!</v>
      </c>
      <c r="U223" s="16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17:12:18-700',mode:absolute,to:'2016-12-29 19:24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3" s="49" t="str">
        <f t="shared" si="68"/>
        <v>Y</v>
      </c>
      <c r="X223" s="173" t="e">
        <f t="shared" si="59"/>
        <v>#VALUE!</v>
      </c>
      <c r="Y223" s="64">
        <f t="shared" si="69"/>
        <v>2.1246</v>
      </c>
      <c r="Z223" s="64">
        <f t="shared" si="70"/>
        <v>8.77E-2</v>
      </c>
      <c r="AA223" s="64">
        <f t="shared" si="71"/>
        <v>2.0369000000000002</v>
      </c>
      <c r="AB223" s="61" t="e">
        <f>VLOOKUP(A223,Enforcements!$C$7:$K$19,8,0)</f>
        <v>#N/A</v>
      </c>
      <c r="AC223" s="57" t="e">
        <f>VLOOKUP(A223,Enforcements!$C$7:$E$19,3,0)</f>
        <v>#N/A</v>
      </c>
      <c r="AD223" s="58" t="str">
        <f t="shared" si="72"/>
        <v>58-29</v>
      </c>
      <c r="AE223" s="87" t="str">
        <f t="shared" si="73"/>
        <v>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 &amp; aws s3 cp s3://rtdc.mdm.uploadarchive.raw/RTDC4045/ "%USERPROFILE%\AppData\Local\Temp\OnboardLogs"\RTDC4045\2016-12-30 --exclude "*" --recursive --include "*20161230*" &amp; "%USERPROFILE%\Documents\GitHub\mrs-test-scripts\Headless Mode &amp; Sideloading\WalkAndUnGZ.bat" "%USERPROFILE%\AppData\Local\Temp\OnboardLogs"\RTDC4045\2016-12-30</v>
      </c>
      <c r="AF223" s="84" t="str">
        <f t="shared" si="74"/>
        <v>"C:\Program Files (x86)\AstroGrep\AstroGrep.exe" /spath="%USERPROFILE%\AppData\Local\Temp\OnboardLogs" /stypes="app*4045*20161230*" /stext=" 01:.+((SYSTEM_STATE.+slice.+state.+changed )|(ment ac)|(multiple cpu faults)|(system.+state.+changed )|(\[timeout)|(PRM\|1\|D)|(kpr)|(kdp)|(\|lc)|(penalty))" /e /r /s</v>
      </c>
      <c r="AG223" s="1" t="str">
        <f t="shared" si="75"/>
        <v>Other</v>
      </c>
      <c r="AH223" s="88" t="str">
        <f t="shared" si="60"/>
        <v>"%USERPROFILE%\Documents\GitHub\eaglep3\Utilities\RefineRTDCRunTimes.py" --tripid 58-29 --locoid 4045 --swversion DE.1.0.8.0 --startMP 300:21246 --initTime 2016-12-29T18:12:18 --startdatetime 2016-12-29T18:14:31 --delay 1 --endMP 204:877 --enddatetime 2016-12-29T18:24:19 --enforcementcount 0 &gt;&gt;C:\Users\stu\Documents\GitHub\eaglep3-reporting\EC\2016-12-29-refined-times.txt</v>
      </c>
      <c r="AI223" s="115" t="str">
        <f t="shared" si="61"/>
        <v>echo {"issue":{"subject":"","project_id":79,"tracker_id":40,"status_id":1,"priority_id":2,"assigned_to_id":23,"start_date":"2016-12-29","description":"","custom_fields":[{"id":1,"name":"Subdivision","value":"Other"},{"id":4,"name":"Milepost","value":"0.0877"},{"id":17,"name":"Train ID","value":"58-29"},{"id":16,"name":"Locomotive ID","value":"4045"},{"id":130,"name":"Impact","value":""},{"id":150,"name":"Time of Event (Mountain Time)","value":"18:24:19"},{"id":151,"name":"Denver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80" t="str">
        <f t="shared" si="62"/>
        <v>start /low /b %USERPROFILE%\Documents\GitHub\eaglep3\Utilities\DownloadLogsFromS3.py --loco 4045 --day 2016-12-29</v>
      </c>
    </row>
    <row r="224" spans="1:39" x14ac:dyDescent="0.25">
      <c r="A224" s="34" t="s">
        <v>460</v>
      </c>
      <c r="B224" s="7">
        <v>4045</v>
      </c>
      <c r="C224" s="22" t="s">
        <v>205</v>
      </c>
      <c r="D224" s="22" t="s">
        <v>801</v>
      </c>
      <c r="E224" s="13">
        <v>42733.818391203706</v>
      </c>
      <c r="F224" s="13">
        <v>42733.859884259262</v>
      </c>
      <c r="G224" s="7">
        <v>1</v>
      </c>
      <c r="H224" s="22" t="s">
        <v>409</v>
      </c>
      <c r="I224" s="13">
        <v>42733.886134259257</v>
      </c>
      <c r="J224" s="7">
        <v>0</v>
      </c>
      <c r="K224" s="105" t="str">
        <f t="shared" si="63"/>
        <v>4045/4046</v>
      </c>
      <c r="L224" s="22" t="str">
        <f>VLOOKUP(A224,'Trips&amp;Operators'!$C$1:$G$99999,5,FALSE)</f>
        <v>MACDONALD THOMAS</v>
      </c>
      <c r="M224" s="6">
        <f t="shared" si="64"/>
        <v>2.6249999995343387E-2</v>
      </c>
      <c r="N224" s="7">
        <f t="shared" si="76"/>
        <v>37.799999993294477</v>
      </c>
      <c r="O224" s="7"/>
      <c r="P224" s="7"/>
      <c r="Q224" s="23"/>
      <c r="R224" s="23"/>
      <c r="S224" s="32">
        <f t="shared" si="65"/>
        <v>0</v>
      </c>
      <c r="T224" s="47" t="e">
        <f t="shared" si="66"/>
        <v>#VALUE!</v>
      </c>
      <c r="U224" s="16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18:38:29-700',mode:absolute,to:'2016-12-29 22:16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4" s="49" t="str">
        <f t="shared" si="68"/>
        <v>N</v>
      </c>
      <c r="X224" s="173" t="e">
        <f t="shared" si="59"/>
        <v>#VALUE!</v>
      </c>
      <c r="Y224" s="64">
        <f t="shared" si="69"/>
        <v>23.267299999999999</v>
      </c>
      <c r="Z224" s="64">
        <f t="shared" si="70"/>
        <v>0.10050000000000001</v>
      </c>
      <c r="AA224" s="64">
        <f t="shared" si="71"/>
        <v>23.166799999999999</v>
      </c>
      <c r="AB224" s="61" t="e">
        <f>VLOOKUP(A224,Enforcements!$C$7:$K$19,8,0)</f>
        <v>#N/A</v>
      </c>
      <c r="AC224" s="57" t="e">
        <f>VLOOKUP(A224,Enforcements!$C$7:$E$19,3,0)</f>
        <v>#N/A</v>
      </c>
      <c r="AD224" s="58" t="str">
        <f t="shared" si="72"/>
        <v>88-29</v>
      </c>
      <c r="AE224" s="87" t="str">
        <f t="shared" si="73"/>
        <v>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 &amp; aws s3 cp s3://rtdc.mdm.uploadarchive.raw/RTDC4045/ "%USERPROFILE%\AppData\Local\Temp\OnboardLogs"\RTDC4045\2016-12-30 --exclude "*" --recursive --include "*20161230*" &amp; "%USERPROFILE%\Documents\GitHub\mrs-test-scripts\Headless Mode &amp; Sideloading\WalkAndUnGZ.bat" "%USERPROFILE%\AppData\Local\Temp\OnboardLogs"\RTDC4045\2016-12-30</v>
      </c>
      <c r="AF224" s="84" t="str">
        <f t="shared" si="74"/>
        <v>"C:\Program Files (x86)\AstroGrep\AstroGrep.exe" /spath="%USERPROFILE%\AppData\Local\Temp\OnboardLogs" /stypes="app*4045*20161230*" /stext=" 04:.+((SYSTEM_STATE.+slice.+state.+changed )|(ment ac)|(multiple cpu faults)|(system.+state.+changed )|(\[timeout)|(PRM\|1\|D)|(kpr)|(kdp)|(\|lc)|(penalty))" /e /r /s</v>
      </c>
      <c r="AG224" s="1" t="str">
        <f t="shared" si="75"/>
        <v>Other</v>
      </c>
      <c r="AH224" s="88" t="str">
        <f t="shared" si="60"/>
        <v>"%USERPROFILE%\Documents\GitHub\eaglep3\Utilities\RefineRTDCRunTimes.py" --tripid 88-29 --locoid 4045 --swversion DE.1.0.8.0 --startMP 204:232673 --initTime 2016-12-29T19:38:29 --startdatetime 2016-12-29T20:38:14 --delay 1 --endMP 204:1005 --enddatetime 2016-12-29T21:16:02 --enforcementcount 0 &gt;&gt;C:\Users\stu\Documents\GitHub\eaglep3-reporting\EC\2016-12-29-refined-times.txt</v>
      </c>
      <c r="AI224" s="115" t="str">
        <f t="shared" si="61"/>
        <v>echo {"issue":{"subject":"","project_id":79,"tracker_id":40,"status_id":1,"priority_id":2,"assigned_to_id":23,"start_date":"2016-12-29","description":"","custom_fields":[{"id":1,"name":"Subdivision","value":"Other"},{"id":4,"name":"Milepost","value":"0.1005"},{"id":17,"name":"Train ID","value":"88-29"},{"id":16,"name":"Locomotive ID","value":"4045"},{"id":130,"name":"Impact","value":""},{"id":150,"name":"Time of Event (Mountain Time)","value":"21:16:02"},{"id":151,"name":"Denver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80" t="str">
        <f t="shared" si="62"/>
        <v>start /low /b %USERPROFILE%\Documents\GitHub\eaglep3\Utilities\DownloadLogsFromS3.py --loco 4045 --day 2016-12-29</v>
      </c>
    </row>
    <row r="225" spans="1:39" x14ac:dyDescent="0.25">
      <c r="A225" s="34" t="s">
        <v>460</v>
      </c>
      <c r="B225" s="7">
        <v>4045</v>
      </c>
      <c r="C225" s="22" t="s">
        <v>205</v>
      </c>
      <c r="D225" s="22" t="s">
        <v>802</v>
      </c>
      <c r="E225" s="13">
        <v>42734.045405092591</v>
      </c>
      <c r="F225" s="13">
        <v>42734.0466087963</v>
      </c>
      <c r="G225" s="7">
        <v>1</v>
      </c>
      <c r="H225" s="22" t="s">
        <v>803</v>
      </c>
      <c r="I225" s="13">
        <v>42734.073553240742</v>
      </c>
      <c r="J225" s="7">
        <v>0</v>
      </c>
      <c r="K225" s="105" t="str">
        <f t="shared" si="63"/>
        <v>4045/4046</v>
      </c>
      <c r="L225" s="22" t="str">
        <f>VLOOKUP(A225,'Trips&amp;Operators'!$C$1:$G$99999,5,FALSE)</f>
        <v>MACDONALD THOMAS</v>
      </c>
      <c r="M225" s="6">
        <f t="shared" si="64"/>
        <v>2.6944444442051463E-2</v>
      </c>
      <c r="N225" s="7">
        <f t="shared" si="76"/>
        <v>38.799999996554106</v>
      </c>
      <c r="O225" s="7"/>
      <c r="P225" s="7"/>
      <c r="Q225" s="23"/>
      <c r="R225" s="23"/>
      <c r="S225" s="32">
        <f t="shared" si="65"/>
        <v>0</v>
      </c>
      <c r="T225" s="47" t="e">
        <f t="shared" si="66"/>
        <v>#VALUE!</v>
      </c>
      <c r="U225" s="16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https://search-rtdc-monitor-bjffxe2xuh6vdkpspy63sjmuny.us-east-1.es.amazonaws.com/_plugin/kibana/#/discover/Steve-Slow-Train-Analysis-(2080s-and-2083s)?_g=(refreshInterval:(display:Off,section:0,value:0),time:(from:'2016-12-30 00:05:23-700',mode:absolute,to:'2016-12-30 02:45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5" s="49" t="str">
        <f t="shared" si="68"/>
        <v>N</v>
      </c>
      <c r="X225" s="173" t="e">
        <f t="shared" si="59"/>
        <v>#VALUE!</v>
      </c>
      <c r="Y225" s="64">
        <f t="shared" si="69"/>
        <v>23.286899999999999</v>
      </c>
      <c r="Z225" s="64">
        <f t="shared" si="70"/>
        <v>0.2039</v>
      </c>
      <c r="AA225" s="64">
        <f t="shared" si="71"/>
        <v>23.082999999999998</v>
      </c>
      <c r="AB225" s="61" t="e">
        <f>VLOOKUP(A225,Enforcements!$C$7:$K$19,8,0)</f>
        <v>#N/A</v>
      </c>
      <c r="AC225" s="57" t="e">
        <f>VLOOKUP(A225,Enforcements!$C$7:$E$19,3,0)</f>
        <v>#N/A</v>
      </c>
      <c r="AD225" s="58" t="str">
        <f t="shared" si="72"/>
        <v>88-29</v>
      </c>
      <c r="AE225" s="87" t="str">
        <f t="shared" si="73"/>
        <v>aws s3 cp s3://rtdc.mdm.uploadarchive.raw/RTDC4045/ "%USERPROFILE%\AppData\Local\Temp\OnboardLogs"\RTDC4045\2016-12-30 --exclude "*" --recursive --include "*20161230*" &amp; "%USERPROFILE%\Documents\GitHub\mrs-test-scripts\Headless Mode &amp; Sideloading\WalkAndUnGZ.bat" "%USERPROFILE%\AppData\Local\Temp\OnboardLogs"\RTDC4045\2016-12-30 &amp; 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</v>
      </c>
      <c r="AF225" s="84" t="str">
        <f t="shared" si="74"/>
        <v>"C:\Program Files (x86)\AstroGrep\AstroGrep.exe" /spath="%USERPROFILE%\AppData\Local\Temp\OnboardLogs" /stypes="app*4045*20161230*" /stext=" 08:.+((SYSTEM_STATE.+slice.+state.+changed )|(ment ac)|(multiple cpu faults)|(system.+state.+changed )|(\[timeout)|(PRM\|1\|D)|(kpr)|(kdp)|(\|lc)|(penalty))" /e /r /s</v>
      </c>
      <c r="AG225" s="1" t="str">
        <f t="shared" si="75"/>
        <v>Other</v>
      </c>
      <c r="AH225" s="88" t="str">
        <f t="shared" si="60"/>
        <v>"%USERPROFILE%\Documents\GitHub\eaglep3\Utilities\RefineRTDCRunTimes.py" --tripid 88-29 --locoid 4045 --swversion DE.1.0.8.0 --startMP 204:232869 --initTime 2016-12-30T01:05:23 --startdatetime 2016-12-30T01:07:07 --delay 1 --endMP 204:2039 --enddatetime 2016-12-30T01:45:55 --enforcementcount 0 &gt;&gt;C:\Users\stu\Documents\GitHub\eaglep3-reporting\EC\2016-12-29-refined-times.txt</v>
      </c>
      <c r="AI225" s="115" t="str">
        <f t="shared" si="61"/>
        <v>echo {"issue":{"subject":"","project_id":79,"tracker_id":40,"status_id":1,"priority_id":2,"assigned_to_id":23,"start_date":"2016-12-30","description":"","custom_fields":[{"id":1,"name":"Subdivision","value":"Other"},{"id":4,"name":"Milepost","value":"0.2039"},{"id":17,"name":"Train ID","value":"88-29"},{"id":16,"name":"Locomotive ID","value":"4045"},{"id":130,"name":"Impact","value":""},{"id":150,"name":"Time of Event (Mountain Time)","value":"01:45:55"},{"id":151,"name":"Denver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80" t="str">
        <f t="shared" si="62"/>
        <v>start /low /b %USERPROFILE%\Documents\GitHub\eaglep3\Utilities\DownloadLogsFromS3.py --loco 4045 --day 2016-12-30</v>
      </c>
    </row>
    <row r="226" spans="1:39" x14ac:dyDescent="0.25">
      <c r="A226" s="34" t="s">
        <v>460</v>
      </c>
      <c r="B226" s="7">
        <v>4045</v>
      </c>
      <c r="C226" s="22" t="s">
        <v>205</v>
      </c>
      <c r="D226" s="22" t="s">
        <v>804</v>
      </c>
      <c r="E226" s="13">
        <v>42733.982372685183</v>
      </c>
      <c r="F226" s="13">
        <v>42734.015787037039</v>
      </c>
      <c r="G226" s="7">
        <v>0</v>
      </c>
      <c r="H226" s="22" t="s">
        <v>805</v>
      </c>
      <c r="I226" s="13">
        <v>42734.044039351851</v>
      </c>
      <c r="J226" s="7">
        <v>0</v>
      </c>
      <c r="K226" s="105" t="str">
        <f t="shared" si="63"/>
        <v>4045/4046</v>
      </c>
      <c r="L226" s="22" t="str">
        <f>VLOOKUP(A226,'Trips&amp;Operators'!$C$1:$G$99999,5,FALSE)</f>
        <v>MACDONALD THOMAS</v>
      </c>
      <c r="M226" s="6">
        <f t="shared" si="64"/>
        <v>2.8252314812561963E-2</v>
      </c>
      <c r="N226" s="7">
        <f t="shared" si="76"/>
        <v>40.683333330089226</v>
      </c>
      <c r="O226" s="7"/>
      <c r="P226" s="7"/>
      <c r="Q226" s="23"/>
      <c r="R226" s="23"/>
      <c r="S226" s="32">
        <f t="shared" si="65"/>
        <v>0</v>
      </c>
      <c r="T226" s="47" t="e">
        <f t="shared" si="66"/>
        <v>#VALUE!</v>
      </c>
      <c r="U226" s="16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22:34:37-700',mode:absolute,to:'2016-12-30 02:03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6" s="49" t="str">
        <f t="shared" si="68"/>
        <v>N</v>
      </c>
      <c r="X226" s="173" t="e">
        <f t="shared" ref="X226:X231" si="77">VALUE(LEFT(AD226,4))-VALUE(LEFT(AD225,4))</f>
        <v>#VALUE!</v>
      </c>
      <c r="Y226" s="64">
        <f t="shared" si="69"/>
        <v>23.294799999999999</v>
      </c>
      <c r="Z226" s="64">
        <f t="shared" si="70"/>
        <v>0.113</v>
      </c>
      <c r="AA226" s="64">
        <f t="shared" si="71"/>
        <v>23.181799999999999</v>
      </c>
      <c r="AB226" s="61" t="e">
        <f>VLOOKUP(A226,Enforcements!$C$7:$K$19,8,0)</f>
        <v>#N/A</v>
      </c>
      <c r="AC226" s="57" t="e">
        <f>VLOOKUP(A226,Enforcements!$C$7:$E$19,3,0)</f>
        <v>#N/A</v>
      </c>
      <c r="AD226" s="58" t="str">
        <f t="shared" si="72"/>
        <v>88-29</v>
      </c>
      <c r="AE226" s="87" t="str">
        <f t="shared" si="73"/>
        <v>aws s3 cp s3://rtdc.mdm.uploadarchive.raw/RTDC4045/ "%USERPROFILE%\AppData\Local\Temp\OnboardLogs"\RTDC4045\2016-12-30 --exclude "*" --recursive --include "*20161230*" &amp; "%USERPROFILE%\Documents\GitHub\mrs-test-scripts\Headless Mode &amp; Sideloading\WalkAndUnGZ.bat" "%USERPROFILE%\AppData\Local\Temp\OnboardLogs"\RTDC4045\2016-12-30 &amp; 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</v>
      </c>
      <c r="AF226" s="84" t="str">
        <f t="shared" si="74"/>
        <v>"C:\Program Files (x86)\AstroGrep\AstroGrep.exe" /spath="%USERPROFILE%\AppData\Local\Temp\OnboardLogs" /stypes="app*4045*20161230*" /stext=" 08:.+((SYSTEM_STATE.+slice.+state.+changed )|(ment ac)|(multiple cpu faults)|(system.+state.+changed )|(\[timeout)|(PRM\|1\|D)|(kpr)|(kdp)|(\|lc)|(penalty))" /e /r /s</v>
      </c>
      <c r="AG226" s="1" t="str">
        <f t="shared" si="75"/>
        <v>Other</v>
      </c>
      <c r="AH226" s="88" t="str">
        <f t="shared" si="60"/>
        <v>"%USERPROFILE%\Documents\GitHub\eaglep3\Utilities\RefineRTDCRunTimes.py" --tripid 88-29 --locoid 4045 --swversion DE.1.0.8.0 --startMP 204:232948 --initTime 2016-12-29T23:34:37 --startdatetime 2016-12-30T00:22:44 --delay 0 --endMP 204:1130 --enddatetime 2016-12-30T01:03:25 --enforcementcount 0 &gt;&gt;C:\Users\stu\Documents\GitHub\eaglep3-reporting\EC\2016-12-29-refined-times.txt</v>
      </c>
      <c r="AI226" s="115" t="str">
        <f t="shared" si="61"/>
        <v>echo {"issue":{"subject":"","project_id":79,"tracker_id":40,"status_id":1,"priority_id":2,"assigned_to_id":23,"start_date":"2016-12-30","description":"","custom_fields":[{"id":1,"name":"Subdivision","value":"Other"},{"id":4,"name":"Milepost","value":"0.113"},{"id":17,"name":"Train ID","value":"88-29"},{"id":16,"name":"Locomotive ID","value":"4045"},{"id":130,"name":"Impact","value":""},{"id":150,"name":"Time of Event (Mountain Time)","value":"01:03:25"},{"id":151,"name":"Denver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80" t="str">
        <f t="shared" si="62"/>
        <v>start /low /b %USERPROFILE%\Documents\GitHub\eaglep3\Utilities\DownloadLogsFromS3.py --loco 4045 --day 2016-12-30</v>
      </c>
    </row>
    <row r="227" spans="1:39" x14ac:dyDescent="0.25">
      <c r="A227" s="34" t="s">
        <v>460</v>
      </c>
      <c r="B227" s="7">
        <v>4045</v>
      </c>
      <c r="C227" s="22" t="s">
        <v>205</v>
      </c>
      <c r="D227" s="22" t="s">
        <v>404</v>
      </c>
      <c r="E227" s="13">
        <v>42733.891215277778</v>
      </c>
      <c r="F227" s="13">
        <v>42733.942835648151</v>
      </c>
      <c r="G227" s="7">
        <v>2</v>
      </c>
      <c r="H227" s="22" t="s">
        <v>806</v>
      </c>
      <c r="I227" s="13">
        <v>42733.969907407409</v>
      </c>
      <c r="J227" s="7">
        <v>0</v>
      </c>
      <c r="K227" s="105" t="str">
        <f t="shared" si="63"/>
        <v>4045/4046</v>
      </c>
      <c r="L227" s="22" t="str">
        <f>VLOOKUP(A227,'Trips&amp;Operators'!$C$1:$G$99999,5,FALSE)</f>
        <v>MACDONALD THOMAS</v>
      </c>
      <c r="M227" s="6">
        <f t="shared" si="64"/>
        <v>2.7071759257523809E-2</v>
      </c>
      <c r="N227" s="7">
        <f t="shared" si="76"/>
        <v>38.983333330834284</v>
      </c>
      <c r="O227" s="7"/>
      <c r="P227" s="7"/>
      <c r="Q227" s="23"/>
      <c r="R227" s="23"/>
      <c r="S227" s="32">
        <f t="shared" si="65"/>
        <v>0</v>
      </c>
      <c r="T227" s="47" t="e">
        <f t="shared" si="66"/>
        <v>#VALUE!</v>
      </c>
      <c r="U227" s="16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20:23:21-700',mode:absolute,to:'2016-12-30 00:16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7" s="49" t="str">
        <f t="shared" si="68"/>
        <v>N</v>
      </c>
      <c r="X227" s="173" t="e">
        <f t="shared" si="77"/>
        <v>#VALUE!</v>
      </c>
      <c r="Y227" s="64">
        <f t="shared" si="69"/>
        <v>23.296700000000001</v>
      </c>
      <c r="Z227" s="64">
        <f t="shared" si="70"/>
        <v>2.4199999999999999E-2</v>
      </c>
      <c r="AA227" s="64">
        <f t="shared" si="71"/>
        <v>23.272500000000001</v>
      </c>
      <c r="AB227" s="61" t="e">
        <f>VLOOKUP(A227,Enforcements!$C$7:$K$19,8,0)</f>
        <v>#N/A</v>
      </c>
      <c r="AC227" s="57" t="e">
        <f>VLOOKUP(A227,Enforcements!$C$7:$E$19,3,0)</f>
        <v>#N/A</v>
      </c>
      <c r="AD227" s="58" t="str">
        <f t="shared" si="72"/>
        <v>88-29</v>
      </c>
      <c r="AE227" s="87" t="str">
        <f t="shared" si="73"/>
        <v>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 &amp; aws s3 cp s3://rtdc.mdm.uploadarchive.raw/RTDC4045/ "%USERPROFILE%\AppData\Local\Temp\OnboardLogs"\RTDC4045\2016-12-30 --exclude "*" --recursive --include "*20161230*" &amp; "%USERPROFILE%\Documents\GitHub\mrs-test-scripts\Headless Mode &amp; Sideloading\WalkAndUnGZ.bat" "%USERPROFILE%\AppData\Local\Temp\OnboardLogs"\RTDC4045\2016-12-30</v>
      </c>
      <c r="AF227" s="84" t="str">
        <f t="shared" si="74"/>
        <v>"C:\Program Files (x86)\AstroGrep\AstroGrep.exe" /spath="%USERPROFILE%\AppData\Local\Temp\OnboardLogs" /stypes="app*4045*20161230*" /stext=" 06:.+((SYSTEM_STATE.+slice.+state.+changed )|(ment ac)|(multiple cpu faults)|(system.+state.+changed )|(\[timeout)|(PRM\|1\|D)|(kpr)|(kdp)|(\|lc)|(penalty))" /e /r /s</v>
      </c>
      <c r="AG227" s="1" t="str">
        <f t="shared" si="75"/>
        <v>Other</v>
      </c>
      <c r="AH227" s="88" t="str">
        <f t="shared" si="60"/>
        <v>"%USERPROFILE%\Documents\GitHub\eaglep3\Utilities\RefineRTDCRunTimes.py" --tripid 88-29 --locoid 4045 --swversion DE.1.0.8.0 --startMP 204:232967 --initTime 2016-12-29T21:23:21 --startdatetime 2016-12-29T22:37:41 --delay 2 --endMP 204:242 --enddatetime 2016-12-29T23:16:40 --enforcementcount 0 &gt;&gt;C:\Users\stu\Documents\GitHub\eaglep3-reporting\EC\2016-12-29-refined-times.txt</v>
      </c>
      <c r="AI227" s="115" t="str">
        <f t="shared" si="61"/>
        <v>echo {"issue":{"subject":"","project_id":79,"tracker_id":40,"status_id":1,"priority_id":2,"assigned_to_id":23,"start_date":"2016-12-29","description":"","custom_fields":[{"id":1,"name":"Subdivision","value":"Other"},{"id":4,"name":"Milepost","value":"0.0242"},{"id":17,"name":"Train ID","value":"88-29"},{"id":16,"name":"Locomotive ID","value":"4045"},{"id":130,"name":"Impact","value":""},{"id":150,"name":"Time of Event (Mountain Time)","value":"23:16:40"},{"id":151,"name":"Denver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80" t="str">
        <f t="shared" si="62"/>
        <v>start /low /b %USERPROFILE%\Documents\GitHub\eaglep3\Utilities\DownloadLogsFromS3.py --loco 4045 --day 2016-12-29</v>
      </c>
    </row>
    <row r="228" spans="1:39" x14ac:dyDescent="0.25">
      <c r="A228" s="34" t="s">
        <v>460</v>
      </c>
      <c r="B228" s="7">
        <v>4046</v>
      </c>
      <c r="C228" s="22" t="s">
        <v>205</v>
      </c>
      <c r="D228" s="22" t="s">
        <v>807</v>
      </c>
      <c r="E228" s="13">
        <v>42733.775879629633</v>
      </c>
      <c r="F228" s="13">
        <v>42733.819849537038</v>
      </c>
      <c r="G228" s="7">
        <v>12</v>
      </c>
      <c r="H228" s="22" t="s">
        <v>308</v>
      </c>
      <c r="I228" s="13">
        <v>42733.849131944444</v>
      </c>
      <c r="J228" s="7">
        <v>0</v>
      </c>
      <c r="K228" s="105" t="str">
        <f t="shared" si="63"/>
        <v>4045/4046</v>
      </c>
      <c r="L228" s="22" t="str">
        <f>VLOOKUP(A228,'Trips&amp;Operators'!$C$1:$G$99999,5,FALSE)</f>
        <v>MACDONALD THOMAS</v>
      </c>
      <c r="M228" s="6">
        <f t="shared" si="64"/>
        <v>2.9282407405844424E-2</v>
      </c>
      <c r="N228" s="7">
        <f t="shared" si="76"/>
        <v>42.16666666441597</v>
      </c>
      <c r="O228" s="7"/>
      <c r="P228" s="7"/>
      <c r="Q228" s="23"/>
      <c r="R228" s="23"/>
      <c r="S228" s="32">
        <f t="shared" si="65"/>
        <v>0</v>
      </c>
      <c r="T228" s="47" t="e">
        <f t="shared" si="66"/>
        <v>#VALUE!</v>
      </c>
      <c r="U228" s="16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17:37:16-700',mode:absolute,to:'2016-12-29 21:22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8" s="49" t="str">
        <f t="shared" si="68"/>
        <v>N</v>
      </c>
      <c r="X228" s="173" t="e">
        <f t="shared" si="77"/>
        <v>#VALUE!</v>
      </c>
      <c r="Y228" s="64">
        <f t="shared" si="69"/>
        <v>0.1186</v>
      </c>
      <c r="Z228" s="64">
        <f t="shared" si="70"/>
        <v>23.299800000000001</v>
      </c>
      <c r="AA228" s="64">
        <f t="shared" si="71"/>
        <v>23.1812</v>
      </c>
      <c r="AB228" s="61" t="e">
        <f>VLOOKUP(A228,Enforcements!$C$7:$K$19,8,0)</f>
        <v>#N/A</v>
      </c>
      <c r="AC228" s="57" t="e">
        <f>VLOOKUP(A228,Enforcements!$C$7:$E$19,3,0)</f>
        <v>#N/A</v>
      </c>
      <c r="AD228" s="58" t="str">
        <f t="shared" si="72"/>
        <v>88-29</v>
      </c>
      <c r="AE228" s="87" t="str">
        <f t="shared" si="73"/>
        <v>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 &amp; aws s3 cp s3://rtdc.mdm.uploadarchive.raw/RTDC4046/ "%USERPROFILE%\AppData\Local\Temp\OnboardLogs"\RTDC4046\2016-12-30 --exclude "*" --recursive --include "*20161230*" &amp; "%USERPROFILE%\Documents\GitHub\mrs-test-scripts\Headless Mode &amp; Sideloading\WalkAndUnGZ.bat" "%USERPROFILE%\AppData\Local\Temp\OnboardLogs"\RTDC4046\2016-12-30</v>
      </c>
      <c r="AF228" s="84" t="str">
        <f t="shared" si="74"/>
        <v>"C:\Program Files (x86)\AstroGrep\AstroGrep.exe" /spath="%USERPROFILE%\AppData\Local\Temp\OnboardLogs" /stypes="app*4046*20161230*" /stext=" 03:.+((SYSTEM_STATE.+slice.+state.+changed )|(ment ac)|(multiple cpu faults)|(system.+state.+changed )|(\[timeout)|(PRM\|1\|D)|(kpr)|(kdp)|(\|lc)|(penalty))" /e /r /s</v>
      </c>
      <c r="AG228" s="1" t="str">
        <f t="shared" si="75"/>
        <v>Other</v>
      </c>
      <c r="AH228" s="88" t="str">
        <f t="shared" si="60"/>
        <v>"%USERPROFILE%\Documents\GitHub\eaglep3\Utilities\RefineRTDCRunTimes.py" --tripid 88-29 --locoid 4046 --swversion DE.1.0.8.0 --startMP 204:1186 --initTime 2016-12-29T18:37:16 --startdatetime 2016-12-29T19:40:35 --delay 12 --endMP 204:232998 --enddatetime 2016-12-29T20:22:45 --enforcementcount 0 &gt;&gt;C:\Users\stu\Documents\GitHub\eaglep3-reporting\EC\2016-12-29-refined-times.txt</v>
      </c>
      <c r="AI228" s="115" t="str">
        <f t="shared" si="61"/>
        <v>echo {"issue":{"subject":"","project_id":79,"tracker_id":40,"status_id":1,"priority_id":2,"assigned_to_id":23,"start_date":"2016-12-29","description":"","custom_fields":[{"id":1,"name":"Subdivision","value":"Other"},{"id":4,"name":"Milepost","value":"23.2998"},{"id":17,"name":"Train ID","value":"88-29"},{"id":16,"name":"Locomotive ID","value":"4046"},{"id":130,"name":"Impact","value":""},{"id":150,"name":"Time of Event (Mountain Time)","value":"20:22:45"},{"id":151,"name":"Denver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80" t="str">
        <f t="shared" si="62"/>
        <v>start /low /b %USERPROFILE%\Documents\GitHub\eaglep3\Utilities\DownloadLogsFromS3.py --loco 4046 --day 2016-12-29</v>
      </c>
    </row>
    <row r="229" spans="1:39" x14ac:dyDescent="0.25">
      <c r="A229" s="34" t="s">
        <v>460</v>
      </c>
      <c r="B229" s="7">
        <v>4046</v>
      </c>
      <c r="C229" s="22" t="s">
        <v>205</v>
      </c>
      <c r="D229" s="22" t="s">
        <v>808</v>
      </c>
      <c r="E229" s="13">
        <v>42733.849942129629</v>
      </c>
      <c r="F229" s="13">
        <v>42733.901539351849</v>
      </c>
      <c r="G229" s="7">
        <v>3</v>
      </c>
      <c r="H229" s="22" t="s">
        <v>363</v>
      </c>
      <c r="I229" s="13">
        <v>42733.93167824074</v>
      </c>
      <c r="J229" s="7">
        <v>0</v>
      </c>
      <c r="K229" s="105" t="str">
        <f t="shared" si="63"/>
        <v>4045/4046</v>
      </c>
      <c r="L229" s="22" t="str">
        <f>VLOOKUP(A229,'Trips&amp;Operators'!$C$1:$G$99999,5,FALSE)</f>
        <v>MACDONALD THOMAS</v>
      </c>
      <c r="M229" s="6">
        <f t="shared" si="64"/>
        <v>3.0138888891087845E-2</v>
      </c>
      <c r="N229" s="7">
        <f t="shared" si="76"/>
        <v>43.400000003166497</v>
      </c>
      <c r="O229" s="7"/>
      <c r="P229" s="7"/>
      <c r="Q229" s="23"/>
      <c r="R229" s="23"/>
      <c r="S229" s="32">
        <f t="shared" si="65"/>
        <v>0</v>
      </c>
      <c r="T229" s="47" t="e">
        <f t="shared" si="66"/>
        <v>#VALUE!</v>
      </c>
      <c r="U229" s="16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19:23:55-700',mode:absolute,to:'2016-12-29 23:21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9" s="49" t="str">
        <f t="shared" si="68"/>
        <v>N</v>
      </c>
      <c r="X229" s="173" t="e">
        <f t="shared" si="77"/>
        <v>#VALUE!</v>
      </c>
      <c r="Y229" s="64">
        <f t="shared" si="69"/>
        <v>0.13300000000000001</v>
      </c>
      <c r="Z229" s="64">
        <f t="shared" si="70"/>
        <v>23.328600000000002</v>
      </c>
      <c r="AA229" s="64">
        <f t="shared" si="71"/>
        <v>23.195600000000002</v>
      </c>
      <c r="AB229" s="61" t="e">
        <f>VLOOKUP(A229,Enforcements!$C$7:$K$19,8,0)</f>
        <v>#N/A</v>
      </c>
      <c r="AC229" s="57" t="e">
        <f>VLOOKUP(A229,Enforcements!$C$7:$E$19,3,0)</f>
        <v>#N/A</v>
      </c>
      <c r="AD229" s="58" t="str">
        <f t="shared" si="72"/>
        <v>88-29</v>
      </c>
      <c r="AE229" s="87" t="str">
        <f t="shared" si="73"/>
        <v>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 &amp; aws s3 cp s3://rtdc.mdm.uploadarchive.raw/RTDC4046/ "%USERPROFILE%\AppData\Local\Temp\OnboardLogs"\RTDC4046\2016-12-30 --exclude "*" --recursive --include "*20161230*" &amp; "%USERPROFILE%\Documents\GitHub\mrs-test-scripts\Headless Mode &amp; Sideloading\WalkAndUnGZ.bat" "%USERPROFILE%\AppData\Local\Temp\OnboardLogs"\RTDC4046\2016-12-30</v>
      </c>
      <c r="AF229" s="84" t="str">
        <f t="shared" si="74"/>
        <v>"C:\Program Files (x86)\AstroGrep\AstroGrep.exe" /spath="%USERPROFILE%\AppData\Local\Temp\OnboardLogs" /stypes="app*4046*20161230*" /stext=" 05:.+((SYSTEM_STATE.+slice.+state.+changed )|(ment ac)|(multiple cpu faults)|(system.+state.+changed )|(\[timeout)|(PRM\|1\|D)|(kpr)|(kdp)|(\|lc)|(penalty))" /e /r /s</v>
      </c>
      <c r="AG229" s="1" t="str">
        <f t="shared" si="75"/>
        <v>Other</v>
      </c>
      <c r="AH229" s="88" t="str">
        <f t="shared" si="60"/>
        <v>"%USERPROFILE%\Documents\GitHub\eaglep3\Utilities\RefineRTDCRunTimes.py" --tripid 88-29 --locoid 4046 --swversion DE.1.0.8.0 --startMP 204:1330 --initTime 2016-12-29T20:23:55 --startdatetime 2016-12-29T21:38:13 --delay 3 --endMP 204:233286 --enddatetime 2016-12-29T22:21:37 --enforcementcount 0 &gt;&gt;C:\Users\stu\Documents\GitHub\eaglep3-reporting\EC\2016-12-29-refined-times.txt</v>
      </c>
      <c r="AI229" s="115" t="str">
        <f t="shared" si="61"/>
        <v>echo {"issue":{"subject":"","project_id":79,"tracker_id":40,"status_id":1,"priority_id":2,"assigned_to_id":23,"start_date":"2016-12-29","description":"","custom_fields":[{"id":1,"name":"Subdivision","value":"Other"},{"id":4,"name":"Milepost","value":"23.3286"},{"id":17,"name":"Train ID","value":"88-29"},{"id":16,"name":"Locomotive ID","value":"4046"},{"id":130,"name":"Impact","value":""},{"id":150,"name":"Time of Event (Mountain Time)","value":"22:21:37"},{"id":151,"name":"Denver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80" t="str">
        <f t="shared" si="62"/>
        <v>start /low /b %USERPROFILE%\Documents\GitHub\eaglep3\Utilities\DownloadLogsFromS3.py --loco 4046 --day 2016-12-29</v>
      </c>
    </row>
    <row r="230" spans="1:39" x14ac:dyDescent="0.25">
      <c r="A230" s="34" t="s">
        <v>460</v>
      </c>
      <c r="B230" s="7">
        <v>4046</v>
      </c>
      <c r="C230" s="22" t="s">
        <v>205</v>
      </c>
      <c r="D230" s="22" t="s">
        <v>809</v>
      </c>
      <c r="E230" s="13">
        <v>42734.014594907407</v>
      </c>
      <c r="F230" s="13">
        <v>42734.0466087963</v>
      </c>
      <c r="G230" s="7">
        <v>1</v>
      </c>
      <c r="H230" s="22" t="s">
        <v>810</v>
      </c>
      <c r="I230" s="13">
        <v>42734.073553240742</v>
      </c>
      <c r="J230" s="7">
        <v>0</v>
      </c>
      <c r="K230" s="105" t="str">
        <f t="shared" si="63"/>
        <v>4045/4046</v>
      </c>
      <c r="L230" s="22" t="str">
        <f>VLOOKUP(A230,'Trips&amp;Operators'!$C$1:$G$99999,5,FALSE)</f>
        <v>MACDONALD THOMAS</v>
      </c>
      <c r="M230" s="6">
        <f t="shared" si="64"/>
        <v>2.6944444442051463E-2</v>
      </c>
      <c r="N230" s="7">
        <f t="shared" si="76"/>
        <v>38.799999996554106</v>
      </c>
      <c r="O230" s="7"/>
      <c r="P230" s="7"/>
      <c r="Q230" s="23"/>
      <c r="R230" s="23"/>
      <c r="S230" s="32">
        <f t="shared" si="65"/>
        <v>0</v>
      </c>
      <c r="T230" s="47" t="e">
        <f t="shared" si="66"/>
        <v>#VALUE!</v>
      </c>
      <c r="U230" s="16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23:21:01-700',mode:absolute,to:'2016-12-30 02:45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30" s="49" t="str">
        <f t="shared" si="68"/>
        <v>N</v>
      </c>
      <c r="X230" s="173" t="e">
        <f t="shared" si="77"/>
        <v>#VALUE!</v>
      </c>
      <c r="Y230" s="64">
        <f t="shared" si="69"/>
        <v>0.14410000000000001</v>
      </c>
      <c r="Z230" s="64">
        <f t="shared" si="70"/>
        <v>23.319500000000001</v>
      </c>
      <c r="AA230" s="64">
        <f t="shared" si="71"/>
        <v>23.1754</v>
      </c>
      <c r="AB230" s="61" t="e">
        <f>VLOOKUP(A230,Enforcements!$C$7:$K$19,8,0)</f>
        <v>#N/A</v>
      </c>
      <c r="AC230" s="57" t="e">
        <f>VLOOKUP(A230,Enforcements!$C$7:$E$19,3,0)</f>
        <v>#N/A</v>
      </c>
      <c r="AD230" s="58" t="str">
        <f t="shared" si="72"/>
        <v>88-29</v>
      </c>
      <c r="AE230" s="87" t="str">
        <f t="shared" si="73"/>
        <v>aws s3 cp s3://rtdc.mdm.uploadarchive.raw/RTDC4046/ "%USERPROFILE%\AppData\Local\Temp\OnboardLogs"\RTDC4046\2016-12-30 --exclude "*" --recursive --include "*20161230*" &amp; "%USERPROFILE%\Documents\GitHub\mrs-test-scripts\Headless Mode &amp; Sideloading\WalkAndUnGZ.bat" "%USERPROFILE%\AppData\Local\Temp\OnboardLogs"\RTDC4046\2016-12-30 &amp; aws s3 cp s3://rtdc.mdm.uploadarchive.raw/RTDC4046/ "%USERPROFILE%\AppData\Local\Temp\OnboardLogs"\RTDC4046\2016-12-31 --exclude "*" --recursive --include "*20161231*" &amp; "%USERPROFILE%\Documents\GitHub\mrs-test-scripts\Headless Mode &amp; Sideloading\WalkAndUnGZ.bat" "%USERPROFILE%\AppData\Local\Temp\OnboardLogs"\RTDC4046\2016-12-31</v>
      </c>
      <c r="AF230" s="84" t="str">
        <f t="shared" si="74"/>
        <v>"C:\Program Files (x86)\AstroGrep\AstroGrep.exe" /spath="%USERPROFILE%\AppData\Local\Temp\OnboardLogs" /stypes="app*4046*20161230*" /stext=" 08:.+((SYSTEM_STATE.+slice.+state.+changed )|(ment ac)|(multiple cpu faults)|(system.+state.+changed )|(\[timeout)|(PRM\|1\|D)|(kpr)|(kdp)|(\|lc)|(penalty))" /e /r /s</v>
      </c>
      <c r="AG230" s="1" t="str">
        <f t="shared" si="75"/>
        <v>Other</v>
      </c>
      <c r="AH230" s="88" t="str">
        <f t="shared" si="60"/>
        <v>"%USERPROFILE%\Documents\GitHub\eaglep3\Utilities\RefineRTDCRunTimes.py" --tripid 88-29 --locoid 4046 --swversion DE.1.0.8.0 --startMP 204:1441 --initTime 2016-12-30T00:21:01 --startdatetime 2016-12-30T01:07:07 --delay 1 --endMP 204:233195 --enddatetime 2016-12-30T01:45:55 --enforcementcount 0 &gt;&gt;C:\Users\stu\Documents\GitHub\eaglep3-reporting\EC\2016-12-29-refined-times.txt</v>
      </c>
      <c r="AI230" s="115" t="str">
        <f t="shared" si="61"/>
        <v>echo {"issue":{"subject":"","project_id":79,"tracker_id":40,"status_id":1,"priority_id":2,"assigned_to_id":23,"start_date":"2016-12-30","description":"","custom_fields":[{"id":1,"name":"Subdivision","value":"Other"},{"id":4,"name":"Milepost","value":"23.3195"},{"id":17,"name":"Train ID","value":"88-29"},{"id":16,"name":"Locomotive ID","value":"4046"},{"id":130,"name":"Impact","value":""},{"id":150,"name":"Time of Event (Mountain Time)","value":"01:45:55"},{"id":151,"name":"Denver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80" t="str">
        <f t="shared" si="62"/>
        <v>start /low /b %USERPROFILE%\Documents\GitHub\eaglep3\Utilities\DownloadLogsFromS3.py --loco 4046 --day 2016-12-30</v>
      </c>
    </row>
    <row r="231" spans="1:39" x14ac:dyDescent="0.25">
      <c r="A231" s="34" t="s">
        <v>460</v>
      </c>
      <c r="B231" s="7">
        <v>4046</v>
      </c>
      <c r="C231" s="22" t="s">
        <v>205</v>
      </c>
      <c r="D231" s="22" t="s">
        <v>811</v>
      </c>
      <c r="E231" s="13">
        <v>42733.933449074073</v>
      </c>
      <c r="F231" s="13">
        <v>42733.983564814815</v>
      </c>
      <c r="G231" s="7">
        <v>1</v>
      </c>
      <c r="H231" s="22" t="s">
        <v>268</v>
      </c>
      <c r="I231" s="13">
        <v>42734.013912037037</v>
      </c>
      <c r="J231" s="7">
        <v>0</v>
      </c>
      <c r="K231" s="105" t="str">
        <f t="shared" si="63"/>
        <v>4045/4046</v>
      </c>
      <c r="L231" s="22" t="str">
        <f>VLOOKUP(A231,'Trips&amp;Operators'!$C$1:$G$99999,5,FALSE)</f>
        <v>MACDONALD THOMAS</v>
      </c>
      <c r="M231" s="6">
        <f t="shared" si="64"/>
        <v>3.0347222222189885E-2</v>
      </c>
      <c r="N231" s="7">
        <f t="shared" si="76"/>
        <v>43.699999999953434</v>
      </c>
      <c r="O231" s="7"/>
      <c r="P231" s="7"/>
      <c r="Q231" s="23"/>
      <c r="R231" s="23"/>
      <c r="S231" s="32">
        <f t="shared" si="65"/>
        <v>0</v>
      </c>
      <c r="T231" s="47" t="e">
        <f t="shared" si="66"/>
        <v>#VALUE!</v>
      </c>
      <c r="U231" s="16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https://search-rtdc-monitor-bjffxe2xuh6vdkpspy63sjmuny.us-east-1.es.amazonaws.com/_plugin/kibana/#/discover/Steve-Slow-Train-Analysis-(2080s-and-2083s)?_g=(refreshInterval:(display:Off,section:0,value:0),time:(from:'2016-12-29 21:24:10-700',mode:absolute,to:'2016-12-30 01:20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31" s="49" t="str">
        <f t="shared" si="68"/>
        <v>N</v>
      </c>
      <c r="X231" s="173" t="e">
        <f t="shared" si="77"/>
        <v>#VALUE!</v>
      </c>
      <c r="Y231" s="64">
        <f t="shared" si="69"/>
        <v>5.4399999999999997E-2</v>
      </c>
      <c r="Z231" s="64">
        <f t="shared" si="70"/>
        <v>23.329899999999999</v>
      </c>
      <c r="AA231" s="64">
        <f t="shared" si="71"/>
        <v>23.275499999999997</v>
      </c>
      <c r="AB231" s="61" t="e">
        <f>VLOOKUP(A231,Enforcements!$C$7:$K$19,8,0)</f>
        <v>#N/A</v>
      </c>
      <c r="AC231" s="57" t="e">
        <f>VLOOKUP(A231,Enforcements!$C$7:$E$19,3,0)</f>
        <v>#N/A</v>
      </c>
      <c r="AD231" s="58" t="str">
        <f t="shared" si="72"/>
        <v>88-29</v>
      </c>
      <c r="AE231" s="87" t="str">
        <f t="shared" si="73"/>
        <v>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 &amp; aws s3 cp s3://rtdc.mdm.uploadarchive.raw/RTDC4046/ "%USERPROFILE%\AppData\Local\Temp\OnboardLogs"\RTDC4046\2016-12-30 --exclude "*" --recursive --include "*20161230*" &amp; "%USERPROFILE%\Documents\GitHub\mrs-test-scripts\Headless Mode &amp; Sideloading\WalkAndUnGZ.bat" "%USERPROFILE%\AppData\Local\Temp\OnboardLogs"\RTDC4046\2016-12-30</v>
      </c>
      <c r="AF231" s="84" t="str">
        <f t="shared" si="74"/>
        <v>"C:\Program Files (x86)\AstroGrep\AstroGrep.exe" /spath="%USERPROFILE%\AppData\Local\Temp\OnboardLogs" /stypes="app*4046*20161230*" /stext=" 07:.+((SYSTEM_STATE.+slice.+state.+changed )|(ment ac)|(multiple cpu faults)|(system.+state.+changed )|(\[timeout)|(PRM\|1\|D)|(kpr)|(kdp)|(\|lc)|(penalty))" /e /r /s</v>
      </c>
      <c r="AG231" s="1" t="str">
        <f t="shared" si="75"/>
        <v>Other</v>
      </c>
      <c r="AH231" s="88" t="str">
        <f t="shared" si="60"/>
        <v>"%USERPROFILE%\Documents\GitHub\eaglep3\Utilities\RefineRTDCRunTimes.py" --tripid 88-29 --locoid 4046 --swversion DE.1.0.8.0 --startMP 204:544 --initTime 2016-12-29T22:24:10 --startdatetime 2016-12-29T23:36:20 --delay 1 --endMP 204:233299 --enddatetime 2016-12-30T00:20:02 --enforcementcount 0 &gt;&gt;C:\Users\stu\Documents\GitHub\eaglep3-reporting\EC\2016-12-29-refined-times.txt</v>
      </c>
      <c r="AI231" s="115" t="str">
        <f t="shared" si="61"/>
        <v>echo {"issue":{"subject":"","project_id":79,"tracker_id":40,"status_id":1,"priority_id":2,"assigned_to_id":23,"start_date":"2016-12-30","description":"","custom_fields":[{"id":1,"name":"Subdivision","value":"Other"},{"id":4,"name":"Milepost","value":"23.3299"},{"id":17,"name":"Train ID","value":"88-29"},{"id":16,"name":"Locomotive ID","value":"4046"},{"id":130,"name":"Impact","value":""},{"id":150,"name":"Time of Event (Mountain Time)","value":"00:20:02"},{"id":151,"name":"Denver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80" t="str">
        <f t="shared" si="62"/>
        <v>start /low /b %USERPROFILE%\Documents\GitHub\eaglep3\Utilities\DownloadLogsFromS3.py --loco 4046 --day 2016-12-29</v>
      </c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</sheetData>
  <autoFilter ref="A12:AG219">
    <sortState ref="A13:AG234">
      <sortCondition ref="AG13:AG234"/>
      <sortCondition ref="AD13:AD234"/>
    </sortState>
  </autoFilter>
  <sortState ref="A13:AH200">
    <sortCondition ref="AG13:AG200"/>
    <sortCondition ref="AD13:AD200"/>
  </sortState>
  <mergeCells count="1">
    <mergeCell ref="A11:P11"/>
  </mergeCells>
  <conditionalFormatting sqref="W11:W12 W233:X1048576 W13:X231">
    <cfRule type="cellIs" dxfId="10" priority="352" operator="equal">
      <formula>"Y"</formula>
    </cfRule>
  </conditionalFormatting>
  <conditionalFormatting sqref="X233:X1048576 X13:X231">
    <cfRule type="cellIs" dxfId="9" priority="335" operator="greaterThan">
      <formula>1</formula>
    </cfRule>
  </conditionalFormatting>
  <conditionalFormatting sqref="X233:X1048576 X12:X231">
    <cfRule type="cellIs" dxfId="8" priority="332" operator="equal">
      <formula>0</formula>
    </cfRule>
  </conditionalFormatting>
  <conditionalFormatting sqref="A13:S231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AK13:AK231</xm:sqref>
        </x14:dataValidation>
        <x14:dataValidation type="list" allowBlank="1" showInputMessage="1" showErrorMessage="1">
          <x14:formula1>
            <xm:f>'Redmine List Values'!$C$2:$C$15</xm:f>
          </x14:formula1>
          <xm:sqref>AL13:AL231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73"/>
  <sheetViews>
    <sheetView topLeftCell="A2" zoomScaleNormal="100" workbookViewId="0">
      <selection activeCell="P7" sqref="P7:P1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6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COUNTIF($O$7:$O$332,"=Y")</f>
        <v>3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COUNTA($O$7:$O$332)-O2</f>
        <v>36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90" t="str">
        <f>"Eagle P3 Braking Events - "&amp;TEXT(Variables!$A$2,"YYYY-mm-dd")</f>
        <v>Eagle P3 Braking Events - 2016-12-29</v>
      </c>
      <c r="B5" s="190"/>
      <c r="C5" s="190"/>
      <c r="D5" s="190"/>
      <c r="E5" s="190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226</v>
      </c>
      <c r="AE6" s="181" t="s">
        <v>431</v>
      </c>
    </row>
    <row r="7" spans="1:31" s="1" customFormat="1" x14ac:dyDescent="0.25">
      <c r="A7" s="33">
        <v>42733.775648148148</v>
      </c>
      <c r="B7" s="31" t="s">
        <v>225</v>
      </c>
      <c r="C7" s="31" t="s">
        <v>456</v>
      </c>
      <c r="D7" s="31" t="s">
        <v>49</v>
      </c>
      <c r="E7" s="31" t="s">
        <v>244</v>
      </c>
      <c r="F7" s="44">
        <v>150</v>
      </c>
      <c r="G7" s="44">
        <v>271</v>
      </c>
      <c r="H7" s="44">
        <v>26589</v>
      </c>
      <c r="I7" s="44">
        <v>27101</v>
      </c>
      <c r="J7" s="31" t="s">
        <v>245</v>
      </c>
      <c r="K7" s="44">
        <v>27053</v>
      </c>
      <c r="L7" s="150" t="s">
        <v>50</v>
      </c>
      <c r="M7" s="151">
        <f t="shared" ref="M7:M45" si="0">CONVERT((I7-K7)/10000,"mi","ft")*IF(L7="Increasing Mileposts (1)",-1,1)</f>
        <v>-25.344000000000001</v>
      </c>
      <c r="N7" s="152" t="str">
        <f>VLOOKUP(C7,'Trips&amp;Operators'!$C$1:$G$99999,5,FALSE)</f>
        <v>HILLS DUSTIN</v>
      </c>
      <c r="O7" s="179" t="s">
        <v>195</v>
      </c>
      <c r="P7" s="153" t="s">
        <v>841</v>
      </c>
      <c r="Q7" s="31"/>
      <c r="R7" s="96" t="str">
        <f>VLOOKUP(C7,'Train Runs'!$A$13:$AE$9963,31,0)</f>
        <v>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 &amp; aws s3 cp s3://rtdc.mdm.uploadarchive.raw/RTDC4014/ "%USERPROFILE%\AppData\Local\Temp\OnboardLogs"\RTDC4014\2016-12-30 --exclude "*" --recursive --include "*20161230*" &amp; "%USERPROFILE%\Documents\GitHub\mrs-test-scripts\Headless Mode &amp; Sideloading\WalkAndUnGZ.bat" "%USERPROFILE%\AppData\Local\Temp\OnboardLogs"\RTDC4014\2016-12-30</v>
      </c>
      <c r="S7" s="99" t="str">
        <f>VLOOKUP(C7,'Train Runs'!$A$13:$AE$9963,22,0)</f>
        <v>https://search-rtdc-monitor-bjffxe2xuh6vdkpspy63sjmuny.us-east-1.es.amazonaws.com/_plugin/kibana/#/discover/Steve-Slow-Train-Analysis-(2080s-and-2083s)?_g=(refreshInterval:(display:Off,section:0,value:0),time:(from:'2016-12-29 17:25:57-700',mode:absolute,to:'2016-12-29 20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7" s="101" t="str">
        <f t="shared" ref="T7:T4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/stypes="*4014*201612300*" /stext=" 01:.+((SYSTEM_STATE.+slice.+state.+changed )|(ment ac)|(multiple cpu faults)|(system.+state.+changed )|(\[timeout)|(PRM\|1\|D)|(kpr)|(kdp)|(\|lc)|(penalty))" /e /r /s</v>
      </c>
      <c r="U7" s="9" t="str">
        <f t="shared" ref="U7:U45" si="2">MID(B7,13,4)</f>
        <v>4014</v>
      </c>
      <c r="V7" s="33">
        <f t="shared" ref="V7:V45" si="3">A7-utc_offset/24</f>
        <v>42734.067314814813</v>
      </c>
      <c r="W7" s="47" t="str">
        <f t="shared" ref="W7:W45" si="4">IF(VALUE(LEFT(IF(LEN(C7)=6,"0"&amp;C7,C7),2))&lt;=2,"EC",IF(OR(VALUE(LEFT(IF(LEN(C7)=6,"0"&amp;C7,C7),2))=8,VALUE(LEFT(IF(LEN(C7)=6,"0"&amp;C7,C7),2))=18),"NW","Other"))</f>
        <v>EC</v>
      </c>
      <c r="X7" s="47" t="str">
        <f t="shared" ref="X7:X45" si="5">IF(AND(E7="TRACK WARRANT AUTHORITY",G7&lt;10),"OMIT","KEEP")</f>
        <v>KEEP</v>
      </c>
      <c r="Y7" s="115" t="str">
        <f t="shared" ref="Y7:Y4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arrival","project_id":79,"tracker_id":40,"status_id":1,"priority_id":2,"assigned_to_id":23,"start_date":"2016-12-29","description":"","custom_fields":[{"id":1,"name":"Subdivision","value":"EC"},{"id":4,"name":"Milepost","value":"2.7053"},{"id":17,"name":"Train ID","value":"219-29"},{"id":16,"name":"Locomotive ID","value":"4014"},{"id":130,"name":"Impact","value":""},{"id":150,"name":"Time of Event (Mountain Time)","value":"18:36:56"},{"id":151,"name":"Denver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45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"%USERPROFILE%\AppData\Local\Temp\OnboardLogs"\RTDC4014\*4014*201612300*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"%USERPROFILE%\AppData\Local\Temp\OnboardLogs"\RTDC4014\*4014*201612300* &gt;&gt; 42733-slicedisagreementcheck.txt</v>
      </c>
      <c r="AE7" s="183" t="str">
        <f t="shared" ref="AE7:AE45" si="8">"start /low /b "&amp;dls3logs&amp;" --loco "&amp;U7&amp;" --day "&amp;TEXT(V7,"YYYY-MM-DD")</f>
        <v>start /low /b %USERPROFILE%\Documents\GitHub\eaglep3\Utilities\DownloadLogsFromS3.py --loco 4014 --day 2016-12-30</v>
      </c>
    </row>
    <row r="8" spans="1:31" s="1" customFormat="1" x14ac:dyDescent="0.25">
      <c r="A8" s="33">
        <v>42734.006712962961</v>
      </c>
      <c r="B8" s="31" t="s">
        <v>212</v>
      </c>
      <c r="C8" s="31" t="s">
        <v>463</v>
      </c>
      <c r="D8" s="31" t="s">
        <v>98</v>
      </c>
      <c r="E8" s="31" t="s">
        <v>244</v>
      </c>
      <c r="F8" s="44">
        <v>130</v>
      </c>
      <c r="G8" s="44">
        <v>183</v>
      </c>
      <c r="H8" s="44">
        <v>31007</v>
      </c>
      <c r="I8" s="44">
        <v>34693</v>
      </c>
      <c r="J8" s="31" t="s">
        <v>245</v>
      </c>
      <c r="K8" s="44">
        <v>30830</v>
      </c>
      <c r="L8" s="150" t="s">
        <v>50</v>
      </c>
      <c r="M8" s="151">
        <f t="shared" si="0"/>
        <v>-2039.664</v>
      </c>
      <c r="N8" s="152" t="str">
        <f>VLOOKUP(C8,'Trips&amp;Operators'!$C$1:$G$99999,5,FALSE)</f>
        <v>BROWN JACOB</v>
      </c>
      <c r="O8" s="179" t="s">
        <v>195</v>
      </c>
      <c r="P8" s="153" t="s">
        <v>841</v>
      </c>
      <c r="Q8" s="31"/>
      <c r="R8" s="96" t="str">
        <f>VLOOKUP(C8,'Train Runs'!$A$13:$AE$9963,31,0)</f>
        <v>aws s3 cp s3://rtdc.mdm.uploadarchive.raw/RTDC4002/ "%USERPROFILE%\AppData\Local\Temp\OnboardLogs"\RTDC4002\2016-12-30 --exclude "*" --recursive --include "*20161230*" &amp; "%USERPROFILE%\Documents\GitHub\mrs-test-scripts\Headless Mode &amp; Sideloading\WalkAndUnGZ.bat" "%USERPROFILE%\AppData\Local\Temp\OnboardLogs"\RTDC4002\2016-12-30 &amp; aws s3 cp s3://rtdc.mdm.uploadarchive.raw/RTDC4002/ "%USERPROFILE%\AppData\Local\Temp\OnboardLogs"\RTDC4002\2016-12-31 --exclude "*" --recursive --include "*20161231*" &amp; "%USERPROFILE%\Documents\GitHub\mrs-test-scripts\Headless Mode &amp; Sideloading\WalkAndUnGZ.bat" "%USERPROFILE%\AppData\Local\Temp\OnboardLogs"\RTDC4002\2016-12-31</v>
      </c>
      <c r="S8" s="99" t="str">
        <f>VLOOKUP(C8,'Train Runs'!$A$13:$AE$9963,22,0)</f>
        <v>https://search-rtdc-monitor-bjffxe2xuh6vdkpspy63sjmuny.us-east-1.es.amazonaws.com/_plugin/kibana/#/discover/Steve-Slow-Train-Analysis-(2080s-and-2083s)?_g=(refreshInterval:(display:Off,section:0,value:0),time:(from:'2016-12-29 22:54:04-700',mode:absolute,to:'2016-12-30 01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8" s="101" t="str">
        <f t="shared" si="1"/>
        <v>"C:\Program Files (x86)\AstroGrep\AstroGrep.exe" /spath="%USERPROFILE%\AppData\Local\Temp\OnboardLogs" /stypes="*4002*201612300*" /stext=" 07:.+((SYSTEM_STATE.+slice.+state.+changed )|(ment ac)|(multiple cpu faults)|(system.+state.+changed )|(\[timeout)|(PRM\|1\|D)|(kpr)|(kdp)|(\|lc)|(penalty))" /e /r /s</v>
      </c>
      <c r="U8" s="9" t="str">
        <f t="shared" si="2"/>
        <v>4002</v>
      </c>
      <c r="V8" s="33">
        <f t="shared" si="3"/>
        <v>42734.298379629625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arrival","project_id":79,"tracker_id":40,"status_id":1,"priority_id":2,"assigned_to_id":23,"start_date":"2016-12-30","description":"","custom_fields":[{"id":1,"name":"Subdivision","value":"EC"},{"id":4,"name":"Milepost","value":"3.083"},{"id":17,"name":"Train ID","value":"241-29"},{"id":16,"name":"Locomotive ID","value":"4002"},{"id":130,"name":"Impact","value":""},{"id":150,"name":"Time of Event (Mountain Time)","value":"00:09:40"},{"id":151,"name":"Denver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-A100 "Enforcement Action" "%USERPROFILE%\AppData\Local\Temp\OnboardLogs"\RTDC4002\*4002*201612300*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"%USERPROFILE%\AppData\Local\Temp\OnboardLogs"\RTDC4002\*4002*201612300* &gt;&gt; 42733-slicedisagreementcheck.txt</v>
      </c>
      <c r="AE8" s="183" t="str">
        <f t="shared" si="8"/>
        <v>start /low /b %USERPROFILE%\Documents\GitHub\eaglep3\Utilities\DownloadLogsFromS3.py --loco 4002 --day 2016-12-30</v>
      </c>
    </row>
    <row r="9" spans="1:31" s="1" customFormat="1" x14ac:dyDescent="0.25">
      <c r="A9" s="33">
        <v>42733.778553240743</v>
      </c>
      <c r="B9" s="31" t="s">
        <v>262</v>
      </c>
      <c r="C9" s="31" t="s">
        <v>457</v>
      </c>
      <c r="D9" s="31" t="s">
        <v>49</v>
      </c>
      <c r="E9" s="31" t="s">
        <v>244</v>
      </c>
      <c r="F9" s="44">
        <v>310</v>
      </c>
      <c r="G9" s="44">
        <v>371</v>
      </c>
      <c r="H9" s="44">
        <v>35741</v>
      </c>
      <c r="I9" s="44">
        <v>34684</v>
      </c>
      <c r="J9" s="31" t="s">
        <v>245</v>
      </c>
      <c r="K9" s="44">
        <v>33257</v>
      </c>
      <c r="L9" s="150" t="s">
        <v>51</v>
      </c>
      <c r="M9" s="151">
        <f t="shared" si="0"/>
        <v>753.45600000000002</v>
      </c>
      <c r="N9" s="152" t="str">
        <f>VLOOKUP(C9,'Trips&amp;Operators'!$C$1:$G$99999,5,FALSE)</f>
        <v>LOPES KIMBERLY</v>
      </c>
      <c r="O9" s="179" t="s">
        <v>195</v>
      </c>
      <c r="P9" s="153" t="s">
        <v>841</v>
      </c>
      <c r="Q9" s="31"/>
      <c r="R9" s="96" t="str">
        <f>VLOOKUP(C9,'Train Runs'!$A$13:$AE$9963,31,0)</f>
        <v>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 &amp; aws s3 cp s3://rtdc.mdm.uploadarchive.raw/RTDC4004/ "%USERPROFILE%\AppData\Local\Temp\OnboardLogs"\RTDC4004\2016-12-30 --exclude "*" --recursive --include "*20161230*" &amp; "%USERPROFILE%\Documents\GitHub\mrs-test-scripts\Headless Mode &amp; Sideloading\WalkAndUnGZ.bat" "%USERPROFILE%\AppData\Local\Temp\OnboardLogs"\RTDC4004\2016-12-30</v>
      </c>
      <c r="S9" s="99" t="str">
        <f>VLOOKUP(C9,'Train Runs'!$A$13:$AE$9963,22,0)</f>
        <v>https://search-rtdc-monitor-bjffxe2xuh6vdkpspy63sjmuny.us-east-1.es.amazonaws.com/_plugin/kibana/#/discover/Steve-Slow-Train-Analysis-(2080s-and-2083s)?_g=(refreshInterval:(display:Off,section:0,value:0),time:(from:'2016-12-29 16:56:39-700',mode:absolute,to:'2016-12-29 19:51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9" s="101" t="str">
        <f t="shared" si="1"/>
        <v>"C:\Program Files (x86)\AstroGrep\AstroGrep.exe" /spath="%USERPROFILE%\AppData\Local\Temp\OnboardLogs" /stypes="*4004*201612300*" /stext=" 01:.+((SYSTEM_STATE.+slice.+state.+changed )|(ment ac)|(multiple cpu faults)|(system.+state.+changed )|(\[timeout)|(PRM\|1\|D)|(kpr)|(kdp)|(\|lc)|(penalty))" /e /r /s</v>
      </c>
      <c r="U9" s="9" t="str">
        <f t="shared" si="2"/>
        <v>4004</v>
      </c>
      <c r="V9" s="33">
        <f t="shared" si="3"/>
        <v>42734.070219907408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arrival","project_id":79,"tracker_id":40,"status_id":1,"priority_id":2,"assigned_to_id":23,"start_date":"2016-12-29","description":"","custom_fields":[{"id":1,"name":"Subdivision","value":"EC"},{"id":4,"name":"Milepost","value":"3.3257"},{"id":17,"name":"Train ID","value":"210-29"},{"id":16,"name":"Locomotive ID","value":"4004"},{"id":130,"name":"Impact","value":""},{"id":150,"name":"Time of Event (Mountain Time)","value":"18:41:07"},{"id":151,"name":"Denver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-A100 "Enforcement Action" "%USERPROFILE%\AppData\Local\Temp\OnboardLogs"\RTDC4004\*4004*201612300*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"%USERPROFILE%\AppData\Local\Temp\OnboardLogs"\RTDC4004\*4004*201612300* &gt;&gt; 42733-slicedisagreementcheck.txt</v>
      </c>
      <c r="AE9" s="183" t="str">
        <f t="shared" si="8"/>
        <v>start /low /b %USERPROFILE%\Documents\GitHub\eaglep3\Utilities\DownloadLogsFromS3.py --loco 4004 --day 2016-12-30</v>
      </c>
    </row>
    <row r="10" spans="1:31" s="1" customFormat="1" x14ac:dyDescent="0.25">
      <c r="A10" s="33">
        <v>42733.757199074076</v>
      </c>
      <c r="B10" s="31" t="s">
        <v>231</v>
      </c>
      <c r="C10" s="31" t="s">
        <v>453</v>
      </c>
      <c r="D10" s="31" t="s">
        <v>49</v>
      </c>
      <c r="E10" s="31" t="s">
        <v>244</v>
      </c>
      <c r="F10" s="44">
        <v>0</v>
      </c>
      <c r="G10" s="44">
        <v>436</v>
      </c>
      <c r="H10" s="44">
        <v>42356</v>
      </c>
      <c r="I10" s="44">
        <v>43278</v>
      </c>
      <c r="J10" s="31" t="s">
        <v>245</v>
      </c>
      <c r="K10" s="44">
        <v>42779</v>
      </c>
      <c r="L10" s="150" t="s">
        <v>50</v>
      </c>
      <c r="M10" s="151">
        <f t="shared" si="0"/>
        <v>-263.47199999999998</v>
      </c>
      <c r="N10" s="152" t="str">
        <f>VLOOKUP(C10,'Trips&amp;Operators'!$C$1:$G$99999,5,FALSE)</f>
        <v>BRANNON JEFFREY</v>
      </c>
      <c r="O10" s="179" t="s">
        <v>195</v>
      </c>
      <c r="P10" s="153" t="s">
        <v>841</v>
      </c>
      <c r="Q10" s="31"/>
      <c r="R10" s="96" t="str">
        <f>VLOOKUP(C10,'Train Runs'!$A$13:$AE$9963,31,0)</f>
        <v>aws s3 cp s3://rtdc.mdm.uploadarchive.raw/RTDC4042/ "%USERPROFILE%\AppData\Local\Temp\OnboardLogs"\RTDC4042\2016-12-29 --exclude "*" --recursive --include "*20161229*" &amp; "%USERPROFILE%\Documents\GitHub\mrs-test-scripts\Headless Mode &amp; Sideloading\WalkAndUnGZ.bat" "%USERPROFILE%\AppData\Local\Temp\OnboardLogs"\RTDC4042\2016-12-29 &amp; aws s3 cp s3://rtdc.mdm.uploadarchive.raw/RTDC4042/ "%USERPROFILE%\AppData\Local\Temp\OnboardLogs"\RTDC4042\2016-12-30 --exclude "*" --recursive --include "*20161230*" &amp; "%USERPROFILE%\Documents\GitHub\mrs-test-scripts\Headless Mode &amp; Sideloading\WalkAndUnGZ.bat" "%USERPROFILE%\AppData\Local\Temp\OnboardLogs"\RTDC4042\2016-12-30</v>
      </c>
      <c r="S10" s="99" t="str">
        <f>VLOOKUP(C10,'Train Runs'!$A$13:$AE$9963,22,0)</f>
        <v>https://search-rtdc-monitor-bjffxe2xuh6vdkpspy63sjmuny.us-east-1.es.amazonaws.com/_plugin/kibana/#/discover/Steve-Slow-Train-Analysis-(2080s-and-2083s)?_g=(refreshInterval:(display:Off,section:0,value:0),time:(from:'2016-12-29 16:57:01-700',mode:absolute,to:'2016-12-29 19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0" s="101" t="str">
        <f t="shared" si="1"/>
        <v>"C:\Program Files (x86)\AstroGrep\AstroGrep.exe" /spath="%USERPROFILE%\AppData\Local\Temp\OnboardLogs" /stypes="*4042*201612300*" /stext=" 01:.+((SYSTEM_STATE.+slice.+state.+changed )|(ment ac)|(multiple cpu faults)|(system.+state.+changed )|(\[timeout)|(PRM\|1\|D)|(kpr)|(kdp)|(\|lc)|(penalty))" /e /r /s</v>
      </c>
      <c r="U10" s="9" t="str">
        <f t="shared" si="2"/>
        <v>4042</v>
      </c>
      <c r="V10" s="33">
        <f t="shared" si="3"/>
        <v>42734.04886574074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{"issue":{"subject":"Early arrival","project_id":79,"tracker_id":40,"status_id":1,"priority_id":2,"assigned_to_id":23,"start_date":"2016-12-29","description":"","custom_fields":[{"id":1,"name":"Subdivision","value":"EC"},{"id":4,"name":"Milepost","value":"4.2779"},{"id":17,"name":"Train ID","value":"215-29"},{"id":16,"name":"Locomotive ID","value":"4042"},{"id":130,"name":"Impact","value":""},{"id":150,"name":"Time of Event (Mountain Time)","value":"18:10:22"},{"id":151,"name":"Denver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-A100 "Enforcement Action" "%USERPROFILE%\AppData\Local\Temp\OnboardLogs"\RTDC4042\*4042*201612300*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"%USERPROFILE%\AppData\Local\Temp\OnboardLogs"\RTDC4042\*4042*201612300* &gt;&gt; 42733-slicedisagreementcheck.txt</v>
      </c>
      <c r="AE10" s="183" t="str">
        <f t="shared" si="8"/>
        <v>start /low /b %USERPROFILE%\Documents\GitHub\eaglep3\Utilities\DownloadLogsFromS3.py --loco 4042 --day 2016-12-30</v>
      </c>
    </row>
    <row r="11" spans="1:31" s="1" customFormat="1" x14ac:dyDescent="0.25">
      <c r="A11" s="33">
        <v>42733.854675925926</v>
      </c>
      <c r="B11" s="31" t="s">
        <v>262</v>
      </c>
      <c r="C11" s="31" t="s">
        <v>459</v>
      </c>
      <c r="D11" s="31" t="s">
        <v>49</v>
      </c>
      <c r="E11" s="31" t="s">
        <v>196</v>
      </c>
      <c r="F11" s="44">
        <v>300</v>
      </c>
      <c r="G11" s="44">
        <v>402</v>
      </c>
      <c r="H11" s="44">
        <v>23037</v>
      </c>
      <c r="I11" s="44">
        <v>21913</v>
      </c>
      <c r="J11" s="31" t="s">
        <v>197</v>
      </c>
      <c r="K11" s="44">
        <v>21848</v>
      </c>
      <c r="L11" s="150" t="s">
        <v>51</v>
      </c>
      <c r="M11" s="151">
        <f t="shared" si="0"/>
        <v>34.32</v>
      </c>
      <c r="N11" s="152" t="str">
        <f>VLOOKUP(C11,'Trips&amp;Operators'!$C$1:$G$99999,5,FALSE)</f>
        <v>LOPES KIMBERLY</v>
      </c>
      <c r="O11" s="179" t="s">
        <v>195</v>
      </c>
      <c r="P11" s="153"/>
      <c r="Q11" s="31"/>
      <c r="R11" s="96" t="str">
        <f>VLOOKUP(C11,'Train Runs'!$A$13:$AE$9963,31,0)</f>
        <v>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 &amp; aws s3 cp s3://rtdc.mdm.uploadarchive.raw/RTDC4004/ "%USERPROFILE%\AppData\Local\Temp\OnboardLogs"\RTDC4004\2016-12-30 --exclude "*" --recursive --include "*20161230*" &amp; "%USERPROFILE%\Documents\GitHub\mrs-test-scripts\Headless Mode &amp; Sideloading\WalkAndUnGZ.bat" "%USERPROFILE%\AppData\Local\Temp\OnboardLogs"\RTDC4004\2016-12-30</v>
      </c>
      <c r="S11" s="99" t="str">
        <f>VLOOKUP(C11,'Train Runs'!$A$13:$AE$9963,22,0)</f>
        <v>https://search-rtdc-monitor-bjffxe2xuh6vdkpspy63sjmuny.us-east-1.es.amazonaws.com/_plugin/kibana/#/discover/Steve-Slow-Train-Analysis-(2080s-and-2083s)?_g=(refreshInterval:(display:Off,section:0,value:0),time:(from:'2016-12-29 18:44:02-700',mode:absolute,to:'2016-12-29 21:38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1" s="101" t="str">
        <f t="shared" si="1"/>
        <v>"C:\Program Files (x86)\AstroGrep\AstroGrep.exe" /spath="%USERPROFILE%\AppData\Local\Temp\OnboardLogs" /stypes="*4004*201612300*" /stext=" 03:.+((SYSTEM_STATE.+slice.+state.+changed )|(ment ac)|(multiple cpu faults)|(system.+state.+changed )|(\[timeout)|(PRM\|1\|D)|(kpr)|(kdp)|(\|lc)|(penalty))" /e /r /s</v>
      </c>
      <c r="U11" s="9" t="str">
        <f t="shared" si="2"/>
        <v>4004</v>
      </c>
      <c r="V11" s="33">
        <f t="shared" si="3"/>
        <v>42734.14634259259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{"issue":{"subject":"","project_id":79,"tracker_id":40,"status_id":1,"priority_id":2,"assigned_to_id":23,"start_date":"2016-12-29","description":"","custom_fields":[{"id":1,"name":"Subdivision","value":"EC"},{"id":4,"name":"Milepost","value":"2.1848"},{"id":17,"name":"Train ID","value":"222-29"},{"id":16,"name":"Locomotive ID","value":"4004"},{"id":130,"name":"Impact","value":""},{"id":150,"name":"Time of Event (Mountain Time)","value":"20:30:44"},{"id":151,"name":"Denver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-A100 "Enforcement Action" "%USERPROFILE%\AppData\Local\Temp\OnboardLogs"\RTDC4004\*4004*201612300*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"%USERPROFILE%\AppData\Local\Temp\OnboardLogs"\RTDC4004\*4004*201612300* &gt;&gt; 42733-slicedisagreementcheck.txt</v>
      </c>
      <c r="AE11" s="183" t="str">
        <f t="shared" si="8"/>
        <v>start /low /b %USERPROFILE%\Documents\GitHub\eaglep3\Utilities\DownloadLogsFromS3.py --loco 4004 --day 2016-12-30</v>
      </c>
    </row>
    <row r="12" spans="1:31" s="1" customFormat="1" x14ac:dyDescent="0.25">
      <c r="A12" s="33">
        <v>42733.512870370374</v>
      </c>
      <c r="B12" s="31" t="s">
        <v>334</v>
      </c>
      <c r="C12" s="31" t="s">
        <v>439</v>
      </c>
      <c r="D12" s="31" t="s">
        <v>98</v>
      </c>
      <c r="E12" s="31" t="s">
        <v>196</v>
      </c>
      <c r="F12" s="44">
        <v>600</v>
      </c>
      <c r="G12" s="44">
        <v>650</v>
      </c>
      <c r="H12" s="44">
        <v>184517</v>
      </c>
      <c r="I12" s="44">
        <v>181346</v>
      </c>
      <c r="J12" s="31" t="s">
        <v>197</v>
      </c>
      <c r="K12" s="44">
        <v>190834</v>
      </c>
      <c r="L12" s="150" t="s">
        <v>51</v>
      </c>
      <c r="M12" s="151">
        <f t="shared" si="0"/>
        <v>-5009.6639999999998</v>
      </c>
      <c r="N12" s="152" t="str">
        <f>VLOOKUP(C12,'Trips&amp;Operators'!$C$1:$G$99999,5,FALSE)</f>
        <v>KILLION DAVID</v>
      </c>
      <c r="O12" s="179" t="s">
        <v>195</v>
      </c>
      <c r="P12" s="153"/>
      <c r="Q12" s="31"/>
      <c r="R12" s="96" t="str">
        <f>VLOOKUP(C12,'Train Runs'!$A$13:$AE$9963,31,0)</f>
        <v>aws s3 cp s3://rtdc.mdm.uploadarchive.raw/RTDC4001/ "%USERPROFILE%\AppData\Local\Temp\OnboardLogs"\RTDC4001\2016-12-29 --exclude "*" --recursive --include "*20161229*" &amp; "%USERPROFILE%\Documents\GitHub\mrs-test-scripts\Headless Mode &amp; Sideloading\WalkAndUnGZ.bat" "%USERPROFILE%\AppData\Local\Temp\OnboardLogs"\RTDC4001\2016-12-29 &amp; aws s3 cp s3://rtdc.mdm.uploadarchive.raw/RTDC4001/ "%USERPROFILE%\AppData\Local\Temp\OnboardLogs"\RTDC4001\2016-12-30 --exclude "*" --recursive --include "*20161230*" &amp; "%USERPROFILE%\Documents\GitHub\mrs-test-scripts\Headless Mode &amp; Sideloading\WalkAndUnGZ.bat" "%USERPROFILE%\AppData\Local\Temp\OnboardLogs"\RTDC4001\2016-12-30</v>
      </c>
      <c r="S12" s="99" t="str">
        <f>VLOOKUP(C12,'Train Runs'!$A$13:$AE$9963,22,0)</f>
        <v>https://search-rtdc-monitor-bjffxe2xuh6vdkpspy63sjmuny.us-east-1.es.amazonaws.com/_plugin/kibana/#/discover/Steve-Slow-Train-Analysis-(2080s-and-2083s)?_g=(refreshInterval:(display:Off,section:0,value:0),time:(from:'2016-12-29 11:01:43-700',mode:absolute,to:'2016-12-29 13:52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2" s="101" t="str">
        <f t="shared" si="1"/>
        <v>"C:\Program Files (x86)\AstroGrep\AstroGrep.exe" /spath="%USERPROFILE%\AppData\Local\Temp\OnboardLogs" /stypes="*4001*201612291*" /stext=" 19:.+((SYSTEM_STATE.+slice.+state.+changed )|(ment ac)|(multiple cpu faults)|(system.+state.+changed )|(\[timeout)|(PRM\|1\|D)|(kpr)|(kdp)|(\|lc)|(penalty))" /e /r /s</v>
      </c>
      <c r="U12" s="9" t="str">
        <f t="shared" si="2"/>
        <v>4001</v>
      </c>
      <c r="V12" s="33">
        <f t="shared" si="3"/>
        <v>42733.804537037038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{"issue":{"subject":"","project_id":79,"tracker_id":40,"status_id":1,"priority_id":2,"assigned_to_id":23,"start_date":"2016-12-29","description":"","custom_fields":[{"id":1,"name":"Subdivision","value":"EC"},{"id":4,"name":"Milepost","value":"19.0834"},{"id":17,"name":"Train ID","value":"162-29"},{"id":16,"name":"Locomotive ID","value":"4001"},{"id":130,"name":"Impact","value":""},{"id":150,"name":"Time of Event (Mountain Time)","value":"12:18:32"},{"id":151,"name":"Denver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-A100 "Enforcement Action" "%USERPROFILE%\AppData\Local\Temp\OnboardLogs"\RTDC4001\*4001*201612291*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"%USERPROFILE%\AppData\Local\Temp\OnboardLogs"\RTDC4001\*4001*201612291* &gt;&gt; 42733-slicedisagreementcheck.txt</v>
      </c>
      <c r="AE12" s="183" t="str">
        <f t="shared" si="8"/>
        <v>start /low /b %USERPROFILE%\Documents\GitHub\eaglep3\Utilities\DownloadLogsFromS3.py --loco 4001 --day 2016-12-29</v>
      </c>
    </row>
    <row r="13" spans="1:31" s="1" customFormat="1" x14ac:dyDescent="0.25">
      <c r="A13" s="33">
        <v>42733.195891203701</v>
      </c>
      <c r="B13" s="31" t="s">
        <v>351</v>
      </c>
      <c r="C13" s="31" t="s">
        <v>435</v>
      </c>
      <c r="D13" s="31" t="s">
        <v>49</v>
      </c>
      <c r="E13" s="31" t="s">
        <v>196</v>
      </c>
      <c r="F13" s="44">
        <v>150</v>
      </c>
      <c r="G13" s="44">
        <v>206</v>
      </c>
      <c r="H13" s="44">
        <v>231284</v>
      </c>
      <c r="I13" s="44">
        <v>230939</v>
      </c>
      <c r="J13" s="31" t="s">
        <v>197</v>
      </c>
      <c r="K13" s="44">
        <v>231269</v>
      </c>
      <c r="L13" s="150" t="s">
        <v>51</v>
      </c>
      <c r="M13" s="151">
        <f t="shared" si="0"/>
        <v>-174.24</v>
      </c>
      <c r="N13" s="152" t="str">
        <f>VLOOKUP(C13,'Trips&amp;Operators'!$C$1:$G$99999,5,FALSE)</f>
        <v>ISHMAEL JOSEPH</v>
      </c>
      <c r="O13" s="179" t="s">
        <v>195</v>
      </c>
      <c r="P13" s="153"/>
      <c r="Q13" s="31"/>
      <c r="R13" s="96" t="str">
        <f>VLOOKUP(C13,'Train Runs'!$A$13:$AE$9963,31,0)</f>
        <v>aws s3 cp s3://rtdc.mdm.uploadarchive.raw/RTDC4041/ "%USERPROFILE%\AppData\Local\Temp\OnboardLogs"\RTDC4041\2016-12-29 --exclude "*" --recursive --include "*20161229*" &amp; "%USERPROFILE%\Documents\GitHub\mrs-test-scripts\Headless Mode &amp; Sideloading\WalkAndUnGZ.bat" "%USERPROFILE%\AppData\Local\Temp\OnboardLogs"\RTDC4041\2016-12-29 &amp; aws s3 cp s3://rtdc.mdm.uploadarchive.raw/RTDC4041/ "%USERPROFILE%\AppData\Local\Temp\OnboardLogs"\RTDC4041\2016-12-30 --exclude "*" --recursive --include "*20161230*" &amp; "%USERPROFILE%\Documents\GitHub\mrs-test-scripts\Headless Mode &amp; Sideloading\WalkAndUnGZ.bat" "%USERPROFILE%\AppData\Local\Temp\OnboardLogs"\RTDC4041\2016-12-30</v>
      </c>
      <c r="S13" s="99" t="str">
        <f>VLOOKUP(C13,'Train Runs'!$A$13:$AE$9963,22,0)</f>
        <v>https://search-rtdc-monitor-bjffxe2xuh6vdkpspy63sjmuny.us-east-1.es.amazonaws.com/_plugin/kibana/#/discover/Steve-Slow-Train-Analysis-(2080s-and-2083s)?_g=(refreshInterval:(display:Off,section:0,value:0),time:(from:'2016-12-29 03:22:04-700',mode:absolute,to:'2016-12-29 06:23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3" s="101" t="str">
        <f t="shared" si="1"/>
        <v>"C:\Program Files (x86)\AstroGrep\AstroGrep.exe" /spath="%USERPROFILE%\AppData\Local\Temp\OnboardLogs" /stypes="*4041*201612291*" /stext=" 11:.+((SYSTEM_STATE.+slice.+state.+changed )|(ment ac)|(multiple cpu faults)|(system.+state.+changed )|(\[timeout)|(PRM\|1\|D)|(kpr)|(kdp)|(\|lc)|(penalty))" /e /r /s</v>
      </c>
      <c r="U13" s="9" t="str">
        <f t="shared" si="2"/>
        <v>4041</v>
      </c>
      <c r="V13" s="33">
        <f t="shared" si="3"/>
        <v>42733.487557870365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{"issue":{"subject":"","project_id":79,"tracker_id":40,"status_id":1,"priority_id":2,"assigned_to_id":23,"start_date":"2016-12-29","description":"","custom_fields":[{"id":1,"name":"Subdivision","value":"EC"},{"id":4,"name":"Milepost","value":"23.1269"},{"id":17,"name":"Train ID","value":"104-29"},{"id":16,"name":"Locomotive ID","value":"4041"},{"id":130,"name":"Impact","value":""},{"id":150,"name":"Time of Event (Mountain Time)","value":"04:42:05"},{"id":151,"name":"Denver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-A100 "Enforcement Action" "%USERPROFILE%\AppData\Local\Temp\OnboardLogs"\RTDC4041\*4041*201612291*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"%USERPROFILE%\AppData\Local\Temp\OnboardLogs"\RTDC4041\*4041*201612291* &gt;&gt; 42733-slicedisagreementcheck.txt</v>
      </c>
      <c r="AE13" s="183" t="str">
        <f t="shared" si="8"/>
        <v>start /low /b %USERPROFILE%\Documents\GitHub\eaglep3\Utilities\DownloadLogsFromS3.py --loco 4041 --day 2016-12-29</v>
      </c>
    </row>
    <row r="14" spans="1:31" s="1" customFormat="1" x14ac:dyDescent="0.25">
      <c r="A14" s="33">
        <v>42733.569247685184</v>
      </c>
      <c r="B14" s="31" t="s">
        <v>278</v>
      </c>
      <c r="C14" s="31" t="s">
        <v>441</v>
      </c>
      <c r="D14" s="31" t="s">
        <v>98</v>
      </c>
      <c r="E14" s="31" t="s">
        <v>198</v>
      </c>
      <c r="F14" s="44">
        <v>0</v>
      </c>
      <c r="G14" s="44">
        <v>434</v>
      </c>
      <c r="H14" s="44">
        <v>132392</v>
      </c>
      <c r="I14" s="44">
        <v>131214</v>
      </c>
      <c r="J14" s="31" t="s">
        <v>199</v>
      </c>
      <c r="K14" s="44">
        <v>133166</v>
      </c>
      <c r="L14" s="150" t="s">
        <v>51</v>
      </c>
      <c r="M14" s="151">
        <f t="shared" si="0"/>
        <v>-1030.6559999999999</v>
      </c>
      <c r="N14" s="152" t="str">
        <f>VLOOKUP(C14,'Trips&amp;Operators'!$C$1:$G$99999,5,FALSE)</f>
        <v>BRANNON JEFFREY</v>
      </c>
      <c r="O14" s="179" t="s">
        <v>227</v>
      </c>
      <c r="P14" s="153" t="s">
        <v>843</v>
      </c>
      <c r="Q14" s="31"/>
      <c r="R14" s="96" t="str">
        <f>VLOOKUP(C14,'Train Runs'!$A$13:$AE$9963,31,0)</f>
        <v>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 &amp; aws s3 cp s3://rtdc.mdm.uploadarchive.raw/RTDC4043/ "%USERPROFILE%\AppData\Local\Temp\OnboardLogs"\RTDC4043\2016-12-30 --exclude "*" --recursive --include "*20161230*" &amp; "%USERPROFILE%\Documents\GitHub\mrs-test-scripts\Headless Mode &amp; Sideloading\WalkAndUnGZ.bat" "%USERPROFILE%\AppData\Local\Temp\OnboardLogs"\RTDC4043\2016-12-30</v>
      </c>
      <c r="S14" s="99" t="str">
        <f>VLOOKUP(C14,'Train Runs'!$A$13:$AE$9963,22,0)</f>
        <v>https://search-rtdc-monitor-bjffxe2xuh6vdkpspy63sjmuny.us-east-1.es.amazonaws.com/_plugin/kibana/#/discover/Steve-Slow-Train-Analysis-(2080s-and-2083s)?_g=(refreshInterval:(display:Off,section:0,value:0),time:(from:'2016-12-29 12:12:29-700',mode:absolute,to:'2016-12-29 15:09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4" s="101" t="str">
        <f t="shared" si="1"/>
        <v>"C:\Program Files (x86)\AstroGrep\AstroGrep.exe" /spath="%USERPROFILE%\AppData\Local\Temp\OnboardLogs" /stypes="*4043*201612292*" /stext=" 20:.+((SYSTEM_STATE.+slice.+state.+changed )|(ment ac)|(multiple cpu faults)|(system.+state.+changed )|(\[timeout)|(PRM\|1\|D)|(kpr)|(kdp)|(\|lc)|(penalty))" /e /r /s</v>
      </c>
      <c r="U14" s="9" t="str">
        <f t="shared" si="2"/>
        <v>4043</v>
      </c>
      <c r="V14" s="33">
        <f t="shared" si="3"/>
        <v>42733.860914351848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{"issue":{"subject":"Premature downgrade at EC1332RH 140-2T 2S","project_id":79,"tracker_id":40,"status_id":1,"priority_id":2,"assigned_to_id":23,"start_date":"2016-12-29","description":"EC1332RH 140-2T 2S dropped from 180 to 0 as train approached the signal. Do logs indicate any issues at this time?","custom_fields":[{"id":1,"name":"Subdivision","value":"EC"},{"id":4,"name":"Milepost","value":"13.3166"},{"id":17,"name":"Train ID","value":"172-29"},{"id":16,"name":"Locomotive ID","value":"4043"},{"id":130,"name":"Impact","value":"Enforcement"},{"id":150,"name":"Time of Event (Mountain Time)","value":"13:39:43"},{"id":151,"name":"Denver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4" s="50" t="s">
        <v>844</v>
      </c>
      <c r="AA14" s="50" t="s">
        <v>125</v>
      </c>
      <c r="AB14" s="50" t="s">
        <v>130</v>
      </c>
      <c r="AC14" s="134" t="str">
        <f t="shared" si="7"/>
        <v>grep -hSE -A100 "Enforcement Action" "%USERPROFILE%\AppData\Local\Temp\OnboardLogs"\RTDC4043\*4043*201612292*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"%USERPROFILE%\AppData\Local\Temp\OnboardLogs"\RTDC4043\*4043*201612292* &gt;&gt; 42733-slicedisagreementcheck.txt</v>
      </c>
      <c r="AE14" s="183" t="str">
        <f t="shared" si="8"/>
        <v>start /low /b %USERPROFILE%\Documents\GitHub\eaglep3\Utilities\DownloadLogsFromS3.py --loco 4043 --day 2016-12-29</v>
      </c>
    </row>
    <row r="15" spans="1:31" s="1" customFormat="1" x14ac:dyDescent="0.25">
      <c r="A15" s="33">
        <v>42733.524444444447</v>
      </c>
      <c r="B15" s="31" t="s">
        <v>334</v>
      </c>
      <c r="C15" s="31" t="s">
        <v>439</v>
      </c>
      <c r="D15" s="31" t="s">
        <v>49</v>
      </c>
      <c r="E15" s="31" t="s">
        <v>374</v>
      </c>
      <c r="F15" s="44">
        <v>100</v>
      </c>
      <c r="G15" s="44">
        <v>266</v>
      </c>
      <c r="H15" s="44">
        <v>67249</v>
      </c>
      <c r="I15" s="44">
        <v>66774</v>
      </c>
      <c r="J15" s="31" t="s">
        <v>245</v>
      </c>
      <c r="K15" s="44">
        <v>66500</v>
      </c>
      <c r="L15" s="150" t="s">
        <v>51</v>
      </c>
      <c r="M15" s="151">
        <f t="shared" si="0"/>
        <v>144.672</v>
      </c>
      <c r="N15" s="152" t="str">
        <f>VLOOKUP(C15,'Trips&amp;Operators'!$C$1:$G$99999,5,FALSE)</f>
        <v>KILLION DAVID</v>
      </c>
      <c r="O15" s="179" t="s">
        <v>195</v>
      </c>
      <c r="P15" s="153"/>
      <c r="Q15" s="31"/>
      <c r="R15" s="96" t="str">
        <f>VLOOKUP(C15,'Train Runs'!$A$13:$AE$9963,31,0)</f>
        <v>aws s3 cp s3://rtdc.mdm.uploadarchive.raw/RTDC4001/ "%USERPROFILE%\AppData\Local\Temp\OnboardLogs"\RTDC4001\2016-12-29 --exclude "*" --recursive --include "*20161229*" &amp; "%USERPROFILE%\Documents\GitHub\mrs-test-scripts\Headless Mode &amp; Sideloading\WalkAndUnGZ.bat" "%USERPROFILE%\AppData\Local\Temp\OnboardLogs"\RTDC4001\2016-12-29 &amp; aws s3 cp s3://rtdc.mdm.uploadarchive.raw/RTDC4001/ "%USERPROFILE%\AppData\Local\Temp\OnboardLogs"\RTDC4001\2016-12-30 --exclude "*" --recursive --include "*20161230*" &amp; "%USERPROFILE%\Documents\GitHub\mrs-test-scripts\Headless Mode &amp; Sideloading\WalkAndUnGZ.bat" "%USERPROFILE%\AppData\Local\Temp\OnboardLogs"\RTDC4001\2016-12-30</v>
      </c>
      <c r="S15" s="99" t="str">
        <f>VLOOKUP(C15,'Train Runs'!$A$13:$AE$9963,22,0)</f>
        <v>https://search-rtdc-monitor-bjffxe2xuh6vdkpspy63sjmuny.us-east-1.es.amazonaws.com/_plugin/kibana/#/discover/Steve-Slow-Train-Analysis-(2080s-and-2083s)?_g=(refreshInterval:(display:Off,section:0,value:0),time:(from:'2016-12-29 11:01:43-700',mode:absolute,to:'2016-12-29 13:52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5" s="101" t="str">
        <f t="shared" si="1"/>
        <v>"C:\Program Files (x86)\AstroGrep\AstroGrep.exe" /spath="%USERPROFILE%\AppData\Local\Temp\OnboardLogs" /stypes="*4001*201612291*" /stext=" 19:.+((SYSTEM_STATE.+slice.+state.+changed )|(ment ac)|(multiple cpu faults)|(system.+state.+changed )|(\[timeout)|(PRM\|1\|D)|(kpr)|(kdp)|(\|lc)|(penalty))" /e /r /s</v>
      </c>
      <c r="U15" s="9" t="str">
        <f t="shared" si="2"/>
        <v>4001</v>
      </c>
      <c r="V15" s="33">
        <f t="shared" si="3"/>
        <v>42733.816111111111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{"issue":{"subject":"","project_id":79,"tracker_id":40,"status_id":1,"priority_id":2,"assigned_to_id":23,"start_date":"2016-12-29","description":"","custom_fields":[{"id":1,"name":"Subdivision","value":"EC"},{"id":4,"name":"Milepost","value":"6.65"},{"id":17,"name":"Train ID","value":"162-29"},{"id":16,"name":"Locomotive ID","value":"4001"},{"id":130,"name":"Impact","value":""},{"id":150,"name":"Time of Event (Mountain Time)","value":"12:35:12"},{"id":151,"name":"Denver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-A100 "Enforcement Action" "%USERPROFILE%\AppData\Local\Temp\OnboardLogs"\RTDC4001\*4001*201612291*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"%USERPROFILE%\AppData\Local\Temp\OnboardLogs"\RTDC4001\*4001*201612291* &gt;&gt; 42733-slicedisagreementcheck.txt</v>
      </c>
      <c r="AE15" s="183" t="str">
        <f t="shared" si="8"/>
        <v>start /low /b %USERPROFILE%\Documents\GitHub\eaglep3\Utilities\DownloadLogsFromS3.py --loco 4001 --day 2016-12-29</v>
      </c>
    </row>
    <row r="16" spans="1:31" s="1" customFormat="1" x14ac:dyDescent="0.25">
      <c r="A16" s="33">
        <v>42733.597129629627</v>
      </c>
      <c r="B16" s="31" t="s">
        <v>334</v>
      </c>
      <c r="C16" s="31" t="s">
        <v>443</v>
      </c>
      <c r="D16" s="31" t="s">
        <v>49</v>
      </c>
      <c r="E16" s="31" t="s">
        <v>374</v>
      </c>
      <c r="F16" s="44">
        <v>100</v>
      </c>
      <c r="G16" s="44">
        <v>347</v>
      </c>
      <c r="H16" s="44">
        <v>67684</v>
      </c>
      <c r="I16" s="44">
        <v>66897</v>
      </c>
      <c r="J16" s="31" t="s">
        <v>245</v>
      </c>
      <c r="K16" s="44">
        <v>66500</v>
      </c>
      <c r="L16" s="150" t="s">
        <v>51</v>
      </c>
      <c r="M16" s="151">
        <f t="shared" si="0"/>
        <v>209.61600000000001</v>
      </c>
      <c r="N16" s="152" t="str">
        <f>VLOOKUP(C16,'Trips&amp;Operators'!$C$1:$G$99999,5,FALSE)</f>
        <v>KILLION DAVID</v>
      </c>
      <c r="O16" s="179" t="s">
        <v>195</v>
      </c>
      <c r="P16" s="153"/>
      <c r="Q16" s="31"/>
      <c r="R16" s="96" t="str">
        <f>VLOOKUP(C16,'Train Runs'!$A$13:$AE$9963,31,0)</f>
        <v>aws s3 cp s3://rtdc.mdm.uploadarchive.raw/RTDC4001/ "%USERPROFILE%\AppData\Local\Temp\OnboardLogs"\RTDC4001\2016-12-29 --exclude "*" --recursive --include "*20161229*" &amp; "%USERPROFILE%\Documents\GitHub\mrs-test-scripts\Headless Mode &amp; Sideloading\WalkAndUnGZ.bat" "%USERPROFILE%\AppData\Local\Temp\OnboardLogs"\RTDC4001\2016-12-29 &amp; aws s3 cp s3://rtdc.mdm.uploadarchive.raw/RTDC4001/ "%USERPROFILE%\AppData\Local\Temp\OnboardLogs"\RTDC4001\2016-12-30 --exclude "*" --recursive --include "*20161230*" &amp; "%USERPROFILE%\Documents\GitHub\mrs-test-scripts\Headless Mode &amp; Sideloading\WalkAndUnGZ.bat" "%USERPROFILE%\AppData\Local\Temp\OnboardLogs"\RTDC4001\2016-12-30</v>
      </c>
      <c r="S16" s="99" t="str">
        <f>VLOOKUP(C16,'Train Runs'!$A$13:$AE$9963,22,0)</f>
        <v>https://search-rtdc-monitor-bjffxe2xuh6vdkpspy63sjmuny.us-east-1.es.amazonaws.com/_plugin/kibana/#/discover/Steve-Slow-Train-Analysis-(2080s-and-2083s)?_g=(refreshInterval:(display:Off,section:0,value:0),time:(from:'2016-12-29 12:44:59-700',mode:absolute,to:'2016-12-29 15:39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6" s="101" t="str">
        <f t="shared" si="1"/>
        <v>"C:\Program Files (x86)\AstroGrep\AstroGrep.exe" /spath="%USERPROFILE%\AppData\Local\Temp\OnboardLogs" /stypes="*4001*201612292*" /stext=" 21:.+((SYSTEM_STATE.+slice.+state.+changed )|(ment ac)|(multiple cpu faults)|(system.+state.+changed )|(\[timeout)|(PRM\|1\|D)|(kpr)|(kdp)|(\|lc)|(penalty))" /e /r /s</v>
      </c>
      <c r="U16" s="9" t="str">
        <f t="shared" si="2"/>
        <v>4001</v>
      </c>
      <c r="V16" s="33">
        <f t="shared" si="3"/>
        <v>42733.888796296291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{"issue":{"subject":"","project_id":79,"tracker_id":40,"status_id":1,"priority_id":2,"assigned_to_id":23,"start_date":"2016-12-29","description":"","custom_fields":[{"id":1,"name":"Subdivision","value":"EC"},{"id":4,"name":"Milepost","value":"6.65"},{"id":17,"name":"Train ID","value":"176-29"},{"id":16,"name":"Locomotive ID","value":"4001"},{"id":130,"name":"Impact","value":""},{"id":150,"name":"Time of Event (Mountain Time)","value":"14:19:52"},{"id":151,"name":"Denver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-A100 "Enforcement Action" "%USERPROFILE%\AppData\Local\Temp\OnboardLogs"\RTDC4001\*4001*201612292*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"%USERPROFILE%\AppData\Local\Temp\OnboardLogs"\RTDC4001\*4001*201612292* &gt;&gt; 42733-slicedisagreementcheck.txt</v>
      </c>
      <c r="AE16" s="183" t="str">
        <f t="shared" si="8"/>
        <v>start /low /b %USERPROFILE%\Documents\GitHub\eaglep3\Utilities\DownloadLogsFromS3.py --loco 4001 --day 2016-12-29</v>
      </c>
    </row>
    <row r="17" spans="1:32" s="1" customFormat="1" x14ac:dyDescent="0.25">
      <c r="A17" s="33">
        <v>42733.597627314812</v>
      </c>
      <c r="B17" s="31" t="s">
        <v>334</v>
      </c>
      <c r="C17" s="31" t="s">
        <v>443</v>
      </c>
      <c r="D17" s="31" t="s">
        <v>49</v>
      </c>
      <c r="E17" s="31" t="s">
        <v>374</v>
      </c>
      <c r="F17" s="44">
        <v>100</v>
      </c>
      <c r="G17" s="44">
        <v>152</v>
      </c>
      <c r="H17" s="44">
        <v>66655</v>
      </c>
      <c r="I17" s="44">
        <v>66475</v>
      </c>
      <c r="J17" s="31" t="s">
        <v>245</v>
      </c>
      <c r="K17" s="44">
        <v>66500</v>
      </c>
      <c r="L17" s="150" t="s">
        <v>51</v>
      </c>
      <c r="M17" s="151">
        <f t="shared" si="0"/>
        <v>-13.2</v>
      </c>
      <c r="N17" s="152" t="str">
        <f>VLOOKUP(C17,'Trips&amp;Operators'!$C$1:$G$99999,5,FALSE)</f>
        <v>KILLION DAVID</v>
      </c>
      <c r="O17" s="179" t="s">
        <v>195</v>
      </c>
      <c r="P17" s="153"/>
      <c r="Q17" s="31"/>
      <c r="R17" s="96" t="str">
        <f>VLOOKUP(C17,'Train Runs'!$A$13:$AE$9963,31,0)</f>
        <v>aws s3 cp s3://rtdc.mdm.uploadarchive.raw/RTDC4001/ "%USERPROFILE%\AppData\Local\Temp\OnboardLogs"\RTDC4001\2016-12-29 --exclude "*" --recursive --include "*20161229*" &amp; "%USERPROFILE%\Documents\GitHub\mrs-test-scripts\Headless Mode &amp; Sideloading\WalkAndUnGZ.bat" "%USERPROFILE%\AppData\Local\Temp\OnboardLogs"\RTDC4001\2016-12-29 &amp; aws s3 cp s3://rtdc.mdm.uploadarchive.raw/RTDC4001/ "%USERPROFILE%\AppData\Local\Temp\OnboardLogs"\RTDC4001\2016-12-30 --exclude "*" --recursive --include "*20161230*" &amp; "%USERPROFILE%\Documents\GitHub\mrs-test-scripts\Headless Mode &amp; Sideloading\WalkAndUnGZ.bat" "%USERPROFILE%\AppData\Local\Temp\OnboardLogs"\RTDC4001\2016-12-30</v>
      </c>
      <c r="S17" s="99" t="str">
        <f>VLOOKUP(C17,'Train Runs'!$A$13:$AE$9963,22,0)</f>
        <v>https://search-rtdc-monitor-bjffxe2xuh6vdkpspy63sjmuny.us-east-1.es.amazonaws.com/_plugin/kibana/#/discover/Steve-Slow-Train-Analysis-(2080s-and-2083s)?_g=(refreshInterval:(display:Off,section:0,value:0),time:(from:'2016-12-29 12:44:59-700',mode:absolute,to:'2016-12-29 15:39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7" s="101" t="str">
        <f t="shared" si="1"/>
        <v>"C:\Program Files (x86)\AstroGrep\AstroGrep.exe" /spath="%USERPROFILE%\AppData\Local\Temp\OnboardLogs" /stypes="*4001*201612292*" /stext=" 21:.+((SYSTEM_STATE.+slice.+state.+changed )|(ment ac)|(multiple cpu faults)|(system.+state.+changed )|(\[timeout)|(PRM\|1\|D)|(kpr)|(kdp)|(\|lc)|(penalty))" /e /r /s</v>
      </c>
      <c r="U17" s="9" t="str">
        <f t="shared" si="2"/>
        <v>4001</v>
      </c>
      <c r="V17" s="33">
        <f t="shared" si="3"/>
        <v>42733.889293981476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{"issue":{"subject":"","project_id":79,"tracker_id":40,"status_id":1,"priority_id":2,"assigned_to_id":23,"start_date":"2016-12-29","description":"","custom_fields":[{"id":1,"name":"Subdivision","value":"EC"},{"id":4,"name":"Milepost","value":"6.65"},{"id":17,"name":"Train ID","value":"176-29"},{"id":16,"name":"Locomotive ID","value":"4001"},{"id":130,"name":"Impact","value":""},{"id":150,"name":"Time of Event (Mountain Time)","value":"14:20:35"},{"id":151,"name":"Denver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-A100 "Enforcement Action" "%USERPROFILE%\AppData\Local\Temp\OnboardLogs"\RTDC4001\*4001*201612292*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"%USERPROFILE%\AppData\Local\Temp\OnboardLogs"\RTDC4001\*4001*201612292* &gt;&gt; 42733-slicedisagreementcheck.txt</v>
      </c>
      <c r="AE17" s="183" t="str">
        <f t="shared" si="8"/>
        <v>start /low /b %USERPROFILE%\Documents\GitHub\eaglep3\Utilities\DownloadLogsFromS3.py --loco 4001 --day 2016-12-29</v>
      </c>
    </row>
    <row r="18" spans="1:32" s="1" customFormat="1" x14ac:dyDescent="0.25">
      <c r="A18" s="33">
        <v>42733.7340625</v>
      </c>
      <c r="B18" s="31" t="s">
        <v>351</v>
      </c>
      <c r="C18" s="31" t="s">
        <v>451</v>
      </c>
      <c r="D18" s="31" t="s">
        <v>98</v>
      </c>
      <c r="E18" s="31" t="s">
        <v>374</v>
      </c>
      <c r="F18" s="44">
        <v>100</v>
      </c>
      <c r="G18" s="44">
        <v>150</v>
      </c>
      <c r="H18" s="44">
        <v>64704</v>
      </c>
      <c r="I18" s="44">
        <v>64474</v>
      </c>
      <c r="J18" s="31" t="s">
        <v>245</v>
      </c>
      <c r="K18" s="44">
        <v>66500</v>
      </c>
      <c r="L18" s="150" t="s">
        <v>51</v>
      </c>
      <c r="M18" s="151">
        <f t="shared" si="0"/>
        <v>-1069.7280000000001</v>
      </c>
      <c r="N18" s="152" t="str">
        <f>VLOOKUP(C18,'Trips&amp;Operators'!$C$1:$G$99999,5,FALSE)</f>
        <v>CLARK KATHLEEN</v>
      </c>
      <c r="O18" s="179" t="s">
        <v>195</v>
      </c>
      <c r="P18" s="153"/>
      <c r="Q18" s="31"/>
      <c r="R18" s="96" t="str">
        <f>VLOOKUP(C18,'Train Runs'!$A$13:$AE$9963,31,0)</f>
        <v>aws s3 cp s3://rtdc.mdm.uploadarchive.raw/RTDC4041/ "%USERPROFILE%\AppData\Local\Temp\OnboardLogs"\RTDC4041\2016-12-29 --exclude "*" --recursive --include "*20161229*" &amp; "%USERPROFILE%\Documents\GitHub\mrs-test-scripts\Headless Mode &amp; Sideloading\WalkAndUnGZ.bat" "%USERPROFILE%\AppData\Local\Temp\OnboardLogs"\RTDC4041\2016-12-29 &amp; aws s3 cp s3://rtdc.mdm.uploadarchive.raw/RTDC4041/ "%USERPROFILE%\AppData\Local\Temp\OnboardLogs"\RTDC4041\2016-12-30 --exclude "*" --recursive --include "*20161230*" &amp; "%USERPROFILE%\Documents\GitHub\mrs-test-scripts\Headless Mode &amp; Sideloading\WalkAndUnGZ.bat" "%USERPROFILE%\AppData\Local\Temp\OnboardLogs"\RTDC4041\2016-12-30</v>
      </c>
      <c r="S18" s="99" t="str">
        <f>VLOOKUP(C18,'Train Runs'!$A$13:$AE$9963,22,0)</f>
        <v>https://search-rtdc-monitor-bjffxe2xuh6vdkpspy63sjmuny.us-east-1.es.amazonaws.com/_plugin/kibana/#/discover/Steve-Slow-Train-Analysis-(2080s-and-2083s)?_g=(refreshInterval:(display:Off,section:0,value:0),time:(from:'2016-12-29 16:05:00-700',mode:absolute,to:'2016-12-29 18:55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8" s="101" t="str">
        <f t="shared" si="1"/>
        <v>"C:\Program Files (x86)\AstroGrep\AstroGrep.exe" /spath="%USERPROFILE%\AppData\Local\Temp\OnboardLogs" /stypes="*4041*201612300*" /stext=" 00:.+((SYSTEM_STATE.+slice.+state.+changed )|(ment ac)|(multiple cpu faults)|(system.+state.+changed )|(\[timeout)|(PRM\|1\|D)|(kpr)|(kdp)|(\|lc)|(penalty))" /e /r /s</v>
      </c>
      <c r="U18" s="9" t="str">
        <f t="shared" si="2"/>
        <v>4041</v>
      </c>
      <c r="V18" s="33">
        <f t="shared" si="3"/>
        <v>42734.025729166664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{"issue":{"subject":"","project_id":79,"tracker_id":40,"status_id":1,"priority_id":2,"assigned_to_id":23,"start_date":"2016-12-29","description":"","custom_fields":[{"id":1,"name":"Subdivision","value":"EC"},{"id":4,"name":"Milepost","value":"6.65"},{"id":17,"name":"Train ID","value":"202-29"},{"id":16,"name":"Locomotive ID","value":"4041"},{"id":130,"name":"Impact","value":""},{"id":150,"name":"Time of Event (Mountain Time)","value":"17:37:03"},{"id":151,"name":"Denver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-A100 "Enforcement Action" "%USERPROFILE%\AppData\Local\Temp\OnboardLogs"\RTDC4041\*4041*201612300*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"%USERPROFILE%\AppData\Local\Temp\OnboardLogs"\RTDC4041\*4041*201612300* &gt;&gt; 42733-slicedisagreementcheck.txt</v>
      </c>
      <c r="AE18" s="183" t="str">
        <f t="shared" si="8"/>
        <v>start /low /b %USERPROFILE%\Documents\GitHub\eaglep3\Utilities\DownloadLogsFromS3.py --loco 4041 --day 2016-12-30</v>
      </c>
    </row>
    <row r="19" spans="1:32" s="1" customFormat="1" x14ac:dyDescent="0.25">
      <c r="A19" s="33">
        <v>42733.950173611112</v>
      </c>
      <c r="B19" s="31" t="s">
        <v>278</v>
      </c>
      <c r="C19" s="31" t="s">
        <v>461</v>
      </c>
      <c r="D19" s="31" t="s">
        <v>49</v>
      </c>
      <c r="E19" s="31" t="s">
        <v>374</v>
      </c>
      <c r="F19" s="44">
        <v>100</v>
      </c>
      <c r="G19" s="44">
        <v>509</v>
      </c>
      <c r="H19" s="44">
        <v>68807</v>
      </c>
      <c r="I19" s="44">
        <v>67354</v>
      </c>
      <c r="J19" s="31" t="s">
        <v>245</v>
      </c>
      <c r="K19" s="44">
        <v>66500</v>
      </c>
      <c r="L19" s="150" t="s">
        <v>51</v>
      </c>
      <c r="M19" s="151">
        <f t="shared" si="0"/>
        <v>450.91199999999998</v>
      </c>
      <c r="N19" s="152" t="str">
        <f>VLOOKUP(C19,'Trips&amp;Operators'!$C$1:$G$99999,5,FALSE)</f>
        <v>NEWELL JAMES</v>
      </c>
      <c r="O19" s="179" t="s">
        <v>195</v>
      </c>
      <c r="P19" s="153"/>
      <c r="Q19" s="31"/>
      <c r="R19" s="96" t="str">
        <f>VLOOKUP(C19,'Train Runs'!$A$13:$AE$9963,31,0)</f>
        <v>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 &amp; aws s3 cp s3://rtdc.mdm.uploadarchive.raw/RTDC4043/ "%USERPROFILE%\AppData\Local\Temp\OnboardLogs"\RTDC4043\2016-12-30 --exclude "*" --recursive --include "*20161230*" &amp; "%USERPROFILE%\Documents\GitHub\mrs-test-scripts\Headless Mode &amp; Sideloading\WalkAndUnGZ.bat" "%USERPROFILE%\AppData\Local\Temp\OnboardLogs"\RTDC4043\2016-12-30</v>
      </c>
      <c r="S19" s="99" t="str">
        <f>VLOOKUP(C19,'Train Runs'!$A$13:$AE$9963,22,0)</f>
        <v>https://search-rtdc-monitor-bjffxe2xuh6vdkpspy63sjmuny.us-east-1.es.amazonaws.com/_plugin/kibana/#/discover/Steve-Slow-Train-Analysis-(2080s-and-2083s)?_g=(refreshInterval:(display:Off,section:0,value:0),time:(from:'2016-12-29 21:22:50-700',mode:absolute,to:'2016-12-30 00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9" s="101" t="str">
        <f t="shared" si="1"/>
        <v>"C:\Program Files (x86)\AstroGrep\AstroGrep.exe" /spath="%USERPROFILE%\AppData\Local\Temp\OnboardLogs" /stypes="*4043*201612300*" /stext=" 05:.+((SYSTEM_STATE.+slice.+state.+changed )|(ment ac)|(multiple cpu faults)|(system.+state.+changed )|(\[timeout)|(PRM\|1\|D)|(kpr)|(kdp)|(\|lc)|(penalty))" /e /r /s</v>
      </c>
      <c r="U19" s="9" t="str">
        <f t="shared" si="2"/>
        <v>4043</v>
      </c>
      <c r="V19" s="33">
        <f t="shared" si="3"/>
        <v>42734.241840277777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{"issue":{"subject":"","project_id":79,"tracker_id":40,"status_id":1,"priority_id":2,"assigned_to_id":23,"start_date":"2016-12-29","description":"","custom_fields":[{"id":1,"name":"Subdivision","value":"EC"},{"id":4,"name":"Milepost","value":"6.65"},{"id":17,"name":"Train ID","value":"232-29"},{"id":16,"name":"Locomotive ID","value":"4043"},{"id":130,"name":"Impact","value":""},{"id":150,"name":"Time of Event (Mountain Time)","value":"22:48:15"},{"id":151,"name":"Denver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-A100 "Enforcement Action" "%USERPROFILE%\AppData\Local\Temp\OnboardLogs"\RTDC4043\*4043*201612300*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"%USERPROFILE%\AppData\Local\Temp\OnboardLogs"\RTDC4043\*4043*201612300* &gt;&gt; 42733-slicedisagreementcheck.txt</v>
      </c>
      <c r="AE19" s="183" t="str">
        <f t="shared" si="8"/>
        <v>start /low /b %USERPROFILE%\Documents\GitHub\eaglep3\Utilities\DownloadLogsFromS3.py --loco 4043 --day 2016-12-30</v>
      </c>
    </row>
    <row r="20" spans="1:32" x14ac:dyDescent="0.25">
      <c r="A20" s="33">
        <v>42733.244259259256</v>
      </c>
      <c r="B20" s="31" t="s">
        <v>275</v>
      </c>
      <c r="C20" s="31" t="s">
        <v>437</v>
      </c>
      <c r="D20" s="31" t="s">
        <v>49</v>
      </c>
      <c r="E20" s="31" t="s">
        <v>200</v>
      </c>
      <c r="F20" s="44">
        <v>0</v>
      </c>
      <c r="G20" s="44">
        <v>55</v>
      </c>
      <c r="H20" s="44">
        <v>238</v>
      </c>
      <c r="I20" s="44">
        <v>161</v>
      </c>
      <c r="J20" s="31" t="s">
        <v>201</v>
      </c>
      <c r="K20" s="44">
        <v>1</v>
      </c>
      <c r="L20" s="150" t="s">
        <v>51</v>
      </c>
      <c r="M20" s="151">
        <f t="shared" si="0"/>
        <v>84.48</v>
      </c>
      <c r="N20" s="152" t="str">
        <f>VLOOKUP(C20,'Trips&amp;Operators'!$C$1:$G$99999,5,FALSE)</f>
        <v>YANAI IAN</v>
      </c>
      <c r="O20" s="179" t="s">
        <v>195</v>
      </c>
      <c r="P20" s="153"/>
      <c r="Q20" s="31"/>
      <c r="R20" s="96" t="str">
        <f>VLOOKUP(C20,'Train Runs'!$A$13:$AE$9963,31,0)</f>
        <v>aws s3 cp s3://rtdc.mdm.uploadarchive.raw/RTDC4028/ "%USERPROFILE%\AppData\Local\Temp\OnboardLogs"\RTDC4028\2016-12-29 --exclude "*" --recursive --include "*20161229*" &amp; "%USERPROFILE%\Documents\GitHub\mrs-test-scripts\Headless Mode &amp; Sideloading\WalkAndUnGZ.bat" "%USERPROFILE%\AppData\Local\Temp\OnboardLogs"\RTDC4028\2016-12-29 &amp; aws s3 cp s3://rtdc.mdm.uploadarchive.raw/RTDC4028/ "%USERPROFILE%\AppData\Local\Temp\OnboardLogs"\RTDC4028\2016-12-30 --exclude "*" --recursive --include "*20161230*" &amp; "%USERPROFILE%\Documents\GitHub\mrs-test-scripts\Headless Mode &amp; Sideloading\WalkAndUnGZ.bat" "%USERPROFILE%\AppData\Local\Temp\OnboardLogs"\RTDC4028\2016-12-30</v>
      </c>
      <c r="S20" s="99" t="str">
        <f>VLOOKUP(C20,'Train Runs'!$A$13:$AE$9963,22,0)</f>
        <v>https://search-rtdc-monitor-bjffxe2xuh6vdkpspy63sjmuny.us-east-1.es.amazonaws.com/_plugin/kibana/#/discover/Steve-Slow-Train-Analysis-(2080s-and-2083s)?_g=(refreshInterval:(display:Off,section:0,value:0),time:(from:'2016-12-29 04:06:36-700',mode:absolute,to:'2016-12-29 06:51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0" s="101" t="str">
        <f t="shared" si="1"/>
        <v>"C:\Program Files (x86)\AstroGrep\AstroGrep.exe" /spath="%USERPROFILE%\AppData\Local\Temp\OnboardLogs" /stypes="*4028*201612291*" /stext=" 12:.+((SYSTEM_STATE.+slice.+state.+changed )|(ment ac)|(multiple cpu faults)|(system.+state.+changed )|(\[timeout)|(PRM\|1\|D)|(kpr)|(kdp)|(\|lc)|(penalty))" /e /r /s</v>
      </c>
      <c r="U20" s="9" t="str">
        <f t="shared" si="2"/>
        <v>4028</v>
      </c>
      <c r="V20" s="33">
        <f t="shared" si="3"/>
        <v>42733.53592592592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{"issue":{"subject":"","project_id":79,"tracker_id":40,"status_id":1,"priority_id":2,"assigned_to_id":23,"start_date":"2016-12-29","description":"","custom_fields":[{"id":1,"name":"Subdivision","value":"EC"},{"id":4,"name":"Milepost","value":"0.0001"},{"id":17,"name":"Train ID","value":"106-29"},{"id":16,"name":"Locomotive ID","value":"4028"},{"id":130,"name":"Impact","value":""},{"id":150,"name":"Time of Event (Mountain Time)","value":"05:51:44"},{"id":151,"name":"Denver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-A100 "Enforcement Action" "%USERPROFILE%\AppData\Local\Temp\OnboardLogs"\RTDC4028\*4028*201612291*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"%USERPROFILE%\AppData\Local\Temp\OnboardLogs"\RTDC4028\*4028*201612291* &gt;&gt; 42733-slicedisagreementcheck.txt</v>
      </c>
      <c r="AE20" s="183" t="str">
        <f t="shared" si="8"/>
        <v>start /low /b %USERPROFILE%\Documents\GitHub\eaglep3\Utilities\DownloadLogsFromS3.py --loco 4028 --day 2016-12-29</v>
      </c>
      <c r="AF20" s="1"/>
    </row>
    <row r="21" spans="1:32" x14ac:dyDescent="0.25">
      <c r="A21" s="33">
        <v>42733.578483796293</v>
      </c>
      <c r="B21" s="31" t="s">
        <v>324</v>
      </c>
      <c r="C21" s="31" t="s">
        <v>442</v>
      </c>
      <c r="D21" s="31" t="s">
        <v>49</v>
      </c>
      <c r="E21" s="31" t="s">
        <v>200</v>
      </c>
      <c r="F21" s="44">
        <v>0</v>
      </c>
      <c r="G21" s="44">
        <v>53</v>
      </c>
      <c r="H21" s="44">
        <v>163</v>
      </c>
      <c r="I21" s="44">
        <v>130</v>
      </c>
      <c r="J21" s="31" t="s">
        <v>201</v>
      </c>
      <c r="K21" s="44">
        <v>1</v>
      </c>
      <c r="L21" s="150" t="s">
        <v>51</v>
      </c>
      <c r="M21" s="151">
        <f t="shared" si="0"/>
        <v>68.111999999999995</v>
      </c>
      <c r="N21" s="152" t="str">
        <f>VLOOKUP(C21,'Trips&amp;Operators'!$C$1:$G$99999,5,FALSE)</f>
        <v>STRICKLAND EVAN</v>
      </c>
      <c r="O21" s="179" t="s">
        <v>195</v>
      </c>
      <c r="P21" s="153"/>
      <c r="Q21" s="31"/>
      <c r="R21" s="96" t="str">
        <f>VLOOKUP(C21,'Train Runs'!$A$13:$AE$9963,31,0)</f>
        <v>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 &amp; aws s3 cp s3://rtdc.mdm.uploadarchive.raw/RTDC4017/ "%USERPROFILE%\AppData\Local\Temp\OnboardLogs"\RTDC4017\2016-12-30 --exclude "*" --recursive --include "*20161230*" &amp; "%USERPROFILE%\Documents\GitHub\mrs-test-scripts\Headless Mode &amp; Sideloading\WalkAndUnGZ.bat" "%USERPROFILE%\AppData\Local\Temp\OnboardLogs"\RTDC4017\2016-12-30</v>
      </c>
      <c r="S21" s="99" t="str">
        <f>VLOOKUP(C21,'Train Runs'!$A$13:$AE$9963,22,0)</f>
        <v>https://search-rtdc-monitor-bjffxe2xuh6vdkpspy63sjmuny.us-east-1.es.amazonaws.com/_plugin/kibana/#/discover/Steve-Slow-Train-Analysis-(2080s-and-2083s)?_g=(refreshInterval:(display:Off,section:0,value:0),time:(from:'2016-12-29 11:58:48-700',mode:absolute,to:'2016-12-29 14:53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1" s="101" t="str">
        <f t="shared" si="1"/>
        <v>"C:\Program Files (x86)\AstroGrep\AstroGrep.exe" /spath="%USERPROFILE%\AppData\Local\Temp\OnboardLogs" /stypes="*4017*201612292*" /stext=" 20:.+((SYSTEM_STATE.+slice.+state.+changed )|(ment ac)|(multiple cpu faults)|(system.+state.+changed )|(\[timeout)|(PRM\|1\|D)|(kpr)|(kdp)|(\|lc)|(penalty))" /e /r /s</v>
      </c>
      <c r="U21" s="9" t="str">
        <f t="shared" si="2"/>
        <v>4017</v>
      </c>
      <c r="V21" s="33">
        <f t="shared" si="3"/>
        <v>42733.870150462957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{"issue":{"subject":"","project_id":79,"tracker_id":40,"status_id":1,"priority_id":2,"assigned_to_id":23,"start_date":"2016-12-29","description":"","custom_fields":[{"id":1,"name":"Subdivision","value":"EC"},{"id":4,"name":"Milepost","value":"0.0001"},{"id":17,"name":"Train ID","value":"170-29"},{"id":16,"name":"Locomotive ID","value":"4017"},{"id":130,"name":"Impact","value":""},{"id":150,"name":"Time of Event (Mountain Time)","value":"13:53:01"},{"id":151,"name":"Denver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-A100 "Enforcement Action" "%USERPROFILE%\AppData\Local\Temp\OnboardLogs"\RTDC4017\*4017*201612292*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"%USERPROFILE%\AppData\Local\Temp\OnboardLogs"\RTDC4017\*4017*201612292* &gt;&gt; 42733-slicedisagreementcheck.txt</v>
      </c>
      <c r="AE21" s="183" t="str">
        <f t="shared" si="8"/>
        <v>start /low /b %USERPROFILE%\Documents\GitHub\eaglep3\Utilities\DownloadLogsFromS3.py --loco 4017 --day 2016-12-29</v>
      </c>
      <c r="AF21" s="1"/>
    </row>
    <row r="22" spans="1:32" ht="15" customHeight="1" x14ac:dyDescent="0.25">
      <c r="A22" s="33">
        <v>42733.714375000003</v>
      </c>
      <c r="B22" s="31" t="s">
        <v>262</v>
      </c>
      <c r="C22" s="31" t="s">
        <v>450</v>
      </c>
      <c r="D22" s="31" t="s">
        <v>49</v>
      </c>
      <c r="E22" s="31" t="s">
        <v>200</v>
      </c>
      <c r="F22" s="44">
        <v>0</v>
      </c>
      <c r="G22" s="44">
        <v>57</v>
      </c>
      <c r="H22" s="44">
        <v>209</v>
      </c>
      <c r="I22" s="44">
        <v>152</v>
      </c>
      <c r="J22" s="31" t="s">
        <v>201</v>
      </c>
      <c r="K22" s="44">
        <v>1</v>
      </c>
      <c r="L22" s="150" t="s">
        <v>51</v>
      </c>
      <c r="M22" s="151">
        <f t="shared" si="0"/>
        <v>79.727999999999994</v>
      </c>
      <c r="N22" s="152" t="str">
        <f>VLOOKUP(C22,'Trips&amp;Operators'!$C$1:$G$99999,5,FALSE)</f>
        <v>ARVIDSON DANIEL</v>
      </c>
      <c r="O22" s="179" t="s">
        <v>195</v>
      </c>
      <c r="P22" s="153"/>
      <c r="Q22" s="31"/>
      <c r="R22" s="96" t="str">
        <f>VLOOKUP(C22,'Train Runs'!$A$13:$AE$9963,31,0)</f>
        <v>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 &amp; aws s3 cp s3://rtdc.mdm.uploadarchive.raw/RTDC4004/ "%USERPROFILE%\AppData\Local\Temp\OnboardLogs"\RTDC4004\2016-12-30 --exclude "*" --recursive --include "*20161230*" &amp; "%USERPROFILE%\Documents\GitHub\mrs-test-scripts\Headless Mode &amp; Sideloading\WalkAndUnGZ.bat" "%USERPROFILE%\AppData\Local\Temp\OnboardLogs"\RTDC4004\2016-12-30</v>
      </c>
      <c r="S22" s="99" t="str">
        <f>VLOOKUP(C22,'Train Runs'!$A$13:$AE$9963,22,0)</f>
        <v>https://search-rtdc-monitor-bjffxe2xuh6vdkpspy63sjmuny.us-east-1.es.amazonaws.com/_plugin/kibana/#/discover/Steve-Slow-Train-Analysis-(2080s-and-2083s)?_g=(refreshInterval:(display:Off,section:0,value:0),time:(from:'2016-12-29 15:19:17-700',mode:absolute,to:'2016-12-29 18:08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2" s="101" t="str">
        <f t="shared" si="1"/>
        <v>"C:\Program Files (x86)\AstroGrep\AstroGrep.exe" /spath="%USERPROFILE%\AppData\Local\Temp\OnboardLogs" /stypes="*4004*201612300*" /stext=" 00:.+((SYSTEM_STATE.+slice.+state.+changed )|(ment ac)|(multiple cpu faults)|(system.+state.+changed )|(\[timeout)|(PRM\|1\|D)|(kpr)|(kdp)|(\|lc)|(penalty))" /e /r /s</v>
      </c>
      <c r="U22" s="9" t="str">
        <f t="shared" si="2"/>
        <v>4004</v>
      </c>
      <c r="V22" s="33">
        <f t="shared" si="3"/>
        <v>42734.006041666667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{"issue":{"subject":"","project_id":79,"tracker_id":40,"status_id":1,"priority_id":2,"assigned_to_id":23,"start_date":"2016-12-29","description":"","custom_fields":[{"id":1,"name":"Subdivision","value":"EC"},{"id":4,"name":"Milepost","value":"0.0001"},{"id":17,"name":"Train ID","value":"196-29"},{"id":16,"name":"Locomotive ID","value":"4004"},{"id":130,"name":"Impact","value":""},{"id":150,"name":"Time of Event (Mountain Time)","value":"17:08:42"},{"id":151,"name":"Denver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-A100 "Enforcement Action" "%USERPROFILE%\AppData\Local\Temp\OnboardLogs"\RTDC4004\*4004*201612300*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"%USERPROFILE%\AppData\Local\Temp\OnboardLogs"\RTDC4004\*4004*201612300* &gt;&gt; 42733-slicedisagreementcheck.txt</v>
      </c>
      <c r="AE22" s="183" t="str">
        <f t="shared" si="8"/>
        <v>start /low /b %USERPROFILE%\Documents\GitHub\eaglep3\Utilities\DownloadLogsFromS3.py --loco 4004 --day 2016-12-30</v>
      </c>
      <c r="AF22" s="1"/>
    </row>
    <row r="23" spans="1:32" x14ac:dyDescent="0.25">
      <c r="A23" s="33">
        <v>42733.837650462963</v>
      </c>
      <c r="B23" s="31" t="s">
        <v>261</v>
      </c>
      <c r="C23" s="31" t="s">
        <v>458</v>
      </c>
      <c r="D23" s="31" t="s">
        <v>49</v>
      </c>
      <c r="E23" s="31" t="s">
        <v>200</v>
      </c>
      <c r="F23" s="44">
        <v>0</v>
      </c>
      <c r="G23" s="44">
        <v>53</v>
      </c>
      <c r="H23" s="44">
        <v>96</v>
      </c>
      <c r="I23" s="44">
        <v>59</v>
      </c>
      <c r="J23" s="31" t="s">
        <v>201</v>
      </c>
      <c r="K23" s="44">
        <v>1</v>
      </c>
      <c r="L23" s="150" t="s">
        <v>51</v>
      </c>
      <c r="M23" s="151">
        <f t="shared" si="0"/>
        <v>30.623999999999999</v>
      </c>
      <c r="N23" s="152" t="str">
        <f>VLOOKUP(C23,'Trips&amp;Operators'!$C$1:$G$99999,5,FALSE)</f>
        <v>HILLS DUSTIN</v>
      </c>
      <c r="O23" s="179" t="s">
        <v>195</v>
      </c>
      <c r="P23" s="153"/>
      <c r="Q23" s="31"/>
      <c r="R23" s="96" t="str">
        <f>VLOOKUP(C23,'Train Runs'!$A$13:$AE$9963,31,0)</f>
        <v>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 &amp; aws s3 cp s3://rtdc.mdm.uploadarchive.raw/RTDC4013/ "%USERPROFILE%\AppData\Local\Temp\OnboardLogs"\RTDC4013\2016-12-30 --exclude "*" --recursive --include "*20161230*" &amp; "%USERPROFILE%\Documents\GitHub\mrs-test-scripts\Headless Mode &amp; Sideloading\WalkAndUnGZ.bat" "%USERPROFILE%\AppData\Local\Temp\OnboardLogs"\RTDC4013\2016-12-30</v>
      </c>
      <c r="S23" s="99" t="str">
        <f>VLOOKUP(C23,'Train Runs'!$A$13:$AE$9963,22,0)</f>
        <v>https://search-rtdc-monitor-bjffxe2xuh6vdkpspy63sjmuny.us-east-1.es.amazonaws.com/_plugin/kibana/#/discover/Steve-Slow-Train-Analysis-(2080s-and-2083s)?_g=(refreshInterval:(display:Off,section:0,value:0),time:(from:'2016-12-29 18:10:37-700',mode:absolute,to:'2016-12-29 21:06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3" s="101" t="str">
        <f t="shared" si="1"/>
        <v>"C:\Program Files (x86)\AstroGrep\AstroGrep.exe" /spath="%USERPROFILE%\AppData\Local\Temp\OnboardLogs" /stypes="*4013*201612300*" /stext=" 03:.+((SYSTEM_STATE.+slice.+state.+changed )|(ment ac)|(multiple cpu faults)|(system.+state.+changed )|(\[timeout)|(PRM\|1\|D)|(kpr)|(kdp)|(\|lc)|(penalty))" /e /r /s</v>
      </c>
      <c r="U23" s="9" t="str">
        <f t="shared" si="2"/>
        <v>4013</v>
      </c>
      <c r="V23" s="33">
        <f t="shared" si="3"/>
        <v>42734.129317129627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{"issue":{"subject":"","project_id":79,"tracker_id":40,"status_id":1,"priority_id":2,"assigned_to_id":23,"start_date":"2016-12-29","description":"","custom_fields":[{"id":1,"name":"Subdivision","value":"EC"},{"id":4,"name":"Milepost","value":"0.0001"},{"id":17,"name":"Train ID","value":"220-29"},{"id":16,"name":"Locomotive ID","value":"4013"},{"id":130,"name":"Impact","value":""},{"id":150,"name":"Time of Event (Mountain Time)","value":"20:06:13"},{"id":151,"name":"Denver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-A100 "Enforcement Action" "%USERPROFILE%\AppData\Local\Temp\OnboardLogs"\RTDC4013\*4013*201612300*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"%USERPROFILE%\AppData\Local\Temp\OnboardLogs"\RTDC4013\*4013*201612300* &gt;&gt; 42733-slicedisagreementcheck.txt</v>
      </c>
      <c r="AE23" s="183" t="str">
        <f t="shared" si="8"/>
        <v>start /low /b %USERPROFILE%\Documents\GitHub\eaglep3\Utilities\DownloadLogsFromS3.py --loco 4013 --day 2016-12-30</v>
      </c>
      <c r="AF23" s="1"/>
    </row>
    <row r="24" spans="1:32" x14ac:dyDescent="0.25">
      <c r="A24" s="33">
        <v>42733.796041666668</v>
      </c>
      <c r="B24" s="31" t="s">
        <v>225</v>
      </c>
      <c r="C24" s="31" t="s">
        <v>456</v>
      </c>
      <c r="D24" s="31" t="s">
        <v>49</v>
      </c>
      <c r="E24" s="31" t="s">
        <v>200</v>
      </c>
      <c r="F24" s="44">
        <v>0</v>
      </c>
      <c r="G24" s="44">
        <v>82</v>
      </c>
      <c r="H24" s="44">
        <v>233120</v>
      </c>
      <c r="I24" s="44">
        <v>233211</v>
      </c>
      <c r="J24" s="31" t="s">
        <v>201</v>
      </c>
      <c r="K24" s="44">
        <v>233491</v>
      </c>
      <c r="L24" s="150" t="s">
        <v>50</v>
      </c>
      <c r="M24" s="151">
        <f t="shared" si="0"/>
        <v>147.84</v>
      </c>
      <c r="N24" s="152" t="str">
        <f>VLOOKUP(C24,'Trips&amp;Operators'!$C$1:$G$99999,5,FALSE)</f>
        <v>HILLS DUSTIN</v>
      </c>
      <c r="O24" s="179" t="s">
        <v>195</v>
      </c>
      <c r="P24" s="153"/>
      <c r="Q24" s="31"/>
      <c r="R24" s="96" t="str">
        <f>VLOOKUP(C24,'Train Runs'!$A$13:$AE$9963,31,0)</f>
        <v>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 &amp; aws s3 cp s3://rtdc.mdm.uploadarchive.raw/RTDC4014/ "%USERPROFILE%\AppData\Local\Temp\OnboardLogs"\RTDC4014\2016-12-30 --exclude "*" --recursive --include "*20161230*" &amp; "%USERPROFILE%\Documents\GitHub\mrs-test-scripts\Headless Mode &amp; Sideloading\WalkAndUnGZ.bat" "%USERPROFILE%\AppData\Local\Temp\OnboardLogs"\RTDC4014\2016-12-30</v>
      </c>
      <c r="S24" s="99" t="str">
        <f>VLOOKUP(C24,'Train Runs'!$A$13:$AE$9963,22,0)</f>
        <v>https://search-rtdc-monitor-bjffxe2xuh6vdkpspy63sjmuny.us-east-1.es.amazonaws.com/_plugin/kibana/#/discover/Steve-Slow-Train-Analysis-(2080s-and-2083s)?_g=(refreshInterval:(display:Off,section:0,value:0),time:(from:'2016-12-29 17:25:57-700',mode:absolute,to:'2016-12-29 20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4" s="101" t="str">
        <f t="shared" si="1"/>
        <v>"C:\Program Files (x86)\AstroGrep\AstroGrep.exe" /spath="%USERPROFILE%\AppData\Local\Temp\OnboardLogs" /stypes="*4014*201612300*" /stext=" 02:.+((SYSTEM_STATE.+slice.+state.+changed )|(ment ac)|(multiple cpu faults)|(system.+state.+changed )|(\[timeout)|(PRM\|1\|D)|(kpr)|(kdp)|(\|lc)|(penalty))" /e /r /s</v>
      </c>
      <c r="U24" s="9" t="str">
        <f t="shared" si="2"/>
        <v>4014</v>
      </c>
      <c r="V24" s="33">
        <f t="shared" si="3"/>
        <v>42734.087708333333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{"issue":{"subject":"","project_id":79,"tracker_id":40,"status_id":1,"priority_id":2,"assigned_to_id":23,"start_date":"2016-12-29","description":"","custom_fields":[{"id":1,"name":"Subdivision","value":"EC"},{"id":4,"name":"Milepost","value":"23.3491"},{"id":17,"name":"Train ID","value":"219-29"},{"id":16,"name":"Locomotive ID","value":"4014"},{"id":130,"name":"Impact","value":""},{"id":150,"name":"Time of Event (Mountain Time)","value":"19:06:18"},{"id":151,"name":"Denver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-A100 "Enforcement Action" "%USERPROFILE%\AppData\Local\Temp\OnboardLogs"\RTDC4014\*4014*201612300*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"%USERPROFILE%\AppData\Local\Temp\OnboardLogs"\RTDC4014\*4014*201612300* &gt;&gt; 42733-slicedisagreementcheck.txt</v>
      </c>
      <c r="AE24" s="183" t="str">
        <f t="shared" si="8"/>
        <v>start /low /b %USERPROFILE%\Documents\GitHub\eaglep3\Utilities\DownloadLogsFromS3.py --loco 4014 --day 2016-12-30</v>
      </c>
      <c r="AF24" s="1"/>
    </row>
    <row r="25" spans="1:32" x14ac:dyDescent="0.25">
      <c r="A25" s="33">
        <v>42733.796400462961</v>
      </c>
      <c r="B25" s="31" t="s">
        <v>225</v>
      </c>
      <c r="C25" s="31" t="s">
        <v>456</v>
      </c>
      <c r="D25" s="31" t="s">
        <v>49</v>
      </c>
      <c r="E25" s="31" t="s">
        <v>200</v>
      </c>
      <c r="F25" s="44">
        <v>0</v>
      </c>
      <c r="G25" s="44">
        <v>38</v>
      </c>
      <c r="H25" s="44">
        <v>233213</v>
      </c>
      <c r="I25" s="44">
        <v>233263</v>
      </c>
      <c r="J25" s="31" t="s">
        <v>201</v>
      </c>
      <c r="K25" s="44">
        <v>233491</v>
      </c>
      <c r="L25" s="150" t="s">
        <v>50</v>
      </c>
      <c r="M25" s="151">
        <f t="shared" si="0"/>
        <v>120.384</v>
      </c>
      <c r="N25" s="152" t="str">
        <f>VLOOKUP(C25,'Trips&amp;Operators'!$C$1:$G$99999,5,FALSE)</f>
        <v>HILLS DUSTIN</v>
      </c>
      <c r="O25" s="179" t="s">
        <v>195</v>
      </c>
      <c r="P25" s="153"/>
      <c r="Q25" s="31"/>
      <c r="R25" s="96" t="str">
        <f>VLOOKUP(C25,'Train Runs'!$A$13:$AE$9963,31,0)</f>
        <v>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 &amp; aws s3 cp s3://rtdc.mdm.uploadarchive.raw/RTDC4014/ "%USERPROFILE%\AppData\Local\Temp\OnboardLogs"\RTDC4014\2016-12-30 --exclude "*" --recursive --include "*20161230*" &amp; "%USERPROFILE%\Documents\GitHub\mrs-test-scripts\Headless Mode &amp; Sideloading\WalkAndUnGZ.bat" "%USERPROFILE%\AppData\Local\Temp\OnboardLogs"\RTDC4014\2016-12-30</v>
      </c>
      <c r="S25" s="99" t="str">
        <f>VLOOKUP(C25,'Train Runs'!$A$13:$AE$9963,22,0)</f>
        <v>https://search-rtdc-monitor-bjffxe2xuh6vdkpspy63sjmuny.us-east-1.es.amazonaws.com/_plugin/kibana/#/discover/Steve-Slow-Train-Analysis-(2080s-and-2083s)?_g=(refreshInterval:(display:Off,section:0,value:0),time:(from:'2016-12-29 17:25:57-700',mode:absolute,to:'2016-12-29 20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5" s="101" t="str">
        <f t="shared" si="1"/>
        <v>"C:\Program Files (x86)\AstroGrep\AstroGrep.exe" /spath="%USERPROFILE%\AppData\Local\Temp\OnboardLogs" /stypes="*4014*201612300*" /stext=" 02:.+((SYSTEM_STATE.+slice.+state.+changed )|(ment ac)|(multiple cpu faults)|(system.+state.+changed )|(\[timeout)|(PRM\|1\|D)|(kpr)|(kdp)|(\|lc)|(penalty))" /e /r /s</v>
      </c>
      <c r="U25" s="9" t="str">
        <f t="shared" si="2"/>
        <v>4014</v>
      </c>
      <c r="V25" s="33">
        <f t="shared" si="3"/>
        <v>42734.088067129625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{"issue":{"subject":"","project_id":79,"tracker_id":40,"status_id":1,"priority_id":2,"assigned_to_id":23,"start_date":"2016-12-29","description":"","custom_fields":[{"id":1,"name":"Subdivision","value":"EC"},{"id":4,"name":"Milepost","value":"23.3491"},{"id":17,"name":"Train ID","value":"219-29"},{"id":16,"name":"Locomotive ID","value":"4014"},{"id":130,"name":"Impact","value":""},{"id":150,"name":"Time of Event (Mountain Time)","value":"19:06:49"},{"id":151,"name":"Denver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-A100 "Enforcement Action" "%USERPROFILE%\AppData\Local\Temp\OnboardLogs"\RTDC4014\*4014*201612300*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"%USERPROFILE%\AppData\Local\Temp\OnboardLogs"\RTDC4014\*4014*201612300* &gt;&gt; 42733-slicedisagreementcheck.txt</v>
      </c>
      <c r="AE25" s="183" t="str">
        <f t="shared" si="8"/>
        <v>start /low /b %USERPROFILE%\Documents\GitHub\eaglep3\Utilities\DownloadLogsFromS3.py --loco 4014 --day 2016-12-30</v>
      </c>
      <c r="AF25" s="1"/>
    </row>
    <row r="26" spans="1:32" x14ac:dyDescent="0.25">
      <c r="A26" s="33">
        <v>42733.963402777779</v>
      </c>
      <c r="B26" s="31" t="s">
        <v>225</v>
      </c>
      <c r="C26" s="31" t="s">
        <v>462</v>
      </c>
      <c r="D26" s="31" t="s">
        <v>49</v>
      </c>
      <c r="E26" s="31" t="s">
        <v>200</v>
      </c>
      <c r="F26" s="44">
        <v>0</v>
      </c>
      <c r="G26" s="44">
        <v>60</v>
      </c>
      <c r="H26" s="44">
        <v>233359</v>
      </c>
      <c r="I26" s="44">
        <v>233417</v>
      </c>
      <c r="J26" s="31" t="s">
        <v>201</v>
      </c>
      <c r="K26" s="44">
        <v>233491</v>
      </c>
      <c r="L26" s="150" t="s">
        <v>50</v>
      </c>
      <c r="M26" s="151">
        <f t="shared" si="0"/>
        <v>39.072000000000003</v>
      </c>
      <c r="N26" s="152" t="str">
        <f>VLOOKUP(C26,'Trips&amp;Operators'!$C$1:$G$99999,5,FALSE)</f>
        <v>HILLS DUSTIN</v>
      </c>
      <c r="O26" s="179" t="s">
        <v>195</v>
      </c>
      <c r="P26" s="153"/>
      <c r="Q26" s="31"/>
      <c r="R26" s="96" t="str">
        <f>VLOOKUP(C26,'Train Runs'!$A$13:$AE$9963,31,0)</f>
        <v>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 &amp; aws s3 cp s3://rtdc.mdm.uploadarchive.raw/RTDC4014/ "%USERPROFILE%\AppData\Local\Temp\OnboardLogs"\RTDC4014\2016-12-30 --exclude "*" --recursive --include "*20161230*" &amp; "%USERPROFILE%\Documents\GitHub\mrs-test-scripts\Headless Mode &amp; Sideloading\WalkAndUnGZ.bat" "%USERPROFILE%\AppData\Local\Temp\OnboardLogs"\RTDC4014\2016-12-30</v>
      </c>
      <c r="S26" s="99" t="str">
        <f>VLOOKUP(C26,'Train Runs'!$A$13:$AE$9963,22,0)</f>
        <v>https://search-rtdc-monitor-bjffxe2xuh6vdkpspy63sjmuny.us-east-1.es.amazonaws.com/_plugin/kibana/#/discover/Steve-Slow-Train-Analysis-(2080s-and-2083s)?_g=(refreshInterval:(display:Off,section:0,value:0),time:(from:'2016-12-29 21:08:45-700',mode:absolute,to:'2016-12-30 00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6" s="101" t="str">
        <f t="shared" si="1"/>
        <v>"C:\Program Files (x86)\AstroGrep\AstroGrep.exe" /spath="%USERPROFILE%\AppData\Local\Temp\OnboardLogs" /stypes="*4014*201612300*" /stext=" 06:.+((SYSTEM_STATE.+slice.+state.+changed )|(ment ac)|(multiple cpu faults)|(system.+state.+changed )|(\[timeout)|(PRM\|1\|D)|(kpr)|(kdp)|(\|lc)|(penalty))" /e /r /s</v>
      </c>
      <c r="U26" s="9" t="str">
        <f t="shared" si="2"/>
        <v>4014</v>
      </c>
      <c r="V26" s="33">
        <f t="shared" si="3"/>
        <v>42734.255069444444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{"issue":{"subject":"","project_id":79,"tracker_id":40,"status_id":1,"priority_id":2,"assigned_to_id":23,"start_date":"2016-12-29","description":"","custom_fields":[{"id":1,"name":"Subdivision","value":"EC"},{"id":4,"name":"Milepost","value":"23.3491"},{"id":17,"name":"Train ID","value":"235-29"},{"id":16,"name":"Locomotive ID","value":"4014"},{"id":130,"name":"Impact","value":""},{"id":150,"name":"Time of Event (Mountain Time)","value":"23:07:18"},{"id":151,"name":"Denver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-A100 "Enforcement Action" "%USERPROFILE%\AppData\Local\Temp\OnboardLogs"\RTDC4014\*4014*201612300*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"%USERPROFILE%\AppData\Local\Temp\OnboardLogs"\RTDC4014\*4014*201612300* &gt;&gt; 42733-slicedisagreementcheck.txt</v>
      </c>
      <c r="AE26" s="183" t="str">
        <f t="shared" si="8"/>
        <v>start /low /b %USERPROFILE%\Documents\GitHub\eaglep3\Utilities\DownloadLogsFromS3.py --loco 4014 --day 2016-12-30</v>
      </c>
      <c r="AF26" s="1"/>
    </row>
    <row r="27" spans="1:32" x14ac:dyDescent="0.25">
      <c r="A27" s="33">
        <v>42734.046261574076</v>
      </c>
      <c r="B27" s="31" t="s">
        <v>225</v>
      </c>
      <c r="C27" s="31" t="s">
        <v>466</v>
      </c>
      <c r="D27" s="31" t="s">
        <v>49</v>
      </c>
      <c r="E27" s="31" t="s">
        <v>200</v>
      </c>
      <c r="F27" s="44">
        <v>0</v>
      </c>
      <c r="G27" s="44">
        <v>76</v>
      </c>
      <c r="H27" s="44">
        <v>233293</v>
      </c>
      <c r="I27" s="44">
        <v>233359</v>
      </c>
      <c r="J27" s="31" t="s">
        <v>201</v>
      </c>
      <c r="K27" s="44">
        <v>233491</v>
      </c>
      <c r="L27" s="150" t="s">
        <v>50</v>
      </c>
      <c r="M27" s="151">
        <f t="shared" si="0"/>
        <v>69.695999999999998</v>
      </c>
      <c r="N27" s="152" t="str">
        <f>VLOOKUP(C27,'Trips&amp;Operators'!$C$1:$G$99999,5,FALSE)</f>
        <v>HILLS DUSTIN</v>
      </c>
      <c r="O27" s="179" t="s">
        <v>195</v>
      </c>
      <c r="P27" s="153"/>
      <c r="Q27" s="31"/>
      <c r="R27" s="96" t="str">
        <f>VLOOKUP(C27,'Train Runs'!$A$13:$AE$9963,31,0)</f>
        <v>aws s3 cp s3://rtdc.mdm.uploadarchive.raw/RTDC4014/ "%USERPROFILE%\AppData\Local\Temp\OnboardLogs"\RTDC4014\2016-12-30 --exclude "*" --recursive --include "*20161230*" &amp; "%USERPROFILE%\Documents\GitHub\mrs-test-scripts\Headless Mode &amp; Sideloading\WalkAndUnGZ.bat" "%USERPROFILE%\AppData\Local\Temp\OnboardLogs"\RTDC4014\2016-12-30 &amp; aws s3 cp s3://rtdc.mdm.uploadarchive.raw/RTDC4014/ "%USERPROFILE%\AppData\Local\Temp\OnboardLogs"\RTDC4014\2016-12-31 --exclude "*" --recursive --include "*20161231*" &amp; "%USERPROFILE%\Documents\GitHub\mrs-test-scripts\Headless Mode &amp; Sideloading\WalkAndUnGZ.bat" "%USERPROFILE%\AppData\Local\Temp\OnboardLogs"\RTDC4014\2016-12-31</v>
      </c>
      <c r="S27" s="99" t="str">
        <f>VLOOKUP(C27,'Train Runs'!$A$13:$AE$9963,22,0)</f>
        <v>https://search-rtdc-monitor-bjffxe2xuh6vdkpspy63sjmuny.us-east-1.es.amazonaws.com/_plugin/kibana/#/discover/Steve-Slow-Train-Analysis-(2080s-and-2083s)?_g=(refreshInterval:(display:Off,section:0,value:0),time:(from:'2016-12-29 23:16:21-700',mode:absolute,to:'2016-12-30 02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7" s="101" t="str">
        <f t="shared" si="1"/>
        <v>"C:\Program Files (x86)\AstroGrep\AstroGrep.exe" /spath="%USERPROFILE%\AppData\Local\Temp\OnboardLogs" /stypes="*4014*201612300*" /stext=" 08:.+((SYSTEM_STATE.+slice.+state.+changed )|(ment ac)|(multiple cpu faults)|(system.+state.+changed )|(\[timeout)|(PRM\|1\|D)|(kpr)|(kdp)|(\|lc)|(penalty))" /e /r /s</v>
      </c>
      <c r="U27" s="9" t="str">
        <f t="shared" si="2"/>
        <v>4014</v>
      </c>
      <c r="V27" s="33">
        <f t="shared" si="3"/>
        <v>42734.33792824074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{"issue":{"subject":"","project_id":79,"tracker_id":40,"status_id":1,"priority_id":2,"assigned_to_id":23,"start_date":"2016-12-30","description":"","custom_fields":[{"id":1,"name":"Subdivision","value":"EC"},{"id":4,"name":"Milepost","value":"23.3491"},{"id":17,"name":"Train ID","value":"243-29"},{"id":16,"name":"Locomotive ID","value":"4014"},{"id":130,"name":"Impact","value":""},{"id":150,"name":"Time of Event (Mountain Time)","value":"01:06:37"},{"id":151,"name":"Denver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-A100 "Enforcement Action" "%USERPROFILE%\AppData\Local\Temp\OnboardLogs"\RTDC4014\*4014*201612300*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"%USERPROFILE%\AppData\Local\Temp\OnboardLogs"\RTDC4014\*4014*201612300* &gt;&gt; 42733-slicedisagreementcheck.txt</v>
      </c>
      <c r="AE27" s="183" t="str">
        <f t="shared" si="8"/>
        <v>start /low /b %USERPROFILE%\Documents\GitHub\eaglep3\Utilities\DownloadLogsFromS3.py --loco 4014 --day 2016-12-30</v>
      </c>
      <c r="AF27" s="1"/>
    </row>
    <row r="28" spans="1:32" ht="15" customHeight="1" x14ac:dyDescent="0.25">
      <c r="A28" s="33">
        <v>42733.678796296299</v>
      </c>
      <c r="B28" s="31" t="s">
        <v>373</v>
      </c>
      <c r="C28" s="31" t="s">
        <v>447</v>
      </c>
      <c r="D28" s="31" t="s">
        <v>98</v>
      </c>
      <c r="E28" s="31" t="s">
        <v>196</v>
      </c>
      <c r="F28" s="44">
        <v>400</v>
      </c>
      <c r="G28" s="44">
        <v>454</v>
      </c>
      <c r="H28" s="44">
        <v>38510</v>
      </c>
      <c r="I28" s="44">
        <v>37367</v>
      </c>
      <c r="J28" s="31" t="s">
        <v>197</v>
      </c>
      <c r="K28" s="44">
        <v>40977</v>
      </c>
      <c r="L28" s="150" t="s">
        <v>51</v>
      </c>
      <c r="M28" s="151">
        <f t="shared" si="0"/>
        <v>-1906.08</v>
      </c>
      <c r="N28" s="152" t="str">
        <f>VLOOKUP(C28,'Trips&amp;Operators'!$C$1:$G$99999,5,FALSE)</f>
        <v>SIMONEAUX TERA</v>
      </c>
      <c r="O28" s="179" t="s">
        <v>195</v>
      </c>
      <c r="P28" s="153"/>
      <c r="Q28" s="31"/>
      <c r="R28" s="96" t="str">
        <f>VLOOKUP(C28,'Train Runs'!$A$13:$AE$9963,31,0)</f>
        <v>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 &amp; 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</v>
      </c>
      <c r="S28" s="99" t="str">
        <f>VLOOKUP(C28,'Train Runs'!$A$13:$AE$9963,22,0)</f>
        <v>https://search-rtdc-monitor-bjffxe2xuh6vdkpspy63sjmuny.us-east-1.es.amazonaws.com/_plugin/kibana/#/discover/Steve-Slow-Train-Analysis-(2080s-and-2083s)?_g=(refreshInterval:(display:Off,section:0,value:0),time:(from:'2016-12-29 15:10:16-700',mode:absolute,to:'2016-12-29 17:29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8" s="101" t="str">
        <f t="shared" si="1"/>
        <v>"C:\Program Files (x86)\AstroGrep\AstroGrep.exe" /spath="%USERPROFILE%\AppData\Local\Temp\OnboardLogs" /stypes="*4030*201612292*" /stext=" 23:.+((SYSTEM_STATE.+slice.+state.+changed )|(ment ac)|(multiple cpu faults)|(system.+state.+changed )|(\[timeout)|(PRM\|1\|D)|(kpr)|(kdp)|(\|lc)|(penalty))" /e /r /s</v>
      </c>
      <c r="U28" s="9" t="str">
        <f t="shared" si="2"/>
        <v>4030</v>
      </c>
      <c r="V28" s="33">
        <f t="shared" si="3"/>
        <v>42733.970462962963</v>
      </c>
      <c r="W28" s="47" t="str">
        <f t="shared" si="4"/>
        <v>NW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{"issue":{"subject":"","project_id":79,"tracker_id":40,"status_id":1,"priority_id":2,"assigned_to_id":23,"start_date":"2016-12-29","description":"","custom_fields":[{"id":1,"name":"Subdivision","value":"NW"},{"id":4,"name":"Milepost","value":"4.0977"},{"id":17,"name":"Train ID","value":"828-29"},{"id":16,"name":"Locomotive ID","value":"4030"},{"id":130,"name":"Impact","value":""},{"id":150,"name":"Time of Event (Mountain Time)","value":"16:17:28"},{"id":151,"name":"Denver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-A100 "Enforcement Action" "%USERPROFILE%\AppData\Local\Temp\OnboardLogs"\RTDC4030\*4030*201612292*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"%USERPROFILE%\AppData\Local\Temp\OnboardLogs"\RTDC4030\*4030*201612292* &gt;&gt; 42733-slicedisagreementcheck.txt</v>
      </c>
      <c r="AE28" s="183" t="str">
        <f t="shared" si="8"/>
        <v>start /low /b %USERPROFILE%\Documents\GitHub\eaglep3\Utilities\DownloadLogsFromS3.py --loco 4030 --day 2016-12-29</v>
      </c>
      <c r="AF28" s="1"/>
    </row>
    <row r="29" spans="1:32" ht="15" customHeight="1" x14ac:dyDescent="0.25">
      <c r="A29" s="33">
        <v>42733.749664351853</v>
      </c>
      <c r="B29" s="31" t="s">
        <v>375</v>
      </c>
      <c r="C29" s="31" t="s">
        <v>452</v>
      </c>
      <c r="D29" s="31" t="s">
        <v>49</v>
      </c>
      <c r="E29" s="31" t="s">
        <v>198</v>
      </c>
      <c r="F29" s="44">
        <v>0</v>
      </c>
      <c r="G29" s="44">
        <v>344</v>
      </c>
      <c r="H29" s="44">
        <v>24882</v>
      </c>
      <c r="I29" s="44">
        <v>25996</v>
      </c>
      <c r="J29" s="31" t="s">
        <v>199</v>
      </c>
      <c r="K29" s="44">
        <v>26941</v>
      </c>
      <c r="L29" s="150" t="s">
        <v>50</v>
      </c>
      <c r="M29" s="151">
        <f t="shared" si="0"/>
        <v>498.96</v>
      </c>
      <c r="N29" s="152" t="str">
        <f>VLOOKUP(C29,'Trips&amp;Operators'!$C$1:$G$99999,5,FALSE)</f>
        <v>SIMONEAUX TERA</v>
      </c>
      <c r="O29" s="179" t="s">
        <v>227</v>
      </c>
      <c r="P29" s="153" t="s">
        <v>350</v>
      </c>
      <c r="Q29" s="31"/>
      <c r="R29" s="96" t="str">
        <f>VLOOKUP(C29,'Train Runs'!$A$13:$AE$9963,31,0)</f>
        <v>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 &amp; 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</v>
      </c>
      <c r="S29" s="99" t="str">
        <f>VLOOKUP(C29,'Train Runs'!$A$13:$AE$9963,22,0)</f>
        <v>https://search-rtdc-monitor-bjffxe2xuh6vdkpspy63sjmuny.us-east-1.es.amazonaws.com/_plugin/kibana/#/discover/Steve-Slow-Train-Analysis-(2080s-and-2083s)?_g=(refreshInterval:(display:Off,section:0,value:0),time:(from:'2016-12-29 16:41:16-700',mode:absolute,to:'2016-12-29 19:08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9" s="101" t="str">
        <f t="shared" si="1"/>
        <v>"C:\Program Files (x86)\AstroGrep\AstroGrep.exe" /spath="%USERPROFILE%\AppData\Local\Temp\OnboardLogs" /stypes="*4029*201612300*" /stext=" 00:.+((SYSTEM_STATE.+slice.+state.+changed )|(ment ac)|(multiple cpu faults)|(system.+state.+changed )|(\[timeout)|(PRM\|1\|D)|(kpr)|(kdp)|(\|lc)|(penalty))" /e /r /s</v>
      </c>
      <c r="U29" s="9" t="str">
        <f t="shared" si="2"/>
        <v>4029</v>
      </c>
      <c r="V29" s="33">
        <f t="shared" si="3"/>
        <v>42734.041331018518</v>
      </c>
      <c r="W29" s="47" t="str">
        <f t="shared" si="4"/>
        <v>NW</v>
      </c>
      <c r="X29" s="47" t="str">
        <f t="shared" si="5"/>
        <v>KEEP</v>
      </c>
      <c r="Y29" s="115" t="str">
        <f t="shared" si="6"/>
        <v>echo {"issue":{"subject":"Wi-MAX data drop","project_id":79,"tracker_id":40,"status_id":1,"priority_id":2,"assigned_to_id":23,"start_date":"2016-12-29","description":"http://stevetu21.github.io/eaglep3/load_kml.html?kml=http://rtdc.gmaps-snips.s3.amazonaws.com/ed911d11-8fdd-4d4b-ba6f-1bb5e20e56d9.kml","custom_fields":[{"id":1,"name":"Subdivision","value":"NW"},{"id":4,"name":"Milepost","value":"2.6941"},{"id":17,"name":"Train ID","value":"835-29"},{"id":16,"name":"Locomotive ID","value":"4029"},{"id":130,"name":"Impact","value":"Enforcement"},{"id":150,"name":"Time of Event (Mountain Time)","value":"17:59:31"},{"id":151,"name":"Denver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9" s="189" t="s">
        <v>842</v>
      </c>
      <c r="AA29" s="50" t="s">
        <v>125</v>
      </c>
      <c r="AB29" s="50" t="s">
        <v>138</v>
      </c>
      <c r="AC29" s="134" t="str">
        <f t="shared" si="7"/>
        <v>grep -hSE -A100 "Enforcement Action" "%USERPROFILE%\AppData\Local\Temp\OnboardLogs"\RTDC4029\*4029*201612300*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"%USERPROFILE%\AppData\Local\Temp\OnboardLogs"\RTDC4029\*4029*201612300* &gt;&gt; 42733-slicedisagreementcheck.txt</v>
      </c>
      <c r="AE29" s="183" t="str">
        <f t="shared" si="8"/>
        <v>start /low /b %USERPROFILE%\Documents\GitHub\eaglep3\Utilities\DownloadLogsFromS3.py --loco 4029 --day 2016-12-30</v>
      </c>
      <c r="AF29" s="1"/>
    </row>
    <row r="30" spans="1:32" x14ac:dyDescent="0.25">
      <c r="A30" s="33">
        <v>42733.706770833334</v>
      </c>
      <c r="B30" s="31" t="s">
        <v>448</v>
      </c>
      <c r="C30" s="31" t="s">
        <v>449</v>
      </c>
      <c r="D30" s="31" t="s">
        <v>49</v>
      </c>
      <c r="E30" s="31" t="s">
        <v>200</v>
      </c>
      <c r="F30" s="44">
        <v>0</v>
      </c>
      <c r="G30" s="44">
        <v>25</v>
      </c>
      <c r="H30" s="44">
        <v>668</v>
      </c>
      <c r="I30" s="44">
        <v>656</v>
      </c>
      <c r="J30" s="31" t="s">
        <v>201</v>
      </c>
      <c r="K30" s="44">
        <v>575</v>
      </c>
      <c r="L30" s="150" t="s">
        <v>51</v>
      </c>
      <c r="M30" s="151">
        <f t="shared" si="0"/>
        <v>42.768000000000001</v>
      </c>
      <c r="N30" s="152" t="str">
        <f>VLOOKUP(C30,'Trips&amp;Operators'!$C$1:$G$99999,5,FALSE)</f>
        <v>SIMMONS SHYHESHA</v>
      </c>
      <c r="O30" s="179" t="s">
        <v>195</v>
      </c>
      <c r="P30" s="153"/>
      <c r="Q30" s="31"/>
      <c r="R30" s="96" t="str">
        <f>VLOOKUP(C30,'Train Runs'!$A$13:$AE$9963,31,0)</f>
        <v>aws s3 cp s3://rtdc.mdm.uploadarchive.raw/RTDC4021/ "%USERPROFILE%\AppData\Local\Temp\OnboardLogs"\RTDC4021\2016-12-29 --exclude "*" --recursive --include "*20161229*" &amp; "%USERPROFILE%\Documents\GitHub\mrs-test-scripts\Headless Mode &amp; Sideloading\WalkAndUnGZ.bat" "%USERPROFILE%\AppData\Local\Temp\OnboardLogs"\RTDC4021\2016-12-29 &amp; aws s3 cp s3://rtdc.mdm.uploadarchive.raw/RTDC4021/ "%USERPROFILE%\AppData\Local\Temp\OnboardLogs"\RTDC4021\2016-12-30 --exclude "*" --recursive --include "*20161230*" &amp; "%USERPROFILE%\Documents\GitHub\mrs-test-scripts\Headless Mode &amp; Sideloading\WalkAndUnGZ.bat" "%USERPROFILE%\AppData\Local\Temp\OnboardLogs"\RTDC4021\2016-12-30</v>
      </c>
      <c r="S30" s="99" t="str">
        <f>VLOOKUP(C30,'Train Runs'!$A$13:$AE$9963,22,0)</f>
        <v>https://search-rtdc-monitor-bjffxe2xuh6vdkpspy63sjmuny.us-east-1.es.amazonaws.com/_plugin/kibana/#/discover/Steve-Slow-Train-Analysis-(2080s-and-2083s)?_g=(refreshInterval:(display:Off,section:0,value:0),time:(from:'2016-12-29 15:38:23-700',mode:absolute,to:'2016-12-29 17:57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0" s="101" t="str">
        <f t="shared" si="1"/>
        <v>"C:\Program Files (x86)\AstroGrep\AstroGrep.exe" /spath="%USERPROFILE%\AppData\Local\Temp\OnboardLogs" /stypes="*4021*201612292*" /stext=" 23:.+((SYSTEM_STATE.+slice.+state.+changed )|(ment ac)|(multiple cpu faults)|(system.+state.+changed )|(\[timeout)|(PRM\|1\|D)|(kpr)|(kdp)|(\|lc)|(penalty))" /e /r /s</v>
      </c>
      <c r="U30" s="9" t="str">
        <f t="shared" si="2"/>
        <v>4021</v>
      </c>
      <c r="V30" s="33">
        <f t="shared" si="3"/>
        <v>42733.998437499999</v>
      </c>
      <c r="W30" s="47" t="str">
        <f t="shared" si="4"/>
        <v>NW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{"issue":{"subject":"","project_id":79,"tracker_id":40,"status_id":1,"priority_id":2,"assigned_to_id":23,"start_date":"2016-12-29","description":"","custom_fields":[{"id":1,"name":"Subdivision","value":"NW"},{"id":4,"name":"Milepost","value":"0.0575"},{"id":17,"name":"Train ID","value":"830-29"},{"id":16,"name":"Locomotive ID","value":"4021"},{"id":130,"name":"Impact","value":""},{"id":150,"name":"Time of Event (Mountain Time)","value":"16:57:45"},{"id":151,"name":"Denver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-A100 "Enforcement Action" "%USERPROFILE%\AppData\Local\Temp\OnboardLogs"\RTDC4021\*4021*201612292*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"%USERPROFILE%\AppData\Local\Temp\OnboardLogs"\RTDC4021\*4021*201612292* &gt;&gt; 42733-slicedisagreementcheck.txt</v>
      </c>
      <c r="AE30" s="183" t="str">
        <f t="shared" si="8"/>
        <v>start /low /b %USERPROFILE%\Documents\GitHub\eaglep3\Utilities\DownloadLogsFromS3.py --loco 4021 --day 2016-12-29</v>
      </c>
      <c r="AF30" s="1"/>
    </row>
    <row r="31" spans="1:32" x14ac:dyDescent="0.25">
      <c r="A31" s="33">
        <v>42733.337939814817</v>
      </c>
      <c r="B31" s="31" t="s">
        <v>375</v>
      </c>
      <c r="C31" s="31" t="s">
        <v>438</v>
      </c>
      <c r="D31" s="31" t="s">
        <v>49</v>
      </c>
      <c r="E31" s="31" t="s">
        <v>200</v>
      </c>
      <c r="F31" s="44">
        <v>0</v>
      </c>
      <c r="G31" s="44">
        <v>12</v>
      </c>
      <c r="H31" s="44">
        <v>59024</v>
      </c>
      <c r="I31" s="44">
        <v>59025</v>
      </c>
      <c r="J31" s="31" t="s">
        <v>201</v>
      </c>
      <c r="K31" s="44">
        <v>59048</v>
      </c>
      <c r="L31" s="150" t="s">
        <v>50</v>
      </c>
      <c r="M31" s="151">
        <f t="shared" si="0"/>
        <v>12.144</v>
      </c>
      <c r="N31" s="152" t="str">
        <f>VLOOKUP(C31,'Trips&amp;Operators'!$C$1:$G$99999,5,FALSE)</f>
        <v>SHOOK JOHN</v>
      </c>
      <c r="O31" s="179" t="s">
        <v>195</v>
      </c>
      <c r="P31" s="153"/>
      <c r="Q31" s="31"/>
      <c r="R31" s="96" t="str">
        <f>VLOOKUP(C31,'Train Runs'!$A$13:$AE$9963,31,0)</f>
        <v>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 &amp; 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</v>
      </c>
      <c r="S31" s="99" t="str">
        <f>VLOOKUP(C31,'Train Runs'!$A$13:$AE$9963,22,0)</f>
        <v>https://search-rtdc-monitor-bjffxe2xuh6vdkpspy63sjmuny.us-east-1.es.amazonaws.com/_plugin/kibana/#/discover/Steve-Slow-Train-Analysis-(2080s-and-2083s)?_g=(refreshInterval:(display:Off,section:0,value:0),time:(from:'2016-12-29 06:31:15-700',mode:absolute,to:'2016-12-29 09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1" s="101" t="str">
        <f t="shared" si="1"/>
        <v>"C:\Program Files (x86)\AstroGrep\AstroGrep.exe" /spath="%USERPROFILE%\AppData\Local\Temp\OnboardLogs" /stypes="*4029*201612291*" /stext=" 15:.+((SYSTEM_STATE.+slice.+state.+changed )|(ment ac)|(multiple cpu faults)|(system.+state.+changed )|(\[timeout)|(PRM\|1\|D)|(kpr)|(kdp)|(\|lc)|(penalty))" /e /r /s</v>
      </c>
      <c r="U31" s="9" t="str">
        <f t="shared" si="2"/>
        <v>4029</v>
      </c>
      <c r="V31" s="33">
        <f t="shared" si="3"/>
        <v>42733.629606481481</v>
      </c>
      <c r="W31" s="47" t="str">
        <f t="shared" si="4"/>
        <v>NW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{"issue":{"subject":"","project_id":79,"tracker_id":40,"status_id":1,"priority_id":2,"assigned_to_id":23,"start_date":"2016-12-29","description":"","custom_fields":[{"id":1,"name":"Subdivision","value":"NW"},{"id":4,"name":"Milepost","value":"5.9048"},{"id":17,"name":"Train ID","value":"809-29"},{"id":16,"name":"Locomotive ID","value":"4029"},{"id":130,"name":"Impact","value":""},{"id":150,"name":"Time of Event (Mountain Time)","value":"08:06:38"},{"id":151,"name":"Denver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-A100 "Enforcement Action" "%USERPROFILE%\AppData\Local\Temp\OnboardLogs"\RTDC4029\*4029*201612291*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"%USERPROFILE%\AppData\Local\Temp\OnboardLogs"\RTDC4029\*4029*201612291* &gt;&gt; 42733-slicedisagreementcheck.txt</v>
      </c>
      <c r="AE31" s="183" t="str">
        <f t="shared" si="8"/>
        <v>start /low /b %USERPROFILE%\Documents\GitHub\eaglep3\Utilities\DownloadLogsFromS3.py --loco 4029 --day 2016-12-29</v>
      </c>
      <c r="AF31" s="1"/>
    </row>
    <row r="32" spans="1:32" x14ac:dyDescent="0.25">
      <c r="A32" s="33">
        <v>42733.567187499997</v>
      </c>
      <c r="B32" s="31" t="s">
        <v>214</v>
      </c>
      <c r="C32" s="31" t="s">
        <v>440</v>
      </c>
      <c r="D32" s="31" t="s">
        <v>49</v>
      </c>
      <c r="E32" s="31" t="s">
        <v>200</v>
      </c>
      <c r="F32" s="44">
        <v>0</v>
      </c>
      <c r="G32" s="44">
        <v>24</v>
      </c>
      <c r="H32" s="44">
        <v>58976</v>
      </c>
      <c r="I32" s="44">
        <v>58997</v>
      </c>
      <c r="J32" s="31" t="s">
        <v>201</v>
      </c>
      <c r="K32" s="44">
        <v>59048</v>
      </c>
      <c r="L32" s="150" t="s">
        <v>50</v>
      </c>
      <c r="M32" s="151">
        <f t="shared" si="0"/>
        <v>26.928000000000001</v>
      </c>
      <c r="N32" s="152" t="str">
        <f>VLOOKUP(C32,'Trips&amp;Operators'!$C$1:$G$99999,5,FALSE)</f>
        <v>SIMMONS SHYHESHA</v>
      </c>
      <c r="O32" s="179" t="s">
        <v>227</v>
      </c>
      <c r="P32" s="153" t="s">
        <v>942</v>
      </c>
      <c r="Q32" s="31"/>
      <c r="R32" s="96" t="str">
        <f>VLOOKUP(C32,'Train Runs'!$A$13:$AE$9963,31,0)</f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S32" s="99" t="str">
        <f>VLOOKUP(C32,'Train Runs'!$A$13:$AE$9963,22,0)</f>
        <v>https://search-rtdc-monitor-bjffxe2xuh6vdkpspy63sjmuny.us-east-1.es.amazonaws.com/_plugin/kibana/#/discover/Steve-Slow-Train-Analysis-(2080s-and-2083s)?_g=(refreshInterval:(display:Off,section:0,value:0),time:(from:'2016-12-29 12:03:45-700',mode:absolute,to:'2016-12-29 14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2" s="101" t="str">
        <f t="shared" si="1"/>
        <v>"C:\Program Files (x86)\AstroGrep\AstroGrep.exe" /spath="%USERPROFILE%\AppData\Local\Temp\OnboardLogs" /stypes="*4022*201612292*" /stext=" 20:.+((SYSTEM_STATE.+slice.+state.+changed )|(ment ac)|(multiple cpu faults)|(system.+state.+changed )|(\[timeout)|(PRM\|1\|D)|(kpr)|(kdp)|(\|lc)|(penalty))" /e /r /s</v>
      </c>
      <c r="U32" s="9" t="str">
        <f t="shared" si="2"/>
        <v>4022</v>
      </c>
      <c r="V32" s="33">
        <f t="shared" si="3"/>
        <v>42733.858854166661</v>
      </c>
      <c r="W32" s="47" t="str">
        <f t="shared" si="4"/>
        <v>NW</v>
      </c>
      <c r="X32" s="47" t="str">
        <f t="shared" si="5"/>
        <v>KEEP</v>
      </c>
      <c r="Y32" s="115" t="str">
        <f t="shared" si="6"/>
        <v>echo {"issue":{"subject":"Banner without braking","project_id":79,"tracker_id":40,"status_id":1,"priority_id":2,"assigned_to_id":23,"start_date":"2016-12-29","description":"","custom_fields":[{"id":1,"name":"Subdivision","value":"NW"},{"id":4,"name":"Milepost","value":"5.9048"},{"id":17,"name":"Train ID","value":"821-29"},{"id":16,"name":"Locomotive ID","value":"4022"},{"id":130,"name":"Impact","value":""},{"id":150,"name":"Time of Event (Mountain Time)","value":"13:36:45"},{"id":151,"name":"Denver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-A100 "Enforcement Action" "%USERPROFILE%\AppData\Local\Temp\OnboardLogs"\RTDC4022\*4022*201612292*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"%USERPROFILE%\AppData\Local\Temp\OnboardLogs"\RTDC4022\*4022*201612292* &gt;&gt; 42733-slicedisagreementcheck.txt</v>
      </c>
      <c r="AE32" s="183" t="str">
        <f t="shared" si="8"/>
        <v>start /low /b %USERPROFILE%\Documents\GitHub\eaglep3\Utilities\DownloadLogsFromS3.py --loco 4022 --day 2016-12-29</v>
      </c>
      <c r="AF32" s="1"/>
    </row>
    <row r="33" spans="1:32" x14ac:dyDescent="0.25">
      <c r="A33" s="33">
        <v>42733.608530092592</v>
      </c>
      <c r="B33" s="31" t="s">
        <v>214</v>
      </c>
      <c r="C33" s="31" t="s">
        <v>444</v>
      </c>
      <c r="D33" s="31" t="s">
        <v>49</v>
      </c>
      <c r="E33" s="31" t="s">
        <v>200</v>
      </c>
      <c r="F33" s="44">
        <v>0</v>
      </c>
      <c r="G33" s="44">
        <v>27</v>
      </c>
      <c r="H33" s="44">
        <v>58971</v>
      </c>
      <c r="I33" s="44">
        <v>58984</v>
      </c>
      <c r="J33" s="31" t="s">
        <v>201</v>
      </c>
      <c r="K33" s="44">
        <v>59048</v>
      </c>
      <c r="L33" s="150" t="s">
        <v>50</v>
      </c>
      <c r="M33" s="151">
        <f t="shared" si="0"/>
        <v>33.792000000000002</v>
      </c>
      <c r="N33" s="152" t="str">
        <f>VLOOKUP(C33,'Trips&amp;Operators'!$C$1:$G$99999,5,FALSE)</f>
        <v>SIMMONS SHYHESHA</v>
      </c>
      <c r="O33" s="179" t="s">
        <v>195</v>
      </c>
      <c r="P33" s="153"/>
      <c r="Q33" s="31"/>
      <c r="R33" s="96" t="str">
        <f>VLOOKUP(C33,'Train Runs'!$A$13:$AE$9963,31,0)</f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S33" s="99" t="str">
        <f>VLOOKUP(C33,'Train Runs'!$A$13:$AE$9963,22,0)</f>
        <v>https://search-rtdc-monitor-bjffxe2xuh6vdkpspy63sjmuny.us-east-1.es.amazonaws.com/_plugin/kibana/#/discover/Steve-Slow-Train-Analysis-(2080s-and-2083s)?_g=(refreshInterval:(display:Off,section:0,value:0),time:(from:'2016-12-29 13:07:46-700',mode:absolute,to:'2016-12-29 15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3" s="101" t="str">
        <f t="shared" si="1"/>
        <v>"C:\Program Files (x86)\AstroGrep\AstroGrep.exe" /spath="%USERPROFILE%\AppData\Local\Temp\OnboardLogs" /stypes="*4022*201612292*" /stext=" 21:.+((SYSTEM_STATE.+slice.+state.+changed )|(ment ac)|(multiple cpu faults)|(system.+state.+changed )|(\[timeout)|(PRM\|1\|D)|(kpr)|(kdp)|(\|lc)|(penalty))" /e /r /s</v>
      </c>
      <c r="U33" s="9" t="str">
        <f t="shared" si="2"/>
        <v>4022</v>
      </c>
      <c r="V33" s="33">
        <f t="shared" si="3"/>
        <v>42733.900196759256</v>
      </c>
      <c r="W33" s="47" t="str">
        <f t="shared" si="4"/>
        <v>NW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{"issue":{"subject":"","project_id":79,"tracker_id":40,"status_id":1,"priority_id":2,"assigned_to_id":23,"start_date":"2016-12-29","description":"","custom_fields":[{"id":1,"name":"Subdivision","value":"NW"},{"id":4,"name":"Milepost","value":"5.9048"},{"id":17,"name":"Train ID","value":"823-29"},{"id":16,"name":"Locomotive ID","value":"4022"},{"id":130,"name":"Impact","value":""},{"id":150,"name":"Time of Event (Mountain Time)","value":"14:36:17"},{"id":151,"name":"Denver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-A100 "Enforcement Action" "%USERPROFILE%\AppData\Local\Temp\OnboardLogs"\RTDC4022\*4022*201612292*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"%USERPROFILE%\AppData\Local\Temp\OnboardLogs"\RTDC4022\*4022*201612292* &gt;&gt; 42733-slicedisagreementcheck.txt</v>
      </c>
      <c r="AE33" s="183" t="str">
        <f t="shared" si="8"/>
        <v>start /low /b %USERPROFILE%\Documents\GitHub\eaglep3\Utilities\DownloadLogsFromS3.py --loco 4022 --day 2016-12-29</v>
      </c>
      <c r="AF33" s="1"/>
    </row>
    <row r="34" spans="1:32" x14ac:dyDescent="0.25">
      <c r="A34" s="33">
        <v>42733.672500000001</v>
      </c>
      <c r="B34" s="31" t="s">
        <v>375</v>
      </c>
      <c r="C34" s="31" t="s">
        <v>446</v>
      </c>
      <c r="D34" s="31" t="s">
        <v>49</v>
      </c>
      <c r="E34" s="31" t="s">
        <v>200</v>
      </c>
      <c r="F34" s="44">
        <v>0</v>
      </c>
      <c r="G34" s="44">
        <v>51</v>
      </c>
      <c r="H34" s="44">
        <v>58892</v>
      </c>
      <c r="I34" s="44">
        <v>58935</v>
      </c>
      <c r="J34" s="31" t="s">
        <v>201</v>
      </c>
      <c r="K34" s="44">
        <v>59048</v>
      </c>
      <c r="L34" s="150" t="s">
        <v>50</v>
      </c>
      <c r="M34" s="151">
        <f t="shared" si="0"/>
        <v>59.664000000000001</v>
      </c>
      <c r="N34" s="152" t="str">
        <f>VLOOKUP(C34,'Trips&amp;Operators'!$C$1:$G$99999,5,FALSE)</f>
        <v>SIMONEAUX TERA</v>
      </c>
      <c r="O34" s="179" t="s">
        <v>195</v>
      </c>
      <c r="P34" s="153"/>
      <c r="Q34" s="31"/>
      <c r="R34" s="96" t="str">
        <f>VLOOKUP(C34,'Train Runs'!$A$13:$AE$9963,31,0)</f>
        <v>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 &amp; 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</v>
      </c>
      <c r="S34" s="99" t="str">
        <f>VLOOKUP(C34,'Train Runs'!$A$13:$AE$9963,22,0)</f>
        <v>https://search-rtdc-monitor-bjffxe2xuh6vdkpspy63sjmuny.us-east-1.es.amazonaws.com/_plugin/kibana/#/discover/Steve-Slow-Train-Analysis-(2080s-and-2083s)?_g=(refreshInterval:(display:Off,section:0,value:0),time:(from:'2016-12-29 14:47:04-700',mode:absolute,to:'2016-12-29 17:08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4" s="101" t="str">
        <f t="shared" si="1"/>
        <v>"C:\Program Files (x86)\AstroGrep\AstroGrep.exe" /spath="%USERPROFILE%\AppData\Local\Temp\OnboardLogs" /stypes="*4029*201612292*" /stext=" 23:.+((SYSTEM_STATE.+slice.+state.+changed )|(ment ac)|(multiple cpu faults)|(system.+state.+changed )|(\[timeout)|(PRM\|1\|D)|(kpr)|(kdp)|(\|lc)|(penalty))" /e /r /s</v>
      </c>
      <c r="U34" s="9" t="str">
        <f t="shared" si="2"/>
        <v>4029</v>
      </c>
      <c r="V34" s="33">
        <f t="shared" si="3"/>
        <v>42733.964166666665</v>
      </c>
      <c r="W34" s="47" t="str">
        <f t="shared" si="4"/>
        <v>NW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{"issue":{"subject":"","project_id":79,"tracker_id":40,"status_id":1,"priority_id":2,"assigned_to_id":23,"start_date":"2016-12-29","description":"","custom_fields":[{"id":1,"name":"Subdivision","value":"NW"},{"id":4,"name":"Milepost","value":"5.9048"},{"id":17,"name":"Train ID","value":"827-29"},{"id":16,"name":"Locomotive ID","value":"4029"},{"id":130,"name":"Impact","value":""},{"id":150,"name":"Time of Event (Mountain Time)","value":"16:08:24"},{"id":151,"name":"Denver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-A100 "Enforcement Action" "%USERPROFILE%\AppData\Local\Temp\OnboardLogs"\RTDC4029\*4029*201612292*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"%USERPROFILE%\AppData\Local\Temp\OnboardLogs"\RTDC4029\*4029*201612292* &gt;&gt; 42733-slicedisagreementcheck.txt</v>
      </c>
      <c r="AE34" s="183" t="str">
        <f t="shared" si="8"/>
        <v>start /low /b %USERPROFILE%\Documents\GitHub\eaglep3\Utilities\DownloadLogsFromS3.py --loco 4029 --day 2016-12-29</v>
      </c>
      <c r="AF34" s="1"/>
    </row>
    <row r="35" spans="1:32" x14ac:dyDescent="0.25">
      <c r="A35" s="33">
        <v>42733.756006944444</v>
      </c>
      <c r="B35" s="31" t="s">
        <v>375</v>
      </c>
      <c r="C35" s="31" t="s">
        <v>452</v>
      </c>
      <c r="D35" s="31" t="s">
        <v>49</v>
      </c>
      <c r="E35" s="31" t="s">
        <v>200</v>
      </c>
      <c r="F35" s="44">
        <v>0</v>
      </c>
      <c r="G35" s="44">
        <v>151</v>
      </c>
      <c r="H35" s="44">
        <v>58413</v>
      </c>
      <c r="I35" s="44">
        <v>58592</v>
      </c>
      <c r="J35" s="31" t="s">
        <v>201</v>
      </c>
      <c r="K35" s="44">
        <v>59048</v>
      </c>
      <c r="L35" s="150" t="s">
        <v>50</v>
      </c>
      <c r="M35" s="151">
        <f t="shared" si="0"/>
        <v>240.768</v>
      </c>
      <c r="N35" s="152" t="str">
        <f>VLOOKUP(C35,'Trips&amp;Operators'!$C$1:$G$99999,5,FALSE)</f>
        <v>SIMONEAUX TERA</v>
      </c>
      <c r="O35" s="179" t="s">
        <v>195</v>
      </c>
      <c r="P35" s="153"/>
      <c r="Q35" s="31"/>
      <c r="R35" s="96" t="str">
        <f>VLOOKUP(C35,'Train Runs'!$A$13:$AE$9963,31,0)</f>
        <v>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 &amp; 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</v>
      </c>
      <c r="S35" s="99" t="str">
        <f>VLOOKUP(C35,'Train Runs'!$A$13:$AE$9963,22,0)</f>
        <v>https://search-rtdc-monitor-bjffxe2xuh6vdkpspy63sjmuny.us-east-1.es.amazonaws.com/_plugin/kibana/#/discover/Steve-Slow-Train-Analysis-(2080s-and-2083s)?_g=(refreshInterval:(display:Off,section:0,value:0),time:(from:'2016-12-29 16:41:16-700',mode:absolute,to:'2016-12-29 19:08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5" s="101" t="str">
        <f t="shared" si="1"/>
        <v>"C:\Program Files (x86)\AstroGrep\AstroGrep.exe" /spath="%USERPROFILE%\AppData\Local\Temp\OnboardLogs" /stypes="*4029*201612300*" /stext=" 01:.+((SYSTEM_STATE.+slice.+state.+changed )|(ment ac)|(multiple cpu faults)|(system.+state.+changed )|(\[timeout)|(PRM\|1\|D)|(kpr)|(kdp)|(\|lc)|(penalty))" /e /r /s</v>
      </c>
      <c r="U35" s="9" t="str">
        <f t="shared" si="2"/>
        <v>4029</v>
      </c>
      <c r="V35" s="33">
        <f t="shared" si="3"/>
        <v>42734.047673611109</v>
      </c>
      <c r="W35" s="47" t="str">
        <f t="shared" si="4"/>
        <v>NW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{"issue":{"subject":"","project_id":79,"tracker_id":40,"status_id":1,"priority_id":2,"assigned_to_id":23,"start_date":"2016-12-29","description":"","custom_fields":[{"id":1,"name":"Subdivision","value":"NW"},{"id":4,"name":"Milepost","value":"5.9048"},{"id":17,"name":"Train ID","value":"835-29"},{"id":16,"name":"Locomotive ID","value":"4029"},{"id":130,"name":"Impact","value":""},{"id":150,"name":"Time of Event (Mountain Time)","value":"18:08:39"},{"id":151,"name":"Denver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-A100 "Enforcement Action" "%USERPROFILE%\AppData\Local\Temp\OnboardLogs"\RTDC4029\*4029*201612300*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"%USERPROFILE%\AppData\Local\Temp\OnboardLogs"\RTDC4029\*4029*201612300* &gt;&gt; 42733-slicedisagreementcheck.txt</v>
      </c>
      <c r="AE35" s="183" t="str">
        <f t="shared" si="8"/>
        <v>start /low /b %USERPROFILE%\Documents\GitHub\eaglep3\Utilities\DownloadLogsFromS3.py --loco 4029 --day 2016-12-30</v>
      </c>
      <c r="AF35" s="1"/>
    </row>
    <row r="36" spans="1:32" x14ac:dyDescent="0.25">
      <c r="A36" s="33">
        <v>42733.75644675926</v>
      </c>
      <c r="B36" s="31" t="s">
        <v>375</v>
      </c>
      <c r="C36" s="31" t="s">
        <v>452</v>
      </c>
      <c r="D36" s="31" t="s">
        <v>49</v>
      </c>
      <c r="E36" s="31" t="s">
        <v>200</v>
      </c>
      <c r="F36" s="44">
        <v>0</v>
      </c>
      <c r="G36" s="44">
        <v>64</v>
      </c>
      <c r="H36" s="44">
        <v>58685</v>
      </c>
      <c r="I36" s="44">
        <v>58734</v>
      </c>
      <c r="J36" s="31" t="s">
        <v>201</v>
      </c>
      <c r="K36" s="44">
        <v>59048</v>
      </c>
      <c r="L36" s="150" t="s">
        <v>50</v>
      </c>
      <c r="M36" s="151">
        <f t="shared" si="0"/>
        <v>165.79199999999997</v>
      </c>
      <c r="N36" s="152" t="str">
        <f>VLOOKUP(C36,'Trips&amp;Operators'!$C$1:$G$99999,5,FALSE)</f>
        <v>SIMONEAUX TERA</v>
      </c>
      <c r="O36" s="179" t="s">
        <v>195</v>
      </c>
      <c r="P36" s="153"/>
      <c r="Q36" s="31"/>
      <c r="R36" s="96" t="str">
        <f>VLOOKUP(C36,'Train Runs'!$A$13:$AE$9963,31,0)</f>
        <v>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 &amp; 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</v>
      </c>
      <c r="S36" s="99" t="str">
        <f>VLOOKUP(C36,'Train Runs'!$A$13:$AE$9963,22,0)</f>
        <v>https://search-rtdc-monitor-bjffxe2xuh6vdkpspy63sjmuny.us-east-1.es.amazonaws.com/_plugin/kibana/#/discover/Steve-Slow-Train-Analysis-(2080s-and-2083s)?_g=(refreshInterval:(display:Off,section:0,value:0),time:(from:'2016-12-29 16:41:16-700',mode:absolute,to:'2016-12-29 19:08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6" s="101" t="str">
        <f t="shared" si="1"/>
        <v>"C:\Program Files (x86)\AstroGrep\AstroGrep.exe" /spath="%USERPROFILE%\AppData\Local\Temp\OnboardLogs" /stypes="*4029*201612300*" /stext=" 01:.+((SYSTEM_STATE.+slice.+state.+changed )|(ment ac)|(multiple cpu faults)|(system.+state.+changed )|(\[timeout)|(PRM\|1\|D)|(kpr)|(kdp)|(\|lc)|(penalty))" /e /r /s</v>
      </c>
      <c r="U36" s="9" t="str">
        <f t="shared" si="2"/>
        <v>4029</v>
      </c>
      <c r="V36" s="33">
        <f t="shared" si="3"/>
        <v>42734.048113425924</v>
      </c>
      <c r="W36" s="47" t="str">
        <f t="shared" si="4"/>
        <v>NW</v>
      </c>
      <c r="X36" s="47" t="str">
        <f t="shared" si="5"/>
        <v>KEEP</v>
      </c>
      <c r="Y36" s="115" t="str">
        <f t="shared" si="6"/>
        <v>echo {"issue":{"subject":"","project_id":79,"tracker_id":40,"status_id":1,"priority_id":2,"assigned_to_id":23,"start_date":"2016-12-29","description":"","custom_fields":[{"id":1,"name":"Subdivision","value":"NW"},{"id":4,"name":"Milepost","value":"5.9048"},{"id":17,"name":"Train ID","value":"835-29"},{"id":16,"name":"Locomotive ID","value":"4029"},{"id":130,"name":"Impact","value":""},{"id":150,"name":"Time of Event (Mountain Time)","value":"18:09:17"},{"id":151,"name":"Denver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 t="shared" si="7"/>
        <v>grep -hSE -A100 "Enforcement Action" "%USERPROFILE%\AppData\Local\Temp\OnboardLogs"\RTDC4029\*4029*201612300*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"%USERPROFILE%\AppData\Local\Temp\OnboardLogs"\RTDC4029\*4029*201612300* &gt;&gt; 42733-slicedisagreementcheck.txt</v>
      </c>
      <c r="AE36" s="183" t="str">
        <f t="shared" si="8"/>
        <v>start /low /b %USERPROFILE%\Documents\GitHub\eaglep3\Utilities\DownloadLogsFromS3.py --loco 4029 --day 2016-12-30</v>
      </c>
      <c r="AF36" s="1"/>
    </row>
    <row r="37" spans="1:32" x14ac:dyDescent="0.25">
      <c r="A37" s="33">
        <v>42733.757291666669</v>
      </c>
      <c r="B37" s="31" t="s">
        <v>375</v>
      </c>
      <c r="C37" s="31" t="s">
        <v>452</v>
      </c>
      <c r="D37" s="31" t="s">
        <v>49</v>
      </c>
      <c r="E37" s="31" t="s">
        <v>200</v>
      </c>
      <c r="F37" s="44">
        <v>0</v>
      </c>
      <c r="G37" s="44">
        <v>24</v>
      </c>
      <c r="H37" s="44">
        <v>58973</v>
      </c>
      <c r="I37" s="44">
        <v>58986</v>
      </c>
      <c r="J37" s="31" t="s">
        <v>201</v>
      </c>
      <c r="K37" s="44">
        <v>59048</v>
      </c>
      <c r="L37" s="150" t="s">
        <v>50</v>
      </c>
      <c r="M37" s="151">
        <f t="shared" si="0"/>
        <v>32.735999999999997</v>
      </c>
      <c r="N37" s="152" t="str">
        <f>VLOOKUP(C37,'Trips&amp;Operators'!$C$1:$G$99999,5,FALSE)</f>
        <v>SIMONEAUX TERA</v>
      </c>
      <c r="O37" s="179" t="s">
        <v>195</v>
      </c>
      <c r="P37" s="153"/>
      <c r="Q37" s="31"/>
      <c r="R37" s="96" t="str">
        <f>VLOOKUP(C37,'Train Runs'!$A$13:$AE$9963,31,0)</f>
        <v>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 &amp; aws s3 cp s3://rtdc.mdm.uploadarchive.raw/RTDC4029/ "%USERPROFILE%\AppData\Local\Temp\OnboardLogs"\RTDC4029\2016-12-30 --exclude "*" --recursive --include "*20161230*" &amp; "%USERPROFILE%\Documents\GitHub\mrs-test-scripts\Headless Mode &amp; Sideloading\WalkAndUnGZ.bat" "%USERPROFILE%\AppData\Local\Temp\OnboardLogs"\RTDC4029\2016-12-30</v>
      </c>
      <c r="S37" s="99" t="str">
        <f>VLOOKUP(C37,'Train Runs'!$A$13:$AE$9963,22,0)</f>
        <v>https://search-rtdc-monitor-bjffxe2xuh6vdkpspy63sjmuny.us-east-1.es.amazonaws.com/_plugin/kibana/#/discover/Steve-Slow-Train-Analysis-(2080s-and-2083s)?_g=(refreshInterval:(display:Off,section:0,value:0),time:(from:'2016-12-29 16:41:16-700',mode:absolute,to:'2016-12-29 19:08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7" s="101" t="str">
        <f t="shared" si="1"/>
        <v>"C:\Program Files (x86)\AstroGrep\AstroGrep.exe" /spath="%USERPROFILE%\AppData\Local\Temp\OnboardLogs" /stypes="*4029*201612300*" /stext=" 01:.+((SYSTEM_STATE.+slice.+state.+changed )|(ment ac)|(multiple cpu faults)|(system.+state.+changed )|(\[timeout)|(PRM\|1\|D)|(kpr)|(kdp)|(\|lc)|(penalty))" /e /r /s</v>
      </c>
      <c r="U37" s="9" t="str">
        <f t="shared" si="2"/>
        <v>4029</v>
      </c>
      <c r="V37" s="33">
        <f t="shared" si="3"/>
        <v>42734.048958333333</v>
      </c>
      <c r="W37" s="47" t="str">
        <f t="shared" si="4"/>
        <v>NW</v>
      </c>
      <c r="X37" s="47" t="str">
        <f t="shared" si="5"/>
        <v>KEEP</v>
      </c>
      <c r="Y37" s="115" t="str">
        <f t="shared" si="6"/>
        <v>echo {"issue":{"subject":"","project_id":79,"tracker_id":40,"status_id":1,"priority_id":2,"assigned_to_id":23,"start_date":"2016-12-29","description":"","custom_fields":[{"id":1,"name":"Subdivision","value":"NW"},{"id":4,"name":"Milepost","value":"5.9048"},{"id":17,"name":"Train ID","value":"835-29"},{"id":16,"name":"Locomotive ID","value":"4029"},{"id":130,"name":"Impact","value":""},{"id":150,"name":"Time of Event (Mountain Time)","value":"18:10:30"},{"id":151,"name":"Denver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-A100 "Enforcement Action" "%USERPROFILE%\AppData\Local\Temp\OnboardLogs"\RTDC4029\*4029*201612300*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"%USERPROFILE%\AppData\Local\Temp\OnboardLogs"\RTDC4029\*4029*201612300* &gt;&gt; 42733-slicedisagreementcheck.txt</v>
      </c>
      <c r="AE37" s="183" t="str">
        <f t="shared" si="8"/>
        <v>start /low /b %USERPROFILE%\Documents\GitHub\eaglep3\Utilities\DownloadLogsFromS3.py --loco 4029 --day 2016-12-30</v>
      </c>
      <c r="AF37" s="1"/>
    </row>
    <row r="38" spans="1:32" x14ac:dyDescent="0.25">
      <c r="A38" s="33">
        <v>42733.77511574074</v>
      </c>
      <c r="B38" s="31" t="s">
        <v>214</v>
      </c>
      <c r="C38" s="31" t="s">
        <v>455</v>
      </c>
      <c r="D38" s="31" t="s">
        <v>49</v>
      </c>
      <c r="E38" s="31" t="s">
        <v>200</v>
      </c>
      <c r="F38" s="44">
        <v>0</v>
      </c>
      <c r="G38" s="44">
        <v>58</v>
      </c>
      <c r="H38" s="44">
        <v>58843</v>
      </c>
      <c r="I38" s="44">
        <v>58882</v>
      </c>
      <c r="J38" s="31" t="s">
        <v>201</v>
      </c>
      <c r="K38" s="44">
        <v>59048</v>
      </c>
      <c r="L38" s="150" t="s">
        <v>50</v>
      </c>
      <c r="M38" s="151">
        <f t="shared" si="0"/>
        <v>87.647999999999996</v>
      </c>
      <c r="N38" s="152" t="str">
        <f>VLOOKUP(C38,'Trips&amp;Operators'!$C$1:$G$99999,5,FALSE)</f>
        <v>SIMMONS SHYHESHA</v>
      </c>
      <c r="O38" s="179" t="s">
        <v>195</v>
      </c>
      <c r="P38" s="153"/>
      <c r="Q38" s="31"/>
      <c r="R38" s="96" t="str">
        <f>VLOOKUP(C38,'Train Runs'!$A$13:$AE$9963,31,0)</f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S38" s="99" t="str">
        <f>VLOOKUP(C38,'Train Runs'!$A$13:$AE$9963,22,0)</f>
        <v>https://search-rtdc-monitor-bjffxe2xuh6vdkpspy63sjmuny.us-east-1.es.amazonaws.com/_plugin/kibana/#/discover/Steve-Slow-Train-Analysis-(2080s-and-2083s)?_g=(refreshInterval:(display:Off,section:0,value:0),time:(from:'2016-12-29 17:10:47-700',mode:absolute,to:'2016-12-29 19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8" s="101" t="str">
        <f t="shared" si="1"/>
        <v>"C:\Program Files (x86)\AstroGrep\AstroGrep.exe" /spath="%USERPROFILE%\AppData\Local\Temp\OnboardLogs" /stypes="*4022*201612300*" /stext=" 01:.+((SYSTEM_STATE.+slice.+state.+changed )|(ment ac)|(multiple cpu faults)|(system.+state.+changed )|(\[timeout)|(PRM\|1\|D)|(kpr)|(kdp)|(\|lc)|(penalty))" /e /r /s</v>
      </c>
      <c r="U38" s="9" t="str">
        <f t="shared" si="2"/>
        <v>4022</v>
      </c>
      <c r="V38" s="33">
        <f t="shared" si="3"/>
        <v>42734.066782407404</v>
      </c>
      <c r="W38" s="47" t="str">
        <f t="shared" si="4"/>
        <v>NW</v>
      </c>
      <c r="X38" s="47" t="str">
        <f t="shared" si="5"/>
        <v>KEEP</v>
      </c>
      <c r="Y38" s="115" t="str">
        <f t="shared" si="6"/>
        <v>echo {"issue":{"subject":"","project_id":79,"tracker_id":40,"status_id":1,"priority_id":2,"assigned_to_id":23,"start_date":"2016-12-29","description":"","custom_fields":[{"id":1,"name":"Subdivision","value":"NW"},{"id":4,"name":"Milepost","value":"5.9048"},{"id":17,"name":"Train ID","value":"837-29"},{"id":16,"name":"Locomotive ID","value":"4022"},{"id":130,"name":"Impact","value":""},{"id":150,"name":"Time of Event (Mountain Time)","value":"18:36:10"},{"id":151,"name":"Denver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 t="shared" si="7"/>
        <v>grep -hSE -A100 "Enforcement Action" "%USERPROFILE%\AppData\Local\Temp\OnboardLogs"\RTDC4022\*4022*201612300*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"%USERPROFILE%\AppData\Local\Temp\OnboardLogs"\RTDC4022\*4022*201612300* &gt;&gt; 42733-slicedisagreementcheck.txt</v>
      </c>
      <c r="AE38" s="183" t="str">
        <f t="shared" si="8"/>
        <v>start /low /b %USERPROFILE%\Documents\GitHub\eaglep3\Utilities\DownloadLogsFromS3.py --loco 4022 --day 2016-12-30</v>
      </c>
      <c r="AF38" s="1"/>
    </row>
    <row r="39" spans="1:32" x14ac:dyDescent="0.25">
      <c r="A39" s="33">
        <v>42733.775567129633</v>
      </c>
      <c r="B39" s="31" t="s">
        <v>214</v>
      </c>
      <c r="C39" s="31" t="s">
        <v>455</v>
      </c>
      <c r="D39" s="31" t="s">
        <v>49</v>
      </c>
      <c r="E39" s="31" t="s">
        <v>200</v>
      </c>
      <c r="F39" s="44">
        <v>0</v>
      </c>
      <c r="G39" s="44">
        <v>38</v>
      </c>
      <c r="H39" s="44">
        <v>58954</v>
      </c>
      <c r="I39" s="44">
        <v>58973</v>
      </c>
      <c r="J39" s="31" t="s">
        <v>201</v>
      </c>
      <c r="K39" s="44">
        <v>59048</v>
      </c>
      <c r="L39" s="150" t="s">
        <v>50</v>
      </c>
      <c r="M39" s="151">
        <f t="shared" si="0"/>
        <v>39.6</v>
      </c>
      <c r="N39" s="152" t="str">
        <f>VLOOKUP(C39,'Trips&amp;Operators'!$C$1:$G$99999,5,FALSE)</f>
        <v>SIMMONS SHYHESHA</v>
      </c>
      <c r="O39" s="179" t="s">
        <v>195</v>
      </c>
      <c r="P39" s="153"/>
      <c r="Q39" s="31"/>
      <c r="R39" s="96" t="str">
        <f>VLOOKUP(C39,'Train Runs'!$A$13:$AE$9963,31,0)</f>
        <v>aws s3 cp s3://rtdc.mdm.uploadarchive.raw/RTDC4022/ "%USERPROFILE%\AppData\Local\Temp\OnboardLogs"\RTDC4022\2016-12-29 --exclude "*" --recursive --include "*20161229*" &amp; "%USERPROFILE%\Documents\GitHub\mrs-test-scripts\Headless Mode &amp; Sideloading\WalkAndUnGZ.bat" "%USERPROFILE%\AppData\Local\Temp\OnboardLogs"\RTDC4022\2016-12-29 &amp; aws s3 cp s3://rtdc.mdm.uploadarchive.raw/RTDC4022/ "%USERPROFILE%\AppData\Local\Temp\OnboardLogs"\RTDC4022\2016-12-30 --exclude "*" --recursive --include "*20161230*" &amp; "%USERPROFILE%\Documents\GitHub\mrs-test-scripts\Headless Mode &amp; Sideloading\WalkAndUnGZ.bat" "%USERPROFILE%\AppData\Local\Temp\OnboardLogs"\RTDC4022\2016-12-30</v>
      </c>
      <c r="S39" s="99" t="str">
        <f>VLOOKUP(C39,'Train Runs'!$A$13:$AE$9963,22,0)</f>
        <v>https://search-rtdc-monitor-bjffxe2xuh6vdkpspy63sjmuny.us-east-1.es.amazonaws.com/_plugin/kibana/#/discover/Steve-Slow-Train-Analysis-(2080s-and-2083s)?_g=(refreshInterval:(display:Off,section:0,value:0),time:(from:'2016-12-29 17:10:47-700',mode:absolute,to:'2016-12-29 19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9" s="101" t="str">
        <f t="shared" si="1"/>
        <v>"C:\Program Files (x86)\AstroGrep\AstroGrep.exe" /spath="%USERPROFILE%\AppData\Local\Temp\OnboardLogs" /stypes="*4022*201612300*" /stext=" 01:.+((SYSTEM_STATE.+slice.+state.+changed )|(ment ac)|(multiple cpu faults)|(system.+state.+changed )|(\[timeout)|(PRM\|1\|D)|(kpr)|(kdp)|(\|lc)|(penalty))" /e /r /s</v>
      </c>
      <c r="U39" s="9" t="str">
        <f t="shared" si="2"/>
        <v>4022</v>
      </c>
      <c r="V39" s="33">
        <f t="shared" si="3"/>
        <v>42734.067233796297</v>
      </c>
      <c r="W39" s="47" t="str">
        <f t="shared" si="4"/>
        <v>NW</v>
      </c>
      <c r="X39" s="47" t="str">
        <f t="shared" si="5"/>
        <v>KEEP</v>
      </c>
      <c r="Y39" s="115" t="str">
        <f t="shared" si="6"/>
        <v>echo {"issue":{"subject":"","project_id":79,"tracker_id":40,"status_id":1,"priority_id":2,"assigned_to_id":23,"start_date":"2016-12-29","description":"","custom_fields":[{"id":1,"name":"Subdivision","value":"NW"},{"id":4,"name":"Milepost","value":"5.9048"},{"id":17,"name":"Train ID","value":"837-29"},{"id":16,"name":"Locomotive ID","value":"4022"},{"id":130,"name":"Impact","value":""},{"id":150,"name":"Time of Event (Mountain Time)","value":"18:36:49"},{"id":151,"name":"Denver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 t="shared" si="7"/>
        <v>grep -hSE -A100 "Enforcement Action" "%USERPROFILE%\AppData\Local\Temp\OnboardLogs"\RTDC4022\*4022*201612300*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"%USERPROFILE%\AppData\Local\Temp\OnboardLogs"\RTDC4022\*4022*201612300* &gt;&gt; 42733-slicedisagreementcheck.txt</v>
      </c>
      <c r="AE39" s="183" t="str">
        <f t="shared" si="8"/>
        <v>start /low /b %USERPROFILE%\Documents\GitHub\eaglep3\Utilities\DownloadLogsFromS3.py --loco 4022 --day 2016-12-30</v>
      </c>
      <c r="AF39" s="1"/>
    </row>
    <row r="40" spans="1:32" x14ac:dyDescent="0.25">
      <c r="A40" s="33">
        <v>42733.946504629632</v>
      </c>
      <c r="B40" s="31" t="s">
        <v>229</v>
      </c>
      <c r="C40" s="31" t="s">
        <v>460</v>
      </c>
      <c r="D40" s="31" t="s">
        <v>98</v>
      </c>
      <c r="E40" s="31" t="s">
        <v>196</v>
      </c>
      <c r="F40" s="44">
        <v>300</v>
      </c>
      <c r="G40" s="44">
        <v>360</v>
      </c>
      <c r="H40" s="44">
        <v>20602</v>
      </c>
      <c r="I40" s="44">
        <v>21594</v>
      </c>
      <c r="J40" s="31" t="s">
        <v>197</v>
      </c>
      <c r="K40" s="44">
        <v>20338</v>
      </c>
      <c r="L40" s="150" t="s">
        <v>50</v>
      </c>
      <c r="M40" s="151">
        <f t="shared" si="0"/>
        <v>-663.16799999999989</v>
      </c>
      <c r="N40" s="152" t="str">
        <f>VLOOKUP(C40,'Trips&amp;Operators'!$C$1:$G$99999,5,FALSE)</f>
        <v>MACDONALD THOMAS</v>
      </c>
      <c r="O40" s="179" t="s">
        <v>195</v>
      </c>
      <c r="P40" s="153"/>
      <c r="Q40" s="31"/>
      <c r="R40" s="96" t="str">
        <f>VLOOKUP(C40,'Train Runs'!$A$13:$AE$9963,31,0)</f>
        <v>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 &amp; aws s3 cp s3://rtdc.mdm.uploadarchive.raw/RTDC4045/ "%USERPROFILE%\AppData\Local\Temp\OnboardLogs"\RTDC4045\2016-12-30 --exclude "*" --recursive --include "*20161230*" &amp; "%USERPROFILE%\Documents\GitHub\mrs-test-scripts\Headless Mode &amp; Sideloading\WalkAndUnGZ.bat" "%USERPROFILE%\AppData\Local\Temp\OnboardLogs"\RTDC4045\2016-12-30</v>
      </c>
      <c r="S40" s="99" t="str">
        <f>VLOOKUP(C40,'Train Runs'!$A$13:$AE$9963,22,0)</f>
        <v>https://search-rtdc-monitor-bjffxe2xuh6vdkpspy63sjmuny.us-east-1.es.amazonaws.com/_plugin/kibana/#/discover/Steve-Slow-Train-Analysis-(2080s-and-2083s)?_g=(refreshInterval:(display:Off,section:0,value:0),time:(from:'2016-12-29 18:38:29-700',mode:absolute,to:'2016-12-29 22:16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0" s="101" t="str">
        <f t="shared" si="1"/>
        <v>"C:\Program Files (x86)\AstroGrep\AstroGrep.exe" /spath="%USERPROFILE%\AppData\Local\Temp\OnboardLogs" /stypes="*4046*201612300*" /stext=" 05:.+((SYSTEM_STATE.+slice.+state.+changed )|(ment ac)|(multiple cpu faults)|(system.+state.+changed )|(\[timeout)|(PRM\|1\|D)|(kpr)|(kdp)|(\|lc)|(penalty))" /e /r /s</v>
      </c>
      <c r="U40" s="9" t="str">
        <f t="shared" si="2"/>
        <v>4046</v>
      </c>
      <c r="V40" s="33">
        <f t="shared" si="3"/>
        <v>42734.238171296296</v>
      </c>
      <c r="W40" s="47" t="str">
        <f t="shared" si="4"/>
        <v>Other</v>
      </c>
      <c r="X40" s="47" t="str">
        <f t="shared" si="5"/>
        <v>KEEP</v>
      </c>
      <c r="Y40" s="115" t="str">
        <f t="shared" si="6"/>
        <v>echo {"issue":{"subject":"","project_id":79,"tracker_id":40,"status_id":1,"priority_id":2,"assigned_to_id":23,"start_date":"2016-12-29","description":"","custom_fields":[{"id":1,"name":"Subdivision","value":"Other"},{"id":4,"name":"Milepost","value":"2.0338"},{"id":17,"name":"Train ID","value":"88-29"},{"id":16,"name":"Locomotive ID","value":"4046"},{"id":130,"name":"Impact","value":""},{"id":150,"name":"Time of Event (Mountain Time)","value":"22:42:58"},{"id":151,"name":"Denver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 t="shared" si="7"/>
        <v>grep -hSE -A100 "Enforcement Action" "%USERPROFILE%\AppData\Local\Temp\OnboardLogs"\RTDC4046\*4046*201612300*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"%USERPROFILE%\AppData\Local\Temp\OnboardLogs"\RTDC4046\*4046*201612300* &gt;&gt; 42733-slicedisagreementcheck.txt</v>
      </c>
      <c r="AE40" s="183" t="str">
        <f t="shared" si="8"/>
        <v>start /low /b %USERPROFILE%\Documents\GitHub\eaglep3\Utilities\DownloadLogsFromS3.py --loco 4046 --day 2016-12-30</v>
      </c>
      <c r="AF40" s="1"/>
    </row>
    <row r="41" spans="1:32" x14ac:dyDescent="0.25">
      <c r="A41" s="33">
        <v>42734.009837962964</v>
      </c>
      <c r="B41" s="31" t="s">
        <v>253</v>
      </c>
      <c r="C41" s="31" t="s">
        <v>460</v>
      </c>
      <c r="D41" s="31" t="s">
        <v>49</v>
      </c>
      <c r="E41" s="31" t="s">
        <v>464</v>
      </c>
      <c r="F41" s="44">
        <v>0</v>
      </c>
      <c r="G41" s="44">
        <v>327</v>
      </c>
      <c r="H41" s="44">
        <v>17822</v>
      </c>
      <c r="I41" s="44">
        <v>17353</v>
      </c>
      <c r="J41" s="31" t="s">
        <v>465</v>
      </c>
      <c r="K41" s="44">
        <v>17100</v>
      </c>
      <c r="L41" s="150" t="s">
        <v>51</v>
      </c>
      <c r="M41" s="151">
        <f t="shared" si="0"/>
        <v>133.584</v>
      </c>
      <c r="N41" s="152" t="str">
        <f>VLOOKUP(C41,'Trips&amp;Operators'!$C$1:$G$99999,5,FALSE)</f>
        <v>MACDONALD THOMAS</v>
      </c>
      <c r="O41" s="179" t="s">
        <v>195</v>
      </c>
      <c r="P41" s="153"/>
      <c r="Q41" s="31"/>
      <c r="R41" s="96" t="str">
        <f>VLOOKUP(C41,'Train Runs'!$A$13:$AE$9963,31,0)</f>
        <v>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 &amp; aws s3 cp s3://rtdc.mdm.uploadarchive.raw/RTDC4045/ "%USERPROFILE%\AppData\Local\Temp\OnboardLogs"\RTDC4045\2016-12-30 --exclude "*" --recursive --include "*20161230*" &amp; "%USERPROFILE%\Documents\GitHub\mrs-test-scripts\Headless Mode &amp; Sideloading\WalkAndUnGZ.bat" "%USERPROFILE%\AppData\Local\Temp\OnboardLogs"\RTDC4045\2016-12-30</v>
      </c>
      <c r="S41" s="99" t="str">
        <f>VLOOKUP(C41,'Train Runs'!$A$13:$AE$9963,22,0)</f>
        <v>https://search-rtdc-monitor-bjffxe2xuh6vdkpspy63sjmuny.us-east-1.es.amazonaws.com/_plugin/kibana/#/discover/Steve-Slow-Train-Analysis-(2080s-and-2083s)?_g=(refreshInterval:(display:Off,section:0,value:0),time:(from:'2016-12-29 18:38:29-700',mode:absolute,to:'2016-12-29 22:16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1" s="101" t="str">
        <f t="shared" si="1"/>
        <v>"C:\Program Files (x86)\AstroGrep\AstroGrep.exe" /spath="%USERPROFILE%\AppData\Local\Temp\OnboardLogs" /stypes="*4045*201612300*" /stext=" 07:.+((SYSTEM_STATE.+slice.+state.+changed )|(ment ac)|(multiple cpu faults)|(system.+state.+changed )|(\[timeout)|(PRM\|1\|D)|(kpr)|(kdp)|(\|lc)|(penalty))" /e /r /s</v>
      </c>
      <c r="U41" s="9" t="str">
        <f t="shared" si="2"/>
        <v>4045</v>
      </c>
      <c r="V41" s="33">
        <f t="shared" si="3"/>
        <v>42734.301504629628</v>
      </c>
      <c r="W41" s="47" t="str">
        <f t="shared" si="4"/>
        <v>Other</v>
      </c>
      <c r="X41" s="47" t="str">
        <f t="shared" si="5"/>
        <v>KEEP</v>
      </c>
      <c r="Y41" s="115" t="str">
        <f t="shared" si="6"/>
        <v>echo {"issue":{"subject":"","project_id":79,"tracker_id":40,"status_id":1,"priority_id":2,"assigned_to_id":23,"start_date":"2016-12-30","description":"","custom_fields":[{"id":1,"name":"Subdivision","value":"Other"},{"id":4,"name":"Milepost","value":"1.71"},{"id":17,"name":"Train ID","value":"88-29"},{"id":16,"name":"Locomotive ID","value":"4045"},{"id":130,"name":"Impact","value":""},{"id":150,"name":"Time of Event (Mountain Time)","value":"00:14:10"},{"id":151,"name":"Denver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0"/>
      <c r="AA41" s="50"/>
      <c r="AB41" s="50"/>
      <c r="AC41" s="134" t="str">
        <f t="shared" si="7"/>
        <v>grep -hSE -A100 "Enforcement Action" "%USERPROFILE%\AppData\Local\Temp\OnboardLogs"\RTDC4045\*4045*201612300*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"%USERPROFILE%\AppData\Local\Temp\OnboardLogs"\RTDC4045\*4045*201612300* &gt;&gt; 42733-slicedisagreementcheck.txt</v>
      </c>
      <c r="AE41" s="183" t="str">
        <f t="shared" si="8"/>
        <v>start /low /b %USERPROFILE%\Documents\GitHub\eaglep3\Utilities\DownloadLogsFromS3.py --loco 4045 --day 2016-12-30</v>
      </c>
      <c r="AF41" s="1"/>
    </row>
    <row r="42" spans="1:32" x14ac:dyDescent="0.25">
      <c r="A42" s="33">
        <v>42733.654942129629</v>
      </c>
      <c r="B42" s="31" t="s">
        <v>373</v>
      </c>
      <c r="C42" s="31" t="s">
        <v>445</v>
      </c>
      <c r="D42" s="31" t="s">
        <v>49</v>
      </c>
      <c r="E42" s="31" t="s">
        <v>200</v>
      </c>
      <c r="F42" s="44">
        <v>0</v>
      </c>
      <c r="G42" s="44">
        <v>60</v>
      </c>
      <c r="H42" s="44">
        <v>773</v>
      </c>
      <c r="I42" s="44">
        <v>731</v>
      </c>
      <c r="J42" s="31" t="s">
        <v>201</v>
      </c>
      <c r="K42" s="44">
        <v>575</v>
      </c>
      <c r="L42" s="150" t="s">
        <v>51</v>
      </c>
      <c r="M42" s="151">
        <f t="shared" si="0"/>
        <v>82.367999999999995</v>
      </c>
      <c r="N42" s="152" t="str">
        <f>VLOOKUP(C42,'Trips&amp;Operators'!$C$1:$G$99999,5,FALSE)</f>
        <v>SIMONEAUX TERA</v>
      </c>
      <c r="O42" s="179" t="s">
        <v>195</v>
      </c>
      <c r="P42" s="153"/>
      <c r="Q42" s="31"/>
      <c r="R42" s="96" t="str">
        <f>VLOOKUP(C42,'Train Runs'!$A$13:$AE$9963,31,0)</f>
        <v>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 &amp; 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</v>
      </c>
      <c r="S42" s="99" t="str">
        <f>VLOOKUP(C42,'Train Runs'!$A$13:$AE$9963,22,0)</f>
        <v>https://search-rtdc-monitor-bjffxe2xuh6vdkpspy63sjmuny.us-east-1.es.amazonaws.com/_plugin/kibana/#/discover/Steve-Slow-Train-Analysis-(2080s-and-2083s)?_g=(refreshInterval:(display:Off,section:0,value:0),time:(from:'2016-12-29 14:31:57-700',mode:absolute,to:'2016-12-29 16:43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42" s="101" t="str">
        <f t="shared" si="1"/>
        <v>"C:\Program Files (x86)\AstroGrep\AstroGrep.exe" /spath="%USERPROFILE%\AppData\Local\Temp\OnboardLogs" /stypes="*4030*201612292*" /stext=" 22:.+((SYSTEM_STATE.+slice.+state.+changed )|(ment ac)|(multiple cpu faults)|(system.+state.+changed )|(\[timeout)|(PRM\|1\|D)|(kpr)|(kdp)|(\|lc)|(penalty))" /e /r /s</v>
      </c>
      <c r="U42" s="9" t="str">
        <f t="shared" si="2"/>
        <v>4030</v>
      </c>
      <c r="V42" s="33">
        <f t="shared" si="3"/>
        <v>42733.946608796294</v>
      </c>
      <c r="W42" s="47" t="str">
        <f t="shared" si="4"/>
        <v>Other</v>
      </c>
      <c r="X42" s="47" t="str">
        <f t="shared" si="5"/>
        <v>KEEP</v>
      </c>
      <c r="Y42" s="115" t="str">
        <f t="shared" si="6"/>
        <v>echo {"issue":{"subject":"","project_id":79,"tracker_id":40,"status_id":1,"priority_id":2,"assigned_to_id":23,"start_date":"2016-12-29","description":"","custom_fields":[{"id":1,"name":"Subdivision","value":"Other"},{"id":4,"name":"Milepost","value":"0.0575"},{"id":17,"name":"Train ID","value":"904-29"},{"id":16,"name":"Locomotive ID","value":"4030"},{"id":130,"name":"Impact","value":""},{"id":150,"name":"Time of Event (Mountain Time)","value":"15:43:07"},{"id":151,"name":"Denver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0"/>
      <c r="AA42" s="50"/>
      <c r="AB42" s="50"/>
      <c r="AC42" s="134" t="str">
        <f t="shared" si="7"/>
        <v>grep -hSE -A100 "Enforcement Action" "%USERPROFILE%\AppData\Local\Temp\OnboardLogs"\RTDC4030\*4030*201612292*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"%USERPROFILE%\AppData\Local\Temp\OnboardLogs"\RTDC4030\*4030*201612292* &gt;&gt; 42733-slicedisagreementcheck.txt</v>
      </c>
      <c r="AE42" s="183" t="str">
        <f t="shared" si="8"/>
        <v>start /low /b %USERPROFILE%\Documents\GitHub\eaglep3\Utilities\DownloadLogsFromS3.py --loco 4030 --day 2016-12-29</v>
      </c>
      <c r="AF42" s="1"/>
    </row>
    <row r="43" spans="1:32" x14ac:dyDescent="0.25">
      <c r="A43" s="33">
        <v>42733.655486111114</v>
      </c>
      <c r="B43" s="31" t="s">
        <v>373</v>
      </c>
      <c r="C43" s="31" t="s">
        <v>445</v>
      </c>
      <c r="D43" s="31" t="s">
        <v>49</v>
      </c>
      <c r="E43" s="31" t="s">
        <v>200</v>
      </c>
      <c r="F43" s="44">
        <v>0</v>
      </c>
      <c r="G43" s="44">
        <v>23</v>
      </c>
      <c r="H43" s="44">
        <v>642</v>
      </c>
      <c r="I43" s="44">
        <v>622</v>
      </c>
      <c r="J43" s="31" t="s">
        <v>201</v>
      </c>
      <c r="K43" s="44">
        <v>575</v>
      </c>
      <c r="L43" s="150" t="s">
        <v>51</v>
      </c>
      <c r="M43" s="151">
        <f t="shared" si="0"/>
        <v>24.815999999999999</v>
      </c>
      <c r="N43" s="152" t="str">
        <f>VLOOKUP(C43,'Trips&amp;Operators'!$C$1:$G$99999,5,FALSE)</f>
        <v>SIMONEAUX TERA</v>
      </c>
      <c r="O43" s="179" t="s">
        <v>195</v>
      </c>
      <c r="P43" s="153"/>
      <c r="Q43" s="31"/>
      <c r="R43" s="96" t="str">
        <f>VLOOKUP(C43,'Train Runs'!$A$13:$AE$9963,31,0)</f>
        <v>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 &amp; aws s3 cp s3://rtdc.mdm.uploadarchive.raw/RTDC4030/ "%USERPROFILE%\AppData\Local\Temp\OnboardLogs"\RTDC4030\2016-12-30 --exclude "*" --recursive --include "*20161230*" &amp; "%USERPROFILE%\Documents\GitHub\mrs-test-scripts\Headless Mode &amp; Sideloading\WalkAndUnGZ.bat" "%USERPROFILE%\AppData\Local\Temp\OnboardLogs"\RTDC4030\2016-12-30</v>
      </c>
      <c r="S43" s="99" t="str">
        <f>VLOOKUP(C43,'Train Runs'!$A$13:$AE$9963,22,0)</f>
        <v>https://search-rtdc-monitor-bjffxe2xuh6vdkpspy63sjmuny.us-east-1.es.amazonaws.com/_plugin/kibana/#/discover/Steve-Slow-Train-Analysis-(2080s-and-2083s)?_g=(refreshInterval:(display:Off,section:0,value:0),time:(from:'2016-12-29 14:31:57-700',mode:absolute,to:'2016-12-29 16:43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43" s="101" t="str">
        <f t="shared" si="1"/>
        <v>"C:\Program Files (x86)\AstroGrep\AstroGrep.exe" /spath="%USERPROFILE%\AppData\Local\Temp\OnboardLogs" /stypes="*4030*201612292*" /stext=" 22:.+((SYSTEM_STATE.+slice.+state.+changed )|(ment ac)|(multiple cpu faults)|(system.+state.+changed )|(\[timeout)|(PRM\|1\|D)|(kpr)|(kdp)|(\|lc)|(penalty))" /e /r /s</v>
      </c>
      <c r="U43" s="9" t="str">
        <f t="shared" si="2"/>
        <v>4030</v>
      </c>
      <c r="V43" s="33">
        <f t="shared" si="3"/>
        <v>42733.947152777779</v>
      </c>
      <c r="W43" s="47" t="str">
        <f t="shared" si="4"/>
        <v>Other</v>
      </c>
      <c r="X43" s="47" t="str">
        <f t="shared" si="5"/>
        <v>KEEP</v>
      </c>
      <c r="Y43" s="115" t="str">
        <f t="shared" si="6"/>
        <v>echo {"issue":{"subject":"","project_id":79,"tracker_id":40,"status_id":1,"priority_id":2,"assigned_to_id":23,"start_date":"2016-12-29","description":"","custom_fields":[{"id":1,"name":"Subdivision","value":"Other"},{"id":4,"name":"Milepost","value":"0.0575"},{"id":17,"name":"Train ID","value":"904-29"},{"id":16,"name":"Locomotive ID","value":"4030"},{"id":130,"name":"Impact","value":""},{"id":150,"name":"Time of Event (Mountain Time)","value":"15:43:54"},{"id":151,"name":"Denver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0"/>
      <c r="AA43" s="50"/>
      <c r="AB43" s="50"/>
      <c r="AC43" s="134" t="str">
        <f t="shared" si="7"/>
        <v>grep -hSE -A100 "Enforcement Action" "%USERPROFILE%\AppData\Local\Temp\OnboardLogs"\RTDC4030\*4030*201612292*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"%USERPROFILE%\AppData\Local\Temp\OnboardLogs"\RTDC4030\*4030*201612292* &gt;&gt; 42733-slicedisagreementcheck.txt</v>
      </c>
      <c r="AE43" s="183" t="str">
        <f t="shared" si="8"/>
        <v>start /low /b %USERPROFILE%\Documents\GitHub\eaglep3\Utilities\DownloadLogsFromS3.py --loco 4030 --day 2016-12-29</v>
      </c>
      <c r="AF43" s="1"/>
    </row>
    <row r="44" spans="1:32" x14ac:dyDescent="0.25">
      <c r="A44" s="33">
        <v>42733.219074074077</v>
      </c>
      <c r="B44" s="31" t="s">
        <v>252</v>
      </c>
      <c r="C44" s="31" t="s">
        <v>436</v>
      </c>
      <c r="D44" s="31" t="s">
        <v>49</v>
      </c>
      <c r="E44" s="31" t="s">
        <v>200</v>
      </c>
      <c r="F44" s="44">
        <v>0</v>
      </c>
      <c r="G44" s="44">
        <v>60</v>
      </c>
      <c r="H44" s="44">
        <v>1054</v>
      </c>
      <c r="I44" s="44">
        <v>998</v>
      </c>
      <c r="J44" s="31" t="s">
        <v>201</v>
      </c>
      <c r="K44" s="44">
        <v>839</v>
      </c>
      <c r="L44" s="150" t="s">
        <v>51</v>
      </c>
      <c r="M44" s="151">
        <f t="shared" si="0"/>
        <v>83.951999999999998</v>
      </c>
      <c r="N44" s="152" t="str">
        <f>VLOOKUP(C44,'Trips&amp;Operators'!$C$1:$G$99999,5,FALSE)</f>
        <v>SPECTOR MICHAEL</v>
      </c>
      <c r="O44" s="179" t="s">
        <v>195</v>
      </c>
      <c r="P44" s="153"/>
      <c r="Q44" s="31"/>
      <c r="R44" s="96" t="str">
        <f>VLOOKUP(C44,'Train Runs'!$A$13:$AE$9963,31,0)</f>
        <v>aws s3 cp s3://rtdc.mdm.uploadarchive.raw/RTDC4015/ "%USERPROFILE%\AppData\Local\Temp\OnboardLogs"\RTDC4015\2016-12-29 --exclude "*" --recursive --include "*20161229*" &amp; "%USERPROFILE%\Documents\GitHub\mrs-test-scripts\Headless Mode &amp; Sideloading\WalkAndUnGZ.bat" "%USERPROFILE%\AppData\Local\Temp\OnboardLogs"\RTDC4015\2016-12-29 &amp; aws s3 cp s3://rtdc.mdm.uploadarchive.raw/RTDC4015/ "%USERPROFILE%\AppData\Local\Temp\OnboardLogs"\RTDC4015\2016-12-30 --exclude "*" --recursive --include "*20161230*" &amp; "%USERPROFILE%\Documents\GitHub\mrs-test-scripts\Headless Mode &amp; Sideloading\WalkAndUnGZ.bat" "%USERPROFILE%\AppData\Local\Temp\OnboardLogs"\RTDC4015\2016-12-30</v>
      </c>
      <c r="S44" s="99" t="str">
        <f>VLOOKUP(C44,'Train Runs'!$A$13:$AE$9963,22,0)</f>
        <v>https://search-rtdc-monitor-bjffxe2xuh6vdkpspy63sjmuny.us-east-1.es.amazonaws.com/_plugin/kibana/#/discover/Steve-Slow-Train-Analysis-(2080s-and-2083s)?_g=(refreshInterval:(display:Off,section:0,value:0),time:(from:'2016-12-29 02:17:13-700',mode:absolute,to:'2016-12-29 06:15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4" s="101" t="str">
        <f t="shared" si="1"/>
        <v>"C:\Program Files (x86)\AstroGrep\AstroGrep.exe" /spath="%USERPROFILE%\AppData\Local\Temp\OnboardLogs" /stypes="*4015*201612291*" /stext=" 12:.+((SYSTEM_STATE.+slice.+state.+changed )|(ment ac)|(multiple cpu faults)|(system.+state.+changed )|(\[timeout)|(PRM\|1\|D)|(kpr)|(kdp)|(\|lc)|(penalty))" /e /r /s</v>
      </c>
      <c r="U44" s="9" t="str">
        <f t="shared" si="2"/>
        <v>4015</v>
      </c>
      <c r="V44" s="33">
        <f t="shared" si="3"/>
        <v>42733.510740740741</v>
      </c>
      <c r="W44" s="47" t="str">
        <f t="shared" si="4"/>
        <v>Other</v>
      </c>
      <c r="X44" s="47" t="str">
        <f t="shared" si="5"/>
        <v>KEEP</v>
      </c>
      <c r="Y44" s="115" t="str">
        <f t="shared" si="6"/>
        <v>echo {"issue":{"subject":"","project_id":79,"tracker_id":40,"status_id":1,"priority_id":2,"assigned_to_id":23,"start_date":"2016-12-29","description":"","custom_fields":[{"id":1,"name":"Subdivision","value":"Other"},{"id":4,"name":"Milepost","value":"0.0839"},{"id":17,"name":"Train ID","value":"50-29"},{"id":16,"name":"Locomotive ID","value":"4015"},{"id":130,"name":"Impact","value":""},{"id":150,"name":"Time of Event (Mountain Time)","value":"05:15:28"},{"id":151,"name":"Denver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0"/>
      <c r="AA44" s="50"/>
      <c r="AB44" s="50"/>
      <c r="AC44" s="134" t="str">
        <f t="shared" si="7"/>
        <v>grep -hSE -A100 "Enforcement Action" "%USERPROFILE%\AppData\Local\Temp\OnboardLogs"\RTDC4015\*4015*201612291*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"%USERPROFILE%\AppData\Local\Temp\OnboardLogs"\RTDC4015\*4015*201612291* &gt;&gt; 42733-slicedisagreementcheck.txt</v>
      </c>
      <c r="AE44" s="183" t="str">
        <f t="shared" si="8"/>
        <v>start /low /b %USERPROFILE%\Documents\GitHub\eaglep3\Utilities\DownloadLogsFromS3.py --loco 4015 --day 2016-12-29</v>
      </c>
      <c r="AF44" s="1"/>
    </row>
    <row r="45" spans="1:32" x14ac:dyDescent="0.25">
      <c r="A45" s="33">
        <v>42733.767905092594</v>
      </c>
      <c r="B45" s="31" t="s">
        <v>253</v>
      </c>
      <c r="C45" s="31" t="s">
        <v>454</v>
      </c>
      <c r="D45" s="31" t="s">
        <v>49</v>
      </c>
      <c r="E45" s="31" t="s">
        <v>200</v>
      </c>
      <c r="F45" s="44">
        <v>0</v>
      </c>
      <c r="G45" s="44">
        <v>12</v>
      </c>
      <c r="H45" s="44">
        <v>850</v>
      </c>
      <c r="I45" s="44">
        <v>848</v>
      </c>
      <c r="J45" s="31" t="s">
        <v>201</v>
      </c>
      <c r="K45" s="44">
        <v>839</v>
      </c>
      <c r="L45" s="150" t="s">
        <v>51</v>
      </c>
      <c r="M45" s="151">
        <f t="shared" si="0"/>
        <v>4.7519999999999998</v>
      </c>
      <c r="N45" s="152" t="str">
        <f>VLOOKUP(C45,'Trips&amp;Operators'!$C$1:$G$99999,5,FALSE)</f>
        <v>PERKINS DARREN</v>
      </c>
      <c r="O45" s="179" t="s">
        <v>195</v>
      </c>
      <c r="P45" s="153"/>
      <c r="Q45" s="31"/>
      <c r="R45" s="96" t="str">
        <f>VLOOKUP(C45,'Train Runs'!$A$13:$AE$9963,31,0)</f>
        <v>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 &amp; aws s3 cp s3://rtdc.mdm.uploadarchive.raw/RTDC4045/ "%USERPROFILE%\AppData\Local\Temp\OnboardLogs"\RTDC4045\2016-12-30 --exclude "*" --recursive --include "*20161230*" &amp; "%USERPROFILE%\Documents\GitHub\mrs-test-scripts\Headless Mode &amp; Sideloading\WalkAndUnGZ.bat" "%USERPROFILE%\AppData\Local\Temp\OnboardLogs"\RTDC4045\2016-12-30</v>
      </c>
      <c r="S45" s="99" t="str">
        <f>VLOOKUP(C45,'Train Runs'!$A$13:$AE$9963,22,0)</f>
        <v>https://search-rtdc-monitor-bjffxe2xuh6vdkpspy63sjmuny.us-east-1.es.amazonaws.com/_plugin/kibana/#/discover/Steve-Slow-Train-Analysis-(2080s-and-2083s)?_g=(refreshInterval:(display:Off,section:0,value:0),time:(from:'2016-12-29 17:12:18-700',mode:absolute,to:'2016-12-29 19:24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5" s="101" t="str">
        <f t="shared" si="1"/>
        <v>"C:\Program Files (x86)\AstroGrep\AstroGrep.exe" /spath="%USERPROFILE%\AppData\Local\Temp\OnboardLogs" /stypes="*4045*201612300*" /stext=" 01:.+((SYSTEM_STATE.+slice.+state.+changed )|(ment ac)|(multiple cpu faults)|(system.+state.+changed )|(\[timeout)|(PRM\|1\|D)|(kpr)|(kdp)|(\|lc)|(penalty))" /e /r /s</v>
      </c>
      <c r="U45" s="9" t="str">
        <f t="shared" si="2"/>
        <v>4045</v>
      </c>
      <c r="V45" s="33">
        <f t="shared" si="3"/>
        <v>42734.059571759259</v>
      </c>
      <c r="W45" s="47" t="str">
        <f t="shared" si="4"/>
        <v>Other</v>
      </c>
      <c r="X45" s="47" t="str">
        <f t="shared" si="5"/>
        <v>KEEP</v>
      </c>
      <c r="Y45" s="115" t="str">
        <f t="shared" si="6"/>
        <v>echo {"issue":{"subject":"","project_id":79,"tracker_id":40,"status_id":1,"priority_id":2,"assigned_to_id":23,"start_date":"2016-12-29","description":"","custom_fields":[{"id":1,"name":"Subdivision","value":"Other"},{"id":4,"name":"Milepost","value":"0.0839"},{"id":17,"name":"Train ID","value":"58-29"},{"id":16,"name":"Locomotive ID","value":"4045"},{"id":130,"name":"Impact","value":""},{"id":150,"name":"Time of Event (Mountain Time)","value":"18:25:47"},{"id":151,"name":"Denver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0"/>
      <c r="AA45" s="50"/>
      <c r="AB45" s="50"/>
      <c r="AC45" s="134" t="str">
        <f t="shared" si="7"/>
        <v>grep -hSE -A100 "Enforcement Action" "%USERPROFILE%\AppData\Local\Temp\OnboardLogs"\RTDC4045\*4045*201612300*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"%USERPROFILE%\AppData\Local\Temp\OnboardLogs"\RTDC4045\*4045*201612300* &gt;&gt; 42733-slicedisagreementcheck.txt</v>
      </c>
      <c r="AE45" s="183" t="str">
        <f t="shared" si="8"/>
        <v>start /low /b %USERPROFILE%\Documents\GitHub\eaglep3\Utilities\DownloadLogsFromS3.py --loco 4045 --day 2016-12-30</v>
      </c>
      <c r="AF45" s="1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  <c r="AE73"/>
    </row>
  </sheetData>
  <autoFilter ref="A6:AC44">
    <sortState ref="A7:AC45">
      <sortCondition ref="V6:V44"/>
    </sortState>
  </autoFilter>
  <sortState ref="A7:AE45">
    <sortCondition ref="W7:W45"/>
    <sortCondition ref="E7:E45"/>
    <sortCondition ref="K7:K45"/>
    <sortCondition ref="C7:C45"/>
    <sortCondition ref="F7:F45"/>
  </sortState>
  <mergeCells count="1">
    <mergeCell ref="A5:O5"/>
  </mergeCells>
  <conditionalFormatting sqref="O6:P6 R6 O74:O1048576 O7:O4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5">
    <cfRule type="expression" dxfId="1" priority="20">
      <formula>$O7="Y"</formula>
    </cfRule>
  </conditionalFormatting>
  <hyperlinks>
    <hyperlink ref="Z29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  <x14:dataValidation type="list" allowBlank="1" showInputMessage="1" showErrorMessage="1">
          <x14:formula1>
            <xm:f>'Redmine List Values'!$C$2:$C$15</xm:f>
          </x14:formula1>
          <xm:sqref>AB7:AB45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E14" sqref="E14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1" t="str">
        <f>"Trips that did not appear in PTC Data "&amp;TEXT(Variables!$A$2,"YYYY-mm-dd")</f>
        <v>Trips that did not appear in PTC Data 2016-12-29</v>
      </c>
      <c r="C1" s="191"/>
      <c r="D1" s="191"/>
      <c r="E1" s="191"/>
      <c r="F1" s="191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>
        <v>101</v>
      </c>
      <c r="B3" s="44" t="str">
        <f>A3&amp;"-"&amp;IF(DAY(Variables!$A$2)&lt;10,0,"")&amp;DAY(Variables!$A$2)</f>
        <v>101-29</v>
      </c>
      <c r="C3" s="154"/>
      <c r="D3" s="159"/>
      <c r="E3" s="31" t="s">
        <v>840</v>
      </c>
      <c r="F3" s="22" t="str">
        <f>VLOOKUP(B3,'Trips&amp;Operators'!$C$2:$E$10000,3,FALSE)</f>
        <v>ISHMAEL</v>
      </c>
      <c r="G3" s="22" t="str">
        <f>VLOOKUP(B3,'Trips&amp;Operators'!$C$1:$F$10000,4,FALSE)</f>
        <v>JOSEPH</v>
      </c>
      <c r="H3" s="30" t="str">
        <f>VLOOKUP(B3,'Trips&amp;Operators'!$C$1:$H$10000,5,FALSE)</f>
        <v>ISHMAEL JOSEPH</v>
      </c>
      <c r="I3" s="47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22101-29%22)),sort:!(Time,asc))</v>
      </c>
      <c r="J3" s="31" t="e">
        <f>VLOOKUP(B3,'Train Runs'!$A$13:$A$99960,1,FALSE)</f>
        <v>#N/A</v>
      </c>
      <c r="K3" s="31" t="e">
        <f>IF(VLOOKUP(A3,$K$26:$K$49,1,FALSE),"Cancelled")</f>
        <v>#N/A</v>
      </c>
    </row>
    <row r="4" spans="1:11" x14ac:dyDescent="0.25">
      <c r="A4" s="167">
        <v>102</v>
      </c>
      <c r="B4" s="44" t="str">
        <f>A4&amp;"-"&amp;IF(DAY(Variables!$A$2)&lt;10,0,"")&amp;DAY(Variables!$A$2)</f>
        <v>102-29</v>
      </c>
      <c r="C4" s="154"/>
      <c r="D4" s="159"/>
      <c r="E4" s="31" t="s">
        <v>840</v>
      </c>
      <c r="F4" s="22" t="str">
        <f>VLOOKUP(B4,'Trips&amp;Operators'!$C$2:$E$10000,3,FALSE)</f>
        <v>ISHMAEL</v>
      </c>
      <c r="G4" s="22" t="str">
        <f>VLOOKUP(B4,'Trips&amp;Operators'!$C$1:$F$10000,4,FALSE)</f>
        <v>JOSEPH</v>
      </c>
      <c r="H4" s="30" t="str">
        <f>VLOOKUP(B4,'Trips&amp;Operators'!$C$1:$H$10000,5,FALSE)</f>
        <v>ISHMAEL JOSEPH</v>
      </c>
      <c r="I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22102-29%22)),sort:!(Time,asc))</v>
      </c>
      <c r="J4" s="31" t="e">
        <f>VLOOKUP(B4,'Train Runs'!$A$13:$A$99960,1,FALSE)</f>
        <v>#N/A</v>
      </c>
      <c r="K4" s="31" t="e">
        <f>IF(VLOOKUP(A4,$K$26:$K$49,1,FALSE),"Cancelled")</f>
        <v>#N/A</v>
      </c>
    </row>
    <row r="5" spans="1:11" x14ac:dyDescent="0.25">
      <c r="A5" s="167">
        <v>103</v>
      </c>
      <c r="B5" s="44" t="str">
        <f>A5&amp;"-"&amp;IF(DAY(Variables!$A$2)&lt;10,0,"")&amp;DAY(Variables!$A$2)</f>
        <v>103-29</v>
      </c>
      <c r="C5" s="154"/>
      <c r="D5" s="159"/>
      <c r="E5" s="31" t="s">
        <v>840</v>
      </c>
      <c r="F5" s="22" t="str">
        <f>VLOOKUP(B5,'Trips&amp;Operators'!$C$2:$E$10000,3,FALSE)</f>
        <v>YANAI</v>
      </c>
      <c r="G5" s="22" t="str">
        <f>VLOOKUP(B5,'Trips&amp;Operators'!$C$1:$F$10000,4,FALSE)</f>
        <v>IAN</v>
      </c>
      <c r="H5" s="30" t="str">
        <f>VLOOKUP(B5,'Trips&amp;Operators'!$C$1:$H$10000,5,FALSE)</f>
        <v>YANAI IAN</v>
      </c>
      <c r="I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22103-29%22)),sort:!(Time,asc))</v>
      </c>
      <c r="J5" s="31" t="e">
        <f>VLOOKUP(B5,'Train Runs'!$A$13:$A$99960,1,FALSE)</f>
        <v>#N/A</v>
      </c>
      <c r="K5" s="31" t="e">
        <f>IF(VLOOKUP(A5,$K$26:$K$49,1,FALSE),"Cancelled")</f>
        <v>#N/A</v>
      </c>
    </row>
    <row r="6" spans="1:11" x14ac:dyDescent="0.25">
      <c r="A6" s="167"/>
      <c r="B6" s="44" t="str">
        <f>A6&amp;"-"&amp;IF(DAY(Variables!$A$2)&lt;10,0,"")&amp;DAY(Variables!$A$2)</f>
        <v>-29</v>
      </c>
      <c r="C6" s="154"/>
      <c r="D6" s="159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ref="I6:I1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6" s="31" t="e">
        <f>VLOOKUP(B6,'Train Runs'!$A$13:$A$99960,1,FALSE)</f>
        <v>#N/A</v>
      </c>
      <c r="K6" s="31" t="e">
        <f t="shared" ref="K6:K18" si="2">IF(VLOOKUP(A6,$K$26:$K$49,1,FALSE),"Cancelled")</f>
        <v>#N/A</v>
      </c>
    </row>
    <row r="7" spans="1:11" x14ac:dyDescent="0.25">
      <c r="A7" s="167"/>
      <c r="B7" s="44" t="str">
        <f>A7&amp;"-"&amp;IF(DAY(Variables!$A$2)&lt;10,0,"")&amp;DAY(Variables!$A$2)</f>
        <v>-29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7" s="31" t="e">
        <f>VLOOKUP(B7,'Train Runs'!$A$13:$A$99960,1,FALSE)</f>
        <v>#N/A</v>
      </c>
      <c r="K7" s="31" t="e">
        <f t="shared" si="2"/>
        <v>#N/A</v>
      </c>
    </row>
    <row r="8" spans="1:11" x14ac:dyDescent="0.25">
      <c r="A8" s="167"/>
      <c r="B8" s="44" t="str">
        <f>A8&amp;"-"&amp;IF(DAY(Variables!$A$2)&lt;10,0,"")&amp;DAY(Variables!$A$2)</f>
        <v>-29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8" s="31" t="e">
        <f>VLOOKUP(B8,'Train Runs'!$A$13:$A$99960,1,FALSE)</f>
        <v>#N/A</v>
      </c>
      <c r="K8" s="31" t="e">
        <f t="shared" si="2"/>
        <v>#N/A</v>
      </c>
    </row>
    <row r="9" spans="1:11" x14ac:dyDescent="0.25">
      <c r="A9" s="167"/>
      <c r="B9" s="44" t="str">
        <f>A9&amp;"-"&amp;IF(DAY(Variables!$A$2)&lt;10,0,"")&amp;DAY(Variables!$A$2)</f>
        <v>-29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9" s="31" t="e">
        <f>VLOOKUP(B9,'Train Runs'!$A$13:$A$99960,1,FALSE)</f>
        <v>#N/A</v>
      </c>
      <c r="K9" s="31" t="e">
        <f t="shared" si="2"/>
        <v>#N/A</v>
      </c>
    </row>
    <row r="10" spans="1:11" x14ac:dyDescent="0.25">
      <c r="A10" s="167"/>
      <c r="B10" s="44" t="str">
        <f>A10&amp;"-"&amp;IF(DAY(Variables!$A$2)&lt;10,0,"")&amp;DAY(Variables!$A$2)</f>
        <v>-29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0" s="31" t="e">
        <f>VLOOKUP(B10,'Train Runs'!$A$13:$A$99960,1,FALSE)</f>
        <v>#N/A</v>
      </c>
      <c r="K10" s="31" t="e">
        <f t="shared" si="2"/>
        <v>#N/A</v>
      </c>
    </row>
    <row r="11" spans="1:11" x14ac:dyDescent="0.25">
      <c r="A11" s="167"/>
      <c r="B11" s="44" t="str">
        <f>A11&amp;"-"&amp;IF(DAY(Variables!$A$2)&lt;10,0,"")&amp;DAY(Variables!$A$2)</f>
        <v>-29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1" s="31" t="e">
        <f>VLOOKUP(B11,'Train Runs'!$A$13:$A$99960,1,FALSE)</f>
        <v>#N/A</v>
      </c>
      <c r="K11" s="31" t="e">
        <f t="shared" si="2"/>
        <v>#N/A</v>
      </c>
    </row>
    <row r="12" spans="1:11" x14ac:dyDescent="0.25">
      <c r="A12" s="167"/>
      <c r="B12" s="44" t="str">
        <f>A12&amp;"-"&amp;IF(DAY(Variables!$A$2)&lt;10,0,"")&amp;DAY(Variables!$A$2)</f>
        <v>-29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2" s="31" t="e">
        <f>VLOOKUP(B12,'Train Runs'!$A$13:$A$99960,1,FALSE)</f>
        <v>#N/A</v>
      </c>
      <c r="K12" s="31" t="e">
        <f t="shared" si="2"/>
        <v>#N/A</v>
      </c>
    </row>
    <row r="13" spans="1:11" x14ac:dyDescent="0.25">
      <c r="A13" s="167"/>
      <c r="B13" s="44" t="str">
        <f>A13&amp;"-"&amp;IF(DAY(Variables!$A$2)&lt;10,0,"")&amp;DAY(Variables!$A$2)</f>
        <v>-29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3" s="31" t="e">
        <f>VLOOKUP(B13,'Train Runs'!$A$13:$A$99960,1,FALSE)</f>
        <v>#N/A</v>
      </c>
      <c r="K13" s="31" t="e">
        <f t="shared" si="2"/>
        <v>#N/A</v>
      </c>
    </row>
    <row r="14" spans="1:11" x14ac:dyDescent="0.25">
      <c r="A14" s="167"/>
      <c r="B14" s="44" t="str">
        <f>A14&amp;"-"&amp;IF(DAY(Variables!$A$2)&lt;10,0,"")&amp;DAY(Variables!$A$2)</f>
        <v>-29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4" s="31" t="e">
        <f>VLOOKUP(B14,'Train Runs'!$A$13:$A$99960,1,FALSE)</f>
        <v>#N/A</v>
      </c>
      <c r="K14" s="31" t="e">
        <f t="shared" si="2"/>
        <v>#N/A</v>
      </c>
    </row>
    <row r="15" spans="1:11" x14ac:dyDescent="0.25">
      <c r="A15" s="167"/>
      <c r="B15" s="44" t="str">
        <f>A15&amp;"-"&amp;IF(DAY(Variables!$A$2)&lt;10,0,"")&amp;DAY(Variables!$A$2)</f>
        <v>-29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5" s="31" t="e">
        <f>VLOOKUP(B15,'Train Runs'!$A$13:$A$99960,1,FALSE)</f>
        <v>#N/A</v>
      </c>
      <c r="K15" s="31" t="e">
        <f t="shared" si="2"/>
        <v>#N/A</v>
      </c>
    </row>
    <row r="16" spans="1:11" x14ac:dyDescent="0.25">
      <c r="A16" s="167"/>
      <c r="B16" s="44" t="str">
        <f>A16&amp;"-"&amp;IF(DAY(Variables!$A$2)&lt;10,0,"")&amp;DAY(Variables!$A$2)</f>
        <v>-29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6" s="31" t="e">
        <f>VLOOKUP(B16,'Train Runs'!$A$13:$A$99960,1,FALSE)</f>
        <v>#N/A</v>
      </c>
      <c r="K16" s="31" t="e">
        <f t="shared" si="2"/>
        <v>#N/A</v>
      </c>
    </row>
    <row r="17" spans="1:11" x14ac:dyDescent="0.25">
      <c r="A17" s="167"/>
      <c r="B17" s="44" t="str">
        <f>A17&amp;"-"&amp;IF(DAY(Variables!$A$2)&lt;10,0,"")&amp;DAY(Variables!$A$2)</f>
        <v>-29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7" s="31" t="e">
        <f>VLOOKUP(B17,'Train Runs'!$A$13:$A$99960,1,FALSE)</f>
        <v>#N/A</v>
      </c>
      <c r="K17" s="31" t="e">
        <f t="shared" si="2"/>
        <v>#N/A</v>
      </c>
    </row>
    <row r="18" spans="1:11" x14ac:dyDescent="0.25">
      <c r="A18" s="167"/>
      <c r="B18" s="44" t="str">
        <f>A18&amp;"-"&amp;IF(DAY(Variables!$A$2)&lt;10,0,"")&amp;DAY(Variables!$A$2)</f>
        <v>-29</v>
      </c>
      <c r="C18" s="154"/>
      <c r="D18" s="159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8" s="31" t="e">
        <f>VLOOKUP(B18,'Train Runs'!$A$13:$A$99960,1,FALSE)</f>
        <v>#N/A</v>
      </c>
      <c r="K1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248</v>
      </c>
      <c r="G1" s="8" t="s">
        <v>247</v>
      </c>
    </row>
    <row r="2" spans="1:7" x14ac:dyDescent="0.25">
      <c r="A2" s="8">
        <v>42733.038078703707</v>
      </c>
      <c r="B2" s="21" t="s">
        <v>314</v>
      </c>
      <c r="C2" s="21" t="s">
        <v>387</v>
      </c>
      <c r="D2" s="160">
        <v>2270000</v>
      </c>
      <c r="E2" s="21" t="s">
        <v>305</v>
      </c>
      <c r="F2" s="21" t="s">
        <v>306</v>
      </c>
      <c r="G2" s="8" t="str">
        <f>E2&amp;" "&amp;F2</f>
        <v>BROWN JACOB</v>
      </c>
    </row>
    <row r="3" spans="1:7" x14ac:dyDescent="0.25">
      <c r="A3" s="8">
        <v>42733.049861111111</v>
      </c>
      <c r="B3" s="21" t="s">
        <v>204</v>
      </c>
      <c r="C3" s="21" t="s">
        <v>388</v>
      </c>
      <c r="D3" s="160">
        <v>2220000</v>
      </c>
      <c r="E3" s="21" t="s">
        <v>303</v>
      </c>
      <c r="F3" s="21" t="s">
        <v>304</v>
      </c>
      <c r="G3" s="8" t="str">
        <f t="shared" ref="G3:G66" si="0">E3&amp;" "&amp;F3</f>
        <v>HILLS DUSTIN</v>
      </c>
    </row>
    <row r="4" spans="1:7" x14ac:dyDescent="0.25">
      <c r="A4" s="8">
        <v>42733.055717592593</v>
      </c>
      <c r="B4" s="21" t="s">
        <v>229</v>
      </c>
      <c r="C4" s="21" t="s">
        <v>389</v>
      </c>
      <c r="D4" s="160">
        <v>2720000</v>
      </c>
      <c r="E4" s="21" t="s">
        <v>341</v>
      </c>
      <c r="F4" s="21" t="s">
        <v>342</v>
      </c>
      <c r="G4" s="8" t="str">
        <f t="shared" si="0"/>
        <v>SIMONEAUX TERA</v>
      </c>
    </row>
    <row r="5" spans="1:7" x14ac:dyDescent="0.25">
      <c r="A5" s="8">
        <v>42733.056759259256</v>
      </c>
      <c r="B5" s="21" t="s">
        <v>229</v>
      </c>
      <c r="C5" s="21" t="s">
        <v>389</v>
      </c>
      <c r="D5" s="160">
        <v>2720000</v>
      </c>
      <c r="E5" s="21" t="s">
        <v>341</v>
      </c>
      <c r="F5" s="21" t="s">
        <v>342</v>
      </c>
      <c r="G5" s="8" t="str">
        <f t="shared" si="0"/>
        <v>SIMONEAUX TERA</v>
      </c>
    </row>
    <row r="6" spans="1:7" x14ac:dyDescent="0.25">
      <c r="A6" s="8">
        <v>42733.058379629627</v>
      </c>
      <c r="B6" s="21" t="s">
        <v>229</v>
      </c>
      <c r="C6" s="21" t="s">
        <v>389</v>
      </c>
      <c r="D6" s="160">
        <v>2720000</v>
      </c>
      <c r="E6" s="21" t="s">
        <v>341</v>
      </c>
      <c r="F6" s="21" t="s">
        <v>342</v>
      </c>
      <c r="G6" s="8" t="str">
        <f t="shared" si="0"/>
        <v>SIMONEAUX TERA</v>
      </c>
    </row>
    <row r="7" spans="1:7" x14ac:dyDescent="0.25">
      <c r="A7" s="8">
        <v>42733.072997685187</v>
      </c>
      <c r="B7" s="21" t="s">
        <v>313</v>
      </c>
      <c r="C7" s="21" t="s">
        <v>390</v>
      </c>
      <c r="D7" s="160">
        <v>2270000</v>
      </c>
      <c r="E7" s="21" t="s">
        <v>305</v>
      </c>
      <c r="F7" s="21" t="s">
        <v>306</v>
      </c>
      <c r="G7" s="8" t="str">
        <f t="shared" si="0"/>
        <v>BROWN JACOB</v>
      </c>
    </row>
    <row r="8" spans="1:7" x14ac:dyDescent="0.25">
      <c r="A8" s="8">
        <v>42733.108020833337</v>
      </c>
      <c r="B8" s="21" t="s">
        <v>241</v>
      </c>
      <c r="C8" s="21" t="s">
        <v>391</v>
      </c>
      <c r="D8" s="160">
        <v>1090000</v>
      </c>
      <c r="E8" s="21" t="s">
        <v>392</v>
      </c>
      <c r="F8" s="21" t="s">
        <v>256</v>
      </c>
      <c r="G8" s="8" t="str">
        <f t="shared" si="0"/>
        <v>SPECTOR MICHAEL</v>
      </c>
    </row>
    <row r="9" spans="1:7" ht="15.75" thickBot="1" x14ac:dyDescent="0.3">
      <c r="A9" s="25">
        <v>42733.110335648147</v>
      </c>
      <c r="B9" s="21" t="s">
        <v>351</v>
      </c>
      <c r="C9" s="21" t="s">
        <v>393</v>
      </c>
      <c r="D9" s="160">
        <v>2100000</v>
      </c>
      <c r="E9" s="21" t="s">
        <v>376</v>
      </c>
      <c r="F9" s="21" t="s">
        <v>377</v>
      </c>
      <c r="G9" s="8" t="str">
        <f t="shared" si="0"/>
        <v>ISHMAEL JOSEPH</v>
      </c>
    </row>
    <row r="10" spans="1:7" x14ac:dyDescent="0.25">
      <c r="A10" s="8">
        <v>42733.121759259258</v>
      </c>
      <c r="B10" s="21" t="s">
        <v>277</v>
      </c>
      <c r="C10" s="21" t="s">
        <v>467</v>
      </c>
      <c r="D10" s="160">
        <v>2100000</v>
      </c>
      <c r="E10" s="21" t="s">
        <v>376</v>
      </c>
      <c r="F10" s="21" t="s">
        <v>377</v>
      </c>
      <c r="G10" s="8" t="str">
        <f t="shared" si="0"/>
        <v>ISHMAEL JOSEPH</v>
      </c>
    </row>
    <row r="11" spans="1:7" x14ac:dyDescent="0.25">
      <c r="A11" s="8">
        <v>42733.135891203703</v>
      </c>
      <c r="B11" s="21" t="s">
        <v>275</v>
      </c>
      <c r="C11" s="21" t="s">
        <v>468</v>
      </c>
      <c r="D11" s="160">
        <v>1230000</v>
      </c>
      <c r="E11" s="21" t="s">
        <v>381</v>
      </c>
      <c r="F11" s="21" t="s">
        <v>382</v>
      </c>
      <c r="G11" s="8" t="str">
        <f t="shared" si="0"/>
        <v>YANAI IAN</v>
      </c>
    </row>
    <row r="12" spans="1:7" x14ac:dyDescent="0.25">
      <c r="A12" s="8">
        <v>42733.13758101852</v>
      </c>
      <c r="B12" s="21" t="s">
        <v>252</v>
      </c>
      <c r="C12" s="21" t="s">
        <v>436</v>
      </c>
      <c r="D12" s="160">
        <v>1090000</v>
      </c>
      <c r="E12" s="21" t="s">
        <v>392</v>
      </c>
      <c r="F12" s="21" t="s">
        <v>256</v>
      </c>
      <c r="G12" s="8" t="str">
        <f t="shared" si="0"/>
        <v>SPECTOR MICHAEL</v>
      </c>
    </row>
    <row r="13" spans="1:7" x14ac:dyDescent="0.25">
      <c r="A13" s="8">
        <v>42733.152280092596</v>
      </c>
      <c r="B13" s="21" t="s">
        <v>212</v>
      </c>
      <c r="C13" s="21" t="s">
        <v>469</v>
      </c>
      <c r="D13" s="160">
        <v>1230000</v>
      </c>
      <c r="E13" s="21" t="s">
        <v>381</v>
      </c>
      <c r="F13" s="21" t="s">
        <v>382</v>
      </c>
      <c r="G13" s="8" t="str">
        <f t="shared" si="0"/>
        <v>YANAI IAN</v>
      </c>
    </row>
    <row r="14" spans="1:7" x14ac:dyDescent="0.25">
      <c r="A14" s="8">
        <v>42733.165682870371</v>
      </c>
      <c r="B14" s="21" t="s">
        <v>470</v>
      </c>
      <c r="C14" s="21" t="s">
        <v>471</v>
      </c>
      <c r="D14" s="160">
        <v>2140000</v>
      </c>
      <c r="E14" s="21" t="s">
        <v>472</v>
      </c>
      <c r="F14" s="21" t="s">
        <v>473</v>
      </c>
      <c r="G14" s="8" t="str">
        <f t="shared" si="0"/>
        <v>ROBINSON KADDIBA</v>
      </c>
    </row>
    <row r="15" spans="1:7" x14ac:dyDescent="0.25">
      <c r="A15" s="8">
        <v>42733.172326388885</v>
      </c>
      <c r="B15" s="21" t="s">
        <v>324</v>
      </c>
      <c r="C15" s="21" t="s">
        <v>474</v>
      </c>
      <c r="D15" s="160">
        <v>2730000</v>
      </c>
      <c r="E15" s="21" t="s">
        <v>296</v>
      </c>
      <c r="F15" s="21" t="s">
        <v>297</v>
      </c>
      <c r="G15" s="8" t="str">
        <f t="shared" si="0"/>
        <v>YANG JAN</v>
      </c>
    </row>
    <row r="16" spans="1:7" x14ac:dyDescent="0.25">
      <c r="A16" s="8">
        <v>42733.174386574072</v>
      </c>
      <c r="B16" s="21" t="s">
        <v>351</v>
      </c>
      <c r="C16" s="21" t="s">
        <v>475</v>
      </c>
      <c r="D16" s="160">
        <v>2100000</v>
      </c>
      <c r="E16" s="21" t="s">
        <v>376</v>
      </c>
      <c r="F16" s="21" t="s">
        <v>377</v>
      </c>
      <c r="G16" s="8" t="str">
        <f t="shared" si="0"/>
        <v>ISHMAEL JOSEPH</v>
      </c>
    </row>
    <row r="17" spans="1:7" x14ac:dyDescent="0.25">
      <c r="A17" s="8">
        <v>42733.175763888888</v>
      </c>
      <c r="B17" s="21" t="s">
        <v>212</v>
      </c>
      <c r="C17" s="21" t="s">
        <v>476</v>
      </c>
      <c r="D17" s="160">
        <v>1230000</v>
      </c>
      <c r="E17" s="21" t="s">
        <v>381</v>
      </c>
      <c r="F17" s="21" t="s">
        <v>382</v>
      </c>
      <c r="G17" s="8" t="str">
        <f t="shared" si="0"/>
        <v>YANAI IAN</v>
      </c>
    </row>
    <row r="18" spans="1:7" x14ac:dyDescent="0.25">
      <c r="A18" s="8">
        <v>42733.176550925928</v>
      </c>
      <c r="B18" s="21" t="s">
        <v>212</v>
      </c>
      <c r="C18" s="21" t="s">
        <v>476</v>
      </c>
      <c r="D18" s="160">
        <v>1230000</v>
      </c>
      <c r="E18" s="21" t="s">
        <v>381</v>
      </c>
      <c r="F18" s="21" t="s">
        <v>382</v>
      </c>
      <c r="G18" s="8" t="str">
        <f t="shared" si="0"/>
        <v>YANAI IAN</v>
      </c>
    </row>
    <row r="19" spans="1:7" x14ac:dyDescent="0.25">
      <c r="A19" s="8">
        <v>42733.177060185182</v>
      </c>
      <c r="B19" s="21" t="s">
        <v>212</v>
      </c>
      <c r="C19" s="21" t="s">
        <v>476</v>
      </c>
      <c r="D19" s="160">
        <v>1230000</v>
      </c>
      <c r="E19" s="21" t="s">
        <v>381</v>
      </c>
      <c r="F19" s="21" t="s">
        <v>382</v>
      </c>
      <c r="G19" s="8" t="str">
        <f t="shared" si="0"/>
        <v>YANAI IAN</v>
      </c>
    </row>
    <row r="20" spans="1:7" x14ac:dyDescent="0.25">
      <c r="A20" s="8">
        <v>42733.182534722226</v>
      </c>
      <c r="B20" s="21" t="s">
        <v>351</v>
      </c>
      <c r="C20" s="21" t="s">
        <v>435</v>
      </c>
      <c r="D20" s="160">
        <v>2100000</v>
      </c>
      <c r="E20" s="21" t="s">
        <v>376</v>
      </c>
      <c r="F20" s="21" t="s">
        <v>377</v>
      </c>
      <c r="G20" s="8" t="str">
        <f t="shared" si="0"/>
        <v>ISHMAEL JOSEPH</v>
      </c>
    </row>
    <row r="21" spans="1:7" x14ac:dyDescent="0.25">
      <c r="A21" s="8">
        <v>42733.186296296299</v>
      </c>
      <c r="B21" s="21" t="s">
        <v>225</v>
      </c>
      <c r="C21" s="21" t="s">
        <v>477</v>
      </c>
      <c r="D21" s="160">
        <v>2140000</v>
      </c>
      <c r="E21" s="21" t="s">
        <v>472</v>
      </c>
      <c r="F21" s="21" t="s">
        <v>473</v>
      </c>
      <c r="G21" s="8" t="str">
        <f t="shared" si="0"/>
        <v>ROBINSON KADDIBA</v>
      </c>
    </row>
    <row r="22" spans="1:7" x14ac:dyDescent="0.25">
      <c r="A22" s="27">
        <v>42733.19159722222</v>
      </c>
      <c r="B22" s="21" t="s">
        <v>478</v>
      </c>
      <c r="C22" s="21" t="s">
        <v>479</v>
      </c>
      <c r="D22" s="160">
        <v>1100000</v>
      </c>
      <c r="E22" s="21" t="s">
        <v>480</v>
      </c>
      <c r="F22" s="21" t="s">
        <v>481</v>
      </c>
      <c r="G22" s="8" t="str">
        <f t="shared" si="0"/>
        <v>GEBRETEKLE DAGNEW</v>
      </c>
    </row>
    <row r="23" spans="1:7" x14ac:dyDescent="0.25">
      <c r="A23" s="8">
        <v>42733.203750000001</v>
      </c>
      <c r="B23" s="21" t="s">
        <v>263</v>
      </c>
      <c r="C23" s="21" t="s">
        <v>482</v>
      </c>
      <c r="D23" s="160">
        <v>1830000</v>
      </c>
      <c r="E23" s="21" t="s">
        <v>378</v>
      </c>
      <c r="F23" s="21" t="s">
        <v>379</v>
      </c>
      <c r="G23" s="8" t="str">
        <f t="shared" si="0"/>
        <v>YORK EDGAR</v>
      </c>
    </row>
    <row r="24" spans="1:7" x14ac:dyDescent="0.25">
      <c r="A24" s="8">
        <v>42733.204050925924</v>
      </c>
      <c r="B24" s="21" t="s">
        <v>375</v>
      </c>
      <c r="C24" s="21" t="s">
        <v>483</v>
      </c>
      <c r="D24" s="160">
        <v>2020000</v>
      </c>
      <c r="E24" s="21" t="s">
        <v>484</v>
      </c>
      <c r="F24" s="21" t="s">
        <v>380</v>
      </c>
      <c r="G24" s="8" t="str">
        <f t="shared" si="0"/>
        <v>SHOOK JOHN</v>
      </c>
    </row>
    <row r="25" spans="1:7" x14ac:dyDescent="0.25">
      <c r="A25" s="8">
        <v>42733.204780092594</v>
      </c>
      <c r="B25" s="21" t="s">
        <v>375</v>
      </c>
      <c r="C25" s="21" t="s">
        <v>483</v>
      </c>
      <c r="D25" s="160">
        <v>2020000</v>
      </c>
      <c r="E25" s="21" t="s">
        <v>484</v>
      </c>
      <c r="F25" s="21" t="s">
        <v>380</v>
      </c>
      <c r="G25" s="8" t="str">
        <f t="shared" si="0"/>
        <v>SHOOK JOHN</v>
      </c>
    </row>
    <row r="26" spans="1:7" x14ac:dyDescent="0.25">
      <c r="A26" s="8">
        <v>42733.206574074073</v>
      </c>
      <c r="B26" s="21" t="s">
        <v>375</v>
      </c>
      <c r="C26" s="21" t="s">
        <v>483</v>
      </c>
      <c r="D26" s="160">
        <v>2020000</v>
      </c>
      <c r="E26" s="21" t="s">
        <v>484</v>
      </c>
      <c r="F26" s="21" t="s">
        <v>380</v>
      </c>
      <c r="G26" s="8" t="str">
        <f t="shared" si="0"/>
        <v>SHOOK JOHN</v>
      </c>
    </row>
    <row r="27" spans="1:7" x14ac:dyDescent="0.25">
      <c r="A27" s="8">
        <v>42733.212164351855</v>
      </c>
      <c r="B27" s="21" t="s">
        <v>275</v>
      </c>
      <c r="C27" s="21" t="s">
        <v>437</v>
      </c>
      <c r="D27" s="160">
        <v>1230000</v>
      </c>
      <c r="E27" s="21" t="s">
        <v>381</v>
      </c>
      <c r="F27" s="21" t="s">
        <v>382</v>
      </c>
      <c r="G27" s="8" t="str">
        <f t="shared" si="0"/>
        <v>YANAI IAN</v>
      </c>
    </row>
    <row r="28" spans="1:7" x14ac:dyDescent="0.25">
      <c r="A28" s="8">
        <v>42733.21366898148</v>
      </c>
      <c r="B28" s="21" t="s">
        <v>275</v>
      </c>
      <c r="C28" s="21" t="s">
        <v>437</v>
      </c>
      <c r="D28" s="160">
        <v>1230000</v>
      </c>
      <c r="E28" s="21" t="s">
        <v>381</v>
      </c>
      <c r="F28" s="21" t="s">
        <v>382</v>
      </c>
      <c r="G28" s="8" t="str">
        <f t="shared" si="0"/>
        <v>YANAI IAN</v>
      </c>
    </row>
    <row r="29" spans="1:7" x14ac:dyDescent="0.25">
      <c r="A29" s="8">
        <v>42733.215590277781</v>
      </c>
      <c r="B29" s="21" t="s">
        <v>373</v>
      </c>
      <c r="C29" s="21" t="s">
        <v>485</v>
      </c>
      <c r="D29" s="160">
        <v>2020000</v>
      </c>
      <c r="E29" s="21" t="s">
        <v>484</v>
      </c>
      <c r="F29" s="21" t="s">
        <v>380</v>
      </c>
      <c r="G29" s="8" t="str">
        <f t="shared" si="0"/>
        <v>SHOOK JOHN</v>
      </c>
    </row>
    <row r="30" spans="1:7" x14ac:dyDescent="0.25">
      <c r="A30" s="8">
        <v>42733.216458333336</v>
      </c>
      <c r="B30" s="21" t="s">
        <v>325</v>
      </c>
      <c r="C30" s="21" t="s">
        <v>486</v>
      </c>
      <c r="D30" s="160">
        <v>900000</v>
      </c>
      <c r="E30" s="21" t="s">
        <v>383</v>
      </c>
      <c r="F30" s="21" t="s">
        <v>384</v>
      </c>
      <c r="G30" s="8" t="str">
        <f t="shared" si="0"/>
        <v>ROCHA YAOTL</v>
      </c>
    </row>
    <row r="31" spans="1:7" x14ac:dyDescent="0.25">
      <c r="A31" s="8">
        <v>42733.223009259258</v>
      </c>
      <c r="B31" s="21" t="s">
        <v>261</v>
      </c>
      <c r="C31" s="21" t="s">
        <v>487</v>
      </c>
      <c r="D31" s="160">
        <v>2140000</v>
      </c>
      <c r="E31" s="21" t="s">
        <v>472</v>
      </c>
      <c r="F31" s="21" t="s">
        <v>473</v>
      </c>
      <c r="G31" s="8" t="str">
        <f t="shared" si="0"/>
        <v>ROBINSON KADDIBA</v>
      </c>
    </row>
    <row r="32" spans="1:7" x14ac:dyDescent="0.25">
      <c r="A32" s="8">
        <v>42733.23064814815</v>
      </c>
      <c r="B32" s="21" t="s">
        <v>375</v>
      </c>
      <c r="C32" s="21" t="s">
        <v>488</v>
      </c>
      <c r="D32" s="160">
        <v>2020000</v>
      </c>
      <c r="E32" s="21" t="s">
        <v>484</v>
      </c>
      <c r="F32" s="21" t="s">
        <v>380</v>
      </c>
      <c r="G32" s="8" t="str">
        <f t="shared" si="0"/>
        <v>SHOOK JOHN</v>
      </c>
    </row>
    <row r="33" spans="1:7" x14ac:dyDescent="0.25">
      <c r="A33" s="8">
        <v>42733.230763888889</v>
      </c>
      <c r="B33" s="21" t="s">
        <v>277</v>
      </c>
      <c r="C33" s="21" t="s">
        <v>489</v>
      </c>
      <c r="D33" s="160">
        <v>1110000</v>
      </c>
      <c r="E33" s="21" t="s">
        <v>490</v>
      </c>
      <c r="F33" s="21" t="s">
        <v>491</v>
      </c>
      <c r="G33" s="8" t="str">
        <f t="shared" si="0"/>
        <v>STARKS ANGELINA</v>
      </c>
    </row>
    <row r="34" spans="1:7" x14ac:dyDescent="0.25">
      <c r="A34" s="8">
        <v>42733.230763888889</v>
      </c>
      <c r="B34" s="21" t="s">
        <v>470</v>
      </c>
      <c r="C34" s="21" t="s">
        <v>492</v>
      </c>
      <c r="D34" s="160">
        <v>1100000</v>
      </c>
      <c r="E34" s="21" t="s">
        <v>480</v>
      </c>
      <c r="F34" s="21" t="s">
        <v>481</v>
      </c>
      <c r="G34" s="8" t="str">
        <f t="shared" si="0"/>
        <v>GEBRETEKLE DAGNEW</v>
      </c>
    </row>
    <row r="35" spans="1:7" x14ac:dyDescent="0.25">
      <c r="A35" s="8">
        <v>42733.234525462962</v>
      </c>
      <c r="B35" s="21" t="s">
        <v>262</v>
      </c>
      <c r="C35" s="21" t="s">
        <v>493</v>
      </c>
      <c r="D35" s="160">
        <v>1830000</v>
      </c>
      <c r="E35" s="21" t="s">
        <v>378</v>
      </c>
      <c r="F35" s="21" t="s">
        <v>379</v>
      </c>
      <c r="G35" s="8" t="str">
        <f t="shared" si="0"/>
        <v>YORK EDGAR</v>
      </c>
    </row>
    <row r="36" spans="1:7" x14ac:dyDescent="0.25">
      <c r="A36" s="8">
        <v>42733.236458333333</v>
      </c>
      <c r="B36" s="21" t="s">
        <v>231</v>
      </c>
      <c r="C36" s="21" t="s">
        <v>494</v>
      </c>
      <c r="D36" s="160">
        <v>2100000</v>
      </c>
      <c r="E36" s="21" t="s">
        <v>376</v>
      </c>
      <c r="F36" s="21" t="s">
        <v>377</v>
      </c>
      <c r="G36" s="8" t="str">
        <f t="shared" si="0"/>
        <v>ISHMAEL JOSEPH</v>
      </c>
    </row>
    <row r="37" spans="1:7" x14ac:dyDescent="0.25">
      <c r="A37" s="8">
        <v>42733.247569444444</v>
      </c>
      <c r="B37" s="21" t="s">
        <v>212</v>
      </c>
      <c r="C37" s="21" t="s">
        <v>495</v>
      </c>
      <c r="D37" s="160">
        <v>1230000</v>
      </c>
      <c r="E37" s="21" t="s">
        <v>381</v>
      </c>
      <c r="F37" s="21" t="s">
        <v>382</v>
      </c>
      <c r="G37" s="8" t="str">
        <f t="shared" si="0"/>
        <v>YANAI IAN</v>
      </c>
    </row>
    <row r="38" spans="1:7" x14ac:dyDescent="0.25">
      <c r="A38" s="8">
        <v>42733.250590277778</v>
      </c>
      <c r="B38" s="21" t="s">
        <v>324</v>
      </c>
      <c r="C38" s="21" t="s">
        <v>496</v>
      </c>
      <c r="D38" s="160">
        <v>900000</v>
      </c>
      <c r="E38" s="21" t="s">
        <v>383</v>
      </c>
      <c r="F38" s="21" t="s">
        <v>384</v>
      </c>
      <c r="G38" s="8" t="str">
        <f t="shared" si="0"/>
        <v>ROCHA YAOTL</v>
      </c>
    </row>
    <row r="39" spans="1:7" x14ac:dyDescent="0.25">
      <c r="A39" s="8">
        <v>42733.253159722219</v>
      </c>
      <c r="B39" s="21" t="s">
        <v>448</v>
      </c>
      <c r="C39" s="21" t="s">
        <v>497</v>
      </c>
      <c r="D39" s="160">
        <v>890000</v>
      </c>
      <c r="E39" s="21" t="s">
        <v>498</v>
      </c>
      <c r="F39" s="21" t="s">
        <v>499</v>
      </c>
      <c r="G39" s="8" t="str">
        <f t="shared" si="0"/>
        <v>LOZA FIDEL</v>
      </c>
    </row>
    <row r="40" spans="1:7" x14ac:dyDescent="0.25">
      <c r="A40" s="8">
        <v>42733.257141203707</v>
      </c>
      <c r="B40" s="26" t="s">
        <v>373</v>
      </c>
      <c r="C40" s="21" t="s">
        <v>500</v>
      </c>
      <c r="D40" s="160">
        <v>2020000</v>
      </c>
      <c r="E40" s="21" t="s">
        <v>484</v>
      </c>
      <c r="F40" s="21" t="s">
        <v>380</v>
      </c>
      <c r="G40" s="8" t="str">
        <f t="shared" si="0"/>
        <v>SHOOK JOHN</v>
      </c>
    </row>
    <row r="41" spans="1:7" x14ac:dyDescent="0.25">
      <c r="A41" s="8">
        <v>42733.258425925924</v>
      </c>
      <c r="B41" s="21" t="s">
        <v>225</v>
      </c>
      <c r="C41" s="21" t="s">
        <v>501</v>
      </c>
      <c r="D41" s="160">
        <v>2140000</v>
      </c>
      <c r="E41" s="21" t="s">
        <v>472</v>
      </c>
      <c r="F41" s="21" t="s">
        <v>473</v>
      </c>
      <c r="G41" s="8" t="str">
        <f t="shared" si="0"/>
        <v>ROBINSON KADDIBA</v>
      </c>
    </row>
    <row r="42" spans="1:7" x14ac:dyDescent="0.25">
      <c r="A42" s="8">
        <v>42733.263391203705</v>
      </c>
      <c r="B42" s="21" t="s">
        <v>214</v>
      </c>
      <c r="C42" s="21" t="s">
        <v>502</v>
      </c>
      <c r="D42" s="160">
        <v>890000</v>
      </c>
      <c r="E42" s="21" t="s">
        <v>498</v>
      </c>
      <c r="F42" s="21" t="s">
        <v>499</v>
      </c>
      <c r="G42" s="8" t="str">
        <f t="shared" si="0"/>
        <v>LOZA FIDEL</v>
      </c>
    </row>
    <row r="43" spans="1:7" x14ac:dyDescent="0.25">
      <c r="A43" s="8">
        <v>42733.266562500001</v>
      </c>
      <c r="B43" s="21" t="s">
        <v>278</v>
      </c>
      <c r="C43" s="21" t="s">
        <v>503</v>
      </c>
      <c r="D43" s="160">
        <v>1110000</v>
      </c>
      <c r="E43" s="21" t="s">
        <v>490</v>
      </c>
      <c r="F43" s="21" t="s">
        <v>491</v>
      </c>
      <c r="G43" s="8" t="str">
        <f t="shared" si="0"/>
        <v>STARKS ANGELINA</v>
      </c>
    </row>
    <row r="44" spans="1:7" x14ac:dyDescent="0.25">
      <c r="A44" s="8">
        <v>42733.268634259257</v>
      </c>
      <c r="B44" s="21" t="s">
        <v>478</v>
      </c>
      <c r="C44" s="21" t="s">
        <v>504</v>
      </c>
      <c r="D44" s="160">
        <v>2730000</v>
      </c>
      <c r="E44" s="21" t="s">
        <v>296</v>
      </c>
      <c r="F44" s="21" t="s">
        <v>297</v>
      </c>
      <c r="G44" s="8" t="str">
        <f t="shared" si="0"/>
        <v>YANG JAN</v>
      </c>
    </row>
    <row r="45" spans="1:7" x14ac:dyDescent="0.25">
      <c r="A45" s="8">
        <v>42733.271747685183</v>
      </c>
      <c r="B45" s="21" t="s">
        <v>375</v>
      </c>
      <c r="C45" s="21" t="s">
        <v>505</v>
      </c>
      <c r="D45" s="160">
        <v>2020000</v>
      </c>
      <c r="E45" s="21" t="s">
        <v>484</v>
      </c>
      <c r="F45" s="21" t="s">
        <v>380</v>
      </c>
      <c r="G45" s="8" t="str">
        <f t="shared" si="0"/>
        <v>SHOOK JOHN</v>
      </c>
    </row>
    <row r="46" spans="1:7" x14ac:dyDescent="0.25">
      <c r="A46" s="8">
        <v>42733.275092592594</v>
      </c>
      <c r="B46" s="21" t="s">
        <v>351</v>
      </c>
      <c r="C46" s="21" t="s">
        <v>506</v>
      </c>
      <c r="D46" s="160">
        <v>2100000</v>
      </c>
      <c r="E46" s="21" t="s">
        <v>376</v>
      </c>
      <c r="F46" s="21" t="s">
        <v>377</v>
      </c>
      <c r="G46" s="8" t="str">
        <f t="shared" si="0"/>
        <v>ISHMAEL JOSEPH</v>
      </c>
    </row>
    <row r="47" spans="1:7" x14ac:dyDescent="0.25">
      <c r="A47" s="8">
        <v>42733.276400462964</v>
      </c>
      <c r="B47" s="21" t="s">
        <v>448</v>
      </c>
      <c r="C47" s="21" t="s">
        <v>507</v>
      </c>
      <c r="D47" s="160">
        <v>890000</v>
      </c>
      <c r="E47" s="21" t="s">
        <v>498</v>
      </c>
      <c r="F47" s="21" t="s">
        <v>499</v>
      </c>
      <c r="G47" s="8" t="str">
        <f t="shared" si="0"/>
        <v>LOZA FIDEL</v>
      </c>
    </row>
    <row r="48" spans="1:7" x14ac:dyDescent="0.25">
      <c r="A48" s="8">
        <v>42733.276967592596</v>
      </c>
      <c r="B48" s="21" t="s">
        <v>334</v>
      </c>
      <c r="C48" s="21" t="s">
        <v>508</v>
      </c>
      <c r="D48" s="160">
        <v>1230000</v>
      </c>
      <c r="E48" s="21" t="s">
        <v>381</v>
      </c>
      <c r="F48" s="21" t="s">
        <v>382</v>
      </c>
      <c r="G48" s="8" t="str">
        <f t="shared" si="0"/>
        <v>YANAI IAN</v>
      </c>
    </row>
    <row r="49" spans="1:7" x14ac:dyDescent="0.25">
      <c r="A49" s="8">
        <v>42733.280138888891</v>
      </c>
      <c r="B49" s="21" t="s">
        <v>263</v>
      </c>
      <c r="C49" s="21" t="s">
        <v>509</v>
      </c>
      <c r="D49" s="160">
        <v>1830000</v>
      </c>
      <c r="E49" s="21" t="s">
        <v>378</v>
      </c>
      <c r="F49" s="21" t="s">
        <v>379</v>
      </c>
      <c r="G49" s="8" t="str">
        <f t="shared" si="0"/>
        <v>YORK EDGAR</v>
      </c>
    </row>
    <row r="50" spans="1:7" x14ac:dyDescent="0.25">
      <c r="A50" s="8">
        <v>42733.288414351853</v>
      </c>
      <c r="B50" s="21" t="s">
        <v>325</v>
      </c>
      <c r="C50" s="21" t="s">
        <v>510</v>
      </c>
      <c r="D50" s="160">
        <v>900000</v>
      </c>
      <c r="E50" s="21" t="s">
        <v>383</v>
      </c>
      <c r="F50" s="21" t="s">
        <v>384</v>
      </c>
      <c r="G50" s="8" t="str">
        <f t="shared" si="0"/>
        <v>ROCHA YAOTL</v>
      </c>
    </row>
    <row r="51" spans="1:7" x14ac:dyDescent="0.25">
      <c r="A51" s="8">
        <v>42733.291875000003</v>
      </c>
      <c r="B51" s="21" t="s">
        <v>214</v>
      </c>
      <c r="C51" s="21" t="s">
        <v>511</v>
      </c>
      <c r="D51" s="160">
        <v>890000</v>
      </c>
      <c r="E51" s="21" t="s">
        <v>498</v>
      </c>
      <c r="F51" s="21" t="s">
        <v>499</v>
      </c>
      <c r="G51" s="8" t="str">
        <f t="shared" si="0"/>
        <v>LOZA FIDEL</v>
      </c>
    </row>
    <row r="52" spans="1:7" x14ac:dyDescent="0.25">
      <c r="A52" s="8">
        <v>42733.292349537034</v>
      </c>
      <c r="B52" s="21" t="s">
        <v>261</v>
      </c>
      <c r="C52" s="21" t="s">
        <v>512</v>
      </c>
      <c r="D52" s="160">
        <v>2140000</v>
      </c>
      <c r="E52" s="21" t="s">
        <v>472</v>
      </c>
      <c r="F52" s="21" t="s">
        <v>473</v>
      </c>
      <c r="G52" s="8" t="str">
        <f t="shared" si="0"/>
        <v>ROBINSON KADDIBA</v>
      </c>
    </row>
    <row r="53" spans="1:7" x14ac:dyDescent="0.25">
      <c r="A53" s="8">
        <v>42733.298263888886</v>
      </c>
      <c r="B53" s="21" t="s">
        <v>373</v>
      </c>
      <c r="C53" s="21" t="s">
        <v>513</v>
      </c>
      <c r="D53" s="160">
        <v>2020000</v>
      </c>
      <c r="E53" s="21" t="s">
        <v>484</v>
      </c>
      <c r="F53" s="21" t="s">
        <v>380</v>
      </c>
      <c r="G53" s="8" t="str">
        <f t="shared" si="0"/>
        <v>SHOOK JOHN</v>
      </c>
    </row>
    <row r="54" spans="1:7" x14ac:dyDescent="0.25">
      <c r="A54" s="8">
        <v>42733.300266203703</v>
      </c>
      <c r="B54" s="21" t="s">
        <v>277</v>
      </c>
      <c r="C54" s="21" t="s">
        <v>514</v>
      </c>
      <c r="D54" s="160">
        <v>1110000</v>
      </c>
      <c r="E54" s="21" t="s">
        <v>490</v>
      </c>
      <c r="F54" s="21" t="s">
        <v>491</v>
      </c>
      <c r="G54" s="8" t="str">
        <f t="shared" si="0"/>
        <v>STARKS ANGELINA</v>
      </c>
    </row>
    <row r="55" spans="1:7" x14ac:dyDescent="0.25">
      <c r="A55" s="8">
        <v>42733.303090277775</v>
      </c>
      <c r="B55" s="21" t="s">
        <v>470</v>
      </c>
      <c r="C55" s="21" t="s">
        <v>515</v>
      </c>
      <c r="D55" s="160">
        <v>2730000</v>
      </c>
      <c r="E55" s="21" t="s">
        <v>296</v>
      </c>
      <c r="F55" s="21" t="s">
        <v>297</v>
      </c>
      <c r="G55" s="8" t="str">
        <f t="shared" si="0"/>
        <v>YANG JAN</v>
      </c>
    </row>
    <row r="56" spans="1:7" x14ac:dyDescent="0.25">
      <c r="A56" s="8">
        <v>42733.307673611111</v>
      </c>
      <c r="B56" s="21" t="s">
        <v>231</v>
      </c>
      <c r="C56" s="21" t="s">
        <v>516</v>
      </c>
      <c r="D56" s="160">
        <v>2100000</v>
      </c>
      <c r="E56" s="21" t="s">
        <v>376</v>
      </c>
      <c r="F56" s="21" t="s">
        <v>377</v>
      </c>
      <c r="G56" s="8" t="str">
        <f t="shared" si="0"/>
        <v>ISHMAEL JOSEPH</v>
      </c>
    </row>
    <row r="57" spans="1:7" x14ac:dyDescent="0.25">
      <c r="A57" s="8">
        <v>42733.30809027778</v>
      </c>
      <c r="B57" s="21" t="s">
        <v>262</v>
      </c>
      <c r="C57" s="21" t="s">
        <v>517</v>
      </c>
      <c r="D57" s="160">
        <v>1830000</v>
      </c>
      <c r="E57" s="21" t="s">
        <v>378</v>
      </c>
      <c r="F57" s="21" t="s">
        <v>379</v>
      </c>
      <c r="G57" s="8" t="str">
        <f t="shared" si="0"/>
        <v>YORK EDGAR</v>
      </c>
    </row>
    <row r="58" spans="1:7" x14ac:dyDescent="0.25">
      <c r="A58" s="8">
        <v>42733.313738425924</v>
      </c>
      <c r="B58" s="21" t="s">
        <v>375</v>
      </c>
      <c r="C58" s="21" t="s">
        <v>438</v>
      </c>
      <c r="D58" s="160">
        <v>2020000</v>
      </c>
      <c r="E58" s="21" t="s">
        <v>484</v>
      </c>
      <c r="F58" s="21" t="s">
        <v>380</v>
      </c>
      <c r="G58" s="8" t="str">
        <f t="shared" si="0"/>
        <v>SHOOK JOHN</v>
      </c>
    </row>
    <row r="59" spans="1:7" x14ac:dyDescent="0.25">
      <c r="A59" s="8">
        <v>42733.318437499998</v>
      </c>
      <c r="B59" s="21" t="s">
        <v>448</v>
      </c>
      <c r="C59" s="21" t="s">
        <v>518</v>
      </c>
      <c r="D59" s="160">
        <v>890000</v>
      </c>
      <c r="E59" s="21" t="s">
        <v>498</v>
      </c>
      <c r="F59" s="21" t="s">
        <v>499</v>
      </c>
      <c r="G59" s="8" t="str">
        <f t="shared" si="0"/>
        <v>LOZA FIDEL</v>
      </c>
    </row>
    <row r="60" spans="1:7" x14ac:dyDescent="0.25">
      <c r="A60" s="8">
        <v>42733.320347222223</v>
      </c>
      <c r="B60" s="21" t="s">
        <v>212</v>
      </c>
      <c r="C60" s="21" t="s">
        <v>519</v>
      </c>
      <c r="D60" s="160">
        <v>2610000</v>
      </c>
      <c r="E60" s="21" t="s">
        <v>335</v>
      </c>
      <c r="F60" s="21" t="s">
        <v>336</v>
      </c>
      <c r="G60" s="8" t="str">
        <f t="shared" si="0"/>
        <v>MAGEE KENYA</v>
      </c>
    </row>
    <row r="61" spans="1:7" x14ac:dyDescent="0.25">
      <c r="A61" s="8">
        <v>42733.329629629632</v>
      </c>
      <c r="B61" s="21" t="s">
        <v>225</v>
      </c>
      <c r="C61" s="21" t="s">
        <v>520</v>
      </c>
      <c r="D61" s="160">
        <v>2140000</v>
      </c>
      <c r="E61" s="21" t="s">
        <v>472</v>
      </c>
      <c r="F61" s="21" t="s">
        <v>473</v>
      </c>
      <c r="G61" s="8" t="str">
        <f t="shared" si="0"/>
        <v>ROBINSON KADDIBA</v>
      </c>
    </row>
    <row r="62" spans="1:7" x14ac:dyDescent="0.25">
      <c r="A62" s="8">
        <v>42733.330509259256</v>
      </c>
      <c r="B62" s="21" t="s">
        <v>324</v>
      </c>
      <c r="C62" s="21" t="s">
        <v>521</v>
      </c>
      <c r="D62" s="160">
        <v>900000</v>
      </c>
      <c r="E62" s="21" t="s">
        <v>383</v>
      </c>
      <c r="F62" s="21" t="s">
        <v>384</v>
      </c>
      <c r="G62" s="8" t="str">
        <f t="shared" si="0"/>
        <v>ROCHA YAOTL</v>
      </c>
    </row>
    <row r="63" spans="1:7" x14ac:dyDescent="0.25">
      <c r="A63" s="8">
        <v>42733.338495370372</v>
      </c>
      <c r="B63" s="21" t="s">
        <v>278</v>
      </c>
      <c r="C63" s="21" t="s">
        <v>522</v>
      </c>
      <c r="D63" s="160">
        <v>1110000</v>
      </c>
      <c r="E63" s="21" t="s">
        <v>490</v>
      </c>
      <c r="F63" s="21" t="s">
        <v>491</v>
      </c>
      <c r="G63" s="8" t="str">
        <f t="shared" si="0"/>
        <v>STARKS ANGELINA</v>
      </c>
    </row>
    <row r="64" spans="1:7" x14ac:dyDescent="0.25">
      <c r="A64" s="27">
        <v>42733.339733796296</v>
      </c>
      <c r="B64" s="21" t="s">
        <v>373</v>
      </c>
      <c r="C64" s="21" t="s">
        <v>523</v>
      </c>
      <c r="D64" s="160">
        <v>2020000</v>
      </c>
      <c r="E64" s="21" t="s">
        <v>484</v>
      </c>
      <c r="F64" s="21" t="s">
        <v>380</v>
      </c>
      <c r="G64" s="8" t="str">
        <f t="shared" si="0"/>
        <v>SHOOK JOHN</v>
      </c>
    </row>
    <row r="65" spans="1:7" x14ac:dyDescent="0.25">
      <c r="A65" s="8">
        <v>42733.340763888889</v>
      </c>
      <c r="B65" s="21" t="s">
        <v>478</v>
      </c>
      <c r="C65" s="21" t="s">
        <v>524</v>
      </c>
      <c r="D65" s="160">
        <v>2730000</v>
      </c>
      <c r="E65" s="21" t="s">
        <v>296</v>
      </c>
      <c r="F65" s="21" t="s">
        <v>297</v>
      </c>
      <c r="G65" s="8" t="str">
        <f t="shared" si="0"/>
        <v>YANG JAN</v>
      </c>
    </row>
    <row r="66" spans="1:7" x14ac:dyDescent="0.25">
      <c r="A66" s="8">
        <v>42733.346643518518</v>
      </c>
      <c r="B66" s="21" t="s">
        <v>214</v>
      </c>
      <c r="C66" s="21" t="s">
        <v>525</v>
      </c>
      <c r="D66" s="160">
        <v>890000</v>
      </c>
      <c r="E66" s="21" t="s">
        <v>498</v>
      </c>
      <c r="F66" s="21" t="s">
        <v>499</v>
      </c>
      <c r="G66" s="8" t="str">
        <f t="shared" si="0"/>
        <v>LOZA FIDEL</v>
      </c>
    </row>
    <row r="67" spans="1:7" x14ac:dyDescent="0.25">
      <c r="A67" s="8">
        <v>42733.347777777781</v>
      </c>
      <c r="B67" s="21" t="s">
        <v>351</v>
      </c>
      <c r="C67" s="21" t="s">
        <v>526</v>
      </c>
      <c r="D67" s="160">
        <v>2100000</v>
      </c>
      <c r="E67" s="21" t="s">
        <v>376</v>
      </c>
      <c r="F67" s="21" t="s">
        <v>377</v>
      </c>
      <c r="G67" s="8" t="str">
        <f t="shared" ref="G67:G130" si="1">E67&amp;" "&amp;F67</f>
        <v>ISHMAEL JOSEPH</v>
      </c>
    </row>
    <row r="68" spans="1:7" x14ac:dyDescent="0.25">
      <c r="A68" s="8">
        <v>42733.349710648145</v>
      </c>
      <c r="B68" s="21" t="s">
        <v>263</v>
      </c>
      <c r="C68" s="21" t="s">
        <v>527</v>
      </c>
      <c r="D68" s="160">
        <v>1830000</v>
      </c>
      <c r="E68" s="21" t="s">
        <v>378</v>
      </c>
      <c r="F68" s="21" t="s">
        <v>379</v>
      </c>
      <c r="G68" s="8" t="str">
        <f t="shared" si="1"/>
        <v>YORK EDGAR</v>
      </c>
    </row>
    <row r="69" spans="1:7" x14ac:dyDescent="0.25">
      <c r="A69" s="8">
        <v>42733.354328703703</v>
      </c>
      <c r="B69" s="21" t="s">
        <v>375</v>
      </c>
      <c r="C69" s="21" t="s">
        <v>528</v>
      </c>
      <c r="D69" s="160">
        <v>2020000</v>
      </c>
      <c r="E69" s="21" t="s">
        <v>484</v>
      </c>
      <c r="F69" s="21" t="s">
        <v>380</v>
      </c>
      <c r="G69" s="8" t="str">
        <f t="shared" si="1"/>
        <v>SHOOK JOHN</v>
      </c>
    </row>
    <row r="70" spans="1:7" x14ac:dyDescent="0.25">
      <c r="A70" s="8">
        <v>42733.354907407411</v>
      </c>
      <c r="B70" s="21" t="s">
        <v>334</v>
      </c>
      <c r="C70" s="21" t="s">
        <v>529</v>
      </c>
      <c r="D70" s="160">
        <v>2610000</v>
      </c>
      <c r="E70" s="21" t="s">
        <v>335</v>
      </c>
      <c r="F70" s="21" t="s">
        <v>336</v>
      </c>
      <c r="G70" s="8" t="str">
        <f t="shared" si="1"/>
        <v>MAGEE KENYA</v>
      </c>
    </row>
    <row r="71" spans="1:7" x14ac:dyDescent="0.25">
      <c r="A71" s="8">
        <v>42733.360023148147</v>
      </c>
      <c r="B71" s="21" t="s">
        <v>448</v>
      </c>
      <c r="C71" s="21" t="s">
        <v>530</v>
      </c>
      <c r="D71" s="160">
        <v>890000</v>
      </c>
      <c r="E71" s="21" t="s">
        <v>498</v>
      </c>
      <c r="F71" s="21" t="s">
        <v>499</v>
      </c>
      <c r="G71" s="8" t="str">
        <f t="shared" si="1"/>
        <v>LOZA FIDEL</v>
      </c>
    </row>
    <row r="72" spans="1:7" x14ac:dyDescent="0.25">
      <c r="A72" s="8">
        <v>42733.361145833333</v>
      </c>
      <c r="B72" s="21" t="s">
        <v>325</v>
      </c>
      <c r="C72" s="21" t="s">
        <v>531</v>
      </c>
      <c r="D72" s="160">
        <v>900000</v>
      </c>
      <c r="E72" s="21" t="s">
        <v>383</v>
      </c>
      <c r="F72" s="21" t="s">
        <v>384</v>
      </c>
      <c r="G72" s="8" t="str">
        <f t="shared" si="1"/>
        <v>ROCHA YAOTL</v>
      </c>
    </row>
    <row r="73" spans="1:7" x14ac:dyDescent="0.25">
      <c r="A73" s="8">
        <v>42733.369479166664</v>
      </c>
      <c r="B73" s="21" t="s">
        <v>261</v>
      </c>
      <c r="C73" s="21" t="s">
        <v>532</v>
      </c>
      <c r="D73" s="160">
        <v>2140000</v>
      </c>
      <c r="E73" s="21" t="s">
        <v>472</v>
      </c>
      <c r="F73" s="21" t="s">
        <v>473</v>
      </c>
      <c r="G73" s="8" t="str">
        <f t="shared" si="1"/>
        <v>ROBINSON KADDIBA</v>
      </c>
    </row>
    <row r="74" spans="1:7" x14ac:dyDescent="0.25">
      <c r="A74" s="8">
        <v>42733.372754629629</v>
      </c>
      <c r="B74" s="21" t="s">
        <v>277</v>
      </c>
      <c r="C74" s="21" t="s">
        <v>533</v>
      </c>
      <c r="D74" s="160">
        <v>1110000</v>
      </c>
      <c r="E74" s="21" t="s">
        <v>490</v>
      </c>
      <c r="F74" s="21" t="s">
        <v>491</v>
      </c>
      <c r="G74" s="8" t="str">
        <f t="shared" si="1"/>
        <v>STARKS ANGELINA</v>
      </c>
    </row>
    <row r="75" spans="1:7" x14ac:dyDescent="0.25">
      <c r="A75" s="8">
        <v>42733.377291666664</v>
      </c>
      <c r="B75" s="21" t="s">
        <v>470</v>
      </c>
      <c r="C75" s="21" t="s">
        <v>534</v>
      </c>
      <c r="D75" s="160">
        <v>2730000</v>
      </c>
      <c r="E75" s="21" t="s">
        <v>296</v>
      </c>
      <c r="F75" s="21" t="s">
        <v>297</v>
      </c>
      <c r="G75" s="8" t="str">
        <f t="shared" si="1"/>
        <v>YANG JAN</v>
      </c>
    </row>
    <row r="76" spans="1:7" x14ac:dyDescent="0.25">
      <c r="A76" s="8">
        <v>42733.380740740744</v>
      </c>
      <c r="B76" s="21" t="s">
        <v>231</v>
      </c>
      <c r="C76" s="21" t="s">
        <v>535</v>
      </c>
      <c r="D76" s="160">
        <v>2100000</v>
      </c>
      <c r="E76" s="21" t="s">
        <v>376</v>
      </c>
      <c r="F76" s="21" t="s">
        <v>377</v>
      </c>
      <c r="G76" s="8" t="str">
        <f t="shared" si="1"/>
        <v>ISHMAEL JOSEPH</v>
      </c>
    </row>
    <row r="77" spans="1:7" x14ac:dyDescent="0.25">
      <c r="A77" s="8">
        <v>42733.381076388891</v>
      </c>
      <c r="B77" s="21" t="s">
        <v>262</v>
      </c>
      <c r="C77" s="21" t="s">
        <v>536</v>
      </c>
      <c r="D77" s="160">
        <v>1830000</v>
      </c>
      <c r="E77" s="21" t="s">
        <v>378</v>
      </c>
      <c r="F77" s="21" t="s">
        <v>379</v>
      </c>
      <c r="G77" s="8" t="str">
        <f t="shared" si="1"/>
        <v>YORK EDGAR</v>
      </c>
    </row>
    <row r="78" spans="1:7" x14ac:dyDescent="0.25">
      <c r="A78" s="8">
        <v>42733.386099537034</v>
      </c>
      <c r="B78" s="21" t="s">
        <v>214</v>
      </c>
      <c r="C78" s="21" t="s">
        <v>537</v>
      </c>
      <c r="D78" s="160">
        <v>890000</v>
      </c>
      <c r="E78" s="21" t="s">
        <v>498</v>
      </c>
      <c r="F78" s="21" t="s">
        <v>499</v>
      </c>
      <c r="G78" s="8" t="str">
        <f t="shared" si="1"/>
        <v>LOZA FIDEL</v>
      </c>
    </row>
    <row r="79" spans="1:7" x14ac:dyDescent="0.25">
      <c r="A79" s="8">
        <v>42733.392685185187</v>
      </c>
      <c r="B79" s="21" t="s">
        <v>212</v>
      </c>
      <c r="C79" s="21" t="s">
        <v>538</v>
      </c>
      <c r="D79" s="160">
        <v>1230000</v>
      </c>
      <c r="E79" s="21" t="s">
        <v>381</v>
      </c>
      <c r="F79" s="21" t="s">
        <v>382</v>
      </c>
      <c r="G79" s="8" t="str">
        <f t="shared" si="1"/>
        <v>YANAI IAN</v>
      </c>
    </row>
    <row r="80" spans="1:7" x14ac:dyDescent="0.25">
      <c r="A80" s="8">
        <v>42733.398495370369</v>
      </c>
      <c r="B80" s="21" t="s">
        <v>324</v>
      </c>
      <c r="C80" s="21" t="s">
        <v>539</v>
      </c>
      <c r="D80" s="160">
        <v>900000</v>
      </c>
      <c r="E80" s="21" t="s">
        <v>383</v>
      </c>
      <c r="F80" s="21" t="s">
        <v>384</v>
      </c>
      <c r="G80" s="8" t="str">
        <f t="shared" si="1"/>
        <v>ROCHA YAOTL</v>
      </c>
    </row>
    <row r="81" spans="1:7" x14ac:dyDescent="0.25">
      <c r="A81" s="8">
        <v>42733.402094907404</v>
      </c>
      <c r="B81" s="21" t="s">
        <v>448</v>
      </c>
      <c r="C81" s="21" t="s">
        <v>540</v>
      </c>
      <c r="D81" s="160">
        <v>890000</v>
      </c>
      <c r="E81" s="21" t="s">
        <v>498</v>
      </c>
      <c r="F81" s="21" t="s">
        <v>499</v>
      </c>
      <c r="G81" s="8" t="str">
        <f t="shared" si="1"/>
        <v>LOZA FIDEL</v>
      </c>
    </row>
    <row r="82" spans="1:7" x14ac:dyDescent="0.25">
      <c r="A82" s="8">
        <v>42733.404074074075</v>
      </c>
      <c r="B82" s="21" t="s">
        <v>225</v>
      </c>
      <c r="C82" s="21" t="s">
        <v>541</v>
      </c>
      <c r="D82" s="160">
        <v>2140000</v>
      </c>
      <c r="E82" s="21" t="s">
        <v>472</v>
      </c>
      <c r="F82" s="21" t="s">
        <v>473</v>
      </c>
      <c r="G82" s="8" t="str">
        <f t="shared" si="1"/>
        <v>ROBINSON KADDIBA</v>
      </c>
    </row>
    <row r="83" spans="1:7" x14ac:dyDescent="0.25">
      <c r="A83" s="8">
        <v>42733.412442129629</v>
      </c>
      <c r="B83" s="21" t="s">
        <v>278</v>
      </c>
      <c r="C83" s="21" t="s">
        <v>542</v>
      </c>
      <c r="D83" s="160">
        <v>1110000</v>
      </c>
      <c r="E83" s="21" t="s">
        <v>490</v>
      </c>
      <c r="F83" s="21" t="s">
        <v>491</v>
      </c>
      <c r="G83" s="8" t="str">
        <f t="shared" si="1"/>
        <v>STARKS ANGELINA</v>
      </c>
    </row>
    <row r="84" spans="1:7" x14ac:dyDescent="0.25">
      <c r="A84" s="8">
        <v>42733.412685185183</v>
      </c>
      <c r="B84" s="21" t="s">
        <v>478</v>
      </c>
      <c r="C84" s="21" t="s">
        <v>543</v>
      </c>
      <c r="D84" s="160">
        <v>2730000</v>
      </c>
      <c r="E84" s="21" t="s">
        <v>296</v>
      </c>
      <c r="F84" s="21" t="s">
        <v>297</v>
      </c>
      <c r="G84" s="8" t="str">
        <f t="shared" si="1"/>
        <v>YANG JAN</v>
      </c>
    </row>
    <row r="85" spans="1:7" x14ac:dyDescent="0.25">
      <c r="A85" s="8">
        <v>42733.414652777778</v>
      </c>
      <c r="B85" s="21" t="s">
        <v>351</v>
      </c>
      <c r="C85" s="21" t="s">
        <v>544</v>
      </c>
      <c r="D85" s="160">
        <v>2100000</v>
      </c>
      <c r="E85" s="21" t="s">
        <v>376</v>
      </c>
      <c r="F85" s="21" t="s">
        <v>377</v>
      </c>
      <c r="G85" s="8" t="str">
        <f t="shared" si="1"/>
        <v>ISHMAEL JOSEPH</v>
      </c>
    </row>
    <row r="86" spans="1:7" x14ac:dyDescent="0.25">
      <c r="A86" s="8">
        <v>42733.422106481485</v>
      </c>
      <c r="B86" s="21" t="s">
        <v>334</v>
      </c>
      <c r="C86" s="21" t="s">
        <v>545</v>
      </c>
      <c r="D86" s="160">
        <v>1230000</v>
      </c>
      <c r="E86" s="21" t="s">
        <v>381</v>
      </c>
      <c r="F86" s="21" t="s">
        <v>382</v>
      </c>
      <c r="G86" s="8" t="str">
        <f t="shared" si="1"/>
        <v>YANAI IAN</v>
      </c>
    </row>
    <row r="87" spans="1:7" x14ac:dyDescent="0.25">
      <c r="A87" s="8">
        <v>42733.423321759263</v>
      </c>
      <c r="B87" s="21" t="s">
        <v>263</v>
      </c>
      <c r="C87" s="21" t="s">
        <v>546</v>
      </c>
      <c r="D87" s="160">
        <v>1830000</v>
      </c>
      <c r="E87" s="21" t="s">
        <v>378</v>
      </c>
      <c r="F87" s="21" t="s">
        <v>379</v>
      </c>
      <c r="G87" s="8" t="str">
        <f t="shared" si="1"/>
        <v>YORK EDGAR</v>
      </c>
    </row>
    <row r="88" spans="1:7" x14ac:dyDescent="0.25">
      <c r="A88" s="8">
        <v>42733.427708333336</v>
      </c>
      <c r="B88" s="21" t="s">
        <v>214</v>
      </c>
      <c r="C88" s="21" t="s">
        <v>547</v>
      </c>
      <c r="D88" s="160">
        <v>2610000</v>
      </c>
      <c r="E88" s="21" t="s">
        <v>335</v>
      </c>
      <c r="F88" s="21" t="s">
        <v>336</v>
      </c>
      <c r="G88" s="8" t="str">
        <f t="shared" si="1"/>
        <v>MAGEE KENYA</v>
      </c>
    </row>
    <row r="89" spans="1:7" x14ac:dyDescent="0.25">
      <c r="A89" s="8">
        <v>42733.435532407406</v>
      </c>
      <c r="B89" s="21" t="s">
        <v>325</v>
      </c>
      <c r="C89" s="21" t="s">
        <v>548</v>
      </c>
      <c r="D89" s="160">
        <v>2020000</v>
      </c>
      <c r="E89" s="21" t="s">
        <v>484</v>
      </c>
      <c r="F89" s="21" t="s">
        <v>380</v>
      </c>
      <c r="G89" s="8" t="str">
        <f t="shared" si="1"/>
        <v>SHOOK JOHN</v>
      </c>
    </row>
    <row r="90" spans="1:7" x14ac:dyDescent="0.25">
      <c r="A90" s="8">
        <v>42733.443310185183</v>
      </c>
      <c r="B90" s="21" t="s">
        <v>261</v>
      </c>
      <c r="C90" s="21" t="s">
        <v>549</v>
      </c>
      <c r="D90" s="160">
        <v>2140000</v>
      </c>
      <c r="E90" s="21" t="s">
        <v>472</v>
      </c>
      <c r="F90" s="21" t="s">
        <v>473</v>
      </c>
      <c r="G90" s="8" t="str">
        <f t="shared" si="1"/>
        <v>ROBINSON KADDIBA</v>
      </c>
    </row>
    <row r="91" spans="1:7" x14ac:dyDescent="0.25">
      <c r="A91" s="8">
        <v>42733.444907407407</v>
      </c>
      <c r="B91" s="21" t="s">
        <v>448</v>
      </c>
      <c r="C91" s="21" t="s">
        <v>550</v>
      </c>
      <c r="D91" s="160">
        <v>2610000</v>
      </c>
      <c r="E91" s="21" t="s">
        <v>335</v>
      </c>
      <c r="F91" s="21" t="s">
        <v>336</v>
      </c>
      <c r="G91" s="8" t="str">
        <f t="shared" si="1"/>
        <v>MAGEE KENYA</v>
      </c>
    </row>
    <row r="92" spans="1:7" x14ac:dyDescent="0.25">
      <c r="A92" s="8">
        <v>42733.446076388886</v>
      </c>
      <c r="B92" s="21" t="s">
        <v>277</v>
      </c>
      <c r="C92" s="21" t="s">
        <v>551</v>
      </c>
      <c r="D92" s="160">
        <v>1110000</v>
      </c>
      <c r="E92" s="21" t="s">
        <v>490</v>
      </c>
      <c r="F92" s="21" t="s">
        <v>491</v>
      </c>
      <c r="G92" s="8" t="str">
        <f t="shared" si="1"/>
        <v>STARKS ANGELINA</v>
      </c>
    </row>
    <row r="93" spans="1:7" x14ac:dyDescent="0.25">
      <c r="A93" s="8">
        <v>42733.449178240742</v>
      </c>
      <c r="B93" s="21" t="s">
        <v>470</v>
      </c>
      <c r="C93" s="21" t="s">
        <v>552</v>
      </c>
      <c r="D93" s="160">
        <v>2730000</v>
      </c>
      <c r="E93" s="21" t="s">
        <v>296</v>
      </c>
      <c r="F93" s="21" t="s">
        <v>297</v>
      </c>
      <c r="G93" s="8" t="str">
        <f t="shared" si="1"/>
        <v>YANG JAN</v>
      </c>
    </row>
    <row r="94" spans="1:7" x14ac:dyDescent="0.25">
      <c r="A94" s="8">
        <v>42733.454375000001</v>
      </c>
      <c r="B94" s="21" t="s">
        <v>262</v>
      </c>
      <c r="C94" s="21" t="s">
        <v>553</v>
      </c>
      <c r="D94" s="160">
        <v>1830000</v>
      </c>
      <c r="E94" s="21" t="s">
        <v>378</v>
      </c>
      <c r="F94" s="21" t="s">
        <v>379</v>
      </c>
      <c r="G94" s="8" t="str">
        <f t="shared" si="1"/>
        <v>YORK EDGAR</v>
      </c>
    </row>
    <row r="95" spans="1:7" x14ac:dyDescent="0.25">
      <c r="A95" s="8">
        <v>42733.454409722224</v>
      </c>
      <c r="B95" s="21" t="s">
        <v>231</v>
      </c>
      <c r="C95" s="21" t="s">
        <v>554</v>
      </c>
      <c r="D95" s="160">
        <v>930000</v>
      </c>
      <c r="E95" s="21" t="s">
        <v>337</v>
      </c>
      <c r="F95" s="21" t="s">
        <v>338</v>
      </c>
      <c r="G95" s="8" t="str">
        <f t="shared" si="1"/>
        <v>CLARK KATHLEEN</v>
      </c>
    </row>
    <row r="96" spans="1:7" x14ac:dyDescent="0.25">
      <c r="A96" s="8">
        <v>42733.457939814813</v>
      </c>
      <c r="B96" s="21" t="s">
        <v>555</v>
      </c>
      <c r="C96" s="21" t="s">
        <v>556</v>
      </c>
      <c r="D96" s="160">
        <v>2230000</v>
      </c>
      <c r="E96" s="21" t="s">
        <v>269</v>
      </c>
      <c r="F96" s="21" t="s">
        <v>256</v>
      </c>
      <c r="G96" s="8" t="str">
        <f t="shared" si="1"/>
        <v>SMITH MICHAEL</v>
      </c>
    </row>
    <row r="97" spans="1:7" x14ac:dyDescent="0.25">
      <c r="A97" s="8">
        <v>42733.459097222221</v>
      </c>
      <c r="B97" s="21" t="s">
        <v>214</v>
      </c>
      <c r="C97" s="21" t="s">
        <v>557</v>
      </c>
      <c r="D97" s="160">
        <v>890000</v>
      </c>
      <c r="E97" s="21" t="s">
        <v>498</v>
      </c>
      <c r="F97" s="21" t="s">
        <v>499</v>
      </c>
      <c r="G97" s="8" t="str">
        <f t="shared" si="1"/>
        <v>LOZA FIDEL</v>
      </c>
    </row>
    <row r="98" spans="1:7" x14ac:dyDescent="0.25">
      <c r="A98" s="8">
        <v>42733.464618055557</v>
      </c>
      <c r="B98" s="21" t="s">
        <v>212</v>
      </c>
      <c r="C98" s="21" t="s">
        <v>558</v>
      </c>
      <c r="D98" s="160">
        <v>2030000</v>
      </c>
      <c r="E98" s="21" t="s">
        <v>559</v>
      </c>
      <c r="F98" s="21" t="s">
        <v>560</v>
      </c>
      <c r="G98" s="8" t="str">
        <f t="shared" si="1"/>
        <v>KILLION DAVID</v>
      </c>
    </row>
    <row r="99" spans="1:7" x14ac:dyDescent="0.25">
      <c r="A99" s="8">
        <v>42733.467129629629</v>
      </c>
      <c r="B99" s="21" t="s">
        <v>324</v>
      </c>
      <c r="C99" s="21" t="s">
        <v>561</v>
      </c>
      <c r="D99" s="160">
        <v>2020000</v>
      </c>
      <c r="E99" s="21" t="s">
        <v>484</v>
      </c>
      <c r="F99" s="21" t="s">
        <v>380</v>
      </c>
      <c r="G99" s="8" t="str">
        <f t="shared" si="1"/>
        <v>SHOOK JOHN</v>
      </c>
    </row>
    <row r="100" spans="1:7" x14ac:dyDescent="0.25">
      <c r="A100" s="8">
        <v>42733.47693287037</v>
      </c>
      <c r="B100" s="21" t="s">
        <v>225</v>
      </c>
      <c r="C100" s="21" t="s">
        <v>562</v>
      </c>
      <c r="D100" s="160">
        <v>1770000</v>
      </c>
      <c r="E100" s="21" t="s">
        <v>385</v>
      </c>
      <c r="F100" s="21" t="s">
        <v>386</v>
      </c>
      <c r="G100" s="8" t="str">
        <f t="shared" si="1"/>
        <v>BRUDER RICHARD</v>
      </c>
    </row>
    <row r="101" spans="1:7" x14ac:dyDescent="0.25">
      <c r="A101" s="8">
        <v>42733.481608796297</v>
      </c>
      <c r="B101" s="21" t="s">
        <v>563</v>
      </c>
      <c r="C101" s="21" t="s">
        <v>564</v>
      </c>
      <c r="D101" s="160">
        <v>2140000</v>
      </c>
      <c r="E101" s="21" t="s">
        <v>472</v>
      </c>
      <c r="F101" s="21" t="s">
        <v>473</v>
      </c>
      <c r="G101" s="8" t="str">
        <f t="shared" si="1"/>
        <v>ROBINSON KADDIBA</v>
      </c>
    </row>
    <row r="102" spans="1:7" x14ac:dyDescent="0.25">
      <c r="A102" s="8">
        <v>42733.484594907408</v>
      </c>
      <c r="B102" s="21" t="s">
        <v>448</v>
      </c>
      <c r="C102" s="21" t="s">
        <v>565</v>
      </c>
      <c r="D102" s="160">
        <v>890000</v>
      </c>
      <c r="E102" s="21" t="s">
        <v>498</v>
      </c>
      <c r="F102" s="21" t="s">
        <v>499</v>
      </c>
      <c r="G102" s="8" t="str">
        <f t="shared" si="1"/>
        <v>LOZA FIDEL</v>
      </c>
    </row>
    <row r="103" spans="1:7" x14ac:dyDescent="0.25">
      <c r="A103" s="8">
        <v>42733.485590277778</v>
      </c>
      <c r="B103" s="21" t="s">
        <v>278</v>
      </c>
      <c r="C103" s="21" t="s">
        <v>566</v>
      </c>
      <c r="D103" s="160">
        <v>1110000</v>
      </c>
      <c r="E103" s="21" t="s">
        <v>490</v>
      </c>
      <c r="F103" s="21" t="s">
        <v>491</v>
      </c>
      <c r="G103" s="8" t="str">
        <f t="shared" si="1"/>
        <v>STARKS ANGELINA</v>
      </c>
    </row>
    <row r="104" spans="1:7" x14ac:dyDescent="0.25">
      <c r="A104" s="8">
        <v>42733.487847222219</v>
      </c>
      <c r="B104" s="21" t="s">
        <v>478</v>
      </c>
      <c r="C104" s="21" t="s">
        <v>567</v>
      </c>
      <c r="D104" s="160">
        <v>2230000</v>
      </c>
      <c r="E104" s="21" t="s">
        <v>269</v>
      </c>
      <c r="F104" s="21" t="s">
        <v>256</v>
      </c>
      <c r="G104" s="8" t="str">
        <f t="shared" si="1"/>
        <v>SMITH MICHAEL</v>
      </c>
    </row>
    <row r="105" spans="1:7" x14ac:dyDescent="0.25">
      <c r="A105" s="8">
        <v>42733.49287037037</v>
      </c>
      <c r="B105" s="21" t="s">
        <v>351</v>
      </c>
      <c r="C105" s="21" t="s">
        <v>568</v>
      </c>
      <c r="D105" s="160">
        <v>930000</v>
      </c>
      <c r="E105" s="21" t="s">
        <v>337</v>
      </c>
      <c r="F105" s="21" t="s">
        <v>338</v>
      </c>
      <c r="G105" s="8" t="str">
        <f t="shared" si="1"/>
        <v>CLARK KATHLEEN</v>
      </c>
    </row>
    <row r="106" spans="1:7" x14ac:dyDescent="0.25">
      <c r="A106" s="8">
        <v>42733.497800925928</v>
      </c>
      <c r="B106" s="21" t="s">
        <v>263</v>
      </c>
      <c r="C106" s="21" t="s">
        <v>569</v>
      </c>
      <c r="D106" s="160">
        <v>2260000</v>
      </c>
      <c r="E106" s="21" t="s">
        <v>570</v>
      </c>
      <c r="F106" s="21" t="s">
        <v>571</v>
      </c>
      <c r="G106" s="8" t="str">
        <f t="shared" si="1"/>
        <v>ARVIDSON DANIEL</v>
      </c>
    </row>
    <row r="107" spans="1:7" x14ac:dyDescent="0.25">
      <c r="A107" s="8">
        <v>42733.501932870371</v>
      </c>
      <c r="B107" s="21" t="s">
        <v>334</v>
      </c>
      <c r="C107" s="21" t="s">
        <v>439</v>
      </c>
      <c r="D107" s="160">
        <v>2030000</v>
      </c>
      <c r="E107" s="21" t="s">
        <v>559</v>
      </c>
      <c r="F107" s="21" t="s">
        <v>560</v>
      </c>
      <c r="G107" s="8" t="str">
        <f t="shared" si="1"/>
        <v>KILLION DAVID</v>
      </c>
    </row>
    <row r="108" spans="1:7" x14ac:dyDescent="0.25">
      <c r="A108" s="8">
        <v>42733.508194444446</v>
      </c>
      <c r="B108" s="21" t="s">
        <v>325</v>
      </c>
      <c r="C108" s="21" t="s">
        <v>572</v>
      </c>
      <c r="D108" s="160">
        <v>1760000</v>
      </c>
      <c r="E108" s="21" t="s">
        <v>573</v>
      </c>
      <c r="F108" s="21" t="s">
        <v>574</v>
      </c>
      <c r="G108" s="8" t="str">
        <f t="shared" si="1"/>
        <v>STRICKLAND EVAN</v>
      </c>
    </row>
    <row r="109" spans="1:7" x14ac:dyDescent="0.25">
      <c r="A109" s="8">
        <v>42733.511134259257</v>
      </c>
      <c r="B109" s="21" t="s">
        <v>214</v>
      </c>
      <c r="C109" s="21" t="s">
        <v>575</v>
      </c>
      <c r="D109" s="160">
        <v>890000</v>
      </c>
      <c r="E109" s="21" t="s">
        <v>498</v>
      </c>
      <c r="F109" s="21" t="s">
        <v>499</v>
      </c>
      <c r="G109" s="8" t="str">
        <f t="shared" si="1"/>
        <v>LOZA FIDEL</v>
      </c>
    </row>
    <row r="110" spans="1:7" x14ac:dyDescent="0.25">
      <c r="A110" s="8">
        <v>42733.512881944444</v>
      </c>
      <c r="B110" s="21" t="s">
        <v>261</v>
      </c>
      <c r="C110" s="21" t="s">
        <v>576</v>
      </c>
      <c r="D110" s="160">
        <v>1770000</v>
      </c>
      <c r="E110" s="21" t="s">
        <v>385</v>
      </c>
      <c r="F110" s="21" t="s">
        <v>386</v>
      </c>
      <c r="G110" s="8" t="str">
        <f t="shared" si="1"/>
        <v>BRUDER RICHARD</v>
      </c>
    </row>
    <row r="111" spans="1:7" x14ac:dyDescent="0.25">
      <c r="A111" s="8">
        <v>42733.518784722219</v>
      </c>
      <c r="B111" s="21" t="s">
        <v>277</v>
      </c>
      <c r="C111" s="21" t="s">
        <v>577</v>
      </c>
      <c r="D111" s="160">
        <v>1190000</v>
      </c>
      <c r="E111" s="21" t="s">
        <v>352</v>
      </c>
      <c r="F111" s="21" t="s">
        <v>353</v>
      </c>
      <c r="G111" s="8" t="str">
        <f t="shared" si="1"/>
        <v>BRANNON JEFFREY</v>
      </c>
    </row>
    <row r="112" spans="1:7" x14ac:dyDescent="0.25">
      <c r="A112" s="8">
        <v>42733.521574074075</v>
      </c>
      <c r="B112" s="21" t="s">
        <v>470</v>
      </c>
      <c r="C112" s="21" t="s">
        <v>578</v>
      </c>
      <c r="D112" s="160">
        <v>2230000</v>
      </c>
      <c r="E112" s="21" t="s">
        <v>269</v>
      </c>
      <c r="F112" s="21" t="s">
        <v>256</v>
      </c>
      <c r="G112" s="8" t="str">
        <f t="shared" si="1"/>
        <v>SMITH MICHAEL</v>
      </c>
    </row>
    <row r="113" spans="1:7" x14ac:dyDescent="0.25">
      <c r="A113" s="8">
        <v>42733.526435185187</v>
      </c>
      <c r="B113" s="21" t="s">
        <v>448</v>
      </c>
      <c r="C113" s="21" t="s">
        <v>579</v>
      </c>
      <c r="D113" s="160">
        <v>890000</v>
      </c>
      <c r="E113" s="21" t="s">
        <v>498</v>
      </c>
      <c r="F113" s="21" t="s">
        <v>499</v>
      </c>
      <c r="G113" s="8" t="str">
        <f t="shared" si="1"/>
        <v>LOZA FIDEL</v>
      </c>
    </row>
    <row r="114" spans="1:7" x14ac:dyDescent="0.25">
      <c r="A114" s="8">
        <v>42733.52853009259</v>
      </c>
      <c r="B114" s="21" t="s">
        <v>231</v>
      </c>
      <c r="C114" s="21" t="s">
        <v>580</v>
      </c>
      <c r="D114" s="160">
        <v>930000</v>
      </c>
      <c r="E114" s="21" t="s">
        <v>337</v>
      </c>
      <c r="F114" s="21" t="s">
        <v>338</v>
      </c>
      <c r="G114" s="8" t="str">
        <f t="shared" si="1"/>
        <v>CLARK KATHLEEN</v>
      </c>
    </row>
    <row r="115" spans="1:7" x14ac:dyDescent="0.25">
      <c r="A115" s="8">
        <v>42733.536319444444</v>
      </c>
      <c r="B115" s="21" t="s">
        <v>262</v>
      </c>
      <c r="C115" s="21" t="s">
        <v>581</v>
      </c>
      <c r="D115" s="160">
        <v>2260000</v>
      </c>
      <c r="E115" s="21" t="s">
        <v>570</v>
      </c>
      <c r="F115" s="21" t="s">
        <v>571</v>
      </c>
      <c r="G115" s="8" t="str">
        <f t="shared" si="1"/>
        <v>ARVIDSON DANIEL</v>
      </c>
    </row>
    <row r="116" spans="1:7" x14ac:dyDescent="0.25">
      <c r="A116" s="8">
        <v>42733.538032407407</v>
      </c>
      <c r="B116" s="21" t="s">
        <v>212</v>
      </c>
      <c r="C116" s="21" t="s">
        <v>582</v>
      </c>
      <c r="D116" s="160">
        <v>2030000</v>
      </c>
      <c r="E116" s="21" t="s">
        <v>559</v>
      </c>
      <c r="F116" s="21" t="s">
        <v>560</v>
      </c>
      <c r="G116" s="8" t="str">
        <f t="shared" si="1"/>
        <v>KILLION DAVID</v>
      </c>
    </row>
    <row r="117" spans="1:7" x14ac:dyDescent="0.25">
      <c r="A117" s="8">
        <v>42733.541435185187</v>
      </c>
      <c r="B117" s="21" t="s">
        <v>324</v>
      </c>
      <c r="C117" s="21" t="s">
        <v>442</v>
      </c>
      <c r="D117" s="160">
        <v>1760000</v>
      </c>
      <c r="E117" s="21" t="s">
        <v>573</v>
      </c>
      <c r="F117" s="21" t="s">
        <v>574</v>
      </c>
      <c r="G117" s="8" t="str">
        <f t="shared" si="1"/>
        <v>STRICKLAND EVAN</v>
      </c>
    </row>
    <row r="118" spans="1:7" x14ac:dyDescent="0.25">
      <c r="A118" s="8">
        <v>42733.545034722221</v>
      </c>
      <c r="B118" s="21" t="s">
        <v>214</v>
      </c>
      <c r="C118" s="21" t="s">
        <v>440</v>
      </c>
      <c r="D118" s="160">
        <v>2710000</v>
      </c>
      <c r="E118" s="21" t="s">
        <v>339</v>
      </c>
      <c r="F118" s="21" t="s">
        <v>340</v>
      </c>
      <c r="G118" s="8" t="str">
        <f t="shared" si="1"/>
        <v>SIMMONS SHYHESHA</v>
      </c>
    </row>
    <row r="119" spans="1:7" x14ac:dyDescent="0.25">
      <c r="A119" s="8">
        <v>42733.547905092593</v>
      </c>
      <c r="B119" s="21" t="s">
        <v>225</v>
      </c>
      <c r="C119" s="21" t="s">
        <v>583</v>
      </c>
      <c r="D119" s="160">
        <v>1770000</v>
      </c>
      <c r="E119" s="21" t="s">
        <v>385</v>
      </c>
      <c r="F119" s="21" t="s">
        <v>386</v>
      </c>
      <c r="G119" s="8" t="str">
        <f t="shared" si="1"/>
        <v>BRUDER RICHARD</v>
      </c>
    </row>
    <row r="120" spans="1:7" x14ac:dyDescent="0.25">
      <c r="A120" s="8">
        <v>42733.550925925927</v>
      </c>
      <c r="B120" s="21" t="s">
        <v>278</v>
      </c>
      <c r="C120" s="21" t="s">
        <v>441</v>
      </c>
      <c r="D120" s="160">
        <v>1190000</v>
      </c>
      <c r="E120" s="21" t="s">
        <v>352</v>
      </c>
      <c r="F120" s="21" t="s">
        <v>353</v>
      </c>
      <c r="G120" s="8" t="str">
        <f t="shared" si="1"/>
        <v>BRANNON JEFFREY</v>
      </c>
    </row>
    <row r="121" spans="1:7" x14ac:dyDescent="0.25">
      <c r="A121" s="8">
        <v>42733.560393518521</v>
      </c>
      <c r="B121" s="21" t="s">
        <v>478</v>
      </c>
      <c r="C121" s="21" t="s">
        <v>584</v>
      </c>
      <c r="D121" s="160">
        <v>2230000</v>
      </c>
      <c r="E121" s="21" t="s">
        <v>269</v>
      </c>
      <c r="F121" s="21" t="s">
        <v>256</v>
      </c>
      <c r="G121" s="8" t="str">
        <f t="shared" si="1"/>
        <v>SMITH MICHAEL</v>
      </c>
    </row>
    <row r="122" spans="1:7" x14ac:dyDescent="0.25">
      <c r="A122" s="8">
        <v>42733.565393518518</v>
      </c>
      <c r="B122" s="26" t="s">
        <v>351</v>
      </c>
      <c r="C122" s="21" t="s">
        <v>585</v>
      </c>
      <c r="D122" s="160">
        <v>930000</v>
      </c>
      <c r="E122" s="21" t="s">
        <v>337</v>
      </c>
      <c r="F122" s="21" t="s">
        <v>338</v>
      </c>
      <c r="G122" s="8" t="str">
        <f t="shared" si="1"/>
        <v>CLARK KATHLEEN</v>
      </c>
    </row>
    <row r="123" spans="1:7" x14ac:dyDescent="0.25">
      <c r="A123" s="8">
        <v>42733.568773148145</v>
      </c>
      <c r="B123" s="21" t="s">
        <v>448</v>
      </c>
      <c r="C123" s="21" t="s">
        <v>586</v>
      </c>
      <c r="D123" s="160">
        <v>2710000</v>
      </c>
      <c r="E123" s="21" t="s">
        <v>339</v>
      </c>
      <c r="F123" s="21" t="s">
        <v>340</v>
      </c>
      <c r="G123" s="8" t="str">
        <f t="shared" si="1"/>
        <v>SIMMONS SHYHESHA</v>
      </c>
    </row>
    <row r="124" spans="1:7" x14ac:dyDescent="0.25">
      <c r="A124" s="8">
        <v>42733.570590277777</v>
      </c>
      <c r="B124" s="21" t="s">
        <v>263</v>
      </c>
      <c r="C124" s="21" t="s">
        <v>587</v>
      </c>
      <c r="D124" s="160">
        <v>2260000</v>
      </c>
      <c r="E124" s="21" t="s">
        <v>570</v>
      </c>
      <c r="F124" s="21" t="s">
        <v>571</v>
      </c>
      <c r="G124" s="8" t="str">
        <f t="shared" si="1"/>
        <v>ARVIDSON DANIEL</v>
      </c>
    </row>
    <row r="125" spans="1:7" x14ac:dyDescent="0.25">
      <c r="A125" s="8">
        <v>42733.573263888888</v>
      </c>
      <c r="B125" s="21" t="s">
        <v>334</v>
      </c>
      <c r="C125" s="21" t="s">
        <v>443</v>
      </c>
      <c r="D125" s="160">
        <v>2030000</v>
      </c>
      <c r="E125" s="21" t="s">
        <v>559</v>
      </c>
      <c r="F125" s="21" t="s">
        <v>560</v>
      </c>
      <c r="G125" s="8" t="str">
        <f t="shared" si="1"/>
        <v>KILLION DAVID</v>
      </c>
    </row>
    <row r="126" spans="1:7" x14ac:dyDescent="0.25">
      <c r="A126" s="8">
        <v>42733.580590277779</v>
      </c>
      <c r="B126" s="21" t="s">
        <v>325</v>
      </c>
      <c r="C126" s="21" t="s">
        <v>588</v>
      </c>
      <c r="D126" s="160">
        <v>1760000</v>
      </c>
      <c r="E126" s="21" t="s">
        <v>573</v>
      </c>
      <c r="F126" s="21" t="s">
        <v>574</v>
      </c>
      <c r="G126" s="8" t="str">
        <f t="shared" si="1"/>
        <v>STRICKLAND EVAN</v>
      </c>
    </row>
    <row r="127" spans="1:7" x14ac:dyDescent="0.25">
      <c r="A127" s="8">
        <v>42733.586597222224</v>
      </c>
      <c r="B127" s="21" t="s">
        <v>261</v>
      </c>
      <c r="C127" s="21" t="s">
        <v>589</v>
      </c>
      <c r="D127" s="160">
        <v>1770000</v>
      </c>
      <c r="E127" s="21" t="s">
        <v>385</v>
      </c>
      <c r="F127" s="21" t="s">
        <v>386</v>
      </c>
      <c r="G127" s="8" t="str">
        <f t="shared" si="1"/>
        <v>BRUDER RICHARD</v>
      </c>
    </row>
    <row r="128" spans="1:7" x14ac:dyDescent="0.25">
      <c r="A128" s="8">
        <v>42733.589189814818</v>
      </c>
      <c r="B128" s="21" t="s">
        <v>214</v>
      </c>
      <c r="C128" s="21" t="s">
        <v>444</v>
      </c>
      <c r="D128" s="160">
        <v>2710000</v>
      </c>
      <c r="E128" s="21" t="s">
        <v>339</v>
      </c>
      <c r="F128" s="21" t="s">
        <v>340</v>
      </c>
      <c r="G128" s="8" t="str">
        <f t="shared" si="1"/>
        <v>SIMMONS SHYHESHA</v>
      </c>
    </row>
    <row r="129" spans="1:7" x14ac:dyDescent="0.25">
      <c r="A129" s="8">
        <v>42733.592199074075</v>
      </c>
      <c r="B129" s="21" t="s">
        <v>277</v>
      </c>
      <c r="C129" s="21" t="s">
        <v>590</v>
      </c>
      <c r="D129" s="160">
        <v>1190000</v>
      </c>
      <c r="E129" s="21" t="s">
        <v>352</v>
      </c>
      <c r="F129" s="21" t="s">
        <v>353</v>
      </c>
      <c r="G129" s="8" t="str">
        <f t="shared" si="1"/>
        <v>BRANNON JEFFREY</v>
      </c>
    </row>
    <row r="130" spans="1:7" x14ac:dyDescent="0.25">
      <c r="A130" s="8">
        <v>42733.593333333331</v>
      </c>
      <c r="B130" s="21" t="s">
        <v>470</v>
      </c>
      <c r="C130" s="21" t="s">
        <v>591</v>
      </c>
      <c r="D130" s="160">
        <v>2230000</v>
      </c>
      <c r="E130" s="21" t="s">
        <v>269</v>
      </c>
      <c r="F130" s="21" t="s">
        <v>256</v>
      </c>
      <c r="G130" s="8" t="str">
        <f t="shared" si="1"/>
        <v>SMITH MICHAEL</v>
      </c>
    </row>
    <row r="131" spans="1:7" x14ac:dyDescent="0.25">
      <c r="A131" s="8">
        <v>42733.60361111111</v>
      </c>
      <c r="B131" s="21" t="s">
        <v>231</v>
      </c>
      <c r="C131" s="21" t="s">
        <v>592</v>
      </c>
      <c r="D131" s="160">
        <v>930000</v>
      </c>
      <c r="E131" s="21" t="s">
        <v>337</v>
      </c>
      <c r="F131" s="21" t="s">
        <v>338</v>
      </c>
      <c r="G131" s="8" t="str">
        <f t="shared" ref="G131:G194" si="2">E131&amp;" "&amp;F131</f>
        <v>CLARK KATHLEEN</v>
      </c>
    </row>
    <row r="132" spans="1:7" x14ac:dyDescent="0.25">
      <c r="A132" s="8">
        <v>42733.608275462961</v>
      </c>
      <c r="B132" s="21" t="s">
        <v>262</v>
      </c>
      <c r="C132" s="21" t="s">
        <v>593</v>
      </c>
      <c r="D132" s="160">
        <v>2260000</v>
      </c>
      <c r="E132" s="21" t="s">
        <v>570</v>
      </c>
      <c r="F132" s="21" t="s">
        <v>571</v>
      </c>
      <c r="G132" s="8" t="str">
        <f t="shared" si="2"/>
        <v>ARVIDSON DANIEL</v>
      </c>
    </row>
    <row r="133" spans="1:7" x14ac:dyDescent="0.25">
      <c r="A133" s="8">
        <v>42733.61</v>
      </c>
      <c r="B133" s="21" t="s">
        <v>448</v>
      </c>
      <c r="C133" s="21" t="s">
        <v>594</v>
      </c>
      <c r="D133" s="160">
        <v>2710000</v>
      </c>
      <c r="E133" s="21" t="s">
        <v>339</v>
      </c>
      <c r="F133" s="21" t="s">
        <v>340</v>
      </c>
      <c r="G133" s="8" t="str">
        <f t="shared" si="2"/>
        <v>SIMMONS SHYHESHA</v>
      </c>
    </row>
    <row r="134" spans="1:7" x14ac:dyDescent="0.25">
      <c r="A134" s="8">
        <v>42733.61209490741</v>
      </c>
      <c r="B134" s="21" t="s">
        <v>324</v>
      </c>
      <c r="C134" s="21" t="s">
        <v>595</v>
      </c>
      <c r="D134" s="160">
        <v>1760000</v>
      </c>
      <c r="E134" s="21" t="s">
        <v>573</v>
      </c>
      <c r="F134" s="21" t="s">
        <v>574</v>
      </c>
      <c r="G134" s="8" t="str">
        <f t="shared" si="2"/>
        <v>STRICKLAND EVAN</v>
      </c>
    </row>
    <row r="135" spans="1:7" x14ac:dyDescent="0.25">
      <c r="A135" s="8">
        <v>42733.613275462965</v>
      </c>
      <c r="B135" s="21" t="s">
        <v>212</v>
      </c>
      <c r="C135" s="21" t="s">
        <v>596</v>
      </c>
      <c r="D135" s="160">
        <v>2030000</v>
      </c>
      <c r="E135" s="21" t="s">
        <v>559</v>
      </c>
      <c r="F135" s="21" t="s">
        <v>560</v>
      </c>
      <c r="G135" s="8" t="str">
        <f t="shared" si="2"/>
        <v>KILLION DAVID</v>
      </c>
    </row>
    <row r="136" spans="1:7" x14ac:dyDescent="0.25">
      <c r="A136" s="8">
        <v>42733.621365740742</v>
      </c>
      <c r="B136" s="21" t="s">
        <v>225</v>
      </c>
      <c r="C136" s="21" t="s">
        <v>597</v>
      </c>
      <c r="D136" s="160">
        <v>1770000</v>
      </c>
      <c r="E136" s="21" t="s">
        <v>385</v>
      </c>
      <c r="F136" s="21" t="s">
        <v>386</v>
      </c>
      <c r="G136" s="8" t="str">
        <f t="shared" si="2"/>
        <v>BRUDER RICHARD</v>
      </c>
    </row>
    <row r="137" spans="1:7" x14ac:dyDescent="0.25">
      <c r="A137" s="8">
        <v>42733.624722222223</v>
      </c>
      <c r="B137" s="21" t="s">
        <v>278</v>
      </c>
      <c r="C137" s="21" t="s">
        <v>598</v>
      </c>
      <c r="D137" s="160">
        <v>1190000</v>
      </c>
      <c r="E137" s="21" t="s">
        <v>352</v>
      </c>
      <c r="F137" s="21" t="s">
        <v>353</v>
      </c>
      <c r="G137" s="8" t="str">
        <f t="shared" si="2"/>
        <v>BRANNON JEFFREY</v>
      </c>
    </row>
    <row r="138" spans="1:7" x14ac:dyDescent="0.25">
      <c r="A138" s="8">
        <v>42733.626736111109</v>
      </c>
      <c r="B138" s="21" t="s">
        <v>214</v>
      </c>
      <c r="C138" s="21" t="s">
        <v>599</v>
      </c>
      <c r="D138" s="160">
        <v>2710000</v>
      </c>
      <c r="E138" s="21" t="s">
        <v>339</v>
      </c>
      <c r="F138" s="21" t="s">
        <v>340</v>
      </c>
      <c r="G138" s="8" t="str">
        <f t="shared" si="2"/>
        <v>SIMMONS SHYHESHA</v>
      </c>
    </row>
    <row r="139" spans="1:7" x14ac:dyDescent="0.25">
      <c r="A139" s="8">
        <v>42733.632974537039</v>
      </c>
      <c r="B139" s="21" t="s">
        <v>478</v>
      </c>
      <c r="C139" s="21" t="s">
        <v>600</v>
      </c>
      <c r="D139" s="160">
        <v>2230000</v>
      </c>
      <c r="E139" s="21" t="s">
        <v>269</v>
      </c>
      <c r="F139" s="21" t="s">
        <v>256</v>
      </c>
      <c r="G139" s="8" t="str">
        <f t="shared" si="2"/>
        <v>SMITH MICHAEL</v>
      </c>
    </row>
    <row r="140" spans="1:7" x14ac:dyDescent="0.25">
      <c r="A140" s="8">
        <v>42733.638368055559</v>
      </c>
      <c r="B140" s="21" t="s">
        <v>351</v>
      </c>
      <c r="C140" s="21" t="s">
        <v>601</v>
      </c>
      <c r="D140" s="160">
        <v>930000</v>
      </c>
      <c r="E140" s="21" t="s">
        <v>337</v>
      </c>
      <c r="F140" s="21" t="s">
        <v>338</v>
      </c>
      <c r="G140" s="8" t="str">
        <f t="shared" si="2"/>
        <v>CLARK KATHLEEN</v>
      </c>
    </row>
    <row r="141" spans="1:7" x14ac:dyDescent="0.25">
      <c r="A141" s="8">
        <v>42733.645416666666</v>
      </c>
      <c r="B141" s="21" t="s">
        <v>263</v>
      </c>
      <c r="C141" s="21" t="s">
        <v>602</v>
      </c>
      <c r="D141" s="160">
        <v>2260000</v>
      </c>
      <c r="E141" s="21" t="s">
        <v>570</v>
      </c>
      <c r="F141" s="21" t="s">
        <v>571</v>
      </c>
      <c r="G141" s="8" t="str">
        <f t="shared" si="2"/>
        <v>ARVIDSON DANIEL</v>
      </c>
    </row>
    <row r="142" spans="1:7" x14ac:dyDescent="0.25">
      <c r="A142" s="8">
        <v>42733.646562499998</v>
      </c>
      <c r="B142" s="21" t="s">
        <v>373</v>
      </c>
      <c r="C142" s="21" t="s">
        <v>445</v>
      </c>
      <c r="D142" s="160">
        <v>2720000</v>
      </c>
      <c r="E142" s="21" t="s">
        <v>341</v>
      </c>
      <c r="F142" s="21" t="s">
        <v>342</v>
      </c>
      <c r="G142" s="8" t="str">
        <f t="shared" si="2"/>
        <v>SIMONEAUX TERA</v>
      </c>
    </row>
    <row r="143" spans="1:7" x14ac:dyDescent="0.25">
      <c r="A143" s="8">
        <v>42733.647581018522</v>
      </c>
      <c r="B143" s="21" t="s">
        <v>373</v>
      </c>
      <c r="C143" s="21" t="s">
        <v>445</v>
      </c>
      <c r="D143" s="160">
        <v>2720000</v>
      </c>
      <c r="E143" s="21" t="s">
        <v>341</v>
      </c>
      <c r="F143" s="21" t="s">
        <v>342</v>
      </c>
      <c r="G143" s="8" t="str">
        <f t="shared" si="2"/>
        <v>SIMONEAUX TERA</v>
      </c>
    </row>
    <row r="144" spans="1:7" x14ac:dyDescent="0.25">
      <c r="A144" s="8">
        <v>42733.650578703702</v>
      </c>
      <c r="B144" s="21" t="s">
        <v>334</v>
      </c>
      <c r="C144" s="21" t="s">
        <v>603</v>
      </c>
      <c r="D144" s="160">
        <v>2030000</v>
      </c>
      <c r="E144" s="21" t="s">
        <v>559</v>
      </c>
      <c r="F144" s="21" t="s">
        <v>560</v>
      </c>
      <c r="G144" s="8" t="str">
        <f t="shared" si="2"/>
        <v>KILLION DAVID</v>
      </c>
    </row>
    <row r="145" spans="1:7" x14ac:dyDescent="0.25">
      <c r="A145" s="8">
        <v>42733.651990740742</v>
      </c>
      <c r="B145" s="21" t="s">
        <v>448</v>
      </c>
      <c r="C145" s="21" t="s">
        <v>604</v>
      </c>
      <c r="D145" s="160">
        <v>2710000</v>
      </c>
      <c r="E145" s="21" t="s">
        <v>339</v>
      </c>
      <c r="F145" s="21" t="s">
        <v>340</v>
      </c>
      <c r="G145" s="8" t="str">
        <f t="shared" si="2"/>
        <v>SIMMONS SHYHESHA</v>
      </c>
    </row>
    <row r="146" spans="1:7" x14ac:dyDescent="0.25">
      <c r="A146" s="8">
        <v>42733.654803240737</v>
      </c>
      <c r="B146" s="21" t="s">
        <v>325</v>
      </c>
      <c r="C146" s="21" t="s">
        <v>605</v>
      </c>
      <c r="D146" s="160">
        <v>1760000</v>
      </c>
      <c r="E146" s="21" t="s">
        <v>573</v>
      </c>
      <c r="F146" s="21" t="s">
        <v>574</v>
      </c>
      <c r="G146" s="8" t="str">
        <f t="shared" si="2"/>
        <v>STRICKLAND EVAN</v>
      </c>
    </row>
    <row r="147" spans="1:7" x14ac:dyDescent="0.25">
      <c r="A147" s="8">
        <v>42733.657037037039</v>
      </c>
      <c r="B147" s="21" t="s">
        <v>261</v>
      </c>
      <c r="C147" s="21" t="s">
        <v>606</v>
      </c>
      <c r="D147" s="160">
        <v>1770000</v>
      </c>
      <c r="E147" s="21" t="s">
        <v>385</v>
      </c>
      <c r="F147" s="21" t="s">
        <v>386</v>
      </c>
      <c r="G147" s="8" t="str">
        <f t="shared" si="2"/>
        <v>BRUDER RICHARD</v>
      </c>
    </row>
    <row r="148" spans="1:7" x14ac:dyDescent="0.25">
      <c r="A148" s="8">
        <v>42733.658807870372</v>
      </c>
      <c r="B148" s="21" t="s">
        <v>375</v>
      </c>
      <c r="C148" s="21" t="s">
        <v>446</v>
      </c>
      <c r="D148" s="160">
        <v>2720000</v>
      </c>
      <c r="E148" s="21" t="s">
        <v>341</v>
      </c>
      <c r="F148" s="21" t="s">
        <v>342</v>
      </c>
      <c r="G148" s="8" t="str">
        <f t="shared" si="2"/>
        <v>SIMONEAUX TERA</v>
      </c>
    </row>
    <row r="149" spans="1:7" x14ac:dyDescent="0.25">
      <c r="A149" s="8">
        <v>42733.662557870368</v>
      </c>
      <c r="B149" s="21" t="s">
        <v>277</v>
      </c>
      <c r="C149" s="21" t="s">
        <v>607</v>
      </c>
      <c r="D149" s="160">
        <v>1190000</v>
      </c>
      <c r="E149" s="21" t="s">
        <v>352</v>
      </c>
      <c r="F149" s="21" t="s">
        <v>353</v>
      </c>
      <c r="G149" s="8" t="str">
        <f t="shared" si="2"/>
        <v>BRANNON JEFFREY</v>
      </c>
    </row>
    <row r="150" spans="1:7" x14ac:dyDescent="0.25">
      <c r="A150" s="8">
        <v>42733.667094907411</v>
      </c>
      <c r="B150" s="21" t="s">
        <v>470</v>
      </c>
      <c r="C150" s="21" t="s">
        <v>608</v>
      </c>
      <c r="D150" s="160">
        <v>2230000</v>
      </c>
      <c r="E150" s="21" t="s">
        <v>269</v>
      </c>
      <c r="F150" s="21" t="s">
        <v>256</v>
      </c>
      <c r="G150" s="8" t="str">
        <f t="shared" si="2"/>
        <v>SMITH MICHAEL</v>
      </c>
    </row>
    <row r="151" spans="1:7" x14ac:dyDescent="0.25">
      <c r="A151" s="8">
        <v>42733.674224537041</v>
      </c>
      <c r="B151" s="21" t="s">
        <v>373</v>
      </c>
      <c r="C151" s="21" t="s">
        <v>447</v>
      </c>
      <c r="D151" s="160">
        <v>2720000</v>
      </c>
      <c r="E151" s="21" t="s">
        <v>341</v>
      </c>
      <c r="F151" s="21" t="s">
        <v>342</v>
      </c>
      <c r="G151" s="8" t="str">
        <f t="shared" si="2"/>
        <v>SIMONEAUX TERA</v>
      </c>
    </row>
    <row r="152" spans="1:7" x14ac:dyDescent="0.25">
      <c r="A152" s="8">
        <v>42733.67491898148</v>
      </c>
      <c r="B152" s="21" t="s">
        <v>231</v>
      </c>
      <c r="C152" s="21" t="s">
        <v>609</v>
      </c>
      <c r="D152" s="160">
        <v>930000</v>
      </c>
      <c r="E152" s="21" t="s">
        <v>337</v>
      </c>
      <c r="F152" s="21" t="s">
        <v>338</v>
      </c>
      <c r="G152" s="8" t="str">
        <f t="shared" si="2"/>
        <v>CLARK KATHLEEN</v>
      </c>
    </row>
    <row r="153" spans="1:7" x14ac:dyDescent="0.25">
      <c r="A153" s="8">
        <v>42733.677858796298</v>
      </c>
      <c r="B153" s="21" t="s">
        <v>214</v>
      </c>
      <c r="C153" s="21" t="s">
        <v>610</v>
      </c>
      <c r="D153" s="160">
        <v>2710000</v>
      </c>
      <c r="E153" s="21" t="s">
        <v>339</v>
      </c>
      <c r="F153" s="21" t="s">
        <v>340</v>
      </c>
      <c r="G153" s="8" t="str">
        <f t="shared" si="2"/>
        <v>SIMMONS SHYHESHA</v>
      </c>
    </row>
    <row r="154" spans="1:7" x14ac:dyDescent="0.25">
      <c r="A154" s="8">
        <v>42733.680405092593</v>
      </c>
      <c r="B154" s="21" t="s">
        <v>262</v>
      </c>
      <c r="C154" s="21" t="s">
        <v>450</v>
      </c>
      <c r="D154" s="160">
        <v>2260000</v>
      </c>
      <c r="E154" s="21" t="s">
        <v>570</v>
      </c>
      <c r="F154" s="21" t="s">
        <v>571</v>
      </c>
      <c r="G154" s="8" t="str">
        <f t="shared" si="2"/>
        <v>ARVIDSON DANIEL</v>
      </c>
    </row>
    <row r="155" spans="1:7" x14ac:dyDescent="0.25">
      <c r="A155" s="8">
        <v>42733.684270833335</v>
      </c>
      <c r="B155" s="21" t="s">
        <v>212</v>
      </c>
      <c r="C155" s="21" t="s">
        <v>611</v>
      </c>
      <c r="D155" s="160">
        <v>2030000</v>
      </c>
      <c r="E155" s="21" t="s">
        <v>559</v>
      </c>
      <c r="F155" s="21" t="s">
        <v>560</v>
      </c>
      <c r="G155" s="8" t="str">
        <f t="shared" si="2"/>
        <v>KILLION DAVID</v>
      </c>
    </row>
    <row r="156" spans="1:7" x14ac:dyDescent="0.25">
      <c r="A156" s="8">
        <v>42733.685532407406</v>
      </c>
      <c r="B156" s="21" t="s">
        <v>324</v>
      </c>
      <c r="C156" s="21" t="s">
        <v>612</v>
      </c>
      <c r="D156" s="160">
        <v>1760000</v>
      </c>
      <c r="E156" s="21" t="s">
        <v>573</v>
      </c>
      <c r="F156" s="21" t="s">
        <v>574</v>
      </c>
      <c r="G156" s="8" t="str">
        <f t="shared" si="2"/>
        <v>STRICKLAND EVAN</v>
      </c>
    </row>
    <row r="157" spans="1:7" x14ac:dyDescent="0.25">
      <c r="A157" s="8">
        <v>42733.693888888891</v>
      </c>
      <c r="B157" s="21" t="s">
        <v>448</v>
      </c>
      <c r="C157" s="21" t="s">
        <v>449</v>
      </c>
      <c r="D157" s="160">
        <v>2710000</v>
      </c>
      <c r="E157" s="21" t="s">
        <v>339</v>
      </c>
      <c r="F157" s="21" t="s">
        <v>340</v>
      </c>
      <c r="G157" s="8" t="str">
        <f t="shared" si="2"/>
        <v>SIMMONS SHYHESHA</v>
      </c>
    </row>
    <row r="158" spans="1:7" x14ac:dyDescent="0.25">
      <c r="A158" s="8">
        <v>42733.695092592592</v>
      </c>
      <c r="B158" s="21" t="s">
        <v>225</v>
      </c>
      <c r="C158" s="21" t="s">
        <v>613</v>
      </c>
      <c r="D158" s="160">
        <v>1770000</v>
      </c>
      <c r="E158" s="21" t="s">
        <v>385</v>
      </c>
      <c r="F158" s="21" t="s">
        <v>386</v>
      </c>
      <c r="G158" s="8" t="str">
        <f t="shared" si="2"/>
        <v>BRUDER RICHARD</v>
      </c>
    </row>
    <row r="159" spans="1:7" x14ac:dyDescent="0.25">
      <c r="A159" s="8">
        <v>42733.69734953704</v>
      </c>
      <c r="B159" s="21" t="s">
        <v>375</v>
      </c>
      <c r="C159" s="21" t="s">
        <v>614</v>
      </c>
      <c r="D159" s="160">
        <v>2720000</v>
      </c>
      <c r="E159" s="21" t="s">
        <v>341</v>
      </c>
      <c r="F159" s="21" t="s">
        <v>342</v>
      </c>
      <c r="G159" s="8" t="str">
        <f t="shared" si="2"/>
        <v>SIMONEAUX TERA</v>
      </c>
    </row>
    <row r="160" spans="1:7" x14ac:dyDescent="0.25">
      <c r="A160" s="8">
        <v>42733.701111111113</v>
      </c>
      <c r="B160" s="21" t="s">
        <v>278</v>
      </c>
      <c r="C160" s="21" t="s">
        <v>615</v>
      </c>
      <c r="D160" s="160">
        <v>1190000</v>
      </c>
      <c r="E160" s="21" t="s">
        <v>352</v>
      </c>
      <c r="F160" s="21" t="s">
        <v>353</v>
      </c>
      <c r="G160" s="8" t="str">
        <f t="shared" si="2"/>
        <v>BRANNON JEFFREY</v>
      </c>
    </row>
    <row r="161" spans="1:7" x14ac:dyDescent="0.25">
      <c r="A161" s="8">
        <v>42733.70521990741</v>
      </c>
      <c r="B161" s="21" t="s">
        <v>478</v>
      </c>
      <c r="C161" s="21" t="s">
        <v>616</v>
      </c>
      <c r="D161" s="160">
        <v>2230000</v>
      </c>
      <c r="E161" s="21" t="s">
        <v>269</v>
      </c>
      <c r="F161" s="21" t="s">
        <v>256</v>
      </c>
      <c r="G161" s="8" t="str">
        <f t="shared" si="2"/>
        <v>SMITH MICHAEL</v>
      </c>
    </row>
    <row r="162" spans="1:7" x14ac:dyDescent="0.25">
      <c r="A162" s="8">
        <v>42733.712118055555</v>
      </c>
      <c r="B162" s="21" t="s">
        <v>351</v>
      </c>
      <c r="C162" s="21" t="s">
        <v>451</v>
      </c>
      <c r="D162" s="160">
        <v>930000</v>
      </c>
      <c r="E162" s="21" t="s">
        <v>337</v>
      </c>
      <c r="F162" s="21" t="s">
        <v>338</v>
      </c>
      <c r="G162" s="8" t="str">
        <f t="shared" si="2"/>
        <v>CLARK KATHLEEN</v>
      </c>
    </row>
    <row r="163" spans="1:7" x14ac:dyDescent="0.25">
      <c r="A163" s="8">
        <v>42733.716319444444</v>
      </c>
      <c r="B163" s="21" t="s">
        <v>373</v>
      </c>
      <c r="C163" s="21" t="s">
        <v>617</v>
      </c>
      <c r="D163" s="160">
        <v>2720000</v>
      </c>
      <c r="E163" s="21" t="s">
        <v>341</v>
      </c>
      <c r="F163" s="21" t="s">
        <v>342</v>
      </c>
      <c r="G163" s="8" t="str">
        <f t="shared" si="2"/>
        <v>SIMONEAUX TERA</v>
      </c>
    </row>
    <row r="164" spans="1:7" x14ac:dyDescent="0.25">
      <c r="A164" s="8">
        <v>42733.717094907406</v>
      </c>
      <c r="B164" s="21" t="s">
        <v>263</v>
      </c>
      <c r="C164" s="21" t="s">
        <v>618</v>
      </c>
      <c r="D164" s="160">
        <v>2440000</v>
      </c>
      <c r="E164" s="21" t="s">
        <v>619</v>
      </c>
      <c r="F164" s="21" t="s">
        <v>620</v>
      </c>
      <c r="G164" s="8" t="str">
        <f t="shared" si="2"/>
        <v>LOPES KIMBERLY</v>
      </c>
    </row>
    <row r="165" spans="1:7" x14ac:dyDescent="0.25">
      <c r="A165" s="8">
        <v>42733.719259259262</v>
      </c>
      <c r="B165" s="21" t="s">
        <v>214</v>
      </c>
      <c r="C165" s="21" t="s">
        <v>621</v>
      </c>
      <c r="D165" s="160">
        <v>2710000</v>
      </c>
      <c r="E165" s="21" t="s">
        <v>339</v>
      </c>
      <c r="F165" s="21" t="s">
        <v>340</v>
      </c>
      <c r="G165" s="8" t="str">
        <f t="shared" si="2"/>
        <v>SIMMONS SHYHESHA</v>
      </c>
    </row>
    <row r="166" spans="1:7" x14ac:dyDescent="0.25">
      <c r="A166" s="8">
        <v>42733.719328703701</v>
      </c>
      <c r="B166" s="21" t="s">
        <v>334</v>
      </c>
      <c r="C166" s="21" t="s">
        <v>622</v>
      </c>
      <c r="D166" s="160">
        <v>2030000</v>
      </c>
      <c r="E166" s="21" t="s">
        <v>559</v>
      </c>
      <c r="F166" s="21" t="s">
        <v>560</v>
      </c>
      <c r="G166" s="8" t="str">
        <f t="shared" si="2"/>
        <v>KILLION DAVID</v>
      </c>
    </row>
    <row r="167" spans="1:7" x14ac:dyDescent="0.25">
      <c r="A167" s="8">
        <v>42733.722488425927</v>
      </c>
      <c r="B167" s="21" t="s">
        <v>276</v>
      </c>
      <c r="C167" s="21" t="s">
        <v>623</v>
      </c>
      <c r="D167" s="160">
        <v>1780000</v>
      </c>
      <c r="E167" s="21" t="s">
        <v>354</v>
      </c>
      <c r="F167" s="21" t="s">
        <v>355</v>
      </c>
      <c r="G167" s="8" t="str">
        <f t="shared" si="2"/>
        <v>DE LA ROSA ALEX</v>
      </c>
    </row>
    <row r="168" spans="1:7" x14ac:dyDescent="0.25">
      <c r="A168" s="8">
        <v>42733.729074074072</v>
      </c>
      <c r="B168" s="21" t="s">
        <v>325</v>
      </c>
      <c r="C168" s="21" t="s">
        <v>624</v>
      </c>
      <c r="D168" s="160">
        <v>2260000</v>
      </c>
      <c r="E168" s="21" t="s">
        <v>570</v>
      </c>
      <c r="F168" s="21" t="s">
        <v>571</v>
      </c>
      <c r="G168" s="8" t="str">
        <f t="shared" si="2"/>
        <v>ARVIDSON DANIEL</v>
      </c>
    </row>
    <row r="169" spans="1:7" x14ac:dyDescent="0.25">
      <c r="A169" s="8">
        <v>42733.730312500003</v>
      </c>
      <c r="B169" s="21" t="s">
        <v>261</v>
      </c>
      <c r="C169" s="21" t="s">
        <v>625</v>
      </c>
      <c r="D169" s="160">
        <v>1770000</v>
      </c>
      <c r="E169" s="21" t="s">
        <v>385</v>
      </c>
      <c r="F169" s="21" t="s">
        <v>386</v>
      </c>
      <c r="G169" s="8" t="str">
        <f t="shared" si="2"/>
        <v>BRUDER RICHARD</v>
      </c>
    </row>
    <row r="170" spans="1:7" x14ac:dyDescent="0.25">
      <c r="A170" s="8">
        <v>42733.735590277778</v>
      </c>
      <c r="B170" s="21" t="s">
        <v>277</v>
      </c>
      <c r="C170" s="21" t="s">
        <v>626</v>
      </c>
      <c r="D170" s="160">
        <v>1810000</v>
      </c>
      <c r="E170" s="21" t="s">
        <v>270</v>
      </c>
      <c r="F170" s="21" t="s">
        <v>246</v>
      </c>
      <c r="G170" s="8" t="str">
        <f t="shared" si="2"/>
        <v>NEWELL JAMES</v>
      </c>
    </row>
    <row r="171" spans="1:7" x14ac:dyDescent="0.25">
      <c r="A171" s="8">
        <v>42733.735763888886</v>
      </c>
      <c r="B171" s="21" t="s">
        <v>448</v>
      </c>
      <c r="C171" s="21" t="s">
        <v>627</v>
      </c>
      <c r="D171" s="160">
        <v>2710000</v>
      </c>
      <c r="E171" s="21" t="s">
        <v>339</v>
      </c>
      <c r="F171" s="21" t="s">
        <v>340</v>
      </c>
      <c r="G171" s="8" t="str">
        <f t="shared" si="2"/>
        <v>SIMMONS SHYHESHA</v>
      </c>
    </row>
    <row r="172" spans="1:7" x14ac:dyDescent="0.25">
      <c r="A172" s="8">
        <v>42733.737384259257</v>
      </c>
      <c r="B172" s="21" t="s">
        <v>375</v>
      </c>
      <c r="C172" s="21" t="s">
        <v>452</v>
      </c>
      <c r="D172" s="160">
        <v>2720000</v>
      </c>
      <c r="E172" s="21" t="s">
        <v>341</v>
      </c>
      <c r="F172" s="21" t="s">
        <v>342</v>
      </c>
      <c r="G172" s="8" t="str">
        <f t="shared" si="2"/>
        <v>SIMONEAUX TERA</v>
      </c>
    </row>
    <row r="173" spans="1:7" x14ac:dyDescent="0.25">
      <c r="A173" s="8">
        <v>42733.739270833335</v>
      </c>
      <c r="B173" s="21" t="s">
        <v>470</v>
      </c>
      <c r="C173" s="21" t="s">
        <v>628</v>
      </c>
      <c r="D173" s="160">
        <v>2230000</v>
      </c>
      <c r="E173" s="21" t="s">
        <v>269</v>
      </c>
      <c r="F173" s="21" t="s">
        <v>256</v>
      </c>
      <c r="G173" s="8" t="str">
        <f t="shared" si="2"/>
        <v>SMITH MICHAEL</v>
      </c>
    </row>
    <row r="174" spans="1:7" x14ac:dyDescent="0.25">
      <c r="A174" s="8">
        <v>42733.744467592594</v>
      </c>
      <c r="B174" s="21" t="s">
        <v>555</v>
      </c>
      <c r="C174" s="21" t="s">
        <v>629</v>
      </c>
      <c r="D174" s="160">
        <v>2270000</v>
      </c>
      <c r="E174" s="21" t="s">
        <v>305</v>
      </c>
      <c r="F174" s="21" t="s">
        <v>306</v>
      </c>
      <c r="G174" s="8" t="str">
        <f t="shared" si="2"/>
        <v>BROWN JACOB</v>
      </c>
    </row>
    <row r="175" spans="1:7" x14ac:dyDescent="0.25">
      <c r="A175" s="8">
        <v>42733.748229166667</v>
      </c>
      <c r="B175" s="21" t="s">
        <v>262</v>
      </c>
      <c r="C175" s="21" t="s">
        <v>457</v>
      </c>
      <c r="D175" s="160">
        <v>2440000</v>
      </c>
      <c r="E175" s="21" t="s">
        <v>619</v>
      </c>
      <c r="F175" s="21" t="s">
        <v>620</v>
      </c>
      <c r="G175" s="8" t="str">
        <f t="shared" si="2"/>
        <v>LOPES KIMBERLY</v>
      </c>
    </row>
    <row r="176" spans="1:7" x14ac:dyDescent="0.25">
      <c r="A176" s="8">
        <v>42733.748391203706</v>
      </c>
      <c r="B176" s="21" t="s">
        <v>231</v>
      </c>
      <c r="C176" s="21" t="s">
        <v>453</v>
      </c>
      <c r="D176" s="160">
        <v>1190000</v>
      </c>
      <c r="E176" s="21" t="s">
        <v>352</v>
      </c>
      <c r="F176" s="21" t="s">
        <v>353</v>
      </c>
      <c r="G176" s="8" t="str">
        <f t="shared" si="2"/>
        <v>BRANNON JEFFREY</v>
      </c>
    </row>
    <row r="177" spans="1:7" x14ac:dyDescent="0.25">
      <c r="A177" s="8">
        <v>42733.758032407408</v>
      </c>
      <c r="B177" s="21" t="s">
        <v>214</v>
      </c>
      <c r="C177" s="21" t="s">
        <v>455</v>
      </c>
      <c r="D177" s="160">
        <v>2710000</v>
      </c>
      <c r="E177" s="21" t="s">
        <v>339</v>
      </c>
      <c r="F177" s="21" t="s">
        <v>340</v>
      </c>
      <c r="G177" s="8" t="str">
        <f t="shared" si="2"/>
        <v>SIMMONS SHYHESHA</v>
      </c>
    </row>
    <row r="178" spans="1:7" x14ac:dyDescent="0.25">
      <c r="A178" s="8">
        <v>42733.758229166669</v>
      </c>
      <c r="B178" s="21" t="s">
        <v>212</v>
      </c>
      <c r="C178" s="21" t="s">
        <v>630</v>
      </c>
      <c r="D178" s="160">
        <v>2270000</v>
      </c>
      <c r="E178" s="21" t="s">
        <v>305</v>
      </c>
      <c r="F178" s="21" t="s">
        <v>306</v>
      </c>
      <c r="G178" s="8" t="str">
        <f t="shared" si="2"/>
        <v>BROWN JACOB</v>
      </c>
    </row>
    <row r="179" spans="1:7" x14ac:dyDescent="0.25">
      <c r="A179" s="8">
        <v>42733.759074074071</v>
      </c>
      <c r="B179" s="21" t="s">
        <v>373</v>
      </c>
      <c r="C179" s="21" t="s">
        <v>631</v>
      </c>
      <c r="D179" s="160">
        <v>2720000</v>
      </c>
      <c r="E179" s="21" t="s">
        <v>341</v>
      </c>
      <c r="F179" s="21" t="s">
        <v>342</v>
      </c>
      <c r="G179" s="8" t="str">
        <f t="shared" si="2"/>
        <v>SIMONEAUX TERA</v>
      </c>
    </row>
    <row r="180" spans="1:7" x14ac:dyDescent="0.25">
      <c r="A180" s="8">
        <v>42733.759189814817</v>
      </c>
      <c r="B180" s="21" t="s">
        <v>253</v>
      </c>
      <c r="C180" s="21" t="s">
        <v>454</v>
      </c>
      <c r="D180" s="160">
        <v>2620000</v>
      </c>
      <c r="E180" s="21" t="s">
        <v>632</v>
      </c>
      <c r="F180" s="21" t="s">
        <v>633</v>
      </c>
      <c r="G180" s="8" t="str">
        <f t="shared" si="2"/>
        <v>PERKINS DARREN</v>
      </c>
    </row>
    <row r="181" spans="1:7" x14ac:dyDescent="0.25">
      <c r="A181" s="8">
        <v>42733.761504629627</v>
      </c>
      <c r="B181" s="21" t="s">
        <v>563</v>
      </c>
      <c r="C181" s="21" t="s">
        <v>634</v>
      </c>
      <c r="D181" s="160">
        <v>2030000</v>
      </c>
      <c r="E181" s="21" t="s">
        <v>559</v>
      </c>
      <c r="F181" s="21" t="s">
        <v>560</v>
      </c>
      <c r="G181" s="8" t="str">
        <f t="shared" si="2"/>
        <v>KILLION DAVID</v>
      </c>
    </row>
    <row r="182" spans="1:7" x14ac:dyDescent="0.25">
      <c r="A182" s="8">
        <v>42733.764976851853</v>
      </c>
      <c r="B182" s="21" t="s">
        <v>324</v>
      </c>
      <c r="C182" s="21" t="s">
        <v>635</v>
      </c>
      <c r="D182" s="160">
        <v>2260000</v>
      </c>
      <c r="E182" s="21" t="s">
        <v>570</v>
      </c>
      <c r="F182" s="21" t="s">
        <v>571</v>
      </c>
      <c r="G182" s="8" t="str">
        <f t="shared" si="2"/>
        <v>ARVIDSON DANIEL</v>
      </c>
    </row>
    <row r="183" spans="1:7" x14ac:dyDescent="0.25">
      <c r="A183" s="8">
        <v>42733.768587962964</v>
      </c>
      <c r="B183" s="21" t="s">
        <v>225</v>
      </c>
      <c r="C183" s="21" t="s">
        <v>456</v>
      </c>
      <c r="D183" s="160">
        <v>2220000</v>
      </c>
      <c r="E183" s="21" t="s">
        <v>303</v>
      </c>
      <c r="F183" s="21" t="s">
        <v>304</v>
      </c>
      <c r="G183" s="8" t="str">
        <f t="shared" si="2"/>
        <v>HILLS DUSTIN</v>
      </c>
    </row>
    <row r="184" spans="1:7" x14ac:dyDescent="0.25">
      <c r="A184" s="8">
        <v>42733.773368055554</v>
      </c>
      <c r="B184" s="21" t="s">
        <v>278</v>
      </c>
      <c r="C184" s="21" t="s">
        <v>636</v>
      </c>
      <c r="D184" s="160">
        <v>1810000</v>
      </c>
      <c r="E184" s="21" t="s">
        <v>270</v>
      </c>
      <c r="F184" s="21" t="s">
        <v>246</v>
      </c>
      <c r="G184" s="8" t="str">
        <f t="shared" si="2"/>
        <v>NEWELL JAMES</v>
      </c>
    </row>
    <row r="185" spans="1:7" x14ac:dyDescent="0.25">
      <c r="A185" s="8">
        <v>42733.777083333334</v>
      </c>
      <c r="B185" s="21" t="s">
        <v>448</v>
      </c>
      <c r="C185" s="21" t="s">
        <v>637</v>
      </c>
      <c r="D185" s="160">
        <v>2710000</v>
      </c>
      <c r="E185" s="21" t="s">
        <v>339</v>
      </c>
      <c r="F185" s="21" t="s">
        <v>340</v>
      </c>
      <c r="G185" s="8" t="str">
        <f t="shared" si="2"/>
        <v>SIMMONS SHYHESHA</v>
      </c>
    </row>
    <row r="186" spans="1:7" x14ac:dyDescent="0.25">
      <c r="A186" s="8">
        <v>42733.78224537037</v>
      </c>
      <c r="B186" s="21" t="s">
        <v>478</v>
      </c>
      <c r="C186" s="21" t="s">
        <v>638</v>
      </c>
      <c r="D186" s="160">
        <v>2230000</v>
      </c>
      <c r="E186" s="21" t="s">
        <v>269</v>
      </c>
      <c r="F186" s="21" t="s">
        <v>256</v>
      </c>
      <c r="G186" s="8" t="str">
        <f t="shared" si="2"/>
        <v>SMITH MICHAEL</v>
      </c>
    </row>
    <row r="187" spans="1:7" x14ac:dyDescent="0.25">
      <c r="A187" s="8">
        <v>42733.783506944441</v>
      </c>
      <c r="B187" s="21" t="s">
        <v>375</v>
      </c>
      <c r="C187" s="21" t="s">
        <v>639</v>
      </c>
      <c r="D187" s="160">
        <v>2720000</v>
      </c>
      <c r="E187" s="21" t="s">
        <v>341</v>
      </c>
      <c r="F187" s="21" t="s">
        <v>342</v>
      </c>
      <c r="G187" s="8" t="str">
        <f t="shared" si="2"/>
        <v>SIMONEAUX TERA</v>
      </c>
    </row>
    <row r="188" spans="1:7" x14ac:dyDescent="0.25">
      <c r="A188" s="8">
        <v>42733.784062500003</v>
      </c>
      <c r="B188" s="21" t="s">
        <v>229</v>
      </c>
      <c r="C188" s="21" t="s">
        <v>460</v>
      </c>
      <c r="D188" s="160">
        <v>2560000</v>
      </c>
      <c r="E188" s="21" t="s">
        <v>640</v>
      </c>
      <c r="F188" s="21" t="s">
        <v>641</v>
      </c>
      <c r="G188" s="8" t="str">
        <f t="shared" si="2"/>
        <v>MACDONALD THOMAS</v>
      </c>
    </row>
    <row r="189" spans="1:7" x14ac:dyDescent="0.25">
      <c r="A189" s="8">
        <v>42733.786921296298</v>
      </c>
      <c r="B189" s="21" t="s">
        <v>351</v>
      </c>
      <c r="C189" s="21" t="s">
        <v>642</v>
      </c>
      <c r="D189" s="160">
        <v>1190000</v>
      </c>
      <c r="E189" s="21" t="s">
        <v>352</v>
      </c>
      <c r="F189" s="21" t="s">
        <v>353</v>
      </c>
      <c r="G189" s="8" t="str">
        <f t="shared" si="2"/>
        <v>BRANNON JEFFREY</v>
      </c>
    </row>
    <row r="190" spans="1:7" x14ac:dyDescent="0.25">
      <c r="A190" s="8">
        <v>42733.787905092591</v>
      </c>
      <c r="B190" s="21" t="s">
        <v>263</v>
      </c>
      <c r="C190" s="21" t="s">
        <v>643</v>
      </c>
      <c r="D190" s="160">
        <v>2440000</v>
      </c>
      <c r="E190" s="21" t="s">
        <v>619</v>
      </c>
      <c r="F190" s="21" t="s">
        <v>620</v>
      </c>
      <c r="G190" s="8" t="str">
        <f t="shared" si="2"/>
        <v>LOPES KIMBERLY</v>
      </c>
    </row>
    <row r="191" spans="1:7" x14ac:dyDescent="0.25">
      <c r="A191" s="8">
        <v>42733.792812500003</v>
      </c>
      <c r="B191" s="21" t="s">
        <v>334</v>
      </c>
      <c r="C191" s="21" t="s">
        <v>644</v>
      </c>
      <c r="D191" s="160">
        <v>2270000</v>
      </c>
      <c r="E191" s="21" t="s">
        <v>305</v>
      </c>
      <c r="F191" s="21" t="s">
        <v>306</v>
      </c>
      <c r="G191" s="8" t="str">
        <f t="shared" si="2"/>
        <v>BROWN JACOB</v>
      </c>
    </row>
    <row r="192" spans="1:7" x14ac:dyDescent="0.25">
      <c r="A192" s="8">
        <v>42733.795208333337</v>
      </c>
      <c r="B192" s="21" t="s">
        <v>334</v>
      </c>
      <c r="C192" s="21" t="s">
        <v>644</v>
      </c>
      <c r="D192" s="160">
        <v>2270000</v>
      </c>
      <c r="E192" s="21" t="s">
        <v>305</v>
      </c>
      <c r="F192" s="21" t="s">
        <v>306</v>
      </c>
      <c r="G192" s="8" t="str">
        <f t="shared" si="2"/>
        <v>BROWN JACOB</v>
      </c>
    </row>
    <row r="193" spans="1:7" x14ac:dyDescent="0.25">
      <c r="A193" s="8">
        <v>42733.798298611109</v>
      </c>
      <c r="B193" s="21" t="s">
        <v>373</v>
      </c>
      <c r="C193" s="21" t="s">
        <v>645</v>
      </c>
      <c r="D193" s="160">
        <v>2720000</v>
      </c>
      <c r="E193" s="21" t="s">
        <v>341</v>
      </c>
      <c r="F193" s="21" t="s">
        <v>342</v>
      </c>
      <c r="G193" s="8" t="str">
        <f t="shared" si="2"/>
        <v>SIMONEAUX TERA</v>
      </c>
    </row>
    <row r="194" spans="1:7" x14ac:dyDescent="0.25">
      <c r="A194" s="8">
        <v>42733.799768518518</v>
      </c>
      <c r="B194" s="21" t="s">
        <v>261</v>
      </c>
      <c r="C194" s="21" t="s">
        <v>458</v>
      </c>
      <c r="D194" s="160">
        <v>2220000</v>
      </c>
      <c r="E194" s="21" t="s">
        <v>303</v>
      </c>
      <c r="F194" s="21" t="s">
        <v>304</v>
      </c>
      <c r="G194" s="8" t="str">
        <f t="shared" si="2"/>
        <v>HILLS DUSTIN</v>
      </c>
    </row>
    <row r="195" spans="1:7" x14ac:dyDescent="0.25">
      <c r="A195" s="8">
        <v>42733.802812499998</v>
      </c>
      <c r="B195" s="21" t="s">
        <v>325</v>
      </c>
      <c r="C195" s="21" t="s">
        <v>646</v>
      </c>
      <c r="D195" s="160">
        <v>2260000</v>
      </c>
      <c r="E195" s="21" t="s">
        <v>570</v>
      </c>
      <c r="F195" s="21" t="s">
        <v>571</v>
      </c>
      <c r="G195" s="8" t="str">
        <f t="shared" ref="G195:G258" si="3">E195&amp;" "&amp;F195</f>
        <v>ARVIDSON DANIEL</v>
      </c>
    </row>
    <row r="196" spans="1:7" x14ac:dyDescent="0.25">
      <c r="A196" s="8">
        <v>42733.804803240739</v>
      </c>
      <c r="B196" s="21" t="s">
        <v>214</v>
      </c>
      <c r="C196" s="21" t="s">
        <v>647</v>
      </c>
      <c r="D196" s="160">
        <v>2710000</v>
      </c>
      <c r="E196" s="21" t="s">
        <v>339</v>
      </c>
      <c r="F196" s="21" t="s">
        <v>340</v>
      </c>
      <c r="G196" s="8" t="str">
        <f t="shared" si="3"/>
        <v>SIMMONS SHYHESHA</v>
      </c>
    </row>
    <row r="197" spans="1:7" x14ac:dyDescent="0.25">
      <c r="A197" s="8">
        <v>42733.809537037036</v>
      </c>
      <c r="B197" s="21" t="s">
        <v>277</v>
      </c>
      <c r="C197" s="21" t="s">
        <v>648</v>
      </c>
      <c r="D197" s="160">
        <v>1810000</v>
      </c>
      <c r="E197" s="21" t="s">
        <v>270</v>
      </c>
      <c r="F197" s="21" t="s">
        <v>246</v>
      </c>
      <c r="G197" s="8" t="str">
        <f t="shared" si="3"/>
        <v>NEWELL JAMES</v>
      </c>
    </row>
    <row r="198" spans="1:7" x14ac:dyDescent="0.25">
      <c r="A198" s="8">
        <v>42733.816400462965</v>
      </c>
      <c r="B198" s="21" t="s">
        <v>253</v>
      </c>
      <c r="C198" s="21" t="s">
        <v>460</v>
      </c>
      <c r="D198" s="160">
        <v>2560000</v>
      </c>
      <c r="E198" s="21" t="s">
        <v>640</v>
      </c>
      <c r="F198" s="21" t="s">
        <v>641</v>
      </c>
      <c r="G198" s="8" t="str">
        <f t="shared" si="3"/>
        <v>MACDONALD THOMAS</v>
      </c>
    </row>
    <row r="199" spans="1:7" x14ac:dyDescent="0.25">
      <c r="A199" s="8">
        <v>42733.817291666666</v>
      </c>
      <c r="B199" s="21" t="s">
        <v>253</v>
      </c>
      <c r="C199" s="21" t="s">
        <v>460</v>
      </c>
      <c r="D199" s="160">
        <v>2560000</v>
      </c>
      <c r="E199" s="21" t="s">
        <v>640</v>
      </c>
      <c r="F199" s="21" t="s">
        <v>641</v>
      </c>
      <c r="G199" s="8" t="str">
        <f t="shared" si="3"/>
        <v>MACDONALD THOMAS</v>
      </c>
    </row>
    <row r="200" spans="1:7" x14ac:dyDescent="0.25">
      <c r="A200" s="8">
        <v>42733.818796296298</v>
      </c>
      <c r="B200" s="21" t="s">
        <v>231</v>
      </c>
      <c r="C200" s="21" t="s">
        <v>649</v>
      </c>
      <c r="D200" s="160">
        <v>1190000</v>
      </c>
      <c r="E200" s="21" t="s">
        <v>352</v>
      </c>
      <c r="F200" s="21" t="s">
        <v>353</v>
      </c>
      <c r="G200" s="8" t="str">
        <f t="shared" si="3"/>
        <v>BRANNON JEFFREY</v>
      </c>
    </row>
    <row r="201" spans="1:7" x14ac:dyDescent="0.25">
      <c r="A201" s="8">
        <v>42733.818877314814</v>
      </c>
      <c r="B201" s="21" t="s">
        <v>253</v>
      </c>
      <c r="C201" s="21" t="s">
        <v>460</v>
      </c>
      <c r="D201" s="160">
        <v>2560000</v>
      </c>
      <c r="E201" s="21" t="s">
        <v>640</v>
      </c>
      <c r="F201" s="21" t="s">
        <v>641</v>
      </c>
      <c r="G201" s="8" t="str">
        <f t="shared" si="3"/>
        <v>MACDONALD THOMAS</v>
      </c>
    </row>
    <row r="202" spans="1:7" x14ac:dyDescent="0.25">
      <c r="A202" s="27">
        <v>42733.819525462961</v>
      </c>
      <c r="B202" s="21" t="s">
        <v>448</v>
      </c>
      <c r="C202" s="21" t="s">
        <v>650</v>
      </c>
      <c r="D202" s="160">
        <v>2710000</v>
      </c>
      <c r="E202" s="21" t="s">
        <v>339</v>
      </c>
      <c r="F202" s="21" t="s">
        <v>340</v>
      </c>
      <c r="G202" s="8" t="str">
        <f t="shared" si="3"/>
        <v>SIMMONS SHYHESHA</v>
      </c>
    </row>
    <row r="203" spans="1:7" x14ac:dyDescent="0.25">
      <c r="A203" s="8">
        <v>42733.822627314818</v>
      </c>
      <c r="B203" s="21" t="s">
        <v>262</v>
      </c>
      <c r="C203" s="21" t="s">
        <v>459</v>
      </c>
      <c r="D203" s="160">
        <v>2440000</v>
      </c>
      <c r="E203" s="21" t="s">
        <v>619</v>
      </c>
      <c r="F203" s="21" t="s">
        <v>620</v>
      </c>
      <c r="G203" s="8" t="str">
        <f t="shared" si="3"/>
        <v>LOPES KIMBERLY</v>
      </c>
    </row>
    <row r="204" spans="1:7" x14ac:dyDescent="0.25">
      <c r="A204" s="8">
        <v>42733.832696759258</v>
      </c>
      <c r="B204" s="21" t="s">
        <v>212</v>
      </c>
      <c r="C204" s="21" t="s">
        <v>651</v>
      </c>
      <c r="D204" s="160">
        <v>2270000</v>
      </c>
      <c r="E204" s="21" t="s">
        <v>305</v>
      </c>
      <c r="F204" s="21" t="s">
        <v>306</v>
      </c>
      <c r="G204" s="8" t="str">
        <f t="shared" si="3"/>
        <v>BROWN JACOB</v>
      </c>
    </row>
    <row r="205" spans="1:7" x14ac:dyDescent="0.25">
      <c r="A205" s="8">
        <v>42733.837731481479</v>
      </c>
      <c r="B205" s="21" t="s">
        <v>214</v>
      </c>
      <c r="C205" s="21" t="s">
        <v>652</v>
      </c>
      <c r="D205" s="160">
        <v>2710000</v>
      </c>
      <c r="E205" s="21" t="s">
        <v>339</v>
      </c>
      <c r="F205" s="21" t="s">
        <v>340</v>
      </c>
      <c r="G205" s="8" t="str">
        <f t="shared" si="3"/>
        <v>SIMMONS SHYHESHA</v>
      </c>
    </row>
    <row r="206" spans="1:7" x14ac:dyDescent="0.25">
      <c r="A206" s="8">
        <v>42733.840798611112</v>
      </c>
      <c r="B206" s="21" t="s">
        <v>225</v>
      </c>
      <c r="C206" s="21" t="s">
        <v>653</v>
      </c>
      <c r="D206" s="160">
        <v>2220000</v>
      </c>
      <c r="E206" s="21" t="s">
        <v>303</v>
      </c>
      <c r="F206" s="21" t="s">
        <v>304</v>
      </c>
      <c r="G206" s="8" t="str">
        <f t="shared" si="3"/>
        <v>HILLS DUSTIN</v>
      </c>
    </row>
    <row r="207" spans="1:7" x14ac:dyDescent="0.25">
      <c r="A207" s="8">
        <v>42733.843159722222</v>
      </c>
      <c r="B207" s="21" t="s">
        <v>278</v>
      </c>
      <c r="C207" s="21" t="s">
        <v>654</v>
      </c>
      <c r="D207" s="160">
        <v>1810000</v>
      </c>
      <c r="E207" s="21" t="s">
        <v>270</v>
      </c>
      <c r="F207" s="21" t="s">
        <v>246</v>
      </c>
      <c r="G207" s="8" t="str">
        <f t="shared" si="3"/>
        <v>NEWELL JAMES</v>
      </c>
    </row>
    <row r="208" spans="1:7" x14ac:dyDescent="0.25">
      <c r="A208" s="8">
        <v>42733.8518287037</v>
      </c>
      <c r="B208" s="21" t="s">
        <v>229</v>
      </c>
      <c r="C208" s="21" t="s">
        <v>460</v>
      </c>
      <c r="D208" s="160">
        <v>2560000</v>
      </c>
      <c r="E208" s="21" t="s">
        <v>640</v>
      </c>
      <c r="F208" s="21" t="s">
        <v>641</v>
      </c>
      <c r="G208" s="8" t="str">
        <f t="shared" si="3"/>
        <v>MACDONALD THOMAS</v>
      </c>
    </row>
    <row r="209" spans="1:7" x14ac:dyDescent="0.25">
      <c r="A209" s="8">
        <v>42733.861331018517</v>
      </c>
      <c r="B209" s="21" t="s">
        <v>448</v>
      </c>
      <c r="C209" s="21" t="s">
        <v>655</v>
      </c>
      <c r="D209" s="160">
        <v>2710000</v>
      </c>
      <c r="E209" s="21" t="s">
        <v>339</v>
      </c>
      <c r="F209" s="21" t="s">
        <v>340</v>
      </c>
      <c r="G209" s="8" t="str">
        <f t="shared" si="3"/>
        <v>SIMMONS SHYHESHA</v>
      </c>
    </row>
    <row r="210" spans="1:7" x14ac:dyDescent="0.25">
      <c r="A210" s="8">
        <v>42733.861817129633</v>
      </c>
      <c r="B210" s="21" t="s">
        <v>263</v>
      </c>
      <c r="C210" s="21" t="s">
        <v>656</v>
      </c>
      <c r="D210" s="160">
        <v>2440000</v>
      </c>
      <c r="E210" s="21" t="s">
        <v>619</v>
      </c>
      <c r="F210" s="21" t="s">
        <v>620</v>
      </c>
      <c r="G210" s="8" t="str">
        <f t="shared" si="3"/>
        <v>LOPES KIMBERLY</v>
      </c>
    </row>
    <row r="211" spans="1:7" x14ac:dyDescent="0.25">
      <c r="A211" s="8">
        <v>42733.868750000001</v>
      </c>
      <c r="B211" s="21" t="s">
        <v>334</v>
      </c>
      <c r="C211" s="21" t="s">
        <v>657</v>
      </c>
      <c r="D211" s="160">
        <v>2270000</v>
      </c>
      <c r="E211" s="21" t="s">
        <v>305</v>
      </c>
      <c r="F211" s="21" t="s">
        <v>306</v>
      </c>
      <c r="G211" s="8" t="str">
        <f t="shared" si="3"/>
        <v>BROWN JACOB</v>
      </c>
    </row>
    <row r="212" spans="1:7" x14ac:dyDescent="0.25">
      <c r="A212" s="8">
        <v>42733.881678240738</v>
      </c>
      <c r="B212" s="21" t="s">
        <v>261</v>
      </c>
      <c r="C212" s="21" t="s">
        <v>658</v>
      </c>
      <c r="D212" s="160">
        <v>2220000</v>
      </c>
      <c r="E212" s="21" t="s">
        <v>303</v>
      </c>
      <c r="F212" s="21" t="s">
        <v>304</v>
      </c>
      <c r="G212" s="8" t="str">
        <f t="shared" si="3"/>
        <v>HILLS DUSTIN</v>
      </c>
    </row>
    <row r="213" spans="1:7" x14ac:dyDescent="0.25">
      <c r="A213" s="8">
        <v>42733.882372685184</v>
      </c>
      <c r="B213" s="21" t="s">
        <v>214</v>
      </c>
      <c r="C213" s="21" t="s">
        <v>659</v>
      </c>
      <c r="D213" s="160">
        <v>2720000</v>
      </c>
      <c r="E213" s="21" t="s">
        <v>341</v>
      </c>
      <c r="F213" s="21" t="s">
        <v>342</v>
      </c>
      <c r="G213" s="8" t="str">
        <f t="shared" si="3"/>
        <v>SIMONEAUX TERA</v>
      </c>
    </row>
    <row r="214" spans="1:7" x14ac:dyDescent="0.25">
      <c r="A214" s="8">
        <v>42733.88994212963</v>
      </c>
      <c r="B214" s="21" t="s">
        <v>277</v>
      </c>
      <c r="C214" s="21" t="s">
        <v>660</v>
      </c>
      <c r="D214" s="160">
        <v>1810000</v>
      </c>
      <c r="E214" s="21" t="s">
        <v>270</v>
      </c>
      <c r="F214" s="21" t="s">
        <v>246</v>
      </c>
      <c r="G214" s="8" t="str">
        <f t="shared" si="3"/>
        <v>NEWELL JAMES</v>
      </c>
    </row>
    <row r="215" spans="1:7" x14ac:dyDescent="0.25">
      <c r="A215" s="8">
        <v>42733.892291666663</v>
      </c>
      <c r="B215" s="21" t="s">
        <v>253</v>
      </c>
      <c r="C215" s="21" t="s">
        <v>460</v>
      </c>
      <c r="D215" s="160">
        <v>2560000</v>
      </c>
      <c r="E215" s="21" t="s">
        <v>640</v>
      </c>
      <c r="F215" s="21" t="s">
        <v>641</v>
      </c>
      <c r="G215" s="8" t="str">
        <f t="shared" si="3"/>
        <v>MACDONALD THOMAS</v>
      </c>
    </row>
    <row r="216" spans="1:7" x14ac:dyDescent="0.25">
      <c r="A216" s="8">
        <v>42733.904131944444</v>
      </c>
      <c r="B216" s="21" t="s">
        <v>448</v>
      </c>
      <c r="C216" s="21" t="s">
        <v>661</v>
      </c>
      <c r="D216" s="160">
        <v>2720000</v>
      </c>
      <c r="E216" s="21" t="s">
        <v>341</v>
      </c>
      <c r="F216" s="21" t="s">
        <v>342</v>
      </c>
      <c r="G216" s="8" t="str">
        <f t="shared" si="3"/>
        <v>SIMONEAUX TERA</v>
      </c>
    </row>
    <row r="217" spans="1:7" x14ac:dyDescent="0.25">
      <c r="A217" s="8">
        <v>42733.907210648147</v>
      </c>
      <c r="B217" s="21" t="s">
        <v>262</v>
      </c>
      <c r="C217" s="21" t="s">
        <v>662</v>
      </c>
      <c r="D217" s="160">
        <v>2440000</v>
      </c>
      <c r="E217" s="21" t="s">
        <v>619</v>
      </c>
      <c r="F217" s="21" t="s">
        <v>620</v>
      </c>
      <c r="G217" s="8" t="str">
        <f t="shared" si="3"/>
        <v>LOPES KIMBERLY</v>
      </c>
    </row>
    <row r="218" spans="1:7" x14ac:dyDescent="0.25">
      <c r="A218" s="8">
        <v>42733.910370370373</v>
      </c>
      <c r="B218" s="21" t="s">
        <v>212</v>
      </c>
      <c r="C218" s="21" t="s">
        <v>663</v>
      </c>
      <c r="D218" s="160">
        <v>2270000</v>
      </c>
      <c r="E218" s="21" t="s">
        <v>305</v>
      </c>
      <c r="F218" s="21" t="s">
        <v>306</v>
      </c>
      <c r="G218" s="8" t="str">
        <f t="shared" si="3"/>
        <v>BROWN JACOB</v>
      </c>
    </row>
    <row r="219" spans="1:7" x14ac:dyDescent="0.25">
      <c r="A219" s="8">
        <v>42733.923472222225</v>
      </c>
      <c r="B219" s="21" t="s">
        <v>225</v>
      </c>
      <c r="C219" s="21" t="s">
        <v>462</v>
      </c>
      <c r="D219" s="160">
        <v>2220000</v>
      </c>
      <c r="E219" s="21" t="s">
        <v>303</v>
      </c>
      <c r="F219" s="21" t="s">
        <v>304</v>
      </c>
      <c r="G219" s="8" t="str">
        <f t="shared" si="3"/>
        <v>HILLS DUSTIN</v>
      </c>
    </row>
    <row r="220" spans="1:7" x14ac:dyDescent="0.25">
      <c r="A220" s="8">
        <v>42733.924560185187</v>
      </c>
      <c r="B220" s="21" t="s">
        <v>214</v>
      </c>
      <c r="C220" s="21" t="s">
        <v>664</v>
      </c>
      <c r="D220" s="160">
        <v>2720000</v>
      </c>
      <c r="E220" s="21" t="s">
        <v>341</v>
      </c>
      <c r="F220" s="21" t="s">
        <v>342</v>
      </c>
      <c r="G220" s="8" t="str">
        <f t="shared" si="3"/>
        <v>SIMONEAUX TERA</v>
      </c>
    </row>
    <row r="221" spans="1:7" x14ac:dyDescent="0.25">
      <c r="A221" s="8">
        <v>42733.932905092595</v>
      </c>
      <c r="B221" s="21" t="s">
        <v>278</v>
      </c>
      <c r="C221" s="21" t="s">
        <v>461</v>
      </c>
      <c r="D221" s="160">
        <v>1810000</v>
      </c>
      <c r="E221" s="21" t="s">
        <v>270</v>
      </c>
      <c r="F221" s="21" t="s">
        <v>246</v>
      </c>
      <c r="G221" s="8" t="str">
        <f t="shared" si="3"/>
        <v>NEWELL JAMES</v>
      </c>
    </row>
    <row r="222" spans="1:7" x14ac:dyDescent="0.25">
      <c r="A222" s="8">
        <v>42733.93377314815</v>
      </c>
      <c r="B222" s="21" t="s">
        <v>229</v>
      </c>
      <c r="C222" s="21" t="s">
        <v>460</v>
      </c>
      <c r="D222" s="160">
        <v>2560000</v>
      </c>
      <c r="E222" s="21" t="s">
        <v>640</v>
      </c>
      <c r="F222" s="21" t="s">
        <v>641</v>
      </c>
      <c r="G222" s="8" t="str">
        <f t="shared" si="3"/>
        <v>MACDONALD THOMAS</v>
      </c>
    </row>
    <row r="223" spans="1:7" x14ac:dyDescent="0.25">
      <c r="A223" s="8">
        <v>42733.944502314815</v>
      </c>
      <c r="B223" s="21" t="s">
        <v>448</v>
      </c>
      <c r="C223" s="21" t="s">
        <v>665</v>
      </c>
      <c r="D223" s="160">
        <v>2720000</v>
      </c>
      <c r="E223" s="21" t="s">
        <v>341</v>
      </c>
      <c r="F223" s="21" t="s">
        <v>342</v>
      </c>
      <c r="G223" s="8" t="str">
        <f t="shared" si="3"/>
        <v>SIMONEAUX TERA</v>
      </c>
    </row>
    <row r="224" spans="1:7" x14ac:dyDescent="0.25">
      <c r="A224" s="8">
        <v>42733.950474537036</v>
      </c>
      <c r="B224" t="s">
        <v>263</v>
      </c>
      <c r="C224" t="s">
        <v>666</v>
      </c>
      <c r="D224" s="160">
        <v>2440000</v>
      </c>
      <c r="E224" t="s">
        <v>619</v>
      </c>
      <c r="F224" s="21" t="s">
        <v>620</v>
      </c>
      <c r="G224" s="8" t="str">
        <f t="shared" si="3"/>
        <v>LOPES KIMBERLY</v>
      </c>
    </row>
    <row r="225" spans="1:7" x14ac:dyDescent="0.25">
      <c r="A225" s="8">
        <v>42733.951967592591</v>
      </c>
      <c r="B225" t="s">
        <v>334</v>
      </c>
      <c r="C225" t="s">
        <v>667</v>
      </c>
      <c r="D225" s="160">
        <v>2270000</v>
      </c>
      <c r="E225" t="s">
        <v>305</v>
      </c>
      <c r="F225" s="21" t="s">
        <v>306</v>
      </c>
      <c r="G225" s="8" t="str">
        <f t="shared" si="3"/>
        <v>BROWN JACOB</v>
      </c>
    </row>
    <row r="226" spans="1:7" x14ac:dyDescent="0.25">
      <c r="A226" s="8">
        <v>42733.96607638889</v>
      </c>
      <c r="B226" t="s">
        <v>261</v>
      </c>
      <c r="C226" t="s">
        <v>668</v>
      </c>
      <c r="D226" s="160">
        <v>2220000</v>
      </c>
      <c r="E226" t="s">
        <v>303</v>
      </c>
      <c r="F226" s="21" t="s">
        <v>304</v>
      </c>
      <c r="G226" s="8" t="str">
        <f t="shared" si="3"/>
        <v>HILLS DUSTIN</v>
      </c>
    </row>
    <row r="227" spans="1:7" x14ac:dyDescent="0.25">
      <c r="A227" s="8">
        <v>42733.9690625</v>
      </c>
      <c r="B227" t="s">
        <v>277</v>
      </c>
      <c r="C227" t="s">
        <v>669</v>
      </c>
      <c r="D227" s="160">
        <v>1810000</v>
      </c>
      <c r="E227" t="s">
        <v>270</v>
      </c>
      <c r="F227" s="21" t="s">
        <v>246</v>
      </c>
      <c r="G227" s="8" t="str">
        <f t="shared" si="3"/>
        <v>NEWELL JAMES</v>
      </c>
    </row>
    <row r="228" spans="1:7" x14ac:dyDescent="0.25">
      <c r="A228" s="8">
        <v>42733.982673611114</v>
      </c>
      <c r="B228" t="s">
        <v>253</v>
      </c>
      <c r="C228" t="s">
        <v>460</v>
      </c>
      <c r="D228" s="160">
        <v>2560000</v>
      </c>
      <c r="E228" t="s">
        <v>640</v>
      </c>
      <c r="F228" s="21" t="s">
        <v>641</v>
      </c>
      <c r="G228" s="8" t="str">
        <f t="shared" si="3"/>
        <v>MACDONALD THOMAS</v>
      </c>
    </row>
    <row r="229" spans="1:7" x14ac:dyDescent="0.25">
      <c r="A229" s="8">
        <v>42733.991319444445</v>
      </c>
      <c r="B229" t="s">
        <v>262</v>
      </c>
      <c r="C229" t="s">
        <v>670</v>
      </c>
      <c r="D229" s="160">
        <v>2440000</v>
      </c>
      <c r="E229" t="s">
        <v>619</v>
      </c>
      <c r="F229" s="21" t="s">
        <v>620</v>
      </c>
      <c r="G229" s="8" t="str">
        <f t="shared" si="3"/>
        <v>LOPES KIMBERLY</v>
      </c>
    </row>
    <row r="230" spans="1:7" x14ac:dyDescent="0.25">
      <c r="A230" s="8">
        <v>42733.996782407405</v>
      </c>
      <c r="B230" t="s">
        <v>212</v>
      </c>
      <c r="C230" t="s">
        <v>463</v>
      </c>
      <c r="D230" s="160">
        <v>2270000</v>
      </c>
      <c r="E230" t="s">
        <v>305</v>
      </c>
      <c r="F230" s="21" t="s">
        <v>306</v>
      </c>
      <c r="G230" s="8" t="str">
        <f t="shared" si="3"/>
        <v>BROWN JACOB</v>
      </c>
    </row>
    <row r="231" spans="1:7" x14ac:dyDescent="0.25">
      <c r="A231" s="8">
        <v>42734.011759259258</v>
      </c>
      <c r="B231" t="s">
        <v>225</v>
      </c>
      <c r="C231" t="s">
        <v>466</v>
      </c>
      <c r="D231" s="160">
        <v>2220000</v>
      </c>
      <c r="E231" t="s">
        <v>303</v>
      </c>
      <c r="F231" s="21" t="s">
        <v>304</v>
      </c>
      <c r="G231" s="8" t="str">
        <f t="shared" si="3"/>
        <v>HILLS DUSTIN</v>
      </c>
    </row>
    <row r="232" spans="1:7" x14ac:dyDescent="0.25">
      <c r="A232" s="8">
        <v>42734.014861111114</v>
      </c>
      <c r="B232" t="s">
        <v>229</v>
      </c>
      <c r="C232" t="s">
        <v>460</v>
      </c>
      <c r="D232" s="160">
        <v>2560000</v>
      </c>
      <c r="E232" t="s">
        <v>640</v>
      </c>
      <c r="F232" s="21" t="s">
        <v>641</v>
      </c>
      <c r="G232" s="8" t="str">
        <f t="shared" si="3"/>
        <v>MACDONALD THOMAS</v>
      </c>
    </row>
    <row r="233" spans="1:7" x14ac:dyDescent="0.25">
      <c r="A233" s="8">
        <v>42734.015810185185</v>
      </c>
      <c r="B233" t="s">
        <v>278</v>
      </c>
      <c r="C233" t="s">
        <v>671</v>
      </c>
      <c r="D233" s="160">
        <v>1810000</v>
      </c>
      <c r="E233" t="s">
        <v>270</v>
      </c>
      <c r="F233" s="21" t="s">
        <v>246</v>
      </c>
      <c r="G233" s="8" t="str">
        <f t="shared" si="3"/>
        <v>NEWELL JAMES</v>
      </c>
    </row>
    <row r="234" spans="1:7" x14ac:dyDescent="0.25">
      <c r="A234" s="8">
        <v>42734.028055555558</v>
      </c>
      <c r="B234" t="s">
        <v>263</v>
      </c>
      <c r="C234" t="s">
        <v>672</v>
      </c>
      <c r="D234" s="160">
        <v>2440000</v>
      </c>
      <c r="E234" t="s">
        <v>619</v>
      </c>
      <c r="F234" s="21" t="s">
        <v>620</v>
      </c>
      <c r="G234" s="8" t="str">
        <f t="shared" si="3"/>
        <v>LOPES KIMBERLY</v>
      </c>
    </row>
    <row r="235" spans="1:7" x14ac:dyDescent="0.25">
      <c r="A235" s="8">
        <v>42734.032129629632</v>
      </c>
      <c r="B235" t="s">
        <v>334</v>
      </c>
      <c r="C235" t="s">
        <v>673</v>
      </c>
      <c r="D235" s="160">
        <v>2270000</v>
      </c>
      <c r="E235" t="s">
        <v>305</v>
      </c>
      <c r="F235" s="21" t="s">
        <v>306</v>
      </c>
      <c r="G235" s="8" t="str">
        <f t="shared" si="3"/>
        <v>BROWN JACOB</v>
      </c>
    </row>
    <row r="236" spans="1:7" x14ac:dyDescent="0.25">
      <c r="A236" s="8">
        <v>42734.045763888891</v>
      </c>
      <c r="B236" t="s">
        <v>253</v>
      </c>
      <c r="C236" t="s">
        <v>460</v>
      </c>
      <c r="D236" s="160">
        <v>2560000</v>
      </c>
      <c r="E236" t="s">
        <v>640</v>
      </c>
      <c r="F236" s="21" t="s">
        <v>641</v>
      </c>
      <c r="G236" s="8" t="str">
        <f t="shared" si="3"/>
        <v>MACDONALD THOMAS</v>
      </c>
    </row>
    <row r="237" spans="1:7" x14ac:dyDescent="0.25">
      <c r="A237" s="8">
        <v>42734.048159722224</v>
      </c>
      <c r="B237" t="s">
        <v>277</v>
      </c>
      <c r="C237" t="s">
        <v>674</v>
      </c>
      <c r="D237" s="160">
        <v>1810000</v>
      </c>
      <c r="E237" t="s">
        <v>270</v>
      </c>
      <c r="F237" s="21" t="s">
        <v>246</v>
      </c>
      <c r="G237" s="8" t="str">
        <f t="shared" si="3"/>
        <v>NEWELL JAMES</v>
      </c>
    </row>
    <row r="238" spans="1:7" x14ac:dyDescent="0.25">
      <c r="A238" s="8">
        <v>42734.051562499997</v>
      </c>
      <c r="B238" t="s">
        <v>261</v>
      </c>
      <c r="C238" t="s">
        <v>675</v>
      </c>
      <c r="D238" s="160">
        <v>2220000</v>
      </c>
      <c r="E238" t="s">
        <v>303</v>
      </c>
      <c r="F238" s="21" t="s">
        <v>304</v>
      </c>
      <c r="G238" s="8" t="str">
        <f t="shared" si="3"/>
        <v>HILLS DUSTIN</v>
      </c>
    </row>
    <row r="239" spans="1:7" x14ac:dyDescent="0.25">
      <c r="A239" s="8">
        <v>42734.072638888887</v>
      </c>
      <c r="B239" t="s">
        <v>212</v>
      </c>
      <c r="C239" t="s">
        <v>676</v>
      </c>
      <c r="D239" s="160">
        <v>2270000</v>
      </c>
      <c r="E239" t="s">
        <v>305</v>
      </c>
      <c r="F239" s="21" t="s">
        <v>306</v>
      </c>
      <c r="G239" s="8" t="str">
        <f t="shared" si="3"/>
        <v>BROWN JACOB</v>
      </c>
    </row>
    <row r="240" spans="1:7" x14ac:dyDescent="0.25">
      <c r="A240" s="8">
        <v>42734.08902777778</v>
      </c>
      <c r="B240" t="s">
        <v>225</v>
      </c>
      <c r="C240" t="s">
        <v>677</v>
      </c>
      <c r="D240" s="160">
        <v>2220000</v>
      </c>
      <c r="E240" t="s">
        <v>303</v>
      </c>
      <c r="F240" s="21" t="s">
        <v>304</v>
      </c>
      <c r="G240" s="8" t="str">
        <f t="shared" si="3"/>
        <v>HILLS DUSTIN</v>
      </c>
    </row>
    <row r="241" spans="1:7" x14ac:dyDescent="0.25">
      <c r="A241" s="8">
        <v>42734.112546296295</v>
      </c>
      <c r="B241" t="s">
        <v>155</v>
      </c>
      <c r="C241" t="s">
        <v>678</v>
      </c>
      <c r="D241" s="160">
        <v>2100000</v>
      </c>
      <c r="E241" t="s">
        <v>376</v>
      </c>
      <c r="F241" s="21" t="s">
        <v>377</v>
      </c>
      <c r="G241" s="8" t="str">
        <f t="shared" si="3"/>
        <v>ISHMAEL JOSEPH</v>
      </c>
    </row>
    <row r="242" spans="1:7" x14ac:dyDescent="0.25">
      <c r="A242" s="8">
        <v>42734.114224537036</v>
      </c>
      <c r="B242" t="s">
        <v>155</v>
      </c>
      <c r="C242" t="s">
        <v>678</v>
      </c>
      <c r="D242" s="160">
        <v>2100000</v>
      </c>
      <c r="E242" t="s">
        <v>376</v>
      </c>
      <c r="F242" s="21" t="s">
        <v>377</v>
      </c>
      <c r="G242" s="8" t="str">
        <f t="shared" si="3"/>
        <v>ISHMAEL JOSEPH</v>
      </c>
    </row>
    <row r="243" spans="1:7" x14ac:dyDescent="0.25">
      <c r="A243" s="8">
        <v>42728.089687500003</v>
      </c>
      <c r="B243" t="s">
        <v>154</v>
      </c>
      <c r="C243" t="s">
        <v>315</v>
      </c>
      <c r="D243" s="160">
        <v>2220000</v>
      </c>
      <c r="E243" t="s">
        <v>303</v>
      </c>
      <c r="F243" s="21" t="s">
        <v>304</v>
      </c>
      <c r="G243" s="8" t="str">
        <f t="shared" si="3"/>
        <v>HILLS DUSTIN</v>
      </c>
    </row>
    <row r="244" spans="1:7" x14ac:dyDescent="0.25">
      <c r="A244" s="8">
        <v>42728.090300925927</v>
      </c>
      <c r="B244" t="s">
        <v>154</v>
      </c>
      <c r="C244" t="s">
        <v>315</v>
      </c>
      <c r="D244" s="160">
        <v>2220000</v>
      </c>
      <c r="E244" t="s">
        <v>303</v>
      </c>
      <c r="F244" s="21" t="s">
        <v>304</v>
      </c>
      <c r="G244" s="8" t="str">
        <f t="shared" si="3"/>
        <v>HILLS DUSTIN</v>
      </c>
    </row>
    <row r="245" spans="1:7" x14ac:dyDescent="0.25">
      <c r="A245" s="8">
        <v>42728.111944444441</v>
      </c>
      <c r="B245" t="s">
        <v>313</v>
      </c>
      <c r="C245" t="s">
        <v>316</v>
      </c>
      <c r="D245" s="160">
        <v>2270000</v>
      </c>
      <c r="E245" t="s">
        <v>305</v>
      </c>
      <c r="F245" s="21" t="s">
        <v>306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278</v>
      </c>
      <c r="C246" t="s">
        <v>281</v>
      </c>
      <c r="D246" s="160">
        <v>2000000</v>
      </c>
      <c r="E246" t="s">
        <v>209</v>
      </c>
      <c r="F246" s="21" t="s">
        <v>246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263</v>
      </c>
      <c r="C247" t="s">
        <v>282</v>
      </c>
      <c r="D247" s="160">
        <v>1810000</v>
      </c>
      <c r="E247" t="s">
        <v>270</v>
      </c>
      <c r="F247" s="21" t="s">
        <v>246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225</v>
      </c>
      <c r="C248" t="s">
        <v>283</v>
      </c>
      <c r="D248" s="160">
        <v>2230000</v>
      </c>
      <c r="E248" t="s">
        <v>269</v>
      </c>
      <c r="F248" s="21" t="s">
        <v>256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284</v>
      </c>
      <c r="D249" s="160">
        <v>1800000</v>
      </c>
      <c r="E249" t="s">
        <v>234</v>
      </c>
      <c r="F249" s="21" t="s">
        <v>249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262</v>
      </c>
      <c r="C250" t="s">
        <v>285</v>
      </c>
      <c r="D250" s="160">
        <v>1810000</v>
      </c>
      <c r="E250" t="s">
        <v>270</v>
      </c>
      <c r="F250" s="21" t="s">
        <v>246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277</v>
      </c>
      <c r="C251" t="s">
        <v>286</v>
      </c>
      <c r="D251" s="160">
        <v>2000000</v>
      </c>
      <c r="E251" t="s">
        <v>209</v>
      </c>
      <c r="F251" s="21" t="s">
        <v>246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287</v>
      </c>
      <c r="D252" s="160">
        <v>1800000</v>
      </c>
      <c r="E252" t="s">
        <v>234</v>
      </c>
      <c r="F252" s="21" t="s">
        <v>249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261</v>
      </c>
      <c r="C253" t="s">
        <v>288</v>
      </c>
      <c r="D253" s="160">
        <v>2230000</v>
      </c>
      <c r="E253" t="s">
        <v>269</v>
      </c>
      <c r="F253" s="21" t="s">
        <v>256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263</v>
      </c>
      <c r="C254" t="s">
        <v>289</v>
      </c>
      <c r="D254" s="160">
        <v>1810000</v>
      </c>
      <c r="E254" t="s">
        <v>270</v>
      </c>
      <c r="F254" s="21" t="s">
        <v>246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278</v>
      </c>
      <c r="C255" t="s">
        <v>290</v>
      </c>
      <c r="D255" s="160">
        <v>2000000</v>
      </c>
      <c r="E255" t="s">
        <v>209</v>
      </c>
      <c r="F255" s="21" t="s">
        <v>246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291</v>
      </c>
      <c r="D256" s="160">
        <v>2230000</v>
      </c>
      <c r="E256" t="s">
        <v>269</v>
      </c>
      <c r="F256" s="21" t="s">
        <v>256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277</v>
      </c>
      <c r="C257" t="s">
        <v>292</v>
      </c>
      <c r="D257" s="160">
        <v>2000000</v>
      </c>
      <c r="E257" t="s">
        <v>209</v>
      </c>
      <c r="F257" s="21" t="s">
        <v>246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293</v>
      </c>
      <c r="D258" s="160">
        <v>2110000</v>
      </c>
      <c r="E258" t="s">
        <v>279</v>
      </c>
      <c r="F258" s="21" t="s">
        <v>280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293</v>
      </c>
      <c r="D259" s="160">
        <v>2110000</v>
      </c>
      <c r="E259" t="s">
        <v>279</v>
      </c>
      <c r="F259" s="21" t="s">
        <v>280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231</v>
      </c>
      <c r="C260" t="s">
        <v>237</v>
      </c>
      <c r="D260" s="160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236</v>
      </c>
      <c r="D261" s="160">
        <v>2530000</v>
      </c>
      <c r="E261" t="s">
        <v>235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238</v>
      </c>
      <c r="D262" s="160">
        <v>2600000</v>
      </c>
      <c r="E262" t="s">
        <v>232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0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0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0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0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/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171</v>
      </c>
      <c r="I1" s="175" t="s">
        <v>172</v>
      </c>
      <c r="J1" s="175" t="s">
        <v>166</v>
      </c>
      <c r="K1" s="175" t="s">
        <v>164</v>
      </c>
      <c r="L1" s="175" t="s">
        <v>159</v>
      </c>
      <c r="M1" s="175" t="s">
        <v>169</v>
      </c>
      <c r="N1" s="175" t="s">
        <v>163</v>
      </c>
      <c r="O1" s="175" t="s">
        <v>170</v>
      </c>
      <c r="P1" s="175" t="s">
        <v>167</v>
      </c>
      <c r="Q1"/>
      <c r="R1"/>
    </row>
    <row r="2" spans="1:18" x14ac:dyDescent="0.25">
      <c r="A2" s="165">
        <v>29.21</v>
      </c>
      <c r="B2" s="165">
        <v>0.02</v>
      </c>
      <c r="C2" s="165">
        <v>16.809999999999999</v>
      </c>
      <c r="D2" s="8">
        <v>42733</v>
      </c>
      <c r="E2" s="165">
        <v>0.59</v>
      </c>
      <c r="F2" s="165" t="s">
        <v>318</v>
      </c>
      <c r="G2" s="165">
        <v>284.38</v>
      </c>
      <c r="H2" s="165">
        <v>0</v>
      </c>
      <c r="I2" s="165">
        <v>0</v>
      </c>
      <c r="J2" s="165">
        <v>1032.69</v>
      </c>
      <c r="K2" s="165" t="s">
        <v>317</v>
      </c>
      <c r="L2" s="165">
        <v>29.21</v>
      </c>
      <c r="M2" s="165">
        <v>1482994800</v>
      </c>
      <c r="N2" s="165">
        <v>5.26</v>
      </c>
      <c r="O2" s="165">
        <v>155</v>
      </c>
      <c r="P2" s="165">
        <v>1.7</v>
      </c>
      <c r="Q2"/>
      <c r="R2"/>
    </row>
    <row r="3" spans="1:18" x14ac:dyDescent="0.25">
      <c r="A3" s="165">
        <v>28.49</v>
      </c>
      <c r="B3" s="165">
        <v>0.03</v>
      </c>
      <c r="C3" s="165">
        <v>16.84</v>
      </c>
      <c r="D3" s="8">
        <v>42733.041666666664</v>
      </c>
      <c r="E3" s="165">
        <v>0.61</v>
      </c>
      <c r="F3" s="165" t="s">
        <v>318</v>
      </c>
      <c r="G3" s="165">
        <v>284.98</v>
      </c>
      <c r="H3" s="165">
        <v>0</v>
      </c>
      <c r="I3" s="165">
        <v>0</v>
      </c>
      <c r="J3" s="165">
        <v>1033.26</v>
      </c>
      <c r="K3" s="165" t="s">
        <v>317</v>
      </c>
      <c r="L3" s="165">
        <v>28.49</v>
      </c>
      <c r="M3" s="165">
        <v>1482998400</v>
      </c>
      <c r="N3" s="165">
        <v>4.8</v>
      </c>
      <c r="O3" s="165">
        <v>207</v>
      </c>
      <c r="P3" s="165">
        <v>1.61</v>
      </c>
      <c r="Q3"/>
      <c r="R3"/>
    </row>
    <row r="4" spans="1:18" x14ac:dyDescent="0.25">
      <c r="A4" s="165">
        <v>21.32</v>
      </c>
      <c r="B4" s="165">
        <v>0.03</v>
      </c>
      <c r="C4" s="165">
        <v>14.21</v>
      </c>
      <c r="D4" s="8">
        <v>42733.083333333336</v>
      </c>
      <c r="E4" s="165">
        <v>0.62</v>
      </c>
      <c r="F4" s="165" t="s">
        <v>318</v>
      </c>
      <c r="G4" s="165">
        <v>285.58</v>
      </c>
      <c r="H4" s="165">
        <v>0</v>
      </c>
      <c r="I4" s="165">
        <v>0</v>
      </c>
      <c r="J4" s="165">
        <v>1033.81</v>
      </c>
      <c r="K4" s="165" t="s">
        <v>317</v>
      </c>
      <c r="L4" s="165">
        <v>25.47</v>
      </c>
      <c r="M4" s="165">
        <v>1483002000</v>
      </c>
      <c r="N4" s="165">
        <v>4.2</v>
      </c>
      <c r="O4" s="165">
        <v>203</v>
      </c>
      <c r="P4" s="165">
        <v>3.41</v>
      </c>
      <c r="Q4"/>
      <c r="R4"/>
    </row>
    <row r="5" spans="1:18" x14ac:dyDescent="0.25">
      <c r="A5" s="165">
        <v>25.61</v>
      </c>
      <c r="B5" s="165">
        <v>0.05</v>
      </c>
      <c r="C5" s="165">
        <v>14.84</v>
      </c>
      <c r="D5" s="8">
        <v>42733.125</v>
      </c>
      <c r="E5" s="165">
        <v>0.63</v>
      </c>
      <c r="F5" s="165" t="s">
        <v>318</v>
      </c>
      <c r="G5" s="165">
        <v>284.95</v>
      </c>
      <c r="H5" s="165">
        <v>0</v>
      </c>
      <c r="I5" s="165">
        <v>0</v>
      </c>
      <c r="J5" s="165">
        <v>1034.33</v>
      </c>
      <c r="K5" s="165" t="s">
        <v>317</v>
      </c>
      <c r="L5" s="165">
        <v>25.61</v>
      </c>
      <c r="M5" s="165">
        <v>1483005600</v>
      </c>
      <c r="N5" s="165">
        <v>3.83</v>
      </c>
      <c r="O5" s="165">
        <v>202</v>
      </c>
      <c r="P5" s="165">
        <v>2.33</v>
      </c>
      <c r="Q5"/>
      <c r="R5"/>
    </row>
    <row r="6" spans="1:18" x14ac:dyDescent="0.25">
      <c r="A6" s="165">
        <v>25.17</v>
      </c>
      <c r="B6" s="165">
        <v>0.03</v>
      </c>
      <c r="C6" s="165">
        <v>14.16</v>
      </c>
      <c r="D6" s="8">
        <v>42733.166666666664</v>
      </c>
      <c r="E6" s="165">
        <v>0.62</v>
      </c>
      <c r="F6" s="165" t="s">
        <v>318</v>
      </c>
      <c r="G6" s="165">
        <v>283.77</v>
      </c>
      <c r="H6" s="165">
        <v>0</v>
      </c>
      <c r="I6" s="165">
        <v>0</v>
      </c>
      <c r="J6" s="165">
        <v>1034.82</v>
      </c>
      <c r="K6" s="165" t="s">
        <v>317</v>
      </c>
      <c r="L6" s="165">
        <v>25.17</v>
      </c>
      <c r="M6" s="165">
        <v>1483009200</v>
      </c>
      <c r="N6" s="165">
        <v>4.13</v>
      </c>
      <c r="O6" s="165">
        <v>191</v>
      </c>
      <c r="P6" s="165">
        <v>2.08</v>
      </c>
      <c r="Q6"/>
      <c r="R6"/>
    </row>
    <row r="7" spans="1:18" x14ac:dyDescent="0.25">
      <c r="A7" s="165">
        <v>24.41</v>
      </c>
      <c r="B7" s="165">
        <v>0.08</v>
      </c>
      <c r="C7" s="165">
        <v>13.68</v>
      </c>
      <c r="D7" s="8">
        <v>42733.208333333336</v>
      </c>
      <c r="E7" s="165">
        <v>0.63</v>
      </c>
      <c r="F7" s="165" t="s">
        <v>318</v>
      </c>
      <c r="G7" s="165">
        <v>282.52</v>
      </c>
      <c r="H7" s="165">
        <v>0</v>
      </c>
      <c r="I7" s="165">
        <v>0</v>
      </c>
      <c r="J7" s="165">
        <v>1035.32</v>
      </c>
      <c r="K7" s="165" t="s">
        <v>317</v>
      </c>
      <c r="L7" s="165">
        <v>24.41</v>
      </c>
      <c r="M7" s="165">
        <v>1483012800</v>
      </c>
      <c r="N7" s="165">
        <v>5.62</v>
      </c>
      <c r="O7" s="165">
        <v>187</v>
      </c>
      <c r="P7" s="165">
        <v>2.2599999999999998</v>
      </c>
      <c r="Q7"/>
      <c r="R7"/>
    </row>
    <row r="8" spans="1:18" x14ac:dyDescent="0.25">
      <c r="A8" s="165">
        <v>23.11</v>
      </c>
      <c r="B8" s="165">
        <v>0.09</v>
      </c>
      <c r="C8" s="165">
        <v>13.72</v>
      </c>
      <c r="D8" s="8">
        <v>42733.25</v>
      </c>
      <c r="E8" s="165">
        <v>0.67</v>
      </c>
      <c r="F8" s="165" t="s">
        <v>318</v>
      </c>
      <c r="G8" s="165">
        <v>281.37</v>
      </c>
      <c r="H8" s="165">
        <v>0</v>
      </c>
      <c r="I8" s="165">
        <v>0</v>
      </c>
      <c r="J8" s="165">
        <v>1035.99</v>
      </c>
      <c r="K8" s="165" t="s">
        <v>317</v>
      </c>
      <c r="L8" s="165">
        <v>23.11</v>
      </c>
      <c r="M8" s="165">
        <v>1483016400</v>
      </c>
      <c r="N8" s="165">
        <v>5.08</v>
      </c>
      <c r="O8" s="165">
        <v>211</v>
      </c>
      <c r="P8" s="165">
        <v>2.29</v>
      </c>
      <c r="Q8"/>
      <c r="R8"/>
    </row>
    <row r="9" spans="1:18" x14ac:dyDescent="0.25">
      <c r="A9" s="165">
        <v>22.76</v>
      </c>
      <c r="B9" s="165">
        <v>0.09</v>
      </c>
      <c r="C9" s="165">
        <v>14.54</v>
      </c>
      <c r="D9" s="8">
        <v>42733.291666666664</v>
      </c>
      <c r="E9" s="165">
        <v>0.7</v>
      </c>
      <c r="F9" s="165" t="s">
        <v>318</v>
      </c>
      <c r="G9" s="165">
        <v>280.14999999999998</v>
      </c>
      <c r="H9" s="165">
        <v>0</v>
      </c>
      <c r="I9" s="165">
        <v>0</v>
      </c>
      <c r="J9" s="165">
        <v>1036.51</v>
      </c>
      <c r="K9" s="165" t="s">
        <v>317</v>
      </c>
      <c r="L9" s="165">
        <v>22.76</v>
      </c>
      <c r="M9" s="165">
        <v>1483020000</v>
      </c>
      <c r="N9" s="165">
        <v>4.24</v>
      </c>
      <c r="O9" s="165">
        <v>239</v>
      </c>
      <c r="P9" s="165">
        <v>2.2400000000000002</v>
      </c>
      <c r="Q9"/>
      <c r="R9"/>
    </row>
    <row r="10" spans="1:18" x14ac:dyDescent="0.25">
      <c r="A10" s="165">
        <v>22.78</v>
      </c>
      <c r="B10" s="165">
        <v>0.09</v>
      </c>
      <c r="C10" s="165">
        <v>15.01</v>
      </c>
      <c r="D10" s="8">
        <v>42733.333333333336</v>
      </c>
      <c r="E10" s="165">
        <v>0.72</v>
      </c>
      <c r="F10" s="165" t="s">
        <v>394</v>
      </c>
      <c r="G10" s="165">
        <v>278.81</v>
      </c>
      <c r="H10" s="165">
        <v>0</v>
      </c>
      <c r="I10" s="165">
        <v>0</v>
      </c>
      <c r="J10" s="165">
        <v>1036.46</v>
      </c>
      <c r="K10" s="165" t="s">
        <v>317</v>
      </c>
      <c r="L10" s="165">
        <v>22.78</v>
      </c>
      <c r="M10" s="165">
        <v>1483023600</v>
      </c>
      <c r="N10" s="165">
        <v>3.95</v>
      </c>
      <c r="O10" s="165">
        <v>246</v>
      </c>
      <c r="P10" s="165">
        <v>1.97</v>
      </c>
      <c r="Q10"/>
      <c r="R10"/>
    </row>
    <row r="11" spans="1:18" x14ac:dyDescent="0.25">
      <c r="A11" s="165">
        <v>26.85</v>
      </c>
      <c r="B11" s="165">
        <v>0.09</v>
      </c>
      <c r="C11" s="165">
        <v>17.809999999999999</v>
      </c>
      <c r="D11" s="8">
        <v>42733.375</v>
      </c>
      <c r="E11" s="165">
        <v>0.68</v>
      </c>
      <c r="F11" s="165" t="s">
        <v>394</v>
      </c>
      <c r="G11" s="165">
        <v>277.24</v>
      </c>
      <c r="H11" s="165">
        <v>0</v>
      </c>
      <c r="I11" s="165">
        <v>0</v>
      </c>
      <c r="J11" s="165">
        <v>1035.3900000000001</v>
      </c>
      <c r="K11" s="165" t="s">
        <v>317</v>
      </c>
      <c r="L11" s="165">
        <v>26.85</v>
      </c>
      <c r="M11" s="165">
        <v>1483027200</v>
      </c>
      <c r="N11" s="165">
        <v>3.89</v>
      </c>
      <c r="O11" s="165">
        <v>222</v>
      </c>
      <c r="P11" s="165">
        <v>2.06</v>
      </c>
      <c r="Q11"/>
      <c r="R11"/>
    </row>
    <row r="12" spans="1:18" x14ac:dyDescent="0.25">
      <c r="A12" s="165">
        <v>31.57</v>
      </c>
      <c r="B12" s="165">
        <v>0.09</v>
      </c>
      <c r="C12" s="165">
        <v>19.05</v>
      </c>
      <c r="D12" s="8">
        <v>42733.416666666664</v>
      </c>
      <c r="E12" s="165">
        <v>0.59</v>
      </c>
      <c r="F12" s="165" t="s">
        <v>394</v>
      </c>
      <c r="G12" s="165">
        <v>275.55</v>
      </c>
      <c r="H12" s="165">
        <v>0</v>
      </c>
      <c r="I12" s="165">
        <v>0</v>
      </c>
      <c r="J12" s="165">
        <v>1033.25</v>
      </c>
      <c r="K12" s="165" t="s">
        <v>317</v>
      </c>
      <c r="L12" s="165">
        <v>31.57</v>
      </c>
      <c r="M12" s="165">
        <v>1483030800</v>
      </c>
      <c r="N12" s="165">
        <v>3.93</v>
      </c>
      <c r="O12" s="165">
        <v>211</v>
      </c>
      <c r="P12" s="165">
        <v>1.92</v>
      </c>
      <c r="Q12"/>
      <c r="R12"/>
    </row>
    <row r="13" spans="1:18" x14ac:dyDescent="0.25">
      <c r="A13" s="165">
        <v>38.07</v>
      </c>
      <c r="B13" s="165">
        <v>0.12</v>
      </c>
      <c r="C13" s="165">
        <v>19.510000000000002</v>
      </c>
      <c r="D13" s="8">
        <v>42733.458333333336</v>
      </c>
      <c r="E13" s="165">
        <v>0.47</v>
      </c>
      <c r="F13" s="165" t="s">
        <v>394</v>
      </c>
      <c r="G13" s="165">
        <v>274.10000000000002</v>
      </c>
      <c r="H13" s="165">
        <v>0</v>
      </c>
      <c r="I13" s="165">
        <v>0</v>
      </c>
      <c r="J13" s="165">
        <v>1030.99</v>
      </c>
      <c r="K13" s="165" t="s">
        <v>317</v>
      </c>
      <c r="L13" s="165">
        <v>38.07</v>
      </c>
      <c r="M13" s="165">
        <v>1483034400</v>
      </c>
      <c r="N13" s="165">
        <v>4.01</v>
      </c>
      <c r="O13" s="165">
        <v>205</v>
      </c>
      <c r="P13" s="165">
        <v>1.21</v>
      </c>
      <c r="Q13"/>
      <c r="R13"/>
    </row>
    <row r="14" spans="1:18" x14ac:dyDescent="0.25">
      <c r="A14" s="165">
        <v>43.35</v>
      </c>
      <c r="B14" s="165">
        <v>0.12</v>
      </c>
      <c r="C14" s="165">
        <v>19.149999999999999</v>
      </c>
      <c r="D14" s="8">
        <v>42733.5</v>
      </c>
      <c r="E14" s="165">
        <v>0.37</v>
      </c>
      <c r="F14" s="165" t="s">
        <v>394</v>
      </c>
      <c r="G14" s="165">
        <v>273.14</v>
      </c>
      <c r="H14" s="165">
        <v>0</v>
      </c>
      <c r="I14" s="165">
        <v>0</v>
      </c>
      <c r="J14" s="165">
        <v>1029.1500000000001</v>
      </c>
      <c r="K14" s="165" t="s">
        <v>317</v>
      </c>
      <c r="L14" s="165">
        <v>43.35</v>
      </c>
      <c r="M14" s="165">
        <v>1483038000</v>
      </c>
      <c r="N14" s="165">
        <v>4.0999999999999996</v>
      </c>
      <c r="O14" s="165">
        <v>96</v>
      </c>
      <c r="P14" s="165">
        <v>0.36</v>
      </c>
      <c r="Q14"/>
      <c r="R14"/>
    </row>
    <row r="15" spans="1:18" x14ac:dyDescent="0.25">
      <c r="A15" s="165">
        <v>46</v>
      </c>
      <c r="B15" s="165">
        <v>0.12</v>
      </c>
      <c r="C15" s="165">
        <v>19.93</v>
      </c>
      <c r="D15" s="8">
        <v>42733.541666666664</v>
      </c>
      <c r="E15" s="165">
        <v>0.35</v>
      </c>
      <c r="F15" s="165" t="s">
        <v>394</v>
      </c>
      <c r="G15" s="165">
        <v>272.42</v>
      </c>
      <c r="H15" s="165">
        <v>0</v>
      </c>
      <c r="I15" s="165">
        <v>0</v>
      </c>
      <c r="J15" s="165">
        <v>1027.69</v>
      </c>
      <c r="K15" s="165" t="s">
        <v>317</v>
      </c>
      <c r="L15" s="165">
        <v>46</v>
      </c>
      <c r="M15" s="165">
        <v>1483041600</v>
      </c>
      <c r="N15" s="165">
        <v>4.28</v>
      </c>
      <c r="O15" s="165">
        <v>22</v>
      </c>
      <c r="P15" s="165">
        <v>2.56</v>
      </c>
      <c r="Q15"/>
      <c r="R15"/>
    </row>
    <row r="16" spans="1:18" x14ac:dyDescent="0.25">
      <c r="A16" s="165">
        <v>44.42</v>
      </c>
      <c r="B16" s="165">
        <v>0.15</v>
      </c>
      <c r="C16" s="165">
        <v>20.94</v>
      </c>
      <c r="D16" s="8">
        <v>42733.583333333336</v>
      </c>
      <c r="E16" s="165">
        <v>0.36</v>
      </c>
      <c r="F16" s="165" t="s">
        <v>394</v>
      </c>
      <c r="G16" s="165">
        <v>271.54000000000002</v>
      </c>
      <c r="H16" s="165">
        <v>0</v>
      </c>
      <c r="I16" s="165">
        <v>0</v>
      </c>
      <c r="J16" s="165">
        <v>1026.73</v>
      </c>
      <c r="K16" s="165" t="s">
        <v>317</v>
      </c>
      <c r="L16" s="165">
        <v>46.36</v>
      </c>
      <c r="M16" s="165">
        <v>1483045200</v>
      </c>
      <c r="N16" s="165">
        <v>4.3099999999999996</v>
      </c>
      <c r="O16" s="165">
        <v>14</v>
      </c>
      <c r="P16" s="165">
        <v>4.32</v>
      </c>
      <c r="Q16"/>
      <c r="R16"/>
    </row>
    <row r="17" spans="1:18" x14ac:dyDescent="0.25">
      <c r="A17" s="165">
        <v>44.24</v>
      </c>
      <c r="B17" s="165">
        <v>0.16</v>
      </c>
      <c r="C17" s="165">
        <v>21.61</v>
      </c>
      <c r="D17" s="8">
        <v>42733.625</v>
      </c>
      <c r="E17" s="165">
        <v>0.38</v>
      </c>
      <c r="F17" s="165" t="s">
        <v>394</v>
      </c>
      <c r="G17" s="165">
        <v>270.14999999999998</v>
      </c>
      <c r="H17" s="165">
        <v>0</v>
      </c>
      <c r="I17" s="165">
        <v>0</v>
      </c>
      <c r="J17" s="165">
        <v>1026.22</v>
      </c>
      <c r="K17" s="165" t="s">
        <v>317</v>
      </c>
      <c r="L17" s="165">
        <v>45.43</v>
      </c>
      <c r="M17" s="165">
        <v>1483048800</v>
      </c>
      <c r="N17" s="165">
        <v>4.43</v>
      </c>
      <c r="O17" s="165">
        <v>13</v>
      </c>
      <c r="P17" s="165">
        <v>3.26</v>
      </c>
      <c r="Q17"/>
      <c r="R17"/>
    </row>
    <row r="18" spans="1:18" x14ac:dyDescent="0.25">
      <c r="A18" s="165">
        <v>43.12</v>
      </c>
      <c r="B18" s="165">
        <v>0.16</v>
      </c>
      <c r="C18" s="165">
        <v>21.02</v>
      </c>
      <c r="D18" s="8">
        <v>42733.666666666664</v>
      </c>
      <c r="E18" s="165">
        <v>0.41</v>
      </c>
      <c r="F18" s="165" t="s">
        <v>394</v>
      </c>
      <c r="G18" s="165">
        <v>268.58999999999997</v>
      </c>
      <c r="H18" s="165">
        <v>0</v>
      </c>
      <c r="I18" s="165">
        <v>0</v>
      </c>
      <c r="J18" s="165">
        <v>1026.03</v>
      </c>
      <c r="K18" s="165" t="s">
        <v>317</v>
      </c>
      <c r="L18" s="165">
        <v>43.12</v>
      </c>
      <c r="M18" s="165">
        <v>1483052400</v>
      </c>
      <c r="N18" s="165">
        <v>7.24</v>
      </c>
      <c r="O18" s="165">
        <v>10</v>
      </c>
      <c r="P18" s="165">
        <v>2.5499999999999998</v>
      </c>
      <c r="Q18"/>
      <c r="R18"/>
    </row>
    <row r="19" spans="1:18" x14ac:dyDescent="0.25">
      <c r="A19" s="165">
        <v>39.65</v>
      </c>
      <c r="B19" s="165">
        <v>0.13</v>
      </c>
      <c r="C19" s="165">
        <v>20.72</v>
      </c>
      <c r="D19" s="8">
        <v>42733.708333333336</v>
      </c>
      <c r="E19" s="165">
        <v>0.46</v>
      </c>
      <c r="F19" s="165" t="s">
        <v>318</v>
      </c>
      <c r="G19" s="165">
        <v>267.54000000000002</v>
      </c>
      <c r="H19" s="165">
        <v>0</v>
      </c>
      <c r="I19" s="165">
        <v>0</v>
      </c>
      <c r="J19" s="165">
        <v>1025.95</v>
      </c>
      <c r="K19" s="165" t="s">
        <v>317</v>
      </c>
      <c r="L19" s="165">
        <v>39.65</v>
      </c>
      <c r="M19" s="165">
        <v>1483056000</v>
      </c>
      <c r="N19" s="165">
        <v>7.65</v>
      </c>
      <c r="O19" s="165">
        <v>10</v>
      </c>
      <c r="P19" s="165">
        <v>2.3199999999999998</v>
      </c>
      <c r="Q19"/>
      <c r="R19"/>
    </row>
    <row r="20" spans="1:18" x14ac:dyDescent="0.25">
      <c r="A20" s="165">
        <v>35.81</v>
      </c>
      <c r="B20" s="165">
        <v>0.08</v>
      </c>
      <c r="C20" s="165">
        <v>19.510000000000002</v>
      </c>
      <c r="D20" s="8">
        <v>42733.75</v>
      </c>
      <c r="E20" s="165">
        <v>0.51</v>
      </c>
      <c r="F20" s="165" t="s">
        <v>318</v>
      </c>
      <c r="G20" s="165">
        <v>267.33999999999997</v>
      </c>
      <c r="H20" s="165">
        <v>0</v>
      </c>
      <c r="I20" s="165">
        <v>0</v>
      </c>
      <c r="J20" s="165">
        <v>1025.8</v>
      </c>
      <c r="K20" s="165" t="s">
        <v>317</v>
      </c>
      <c r="L20" s="165">
        <v>35.81</v>
      </c>
      <c r="M20" s="165">
        <v>1483059600</v>
      </c>
      <c r="N20" s="165">
        <v>8.2799999999999994</v>
      </c>
      <c r="O20" s="165">
        <v>256</v>
      </c>
      <c r="P20" s="165">
        <v>1.08</v>
      </c>
      <c r="Q20"/>
      <c r="R20"/>
    </row>
    <row r="21" spans="1:18" x14ac:dyDescent="0.25">
      <c r="A21" s="165">
        <v>33.549999999999997</v>
      </c>
      <c r="B21" s="165">
        <v>0.04</v>
      </c>
      <c r="C21" s="165">
        <v>17.510000000000002</v>
      </c>
      <c r="D21" s="8">
        <v>42733.791666666664</v>
      </c>
      <c r="E21" s="165">
        <v>0.51</v>
      </c>
      <c r="F21" s="165" t="s">
        <v>318</v>
      </c>
      <c r="G21" s="165">
        <v>267.64</v>
      </c>
      <c r="H21" s="165">
        <v>0</v>
      </c>
      <c r="I21" s="165">
        <v>0</v>
      </c>
      <c r="J21" s="165">
        <v>1026.22</v>
      </c>
      <c r="K21" s="165" t="s">
        <v>317</v>
      </c>
      <c r="L21" s="165">
        <v>33.549999999999997</v>
      </c>
      <c r="M21" s="165">
        <v>1483063200</v>
      </c>
      <c r="N21" s="165">
        <v>9.08</v>
      </c>
      <c r="O21" s="165">
        <v>260</v>
      </c>
      <c r="P21" s="165">
        <v>2.14</v>
      </c>
      <c r="Q21"/>
      <c r="R21"/>
    </row>
    <row r="22" spans="1:18" x14ac:dyDescent="0.25">
      <c r="A22" s="165">
        <v>29.96</v>
      </c>
      <c r="B22" s="165">
        <v>0.04</v>
      </c>
      <c r="C22" s="165">
        <v>17.079999999999998</v>
      </c>
      <c r="D22" s="8">
        <v>42733.833333333336</v>
      </c>
      <c r="E22" s="165">
        <v>0.52</v>
      </c>
      <c r="F22" s="165" t="s">
        <v>318</v>
      </c>
      <c r="G22" s="165">
        <v>268.04000000000002</v>
      </c>
      <c r="H22" s="165">
        <v>0</v>
      </c>
      <c r="I22" s="165">
        <v>0</v>
      </c>
      <c r="J22" s="165">
        <v>1026.26</v>
      </c>
      <c r="K22" s="165" t="s">
        <v>317</v>
      </c>
      <c r="L22" s="165">
        <v>32.65</v>
      </c>
      <c r="M22" s="165">
        <v>1483066800</v>
      </c>
      <c r="N22" s="165">
        <v>8.4</v>
      </c>
      <c r="O22" s="165">
        <v>252</v>
      </c>
      <c r="P22" s="165">
        <v>3.06</v>
      </c>
      <c r="Q22"/>
      <c r="R22"/>
    </row>
    <row r="23" spans="1:18" x14ac:dyDescent="0.25">
      <c r="A23" s="165">
        <v>29.21</v>
      </c>
      <c r="B23" s="165">
        <v>0.16</v>
      </c>
      <c r="C23" s="165">
        <v>16.989999999999998</v>
      </c>
      <c r="D23" s="8">
        <v>42733.875</v>
      </c>
      <c r="E23" s="165">
        <v>0.51</v>
      </c>
      <c r="F23" s="165" t="s">
        <v>318</v>
      </c>
      <c r="G23" s="165">
        <v>268.39999999999998</v>
      </c>
      <c r="H23" s="165">
        <v>0</v>
      </c>
      <c r="I23" s="165">
        <v>0</v>
      </c>
      <c r="J23" s="165">
        <v>1025.52</v>
      </c>
      <c r="K23" s="165" t="s">
        <v>317</v>
      </c>
      <c r="L23" s="165">
        <v>32.93</v>
      </c>
      <c r="M23" s="165">
        <v>1483070400</v>
      </c>
      <c r="N23" s="165">
        <v>7.91</v>
      </c>
      <c r="O23" s="165">
        <v>249</v>
      </c>
      <c r="P23" s="165">
        <v>3.94</v>
      </c>
      <c r="Q23"/>
      <c r="R23"/>
    </row>
    <row r="24" spans="1:18" x14ac:dyDescent="0.25">
      <c r="A24" s="165">
        <v>26.4</v>
      </c>
      <c r="B24" s="165">
        <v>0.19</v>
      </c>
      <c r="C24" s="165">
        <v>13.7</v>
      </c>
      <c r="D24" s="8">
        <v>42733.916666666664</v>
      </c>
      <c r="E24" s="165">
        <v>0.48</v>
      </c>
      <c r="F24" s="165" t="s">
        <v>318</v>
      </c>
      <c r="G24" s="165">
        <v>268.86</v>
      </c>
      <c r="H24" s="165">
        <v>0</v>
      </c>
      <c r="I24" s="165">
        <v>0</v>
      </c>
      <c r="J24" s="165">
        <v>1024.3900000000001</v>
      </c>
      <c r="K24" s="165" t="s">
        <v>317</v>
      </c>
      <c r="L24" s="165">
        <v>31.04</v>
      </c>
      <c r="M24" s="165">
        <v>1483074000</v>
      </c>
      <c r="N24" s="165">
        <v>8.0500000000000007</v>
      </c>
      <c r="O24" s="165">
        <v>241</v>
      </c>
      <c r="P24" s="165">
        <v>4.53</v>
      </c>
      <c r="Q24"/>
      <c r="R24"/>
    </row>
    <row r="25" spans="1:18" x14ac:dyDescent="0.25">
      <c r="A25" s="165">
        <v>28.3</v>
      </c>
      <c r="B25" s="165">
        <v>0.21</v>
      </c>
      <c r="C25" s="165">
        <v>15.05</v>
      </c>
      <c r="D25" s="8">
        <v>42733.958333333336</v>
      </c>
      <c r="E25" s="165">
        <v>0.46</v>
      </c>
      <c r="F25" s="165" t="s">
        <v>318</v>
      </c>
      <c r="G25" s="165">
        <v>269.45999999999998</v>
      </c>
      <c r="H25" s="165">
        <v>0</v>
      </c>
      <c r="I25" s="165">
        <v>0</v>
      </c>
      <c r="J25" s="165">
        <v>1023.54</v>
      </c>
      <c r="K25" s="165" t="s">
        <v>317</v>
      </c>
      <c r="L25" s="165">
        <v>33.82</v>
      </c>
      <c r="M25" s="165">
        <v>1483077600</v>
      </c>
      <c r="N25" s="165">
        <v>8.48</v>
      </c>
      <c r="O25" s="165">
        <v>247</v>
      </c>
      <c r="P25" s="165">
        <v>6.14</v>
      </c>
      <c r="Q25"/>
      <c r="R25"/>
    </row>
    <row r="26" spans="1:18" x14ac:dyDescent="0.25">
      <c r="A26" s="165">
        <v>29.3</v>
      </c>
      <c r="B26" s="165">
        <v>0.28999999999999998</v>
      </c>
      <c r="C26" s="165">
        <v>13.16</v>
      </c>
      <c r="D26" s="8">
        <v>42734</v>
      </c>
      <c r="E26" s="165">
        <v>0.4</v>
      </c>
      <c r="F26" s="165" t="s">
        <v>239</v>
      </c>
      <c r="G26" s="165">
        <v>270.36</v>
      </c>
      <c r="H26" s="165">
        <v>0</v>
      </c>
      <c r="I26" s="165">
        <v>0</v>
      </c>
      <c r="J26" s="165">
        <v>1023.38</v>
      </c>
      <c r="K26" s="165" t="s">
        <v>243</v>
      </c>
      <c r="L26" s="165">
        <v>34.72</v>
      </c>
      <c r="M26" s="165">
        <v>1483081200</v>
      </c>
      <c r="N26" s="165">
        <v>8.73</v>
      </c>
      <c r="O26" s="165">
        <v>247</v>
      </c>
      <c r="P26" s="165">
        <v>6.23</v>
      </c>
      <c r="Q26"/>
      <c r="R26"/>
    </row>
    <row r="27" spans="1:18" x14ac:dyDescent="0.25">
      <c r="A27" s="165">
        <v>31.59</v>
      </c>
      <c r="B27" s="165">
        <v>0.35</v>
      </c>
      <c r="C27" s="165">
        <v>11.39</v>
      </c>
      <c r="D27" s="8">
        <v>42734.041666666664</v>
      </c>
      <c r="E27" s="165">
        <v>0.37</v>
      </c>
      <c r="F27" s="165" t="s">
        <v>239</v>
      </c>
      <c r="G27" s="165">
        <v>271.27</v>
      </c>
      <c r="H27" s="165">
        <v>0</v>
      </c>
      <c r="I27" s="165">
        <v>0</v>
      </c>
      <c r="J27" s="165">
        <v>1023.26</v>
      </c>
      <c r="K27" s="165" t="s">
        <v>243</v>
      </c>
      <c r="L27" s="165">
        <v>34.68</v>
      </c>
      <c r="M27" s="165">
        <v>1483084800</v>
      </c>
      <c r="N27" s="165">
        <v>8.61</v>
      </c>
      <c r="O27" s="165">
        <v>225</v>
      </c>
      <c r="P27" s="165">
        <v>3.62</v>
      </c>
      <c r="Q27"/>
      <c r="R27"/>
    </row>
    <row r="28" spans="1:18" x14ac:dyDescent="0.25">
      <c r="A28" s="165">
        <v>31.46</v>
      </c>
      <c r="B28" s="165">
        <v>0.41</v>
      </c>
      <c r="C28" s="165">
        <v>11.8</v>
      </c>
      <c r="D28" s="8">
        <v>42734.083333333336</v>
      </c>
      <c r="E28" s="165">
        <v>0.39</v>
      </c>
      <c r="F28" s="165" t="s">
        <v>239</v>
      </c>
      <c r="G28" s="165">
        <v>272.17</v>
      </c>
      <c r="H28" s="165">
        <v>0</v>
      </c>
      <c r="I28" s="165">
        <v>0</v>
      </c>
      <c r="J28" s="165">
        <v>1023.11</v>
      </c>
      <c r="K28" s="165" t="s">
        <v>243</v>
      </c>
      <c r="L28" s="165">
        <v>34.14</v>
      </c>
      <c r="M28" s="165">
        <v>1483088400</v>
      </c>
      <c r="N28" s="165">
        <v>7.06</v>
      </c>
      <c r="O28" s="165">
        <v>233</v>
      </c>
      <c r="P28" s="165">
        <v>3.22</v>
      </c>
      <c r="Q28"/>
      <c r="R28"/>
    </row>
    <row r="29" spans="1:18" x14ac:dyDescent="0.25">
      <c r="A29" s="165">
        <v>27.73</v>
      </c>
      <c r="B29" s="165">
        <v>0.36</v>
      </c>
      <c r="C29" s="165">
        <v>8.61</v>
      </c>
      <c r="D29" s="8">
        <v>42734.125</v>
      </c>
      <c r="E29" s="165">
        <v>0.38</v>
      </c>
      <c r="F29" s="165" t="s">
        <v>239</v>
      </c>
      <c r="G29" s="165">
        <v>273.51</v>
      </c>
      <c r="H29" s="165">
        <v>0</v>
      </c>
      <c r="I29" s="165">
        <v>0</v>
      </c>
      <c r="J29" s="165">
        <v>1022.71</v>
      </c>
      <c r="K29" s="165" t="s">
        <v>243</v>
      </c>
      <c r="L29" s="165">
        <v>31.19</v>
      </c>
      <c r="M29" s="165">
        <v>1483092000</v>
      </c>
      <c r="N29" s="165">
        <v>8.16</v>
      </c>
      <c r="O29" s="165">
        <v>225</v>
      </c>
      <c r="P29" s="165">
        <v>3.5</v>
      </c>
      <c r="Q29"/>
      <c r="R29"/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202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6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42733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203</v>
      </c>
      <c r="J17" s="186"/>
      <c r="K17" s="187"/>
      <c r="L17" s="187"/>
    </row>
    <row r="18" spans="3:13" x14ac:dyDescent="0.25">
      <c r="C18" t="s">
        <v>821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822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823</v>
      </c>
      <c r="J20" s="165" t="s">
        <v>87</v>
      </c>
      <c r="M20" s="165" t="s">
        <v>434</v>
      </c>
    </row>
    <row r="21" spans="3:13" x14ac:dyDescent="0.25">
      <c r="C21" t="s">
        <v>824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825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826</v>
      </c>
      <c r="J23" s="188" t="s">
        <v>95</v>
      </c>
      <c r="M23" s="165">
        <v>-7</v>
      </c>
    </row>
    <row r="24" spans="3:13" x14ac:dyDescent="0.25">
      <c r="C24" t="s">
        <v>827</v>
      </c>
      <c r="J24" s="165" t="s">
        <v>108</v>
      </c>
      <c r="M24" s="165" t="s">
        <v>110</v>
      </c>
    </row>
    <row r="25" spans="3:13" x14ac:dyDescent="0.25">
      <c r="C25" t="s">
        <v>828</v>
      </c>
      <c r="J25" s="165" t="s">
        <v>151</v>
      </c>
      <c r="M25" s="165" t="b">
        <v>1</v>
      </c>
    </row>
    <row r="26" spans="3:13" x14ac:dyDescent="0.25">
      <c r="C26" t="s">
        <v>829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C:\Users\stu\Documents\GitHub\eaglep3-reporting\EC\2016-12-29-refined-times.txt</v>
      </c>
    </row>
    <row r="27" spans="3:13" x14ac:dyDescent="0.25">
      <c r="C27" t="s">
        <v>830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C:\Users\stu\Documents\GitHub\eaglep3-reporting\EC\2016-12-29-Enforcements.txt</v>
      </c>
    </row>
    <row r="28" spans="3:13" x14ac:dyDescent="0.25">
      <c r="C28" t="s">
        <v>831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C:\Users\stu\Documents\GitHub\eaglep3-reporting\EC\2016-12-29-Runs-refined.txt</v>
      </c>
    </row>
    <row r="29" spans="3:13" x14ac:dyDescent="0.25">
      <c r="C29" t="s">
        <v>832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C:\Users\stu\Documents\GitHub\eaglep3-reporting\EC\2016-12-29-Trips.txt</v>
      </c>
    </row>
    <row r="30" spans="3:13" x14ac:dyDescent="0.25">
      <c r="C30" t="s">
        <v>833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C:\Users\stu\Documents\GitHub\eaglep3-reporting\EC\2016-12-29-Weather.txt</v>
      </c>
    </row>
    <row r="31" spans="3:13" x14ac:dyDescent="0.25">
      <c r="C31" t="s">
        <v>834</v>
      </c>
      <c r="J31" s="165" t="s">
        <v>432</v>
      </c>
      <c r="M31" s="165" t="s">
        <v>433</v>
      </c>
    </row>
    <row r="32" spans="3:13" x14ac:dyDescent="0.25">
      <c r="C32" t="s">
        <v>835</v>
      </c>
    </row>
    <row r="33" spans="3:3" x14ac:dyDescent="0.25">
      <c r="C33" t="s">
        <v>836</v>
      </c>
    </row>
    <row r="34" spans="3:3" x14ac:dyDescent="0.25">
      <c r="C34" t="s">
        <v>837</v>
      </c>
    </row>
    <row r="35" spans="3:3" x14ac:dyDescent="0.25">
      <c r="C35" t="s">
        <v>838</v>
      </c>
    </row>
    <row r="36" spans="3:3" x14ac:dyDescent="0.25">
      <c r="C36" t="s">
        <v>839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845</v>
      </c>
      <c r="B1" t="str">
        <f t="shared" ref="B1:B52" si="0">MID(A1,6,23)</f>
        <v>2016/12/29 11:41:53.500</v>
      </c>
      <c r="C1" t="e">
        <f>ABS(B1-#REF!)</f>
        <v>#REF!</v>
      </c>
    </row>
    <row r="2" spans="1:3" x14ac:dyDescent="0.25">
      <c r="A2" t="s">
        <v>846</v>
      </c>
      <c r="B2" s="21" t="str">
        <f t="shared" si="0"/>
        <v>2016/12/29 11:41:54.422</v>
      </c>
      <c r="C2">
        <f>ABS(B2-B1)</f>
        <v>1.0671290510799736E-5</v>
      </c>
    </row>
    <row r="3" spans="1:3" x14ac:dyDescent="0.25">
      <c r="A3" t="s">
        <v>847</v>
      </c>
      <c r="B3" s="21" t="str">
        <f t="shared" si="0"/>
        <v>2016/12/29 11:41:55.112</v>
      </c>
      <c r="C3" s="21">
        <f t="shared" ref="C3:C52" si="1">ABS(B3-B2)</f>
        <v>7.9861129052005708E-6</v>
      </c>
    </row>
    <row r="4" spans="1:3" x14ac:dyDescent="0.25">
      <c r="A4" t="s">
        <v>848</v>
      </c>
      <c r="B4" s="21" t="str">
        <f t="shared" si="0"/>
        <v>2016/12/29 12:51:36.605</v>
      </c>
      <c r="C4" s="21">
        <f t="shared" si="1"/>
        <v>4.8396909725852311E-2</v>
      </c>
    </row>
    <row r="5" spans="1:3" x14ac:dyDescent="0.25">
      <c r="A5" t="s">
        <v>849</v>
      </c>
      <c r="B5" s="21" t="str">
        <f t="shared" si="0"/>
        <v>2016/12/29 12:51:36.807</v>
      </c>
      <c r="C5" s="21">
        <f t="shared" si="1"/>
        <v>2.3379616322927177E-6</v>
      </c>
    </row>
    <row r="6" spans="1:3" x14ac:dyDescent="0.25">
      <c r="A6" t="s">
        <v>850</v>
      </c>
      <c r="B6" s="21" t="str">
        <f t="shared" si="0"/>
        <v>2016/12/29 12:51:37.542</v>
      </c>
      <c r="C6" s="21">
        <f t="shared" si="1"/>
        <v>8.5069405031390488E-6</v>
      </c>
    </row>
    <row r="7" spans="1:3" x14ac:dyDescent="0.25">
      <c r="A7" t="s">
        <v>851</v>
      </c>
      <c r="B7" s="21" t="str">
        <f t="shared" si="0"/>
        <v>2016/12/29 15:06:34.226</v>
      </c>
      <c r="C7" s="21">
        <f t="shared" si="1"/>
        <v>9.3711620371323079E-2</v>
      </c>
    </row>
    <row r="8" spans="1:3" x14ac:dyDescent="0.25">
      <c r="A8" t="s">
        <v>852</v>
      </c>
      <c r="B8" s="21" t="str">
        <f t="shared" si="0"/>
        <v>2016/12/29 15:06:34.621</v>
      </c>
      <c r="C8" s="21">
        <f t="shared" si="1"/>
        <v>4.5717606553807855E-6</v>
      </c>
    </row>
    <row r="9" spans="1:3" x14ac:dyDescent="0.25">
      <c r="A9" t="s">
        <v>853</v>
      </c>
      <c r="B9" s="21" t="str">
        <f t="shared" si="0"/>
        <v>2016/12/29 19:17:58.856</v>
      </c>
      <c r="C9" s="21">
        <f t="shared" si="1"/>
        <v>0.17458605323918164</v>
      </c>
    </row>
    <row r="10" spans="1:3" x14ac:dyDescent="0.25">
      <c r="A10" t="s">
        <v>854</v>
      </c>
      <c r="B10" s="21" t="str">
        <f t="shared" si="0"/>
        <v>2016/12/29 19:17:59.215</v>
      </c>
      <c r="C10" s="21">
        <f t="shared" si="1"/>
        <v>4.1550956666469574E-6</v>
      </c>
    </row>
    <row r="11" spans="1:3" x14ac:dyDescent="0.25">
      <c r="A11" t="s">
        <v>855</v>
      </c>
      <c r="B11" s="21" t="str">
        <f t="shared" si="0"/>
        <v>2016/12/29 19:17:59.671</v>
      </c>
      <c r="C11" s="21">
        <f t="shared" si="1"/>
        <v>5.27777592651546E-6</v>
      </c>
    </row>
    <row r="12" spans="1:3" x14ac:dyDescent="0.25">
      <c r="A12" t="s">
        <v>856</v>
      </c>
      <c r="B12" s="21" t="str">
        <f t="shared" si="0"/>
        <v>2016/12/29 19:34:58.201</v>
      </c>
      <c r="C12" s="21">
        <f t="shared" si="1"/>
        <v>1.1788541669375263E-2</v>
      </c>
    </row>
    <row r="13" spans="1:3" x14ac:dyDescent="0.25">
      <c r="A13" t="s">
        <v>857</v>
      </c>
      <c r="B13" s="21" t="str">
        <f t="shared" si="0"/>
        <v>2016/12/29 19:34:58.679</v>
      </c>
      <c r="C13" s="21">
        <f t="shared" si="1"/>
        <v>5.5324053391814232E-6</v>
      </c>
    </row>
    <row r="14" spans="1:3" x14ac:dyDescent="0.25">
      <c r="A14" t="s">
        <v>858</v>
      </c>
      <c r="B14" s="21" t="str">
        <f t="shared" si="0"/>
        <v>2016/12/29 19:34:58.851</v>
      </c>
      <c r="C14" s="21">
        <f t="shared" si="1"/>
        <v>1.9907383830286562E-6</v>
      </c>
    </row>
    <row r="15" spans="1:3" x14ac:dyDescent="0.25">
      <c r="A15" t="s">
        <v>859</v>
      </c>
      <c r="B15" s="21" t="str">
        <f t="shared" si="0"/>
        <v>2016/12/29 20:36:40.864</v>
      </c>
      <c r="C15" s="21">
        <f t="shared" si="1"/>
        <v>4.2847372686082963E-2</v>
      </c>
    </row>
    <row r="16" spans="1:3" x14ac:dyDescent="0.25">
      <c r="A16" t="s">
        <v>860</v>
      </c>
      <c r="B16" s="21" t="str">
        <f t="shared" si="0"/>
        <v>2016/12/29 20:39:23.769</v>
      </c>
      <c r="C16" s="21">
        <f t="shared" si="1"/>
        <v>1.8854745358112268E-3</v>
      </c>
    </row>
    <row r="17" spans="1:3" x14ac:dyDescent="0.25">
      <c r="A17" t="s">
        <v>861</v>
      </c>
      <c r="B17" s="21" t="str">
        <f t="shared" si="0"/>
        <v>2016/12/29 20:39:24.622</v>
      </c>
      <c r="C17" s="21">
        <f t="shared" si="1"/>
        <v>9.8726886790245771E-6</v>
      </c>
    </row>
    <row r="18" spans="1:3" x14ac:dyDescent="0.25">
      <c r="A18" t="s">
        <v>862</v>
      </c>
      <c r="B18" s="21" t="str">
        <f t="shared" si="0"/>
        <v>2016/12/29 20:39:24.843</v>
      </c>
      <c r="C18" s="21">
        <f t="shared" si="1"/>
        <v>2.5578701752237976E-6</v>
      </c>
    </row>
    <row r="19" spans="1:3" x14ac:dyDescent="0.25">
      <c r="A19" t="s">
        <v>863</v>
      </c>
      <c r="B19" s="21" t="str">
        <f t="shared" si="0"/>
        <v>2016/12/29 20:52:55.199</v>
      </c>
      <c r="C19" s="21">
        <f t="shared" si="1"/>
        <v>9.379120368976146E-3</v>
      </c>
    </row>
    <row r="20" spans="1:3" x14ac:dyDescent="0.25">
      <c r="A20" t="s">
        <v>864</v>
      </c>
      <c r="B20" s="21" t="str">
        <f t="shared" si="0"/>
        <v>2016/12/29 20:52:55.567</v>
      </c>
      <c r="C20" s="21">
        <f t="shared" si="1"/>
        <v>4.2592582758516073E-6</v>
      </c>
    </row>
    <row r="21" spans="1:3" x14ac:dyDescent="0.25">
      <c r="A21" t="s">
        <v>865</v>
      </c>
      <c r="B21" s="21" t="str">
        <f t="shared" si="0"/>
        <v>2016/12/29 20:52:55.756</v>
      </c>
      <c r="C21" s="21">
        <f t="shared" si="1"/>
        <v>2.1875021047890186E-6</v>
      </c>
    </row>
    <row r="22" spans="1:3" x14ac:dyDescent="0.25">
      <c r="A22" t="s">
        <v>866</v>
      </c>
      <c r="B22" s="21" t="str">
        <f t="shared" si="0"/>
        <v>2016/12/29 21:19:35.206</v>
      </c>
      <c r="C22" s="21">
        <f t="shared" si="1"/>
        <v>1.8512152775656432E-2</v>
      </c>
    </row>
    <row r="23" spans="1:3" x14ac:dyDescent="0.25">
      <c r="A23" t="s">
        <v>867</v>
      </c>
      <c r="B23" s="21" t="str">
        <f t="shared" si="0"/>
        <v>2016/12/29 21:19:35.652</v>
      </c>
      <c r="C23" s="21">
        <f t="shared" si="1"/>
        <v>5.1620372687466443E-6</v>
      </c>
    </row>
    <row r="24" spans="1:3" x14ac:dyDescent="0.25">
      <c r="A24" t="s">
        <v>868</v>
      </c>
      <c r="B24" s="21" t="str">
        <f t="shared" si="0"/>
        <v>2016/12/29 21:19:35.854</v>
      </c>
      <c r="C24" s="21">
        <f t="shared" si="1"/>
        <v>2.3379616322927177E-6</v>
      </c>
    </row>
    <row r="25" spans="1:3" x14ac:dyDescent="0.25">
      <c r="A25" t="s">
        <v>869</v>
      </c>
      <c r="B25" s="21" t="str">
        <f t="shared" si="0"/>
        <v>2016/12/29 21:20:25.870</v>
      </c>
      <c r="C25" s="21">
        <f t="shared" si="1"/>
        <v>5.7888888841262087E-4</v>
      </c>
    </row>
    <row r="26" spans="1:3" x14ac:dyDescent="0.25">
      <c r="A26" t="s">
        <v>870</v>
      </c>
      <c r="B26" s="21" t="str">
        <f t="shared" si="0"/>
        <v>2016/12/29 21:20:26.215</v>
      </c>
      <c r="C26" s="21">
        <f t="shared" si="1"/>
        <v>3.9930600905790925E-6</v>
      </c>
    </row>
    <row r="27" spans="1:3" x14ac:dyDescent="0.25">
      <c r="A27" t="s">
        <v>871</v>
      </c>
      <c r="B27" s="21" t="str">
        <f t="shared" si="0"/>
        <v>2016/12/29 21:20:26.677</v>
      </c>
      <c r="C27" s="21">
        <f t="shared" si="1"/>
        <v>5.3472176659852266E-6</v>
      </c>
    </row>
    <row r="28" spans="1:3" x14ac:dyDescent="0.25">
      <c r="A28" t="s">
        <v>872</v>
      </c>
      <c r="B28" s="21" t="str">
        <f t="shared" si="0"/>
        <v>2016/12/29 21:36:14.502</v>
      </c>
      <c r="C28" s="21">
        <f t="shared" si="1"/>
        <v>1.0970196759444661E-2</v>
      </c>
    </row>
    <row r="29" spans="1:3" x14ac:dyDescent="0.25">
      <c r="A29" t="s">
        <v>873</v>
      </c>
      <c r="B29" s="21" t="str">
        <f t="shared" si="0"/>
        <v>2016/12/29 21:36:14.865</v>
      </c>
      <c r="C29" s="21">
        <f t="shared" si="1"/>
        <v>4.2013925849460065E-6</v>
      </c>
    </row>
    <row r="30" spans="1:3" x14ac:dyDescent="0.25">
      <c r="A30" t="s">
        <v>874</v>
      </c>
      <c r="B30" s="21" t="str">
        <f t="shared" si="0"/>
        <v>2016/12/29 21:36:15.202</v>
      </c>
      <c r="C30" s="21">
        <f t="shared" si="1"/>
        <v>3.90045897802338E-6</v>
      </c>
    </row>
    <row r="31" spans="1:3" x14ac:dyDescent="0.25">
      <c r="A31" t="s">
        <v>875</v>
      </c>
      <c r="B31" s="21" t="str">
        <f t="shared" si="0"/>
        <v>2016/12/29 22:43:01.410</v>
      </c>
      <c r="C31" s="21">
        <f t="shared" si="1"/>
        <v>4.6368148148758337E-2</v>
      </c>
    </row>
    <row r="32" spans="1:3" x14ac:dyDescent="0.25">
      <c r="A32" t="s">
        <v>876</v>
      </c>
      <c r="B32" s="21" t="str">
        <f t="shared" si="0"/>
        <v>2016/12/29 22:43:01.419</v>
      </c>
      <c r="C32" s="21">
        <f t="shared" si="1"/>
        <v>1.0416988516226411E-7</v>
      </c>
    </row>
    <row r="33" spans="1:3" x14ac:dyDescent="0.25">
      <c r="A33" t="s">
        <v>877</v>
      </c>
      <c r="B33" s="21" t="str">
        <f t="shared" si="0"/>
        <v>2016/12/29 22:43:01.874</v>
      </c>
      <c r="C33" s="21">
        <f t="shared" si="1"/>
        <v>5.2661998779512942E-6</v>
      </c>
    </row>
    <row r="34" spans="1:3" x14ac:dyDescent="0.25">
      <c r="A34" t="s">
        <v>878</v>
      </c>
      <c r="B34" s="21" t="str">
        <f t="shared" si="0"/>
        <v>2016/12/29 22:43:48.407</v>
      </c>
      <c r="C34" s="21">
        <f t="shared" si="1"/>
        <v>5.385763943195343E-4</v>
      </c>
    </row>
    <row r="35" spans="1:3" x14ac:dyDescent="0.25">
      <c r="A35" t="s">
        <v>879</v>
      </c>
      <c r="B35" s="21" t="str">
        <f t="shared" si="0"/>
        <v>2016/12/29 22:43:48.414</v>
      </c>
      <c r="C35" s="21">
        <f t="shared" si="1"/>
        <v>8.1017788033932447E-8</v>
      </c>
    </row>
    <row r="36" spans="1:3" x14ac:dyDescent="0.25">
      <c r="A36" t="s">
        <v>880</v>
      </c>
      <c r="B36" s="21" t="str">
        <f t="shared" si="0"/>
        <v>2016/12/29 22:43:48.872</v>
      </c>
      <c r="C36" s="21">
        <f t="shared" si="1"/>
        <v>5.3009207476861775E-6</v>
      </c>
    </row>
    <row r="37" spans="1:3" x14ac:dyDescent="0.25">
      <c r="A37" t="s">
        <v>881</v>
      </c>
      <c r="B37" s="21" t="str">
        <f t="shared" si="0"/>
        <v>2016/12/29 23:08:18.630</v>
      </c>
      <c r="C37" s="21">
        <f t="shared" si="1"/>
        <v>1.7011087969876826E-2</v>
      </c>
    </row>
    <row r="38" spans="1:3" x14ac:dyDescent="0.25">
      <c r="A38" t="s">
        <v>882</v>
      </c>
      <c r="B38" s="21" t="str">
        <f t="shared" si="0"/>
        <v>2016/12/29 23:08:19.220</v>
      </c>
      <c r="C38" s="21">
        <f t="shared" si="1"/>
        <v>6.8286972236819565E-6</v>
      </c>
    </row>
    <row r="39" spans="1:3" x14ac:dyDescent="0.25">
      <c r="A39" t="s">
        <v>883</v>
      </c>
      <c r="B39" s="21" t="str">
        <f t="shared" si="0"/>
        <v>2016/12/29 23:08:19.555</v>
      </c>
      <c r="C39" s="21">
        <f t="shared" si="1"/>
        <v>3.8773214328102767E-6</v>
      </c>
    </row>
    <row r="40" spans="1:3" x14ac:dyDescent="0.25">
      <c r="A40" t="s">
        <v>884</v>
      </c>
      <c r="B40" s="21" t="str">
        <f t="shared" si="0"/>
        <v>2016/12/29 23:17:09.886</v>
      </c>
      <c r="C40" s="21">
        <f t="shared" si="1"/>
        <v>6.1380902770906687E-3</v>
      </c>
    </row>
    <row r="41" spans="1:3" x14ac:dyDescent="0.25">
      <c r="A41" t="s">
        <v>885</v>
      </c>
      <c r="B41" s="21" t="str">
        <f t="shared" si="0"/>
        <v>2016/12/29 23:17:10.425</v>
      </c>
      <c r="C41" s="21">
        <f t="shared" si="1"/>
        <v>6.2384206103160977E-6</v>
      </c>
    </row>
    <row r="42" spans="1:3" x14ac:dyDescent="0.25">
      <c r="A42" t="s">
        <v>886</v>
      </c>
      <c r="B42" s="21" t="str">
        <f t="shared" si="0"/>
        <v>2016/12/29 23:17:10.438</v>
      </c>
      <c r="C42" s="21">
        <f t="shared" si="1"/>
        <v>1.5046680346131325E-7</v>
      </c>
    </row>
    <row r="43" spans="1:3" x14ac:dyDescent="0.25">
      <c r="A43" t="s">
        <v>887</v>
      </c>
      <c r="B43" s="21" t="str">
        <f t="shared" si="0"/>
        <v>2016/12/29 23:57:38.489</v>
      </c>
      <c r="C43" s="21">
        <f t="shared" si="1"/>
        <v>2.8102442127419636E-2</v>
      </c>
    </row>
    <row r="44" spans="1:3" x14ac:dyDescent="0.25">
      <c r="A44" t="s">
        <v>888</v>
      </c>
      <c r="B44" s="21" t="str">
        <f t="shared" si="0"/>
        <v>2016/12/29 23:57:41.569</v>
      </c>
      <c r="C44" s="21">
        <f t="shared" si="1"/>
        <v>3.5648146877065301E-5</v>
      </c>
    </row>
    <row r="45" spans="1:3" x14ac:dyDescent="0.25">
      <c r="A45" t="s">
        <v>889</v>
      </c>
      <c r="B45" s="21" t="str">
        <f t="shared" si="0"/>
        <v>2016/12/30 00:08:35.082</v>
      </c>
      <c r="C45" s="21">
        <f t="shared" si="1"/>
        <v>7.5638078706106171E-3</v>
      </c>
    </row>
    <row r="46" spans="1:3" x14ac:dyDescent="0.25">
      <c r="A46" t="s">
        <v>890</v>
      </c>
      <c r="B46" s="21" t="str">
        <f t="shared" si="0"/>
        <v>2016/12/30 00:08:35.701</v>
      </c>
      <c r="C46" s="21">
        <f t="shared" si="1"/>
        <v>7.1643517003394663E-6</v>
      </c>
    </row>
    <row r="47" spans="1:3" x14ac:dyDescent="0.25">
      <c r="A47" t="s">
        <v>891</v>
      </c>
      <c r="B47" s="21" t="str">
        <f t="shared" si="0"/>
        <v>2016/12/30 00:08:35.985</v>
      </c>
      <c r="C47" s="21">
        <f t="shared" si="1"/>
        <v>3.2870375434868038E-6</v>
      </c>
    </row>
    <row r="48" spans="1:3" x14ac:dyDescent="0.25">
      <c r="A48" t="s">
        <v>892</v>
      </c>
      <c r="B48" s="21" t="str">
        <f t="shared" si="0"/>
        <v>2016/12/30 00:36:53.303</v>
      </c>
      <c r="C48" s="21">
        <f t="shared" si="1"/>
        <v>1.9644884261651896E-2</v>
      </c>
    </row>
    <row r="49" spans="1:3" x14ac:dyDescent="0.25">
      <c r="A49" t="s">
        <v>893</v>
      </c>
      <c r="B49" s="21" t="str">
        <f t="shared" si="0"/>
        <v>2016/12/30 00:36:53.419</v>
      </c>
      <c r="C49" s="21">
        <f t="shared" si="1"/>
        <v>1.3425888027995825E-6</v>
      </c>
    </row>
    <row r="50" spans="1:3" x14ac:dyDescent="0.25">
      <c r="A50" t="s">
        <v>894</v>
      </c>
      <c r="B50" s="21" t="str">
        <f t="shared" si="0"/>
        <v>2016/12/30 00:36:54.133</v>
      </c>
      <c r="C50" s="21">
        <f t="shared" si="1"/>
        <v>8.2638944149948657E-6</v>
      </c>
    </row>
    <row r="51" spans="1:3" x14ac:dyDescent="0.25">
      <c r="A51" t="s">
        <v>895</v>
      </c>
      <c r="B51" s="21" t="str">
        <f t="shared" si="0"/>
        <v>2016/12/30 00:59:11.289</v>
      </c>
      <c r="C51" s="21">
        <f t="shared" si="1"/>
        <v>1.547634258895414E-2</v>
      </c>
    </row>
    <row r="52" spans="1:3" x14ac:dyDescent="0.25">
      <c r="A52" t="s">
        <v>896</v>
      </c>
      <c r="B52" s="21" t="str">
        <f t="shared" si="0"/>
        <v>2016/12/30 00:59:11.610</v>
      </c>
      <c r="C52" s="21">
        <f t="shared" si="1"/>
        <v>3.7152785807847977E-6</v>
      </c>
    </row>
    <row r="53" spans="1:3" x14ac:dyDescent="0.25">
      <c r="A53" t="s">
        <v>897</v>
      </c>
      <c r="B53" s="21" t="str">
        <f t="shared" ref="B53:B69" si="2">MID(A53,6,23)</f>
        <v>2016/12/30 00:59:11.667</v>
      </c>
      <c r="C53" s="21">
        <f t="shared" ref="C53:C69" si="3">ABS(B53-B52)</f>
        <v>6.5972562879323959E-7</v>
      </c>
    </row>
    <row r="54" spans="1:3" x14ac:dyDescent="0.25">
      <c r="A54" t="s">
        <v>898</v>
      </c>
      <c r="B54" s="21" t="str">
        <f t="shared" si="2"/>
        <v>2016/12/30 01:08:30.233</v>
      </c>
      <c r="C54" s="21">
        <f t="shared" si="3"/>
        <v>6.4648842526366934E-3</v>
      </c>
    </row>
    <row r="55" spans="1:3" x14ac:dyDescent="0.25">
      <c r="A55" t="s">
        <v>899</v>
      </c>
      <c r="B55" s="21" t="str">
        <f t="shared" si="2"/>
        <v>2016/12/30 01:08:30.564</v>
      </c>
      <c r="C55" s="21">
        <f t="shared" si="3"/>
        <v>3.8310245145112276E-6</v>
      </c>
    </row>
    <row r="56" spans="1:3" x14ac:dyDescent="0.25">
      <c r="A56" t="s">
        <v>900</v>
      </c>
      <c r="B56" s="21" t="str">
        <f t="shared" si="2"/>
        <v>2016/12/30 01:08:30.624</v>
      </c>
      <c r="C56" s="21">
        <f t="shared" si="3"/>
        <v>6.9443922257050872E-7</v>
      </c>
    </row>
    <row r="57" spans="1:3" x14ac:dyDescent="0.25">
      <c r="A57" t="s">
        <v>901</v>
      </c>
      <c r="B57" s="21" t="str">
        <f t="shared" si="2"/>
        <v>2016/12/30 01:09:11.227</v>
      </c>
      <c r="C57" s="21">
        <f t="shared" si="3"/>
        <v>4.6994213334983215E-4</v>
      </c>
    </row>
    <row r="58" spans="1:3" x14ac:dyDescent="0.25">
      <c r="A58" t="s">
        <v>902</v>
      </c>
      <c r="B58" s="21" t="str">
        <f t="shared" si="2"/>
        <v>2016/12/30 01:09:11.561</v>
      </c>
      <c r="C58" s="21">
        <f t="shared" si="3"/>
        <v>3.8657381082884967E-6</v>
      </c>
    </row>
    <row r="59" spans="1:3" x14ac:dyDescent="0.25">
      <c r="A59" t="s">
        <v>903</v>
      </c>
      <c r="B59" s="21" t="str">
        <f t="shared" si="2"/>
        <v>2016/12/30 01:09:11.625</v>
      </c>
      <c r="C59" s="21">
        <f t="shared" si="3"/>
        <v>7.4074341682717204E-7</v>
      </c>
    </row>
    <row r="60" spans="1:3" x14ac:dyDescent="0.25">
      <c r="A60" t="s">
        <v>904</v>
      </c>
      <c r="B60" s="21" t="str">
        <f t="shared" si="2"/>
        <v>2016/12/30 01:10:04.482</v>
      </c>
      <c r="C60" s="21">
        <f t="shared" si="3"/>
        <v>6.1177083262009546E-4</v>
      </c>
    </row>
    <row r="61" spans="1:3" x14ac:dyDescent="0.25">
      <c r="A61" t="s">
        <v>905</v>
      </c>
      <c r="B61" s="21" t="str">
        <f t="shared" si="2"/>
        <v>2016/12/30 01:10:04.726</v>
      </c>
      <c r="C61" s="21">
        <f t="shared" si="3"/>
        <v>2.8240756364539266E-6</v>
      </c>
    </row>
    <row r="62" spans="1:3" x14ac:dyDescent="0.25">
      <c r="A62" t="s">
        <v>906</v>
      </c>
      <c r="B62" s="21" t="str">
        <f t="shared" si="2"/>
        <v>2016/12/30 01:10:05.672</v>
      </c>
      <c r="C62" s="21">
        <f t="shared" si="3"/>
        <v>1.0949072020594031E-5</v>
      </c>
    </row>
    <row r="63" spans="1:3" x14ac:dyDescent="0.25">
      <c r="A63" t="s">
        <v>907</v>
      </c>
      <c r="B63" s="21" t="str">
        <f t="shared" si="2"/>
        <v>2016/12/30 01:10:25.225</v>
      </c>
      <c r="C63" s="21">
        <f t="shared" si="3"/>
        <v>2.2630787134403363E-4</v>
      </c>
    </row>
    <row r="64" spans="1:3" x14ac:dyDescent="0.25">
      <c r="A64" t="s">
        <v>908</v>
      </c>
      <c r="B64" s="21" t="str">
        <f t="shared" si="2"/>
        <v>2016/12/30 01:10:25.560</v>
      </c>
      <c r="C64" s="21">
        <f t="shared" si="3"/>
        <v>3.8773141568526626E-6</v>
      </c>
    </row>
    <row r="65" spans="1:3" x14ac:dyDescent="0.25">
      <c r="A65" t="s">
        <v>909</v>
      </c>
      <c r="B65" s="21" t="str">
        <f t="shared" si="2"/>
        <v>2016/12/30 01:10:25.623</v>
      </c>
      <c r="C65" s="21">
        <f t="shared" si="3"/>
        <v>7.2916736826300621E-7</v>
      </c>
    </row>
    <row r="66" spans="1:3" x14ac:dyDescent="0.25">
      <c r="A66" t="s">
        <v>910</v>
      </c>
      <c r="B66" s="21" t="str">
        <f t="shared" si="2"/>
        <v>2016/12/30 01:36:03.507</v>
      </c>
      <c r="C66" s="21">
        <f t="shared" si="3"/>
        <v>1.7799583329178859E-2</v>
      </c>
    </row>
    <row r="67" spans="1:3" x14ac:dyDescent="0.25">
      <c r="A67" t="s">
        <v>911</v>
      </c>
      <c r="B67" s="21" t="str">
        <f t="shared" si="2"/>
        <v>2016/12/30 01:36:04.864</v>
      </c>
      <c r="C67" s="21">
        <f t="shared" si="3"/>
        <v>1.5706020349171013E-5</v>
      </c>
    </row>
    <row r="68" spans="1:3" x14ac:dyDescent="0.25">
      <c r="A68" t="s">
        <v>912</v>
      </c>
      <c r="B68" s="21" t="str">
        <f t="shared" si="2"/>
        <v>2016/12/30 01:36:05.212</v>
      </c>
      <c r="C68" s="21">
        <f t="shared" si="3"/>
        <v>4.0277809603139758E-6</v>
      </c>
    </row>
    <row r="69" spans="1:3" x14ac:dyDescent="0.25">
      <c r="A69" t="s">
        <v>913</v>
      </c>
      <c r="B69" s="21" t="str">
        <f t="shared" si="2"/>
        <v>2016/12/30 01:36:41.991</v>
      </c>
      <c r="C69" s="21">
        <f t="shared" si="3"/>
        <v>4.2568286880850792E-4</v>
      </c>
    </row>
    <row r="70" spans="1:3" x14ac:dyDescent="0.25">
      <c r="A70" t="s">
        <v>914</v>
      </c>
      <c r="B70" s="21" t="str">
        <f t="shared" ref="B70:B97" si="4">MID(A70,6,23)</f>
        <v>2016/12/30 01:36:43.125</v>
      </c>
      <c r="C70" s="21">
        <f t="shared" ref="C70:C97" si="5">ABS(B70-B69)</f>
        <v>1.3124998076818883E-5</v>
      </c>
    </row>
    <row r="71" spans="1:3" x14ac:dyDescent="0.25">
      <c r="A71" t="s">
        <v>915</v>
      </c>
      <c r="B71" s="21" t="str">
        <f t="shared" si="4"/>
        <v>2016/12/30 01:36:44.862</v>
      </c>
      <c r="C71" s="21">
        <f t="shared" si="5"/>
        <v>2.0104169379919767E-5</v>
      </c>
    </row>
    <row r="72" spans="1:3" x14ac:dyDescent="0.25">
      <c r="A72" t="s">
        <v>916</v>
      </c>
      <c r="B72" s="21" t="str">
        <f t="shared" si="4"/>
        <v>2016/12/30 01:36:45.221</v>
      </c>
      <c r="C72" s="21">
        <f t="shared" si="5"/>
        <v>4.1550883906893432E-6</v>
      </c>
    </row>
    <row r="73" spans="1:3" x14ac:dyDescent="0.25">
      <c r="A73" t="s">
        <v>917</v>
      </c>
      <c r="B73" s="21" t="str">
        <f t="shared" si="4"/>
        <v>2016/12/30 01:36:45.509</v>
      </c>
      <c r="C73" s="21">
        <f t="shared" si="5"/>
        <v>3.3333344617858529E-6</v>
      </c>
    </row>
    <row r="74" spans="1:3" x14ac:dyDescent="0.25">
      <c r="A74" t="s">
        <v>918</v>
      </c>
      <c r="B74" s="21" t="str">
        <f t="shared" si="4"/>
        <v>2016/12/30 01:40:48.093</v>
      </c>
      <c r="C74" s="21">
        <f t="shared" si="5"/>
        <v>2.8076851885998622E-3</v>
      </c>
    </row>
    <row r="75" spans="1:3" x14ac:dyDescent="0.25">
      <c r="A75" t="s">
        <v>919</v>
      </c>
      <c r="B75" s="21" t="str">
        <f t="shared" si="4"/>
        <v>2016/12/30 01:40:48.723</v>
      </c>
      <c r="C75" s="21">
        <f t="shared" si="5"/>
        <v>7.2916664066724479E-6</v>
      </c>
    </row>
    <row r="76" spans="1:3" x14ac:dyDescent="0.25">
      <c r="A76" t="s">
        <v>920</v>
      </c>
      <c r="B76" s="21" t="str">
        <f t="shared" si="4"/>
        <v>2016/12/30 01:40:49.023</v>
      </c>
      <c r="C76" s="21">
        <f t="shared" si="5"/>
        <v>3.4722179407253861E-6</v>
      </c>
    </row>
    <row r="77" spans="1:3" x14ac:dyDescent="0.25">
      <c r="A77" t="s">
        <v>921</v>
      </c>
      <c r="B77" s="21" t="str">
        <f t="shared" si="4"/>
        <v>2016/12/30 02:05:33.079</v>
      </c>
      <c r="C77" s="21">
        <f t="shared" si="5"/>
        <v>1.7176574074255768E-2</v>
      </c>
    </row>
    <row r="78" spans="1:3" x14ac:dyDescent="0.25">
      <c r="A78" t="s">
        <v>922</v>
      </c>
      <c r="B78" s="21" t="str">
        <f t="shared" si="4"/>
        <v>2016/12/30 02:06:10.981</v>
      </c>
      <c r="C78" s="21">
        <f t="shared" si="5"/>
        <v>4.3868055945495144E-4</v>
      </c>
    </row>
    <row r="79" spans="1:3" x14ac:dyDescent="0.25">
      <c r="A79" t="s">
        <v>923</v>
      </c>
      <c r="B79" s="21" t="str">
        <f t="shared" si="4"/>
        <v>2016/12/30 02:06:11.069</v>
      </c>
      <c r="C79" s="21">
        <f t="shared" si="5"/>
        <v>1.0185176506638527E-6</v>
      </c>
    </row>
    <row r="80" spans="1:3" x14ac:dyDescent="0.25">
      <c r="A80" t="s">
        <v>924</v>
      </c>
      <c r="B80" s="21" t="str">
        <f t="shared" si="4"/>
        <v>2016/12/30 02:06:42.979</v>
      </c>
      <c r="C80" s="21">
        <f t="shared" si="5"/>
        <v>3.6932870716555044E-4</v>
      </c>
    </row>
    <row r="81" spans="1:3" x14ac:dyDescent="0.25">
      <c r="A81" t="s">
        <v>925</v>
      </c>
      <c r="B81" s="21" t="str">
        <f t="shared" si="4"/>
        <v>2016/12/30 02:06:43.078</v>
      </c>
      <c r="C81" s="21">
        <f t="shared" si="5"/>
        <v>1.1458323569968343E-6</v>
      </c>
    </row>
    <row r="82" spans="1:3" x14ac:dyDescent="0.25">
      <c r="A82" t="s">
        <v>926</v>
      </c>
      <c r="B82" s="21" t="str">
        <f t="shared" si="4"/>
        <v>2016/12/30 02:25:08.435</v>
      </c>
      <c r="C82" s="21">
        <f t="shared" si="5"/>
        <v>1.2793483794666827E-2</v>
      </c>
    </row>
    <row r="83" spans="1:3" x14ac:dyDescent="0.25">
      <c r="A83" t="s">
        <v>927</v>
      </c>
      <c r="B83" s="21" t="str">
        <f t="shared" si="4"/>
        <v>2016/12/30 03:06:07.018</v>
      </c>
      <c r="C83" s="21">
        <f t="shared" si="5"/>
        <v>2.8455821760871913E-2</v>
      </c>
    </row>
    <row r="84" spans="1:3" x14ac:dyDescent="0.25">
      <c r="A84" t="s">
        <v>928</v>
      </c>
      <c r="B84" s="21" t="str">
        <f t="shared" si="4"/>
        <v>2016/12/30 03:06:07.129</v>
      </c>
      <c r="C84" s="21">
        <f t="shared" si="5"/>
        <v>1.2847231118939817E-6</v>
      </c>
    </row>
    <row r="85" spans="1:3" x14ac:dyDescent="0.25">
      <c r="A85" t="s">
        <v>929</v>
      </c>
      <c r="B85" s="21" t="str">
        <f t="shared" si="4"/>
        <v>2016/12/30 03:06:08.702</v>
      </c>
      <c r="C85" s="21">
        <f t="shared" si="5"/>
        <v>1.8206017557531595E-5</v>
      </c>
    </row>
    <row r="86" spans="1:3" x14ac:dyDescent="0.25">
      <c r="A86" t="s">
        <v>930</v>
      </c>
      <c r="B86" s="21" t="str">
        <f t="shared" si="4"/>
        <v>2016/12/30 03:30:25.003</v>
      </c>
      <c r="C86" s="21">
        <f t="shared" si="5"/>
        <v>1.6855335648870096E-2</v>
      </c>
    </row>
    <row r="87" spans="1:3" x14ac:dyDescent="0.25">
      <c r="A87" t="s">
        <v>931</v>
      </c>
      <c r="B87" s="21" t="str">
        <f t="shared" si="4"/>
        <v>2016/12/30 03:30:25.095</v>
      </c>
      <c r="C87" s="21">
        <f t="shared" si="5"/>
        <v>1.0648145689629018E-6</v>
      </c>
    </row>
    <row r="88" spans="1:3" x14ac:dyDescent="0.25">
      <c r="A88" t="s">
        <v>932</v>
      </c>
      <c r="B88" s="21" t="str">
        <f t="shared" si="4"/>
        <v>2016/12/30 03:30:25.714</v>
      </c>
      <c r="C88" s="21">
        <f t="shared" si="5"/>
        <v>7.1643517003394663E-6</v>
      </c>
    </row>
    <row r="89" spans="1:3" x14ac:dyDescent="0.25">
      <c r="A89" t="s">
        <v>933</v>
      </c>
      <c r="B89" s="21" t="str">
        <f t="shared" si="4"/>
        <v>2016/12/30 05:47:53.643</v>
      </c>
      <c r="C89" s="21">
        <f t="shared" si="5"/>
        <v>9.5462141202006023E-2</v>
      </c>
    </row>
    <row r="90" spans="1:3" x14ac:dyDescent="0.25">
      <c r="A90" t="s">
        <v>934</v>
      </c>
      <c r="B90" s="21" t="str">
        <f t="shared" si="4"/>
        <v>2016/12/30 05:47:53.705</v>
      </c>
      <c r="C90" s="21">
        <f t="shared" si="5"/>
        <v>7.1759131969884038E-7</v>
      </c>
    </row>
    <row r="91" spans="1:3" x14ac:dyDescent="0.25">
      <c r="A91" t="s">
        <v>935</v>
      </c>
      <c r="B91" s="21" t="str">
        <f t="shared" si="4"/>
        <v>2016/12/30 06:07:11.978</v>
      </c>
      <c r="C91" s="21">
        <f t="shared" si="5"/>
        <v>1.3405937497736886E-2</v>
      </c>
    </row>
    <row r="92" spans="1:3" x14ac:dyDescent="0.25">
      <c r="A92" t="s">
        <v>936</v>
      </c>
      <c r="B92" s="21" t="str">
        <f t="shared" si="4"/>
        <v>2016/12/30 06:07:12.070</v>
      </c>
      <c r="C92" s="21">
        <f t="shared" si="5"/>
        <v>1.0648145689629018E-6</v>
      </c>
    </row>
    <row r="93" spans="1:3" x14ac:dyDescent="0.25">
      <c r="A93" t="s">
        <v>937</v>
      </c>
      <c r="B93" s="21" t="str">
        <f t="shared" si="4"/>
        <v>2016/12/30 07:08:29.235</v>
      </c>
      <c r="C93" s="21">
        <f t="shared" si="5"/>
        <v>4.2559780093142763E-2</v>
      </c>
    </row>
    <row r="94" spans="1:3" x14ac:dyDescent="0.25">
      <c r="A94" t="s">
        <v>938</v>
      </c>
      <c r="B94" s="21" t="str">
        <f t="shared" si="4"/>
        <v>2016/12/30 07:08:29.404</v>
      </c>
      <c r="C94" s="21">
        <f t="shared" si="5"/>
        <v>1.9560175132937729E-6</v>
      </c>
    </row>
    <row r="95" spans="1:3" x14ac:dyDescent="0.25">
      <c r="A95" t="s">
        <v>939</v>
      </c>
      <c r="B95" s="21" t="str">
        <f t="shared" si="4"/>
        <v>2016/12/30 07:08:29.870</v>
      </c>
      <c r="C95" s="21">
        <f t="shared" si="5"/>
        <v>5.39352186024189E-6</v>
      </c>
    </row>
    <row r="96" spans="1:3" x14ac:dyDescent="0.25">
      <c r="A96" t="s">
        <v>940</v>
      </c>
      <c r="B96" s="21" t="str">
        <f t="shared" si="4"/>
        <v>2016/12/30 08:06:30.073</v>
      </c>
      <c r="C96" s="21">
        <f t="shared" si="5"/>
        <v>4.0280127315782011E-2</v>
      </c>
    </row>
    <row r="97" spans="1:3" x14ac:dyDescent="0.25">
      <c r="A97" t="s">
        <v>941</v>
      </c>
      <c r="B97" s="21" t="str">
        <f t="shared" si="4"/>
        <v>2016/12/30 08:06:30.980</v>
      </c>
      <c r="C97" s="21">
        <f t="shared" si="5"/>
        <v>1.0497686162125319E-5</v>
      </c>
    </row>
    <row r="98" spans="1:3" x14ac:dyDescent="0.25">
      <c r="B98" s="21"/>
      <c r="C98" s="21"/>
    </row>
    <row r="99" spans="1:3" x14ac:dyDescent="0.25">
      <c r="B99" s="21"/>
      <c r="C99" s="21"/>
    </row>
    <row r="100" spans="1:3" x14ac:dyDescent="0.25">
      <c r="B100" s="21"/>
      <c r="C100" s="21"/>
    </row>
    <row r="101" spans="1:3" x14ac:dyDescent="0.25">
      <c r="B101" s="21"/>
      <c r="C101" s="21"/>
    </row>
    <row r="102" spans="1:3" x14ac:dyDescent="0.25">
      <c r="B102" s="21"/>
      <c r="C102" s="21"/>
    </row>
    <row r="103" spans="1:3" x14ac:dyDescent="0.25">
      <c r="B103" s="21"/>
      <c r="C103" s="21"/>
    </row>
    <row r="104" spans="1:3" x14ac:dyDescent="0.25">
      <c r="B104" s="21"/>
      <c r="C104" s="21"/>
    </row>
    <row r="105" spans="1:3" x14ac:dyDescent="0.25">
      <c r="B105" s="21"/>
      <c r="C105" s="21"/>
    </row>
    <row r="106" spans="1:3" x14ac:dyDescent="0.25">
      <c r="B106" s="21"/>
      <c r="C106" s="21"/>
    </row>
    <row r="107" spans="1:3" x14ac:dyDescent="0.25">
      <c r="B107" s="21"/>
      <c r="C107" s="21"/>
    </row>
    <row r="108" spans="1:3" x14ac:dyDescent="0.25">
      <c r="B108" s="21"/>
      <c r="C108" s="21"/>
    </row>
    <row r="109" spans="1:3" x14ac:dyDescent="0.25">
      <c r="B109" s="21"/>
      <c r="C109" s="21"/>
    </row>
    <row r="110" spans="1:3" x14ac:dyDescent="0.25">
      <c r="B110" s="21"/>
      <c r="C110" s="21"/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2017-01-04T16:46:50Z</dcterms:modified>
</cp:coreProperties>
</file>