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9" i="1" l="1"/>
  <c r="X190" i="1"/>
  <c r="K14" i="1" l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T20" i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R20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R16" i="3" s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S10" i="3" s="1"/>
  <c r="Y30" i="1"/>
  <c r="Z30" i="1"/>
  <c r="AB30" i="1"/>
  <c r="AC30" i="1"/>
  <c r="AD30" i="1"/>
  <c r="AE30" i="1"/>
  <c r="R10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21" i="3" s="1"/>
  <c r="Y34" i="1"/>
  <c r="Z34" i="1"/>
  <c r="AB34" i="1"/>
  <c r="AC34" i="1"/>
  <c r="AD34" i="1"/>
  <c r="T34" i="1" s="1"/>
  <c r="AE34" i="1"/>
  <c r="R21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R7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S18" i="3" s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P61" i="1" s="1"/>
  <c r="V61" i="1"/>
  <c r="S19" i="3" s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P65" i="1" s="1"/>
  <c r="V65" i="1"/>
  <c r="Y65" i="1"/>
  <c r="Z65" i="1"/>
  <c r="AB65" i="1"/>
  <c r="AC65" i="1"/>
  <c r="AD65" i="1"/>
  <c r="X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S15" i="3" s="1"/>
  <c r="Y69" i="1"/>
  <c r="Z69" i="1"/>
  <c r="AB69" i="1"/>
  <c r="AC69" i="1"/>
  <c r="AD69" i="1"/>
  <c r="AE69" i="1"/>
  <c r="R15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S12" i="3" s="1"/>
  <c r="Y85" i="1"/>
  <c r="Z85" i="1"/>
  <c r="AB85" i="1"/>
  <c r="AC85" i="1"/>
  <c r="AD85" i="1"/>
  <c r="AG85" i="1" s="1"/>
  <c r="AE85" i="1"/>
  <c r="R8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R27" i="3" s="1"/>
  <c r="AF165" i="1"/>
  <c r="AH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4" i="1"/>
  <c r="K170" i="1"/>
  <c r="L170" i="1"/>
  <c r="M170" i="1"/>
  <c r="N170" i="1" s="1"/>
  <c r="V170" i="1"/>
  <c r="S32" i="3" s="1"/>
  <c r="Y170" i="1"/>
  <c r="Z170" i="1"/>
  <c r="AB170" i="1"/>
  <c r="AC170" i="1"/>
  <c r="AD170" i="1"/>
  <c r="AG170" i="1" s="1"/>
  <c r="AE170" i="1"/>
  <c r="R32" i="3" s="1"/>
  <c r="AF170" i="1"/>
  <c r="AH105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K177" i="1"/>
  <c r="L177" i="1"/>
  <c r="M177" i="1"/>
  <c r="N177" i="1" s="1"/>
  <c r="V177" i="1"/>
  <c r="S31" i="3" s="1"/>
  <c r="Y177" i="1"/>
  <c r="Z177" i="1"/>
  <c r="AB177" i="1"/>
  <c r="AC177" i="1"/>
  <c r="AD177" i="1"/>
  <c r="AG177" i="1" s="1"/>
  <c r="AE177" i="1"/>
  <c r="R31" i="3" s="1"/>
  <c r="AF177" i="1"/>
  <c r="AH112" i="1"/>
  <c r="K178" i="1"/>
  <c r="L178" i="1"/>
  <c r="M178" i="1"/>
  <c r="N178" i="1" s="1"/>
  <c r="V178" i="1"/>
  <c r="S29" i="3" s="1"/>
  <c r="Y178" i="1"/>
  <c r="Z178" i="1"/>
  <c r="AB178" i="1"/>
  <c r="AC178" i="1"/>
  <c r="AD178" i="1"/>
  <c r="T178" i="1" s="1"/>
  <c r="AE178" i="1"/>
  <c r="AF178" i="1"/>
  <c r="AH11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4" i="1"/>
  <c r="K179" i="1"/>
  <c r="L179" i="1"/>
  <c r="M179" i="1"/>
  <c r="N179" i="1" s="1"/>
  <c r="V179" i="1"/>
  <c r="S33" i="3" s="1"/>
  <c r="Y179" i="1"/>
  <c r="Z179" i="1"/>
  <c r="AB179" i="1"/>
  <c r="AC179" i="1"/>
  <c r="AD179" i="1"/>
  <c r="AE179" i="1"/>
  <c r="R33" i="3" s="1"/>
  <c r="AF179" i="1"/>
  <c r="AH115" i="1"/>
  <c r="AH116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11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1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1" i="1"/>
  <c r="K185" i="1"/>
  <c r="L185" i="1"/>
  <c r="M185" i="1"/>
  <c r="V185" i="1"/>
  <c r="S30" i="3" s="1"/>
  <c r="Y185" i="1"/>
  <c r="Z185" i="1"/>
  <c r="AB185" i="1"/>
  <c r="AC185" i="1"/>
  <c r="AD185" i="1"/>
  <c r="AG185" i="1" s="1"/>
  <c r="AE185" i="1"/>
  <c r="R30" i="3" s="1"/>
  <c r="AF185" i="1"/>
  <c r="AH122" i="1"/>
  <c r="K186" i="1"/>
  <c r="L186" i="1"/>
  <c r="M186" i="1"/>
  <c r="V186" i="1"/>
  <c r="Y186" i="1"/>
  <c r="Z186" i="1"/>
  <c r="AB186" i="1"/>
  <c r="AC186" i="1"/>
  <c r="AD186" i="1"/>
  <c r="AG186" i="1" s="1"/>
  <c r="AE186" i="1"/>
  <c r="AF186" i="1"/>
  <c r="AH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AH12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7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R35" i="3" s="1"/>
  <c r="AF190" i="1"/>
  <c r="AH129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30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R28" i="3" s="1"/>
  <c r="AF192" i="1"/>
  <c r="AH13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32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3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4" i="1"/>
  <c r="K98" i="1"/>
  <c r="L98" i="1"/>
  <c r="M98" i="1"/>
  <c r="N98" i="1" s="1"/>
  <c r="V98" i="1"/>
  <c r="S22" i="3" s="1"/>
  <c r="Y98" i="1"/>
  <c r="Z98" i="1"/>
  <c r="AB98" i="1"/>
  <c r="AC98" i="1"/>
  <c r="AD98" i="1"/>
  <c r="AE98" i="1"/>
  <c r="R22" i="3" s="1"/>
  <c r="AF98" i="1"/>
  <c r="AH135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136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7" i="1"/>
  <c r="K101" i="1"/>
  <c r="L101" i="1"/>
  <c r="M101" i="1"/>
  <c r="N101" i="1" s="1"/>
  <c r="V101" i="1"/>
  <c r="S26" i="3" s="1"/>
  <c r="Y101" i="1"/>
  <c r="Z101" i="1"/>
  <c r="AB101" i="1"/>
  <c r="AC101" i="1"/>
  <c r="AD101" i="1"/>
  <c r="AG101" i="1" s="1"/>
  <c r="AE101" i="1"/>
  <c r="R26" i="3" s="1"/>
  <c r="AF101" i="1"/>
  <c r="AH138" i="1"/>
  <c r="K102" i="1"/>
  <c r="L102" i="1"/>
  <c r="M102" i="1"/>
  <c r="N102" i="1" s="1"/>
  <c r="V102" i="1"/>
  <c r="S9" i="3" s="1"/>
  <c r="Y102" i="1"/>
  <c r="Z102" i="1"/>
  <c r="AA102" i="1" s="1"/>
  <c r="AB102" i="1"/>
  <c r="AC102" i="1"/>
  <c r="AD102" i="1"/>
  <c r="AG102" i="1" s="1"/>
  <c r="AE102" i="1"/>
  <c r="R9" i="3" s="1"/>
  <c r="AF102" i="1"/>
  <c r="AH13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40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1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2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4" i="1"/>
  <c r="K107" i="1"/>
  <c r="L107" i="1"/>
  <c r="M107" i="1"/>
  <c r="N107" i="1" s="1"/>
  <c r="V107" i="1"/>
  <c r="Y107" i="1"/>
  <c r="Z107" i="1"/>
  <c r="AA107" i="1" s="1"/>
  <c r="AB107" i="1"/>
  <c r="AC107" i="1"/>
  <c r="AD107" i="1"/>
  <c r="AG107" i="1" s="1"/>
  <c r="AE107" i="1"/>
  <c r="AF107" i="1"/>
  <c r="AH145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6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7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8" i="1"/>
  <c r="K111" i="1"/>
  <c r="L111" i="1"/>
  <c r="M111" i="1"/>
  <c r="N111" i="1" s="1"/>
  <c r="V111" i="1"/>
  <c r="Y111" i="1"/>
  <c r="Z111" i="1"/>
  <c r="AB111" i="1"/>
  <c r="AC111" i="1"/>
  <c r="AD111" i="1"/>
  <c r="X111" i="1" s="1"/>
  <c r="AE111" i="1"/>
  <c r="AF111" i="1"/>
  <c r="AH149" i="1"/>
  <c r="K112" i="1"/>
  <c r="L112" i="1"/>
  <c r="M112" i="1"/>
  <c r="N112" i="1" s="1"/>
  <c r="V112" i="1"/>
  <c r="S17" i="3" s="1"/>
  <c r="Y112" i="1"/>
  <c r="Z112" i="1"/>
  <c r="AB112" i="1"/>
  <c r="AC112" i="1"/>
  <c r="AD112" i="1"/>
  <c r="AG112" i="1" s="1"/>
  <c r="AE112" i="1"/>
  <c r="R17" i="3" s="1"/>
  <c r="AF112" i="1"/>
  <c r="AH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52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3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4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7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8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60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61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2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63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4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65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R14" i="3" s="1"/>
  <c r="AF129" i="1"/>
  <c r="AH16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7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8" i="1"/>
  <c r="K132" i="1"/>
  <c r="L132" i="1"/>
  <c r="M132" i="1"/>
  <c r="N132" i="1" s="1"/>
  <c r="V132" i="1"/>
  <c r="S23" i="3" s="1"/>
  <c r="Y132" i="1"/>
  <c r="Z132" i="1"/>
  <c r="AB132" i="1"/>
  <c r="AC132" i="1"/>
  <c r="AD132" i="1"/>
  <c r="AG132" i="1" s="1"/>
  <c r="AE132" i="1"/>
  <c r="R23" i="3" s="1"/>
  <c r="AF132" i="1"/>
  <c r="AH169" i="1"/>
  <c r="K133" i="1"/>
  <c r="L133" i="1"/>
  <c r="M133" i="1"/>
  <c r="N133" i="1" s="1"/>
  <c r="V133" i="1"/>
  <c r="Y133" i="1"/>
  <c r="Z133" i="1"/>
  <c r="AB133" i="1"/>
  <c r="AC133" i="1"/>
  <c r="AD133" i="1"/>
  <c r="AE133" i="1"/>
  <c r="R11" i="3" s="1"/>
  <c r="AF133" i="1"/>
  <c r="AH170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1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2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3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4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5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6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7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8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9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24" i="3" s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H1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3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6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K212" i="1"/>
  <c r="L212" i="1"/>
  <c r="M212" i="1"/>
  <c r="N212" i="1" s="1"/>
  <c r="V212" i="1"/>
  <c r="S37" i="3" s="1"/>
  <c r="Y212" i="1"/>
  <c r="Z212" i="1"/>
  <c r="AB212" i="1"/>
  <c r="AC212" i="1"/>
  <c r="AD212" i="1"/>
  <c r="AG212" i="1" s="1"/>
  <c r="AE212" i="1"/>
  <c r="R37" i="3" s="1"/>
  <c r="AF212" i="1"/>
  <c r="AH212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213" i="1"/>
  <c r="M13" i="3"/>
  <c r="N13" i="3"/>
  <c r="R13" i="3"/>
  <c r="S13" i="3"/>
  <c r="U13" i="3"/>
  <c r="T13" i="3" s="1"/>
  <c r="V13" i="3"/>
  <c r="W13" i="3"/>
  <c r="Y13" i="3" s="1"/>
  <c r="X13" i="3"/>
  <c r="AC13" i="3"/>
  <c r="M16" i="3"/>
  <c r="N16" i="3"/>
  <c r="S16" i="3"/>
  <c r="U16" i="3"/>
  <c r="T16" i="3" s="1"/>
  <c r="V16" i="3"/>
  <c r="W16" i="3"/>
  <c r="Y16" i="3" s="1"/>
  <c r="X16" i="3"/>
  <c r="AC16" i="3"/>
  <c r="M20" i="3"/>
  <c r="N20" i="3"/>
  <c r="S20" i="3"/>
  <c r="U20" i="3"/>
  <c r="AC20" i="3" s="1"/>
  <c r="V20" i="3"/>
  <c r="W20" i="3"/>
  <c r="X20" i="3"/>
  <c r="Y20" i="3"/>
  <c r="M10" i="3"/>
  <c r="N10" i="3"/>
  <c r="U10" i="3"/>
  <c r="T10" i="3" s="1"/>
  <c r="V10" i="3"/>
  <c r="W10" i="3"/>
  <c r="X10" i="3"/>
  <c r="Y10" i="3"/>
  <c r="M21" i="3"/>
  <c r="N21" i="3"/>
  <c r="U21" i="3"/>
  <c r="T21" i="3" s="1"/>
  <c r="V21" i="3"/>
  <c r="W21" i="3"/>
  <c r="Y21" i="3" s="1"/>
  <c r="X21" i="3"/>
  <c r="AC21" i="3"/>
  <c r="M7" i="3"/>
  <c r="N7" i="3"/>
  <c r="S7" i="3"/>
  <c r="U7" i="3"/>
  <c r="T7" i="3" s="1"/>
  <c r="V7" i="3"/>
  <c r="W7" i="3"/>
  <c r="X7" i="3"/>
  <c r="AC7" i="3"/>
  <c r="M27" i="3"/>
  <c r="N27" i="3"/>
  <c r="S27" i="3"/>
  <c r="U27" i="3"/>
  <c r="AC27" i="3" s="1"/>
  <c r="V27" i="3"/>
  <c r="W27" i="3"/>
  <c r="X27" i="3"/>
  <c r="M18" i="3"/>
  <c r="N18" i="3"/>
  <c r="R18" i="3"/>
  <c r="U18" i="3"/>
  <c r="T18" i="3" s="1"/>
  <c r="V18" i="3"/>
  <c r="W18" i="3"/>
  <c r="X18" i="3"/>
  <c r="Y18" i="3"/>
  <c r="M19" i="3"/>
  <c r="N19" i="3"/>
  <c r="R19" i="3"/>
  <c r="U19" i="3"/>
  <c r="T19" i="3" s="1"/>
  <c r="V19" i="3"/>
  <c r="W19" i="3"/>
  <c r="Y19" i="3" s="1"/>
  <c r="X19" i="3"/>
  <c r="AC19" i="3"/>
  <c r="M15" i="3"/>
  <c r="N15" i="3"/>
  <c r="U15" i="3"/>
  <c r="T15" i="3" s="1"/>
  <c r="V15" i="3"/>
  <c r="W15" i="3"/>
  <c r="X15" i="3"/>
  <c r="AC15" i="3"/>
  <c r="M32" i="3"/>
  <c r="N32" i="3"/>
  <c r="U32" i="3"/>
  <c r="AC32" i="3" s="1"/>
  <c r="V32" i="3"/>
  <c r="W32" i="3"/>
  <c r="X32" i="3"/>
  <c r="Y32" i="3"/>
  <c r="M8" i="3"/>
  <c r="N8" i="3"/>
  <c r="U8" i="3"/>
  <c r="T8" i="3" s="1"/>
  <c r="V8" i="3"/>
  <c r="W8" i="3"/>
  <c r="Y8" i="3" s="1"/>
  <c r="X8" i="3"/>
  <c r="M12" i="3"/>
  <c r="N12" i="3"/>
  <c r="U12" i="3"/>
  <c r="T12" i="3" s="1"/>
  <c r="V12" i="3"/>
  <c r="W12" i="3"/>
  <c r="X12" i="3"/>
  <c r="AC12" i="3"/>
  <c r="M31" i="3"/>
  <c r="N31" i="3"/>
  <c r="U31" i="3"/>
  <c r="T31" i="3" s="1"/>
  <c r="V31" i="3"/>
  <c r="W31" i="3"/>
  <c r="X31" i="3"/>
  <c r="AC31" i="3"/>
  <c r="M26" i="3"/>
  <c r="N26" i="3"/>
  <c r="U26" i="3"/>
  <c r="AC26" i="3" s="1"/>
  <c r="V26" i="3"/>
  <c r="W26" i="3"/>
  <c r="X26" i="3"/>
  <c r="M29" i="3"/>
  <c r="N29" i="3"/>
  <c r="R29" i="3"/>
  <c r="U29" i="3"/>
  <c r="T29" i="3" s="1"/>
  <c r="V29" i="3"/>
  <c r="W29" i="3"/>
  <c r="X29" i="3"/>
  <c r="Y29" i="3"/>
  <c r="M22" i="3"/>
  <c r="N22" i="3"/>
  <c r="U22" i="3"/>
  <c r="T22" i="3" s="1"/>
  <c r="V22" i="3"/>
  <c r="W22" i="3"/>
  <c r="Y22" i="3" s="1"/>
  <c r="X22" i="3"/>
  <c r="AC22" i="3"/>
  <c r="M33" i="3"/>
  <c r="N33" i="3"/>
  <c r="U33" i="3"/>
  <c r="T33" i="3" s="1"/>
  <c r="V33" i="3"/>
  <c r="W33" i="3"/>
  <c r="X33" i="3"/>
  <c r="AC33" i="3"/>
  <c r="M9" i="3"/>
  <c r="N9" i="3"/>
  <c r="U9" i="3"/>
  <c r="AC9" i="3" s="1"/>
  <c r="V9" i="3"/>
  <c r="W9" i="3"/>
  <c r="X9" i="3"/>
  <c r="Y9" i="3"/>
  <c r="M17" i="3"/>
  <c r="N17" i="3"/>
  <c r="U17" i="3"/>
  <c r="T17" i="3" s="1"/>
  <c r="V17" i="3"/>
  <c r="W17" i="3"/>
  <c r="Y17" i="3" s="1"/>
  <c r="X17" i="3"/>
  <c r="M37" i="3"/>
  <c r="N37" i="3"/>
  <c r="U37" i="3"/>
  <c r="T37" i="3" s="1"/>
  <c r="V37" i="3"/>
  <c r="W37" i="3"/>
  <c r="Y37" i="3" s="1"/>
  <c r="X37" i="3"/>
  <c r="AC37" i="3"/>
  <c r="M14" i="3"/>
  <c r="N14" i="3"/>
  <c r="S14" i="3"/>
  <c r="U14" i="3"/>
  <c r="T14" i="3" s="1"/>
  <c r="V14" i="3"/>
  <c r="W14" i="3"/>
  <c r="X14" i="3"/>
  <c r="AC14" i="3"/>
  <c r="M30" i="3"/>
  <c r="N30" i="3"/>
  <c r="U30" i="3"/>
  <c r="AC30" i="3" s="1"/>
  <c r="V30" i="3"/>
  <c r="W30" i="3"/>
  <c r="Y30" i="3" s="1"/>
  <c r="X30" i="3"/>
  <c r="M11" i="3"/>
  <c r="N11" i="3"/>
  <c r="S11" i="3"/>
  <c r="U11" i="3"/>
  <c r="T11" i="3" s="1"/>
  <c r="V11" i="3"/>
  <c r="W11" i="3"/>
  <c r="Y11" i="3" s="1"/>
  <c r="X11" i="3"/>
  <c r="AC11" i="3"/>
  <c r="M23" i="3"/>
  <c r="N23" i="3"/>
  <c r="U23" i="3"/>
  <c r="T23" i="3" s="1"/>
  <c r="V23" i="3"/>
  <c r="W23" i="3"/>
  <c r="X23" i="3"/>
  <c r="AC23" i="3"/>
  <c r="M34" i="3"/>
  <c r="N34" i="3"/>
  <c r="S34" i="3"/>
  <c r="U34" i="3"/>
  <c r="T34" i="3" s="1"/>
  <c r="V34" i="3"/>
  <c r="W34" i="3"/>
  <c r="X34" i="3"/>
  <c r="AC34" i="3"/>
  <c r="M35" i="3"/>
  <c r="N35" i="3"/>
  <c r="S35" i="3"/>
  <c r="U35" i="3"/>
  <c r="AC35" i="3" s="1"/>
  <c r="V35" i="3"/>
  <c r="W35" i="3"/>
  <c r="X35" i="3"/>
  <c r="Y35" i="3"/>
  <c r="M28" i="3"/>
  <c r="N28" i="3"/>
  <c r="S28" i="3"/>
  <c r="U28" i="3"/>
  <c r="T28" i="3" s="1"/>
  <c r="V28" i="3"/>
  <c r="W28" i="3"/>
  <c r="Y28" i="3" s="1"/>
  <c r="X28" i="3"/>
  <c r="M36" i="3"/>
  <c r="N36" i="3"/>
  <c r="S36" i="3"/>
  <c r="U36" i="3"/>
  <c r="T36" i="3" s="1"/>
  <c r="V36" i="3"/>
  <c r="W36" i="3"/>
  <c r="Y36" i="3" s="1"/>
  <c r="X36" i="3"/>
  <c r="AC36" i="3"/>
  <c r="M24" i="3"/>
  <c r="N24" i="3"/>
  <c r="S24" i="3"/>
  <c r="U24" i="3"/>
  <c r="T24" i="3" s="1"/>
  <c r="V24" i="3"/>
  <c r="W24" i="3"/>
  <c r="X24" i="3"/>
  <c r="AC24" i="3"/>
  <c r="AA194" i="1" l="1"/>
  <c r="AG179" i="1"/>
  <c r="X179" i="1"/>
  <c r="AA163" i="1"/>
  <c r="AA160" i="1"/>
  <c r="AA159" i="1"/>
  <c r="AI92" i="1"/>
  <c r="AA34" i="1"/>
  <c r="AA33" i="1"/>
  <c r="P185" i="1"/>
  <c r="R36" i="3"/>
  <c r="T124" i="1"/>
  <c r="U124" i="1" s="1"/>
  <c r="S124" i="1" s="1"/>
  <c r="X116" i="1"/>
  <c r="AG34" i="1"/>
  <c r="AG181" i="1"/>
  <c r="X181" i="1"/>
  <c r="AG157" i="1"/>
  <c r="X157" i="1"/>
  <c r="W194" i="1"/>
  <c r="T158" i="1"/>
  <c r="X158" i="1"/>
  <c r="AA151" i="1"/>
  <c r="AA140" i="1"/>
  <c r="W140" i="1" s="1"/>
  <c r="T107" i="1"/>
  <c r="U107" i="1" s="1"/>
  <c r="S107" i="1" s="1"/>
  <c r="AI87" i="1"/>
  <c r="S8" i="3"/>
  <c r="AA186" i="1"/>
  <c r="W186" i="1" s="1"/>
  <c r="AA183" i="1"/>
  <c r="AA182" i="1"/>
  <c r="T94" i="1"/>
  <c r="T161" i="1"/>
  <c r="X161" i="1"/>
  <c r="T160" i="1"/>
  <c r="X160" i="1"/>
  <c r="X159" i="1"/>
  <c r="AG83" i="1"/>
  <c r="U83" i="1" s="1"/>
  <c r="S83" i="1" s="1"/>
  <c r="AA62" i="1"/>
  <c r="AG51" i="1"/>
  <c r="X51" i="1"/>
  <c r="AI50" i="1"/>
  <c r="AA48" i="1"/>
  <c r="AA46" i="1"/>
  <c r="AA40" i="1"/>
  <c r="AA213" i="1"/>
  <c r="AA210" i="1"/>
  <c r="AA209" i="1"/>
  <c r="AA206" i="1"/>
  <c r="W206" i="1" s="1"/>
  <c r="AA202" i="1"/>
  <c r="W202" i="1" s="1"/>
  <c r="AA201" i="1"/>
  <c r="AA199" i="1"/>
  <c r="AG147" i="1"/>
  <c r="AA121" i="1"/>
  <c r="AA116" i="1"/>
  <c r="W116" i="1" s="1"/>
  <c r="AA101" i="1"/>
  <c r="W101" i="1" s="1"/>
  <c r="AG59" i="1"/>
  <c r="U59" i="1" s="1"/>
  <c r="S59" i="1" s="1"/>
  <c r="AA32" i="1"/>
  <c r="R12" i="3"/>
  <c r="AG190" i="1"/>
  <c r="AA205" i="1"/>
  <c r="W205" i="1" s="1"/>
  <c r="R34" i="3"/>
  <c r="AA153" i="1"/>
  <c r="T67" i="1"/>
  <c r="X67" i="1"/>
  <c r="AG200" i="1"/>
  <c r="U200" i="1" s="1"/>
  <c r="S200" i="1" s="1"/>
  <c r="X200" i="1"/>
  <c r="AI145" i="1"/>
  <c r="AA114" i="1"/>
  <c r="AA113" i="1"/>
  <c r="W113" i="1" s="1"/>
  <c r="AA112" i="1"/>
  <c r="W112" i="1" s="1"/>
  <c r="AA111" i="1"/>
  <c r="AA191" i="1"/>
  <c r="W191" i="1" s="1"/>
  <c r="AA179" i="1"/>
  <c r="W179" i="1" s="1"/>
  <c r="AA94" i="1"/>
  <c r="AA169" i="1"/>
  <c r="W169" i="1" s="1"/>
  <c r="AA88" i="1"/>
  <c r="T87" i="1"/>
  <c r="U87" i="1" s="1"/>
  <c r="S87" i="1" s="1"/>
  <c r="T66" i="1"/>
  <c r="X66" i="1"/>
  <c r="T55" i="1"/>
  <c r="U55" i="1" s="1"/>
  <c r="S55" i="1" s="1"/>
  <c r="AG40" i="1"/>
  <c r="U40" i="1" s="1"/>
  <c r="S40" i="1" s="1"/>
  <c r="X206" i="1"/>
  <c r="AA198" i="1"/>
  <c r="W198" i="1" s="1"/>
  <c r="T151" i="1"/>
  <c r="U151" i="1" s="1"/>
  <c r="S151" i="1" s="1"/>
  <c r="AA133" i="1"/>
  <c r="X128" i="1"/>
  <c r="AA105" i="1"/>
  <c r="AA104" i="1"/>
  <c r="AI190" i="1"/>
  <c r="AA176" i="1"/>
  <c r="AA175" i="1"/>
  <c r="T79" i="1"/>
  <c r="AA73" i="1"/>
  <c r="W73" i="1" s="1"/>
  <c r="AI72" i="1"/>
  <c r="AA71" i="1"/>
  <c r="W71" i="1" s="1"/>
  <c r="AA64" i="1"/>
  <c r="W64" i="1" s="1"/>
  <c r="AA52" i="1"/>
  <c r="X39" i="1"/>
  <c r="AA37" i="1"/>
  <c r="W37" i="1" s="1"/>
  <c r="AA30" i="1"/>
  <c r="AA28" i="1"/>
  <c r="AA27" i="1"/>
  <c r="X205" i="1"/>
  <c r="AI203" i="1"/>
  <c r="AG96" i="1"/>
  <c r="AG188" i="1"/>
  <c r="AG79" i="1"/>
  <c r="AI79" i="1" s="1"/>
  <c r="AG64" i="1"/>
  <c r="U64" i="1" s="1"/>
  <c r="S64" i="1" s="1"/>
  <c r="AG52" i="1"/>
  <c r="AI52" i="1" s="1"/>
  <c r="X52" i="1"/>
  <c r="AG38" i="1"/>
  <c r="U38" i="1" s="1"/>
  <c r="S38" i="1" s="1"/>
  <c r="W34" i="1"/>
  <c r="AA26" i="1"/>
  <c r="AG205" i="1"/>
  <c r="U205" i="1" s="1"/>
  <c r="S205" i="1" s="1"/>
  <c r="AI206" i="1"/>
  <c r="T198" i="1"/>
  <c r="AA157" i="1"/>
  <c r="AA156" i="1"/>
  <c r="W156" i="1" s="1"/>
  <c r="AA149" i="1"/>
  <c r="AA144" i="1"/>
  <c r="W144" i="1" s="1"/>
  <c r="AA142" i="1"/>
  <c r="AA139" i="1"/>
  <c r="T132" i="1"/>
  <c r="U132" i="1" s="1"/>
  <c r="S132" i="1" s="1"/>
  <c r="AA125" i="1"/>
  <c r="W125" i="1" s="1"/>
  <c r="AA124" i="1"/>
  <c r="W124" i="1" s="1"/>
  <c r="AA119" i="1"/>
  <c r="AA117" i="1"/>
  <c r="W117" i="1" s="1"/>
  <c r="AA109" i="1"/>
  <c r="W109" i="1" s="1"/>
  <c r="AI108" i="1"/>
  <c r="AG207" i="1"/>
  <c r="AI207" i="1" s="1"/>
  <c r="X207" i="1"/>
  <c r="AA189" i="1"/>
  <c r="X185" i="1"/>
  <c r="AA172" i="1"/>
  <c r="AI169" i="1"/>
  <c r="AA166" i="1"/>
  <c r="AA161" i="1"/>
  <c r="AA90" i="1"/>
  <c r="AA83" i="1"/>
  <c r="T71" i="1"/>
  <c r="AG26" i="1"/>
  <c r="X23" i="1"/>
  <c r="T16" i="1"/>
  <c r="AA65" i="1"/>
  <c r="W102" i="1"/>
  <c r="W87" i="1"/>
  <c r="AG139" i="1"/>
  <c r="U139" i="1" s="1"/>
  <c r="S139" i="1" s="1"/>
  <c r="X139" i="1"/>
  <c r="AG135" i="1"/>
  <c r="AG118" i="1"/>
  <c r="AI118" i="1" s="1"/>
  <c r="X118" i="1"/>
  <c r="AG100" i="1"/>
  <c r="U100" i="1" s="1"/>
  <c r="S100" i="1" s="1"/>
  <c r="AA97" i="1"/>
  <c r="W97" i="1" s="1"/>
  <c r="AG193" i="1"/>
  <c r="U193" i="1" s="1"/>
  <c r="S193" i="1" s="1"/>
  <c r="X193" i="1"/>
  <c r="AG187" i="1"/>
  <c r="AI187" i="1" s="1"/>
  <c r="X187" i="1"/>
  <c r="AA184" i="1"/>
  <c r="AG180" i="1"/>
  <c r="AI180" i="1" s="1"/>
  <c r="AI177" i="1"/>
  <c r="AG75" i="1"/>
  <c r="AG63" i="1"/>
  <c r="U63" i="1" s="1"/>
  <c r="S63" i="1" s="1"/>
  <c r="X63" i="1"/>
  <c r="AG60" i="1"/>
  <c r="U60" i="1" s="1"/>
  <c r="S60" i="1" s="1"/>
  <c r="X60" i="1"/>
  <c r="AG48" i="1"/>
  <c r="AI48" i="1" s="1"/>
  <c r="AG44" i="1"/>
  <c r="U44" i="1" s="1"/>
  <c r="S44" i="1" s="1"/>
  <c r="AA42" i="1"/>
  <c r="AA39" i="1"/>
  <c r="AG28" i="1"/>
  <c r="AI28" i="1" s="1"/>
  <c r="AA22" i="1"/>
  <c r="U20" i="1"/>
  <c r="S20" i="1" s="1"/>
  <c r="AG158" i="1"/>
  <c r="AG146" i="1"/>
  <c r="AI146" i="1" s="1"/>
  <c r="AI202" i="1"/>
  <c r="T197" i="1"/>
  <c r="AI191" i="1"/>
  <c r="AA155" i="1"/>
  <c r="AA147" i="1"/>
  <c r="AA143" i="1"/>
  <c r="W143" i="1" s="1"/>
  <c r="X140" i="1"/>
  <c r="AG134" i="1"/>
  <c r="AI134" i="1" s="1"/>
  <c r="X134" i="1"/>
  <c r="AA132" i="1"/>
  <c r="W132" i="1" s="1"/>
  <c r="AI129" i="1"/>
  <c r="AG127" i="1"/>
  <c r="U127" i="1" s="1"/>
  <c r="T123" i="1"/>
  <c r="U123" i="1" s="1"/>
  <c r="S123" i="1" s="1"/>
  <c r="AG115" i="1"/>
  <c r="AI115" i="1" s="1"/>
  <c r="X115" i="1"/>
  <c r="AA103" i="1"/>
  <c r="X97" i="1"/>
  <c r="AA96" i="1"/>
  <c r="W96" i="1" s="1"/>
  <c r="AA190" i="1"/>
  <c r="W190" i="1" s="1"/>
  <c r="AA188" i="1"/>
  <c r="W188" i="1" s="1"/>
  <c r="AG184" i="1"/>
  <c r="AI184" i="1" s="1"/>
  <c r="X184" i="1"/>
  <c r="AA173" i="1"/>
  <c r="X169" i="1"/>
  <c r="AG164" i="1"/>
  <c r="AI164" i="1" s="1"/>
  <c r="X164" i="1"/>
  <c r="AG160" i="1"/>
  <c r="AA57" i="1"/>
  <c r="AA50" i="1"/>
  <c r="W50" i="1" s="1"/>
  <c r="AA49" i="1"/>
  <c r="AG47" i="1"/>
  <c r="X47" i="1"/>
  <c r="AG46" i="1"/>
  <c r="AI34" i="1"/>
  <c r="AA31" i="1"/>
  <c r="T29" i="1"/>
  <c r="AG22" i="1"/>
  <c r="U22" i="1" s="1"/>
  <c r="S22" i="1" s="1"/>
  <c r="X21" i="1"/>
  <c r="T17" i="1"/>
  <c r="AA212" i="1"/>
  <c r="W212" i="1" s="1"/>
  <c r="T211" i="1"/>
  <c r="X194" i="1"/>
  <c r="AA152" i="1"/>
  <c r="W152" i="1" s="1"/>
  <c r="X147" i="1"/>
  <c r="AA146" i="1"/>
  <c r="W146" i="1" s="1"/>
  <c r="AA145" i="1"/>
  <c r="AA135" i="1"/>
  <c r="W135" i="1" s="1"/>
  <c r="T131" i="1"/>
  <c r="AI117" i="1"/>
  <c r="AA108" i="1"/>
  <c r="W108" i="1" s="1"/>
  <c r="X101" i="1"/>
  <c r="AI188" i="1"/>
  <c r="X188" i="1"/>
  <c r="AA187" i="1"/>
  <c r="AA180" i="1"/>
  <c r="W180" i="1" s="1"/>
  <c r="W94" i="1"/>
  <c r="AA170" i="1"/>
  <c r="AA167" i="1"/>
  <c r="AA165" i="1"/>
  <c r="W165" i="1" s="1"/>
  <c r="AA91" i="1"/>
  <c r="AA79" i="1"/>
  <c r="X72" i="1"/>
  <c r="AG67" i="1"/>
  <c r="U67" i="1" s="1"/>
  <c r="S67" i="1" s="1"/>
  <c r="X64" i="1"/>
  <c r="AA29" i="1"/>
  <c r="W29" i="1" s="1"/>
  <c r="AA17" i="1"/>
  <c r="W17" i="1" s="1"/>
  <c r="AG14" i="1"/>
  <c r="AI14" i="1" s="1"/>
  <c r="U115" i="1"/>
  <c r="AI123" i="1"/>
  <c r="W167" i="1"/>
  <c r="U71" i="1"/>
  <c r="S71" i="1" s="1"/>
  <c r="AI71" i="1"/>
  <c r="W151" i="1"/>
  <c r="U135" i="1"/>
  <c r="S135" i="1" s="1"/>
  <c r="T111" i="1"/>
  <c r="W107" i="1"/>
  <c r="U96" i="1"/>
  <c r="S96" i="1" s="1"/>
  <c r="X144" i="1"/>
  <c r="AG143" i="1"/>
  <c r="U143" i="1" s="1"/>
  <c r="S143" i="1" s="1"/>
  <c r="X143" i="1"/>
  <c r="AA123" i="1"/>
  <c r="W123" i="1" s="1"/>
  <c r="AG119" i="1"/>
  <c r="W119" i="1" s="1"/>
  <c r="X119" i="1"/>
  <c r="T116" i="1"/>
  <c r="X112" i="1"/>
  <c r="AG111" i="1"/>
  <c r="W111" i="1" s="1"/>
  <c r="AG110" i="1"/>
  <c r="AI110" i="1" s="1"/>
  <c r="X110" i="1"/>
  <c r="AG103" i="1"/>
  <c r="AI103" i="1" s="1"/>
  <c r="X103" i="1"/>
  <c r="T101" i="1"/>
  <c r="U101" i="1" s="1"/>
  <c r="S101" i="1" s="1"/>
  <c r="X96" i="1"/>
  <c r="AG93" i="1"/>
  <c r="U93" i="1" s="1"/>
  <c r="S93" i="1" s="1"/>
  <c r="X92" i="1"/>
  <c r="AG91" i="1"/>
  <c r="U91" i="1" s="1"/>
  <c r="X91" i="1"/>
  <c r="AG88" i="1"/>
  <c r="AI88" i="1" s="1"/>
  <c r="X88" i="1"/>
  <c r="AI67" i="1"/>
  <c r="X56" i="1"/>
  <c r="AG56" i="1"/>
  <c r="W56" i="1" s="1"/>
  <c r="T27" i="1"/>
  <c r="X27" i="1"/>
  <c r="AG24" i="1"/>
  <c r="AG18" i="1"/>
  <c r="AI18" i="1" s="1"/>
  <c r="AA211" i="1"/>
  <c r="AG201" i="1"/>
  <c r="U201" i="1" s="1"/>
  <c r="S201" i="1" s="1"/>
  <c r="W157" i="1"/>
  <c r="W153" i="1"/>
  <c r="U190" i="1"/>
  <c r="S190" i="1" s="1"/>
  <c r="AG173" i="1"/>
  <c r="AI173" i="1" s="1"/>
  <c r="X173" i="1"/>
  <c r="AG80" i="1"/>
  <c r="AI80" i="1" s="1"/>
  <c r="T80" i="1"/>
  <c r="U80" i="1" s="1"/>
  <c r="S80" i="1" s="1"/>
  <c r="T32" i="1"/>
  <c r="AG32" i="1"/>
  <c r="AI32" i="1" s="1"/>
  <c r="AI26" i="1"/>
  <c r="U26" i="1"/>
  <c r="X212" i="1"/>
  <c r="AG211" i="1"/>
  <c r="U211" i="1" s="1"/>
  <c r="S211" i="1" s="1"/>
  <c r="AA197" i="1"/>
  <c r="AG196" i="1"/>
  <c r="T194" i="1"/>
  <c r="X156" i="1"/>
  <c r="AG155" i="1"/>
  <c r="AG150" i="1"/>
  <c r="AI150" i="1" s="1"/>
  <c r="X150" i="1"/>
  <c r="AA131" i="1"/>
  <c r="AG130" i="1"/>
  <c r="AI130" i="1" s="1"/>
  <c r="AI165" i="1"/>
  <c r="T128" i="1"/>
  <c r="X209" i="1"/>
  <c r="AA208" i="1"/>
  <c r="W208" i="1" s="1"/>
  <c r="AA203" i="1"/>
  <c r="W203" i="1" s="1"/>
  <c r="AG197" i="1"/>
  <c r="U197" i="1" s="1"/>
  <c r="S197" i="1" s="1"/>
  <c r="AA158" i="1"/>
  <c r="X155" i="1"/>
  <c r="T148" i="1"/>
  <c r="U148" i="1" s="1"/>
  <c r="S148" i="1" s="1"/>
  <c r="X142" i="1"/>
  <c r="AA141" i="1"/>
  <c r="W141" i="1" s="1"/>
  <c r="AA137" i="1"/>
  <c r="W137" i="1" s="1"/>
  <c r="AG131" i="1"/>
  <c r="AA127" i="1"/>
  <c r="W127" i="1" s="1"/>
  <c r="AA118" i="1"/>
  <c r="AA115" i="1"/>
  <c r="AA207" i="1"/>
  <c r="W207" i="1" s="1"/>
  <c r="AI139" i="1"/>
  <c r="AA100" i="1"/>
  <c r="W100" i="1" s="1"/>
  <c r="AA193" i="1"/>
  <c r="W193" i="1" s="1"/>
  <c r="AA192" i="1"/>
  <c r="W192" i="1" s="1"/>
  <c r="AA185" i="1"/>
  <c r="W185" i="1" s="1"/>
  <c r="T185" i="1"/>
  <c r="AA181" i="1"/>
  <c r="T180" i="1"/>
  <c r="X178" i="1"/>
  <c r="AG178" i="1"/>
  <c r="U178" i="1" s="1"/>
  <c r="S178" i="1" s="1"/>
  <c r="AA178" i="1"/>
  <c r="X174" i="1"/>
  <c r="AG174" i="1"/>
  <c r="AI174" i="1" s="1"/>
  <c r="AA174" i="1"/>
  <c r="AA162" i="1"/>
  <c r="AG161" i="1"/>
  <c r="W161" i="1" s="1"/>
  <c r="T82" i="1"/>
  <c r="X82" i="1"/>
  <c r="AG82" i="1"/>
  <c r="AI82" i="1" s="1"/>
  <c r="AA81" i="1"/>
  <c r="AG78" i="1"/>
  <c r="U78" i="1" s="1"/>
  <c r="AG76" i="1"/>
  <c r="AI76" i="1" s="1"/>
  <c r="X76" i="1"/>
  <c r="X74" i="1"/>
  <c r="X75" i="1"/>
  <c r="AA72" i="1"/>
  <c r="W72" i="1" s="1"/>
  <c r="AA61" i="1"/>
  <c r="AA58" i="1"/>
  <c r="AA44" i="1"/>
  <c r="W44" i="1" s="1"/>
  <c r="AA43" i="1"/>
  <c r="AG42" i="1"/>
  <c r="AI42" i="1" s="1"/>
  <c r="X37" i="1"/>
  <c r="AG36" i="1"/>
  <c r="AA36" i="1"/>
  <c r="AG33" i="1"/>
  <c r="W33" i="1" s="1"/>
  <c r="X33" i="1"/>
  <c r="T30" i="1"/>
  <c r="AG30" i="1"/>
  <c r="AA25" i="1"/>
  <c r="T212" i="1"/>
  <c r="U212" i="1" s="1"/>
  <c r="S212" i="1" s="1"/>
  <c r="AA196" i="1"/>
  <c r="AA195" i="1"/>
  <c r="AA148" i="1"/>
  <c r="W148" i="1" s="1"/>
  <c r="T144" i="1"/>
  <c r="AA136" i="1"/>
  <c r="W136" i="1" s="1"/>
  <c r="AA130" i="1"/>
  <c r="AA129" i="1"/>
  <c r="W129" i="1" s="1"/>
  <c r="X127" i="1"/>
  <c r="AA126" i="1"/>
  <c r="AA110" i="1"/>
  <c r="W110" i="1" s="1"/>
  <c r="X100" i="1"/>
  <c r="AA99" i="1"/>
  <c r="AA98" i="1"/>
  <c r="AA177" i="1"/>
  <c r="W177" i="1" s="1"/>
  <c r="AG175" i="1"/>
  <c r="W175" i="1" s="1"/>
  <c r="X175" i="1"/>
  <c r="T173" i="1"/>
  <c r="X172" i="1"/>
  <c r="AG172" i="1"/>
  <c r="AI172" i="1" s="1"/>
  <c r="AA93" i="1"/>
  <c r="W93" i="1" s="1"/>
  <c r="T165" i="1"/>
  <c r="U165" i="1" s="1"/>
  <c r="S165" i="1" s="1"/>
  <c r="AI96" i="1"/>
  <c r="AG162" i="1"/>
  <c r="T162" i="1"/>
  <c r="AA92" i="1"/>
  <c r="W92" i="1" s="1"/>
  <c r="T92" i="1"/>
  <c r="AA80" i="1"/>
  <c r="W80" i="1" s="1"/>
  <c r="AA67" i="1"/>
  <c r="W67" i="1" s="1"/>
  <c r="AA60" i="1"/>
  <c r="T43" i="1"/>
  <c r="X43" i="1"/>
  <c r="W26" i="1"/>
  <c r="AA24" i="1"/>
  <c r="AA18" i="1"/>
  <c r="W18" i="1" s="1"/>
  <c r="AA171" i="1"/>
  <c r="X90" i="1"/>
  <c r="AA85" i="1"/>
  <c r="W85" i="1" s="1"/>
  <c r="AA84" i="1"/>
  <c r="AA75" i="1"/>
  <c r="W75" i="1" s="1"/>
  <c r="AA63" i="1"/>
  <c r="AA59" i="1"/>
  <c r="AA53" i="1"/>
  <c r="AA38" i="1"/>
  <c r="W38" i="1" s="1"/>
  <c r="AA35" i="1"/>
  <c r="AA23" i="1"/>
  <c r="AA21" i="1"/>
  <c r="AA20" i="1"/>
  <c r="W20" i="1" s="1"/>
  <c r="AA16" i="1"/>
  <c r="W16" i="1" s="1"/>
  <c r="AA78" i="1"/>
  <c r="AA77" i="1"/>
  <c r="AA74" i="1"/>
  <c r="AA68" i="1"/>
  <c r="U52" i="1"/>
  <c r="S52" i="1" s="1"/>
  <c r="AA45" i="1"/>
  <c r="AA41" i="1"/>
  <c r="AI20" i="1"/>
  <c r="AA19" i="1"/>
  <c r="X17" i="1"/>
  <c r="U196" i="1"/>
  <c r="S196" i="1" s="1"/>
  <c r="W145" i="1"/>
  <c r="AI181" i="1"/>
  <c r="AI212" i="1"/>
  <c r="U146" i="1"/>
  <c r="S146" i="1" s="1"/>
  <c r="T154" i="1"/>
  <c r="T199" i="1"/>
  <c r="X199" i="1"/>
  <c r="AI194" i="1"/>
  <c r="T149" i="1"/>
  <c r="X149" i="1"/>
  <c r="X148" i="1"/>
  <c r="T142" i="1"/>
  <c r="AG138" i="1"/>
  <c r="AI138" i="1" s="1"/>
  <c r="X138" i="1"/>
  <c r="T136" i="1"/>
  <c r="U136" i="1" s="1"/>
  <c r="S136" i="1" s="1"/>
  <c r="T133" i="1"/>
  <c r="X133" i="1"/>
  <c r="X132" i="1"/>
  <c r="S127" i="1"/>
  <c r="T126" i="1"/>
  <c r="AI161" i="1"/>
  <c r="AG120" i="1"/>
  <c r="W120" i="1" s="1"/>
  <c r="X120" i="1"/>
  <c r="T120" i="1"/>
  <c r="T98" i="1"/>
  <c r="X98" i="1"/>
  <c r="AG98" i="1"/>
  <c r="AI98" i="1" s="1"/>
  <c r="X95" i="1"/>
  <c r="AG95" i="1"/>
  <c r="AI95" i="1" s="1"/>
  <c r="AI124" i="1"/>
  <c r="AG210" i="1"/>
  <c r="W210" i="1" s="1"/>
  <c r="T204" i="1"/>
  <c r="AI201" i="1"/>
  <c r="T195" i="1"/>
  <c r="X195" i="1"/>
  <c r="AI186" i="1"/>
  <c r="U147" i="1"/>
  <c r="S147" i="1" s="1"/>
  <c r="T145" i="1"/>
  <c r="U145" i="1" s="1"/>
  <c r="S145" i="1" s="1"/>
  <c r="X145" i="1"/>
  <c r="T138" i="1"/>
  <c r="T129" i="1"/>
  <c r="U129" i="1" s="1"/>
  <c r="S129" i="1" s="1"/>
  <c r="X129" i="1"/>
  <c r="T113" i="1"/>
  <c r="X113" i="1"/>
  <c r="AG113" i="1"/>
  <c r="AI113" i="1" s="1"/>
  <c r="X107" i="1"/>
  <c r="X106" i="1"/>
  <c r="AG106" i="1"/>
  <c r="AI140" i="1"/>
  <c r="U207" i="1"/>
  <c r="S207" i="1" s="1"/>
  <c r="T176" i="1"/>
  <c r="X176" i="1"/>
  <c r="AG176" i="1"/>
  <c r="AI176" i="1" s="1"/>
  <c r="AG213" i="1"/>
  <c r="X210" i="1"/>
  <c r="AG209" i="1"/>
  <c r="W209" i="1" s="1"/>
  <c r="T209" i="1"/>
  <c r="AG204" i="1"/>
  <c r="AI204" i="1" s="1"/>
  <c r="X204" i="1"/>
  <c r="T202" i="1"/>
  <c r="U202" i="1" s="1"/>
  <c r="S202" i="1" s="1"/>
  <c r="X198" i="1"/>
  <c r="AG195" i="1"/>
  <c r="AI195" i="1" s="1"/>
  <c r="AG154" i="1"/>
  <c r="AI154" i="1" s="1"/>
  <c r="X154" i="1"/>
  <c r="T152" i="1"/>
  <c r="U152" i="1" s="1"/>
  <c r="S152" i="1" s="1"/>
  <c r="X213" i="1"/>
  <c r="AI208" i="1"/>
  <c r="T206" i="1"/>
  <c r="U206" i="1" s="1"/>
  <c r="S206" i="1" s="1"/>
  <c r="T203" i="1"/>
  <c r="U203" i="1" s="1"/>
  <c r="S203" i="1" s="1"/>
  <c r="X203" i="1"/>
  <c r="X202" i="1"/>
  <c r="X201" i="1"/>
  <c r="AA200" i="1"/>
  <c r="W200" i="1" s="1"/>
  <c r="AG199" i="1"/>
  <c r="AI199" i="1" s="1"/>
  <c r="AI198" i="1"/>
  <c r="U194" i="1"/>
  <c r="S194" i="1" s="1"/>
  <c r="AI192" i="1"/>
  <c r="T156" i="1"/>
  <c r="U156" i="1" s="1"/>
  <c r="S156" i="1" s="1"/>
  <c r="T153" i="1"/>
  <c r="U153" i="1" s="1"/>
  <c r="S153" i="1" s="1"/>
  <c r="X153" i="1"/>
  <c r="X152" i="1"/>
  <c r="X151" i="1"/>
  <c r="AA150" i="1"/>
  <c r="AG149" i="1"/>
  <c r="AI149" i="1" s="1"/>
  <c r="U144" i="1"/>
  <c r="S144" i="1" s="1"/>
  <c r="AG142" i="1"/>
  <c r="W142" i="1" s="1"/>
  <c r="T140" i="1"/>
  <c r="U140" i="1" s="1"/>
  <c r="S140" i="1" s="1"/>
  <c r="T137" i="1"/>
  <c r="U137" i="1" s="1"/>
  <c r="S137" i="1" s="1"/>
  <c r="X137" i="1"/>
  <c r="X136" i="1"/>
  <c r="X135" i="1"/>
  <c r="AA134" i="1"/>
  <c r="W134" i="1" s="1"/>
  <c r="U134" i="1"/>
  <c r="S134" i="1" s="1"/>
  <c r="AG133" i="1"/>
  <c r="AI133" i="1" s="1"/>
  <c r="U128" i="1"/>
  <c r="S128" i="1" s="1"/>
  <c r="AG126" i="1"/>
  <c r="X124" i="1"/>
  <c r="AI160" i="1"/>
  <c r="S115" i="1"/>
  <c r="AI153" i="1"/>
  <c r="T106" i="1"/>
  <c r="AG104" i="1"/>
  <c r="AI104" i="1" s="1"/>
  <c r="X104" i="1"/>
  <c r="T104" i="1"/>
  <c r="T182" i="1"/>
  <c r="X182" i="1"/>
  <c r="AG182" i="1"/>
  <c r="AI182" i="1" s="1"/>
  <c r="X93" i="1"/>
  <c r="X168" i="1"/>
  <c r="AG168" i="1"/>
  <c r="AI168" i="1" s="1"/>
  <c r="T168" i="1"/>
  <c r="T159" i="1"/>
  <c r="AG159" i="1"/>
  <c r="AG49" i="1"/>
  <c r="X49" i="1"/>
  <c r="T49" i="1"/>
  <c r="T208" i="1"/>
  <c r="U208" i="1" s="1"/>
  <c r="S208" i="1" s="1"/>
  <c r="X208" i="1"/>
  <c r="AA204" i="1"/>
  <c r="U198" i="1"/>
  <c r="S198" i="1" s="1"/>
  <c r="X196" i="1"/>
  <c r="T157" i="1"/>
  <c r="U157" i="1" s="1"/>
  <c r="S157" i="1" s="1"/>
  <c r="AA154" i="1"/>
  <c r="W154" i="1" s="1"/>
  <c r="X146" i="1"/>
  <c r="T141" i="1"/>
  <c r="U141" i="1" s="1"/>
  <c r="S141" i="1" s="1"/>
  <c r="X141" i="1"/>
  <c r="AA138" i="1"/>
  <c r="AI167" i="1"/>
  <c r="X130" i="1"/>
  <c r="T125" i="1"/>
  <c r="U125" i="1" s="1"/>
  <c r="S125" i="1" s="1"/>
  <c r="X125" i="1"/>
  <c r="X122" i="1"/>
  <c r="AG122" i="1"/>
  <c r="AI122" i="1" s="1"/>
  <c r="X123" i="1"/>
  <c r="AI156" i="1"/>
  <c r="AI137" i="1"/>
  <c r="W184" i="1"/>
  <c r="T117" i="1"/>
  <c r="U117" i="1" s="1"/>
  <c r="S117" i="1" s="1"/>
  <c r="X117" i="1"/>
  <c r="T102" i="1"/>
  <c r="U102" i="1" s="1"/>
  <c r="S102" i="1" s="1"/>
  <c r="X102" i="1"/>
  <c r="U188" i="1"/>
  <c r="S188" i="1" s="1"/>
  <c r="T186" i="1"/>
  <c r="U186" i="1" s="1"/>
  <c r="X186" i="1"/>
  <c r="U94" i="1"/>
  <c r="T177" i="1"/>
  <c r="U177" i="1" s="1"/>
  <c r="S177" i="1" s="1"/>
  <c r="X177" i="1"/>
  <c r="AI109" i="1"/>
  <c r="U164" i="1"/>
  <c r="S164" i="1" s="1"/>
  <c r="U160" i="1"/>
  <c r="AI89" i="1"/>
  <c r="X87" i="1"/>
  <c r="X86" i="1"/>
  <c r="AG86" i="1"/>
  <c r="T77" i="1"/>
  <c r="X77" i="1"/>
  <c r="X78" i="1"/>
  <c r="AG77" i="1"/>
  <c r="AI66" i="1"/>
  <c r="U66" i="1"/>
  <c r="S66" i="1" s="1"/>
  <c r="T57" i="1"/>
  <c r="X57" i="1"/>
  <c r="AG57" i="1"/>
  <c r="U51" i="1"/>
  <c r="S51" i="1" s="1"/>
  <c r="AI51" i="1"/>
  <c r="T121" i="1"/>
  <c r="X121" i="1"/>
  <c r="T114" i="1"/>
  <c r="AI148" i="1"/>
  <c r="T108" i="1"/>
  <c r="U108" i="1" s="1"/>
  <c r="S108" i="1" s="1"/>
  <c r="T105" i="1"/>
  <c r="X105" i="1"/>
  <c r="T99" i="1"/>
  <c r="AI132" i="1"/>
  <c r="T191" i="1"/>
  <c r="U191" i="1" s="1"/>
  <c r="S191" i="1" s="1"/>
  <c r="T189" i="1"/>
  <c r="T183" i="1"/>
  <c r="AI116" i="1"/>
  <c r="AI112" i="1"/>
  <c r="W170" i="1"/>
  <c r="AG166" i="1"/>
  <c r="AI166" i="1" s="1"/>
  <c r="X166" i="1"/>
  <c r="T166" i="1"/>
  <c r="U75" i="1"/>
  <c r="S75" i="1" s="1"/>
  <c r="AI73" i="1"/>
  <c r="X71" i="1"/>
  <c r="X70" i="1"/>
  <c r="AG70" i="1"/>
  <c r="AG45" i="1"/>
  <c r="X45" i="1"/>
  <c r="T45" i="1"/>
  <c r="AG41" i="1"/>
  <c r="W41" i="1" s="1"/>
  <c r="T41" i="1"/>
  <c r="X41" i="1"/>
  <c r="AA122" i="1"/>
  <c r="W122" i="1" s="1"/>
  <c r="AG121" i="1"/>
  <c r="AI121" i="1" s="1"/>
  <c r="AI157" i="1"/>
  <c r="U116" i="1"/>
  <c r="S116" i="1" s="1"/>
  <c r="AG114" i="1"/>
  <c r="T112" i="1"/>
  <c r="U112" i="1" s="1"/>
  <c r="S112" i="1" s="1"/>
  <c r="T109" i="1"/>
  <c r="U109" i="1" s="1"/>
  <c r="S109" i="1" s="1"/>
  <c r="X109" i="1"/>
  <c r="X108" i="1"/>
  <c r="AA106" i="1"/>
  <c r="W106" i="1" s="1"/>
  <c r="AG105" i="1"/>
  <c r="AI105" i="1" s="1"/>
  <c r="AI141" i="1"/>
  <c r="AG99" i="1"/>
  <c r="AI99" i="1" s="1"/>
  <c r="T97" i="1"/>
  <c r="U97" i="1" s="1"/>
  <c r="S97" i="1" s="1"/>
  <c r="T192" i="1"/>
  <c r="U192" i="1" s="1"/>
  <c r="S192" i="1" s="1"/>
  <c r="X192" i="1"/>
  <c r="X191" i="1"/>
  <c r="AA95" i="1"/>
  <c r="AG189" i="1"/>
  <c r="AI125" i="1"/>
  <c r="U185" i="1"/>
  <c r="S185" i="1" s="1"/>
  <c r="AG183" i="1"/>
  <c r="AI183" i="1" s="1"/>
  <c r="T181" i="1"/>
  <c r="U181" i="1" s="1"/>
  <c r="S181" i="1" s="1"/>
  <c r="T179" i="1"/>
  <c r="U179" i="1" s="1"/>
  <c r="S179" i="1" s="1"/>
  <c r="X94" i="1"/>
  <c r="S94" i="1"/>
  <c r="U174" i="1"/>
  <c r="S174" i="1" s="1"/>
  <c r="AI107" i="1"/>
  <c r="W159" i="1"/>
  <c r="AA89" i="1"/>
  <c r="W89" i="1" s="1"/>
  <c r="T86" i="1"/>
  <c r="AG84" i="1"/>
  <c r="X84" i="1"/>
  <c r="T84" i="1"/>
  <c r="T69" i="1"/>
  <c r="X69" i="1"/>
  <c r="AG69" i="1"/>
  <c r="T54" i="1"/>
  <c r="X54" i="1"/>
  <c r="AG54" i="1"/>
  <c r="X55" i="1"/>
  <c r="T171" i="1"/>
  <c r="AI101" i="1"/>
  <c r="T163" i="1"/>
  <c r="X163" i="1"/>
  <c r="X162" i="1"/>
  <c r="W160" i="1"/>
  <c r="AI91" i="1"/>
  <c r="T90" i="1"/>
  <c r="AI85" i="1"/>
  <c r="T81" i="1"/>
  <c r="X81" i="1"/>
  <c r="X80" i="1"/>
  <c r="W78" i="1"/>
  <c r="AI75" i="1"/>
  <c r="T74" i="1"/>
  <c r="W62" i="1"/>
  <c r="T61" i="1"/>
  <c r="X61" i="1"/>
  <c r="AG61" i="1"/>
  <c r="T58" i="1"/>
  <c r="X58" i="1"/>
  <c r="AI55" i="1"/>
  <c r="W22" i="1"/>
  <c r="U173" i="1"/>
  <c r="S173" i="1" s="1"/>
  <c r="AG171" i="1"/>
  <c r="T169" i="1"/>
  <c r="U169" i="1" s="1"/>
  <c r="S169" i="1" s="1"/>
  <c r="T167" i="1"/>
  <c r="U167" i="1" s="1"/>
  <c r="S167" i="1" s="1"/>
  <c r="X167" i="1"/>
  <c r="X165" i="1"/>
  <c r="AA164" i="1"/>
  <c r="AG163" i="1"/>
  <c r="W163" i="1" s="1"/>
  <c r="U92" i="1"/>
  <c r="S92" i="1" s="1"/>
  <c r="AG90" i="1"/>
  <c r="T88" i="1"/>
  <c r="U88" i="1" s="1"/>
  <c r="S88" i="1" s="1"/>
  <c r="T85" i="1"/>
  <c r="U85" i="1" s="1"/>
  <c r="S85" i="1" s="1"/>
  <c r="X85" i="1"/>
  <c r="X83" i="1"/>
  <c r="AA82" i="1"/>
  <c r="AG81" i="1"/>
  <c r="AG74" i="1"/>
  <c r="W74" i="1" s="1"/>
  <c r="T72" i="1"/>
  <c r="U72" i="1" s="1"/>
  <c r="S72" i="1" s="1"/>
  <c r="AA66" i="1"/>
  <c r="W66" i="1" s="1"/>
  <c r="T65" i="1"/>
  <c r="AG65" i="1"/>
  <c r="T62" i="1"/>
  <c r="U62" i="1" s="1"/>
  <c r="S62" i="1" s="1"/>
  <c r="X62" i="1"/>
  <c r="X59" i="1"/>
  <c r="AG58" i="1"/>
  <c r="W58" i="1" s="1"/>
  <c r="AA51" i="1"/>
  <c r="W51" i="1" s="1"/>
  <c r="W32" i="1"/>
  <c r="AI16" i="1"/>
  <c r="U16" i="1"/>
  <c r="S16" i="1" s="1"/>
  <c r="T170" i="1"/>
  <c r="U170" i="1" s="1"/>
  <c r="S170" i="1" s="1"/>
  <c r="X170" i="1"/>
  <c r="AA168" i="1"/>
  <c r="S160" i="1"/>
  <c r="AI94" i="1"/>
  <c r="T89" i="1"/>
  <c r="U89" i="1" s="1"/>
  <c r="S89" i="1" s="1"/>
  <c r="X89" i="1"/>
  <c r="AA86" i="1"/>
  <c r="W86" i="1" s="1"/>
  <c r="S78" i="1"/>
  <c r="AI78" i="1"/>
  <c r="T73" i="1"/>
  <c r="U73" i="1" s="1"/>
  <c r="S73" i="1" s="1"/>
  <c r="X73" i="1"/>
  <c r="AA70" i="1"/>
  <c r="AA69" i="1"/>
  <c r="W69" i="1" s="1"/>
  <c r="T68" i="1"/>
  <c r="X68" i="1"/>
  <c r="AG68" i="1"/>
  <c r="W68" i="1" s="1"/>
  <c r="AI63" i="1"/>
  <c r="AI62" i="1"/>
  <c r="AA55" i="1"/>
  <c r="W55" i="1" s="1"/>
  <c r="AA54" i="1"/>
  <c r="T53" i="1"/>
  <c r="X53" i="1"/>
  <c r="AG53" i="1"/>
  <c r="AI47" i="1"/>
  <c r="U47" i="1"/>
  <c r="S47" i="1" s="1"/>
  <c r="U32" i="1"/>
  <c r="S32" i="1" s="1"/>
  <c r="AG31" i="1"/>
  <c r="W31" i="1" s="1"/>
  <c r="X32" i="1"/>
  <c r="T31" i="1"/>
  <c r="X31" i="1"/>
  <c r="AG25" i="1"/>
  <c r="W25" i="1" s="1"/>
  <c r="T25" i="1"/>
  <c r="X25" i="1"/>
  <c r="AG35" i="1"/>
  <c r="X36" i="1"/>
  <c r="U29" i="1"/>
  <c r="S29" i="1" s="1"/>
  <c r="AI29" i="1"/>
  <c r="S26" i="1"/>
  <c r="AG19" i="1"/>
  <c r="W19" i="1" s="1"/>
  <c r="X20" i="1"/>
  <c r="T15" i="1"/>
  <c r="X15" i="1"/>
  <c r="AG15" i="1"/>
  <c r="X16" i="1"/>
  <c r="U14" i="1"/>
  <c r="S14" i="1" s="1"/>
  <c r="T50" i="1"/>
  <c r="U50" i="1" s="1"/>
  <c r="S50" i="1" s="1"/>
  <c r="X50" i="1"/>
  <c r="X48" i="1"/>
  <c r="AA47" i="1"/>
  <c r="W47" i="1" s="1"/>
  <c r="AG39" i="1"/>
  <c r="X40" i="1"/>
  <c r="T37" i="1"/>
  <c r="U37" i="1" s="1"/>
  <c r="S37" i="1" s="1"/>
  <c r="X35" i="1"/>
  <c r="U34" i="1"/>
  <c r="S34" i="1" s="1"/>
  <c r="U33" i="1"/>
  <c r="S33" i="1" s="1"/>
  <c r="AI33" i="1"/>
  <c r="X29" i="1"/>
  <c r="AG23" i="1"/>
  <c r="W23" i="1" s="1"/>
  <c r="X24" i="1"/>
  <c r="W21" i="1"/>
  <c r="T21" i="1"/>
  <c r="U21" i="1" s="1"/>
  <c r="S21" i="1" s="1"/>
  <c r="X19" i="1"/>
  <c r="U18" i="1"/>
  <c r="S18" i="1" s="1"/>
  <c r="U17" i="1"/>
  <c r="S17" i="1" s="1"/>
  <c r="AI17" i="1"/>
  <c r="AG43" i="1"/>
  <c r="X44" i="1"/>
  <c r="AI37" i="1"/>
  <c r="AG27" i="1"/>
  <c r="X28" i="1"/>
  <c r="AI21" i="1"/>
  <c r="X46" i="1"/>
  <c r="X42" i="1"/>
  <c r="X38" i="1"/>
  <c r="X34" i="1"/>
  <c r="X30" i="1"/>
  <c r="X26" i="1"/>
  <c r="X22" i="1"/>
  <c r="X18" i="1"/>
  <c r="Y26" i="3"/>
  <c r="Y27" i="3"/>
  <c r="Y34" i="3"/>
  <c r="Y33" i="3"/>
  <c r="AC29" i="3"/>
  <c r="Y31" i="3"/>
  <c r="AC18" i="3"/>
  <c r="Y7" i="3"/>
  <c r="Y24" i="3"/>
  <c r="Y23" i="3"/>
  <c r="Y14" i="3"/>
  <c r="AC28" i="3"/>
  <c r="AC17" i="3"/>
  <c r="AC8" i="3"/>
  <c r="AC10" i="3"/>
  <c r="Y12" i="3"/>
  <c r="Y15" i="3"/>
  <c r="T26" i="3"/>
  <c r="T32" i="3"/>
  <c r="T27" i="3"/>
  <c r="T20" i="3"/>
  <c r="T30" i="3"/>
  <c r="T9" i="3"/>
  <c r="T35" i="3"/>
  <c r="W178" i="1" l="1"/>
  <c r="AI178" i="1"/>
  <c r="U110" i="1"/>
  <c r="S110" i="1" s="1"/>
  <c r="AI40" i="1"/>
  <c r="W60" i="1"/>
  <c r="U162" i="1"/>
  <c r="S162" i="1" s="1"/>
  <c r="AI60" i="1"/>
  <c r="W83" i="1"/>
  <c r="AI83" i="1"/>
  <c r="W147" i="1"/>
  <c r="W91" i="1"/>
  <c r="W187" i="1"/>
  <c r="AI22" i="1"/>
  <c r="W176" i="1"/>
  <c r="AI64" i="1"/>
  <c r="U180" i="1"/>
  <c r="S180" i="1" s="1"/>
  <c r="U131" i="1"/>
  <c r="S131" i="1" s="1"/>
  <c r="AI44" i="1"/>
  <c r="W164" i="1"/>
  <c r="U184" i="1"/>
  <c r="S184" i="1" s="1"/>
  <c r="U76" i="1"/>
  <c r="S76" i="1" s="1"/>
  <c r="W95" i="1"/>
  <c r="W45" i="1"/>
  <c r="AI197" i="1"/>
  <c r="U187" i="1"/>
  <c r="S187" i="1" s="1"/>
  <c r="W181" i="1"/>
  <c r="W115" i="1"/>
  <c r="U158" i="1"/>
  <c r="S158" i="1" s="1"/>
  <c r="U82" i="1"/>
  <c r="S82" i="1" s="1"/>
  <c r="W79" i="1"/>
  <c r="U118" i="1"/>
  <c r="S118" i="1" s="1"/>
  <c r="AI162" i="1"/>
  <c r="U130" i="1"/>
  <c r="S130" i="1" s="1"/>
  <c r="W40" i="1"/>
  <c r="W82" i="1"/>
  <c r="W63" i="1"/>
  <c r="U48" i="1"/>
  <c r="S48" i="1" s="1"/>
  <c r="W118" i="1"/>
  <c r="U175" i="1"/>
  <c r="S175" i="1" s="1"/>
  <c r="U119" i="1"/>
  <c r="S119" i="1" s="1"/>
  <c r="W130" i="1"/>
  <c r="U28" i="1"/>
  <c r="S28" i="1" s="1"/>
  <c r="AI38" i="1"/>
  <c r="W48" i="1"/>
  <c r="AI59" i="1"/>
  <c r="W90" i="1"/>
  <c r="W171" i="1"/>
  <c r="W138" i="1"/>
  <c r="AI147" i="1"/>
  <c r="AI211" i="1"/>
  <c r="W59" i="1"/>
  <c r="W158" i="1"/>
  <c r="W172" i="1"/>
  <c r="U79" i="1"/>
  <c r="S79" i="1" s="1"/>
  <c r="W52" i="1"/>
  <c r="W36" i="1"/>
  <c r="W61" i="1"/>
  <c r="W196" i="1"/>
  <c r="W76" i="1"/>
  <c r="U46" i="1"/>
  <c r="S46" i="1" s="1"/>
  <c r="AI46" i="1"/>
  <c r="W139" i="1"/>
  <c r="W14" i="1"/>
  <c r="U111" i="1"/>
  <c r="S111" i="1" s="1"/>
  <c r="W46" i="1"/>
  <c r="W28" i="1"/>
  <c r="W166" i="1"/>
  <c r="AI131" i="1"/>
  <c r="U150" i="1"/>
  <c r="S150" i="1" s="1"/>
  <c r="U30" i="1"/>
  <c r="S30" i="1" s="1"/>
  <c r="AI36" i="1"/>
  <c r="U36" i="1"/>
  <c r="S36" i="1" s="1"/>
  <c r="W162" i="1"/>
  <c r="U155" i="1"/>
  <c r="S155" i="1" s="1"/>
  <c r="AI155" i="1"/>
  <c r="W197" i="1"/>
  <c r="W42" i="1"/>
  <c r="W173" i="1"/>
  <c r="W201" i="1"/>
  <c r="AI30" i="1"/>
  <c r="U24" i="1"/>
  <c r="S24" i="1" s="1"/>
  <c r="AI24" i="1"/>
  <c r="W70" i="1"/>
  <c r="W168" i="1"/>
  <c r="W43" i="1"/>
  <c r="S91" i="1"/>
  <c r="U161" i="1"/>
  <c r="S161" i="1" s="1"/>
  <c r="U103" i="1"/>
  <c r="S103" i="1" s="1"/>
  <c r="W150" i="1"/>
  <c r="W104" i="1"/>
  <c r="W174" i="1"/>
  <c r="W131" i="1"/>
  <c r="W211" i="1"/>
  <c r="U42" i="1"/>
  <c r="S42" i="1" s="1"/>
  <c r="W103" i="1"/>
  <c r="U172" i="1"/>
  <c r="S172" i="1" s="1"/>
  <c r="W114" i="1"/>
  <c r="AI114" i="1"/>
  <c r="AI171" i="1"/>
  <c r="W24" i="1"/>
  <c r="W30" i="1"/>
  <c r="U56" i="1"/>
  <c r="S56" i="1" s="1"/>
  <c r="AI56" i="1"/>
  <c r="W88" i="1"/>
  <c r="W155" i="1"/>
  <c r="AI27" i="1"/>
  <c r="U27" i="1"/>
  <c r="S27" i="1" s="1"/>
  <c r="AI120" i="1"/>
  <c r="U183" i="1"/>
  <c r="S183" i="1" s="1"/>
  <c r="AI193" i="1"/>
  <c r="AI205" i="1"/>
  <c r="U204" i="1"/>
  <c r="S204" i="1" s="1"/>
  <c r="U176" i="1"/>
  <c r="S176" i="1" s="1"/>
  <c r="AI111" i="1"/>
  <c r="AI135" i="1"/>
  <c r="U98" i="1"/>
  <c r="S98" i="1" s="1"/>
  <c r="AI23" i="1"/>
  <c r="U23" i="1"/>
  <c r="S23" i="1" s="1"/>
  <c r="AI39" i="1"/>
  <c r="U39" i="1"/>
  <c r="S39" i="1" s="1"/>
  <c r="U84" i="1"/>
  <c r="S84" i="1" s="1"/>
  <c r="AI84" i="1"/>
  <c r="U105" i="1"/>
  <c r="S105" i="1" s="1"/>
  <c r="AI143" i="1"/>
  <c r="W105" i="1"/>
  <c r="AI77" i="1"/>
  <c r="U77" i="1"/>
  <c r="S77" i="1" s="1"/>
  <c r="U122" i="1"/>
  <c r="S122" i="1" s="1"/>
  <c r="AI159" i="1"/>
  <c r="AI93" i="1"/>
  <c r="U159" i="1"/>
  <c r="S159" i="1" s="1"/>
  <c r="U104" i="1"/>
  <c r="S104" i="1" s="1"/>
  <c r="AI142" i="1"/>
  <c r="AI185" i="1"/>
  <c r="U149" i="1"/>
  <c r="S149" i="1" s="1"/>
  <c r="W98" i="1"/>
  <c r="W77" i="1"/>
  <c r="AI175" i="1"/>
  <c r="U138" i="1"/>
  <c r="S138" i="1" s="1"/>
  <c r="U65" i="1"/>
  <c r="S65" i="1" s="1"/>
  <c r="AI65" i="1"/>
  <c r="W65" i="1"/>
  <c r="U81" i="1"/>
  <c r="S81" i="1" s="1"/>
  <c r="AI81" i="1"/>
  <c r="AI106" i="1"/>
  <c r="U171" i="1"/>
  <c r="S171" i="1" s="1"/>
  <c r="AI152" i="1"/>
  <c r="U114" i="1"/>
  <c r="S114" i="1" s="1"/>
  <c r="W183" i="1"/>
  <c r="U49" i="1"/>
  <c r="S49" i="1" s="1"/>
  <c r="AI49" i="1"/>
  <c r="AI163" i="1"/>
  <c r="U126" i="1"/>
  <c r="S126" i="1" s="1"/>
  <c r="W126" i="1"/>
  <c r="AI128" i="1"/>
  <c r="U95" i="1"/>
  <c r="S95" i="1" s="1"/>
  <c r="AI35" i="1"/>
  <c r="U35" i="1"/>
  <c r="S35" i="1" s="1"/>
  <c r="U163" i="1"/>
  <c r="S163" i="1" s="1"/>
  <c r="AI97" i="1"/>
  <c r="W27" i="1"/>
  <c r="AI15" i="1"/>
  <c r="U15" i="1"/>
  <c r="S15" i="1" s="1"/>
  <c r="AI19" i="1"/>
  <c r="U19" i="1"/>
  <c r="S19" i="1" s="1"/>
  <c r="W39" i="1"/>
  <c r="U25" i="1"/>
  <c r="S25" i="1" s="1"/>
  <c r="AI25" i="1"/>
  <c r="AI31" i="1"/>
  <c r="U31" i="1"/>
  <c r="S31" i="1" s="1"/>
  <c r="W35" i="1"/>
  <c r="W49" i="1"/>
  <c r="W54" i="1"/>
  <c r="U68" i="1"/>
  <c r="S68" i="1" s="1"/>
  <c r="AI68" i="1"/>
  <c r="AI58" i="1"/>
  <c r="U58" i="1"/>
  <c r="S58" i="1" s="1"/>
  <c r="AI74" i="1"/>
  <c r="U74" i="1"/>
  <c r="S74" i="1" s="1"/>
  <c r="W15" i="1"/>
  <c r="U61" i="1"/>
  <c r="S61" i="1" s="1"/>
  <c r="AI61" i="1"/>
  <c r="AI69" i="1"/>
  <c r="U69" i="1"/>
  <c r="S69" i="1" s="1"/>
  <c r="W81" i="1"/>
  <c r="AI136" i="1"/>
  <c r="U99" i="1"/>
  <c r="S99" i="1" s="1"/>
  <c r="U45" i="1"/>
  <c r="S45" i="1" s="1"/>
  <c r="AI45" i="1"/>
  <c r="AI70" i="1"/>
  <c r="U70" i="1"/>
  <c r="S70" i="1" s="1"/>
  <c r="W99" i="1"/>
  <c r="AI126" i="1"/>
  <c r="AI102" i="1"/>
  <c r="U168" i="1"/>
  <c r="S168" i="1" s="1"/>
  <c r="AI179" i="1"/>
  <c r="U142" i="1"/>
  <c r="S142" i="1" s="1"/>
  <c r="S154" i="1"/>
  <c r="AI189" i="1"/>
  <c r="U154" i="1"/>
  <c r="AI196" i="1"/>
  <c r="U195" i="1"/>
  <c r="S195" i="1" s="1"/>
  <c r="U213" i="1"/>
  <c r="S213" i="1" s="1"/>
  <c r="AI213" i="1"/>
  <c r="AI144" i="1"/>
  <c r="U106" i="1"/>
  <c r="S106" i="1" s="1"/>
  <c r="AI151" i="1"/>
  <c r="U113" i="1"/>
  <c r="S113" i="1" s="1"/>
  <c r="W195" i="1"/>
  <c r="W149" i="1"/>
  <c r="AI43" i="1"/>
  <c r="U43" i="1"/>
  <c r="S43" i="1" s="1"/>
  <c r="U53" i="1"/>
  <c r="S53" i="1" s="1"/>
  <c r="AI53" i="1"/>
  <c r="AI90" i="1"/>
  <c r="U90" i="1"/>
  <c r="S90" i="1" s="1"/>
  <c r="AI54" i="1"/>
  <c r="U54" i="1"/>
  <c r="S54" i="1" s="1"/>
  <c r="U189" i="1"/>
  <c r="S189" i="1" s="1"/>
  <c r="AI127" i="1"/>
  <c r="W189" i="1"/>
  <c r="U121" i="1"/>
  <c r="S121" i="1" s="1"/>
  <c r="AI158" i="1"/>
  <c r="W121" i="1"/>
  <c r="U41" i="1"/>
  <c r="S41" i="1" s="1"/>
  <c r="AI41" i="1"/>
  <c r="W53" i="1"/>
  <c r="W84" i="1"/>
  <c r="U166" i="1"/>
  <c r="S166" i="1" s="1"/>
  <c r="AI100" i="1"/>
  <c r="U57" i="1"/>
  <c r="S57" i="1" s="1"/>
  <c r="AI57" i="1"/>
  <c r="AI86" i="1"/>
  <c r="U86" i="1"/>
  <c r="S86" i="1" s="1"/>
  <c r="W204" i="1"/>
  <c r="AI119" i="1"/>
  <c r="U182" i="1"/>
  <c r="S182" i="1" s="1"/>
  <c r="AI170" i="1"/>
  <c r="U133" i="1"/>
  <c r="S133" i="1" s="1"/>
  <c r="AI200" i="1"/>
  <c r="U199" i="1"/>
  <c r="S199" i="1" s="1"/>
  <c r="AI209" i="1"/>
  <c r="U209" i="1"/>
  <c r="S209" i="1" s="1"/>
  <c r="W57" i="1"/>
  <c r="AI210" i="1"/>
  <c r="U210" i="1"/>
  <c r="S210" i="1" s="1"/>
  <c r="W182" i="1"/>
  <c r="U120" i="1"/>
  <c r="S120" i="1" s="1"/>
  <c r="W133" i="1"/>
  <c r="W199" i="1"/>
  <c r="W213" i="1"/>
  <c r="M25" i="3"/>
  <c r="N25" i="3"/>
  <c r="R25" i="3"/>
  <c r="S25" i="3"/>
  <c r="U25" i="3"/>
  <c r="T25" i="3" s="1"/>
  <c r="V25" i="3"/>
  <c r="W25" i="3"/>
  <c r="X25" i="3"/>
  <c r="AC25" i="3"/>
  <c r="Y25" i="3" l="1"/>
  <c r="Z13" i="1"/>
  <c r="Y13" i="1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V13" i="1"/>
  <c r="M13" i="1"/>
  <c r="N13" i="1" s="1"/>
  <c r="L13" i="1"/>
  <c r="K13" i="1"/>
  <c r="F6" i="6" l="1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<sst xmlns="http://schemas.openxmlformats.org/spreadsheetml/2006/main" count="2148" uniqueCount="784">
  <si>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</si>
  <si>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</si>
  <si>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</si>
  <si>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</si>
  <si>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</si>
  <si>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</si>
  <si>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</si>
  <si>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</si>
  <si>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</si>
  <si>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</si>
  <si>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</si>
  <si>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</si>
  <si>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</si>
  <si>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</si>
  <si>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</si>
  <si>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</si>
  <si>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</si>
  <si>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</si>
  <si>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</si>
  <si>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</si>
  <si>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</si>
  <si>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</si>
  <si>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</si>
  <si>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</si>
  <si>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</si>
  <si>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</si>
  <si>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</si>
  <si>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</si>
  <si>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</si>
  <si>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</si>
  <si>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</si>
  <si>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</si>
  <si>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</si>
  <si>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</si>
  <si>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</si>
  <si>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</si>
  <si>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</si>
  <si>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</si>
  <si>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</si>
  <si>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</si>
  <si>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</si>
  <si>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</si>
  <si>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</si>
  <si>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</si>
  <si>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</si>
  <si>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</si>
  <si>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</si>
  <si>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</si>
  <si>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</si>
  <si>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</si>
  <si>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</si>
  <si>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</si>
  <si>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</si>
  <si>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</si>
  <si>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</si>
  <si>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</si>
  <si>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</si>
  <si>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</si>
  <si>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</si>
  <si>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</si>
  <si>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</si>
  <si>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</si>
  <si>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</si>
  <si>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</si>
  <si>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</si>
  <si>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</si>
  <si>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</si>
  <si>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</si>
  <si>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</si>
  <si>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</si>
  <si>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</si>
  <si>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</si>
  <si>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</si>
  <si>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</si>
  <si>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</si>
  <si>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</si>
  <si>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</si>
  <si>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</si>
  <si>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</si>
  <si>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</si>
  <si>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</si>
  <si>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</si>
  <si>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</si>
  <si>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</si>
  <si>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</si>
  <si>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</si>
  <si>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</si>
  <si>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</si>
  <si>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</si>
  <si>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</si>
  <si>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</si>
  <si>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</si>
  <si>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</si>
  <si>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</si>
  <si>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</si>
  <si>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</si>
  <si>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</si>
  <si>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</si>
  <si>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</si>
  <si>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</si>
  <si>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</si>
  <si>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</si>
  <si>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</si>
  <si>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</si>
  <si>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</si>
  <si>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</si>
  <si>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</si>
  <si>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</si>
  <si>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</si>
  <si>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</si>
  <si>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</si>
  <si>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</si>
  <si>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</si>
  <si>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</si>
  <si>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</si>
  <si>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</si>
  <si>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</si>
  <si>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</si>
  <si>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</si>
  <si>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</si>
  <si>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</si>
  <si>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</si>
  <si>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</si>
  <si>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</si>
  <si>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</si>
  <si>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</si>
  <si>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</si>
  <si>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</si>
  <si>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</si>
  <si>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</si>
  <si>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</si>
  <si>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</si>
  <si>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</si>
  <si>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</si>
  <si>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</si>
  <si>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</si>
  <si>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</si>
  <si>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</si>
  <si>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</si>
  <si>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</si>
  <si>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</si>
  <si>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</si>
  <si>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</si>
  <si>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</si>
  <si>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</si>
  <si>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</si>
  <si>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</si>
  <si>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</si>
  <si>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</si>
  <si>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</si>
  <si>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</si>
  <si>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</si>
  <si>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</si>
  <si>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</si>
  <si>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</si>
  <si>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</si>
  <si>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</si>
  <si>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</si>
  <si>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</si>
  <si>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</si>
  <si>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</si>
  <si>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</si>
  <si>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</si>
  <si>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</si>
  <si>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</si>
  <si>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</si>
  <si>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</si>
  <si>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</si>
  <si>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</si>
  <si>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</si>
  <si>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</si>
  <si>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</si>
  <si>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</si>
  <si>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</si>
  <si>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</si>
  <si>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</si>
  <si>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</si>
  <si>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</si>
  <si>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</si>
  <si>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</si>
  <si>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</si>
  <si>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</si>
  <si>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</si>
  <si>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</si>
  <si>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</si>
  <si>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</si>
  <si>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</si>
  <si>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</si>
  <si>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rtdc.l.rtdc.4010:itc</t>
  </si>
  <si>
    <t>rtdc.l.rtdc.4009:itc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</si>
  <si>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</si>
  <si>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</si>
  <si>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</si>
  <si>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</si>
  <si>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</si>
  <si>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</si>
  <si>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</si>
  <si>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</si>
  <si>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</si>
  <si>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</si>
  <si>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</si>
  <si>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</si>
  <si>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</si>
  <si>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</si>
  <si>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</si>
  <si>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</si>
  <si>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</si>
  <si>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</si>
  <si>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</si>
  <si>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</si>
  <si>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</si>
  <si>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</si>
  <si>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</si>
  <si>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</si>
  <si>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</si>
  <si>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</si>
  <si>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</si>
  <si>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</si>
  <si>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</si>
  <si>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</si>
  <si>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</si>
  <si>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</si>
  <si>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</si>
  <si>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</si>
  <si>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</si>
  <si>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</si>
  <si>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</si>
  <si>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</si>
  <si>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</si>
  <si>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rtdc.l.rtdc.4037:itc</t>
  </si>
  <si>
    <t>204:233291</t>
  </si>
  <si>
    <t>204:232985</t>
  </si>
  <si>
    <t>rtdc.l.rtdc.4011:itc</t>
  </si>
  <si>
    <t>204:457</t>
  </si>
  <si>
    <t>rtdc.l.rtdc.4021:itc</t>
  </si>
  <si>
    <t>rtdc.l.rtdc.4002:itc</t>
  </si>
  <si>
    <t>rtdc.l.rtdc.4001:itc</t>
  </si>
  <si>
    <t>204:161</t>
  </si>
  <si>
    <t>204:464</t>
  </si>
  <si>
    <t>204:232969</t>
  </si>
  <si>
    <t>204:232981</t>
  </si>
  <si>
    <t>204:232978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</si>
  <si>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</si>
  <si>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</si>
  <si>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</si>
  <si>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</si>
  <si>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</si>
  <si>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</si>
  <si>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</si>
  <si>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</si>
  <si>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</si>
  <si>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</si>
  <si>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</si>
  <si>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partly-cloudy-day</t>
  </si>
  <si>
    <t>204:136</t>
  </si>
  <si>
    <t>204:438</t>
  </si>
  <si>
    <t>204:233289</t>
  </si>
  <si>
    <t>204:473</t>
  </si>
  <si>
    <t>204:232975</t>
  </si>
  <si>
    <t>204:444</t>
  </si>
  <si>
    <t>300:58613</t>
  </si>
  <si>
    <t>300:58926</t>
  </si>
  <si>
    <t>CHANDLER</t>
  </si>
  <si>
    <t>204:233303</t>
  </si>
  <si>
    <t>204:232984</t>
  </si>
  <si>
    <t>204:158</t>
  </si>
  <si>
    <t>204:475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</si>
  <si>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</si>
  <si>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</si>
  <si>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</si>
  <si>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</si>
  <si>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</si>
  <si>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</si>
  <si>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</si>
  <si>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rtdc.l.rtdc.4039:itc</t>
  </si>
  <si>
    <t>rtdc.l.rtdc.4032:itc</t>
  </si>
  <si>
    <t>Y</t>
  </si>
  <si>
    <t>rtdc.l.rtdc.4004:itc</t>
  </si>
  <si>
    <t>JOHNSON</t>
  </si>
  <si>
    <t>WHITED</t>
  </si>
  <si>
    <t>204:233302</t>
  </si>
  <si>
    <t>204:232971</t>
  </si>
  <si>
    <t>204:233298</t>
  </si>
  <si>
    <t>204:232982</t>
  </si>
  <si>
    <t>204:233310</t>
  </si>
  <si>
    <t>204:233312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</si>
  <si>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</si>
  <si>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</si>
  <si>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</si>
  <si>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</si>
  <si>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</si>
  <si>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</si>
  <si>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</si>
  <si>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</si>
  <si>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</si>
  <si>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</si>
  <si>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</si>
  <si>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</si>
  <si>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</si>
  <si>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</si>
  <si>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</si>
  <si>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</si>
  <si>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</si>
  <si>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</si>
  <si>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</si>
  <si>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</si>
  <si>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</si>
  <si>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</si>
  <si>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</si>
  <si>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</si>
  <si>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204:232987</t>
  </si>
  <si>
    <t>204:232998</t>
  </si>
  <si>
    <t>204:233308</t>
  </si>
  <si>
    <t>204:127</t>
  </si>
  <si>
    <t>204:134</t>
  </si>
  <si>
    <t>204:232993</t>
  </si>
  <si>
    <t>204:469</t>
  </si>
  <si>
    <t>204:232991</t>
  </si>
  <si>
    <t>204:731</t>
  </si>
  <si>
    <t>300:58615</t>
  </si>
  <si>
    <t>300:58611</t>
  </si>
  <si>
    <t>rtdc.l.rtdc.4031:itc</t>
  </si>
  <si>
    <t>rtdc.l.rtdc.4017:itc</t>
  </si>
  <si>
    <t>rtdc.l.rtdc.4025:itc</t>
  </si>
  <si>
    <t>rtdc.l.rtdc.4018:itc</t>
  </si>
  <si>
    <t>rtdc.l.rtdc.4054:itc</t>
  </si>
  <si>
    <t>244-02</t>
  </si>
  <si>
    <t>MAELZER</t>
  </si>
  <si>
    <t>rtdc.l.rtdc.4053:itc</t>
  </si>
  <si>
    <t>rtdc.l.rtdc.4026:itc</t>
  </si>
  <si>
    <t>BEAM</t>
  </si>
  <si>
    <t>LOZA</t>
  </si>
  <si>
    <t>ADANE</t>
  </si>
  <si>
    <t>MAGEE</t>
  </si>
  <si>
    <t>313-02</t>
  </si>
  <si>
    <t>315-02</t>
  </si>
  <si>
    <t>204:232989</t>
  </si>
  <si>
    <t>204:232994</t>
  </si>
  <si>
    <t>204:232986</t>
  </si>
  <si>
    <t>204:132</t>
  </si>
  <si>
    <t>204:233305</t>
  </si>
  <si>
    <t>204:233334</t>
  </si>
  <si>
    <t>204:404</t>
  </si>
  <si>
    <t>204:233315</t>
  </si>
  <si>
    <t>300:23301</t>
  </si>
  <si>
    <t>300:23302</t>
  </si>
  <si>
    <t>300:58984</t>
  </si>
  <si>
    <t>204:992</t>
  </si>
  <si>
    <t>204:699</t>
  </si>
  <si>
    <t>204:1030</t>
  </si>
  <si>
    <t>204:1032</t>
  </si>
  <si>
    <t>rtdc.l.rtdc.4012:itc</t>
  </si>
  <si>
    <t>rtdc.l.rtdc.4015:itc</t>
  </si>
  <si>
    <t>847-03</t>
  </si>
  <si>
    <t>908-03</t>
  </si>
  <si>
    <t>236-03</t>
  </si>
  <si>
    <t>rtdc.l.rtdc.4016:itc</t>
  </si>
  <si>
    <t>241-03</t>
  </si>
  <si>
    <t>SHOOK</t>
  </si>
  <si>
    <t>230-03</t>
  </si>
  <si>
    <t>63-03</t>
  </si>
  <si>
    <t>PINCURA</t>
  </si>
  <si>
    <t>233-03</t>
  </si>
  <si>
    <t>232-03</t>
  </si>
  <si>
    <t>235-03</t>
  </si>
  <si>
    <t>237-03</t>
  </si>
  <si>
    <t>234-03</t>
  </si>
  <si>
    <t>239-03</t>
  </si>
  <si>
    <t>238-03</t>
  </si>
  <si>
    <t>243-03</t>
  </si>
  <si>
    <t>240-03</t>
  </si>
  <si>
    <t>309-03</t>
  </si>
  <si>
    <t>242-03</t>
  </si>
  <si>
    <t>311-03</t>
  </si>
  <si>
    <t>244-03</t>
  </si>
  <si>
    <t>313-03</t>
  </si>
  <si>
    <t>315-03</t>
  </si>
  <si>
    <t>204:233314</t>
  </si>
  <si>
    <t>204:232965</t>
  </si>
  <si>
    <t>204:160</t>
  </si>
  <si>
    <t>204:150</t>
  </si>
  <si>
    <t>204:232992</t>
  </si>
  <si>
    <t>204:232967</t>
  </si>
  <si>
    <t>204:233319</t>
  </si>
  <si>
    <t>204:233284</t>
  </si>
  <si>
    <t>204:233286</t>
  </si>
  <si>
    <t>204:139</t>
  </si>
  <si>
    <t>204:233247</t>
  </si>
  <si>
    <t>204:233347</t>
  </si>
  <si>
    <t>204:233337</t>
  </si>
  <si>
    <t>204:233028</t>
  </si>
  <si>
    <t>204:233283</t>
  </si>
  <si>
    <t>204:233344</t>
  </si>
  <si>
    <t>204:233057</t>
  </si>
  <si>
    <t>204:129</t>
  </si>
  <si>
    <t>204:233051</t>
  </si>
  <si>
    <t>204:233318</t>
  </si>
  <si>
    <t>204:233003</t>
  </si>
  <si>
    <t>204:435</t>
  </si>
  <si>
    <t>204:437</t>
  </si>
  <si>
    <t>204:232957</t>
  </si>
  <si>
    <t>204:233030</t>
  </si>
  <si>
    <t>204:233307</t>
  </si>
  <si>
    <t>204:233274</t>
  </si>
  <si>
    <t>204:232960</t>
  </si>
  <si>
    <t>300:23308</t>
  </si>
  <si>
    <t>204:1034</t>
  </si>
  <si>
    <t>204:979</t>
  </si>
  <si>
    <t>204:794</t>
  </si>
  <si>
    <t>204:750</t>
  </si>
  <si>
    <t>300:58941</t>
  </si>
  <si>
    <t>300:58929</t>
  </si>
  <si>
    <t>204:712</t>
  </si>
  <si>
    <t>300:58920</t>
  </si>
  <si>
    <t>204:657</t>
  </si>
  <si>
    <t>105-05</t>
  </si>
  <si>
    <t>104-05</t>
  </si>
  <si>
    <t>115-05</t>
  </si>
  <si>
    <t>110-05</t>
  </si>
  <si>
    <t>118-05</t>
  </si>
  <si>
    <t>122-05</t>
  </si>
  <si>
    <t>141-05</t>
  </si>
  <si>
    <t>1806-05</t>
  </si>
  <si>
    <t>147-05</t>
  </si>
  <si>
    <t>149-05</t>
  </si>
  <si>
    <t>157-05</t>
  </si>
  <si>
    <t>1811-05</t>
  </si>
  <si>
    <t>173-05</t>
  </si>
  <si>
    <t>1818-05</t>
  </si>
  <si>
    <t>189-05</t>
  </si>
  <si>
    <t>1819-05</t>
  </si>
  <si>
    <t>186-05</t>
  </si>
  <si>
    <t>1820-05</t>
  </si>
  <si>
    <t>190-05</t>
  </si>
  <si>
    <t>200-05</t>
  </si>
  <si>
    <t>58-05</t>
  </si>
  <si>
    <t>217-05</t>
  </si>
  <si>
    <t>1826-05</t>
  </si>
  <si>
    <t>221-05</t>
  </si>
  <si>
    <t>220-05</t>
  </si>
  <si>
    <t>1830-05</t>
  </si>
  <si>
    <t>1832-05</t>
  </si>
  <si>
    <t>236-05</t>
  </si>
  <si>
    <t>245-04</t>
  </si>
  <si>
    <t>242-04</t>
  </si>
  <si>
    <t>309-04</t>
  </si>
  <si>
    <t>244-04</t>
  </si>
  <si>
    <t>311-04</t>
  </si>
  <si>
    <t>246-04</t>
  </si>
  <si>
    <t>313-04</t>
  </si>
  <si>
    <t>315-04</t>
  </si>
  <si>
    <t>302-05</t>
  </si>
  <si>
    <t>101-05</t>
  </si>
  <si>
    <t>304-05</t>
  </si>
  <si>
    <t>MALAVE</t>
  </si>
  <si>
    <t>306-05</t>
  </si>
  <si>
    <t>ACKERMAN</t>
  </si>
  <si>
    <t>103-05</t>
  </si>
  <si>
    <t>102-05</t>
  </si>
  <si>
    <t>308-05</t>
  </si>
  <si>
    <t>DE LA ROSA</t>
  </si>
  <si>
    <t>310-05</t>
  </si>
  <si>
    <t>KILLION</t>
  </si>
  <si>
    <t>107-05</t>
  </si>
  <si>
    <t>109-05</t>
  </si>
  <si>
    <t>111-05</t>
  </si>
  <si>
    <t>GEBRETEKLE</t>
  </si>
  <si>
    <t>106-05</t>
  </si>
  <si>
    <t>113-05</t>
  </si>
  <si>
    <t>108-05</t>
  </si>
  <si>
    <t>1901-05</t>
  </si>
  <si>
    <t>YORK</t>
  </si>
  <si>
    <t>ROBINSON</t>
  </si>
  <si>
    <t>1800-05</t>
  </si>
  <si>
    <t>117-05</t>
  </si>
  <si>
    <t>112-05</t>
  </si>
  <si>
    <t>119-05</t>
  </si>
  <si>
    <t>1801-05</t>
  </si>
  <si>
    <t>114-05</t>
  </si>
  <si>
    <t>121-05</t>
  </si>
  <si>
    <t>116-05</t>
  </si>
  <si>
    <t>123-05</t>
  </si>
  <si>
    <t>125-05</t>
  </si>
  <si>
    <t>1802-05</t>
  </si>
  <si>
    <t>120-05</t>
  </si>
  <si>
    <t>127-05</t>
  </si>
  <si>
    <t>1803-05</t>
  </si>
  <si>
    <t>129-05</t>
  </si>
  <si>
    <t>124-05</t>
  </si>
  <si>
    <t>131-05</t>
  </si>
  <si>
    <t>1804-05</t>
  </si>
  <si>
    <t>126-05</t>
  </si>
  <si>
    <t>133-05</t>
  </si>
  <si>
    <t>128-05</t>
  </si>
  <si>
    <t>135-05</t>
  </si>
  <si>
    <t>1805-05</t>
  </si>
  <si>
    <t>130-05</t>
  </si>
  <si>
    <t>137-05</t>
  </si>
  <si>
    <t>139-05</t>
  </si>
  <si>
    <t>132-05</t>
  </si>
  <si>
    <t>134-05</t>
  </si>
  <si>
    <t>136-05</t>
  </si>
  <si>
    <t>143-05</t>
  </si>
  <si>
    <t>138-05</t>
  </si>
  <si>
    <t>145-05</t>
  </si>
  <si>
    <t>1807-05</t>
  </si>
  <si>
    <t>140-05</t>
  </si>
  <si>
    <t>142-05</t>
  </si>
  <si>
    <t>1808-05</t>
  </si>
  <si>
    <t>144-05</t>
  </si>
  <si>
    <t>151-05</t>
  </si>
  <si>
    <t>153-05</t>
  </si>
  <si>
    <t>146-05</t>
  </si>
  <si>
    <t>1809-05</t>
  </si>
  <si>
    <t>155-05</t>
  </si>
  <si>
    <t>CLARK</t>
  </si>
  <si>
    <t>148-05</t>
  </si>
  <si>
    <t>1810-05</t>
  </si>
  <si>
    <t>150-05</t>
  </si>
  <si>
    <t>152-05</t>
  </si>
  <si>
    <t>159-05</t>
  </si>
  <si>
    <t>STEWART</t>
  </si>
  <si>
    <t>154-05</t>
  </si>
  <si>
    <t>161-05</t>
  </si>
  <si>
    <t>BARTLETT</t>
  </si>
  <si>
    <t>156-05</t>
  </si>
  <si>
    <t>163-05</t>
  </si>
  <si>
    <t>SWANSON</t>
  </si>
  <si>
    <t>158-05</t>
  </si>
  <si>
    <t>1812-05</t>
  </si>
  <si>
    <t>165-05</t>
  </si>
  <si>
    <t>160-05</t>
  </si>
  <si>
    <t>167-05</t>
  </si>
  <si>
    <t>BRUDER</t>
  </si>
  <si>
    <t>1813-05</t>
  </si>
  <si>
    <t>162-05</t>
  </si>
  <si>
    <t>164-05</t>
  </si>
  <si>
    <t>169-05</t>
  </si>
  <si>
    <t>171-05</t>
  </si>
  <si>
    <t>STORY</t>
  </si>
  <si>
    <t>166-05</t>
  </si>
  <si>
    <t>1814-05</t>
  </si>
  <si>
    <t>168-05</t>
  </si>
  <si>
    <t>175-05</t>
  </si>
  <si>
    <t>1815-05</t>
  </si>
  <si>
    <t>170-05</t>
  </si>
  <si>
    <t>177-05</t>
  </si>
  <si>
    <t>172-05</t>
  </si>
  <si>
    <t>179-05</t>
  </si>
  <si>
    <t>181-05</t>
  </si>
  <si>
    <t>1816-05</t>
  </si>
  <si>
    <t>176-05</t>
  </si>
  <si>
    <t>174-05</t>
  </si>
  <si>
    <t>178-05</t>
  </si>
  <si>
    <t>183-05</t>
  </si>
  <si>
    <t>185-05</t>
  </si>
  <si>
    <t>1817-05</t>
  </si>
  <si>
    <t>180-05</t>
  </si>
  <si>
    <t>187-05</t>
  </si>
  <si>
    <t>182-05</t>
  </si>
  <si>
    <t>184-05</t>
  </si>
  <si>
    <t>191-05</t>
  </si>
  <si>
    <t>193-05</t>
  </si>
  <si>
    <t>188-05</t>
  </si>
  <si>
    <t>195-05</t>
  </si>
  <si>
    <t>197-05</t>
  </si>
  <si>
    <t>192-05</t>
  </si>
  <si>
    <t>199-05</t>
  </si>
  <si>
    <t>1821-05</t>
  </si>
  <si>
    <t>194-05</t>
  </si>
  <si>
    <t>201-05</t>
  </si>
  <si>
    <t>196-05</t>
  </si>
  <si>
    <t>203-05</t>
  </si>
  <si>
    <t>198-05</t>
  </si>
  <si>
    <t>205-05</t>
  </si>
  <si>
    <t>1822-05</t>
  </si>
  <si>
    <t>207-05</t>
  </si>
  <si>
    <t>202-05</t>
  </si>
  <si>
    <t>209-05</t>
  </si>
  <si>
    <t>204-05</t>
  </si>
  <si>
    <t>1823-05</t>
  </si>
  <si>
    <t>211-05</t>
  </si>
  <si>
    <t>79-05</t>
  </si>
  <si>
    <t>OUN</t>
  </si>
  <si>
    <t>206-05</t>
  </si>
  <si>
    <t>1824-05</t>
  </si>
  <si>
    <t>213-05</t>
  </si>
  <si>
    <t>NEWELL</t>
  </si>
  <si>
    <t>208-05</t>
  </si>
  <si>
    <t>215-05</t>
  </si>
  <si>
    <t>MAHAN</t>
  </si>
  <si>
    <t>210-05</t>
  </si>
  <si>
    <t>1825-05</t>
  </si>
  <si>
    <t>212-05</t>
  </si>
  <si>
    <t>219-05</t>
  </si>
  <si>
    <t>214-05</t>
  </si>
  <si>
    <t>303-05</t>
  </si>
  <si>
    <t>216-05</t>
  </si>
  <si>
    <t>218-05</t>
  </si>
  <si>
    <t>1827-05</t>
  </si>
  <si>
    <t>223-05</t>
  </si>
  <si>
    <t>307-05</t>
  </si>
  <si>
    <t>1828-05</t>
  </si>
  <si>
    <t>222-05</t>
  </si>
  <si>
    <t>1829-05</t>
  </si>
  <si>
    <t>225-05</t>
  </si>
  <si>
    <t>224-05</t>
  </si>
  <si>
    <t>227-05</t>
  </si>
  <si>
    <t>229-05</t>
  </si>
  <si>
    <t>226-05</t>
  </si>
  <si>
    <t>231-05</t>
  </si>
  <si>
    <t>1831-05</t>
  </si>
  <si>
    <t>228-05</t>
  </si>
  <si>
    <t>230-05</t>
  </si>
  <si>
    <t>233-05</t>
  </si>
  <si>
    <t>1833-05</t>
  </si>
  <si>
    <t>232-05</t>
  </si>
  <si>
    <t>235-05</t>
  </si>
  <si>
    <t>237-05</t>
  </si>
  <si>
    <t>234-05</t>
  </si>
  <si>
    <t>239-05</t>
  </si>
  <si>
    <t>238-05</t>
  </si>
  <si>
    <t>241-05</t>
  </si>
  <si>
    <t>240-05</t>
  </si>
  <si>
    <t>243-05</t>
  </si>
  <si>
    <t>242-05</t>
  </si>
  <si>
    <t>245-05</t>
  </si>
  <si>
    <t>39-05</t>
  </si>
  <si>
    <t>SMITH</t>
  </si>
  <si>
    <t>244-05</t>
  </si>
  <si>
    <t>246-05</t>
  </si>
  <si>
    <t>41-05</t>
  </si>
  <si>
    <t>ARVIDSON</t>
  </si>
  <si>
    <t>313-05</t>
  </si>
  <si>
    <t>40-05</t>
  </si>
  <si>
    <t>precipType</t>
  </si>
  <si>
    <t>Mostly Cloudy</t>
  </si>
  <si>
    <t>rain</t>
  </si>
  <si>
    <t>204:233326</t>
  </si>
  <si>
    <t>204:232675</t>
  </si>
  <si>
    <t>204:763</t>
  </si>
  <si>
    <t>204:233243</t>
  </si>
  <si>
    <t>204:232623</t>
  </si>
  <si>
    <t>204:232711</t>
  </si>
  <si>
    <t>204:119</t>
  </si>
  <si>
    <t>204:232988</t>
  </si>
  <si>
    <t>204:233285</t>
  </si>
  <si>
    <t>204:232974</t>
  </si>
  <si>
    <t>204:163</t>
  </si>
  <si>
    <t>204:424</t>
  </si>
  <si>
    <t>204:440</t>
  </si>
  <si>
    <t>204:232976</t>
  </si>
  <si>
    <t>204:732</t>
  </si>
  <si>
    <t>204:232963</t>
  </si>
  <si>
    <t>204:233309</t>
  </si>
  <si>
    <t>204:433</t>
  </si>
  <si>
    <t>204:232955</t>
  </si>
  <si>
    <t>204:232970</t>
  </si>
  <si>
    <t>204:233376</t>
  </si>
  <si>
    <t>204:233002</t>
  </si>
  <si>
    <t>204:233278</t>
  </si>
  <si>
    <t>204:232942</t>
  </si>
  <si>
    <t>204:232966</t>
  </si>
  <si>
    <t>204:229512</t>
  </si>
  <si>
    <t>204:232979</t>
  </si>
  <si>
    <t>204:37190</t>
  </si>
  <si>
    <t>204:232952</t>
  </si>
  <si>
    <t>204:387</t>
  </si>
  <si>
    <t>204:484</t>
  </si>
  <si>
    <t>204:233017</t>
  </si>
  <si>
    <t>204:233391</t>
  </si>
  <si>
    <t>204:446</t>
  </si>
  <si>
    <t>204:233280</t>
  </si>
  <si>
    <t>204:232962</t>
  </si>
  <si>
    <t>204:233053</t>
  </si>
  <si>
    <t>300:58604</t>
  </si>
  <si>
    <t>204:775</t>
  </si>
  <si>
    <t>204:1041</t>
  </si>
  <si>
    <t>300:58924</t>
  </si>
  <si>
    <t>300:58608</t>
  </si>
  <si>
    <t>204:764</t>
  </si>
  <si>
    <t>204:1056</t>
  </si>
  <si>
    <t>204:738</t>
  </si>
  <si>
    <t>204:1018</t>
  </si>
  <si>
    <t>204:740</t>
  </si>
  <si>
    <t>204:1014</t>
  </si>
  <si>
    <t>204:745</t>
  </si>
  <si>
    <t>204:233300</t>
  </si>
  <si>
    <t>204:1020</t>
  </si>
  <si>
    <t>300:58600</t>
  </si>
  <si>
    <t>204:1920</t>
  </si>
  <si>
    <t>204:846</t>
  </si>
  <si>
    <t>204:1132</t>
  </si>
  <si>
    <t>300:58628</t>
  </si>
  <si>
    <t>204:1013</t>
  </si>
  <si>
    <t>300:58969</t>
  </si>
  <si>
    <t>300:58660</t>
  </si>
  <si>
    <t>204:685</t>
  </si>
  <si>
    <t>204:687</t>
  </si>
  <si>
    <t>204:960</t>
  </si>
  <si>
    <t>300:58933</t>
  </si>
  <si>
    <t>204:701</t>
  </si>
  <si>
    <t>300:22090</t>
  </si>
  <si>
    <t>300:58653</t>
  </si>
  <si>
    <t>300:24775</t>
  </si>
  <si>
    <t>204:951</t>
  </si>
  <si>
    <t>300:58993</t>
  </si>
  <si>
    <t>300:58666</t>
  </si>
  <si>
    <t>204:654</t>
  </si>
  <si>
    <t>204:656</t>
  </si>
  <si>
    <t>204:958</t>
  </si>
  <si>
    <t>300:58980</t>
  </si>
  <si>
    <t>204:867</t>
  </si>
  <si>
    <t>204:1170</t>
  </si>
  <si>
    <t>300:58958</t>
  </si>
  <si>
    <t>204:183</t>
  </si>
  <si>
    <t>204:467</t>
  </si>
  <si>
    <t>300:29978</t>
  </si>
  <si>
    <t>300:58922</t>
  </si>
  <si>
    <t>204:233266</t>
  </si>
  <si>
    <t>204:233398</t>
  </si>
  <si>
    <t>204:233287</t>
  </si>
  <si>
    <t>204:232972</t>
  </si>
  <si>
    <t>204:114</t>
  </si>
  <si>
    <t>204:495</t>
  </si>
  <si>
    <t>204:233362</t>
  </si>
  <si>
    <t>204:233013</t>
  </si>
  <si>
    <t>204:233343</t>
  </si>
  <si>
    <t>204:233353</t>
  </si>
  <si>
    <t>204:233036</t>
  </si>
  <si>
    <t>204:528</t>
  </si>
  <si>
    <t>204:233027</t>
  </si>
  <si>
    <t>204:233349</t>
  </si>
  <si>
    <t>204:233299</t>
  </si>
  <si>
    <t>204:130</t>
  </si>
  <si>
    <t>204:233341</t>
  </si>
  <si>
    <t>204:232990</t>
  </si>
  <si>
    <t>204:422</t>
  </si>
  <si>
    <t>204:233026</t>
  </si>
  <si>
    <t>300:23146</t>
  </si>
  <si>
    <t>204:735</t>
  </si>
  <si>
    <t>300:16073</t>
  </si>
  <si>
    <t>204:478</t>
  </si>
  <si>
    <t>300:23536</t>
  </si>
  <si>
    <t>300:22359</t>
  </si>
  <si>
    <t>204:83</t>
  </si>
  <si>
    <t>300:23299</t>
  </si>
  <si>
    <t>300:23233</t>
  </si>
  <si>
    <t>309-05</t>
  </si>
  <si>
    <t>300:21500</t>
  </si>
  <si>
    <t>311-05</t>
  </si>
  <si>
    <t>300:23002</t>
  </si>
  <si>
    <t>315-05</t>
  </si>
  <si>
    <t>42-05</t>
  </si>
  <si>
    <t>204:233007</t>
  </si>
  <si>
    <t>300:22996</t>
  </si>
  <si>
    <t>204:877</t>
  </si>
  <si>
    <t>204:1481</t>
  </si>
  <si>
    <t>300:23316</t>
  </si>
  <si>
    <t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t>
  </si>
  <si>
    <t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t>
  </si>
  <si>
    <t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t>
  </si>
  <si>
    <t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t>
  </si>
  <si>
    <t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t>
  </si>
  <si>
    <t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t>
  </si>
  <si>
    <t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t>
  </si>
  <si>
    <t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t>
  </si>
  <si>
    <t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t>
  </si>
  <si>
    <t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t>
  </si>
  <si>
    <t>GPS showed train past signal, but Location resolved it behind signal</t>
  </si>
  <si>
    <t>See title</t>
  </si>
  <si>
    <t>Onboard in-route failure</t>
  </si>
  <si>
    <t>Multiple CPU Faults at 2016-11-05 10:10:38 Denver Time</t>
  </si>
  <si>
    <t>Delayed due to DST affecting TMDS Code Server</t>
  </si>
  <si>
    <t>No clear controls sent to CRMFN 2S</t>
  </si>
  <si>
    <t>No clear controls sent to CRMFN 2S from 18:47:49.554 - 19:41:25.708 - were there special traffic conditions that prevented this?</t>
  </si>
  <si>
    <t>DIA 2N STOP, cleared afterward</t>
  </si>
  <si>
    <t>40th 4S STOP, cleared afterward</t>
  </si>
  <si>
    <t>Wi-MAX data drop</t>
  </si>
  <si>
    <t>http://stevetu21.github.io/eaglep3/load_kml.html?kml=http://rtdc.gmaps-snips.s3.amazonaws.com/9afb532f-103f-42c3-9167-dc4e3a1ead85.kml</t>
  </si>
  <si>
    <t>:.+((SYSTEM_STATE.+slice.+state.+changed )|(ment ac)|(system.+state.+changed )|(\[timeout)|(PRM\|1\|D)|(kpr)|(kdp)|(\|loc)|(penalty))</t>
  </si>
  <si>
    <t>Early arrival; didn't slow down quickly enough</t>
  </si>
  <si>
    <t>Early arrival; Accelerated into crossing</t>
  </si>
  <si>
    <t>Early arrival; Accelerated before clearing crossing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</si>
</sst>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9afb532f-103f-42c3-9167-dc4e3a1ead8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zoomScaleNormal="100" workbookViewId="0">
      <selection activeCell="R18" sqref="R1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42679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COUNTIFS($N$13:$N$9392,"&gt;0",$AG$13:$AG$9392,I1)</f>
        <v>144</v>
      </c>
      <c r="K5" s="44"/>
      <c r="L5" s="44"/>
      <c r="M5" s="45">
        <f>AVERAGEIFS($N$13:$N$9392,$AG$13:$AG$9392,I1)</f>
        <v>36.753587963539758</v>
      </c>
      <c r="N5" s="43">
        <f t="array" ref="N5">MIN(IF($AG$13:$AG$9392=I1,IF(ISNUMBER($N$13:$N$9392),IF($N$13:$N$9392&gt;0,$N$13:$N$9392))))</f>
        <v>33.616666666930541</v>
      </c>
      <c r="O5" s="3">
        <f t="array" ref="O5">MAX(IF($AG$13:$AG$9392=I1,IF(ISNUMBER($N$13:$N$9392),IF($N$13:$N$9392&gt;0,$N$13:$N$9392))))</f>
        <v>51.633333333302289</v>
      </c>
      <c r="P5" s="2"/>
      <c r="R5" s="80" t="s">
        <v>17</v>
      </c>
      <c r="S5" s="55">
        <f>COUNTIFS($N$13:$N$9392,"&gt;0",$AG$13:$AG$9392,R1)</f>
        <v>33</v>
      </c>
      <c r="T5" s="44"/>
      <c r="U5" s="168"/>
      <c r="V5" s="45">
        <f>AVERAGEIFS($N$13:$N$9392,$AG$13:$AG$9392,R1)</f>
        <v>13.831313131165437</v>
      </c>
      <c r="W5" s="43">
        <f t="array" ref="W5">MIN(IF($AG$13:$AG$9392=R1,IF(ISNUMBER($N$13:$N$9392),IF($N$13:$N$9392&gt;0,$N$13:$N$9392))))</f>
        <v>12.349999995203689</v>
      </c>
      <c r="X5" s="173">
        <f t="array" ref="X5">MAX(IF($AG$13:$AG$9392=R1,IF(ISNUMBER($N$13:$N$9392),IF($N$13:$N$9392&gt;0,$N$13:$N$9392))))</f>
        <v>17.050000004237518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COUNT($O$13:$O$166)</f>
        <v>0</v>
      </c>
      <c r="K6" s="44"/>
      <c r="L6" s="44"/>
      <c r="M6" s="45">
        <f>IFERROR(AVERAGE($O$13:$O$166),0)</f>
        <v>0</v>
      </c>
      <c r="N6" s="43">
        <f>MIN($O$13:$O$166)</f>
        <v>0</v>
      </c>
      <c r="O6" s="3">
        <f>MAX($O$13:$O$166)</f>
        <v>0</v>
      </c>
      <c r="P6" s="2"/>
      <c r="R6" s="81" t="s">
        <v>43</v>
      </c>
      <c r="S6" s="55">
        <f>COUNT($O$13:$O$166)</f>
        <v>0</v>
      </c>
      <c r="T6" s="44"/>
      <c r="U6" s="168"/>
      <c r="V6" s="45">
        <f>IFERROR(AVERAGE($O$13:$O$166),0)</f>
        <v>0</v>
      </c>
      <c r="W6" s="43">
        <f>MIN($O$13:$O$166)</f>
        <v>0</v>
      </c>
      <c r="X6" s="173">
        <f>MAX($O$13:$O$166)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COUNTIFS($P$13:$P$9392,"&gt;0",$AG$13:$AG$9392,I1)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COUNTIFS($P$13:$P$9392,"&gt;0",$AG$13:$AG$9392,R1)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36.753587963539758</v>
      </c>
      <c r="N8" s="43">
        <f>N5</f>
        <v>33.616666666930541</v>
      </c>
      <c r="O8" s="3">
        <f>O5</f>
        <v>51.633333333302289</v>
      </c>
      <c r="P8" s="2"/>
      <c r="R8" s="80" t="s">
        <v>16</v>
      </c>
      <c r="S8" s="55">
        <f>S5</f>
        <v>33</v>
      </c>
      <c r="T8" s="44"/>
      <c r="U8" s="168"/>
      <c r="V8" s="45">
        <f>V5</f>
        <v>13.831313131165437</v>
      </c>
      <c r="W8" s="43">
        <f>W5</f>
        <v>12.349999995203689</v>
      </c>
      <c r="X8" s="173">
        <f>X5</f>
        <v>17.050000004237518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0.98630136986301364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0.97058823529411764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- 2016-11-05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AVERAGE(S13:S109)</f>
        <v>0.99742268041237114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452</v>
      </c>
      <c r="B13" s="7">
        <v>4014</v>
      </c>
      <c r="C13" s="22" t="s">
        <v>242</v>
      </c>
      <c r="D13" s="22" t="s">
        <v>409</v>
      </c>
      <c r="E13" s="13">
        <v>42679.131990740738</v>
      </c>
      <c r="F13" s="13">
        <v>42679.135914351849</v>
      </c>
      <c r="G13" s="7">
        <v>1</v>
      </c>
      <c r="H13" s="22" t="s">
        <v>638</v>
      </c>
      <c r="I13" s="13">
        <v>42679.160277777781</v>
      </c>
      <c r="J13" s="7">
        <v>0</v>
      </c>
      <c r="K13" s="112" t="str">
        <f t="shared" ref="K13:K75" si="0">IF(ISEVEN(B13),(B13-1)&amp;"/"&amp;B13,B13&amp;"/"&amp;(B13+1))</f>
        <v>4013/4014</v>
      </c>
      <c r="L13" s="22" t="str">
        <f>VLOOKUP(A13,'Trips&amp;Operators'!$C$1:$E$10000,3,FALSE)</f>
        <v>MAELZER</v>
      </c>
      <c r="M13" s="6">
        <f t="shared" ref="M13:M75" si="1">I13-F13</f>
        <v>2.436342593136942E-2</v>
      </c>
      <c r="N13" s="7">
        <f t="shared" ref="N13:P75" si="2">24*60*SUM($M13:$M13)</f>
        <v>35.083333341171965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https://search-rtdc-monitor-bjffxe2xuh6vdkpspy63sjmuny.us-east-1.es.amazonaws.com/_plugin/kibana/#/discover/Steve-Slow-Train-Analysis-(2080s-and-2083s)?_g=(refreshInterval:(display:Off,section:0,value:0),time:(from:'2016-11-05 02:10:04-0600',mode:absolute,to:'2016-11-05 04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5" si="6">IF(AA13&lt;IF(AG13="EC",23,5.65),"Y","N")</f>
        <v>N</v>
      </c>
      <c r="X13" s="177" t="e">
        <f t="shared" ref="X13:X75" si="7">VALUE(LEFT(AD13,4))-VALUE(LEFT(AD12,4))</f>
        <v>#VALUE!</v>
      </c>
      <c r="Y13" s="67">
        <f t="shared" ref="Y13:Y75" si="8">RIGHT(D13,LEN(D13)-4)/10000</f>
        <v>7.4999999999999997E-2</v>
      </c>
      <c r="Z13" s="67">
        <f t="shared" ref="Z13:Z75" si="9">RIGHT(H13,LEN(H13)-4)/10000</f>
        <v>23.332599999999999</v>
      </c>
      <c r="AA13" s="67">
        <f t="shared" ref="AA13:AA75" si="10">ABS(Z13-Y13)</f>
        <v>23.2576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0101-05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/stypes="app*4014*20161105*" /stext=" 09:.+((SYSTEM_STATE.+slice.+state.+changed )|(ment ac)|(system.+state.+changed )|(\[timeout)|(PRM\|1\|D)|(kpr)|(kdp)|(\|loc)|(penalty))"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4014 --swversion DE.1.0.8.0 --startMP 204:750 --initTime 2016-11-05T03:10:04 --startdatetime 2016-11-05T03:15:43 --delay 1 --endMP 204:233326 --enddatetime 2016-11-05T03:50:48 --enforcementcount 0 &gt;&gt;C:\Users\stu\Documents\GitHub\eaglep3-reporting\EC\2016-11-05-refined-times.txt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{"issue":{"subject":"","project_id":79,"tracker_id":40,"status_id":1,"priority_id":2,"assigned_to_id":23,"start_date":"2016-11-05","description":"","custom_fields":[{"id":1,"name":"Subdivision","value":"EC"},{"id":4,"name":"Milepost","value":"23.3326"},{"id":17,"name":"Train ID","value":"101-05"},{"id":16,"name":"Locomotive ID","value":"4014"},{"id":130,"name":"Impact","value":""},{"id":150,"name":"Time of Event (Mountain Time)","value":"03:50:48"},{"id":151,"name":"Denver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458</v>
      </c>
      <c r="B14" s="7">
        <v>4012</v>
      </c>
      <c r="C14" s="22" t="s">
        <v>242</v>
      </c>
      <c r="D14" s="22" t="s">
        <v>639</v>
      </c>
      <c r="E14" s="13">
        <v>42679.166504629633</v>
      </c>
      <c r="F14" s="13">
        <v>42679.17460648148</v>
      </c>
      <c r="G14" s="7">
        <v>1</v>
      </c>
      <c r="H14" s="22" t="s">
        <v>202</v>
      </c>
      <c r="I14" s="13">
        <v>42679.199930555558</v>
      </c>
      <c r="J14" s="7">
        <v>0</v>
      </c>
      <c r="K14" s="112" t="str">
        <f t="shared" si="0"/>
        <v>4011/4012</v>
      </c>
      <c r="L14" s="22" t="str">
        <f>VLOOKUP(A14,'Trips&amp;Operators'!$C$1:$E$10000,3,FALSE)</f>
        <v>MAELZER</v>
      </c>
      <c r="M14" s="6">
        <f t="shared" si="1"/>
        <v>2.5324074078525882E-2</v>
      </c>
      <c r="N14" s="7">
        <f t="shared" si="2"/>
        <v>36.46666667307727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02:59:46-0600',mode:absolute,to:'2016-11-05 05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23.267499999999998</v>
      </c>
      <c r="Z14" s="67">
        <f t="shared" si="9"/>
        <v>1.4500000000000001E-2</v>
      </c>
      <c r="AA14" s="67">
        <f t="shared" si="10"/>
        <v>23.252999999999997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0102-05</v>
      </c>
      <c r="AE14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4" s="88" t="str">
        <f t="shared" si="13"/>
        <v>"C:\Program Files (x86)\AstroGrep\AstroGrep.exe" /spath="%USERPROFILE%\AppData\Local\Temp\OnboardLogs" /stypes="app*4012*20161105*" /stext=" 10:.+((SYSTEM_STATE.+slice.+state.+changed )|(ment ac)|(system.+state.+changed )|(\[timeout)|(PRM\|1\|D)|(kpr)|(kdp)|(\|loc)|(penalty))"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4012 --swversion DE.1.0.8.0 --startMP 204:232675 --initTime 2016-11-05T03:59:46 --startdatetime 2016-11-05T04:11:26 --delay 1 --endMP 204:145 --enddatetime 2016-11-05T04:47:54 --enforcementcount 0 &gt;&gt;C:\Users\stu\Documents\GitHub\eaglep3-reporting\EC\2016-11-05-refined-times.txt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ID","value":"102-05"},{"id":16,"name":"Locomotive ID","value":"4012"},{"id":130,"name":"Impact","value":""},{"id":150,"name":"Time of Event (Mountain Time)","value":"04:47:54"},{"id":151,"name":"Denver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457</v>
      </c>
      <c r="B15" s="7">
        <v>4025</v>
      </c>
      <c r="C15" s="22" t="s">
        <v>242</v>
      </c>
      <c r="D15" s="22" t="s">
        <v>640</v>
      </c>
      <c r="E15" s="13">
        <v>42679.163159722222</v>
      </c>
      <c r="F15" s="13">
        <v>42679.164409722223</v>
      </c>
      <c r="G15" s="7">
        <v>1</v>
      </c>
      <c r="H15" s="22" t="s">
        <v>641</v>
      </c>
      <c r="I15" s="13">
        <v>42679.188263888886</v>
      </c>
      <c r="J15" s="7">
        <v>0</v>
      </c>
      <c r="K15" s="112" t="str">
        <f t="shared" si="0"/>
        <v>4025/4026</v>
      </c>
      <c r="L15" s="22" t="str">
        <f>VLOOKUP(A15,'Trips&amp;Operators'!$C$1:$E$10000,3,FALSE)</f>
        <v>MALAVE</v>
      </c>
      <c r="M15" s="6">
        <f t="shared" si="1"/>
        <v>2.3854166662204079E-2</v>
      </c>
      <c r="N15" s="7">
        <f t="shared" si="2"/>
        <v>34.349999993573874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02:54:57-0600',mode:absolute,to:'2016-11-05 05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7.6300000000000007E-2</v>
      </c>
      <c r="Z15" s="67">
        <f t="shared" si="9"/>
        <v>23.324300000000001</v>
      </c>
      <c r="AA15" s="67">
        <f t="shared" si="10"/>
        <v>23.248000000000001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0103-05</v>
      </c>
      <c r="AE15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5" s="88" t="str">
        <f t="shared" si="13"/>
        <v>"C:\Program Files (x86)\AstroGrep\AstroGrep.exe" /spath="%USERPROFILE%\AppData\Local\Temp\OnboardLogs" /stypes="app*4025*20161105*" /stext=" 10:.+((SYSTEM_STATE.+slice.+state.+changed )|(ment ac)|(system.+state.+changed )|(\[timeout)|(PRM\|1\|D)|(kpr)|(kdp)|(\|loc)|(penalty))"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103-05 --locoid 4025 --swversion DE.1.0.8.0 --startMP 204:763 --initTime 2016-11-05T03:54:57 --startdatetime 2016-11-05T03:56:45 --delay 1 --endMP 204:233243 --enddatetime 2016-11-05T04:31:06 --enforcementcount 0 &gt;&gt;C:\Users\stu\Documents\GitHub\eaglep3-reporting\EC\2016-11-05-refined-times.txt</v>
      </c>
      <c r="AI1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{"issue":{"subject":"","project_id":79,"tracker_id":40,"status_id":1,"priority_id":2,"assigned_to_id":23,"start_date":"2016-11-05","description":"","custom_fields":[{"id":1,"name":"Subdivision","value":"EC"},{"id":4,"name":"Milepost","value":"23.3243"},{"id":17,"name":"Train ID","value":"103-05"},{"id":16,"name":"Locomotive ID","value":"4025"},{"id":130,"name":"Impact","value":""},{"id":150,"name":"Time of Event (Mountain Time)","value":"04:31:06"},{"id":151,"name":"Denver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416</v>
      </c>
      <c r="B16" s="7">
        <v>4017</v>
      </c>
      <c r="C16" s="22" t="s">
        <v>242</v>
      </c>
      <c r="D16" s="22" t="s">
        <v>642</v>
      </c>
      <c r="E16" s="13">
        <v>42679.193645833337</v>
      </c>
      <c r="F16" s="13">
        <v>42679.195381944446</v>
      </c>
      <c r="G16" s="7">
        <v>2</v>
      </c>
      <c r="H16" s="22" t="s">
        <v>265</v>
      </c>
      <c r="I16" s="13">
        <v>42679.222083333334</v>
      </c>
      <c r="J16" s="7">
        <v>0</v>
      </c>
      <c r="K16" s="112" t="str">
        <f t="shared" si="0"/>
        <v>4017/4018</v>
      </c>
      <c r="L16" s="22" t="str">
        <f>VLOOKUP(A16,'Trips&amp;Operators'!$C$1:$E$10000,3,FALSE)</f>
        <v>MALAVE</v>
      </c>
      <c r="M16" s="6">
        <f t="shared" si="1"/>
        <v>2.6701388887886424E-2</v>
      </c>
      <c r="N16" s="7">
        <f t="shared" si="2"/>
        <v>38.44999999855645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03:38:51-0600',mode:absolute,to:'2016-11-05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23.2623</v>
      </c>
      <c r="Z16" s="67">
        <f t="shared" si="9"/>
        <v>1.5800000000000002E-2</v>
      </c>
      <c r="AA16" s="67">
        <f t="shared" si="10"/>
        <v>23.246500000000001</v>
      </c>
      <c r="AB16" s="64" t="str">
        <f>VLOOKUP(A16,Enforcements!$C$7:$K$21,8,0)</f>
        <v>Speed (6)</v>
      </c>
      <c r="AC16" s="60" t="str">
        <f>VLOOKUP(A16,Enforcements!$C$7:$E$21,3,0)</f>
        <v>PERMANENT SPEED RESTRICTION</v>
      </c>
      <c r="AD16" s="61" t="str">
        <f t="shared" si="11"/>
        <v>0104-05</v>
      </c>
      <c r="AE16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16" s="88" t="str">
        <f t="shared" si="13"/>
        <v>"C:\Program Files (x86)\AstroGrep\AstroGrep.exe" /spath="%USERPROFILE%\AppData\Local\Temp\OnboardLogs" /stypes="app*4017*20161105*" /stext=" 11:.+((SYSTEM_STATE.+slice.+state.+changed )|(ment ac)|(system.+state.+changed )|(\[timeout)|(PRM\|1\|D)|(kpr)|(kdp)|(\|loc)|(penalty))"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104-05 --locoid 4017 --swversion DE.1.0.8.0 --startMP 204:232623 --initTime 2016-11-05T04:38:51 --startdatetime 2016-11-05T04:41:21 --delay 2 --endMP 204:158 --enddatetime 2016-11-05T05:19:48 --enforcementcount 0 &gt;&gt;C:\Users\stu\Documents\GitHub\eaglep3-reporting\EC\2016-11-05-refined-times.txt</v>
      </c>
      <c r="AI1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ID","value":"104-05"},{"id":16,"name":"Locomotive ID","value":"4017"},{"id":130,"name":"Impact","value":""},{"id":150,"name":"Time of Event (Mountain Time)","value":"05:19:48"},{"id":151,"name":"Denver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415</v>
      </c>
      <c r="B17" s="7">
        <v>4053</v>
      </c>
      <c r="C17" s="22" t="s">
        <v>242</v>
      </c>
      <c r="D17" s="22" t="s">
        <v>348</v>
      </c>
      <c r="E17" s="13">
        <v>42679.175208333334</v>
      </c>
      <c r="F17" s="13">
        <v>42679.177291666667</v>
      </c>
      <c r="G17" s="7">
        <v>1</v>
      </c>
      <c r="H17" s="22" t="s">
        <v>343</v>
      </c>
      <c r="I17" s="13">
        <v>42679.202361111114</v>
      </c>
      <c r="J17" s="7">
        <v>0</v>
      </c>
      <c r="K17" s="112" t="str">
        <f t="shared" si="0"/>
        <v>4053/4054</v>
      </c>
      <c r="L17" s="22" t="str">
        <f>VLOOKUP(A17,'Trips&amp;Operators'!$C$1:$E$10000,3,FALSE)</f>
        <v>ACKERMAN</v>
      </c>
      <c r="M17" s="6">
        <f t="shared" si="1"/>
        <v>2.5069444447581191E-2</v>
      </c>
      <c r="N17" s="7">
        <f t="shared" si="2"/>
        <v>36.100000004516914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03:12:18-0600',mode:absolute,to:'2016-11-05 05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6.9900000000000004E-2</v>
      </c>
      <c r="Z17" s="67">
        <f t="shared" si="9"/>
        <v>23.331499999999998</v>
      </c>
      <c r="AA17" s="67">
        <f t="shared" si="10"/>
        <v>23.261599999999998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0105-05</v>
      </c>
      <c r="AE17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7" s="88" t="str">
        <f t="shared" si="13"/>
        <v>"C:\Program Files (x86)\AstroGrep\AstroGrep.exe" /spath="%USERPROFILE%\AppData\Local\Temp\OnboardLogs" /stypes="app*4053*20161105*" /stext=" 10:.+((SYSTEM_STATE.+slice.+state.+changed )|(ment ac)|(system.+state.+changed )|(\[timeout)|(PRM\|1\|D)|(kpr)|(kdp)|(\|loc)|(penalty))"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105-05 --locoid 4053 --swversion DE.1.0.8.0 --startMP 204:699 --initTime 2016-11-05T04:12:18 --startdatetime 2016-11-05T04:15:18 --delay 1 --endMP 204:233315 --enddatetime 2016-11-05T04:51:24 --enforcementcount 0 &gt;&gt;C:\Users\stu\Documents\GitHub\eaglep3-reporting\EC\2016-11-05-refined-times.txt</v>
      </c>
      <c r="AI1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{"issue":{"subject":"","project_id":79,"tracker_id":40,"status_id":1,"priority_id":2,"assigned_to_id":23,"start_date":"2016-11-05","description":"","custom_fields":[{"id":1,"name":"Subdivision","value":"EC"},{"id":4,"name":"Milepost","value":"23.3315"},{"id":17,"name":"Train ID","value":"105-05"},{"id":16,"name":"Locomotive ID","value":"4053"},{"id":130,"name":"Impact","value":""},{"id":150,"name":"Time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467</v>
      </c>
      <c r="B18" s="7">
        <v>4001</v>
      </c>
      <c r="C18" s="22" t="s">
        <v>242</v>
      </c>
      <c r="D18" s="22" t="s">
        <v>643</v>
      </c>
      <c r="E18" s="13">
        <v>42679.209710648145</v>
      </c>
      <c r="F18" s="13">
        <v>42679.216215277775</v>
      </c>
      <c r="G18" s="7">
        <v>1</v>
      </c>
      <c r="H18" s="22" t="s">
        <v>644</v>
      </c>
      <c r="I18" s="13">
        <v>42679.242268518516</v>
      </c>
      <c r="J18" s="7">
        <v>0</v>
      </c>
      <c r="K18" s="112" t="str">
        <f t="shared" si="0"/>
        <v>4001/4002</v>
      </c>
      <c r="L18" s="22" t="str">
        <f>VLOOKUP(A18,'Trips&amp;Operators'!$C$1:$E$10000,3,FALSE)</f>
        <v>ACKERMAN</v>
      </c>
      <c r="M18" s="6">
        <f t="shared" si="1"/>
        <v>2.6053240741021E-2</v>
      </c>
      <c r="N18" s="7">
        <f t="shared" si="2"/>
        <v>37.51666666707024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04:01:59-0600',mode:absolute,to:'2016-11-05 06:48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23.271100000000001</v>
      </c>
      <c r="Z18" s="67">
        <f t="shared" si="9"/>
        <v>1.1900000000000001E-2</v>
      </c>
      <c r="AA18" s="67">
        <f t="shared" si="10"/>
        <v>23.2592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0106-05</v>
      </c>
      <c r="AE18" s="91" t="str">
        <f t="shared" si="12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8" s="88" t="str">
        <f t="shared" si="13"/>
        <v>"C:\Program Files (x86)\AstroGrep\AstroGrep.exe" /spath="%USERPROFILE%\AppData\Local\Temp\OnboardLogs" /stypes="app*4001*20161105*" /stext=" 11:.+((SYSTEM_STATE.+slice.+state.+changed )|(ment ac)|(system.+state.+changed )|(\[timeout)|(PRM\|1\|D)|(kpr)|(kdp)|(\|loc)|(penalty))"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106-05 --locoid 4001 --swversion DE.1.0.8.0 --startMP 204:232711 --initTime 2016-11-05T05:01:59 --startdatetime 2016-11-05T05:11:21 --delay 1 --endMP 204:119 --enddatetime 2016-11-05T05:48:52 --enforcementcount 0 &gt;&gt;C:\Users\stu\Documents\GitHub\eaglep3-reporting\EC\2016-11-05-refined-times.txt</v>
      </c>
      <c r="AI1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{"issue":{"subject":"","project_id":79,"tracker_id":40,"status_id":1,"priority_id":2,"assigned_to_id":23,"start_date":"2016-11-05","description":"","custom_fields":[{"id":1,"name":"Subdivision","value":"EC"},{"id":4,"name":"Milepost","value":"0.0119"},{"id":17,"name":"Train ID","value":"106-05"},{"id":16,"name":"Locomotive ID","value":"4001"},{"id":130,"name":"Impact","value":""},{"id":150,"name":"Time of Event (Mountain Time)","value":"05:48:52"},{"id":151,"name":"Denver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463</v>
      </c>
      <c r="B19" s="7">
        <v>4016</v>
      </c>
      <c r="C19" s="22" t="s">
        <v>242</v>
      </c>
      <c r="D19" s="22" t="s">
        <v>208</v>
      </c>
      <c r="E19" s="13">
        <v>42679.180937500001</v>
      </c>
      <c r="F19" s="13">
        <v>42679.187719907408</v>
      </c>
      <c r="G19" s="7">
        <v>1</v>
      </c>
      <c r="H19" s="22" t="s">
        <v>387</v>
      </c>
      <c r="I19" s="13">
        <v>42679.211921296293</v>
      </c>
      <c r="J19" s="7">
        <v>0</v>
      </c>
      <c r="K19" s="112" t="str">
        <f t="shared" si="0"/>
        <v>4015/4016</v>
      </c>
      <c r="L19" s="22" t="str">
        <f>VLOOKUP(A19,'Trips&amp;Operators'!$C$1:$E$10000,3,FALSE)</f>
        <v>DE LA ROSA</v>
      </c>
      <c r="M19" s="6">
        <f t="shared" si="1"/>
        <v>2.4201388885558117E-2</v>
      </c>
      <c r="N19" s="7">
        <f t="shared" si="2"/>
        <v>34.849999995203689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03:20:33-0600',mode:absolute,to:'2016-11-05 06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4.5499999999999999E-2</v>
      </c>
      <c r="Z19" s="67">
        <f t="shared" si="9"/>
        <v>23.3247</v>
      </c>
      <c r="AA19" s="67">
        <f t="shared" si="10"/>
        <v>23.279199999999999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0107-05</v>
      </c>
      <c r="AE19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9" s="88" t="str">
        <f t="shared" si="13"/>
        <v>"C:\Program Files (x86)\AstroGrep\AstroGrep.exe" /spath="%USERPROFILE%\AppData\Local\Temp\OnboardLogs" /stypes="app*4016*20161105*" /stext=" 11:.+((SYSTEM_STATE.+slice.+state.+changed )|(ment ac)|(system.+state.+changed )|(\[timeout)|(PRM\|1\|D)|(kpr)|(kdp)|(\|loc)|(penalty))"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107-05 --locoid 4016 --swversion DE.1.0.8.0 --startMP 204:455 --initTime 2016-11-05T04:20:33 --startdatetime 2016-11-05T04:30:19 --delay 1 --endMP 204:233247 --enddatetime 2016-11-05T05:05:10 --enforcementcount 0 &gt;&gt;C:\Users\stu\Documents\GitHub\eaglep3-reporting\EC\2016-11-05-refined-times.txt</v>
      </c>
      <c r="AI1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{"issue":{"subject":"","project_id":79,"tracker_id":40,"status_id":1,"priority_id":2,"assigned_to_id":23,"start_date":"2016-11-05","description":"","custom_fields":[{"id":1,"name":"Subdivision","value":"EC"},{"id":4,"name":"Milepost","value":"23.3247"},{"id":17,"name":"Train ID","value":"107-05"},{"id":16,"name":"Locomotive ID","value":"4016"},{"id":130,"name":"Impact","value":""},{"id":150,"name":"Time of Event (Mountain Time)","value":"05:05:10"},{"id":151,"name":"Denver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469</v>
      </c>
      <c r="B20" s="7">
        <v>4015</v>
      </c>
      <c r="C20" s="22" t="s">
        <v>242</v>
      </c>
      <c r="D20" s="22" t="s">
        <v>645</v>
      </c>
      <c r="E20" s="13">
        <v>42679.220960648148</v>
      </c>
      <c r="F20" s="13">
        <v>42679.226574074077</v>
      </c>
      <c r="G20" s="7">
        <v>1</v>
      </c>
      <c r="H20" s="22" t="s">
        <v>380</v>
      </c>
      <c r="I20" s="13">
        <v>42679.252349537041</v>
      </c>
      <c r="J20" s="7">
        <v>0</v>
      </c>
      <c r="K20" s="112" t="str">
        <f t="shared" si="0"/>
        <v>4015/4016</v>
      </c>
      <c r="L20" s="22" t="str">
        <f>VLOOKUP(A20,'Trips&amp;Operators'!$C$1:$E$10000,3,FALSE)</f>
        <v>DE LA ROSA</v>
      </c>
      <c r="M20" s="6">
        <f t="shared" si="1"/>
        <v>2.5775462963792961E-2</v>
      </c>
      <c r="N20" s="7">
        <f t="shared" si="2"/>
        <v>37.116666667861864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04:18:11-0600',mode:absolute,to:'2016-11-05 07:03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23.2988</v>
      </c>
      <c r="Z20" s="67">
        <f t="shared" si="9"/>
        <v>1.4999999999999999E-2</v>
      </c>
      <c r="AA20" s="67">
        <f t="shared" si="10"/>
        <v>23.283799999999999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0108-05</v>
      </c>
      <c r="AE20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20" s="88" t="str">
        <f t="shared" si="13"/>
        <v>"C:\Program Files (x86)\AstroGrep\AstroGrep.exe" /spath="%USERPROFILE%\AppData\Local\Temp\OnboardLogs" /stypes="app*4015*20161105*" /stext=" 12:.+((SYSTEM_STATE.+slice.+state.+changed )|(ment ac)|(system.+state.+changed )|(\[timeout)|(PRM\|1\|D)|(kpr)|(kdp)|(\|loc)|(penalty))"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108-05 --locoid 4015 --swversion DE.1.0.8.0 --startMP 204:232988 --initTime 2016-11-05T05:18:11 --startdatetime 2016-11-05T05:26:16 --delay 1 --endMP 204:150 --enddatetime 2016-11-05T06:03:23 --enforcementcount 0 &gt;&gt;C:\Users\stu\Documents\GitHub\eaglep3-reporting\EC\2016-11-05-refined-times.txt</v>
      </c>
      <c r="AI2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{"issue":{"subject":"","project_id":79,"tracker_id":40,"status_id":1,"priority_id":2,"assigned_to_id":23,"start_date":"2016-11-05","description":"","custom_fields":[{"id":1,"name":"Subdivision","value":"EC"},{"id":4,"name":"Milepost","value":"0.015"},{"id":17,"name":"Train ID","value":"108-05"},{"id":16,"name":"Locomotive ID","value":"4015"},{"id":130,"name":"Impact","value":""},{"id":150,"name":"Time of Event (Mountain Time)","value":"06:03:23"},{"id":151,"name":"Denver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464</v>
      </c>
      <c r="B21" s="7">
        <v>4040</v>
      </c>
      <c r="C21" s="22" t="s">
        <v>242</v>
      </c>
      <c r="D21" s="22" t="s">
        <v>206</v>
      </c>
      <c r="E21" s="13">
        <v>42679.187569444446</v>
      </c>
      <c r="F21" s="13">
        <v>42679.198206018518</v>
      </c>
      <c r="G21" s="7">
        <v>1</v>
      </c>
      <c r="H21" s="22" t="s">
        <v>646</v>
      </c>
      <c r="I21" s="13">
        <v>42679.222708333335</v>
      </c>
      <c r="J21" s="7">
        <v>0</v>
      </c>
      <c r="K21" s="112" t="str">
        <f t="shared" si="0"/>
        <v>4039/4040</v>
      </c>
      <c r="L21" s="22" t="str">
        <f>VLOOKUP(A21,'Trips&amp;Operators'!$C$1:$E$10000,3,FALSE)</f>
        <v>KILLION</v>
      </c>
      <c r="M21" s="6">
        <f t="shared" si="1"/>
        <v>2.4502314816345461E-2</v>
      </c>
      <c r="N21" s="7">
        <f t="shared" si="2"/>
        <v>35.283333335537463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03:30:06-0600',mode:absolute,to:'2016-11-05 06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4.4699999999999997E-2</v>
      </c>
      <c r="Z21" s="67">
        <f t="shared" si="9"/>
        <v>23.328499999999998</v>
      </c>
      <c r="AA21" s="67">
        <f t="shared" si="10"/>
        <v>23.283799999999999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0109-05</v>
      </c>
      <c r="AE21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21" s="88" t="str">
        <f t="shared" si="13"/>
        <v>"C:\Program Files (x86)\AstroGrep\AstroGrep.exe" /spath="%USERPROFILE%\AppData\Local\Temp\OnboardLogs" /stypes="app*4040*20161105*" /stext=" 11:.+((SYSTEM_STATE.+slice.+state.+changed )|(ment ac)|(system.+state.+changed )|(\[timeout)|(PRM\|1\|D)|(kpr)|(kdp)|(\|loc)|(penalty))"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109-05 --locoid 4040 --swversion DE.1.0.8.0 --startMP 204:447 --initTime 2016-11-05T04:30:06 --startdatetime 2016-11-05T04:45:25 --delay 1 --endMP 204:233285 --enddatetime 2016-11-05T05:20:42 --enforcementcount 0 &gt;&gt;C:\Users\stu\Documents\GitHub\eaglep3-reporting\EC\2016-11-05-refined-times.txt</v>
      </c>
      <c r="AI2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{"issue":{"subject":"","project_id":79,"tracker_id":40,"status_id":1,"priority_id":2,"assigned_to_id":23,"start_date":"2016-11-05","description":"","custom_fields":[{"id":1,"name":"Subdivision","value":"EC"},{"id":4,"name":"Milepost","value":"23.3285"},{"id":17,"name":"Train ID","value":"109-05"},{"id":16,"name":"Locomotive ID","value":"4040"},{"id":130,"name":"Impact","value":""},{"id":150,"name":"Time of Event (Mountain Time)","value":"05:20:42"},{"id":151,"name":"Denver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418</v>
      </c>
      <c r="B22" s="7">
        <v>4039</v>
      </c>
      <c r="C22" s="22" t="s">
        <v>242</v>
      </c>
      <c r="D22" s="22" t="s">
        <v>647</v>
      </c>
      <c r="E22" s="13">
        <v>42679.228784722225</v>
      </c>
      <c r="F22" s="13">
        <v>42679.237037037034</v>
      </c>
      <c r="G22" s="7">
        <v>1</v>
      </c>
      <c r="H22" s="22" t="s">
        <v>648</v>
      </c>
      <c r="I22" s="13">
        <v>42679.262812499997</v>
      </c>
      <c r="J22" s="7">
        <v>0</v>
      </c>
      <c r="K22" s="112" t="str">
        <f t="shared" si="0"/>
        <v>4039/4040</v>
      </c>
      <c r="L22" s="22" t="str">
        <f>VLOOKUP(A22,'Trips&amp;Operators'!$C$1:$E$10000,3,FALSE)</f>
        <v>KILLION</v>
      </c>
      <c r="M22" s="6">
        <f t="shared" si="1"/>
        <v>2.5775462963792961E-2</v>
      </c>
      <c r="N22" s="7">
        <f t="shared" si="2"/>
        <v>37.116666667861864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04:29:27-0600',mode:absolute,to:'2016-11-05 07:18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23.2974</v>
      </c>
      <c r="Z22" s="67">
        <f t="shared" si="9"/>
        <v>1.6299999999999999E-2</v>
      </c>
      <c r="AA22" s="67">
        <f t="shared" si="10"/>
        <v>23.281099999999999</v>
      </c>
      <c r="AB22" s="64" t="str">
        <f>VLOOKUP(A22,Enforcements!$C$7:$K$21,8,0)</f>
        <v>Form based authority (4)</v>
      </c>
      <c r="AC22" s="60" t="str">
        <f>VLOOKUP(A22,Enforcements!$C$7:$E$21,3,0)</f>
        <v>TRACK WARRANT AUTHORITY</v>
      </c>
      <c r="AD22" s="61" t="str">
        <f t="shared" si="11"/>
        <v>0110-05</v>
      </c>
      <c r="AE22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22" s="88" t="str">
        <f t="shared" si="13"/>
        <v>"C:\Program Files (x86)\AstroGrep\AstroGrep.exe" /spath="%USERPROFILE%\AppData\Local\Temp\OnboardLogs" /stypes="app*4039*20161105*" /stext=" 12:.+((SYSTEM_STATE.+slice.+state.+changed )|(ment ac)|(system.+state.+changed )|(\[timeout)|(PRM\|1\|D)|(kpr)|(kdp)|(\|loc)|(penalty))"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110-05 --locoid 4039 --swversion DE.1.0.8.0 --startMP 204:232974 --initTime 2016-11-05T05:29:27 --startdatetime 2016-11-05T05:41:20 --delay 1 --endMP 204:163 --enddatetime 2016-11-05T06:18:27 --enforcementcount 0 &gt;&gt;C:\Users\stu\Documents\GitHub\eaglep3-reporting\EC\2016-11-05-refined-times.txt</v>
      </c>
      <c r="AI2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{"issue":{"subject":"","project_id":79,"tracker_id":40,"status_id":1,"priority_id":2,"assigned_to_id":23,"start_date":"2016-11-05","description":"","custom_fields":[{"id":1,"name":"Subdivision","value":"EC"},{"id":4,"name":"Milepost","value":"0.0163"},{"id":17,"name":"Train ID","value":"110-05"},{"id":16,"name":"Locomotive ID","value":"4039"},{"id":130,"name":"Impact","value":""},{"id":150,"name":"Time of Event (Mountain Time)","value":"06:18:27"},{"id":151,"name":"Denver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465</v>
      </c>
      <c r="B23" s="7">
        <v>4014</v>
      </c>
      <c r="C23" s="22" t="s">
        <v>242</v>
      </c>
      <c r="D23" s="22" t="s">
        <v>640</v>
      </c>
      <c r="E23" s="13">
        <v>42679.202361111114</v>
      </c>
      <c r="F23" s="13">
        <v>42679.20857638889</v>
      </c>
      <c r="G23" s="7">
        <v>1</v>
      </c>
      <c r="H23" s="22" t="s">
        <v>403</v>
      </c>
      <c r="I23" s="13">
        <v>42679.232800925929</v>
      </c>
      <c r="J23" s="7">
        <v>0</v>
      </c>
      <c r="K23" s="112" t="str">
        <f t="shared" si="0"/>
        <v>4013/4014</v>
      </c>
      <c r="L23" s="22" t="str">
        <f>VLOOKUP(A23,'Trips&amp;Operators'!$C$1:$E$10000,3,FALSE)</f>
        <v>GEBRETEKLE</v>
      </c>
      <c r="M23" s="6">
        <f t="shared" si="1"/>
        <v>2.4224537039117422E-2</v>
      </c>
      <c r="N23" s="7">
        <f t="shared" si="2"/>
        <v>34.883333336329088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03:51:24-0600',mode:absolute,to:'2016-11-05 06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7.6300000000000007E-2</v>
      </c>
      <c r="Z23" s="67">
        <f t="shared" si="9"/>
        <v>23.327400000000001</v>
      </c>
      <c r="AA23" s="67">
        <f t="shared" si="10"/>
        <v>23.251100000000001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0111-05</v>
      </c>
      <c r="AE23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23" s="88" t="str">
        <f t="shared" si="13"/>
        <v>"C:\Program Files (x86)\AstroGrep\AstroGrep.exe" /spath="%USERPROFILE%\AppData\Local\Temp\OnboardLogs" /stypes="app*4014*20161105*" /stext=" 11:.+((SYSTEM_STATE.+slice.+state.+changed )|(ment ac)|(system.+state.+changed )|(\[timeout)|(PRM\|1\|D)|(kpr)|(kdp)|(\|loc)|(penalty))"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111-05 --locoid 4014 --swversion DE.1.0.8.0 --startMP 204:763 --initTime 2016-11-05T04:51:24 --startdatetime 2016-11-05T05:00:21 --delay 1 --endMP 204:233274 --enddatetime 2016-11-05T05:35:14 --enforcementcount 0 &gt;&gt;C:\Users\stu\Documents\GitHub\eaglep3-reporting\EC\2016-11-05-refined-times.txt</v>
      </c>
      <c r="AI2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{"issue":{"subject":"","project_id":79,"tracker_id":40,"status_id":1,"priority_id":2,"assigned_to_id":23,"start_date":"2016-11-05","description":"","custom_fields":[{"id":1,"name":"Subdivision","value":"EC"},{"id":4,"name":"Milepost","value":"23.3274"},{"id":17,"name":"Train ID","value":"111-05"},{"id":16,"name":"Locomotive ID","value":"4014"},{"id":130,"name":"Impact","value":""},{"id":150,"name":"Time of Event (Mountain Time)","value":"05:35:14"},{"id":151,"name":"Denver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475</v>
      </c>
      <c r="B24" s="7">
        <v>4013</v>
      </c>
      <c r="C24" s="22" t="s">
        <v>242</v>
      </c>
      <c r="D24" s="22" t="s">
        <v>378</v>
      </c>
      <c r="E24" s="13">
        <v>42679.241018518522</v>
      </c>
      <c r="F24" s="13">
        <v>42679.247418981482</v>
      </c>
      <c r="G24" s="7">
        <v>9</v>
      </c>
      <c r="H24" s="22" t="s">
        <v>181</v>
      </c>
      <c r="I24" s="13">
        <v>42679.272916666669</v>
      </c>
      <c r="J24" s="7">
        <v>0</v>
      </c>
      <c r="K24" s="112" t="str">
        <f t="shared" si="0"/>
        <v>4013/4014</v>
      </c>
      <c r="L24" s="22" t="str">
        <f>VLOOKUP(A24,'Trips&amp;Operators'!$C$1:$E$10000,3,FALSE)</f>
        <v>GEBRETEKLE</v>
      </c>
      <c r="M24" s="6">
        <f t="shared" si="1"/>
        <v>2.5497685186564922E-2</v>
      </c>
      <c r="N24" s="7">
        <f t="shared" si="2"/>
        <v>36.716666668653488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04:47:04-0600',mode:absolute,to:'2016-11-05 07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23.296500000000002</v>
      </c>
      <c r="Z24" s="67">
        <f t="shared" si="9"/>
        <v>1.41E-2</v>
      </c>
      <c r="AA24" s="67">
        <f t="shared" si="10"/>
        <v>23.282400000000003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0112-05</v>
      </c>
      <c r="AE24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24" s="88" t="str">
        <f t="shared" si="13"/>
        <v>"C:\Program Files (x86)\AstroGrep\AstroGrep.exe" /spath="%USERPROFILE%\AppData\Local\Temp\OnboardLogs" /stypes="app*4013*20161105*" /stext=" 12:.+((SYSTEM_STATE.+slice.+state.+changed )|(ment ac)|(system.+state.+changed )|(\[timeout)|(PRM\|1\|D)|(kpr)|(kdp)|(\|loc)|(penalty))"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112-05 --locoid 4013 --swversion DE.1.0.8.0 --startMP 204:232965 --initTime 2016-11-05T05:47:04 --startdatetime 2016-11-05T05:56:17 --delay 9 --endMP 204:141 --enddatetime 2016-11-05T06:33:00 --enforcementcount 0 &gt;&gt;C:\Users\stu\Documents\GitHub\eaglep3-reporting\EC\2016-11-05-refined-times.txt</v>
      </c>
      <c r="AI2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ID","value":"112-05"},{"id":16,"name":"Locomotive ID","value":"4013"},{"id":130,"name":"Impact","value":""},{"id":150,"name":"Time of Event (Mountain Time)","value":"06:33:00"},{"id":151,"name":"Denver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468</v>
      </c>
      <c r="B25" s="7">
        <v>4011</v>
      </c>
      <c r="C25" s="22" t="s">
        <v>242</v>
      </c>
      <c r="D25" s="22" t="s">
        <v>649</v>
      </c>
      <c r="E25" s="13">
        <v>42679.213541666664</v>
      </c>
      <c r="F25" s="13">
        <v>42679.219212962962</v>
      </c>
      <c r="G25" s="7">
        <v>1</v>
      </c>
      <c r="H25" s="22" t="s">
        <v>284</v>
      </c>
      <c r="I25" s="13">
        <v>42679.243842592594</v>
      </c>
      <c r="J25" s="7">
        <v>0</v>
      </c>
      <c r="K25" s="112" t="str">
        <f t="shared" si="0"/>
        <v>4011/4012</v>
      </c>
      <c r="L25" s="22" t="str">
        <f>VLOOKUP(A25,'Trips&amp;Operators'!$C$1:$E$10000,3,FALSE)</f>
        <v>MAELZER</v>
      </c>
      <c r="M25" s="6">
        <f t="shared" si="1"/>
        <v>2.4629629631817807E-2</v>
      </c>
      <c r="N25" s="7">
        <f t="shared" si="2"/>
        <v>35.466666669817641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04:07:30-0600',mode:absolute,to:'2016-11-05 06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4.24E-2</v>
      </c>
      <c r="Z25" s="67">
        <f t="shared" si="9"/>
        <v>23.331</v>
      </c>
      <c r="AA25" s="67">
        <f t="shared" si="10"/>
        <v>23.288599999999999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0113-05</v>
      </c>
      <c r="AE25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25" s="88" t="str">
        <f t="shared" si="13"/>
        <v>"C:\Program Files (x86)\AstroGrep\AstroGrep.exe" /spath="%USERPROFILE%\AppData\Local\Temp\OnboardLogs" /stypes="app*4011*20161105*" /stext=" 11:.+((SYSTEM_STATE.+slice.+state.+changed )|(ment ac)|(system.+state.+changed )|(\[timeout)|(PRM\|1\|D)|(kpr)|(kdp)|(\|loc)|(penalty))"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113-05 --locoid 4011 --swversion DE.1.0.8.0 --startMP 204:424 --initTime 2016-11-05T05:07:30 --startdatetime 2016-11-05T05:15:40 --delay 1 --endMP 204:233310 --enddatetime 2016-11-05T05:51:08 --enforcementcount 0 &gt;&gt;C:\Users\stu\Documents\GitHub\eaglep3-reporting\EC\2016-11-05-refined-times.txt</v>
      </c>
      <c r="AI2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{"issue":{"subject":"","project_id":79,"tracker_id":40,"status_id":1,"priority_id":2,"assigned_to_id":23,"start_date":"2016-11-05","description":"","custom_fields":[{"id":1,"name":"Subdivision","value":"EC"},{"id":4,"name":"Milepost","value":"23.331"},{"id":17,"name":"Train ID","value":"113-05"},{"id":16,"name":"Locomotive ID","value":"4011"},{"id":130,"name":"Impact","value":""},{"id":150,"name":"Time of Event (Mountain Time)","value":"05:51:08"},{"id":151,"name":"Denver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4012</v>
      </c>
      <c r="C26" s="22" t="s">
        <v>242</v>
      </c>
      <c r="D26" s="22" t="s">
        <v>245</v>
      </c>
      <c r="E26" s="13">
        <v>42679.249942129631</v>
      </c>
      <c r="F26" s="13">
        <v>42679.257928240739</v>
      </c>
      <c r="G26" s="7">
        <v>1</v>
      </c>
      <c r="H26" s="22" t="s">
        <v>175</v>
      </c>
      <c r="I26" s="13">
        <v>42679.283402777779</v>
      </c>
      <c r="J26" s="7">
        <v>0</v>
      </c>
      <c r="K26" s="112" t="str">
        <f t="shared" si="0"/>
        <v>4011/4012</v>
      </c>
      <c r="L26" s="22" t="str">
        <f>VLOOKUP(A26,'Trips&amp;Operators'!$C$1:$E$10000,3,FALSE)</f>
        <v>MAELZER</v>
      </c>
      <c r="M26" s="6">
        <f t="shared" si="1"/>
        <v>2.5474537040281575E-2</v>
      </c>
      <c r="N26" s="7">
        <f t="shared" si="2"/>
        <v>36.683333338005468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04:59:55-0600',mode:absolute,to:'2016-11-05 07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23.298300000000001</v>
      </c>
      <c r="Z26" s="67">
        <f t="shared" si="9"/>
        <v>1.47E-2</v>
      </c>
      <c r="AA26" s="67">
        <f t="shared" si="10"/>
        <v>23.2836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0114-05</v>
      </c>
      <c r="AE26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26" s="88" t="str">
        <f t="shared" si="13"/>
        <v>"C:\Program Files (x86)\AstroGrep\AstroGrep.exe" /spath="%USERPROFILE%\AppData\Local\Temp\OnboardLogs" /stypes="app*4012*20161105*" /stext=" 12:.+((SYSTEM_STATE.+slice.+state.+changed )|(ment ac)|(system.+state.+changed )|(\[timeout)|(PRM\|1\|D)|(kpr)|(kdp)|(\|loc)|(penalty))"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114-05 --locoid 4012 --swversion DE.1.0.8.0 --startMP 204:232983 --initTime 2016-11-05T05:59:55 --startdatetime 2016-11-05T06:11:25 --delay 1 --endMP 204:147 --enddatetime 2016-11-05T06:48:06 --enforcementcount 0 &gt;&gt;C:\Users\stu\Documents\GitHub\eaglep3-reporting\EC\2016-11-05-refined-times.txt</v>
      </c>
      <c r="AI2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{"issue":{"subject":"","project_id":79,"tracker_id":40,"status_id":1,"priority_id":2,"assigned_to_id":23,"start_date":"2016-11-05","description":"","custom_fields":[{"id":1,"name":"Subdivision","value":"EC"},{"id":4,"name":"Milepost","value":"0.0147"},{"id":17,"name":"Train ID","value":"114-05"},{"id":16,"name":"Locomotive ID","value":"4012"},{"id":130,"name":"Impact","value":""},{"id":150,"name":"Time of Event (Mountain Time)","value":"06:48:06"},{"id":151,"name":"Denver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417</v>
      </c>
      <c r="B27" s="7">
        <v>4025</v>
      </c>
      <c r="C27" s="22" t="s">
        <v>242</v>
      </c>
      <c r="D27" s="22" t="s">
        <v>408</v>
      </c>
      <c r="E27" s="13">
        <v>42679.225277777776</v>
      </c>
      <c r="F27" s="13">
        <v>42679.229317129626</v>
      </c>
      <c r="G27" s="7">
        <v>1</v>
      </c>
      <c r="H27" s="22" t="s">
        <v>263</v>
      </c>
      <c r="I27" s="13">
        <v>42679.255370370367</v>
      </c>
      <c r="J27" s="7">
        <v>0</v>
      </c>
      <c r="K27" s="112" t="str">
        <f t="shared" si="0"/>
        <v>4025/4026</v>
      </c>
      <c r="L27" s="22" t="str">
        <f>VLOOKUP(A27,'Trips&amp;Operators'!$C$1:$E$10000,3,FALSE)</f>
        <v>ROBINSON</v>
      </c>
      <c r="M27" s="6">
        <f t="shared" si="1"/>
        <v>2.6053240741021E-2</v>
      </c>
      <c r="N27" s="7">
        <f t="shared" si="2"/>
        <v>37.51666666707024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04:24:24-0600',mode:absolute,to:'2016-11-05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7.9399999999999998E-2</v>
      </c>
      <c r="Z27" s="67">
        <f t="shared" si="9"/>
        <v>23.330300000000001</v>
      </c>
      <c r="AA27" s="67">
        <f t="shared" si="10"/>
        <v>23.250900000000001</v>
      </c>
      <c r="AB27" s="64" t="str">
        <f>VLOOKUP(A27,Enforcements!$C$7:$K$21,8,0)</f>
        <v>Speed (6)</v>
      </c>
      <c r="AC27" s="60" t="str">
        <f>VLOOKUP(A27,Enforcements!$C$7:$E$21,3,0)</f>
        <v>PERMANENT SPEED RESTRICTION</v>
      </c>
      <c r="AD27" s="61" t="str">
        <f t="shared" si="11"/>
        <v>0115-05</v>
      </c>
      <c r="AE27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27" s="88" t="str">
        <f t="shared" si="13"/>
        <v>"C:\Program Files (x86)\AstroGrep\AstroGrep.exe" /spath="%USERPROFILE%\AppData\Local\Temp\OnboardLogs" /stypes="app*4025*20161105*" /stext=" 12:.+((SYSTEM_STATE.+slice.+state.+changed )|(ment ac)|(system.+state.+changed )|(\[timeout)|(PRM\|1\|D)|(kpr)|(kdp)|(\|loc)|(penalty))"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115-05 --locoid 4025 --swversion DE.1.0.8.0 --startMP 204:794 --initTime 2016-11-05T05:24:24 --startdatetime 2016-11-05T05:30:13 --delay 1 --endMP 204:233303 --enddatetime 2016-11-05T06:07:44 --enforcementcount 0 &gt;&gt;C:\Users\stu\Documents\GitHub\eaglep3-reporting\EC\2016-11-05-refined-times.txt</v>
      </c>
      <c r="AI2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{"issue":{"subject":"","project_id":79,"tracker_id":40,"status_id":1,"priority_id":2,"assigned_to_id":23,"start_date":"2016-11-05","description":"","custom_fields":[{"id":1,"name":"Subdivision","value":"EC"},{"id":4,"name":"Milepost","value":"23.3303"},{"id":17,"name":"Train ID","value":"115-05"},{"id":16,"name":"Locomotive ID","value":"4025"},{"id":130,"name":"Impact","value":""},{"id":150,"name":"Time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480</v>
      </c>
      <c r="B28" s="7">
        <v>4026</v>
      </c>
      <c r="C28" s="22" t="s">
        <v>242</v>
      </c>
      <c r="D28" s="22" t="s">
        <v>378</v>
      </c>
      <c r="E28" s="13">
        <v>42679.257013888891</v>
      </c>
      <c r="F28" s="13">
        <v>42679.268194444441</v>
      </c>
      <c r="G28" s="7">
        <v>1</v>
      </c>
      <c r="H28" s="22" t="s">
        <v>203</v>
      </c>
      <c r="I28" s="13">
        <v>42679.294062499997</v>
      </c>
      <c r="J28" s="7">
        <v>0</v>
      </c>
      <c r="K28" s="112" t="str">
        <f t="shared" si="0"/>
        <v>4025/4026</v>
      </c>
      <c r="L28" s="22" t="str">
        <f>VLOOKUP(A28,'Trips&amp;Operators'!$C$1:$E$10000,3,FALSE)</f>
        <v>ROBINSON</v>
      </c>
      <c r="M28" s="6">
        <f t="shared" si="1"/>
        <v>2.5868055556202307E-2</v>
      </c>
      <c r="N28" s="7">
        <f t="shared" si="2"/>
        <v>37.250000000931323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05:10:06-0600',mode:absolute,to:'2016-11-05 08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23.296500000000002</v>
      </c>
      <c r="Z28" s="67">
        <f t="shared" si="9"/>
        <v>1.49E-2</v>
      </c>
      <c r="AA28" s="67">
        <f t="shared" si="10"/>
        <v>23.281600000000001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0116-05</v>
      </c>
      <c r="AE28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28" s="88" t="str">
        <f t="shared" si="13"/>
        <v>"C:\Program Files (x86)\AstroGrep\AstroGrep.exe" /spath="%USERPROFILE%\AppData\Local\Temp\OnboardLogs" /stypes="app*4026*20161105*" /stext=" 13:.+((SYSTEM_STATE.+slice.+state.+changed )|(ment ac)|(system.+state.+changed )|(\[timeout)|(PRM\|1\|D)|(kpr)|(kdp)|(\|loc)|(penalty))"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116-05 --locoid 4026 --swversion DE.1.0.8.0 --startMP 204:232965 --initTime 2016-11-05T06:10:06 --startdatetime 2016-11-05T06:26:12 --delay 1 --endMP 204:149 --enddatetime 2016-11-05T07:03:27 --enforcementcount 0 &gt;&gt;C:\Users\stu\Documents\GitHub\eaglep3-reporting\EC\2016-11-05-refined-times.txt</v>
      </c>
      <c r="AI2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ID","value":"116-05"},{"id":16,"name":"Locomotive ID","value":"4026"},{"id":130,"name":"Impact","value":""},{"id":150,"name":"Time of Event (Mountain Time)","value":"07:03:27"},{"id":151,"name":"Denver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474</v>
      </c>
      <c r="B29" s="7">
        <v>4018</v>
      </c>
      <c r="C29" s="22" t="s">
        <v>242</v>
      </c>
      <c r="D29" s="22" t="s">
        <v>650</v>
      </c>
      <c r="E29" s="13">
        <v>42679.238379629627</v>
      </c>
      <c r="F29" s="13">
        <v>42679.24</v>
      </c>
      <c r="G29" s="7">
        <v>1</v>
      </c>
      <c r="H29" s="22" t="s">
        <v>280</v>
      </c>
      <c r="I29" s="13">
        <v>42679.264606481483</v>
      </c>
      <c r="J29" s="7">
        <v>0</v>
      </c>
      <c r="K29" s="112" t="str">
        <f t="shared" si="0"/>
        <v>4017/4018</v>
      </c>
      <c r="L29" s="22" t="str">
        <f>VLOOKUP(A29,'Trips&amp;Operators'!$C$1:$E$10000,3,FALSE)</f>
        <v>MALAVE</v>
      </c>
      <c r="M29" s="6">
        <f t="shared" si="1"/>
        <v>2.4606481485534459E-2</v>
      </c>
      <c r="N29" s="7">
        <f t="shared" si="2"/>
        <v>35.433333339169621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04:43:16-0600',mode:absolute,to:'2016-11-05 07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4.3999999999999997E-2</v>
      </c>
      <c r="Z29" s="67">
        <f t="shared" si="9"/>
        <v>23.330200000000001</v>
      </c>
      <c r="AA29" s="67">
        <f t="shared" si="10"/>
        <v>23.286200000000001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0117-05</v>
      </c>
      <c r="AE29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29" s="88" t="str">
        <f t="shared" si="13"/>
        <v>"C:\Program Files (x86)\AstroGrep\AstroGrep.exe" /spath="%USERPROFILE%\AppData\Local\Temp\OnboardLogs" /stypes="app*4018*20161105*" /stext=" 12:.+((SYSTEM_STATE.+slice.+state.+changed )|(ment ac)|(system.+state.+changed )|(\[timeout)|(PRM\|1\|D)|(kpr)|(kdp)|(\|loc)|(penalty))"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117-05 --locoid 4018 --swversion DE.1.0.8.0 --startMP 204:440 --initTime 2016-11-05T05:43:16 --startdatetime 2016-11-05T05:45:36 --delay 1 --endMP 204:233302 --enddatetime 2016-11-05T06:21:02 --enforcementcount 0 &gt;&gt;C:\Users\stu\Documents\GitHub\eaglep3-reporting\EC\2016-11-05-refined-times.txt</v>
      </c>
      <c r="AI2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{"issue":{"subject":"","project_id":79,"tracker_id":40,"status_id":1,"priority_id":2,"assigned_to_id":23,"start_date":"2016-11-05","description":"","custom_fields":[{"id":1,"name":"Subdivision","value":"EC"},{"id":4,"name":"Milepost","value":"23.3302"},{"id":17,"name":"Train ID","value":"117-05"},{"id":16,"name":"Locomotive ID","value":"4018"},{"id":130,"name":"Impact","value":""},{"id":150,"name":"Time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419</v>
      </c>
      <c r="B30" s="7">
        <v>4017</v>
      </c>
      <c r="C30" s="22" t="s">
        <v>242</v>
      </c>
      <c r="D30" s="22" t="s">
        <v>651</v>
      </c>
      <c r="E30" s="13">
        <v>42679.277430555558</v>
      </c>
      <c r="F30" s="13">
        <v>42679.279120370367</v>
      </c>
      <c r="G30" s="7">
        <v>2</v>
      </c>
      <c r="H30" s="22" t="s">
        <v>203</v>
      </c>
      <c r="I30" s="13">
        <v>42679.305138888885</v>
      </c>
      <c r="J30" s="7">
        <v>0</v>
      </c>
      <c r="K30" s="112" t="str">
        <f t="shared" si="0"/>
        <v>4017/4018</v>
      </c>
      <c r="L30" s="22" t="str">
        <f>VLOOKUP(A30,'Trips&amp;Operators'!$C$1:$E$10000,3,FALSE)</f>
        <v>MALAVE</v>
      </c>
      <c r="M30" s="6">
        <f t="shared" si="1"/>
        <v>2.6018518517958E-2</v>
      </c>
      <c r="N30" s="7">
        <f t="shared" si="2"/>
        <v>37.46666666585952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05:39:30-0600',mode:absolute,to:'2016-11-05 08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23.297599999999999</v>
      </c>
      <c r="Z30" s="67">
        <f t="shared" si="9"/>
        <v>1.49E-2</v>
      </c>
      <c r="AA30" s="67">
        <f t="shared" si="10"/>
        <v>23.282699999999998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1"/>
        <v>0118-05</v>
      </c>
      <c r="AE30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30" s="88" t="str">
        <f t="shared" si="13"/>
        <v>"C:\Program Files (x86)\AstroGrep\AstroGrep.exe" /spath="%USERPROFILE%\AppData\Local\Temp\OnboardLogs" /stypes="app*4017*20161105*" /stext=" 13:.+((SYSTEM_STATE.+slice.+state.+changed )|(ment ac)|(system.+state.+changed )|(\[timeout)|(PRM\|1\|D)|(kpr)|(kdp)|(\|loc)|(penalty))"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118-05 --locoid 4017 --swversion DE.1.0.8.0 --startMP 204:232976 --initTime 2016-11-05T06:39:30 --startdatetime 2016-11-05T06:41:56 --delay 2 --endMP 204:149 --enddatetime 2016-11-05T07:19:24 --enforcementcount 0 &gt;&gt;C:\Users\stu\Documents\GitHub\eaglep3-reporting\EC\2016-11-05-refined-times.txt</v>
      </c>
      <c r="AI3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ID","value":"118-05"},{"id":16,"name":"Locomotive ID","value":"4017"},{"id":130,"name":"Impact","value":""},{"id":150,"name":"Time of Event (Mountain Time)","value":"07:19:24"},{"id":151,"name":"Denver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476</v>
      </c>
      <c r="B31" s="7">
        <v>4053</v>
      </c>
      <c r="C31" s="22" t="s">
        <v>242</v>
      </c>
      <c r="D31" s="22" t="s">
        <v>652</v>
      </c>
      <c r="E31" s="13">
        <v>42679.246388888889</v>
      </c>
      <c r="F31" s="13">
        <v>42679.2502662037</v>
      </c>
      <c r="G31" s="7">
        <v>2</v>
      </c>
      <c r="H31" s="22" t="s">
        <v>403</v>
      </c>
      <c r="I31" s="13">
        <v>42679.274756944447</v>
      </c>
      <c r="J31" s="7">
        <v>0</v>
      </c>
      <c r="K31" s="112" t="str">
        <f t="shared" si="0"/>
        <v>4053/4054</v>
      </c>
      <c r="L31" s="22" t="str">
        <f>VLOOKUP(A31,'Trips&amp;Operators'!$C$1:$E$10000,3,FALSE)</f>
        <v>ACKERMAN</v>
      </c>
      <c r="M31" s="6">
        <f t="shared" si="1"/>
        <v>2.4490740746841766E-2</v>
      </c>
      <c r="N31" s="7">
        <f t="shared" si="2"/>
        <v>35.266666675452143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04:54:48-0600',mode:absolute,to:'2016-11-05 07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7.3200000000000001E-2</v>
      </c>
      <c r="Z31" s="67">
        <f t="shared" si="9"/>
        <v>23.327400000000001</v>
      </c>
      <c r="AA31" s="67">
        <f t="shared" si="10"/>
        <v>23.254200000000001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0119-05</v>
      </c>
      <c r="AE31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31" s="88" t="str">
        <f t="shared" si="13"/>
        <v>"C:\Program Files (x86)\AstroGrep\AstroGrep.exe" /spath="%USERPROFILE%\AppData\Local\Temp\OnboardLogs" /stypes="app*4053*20161105*" /stext=" 12:.+((SYSTEM_STATE.+slice.+state.+changed )|(ment ac)|(system.+state.+changed )|(\[timeout)|(PRM\|1\|D)|(kpr)|(kdp)|(\|loc)|(penalty))"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119-05 --locoid 4053 --swversion DE.1.0.8.0 --startMP 204:732 --initTime 2016-11-05T05:54:48 --startdatetime 2016-11-05T06:00:23 --delay 2 --endMP 204:233274 --enddatetime 2016-11-05T06:35:39 --enforcementcount 0 &gt;&gt;C:\Users\stu\Documents\GitHub\eaglep3-reporting\EC\2016-11-05-refined-times.txt</v>
      </c>
      <c r="AI3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{"issue":{"subject":"","project_id":79,"tracker_id":40,"status_id":1,"priority_id":2,"assigned_to_id":23,"start_date":"2016-11-05","description":"","custom_fields":[{"id":1,"name":"Subdivision","value":"EC"},{"id":4,"name":"Milepost","value":"23.3274"},{"id":17,"name":"Train ID","value":"119-05"},{"id":16,"name":"Locomotive ID","value":"4053"},{"id":130,"name":"Impact","value":""},{"id":150,"name":"Time of Event (Mountain Time)","value":"06:35:39"},{"id":151,"name":"Denver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484</v>
      </c>
      <c r="B32" s="7">
        <v>4054</v>
      </c>
      <c r="C32" s="22" t="s">
        <v>242</v>
      </c>
      <c r="D32" s="22" t="s">
        <v>653</v>
      </c>
      <c r="E32" s="13">
        <v>42679.282372685186</v>
      </c>
      <c r="F32" s="13">
        <v>42679.289074074077</v>
      </c>
      <c r="G32" s="7">
        <v>2</v>
      </c>
      <c r="H32" s="22" t="s">
        <v>380</v>
      </c>
      <c r="I32" s="13">
        <v>42679.315358796295</v>
      </c>
      <c r="J32" s="7">
        <v>0</v>
      </c>
      <c r="K32" s="112" t="str">
        <f t="shared" si="0"/>
        <v>4053/4054</v>
      </c>
      <c r="L32" s="22" t="str">
        <f>VLOOKUP(A32,'Trips&amp;Operators'!$C$1:$E$10000,3,FALSE)</f>
        <v>ACKERMAN</v>
      </c>
      <c r="M32" s="6">
        <f t="shared" si="1"/>
        <v>2.6284722218406387E-2</v>
      </c>
      <c r="N32" s="7">
        <f t="shared" si="2"/>
        <v>37.849999994505197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05:46:37-0600',mode:absolute,to:'2016-11-05 08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23.296299999999999</v>
      </c>
      <c r="Z32" s="67">
        <f t="shared" si="9"/>
        <v>1.4999999999999999E-2</v>
      </c>
      <c r="AA32" s="67">
        <f t="shared" si="10"/>
        <v>23.281299999999998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0120-05</v>
      </c>
      <c r="AE32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32" s="88" t="str">
        <f t="shared" si="13"/>
        <v>"C:\Program Files (x86)\AstroGrep\AstroGrep.exe" /spath="%USERPROFILE%\AppData\Local\Temp\OnboardLogs" /stypes="app*4054*20161105*" /stext=" 13:.+((SYSTEM_STATE.+slice.+state.+changed )|(ment ac)|(system.+state.+changed )|(\[timeout)|(PRM\|1\|D)|(kpr)|(kdp)|(\|loc)|(penalty))"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120-05 --locoid 4054 --swversion DE.1.0.8.0 --startMP 204:232963 --initTime 2016-11-05T06:46:37 --startdatetime 2016-11-05T06:56:16 --delay 2 --endMP 204:150 --enddatetime 2016-11-05T07:34:07 --enforcementcount 0 &gt;&gt;C:\Users\stu\Documents\GitHub\eaglep3-reporting\EC\2016-11-05-refined-times.txt</v>
      </c>
      <c r="AI3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{"issue":{"subject":"","project_id":79,"tracker_id":40,"status_id":1,"priority_id":2,"assigned_to_id":23,"start_date":"2016-11-05","description":"","custom_fields":[{"id":1,"name":"Subdivision","value":"EC"},{"id":4,"name":"Milepost","value":"0.015"},{"id":17,"name":"Train ID","value":"120-05"},{"id":16,"name":"Locomotive ID","value":"4054"},{"id":130,"name":"Impact","value":""},{"id":150,"name":"Time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479</v>
      </c>
      <c r="B33" s="7">
        <v>4016</v>
      </c>
      <c r="C33" s="22" t="s">
        <v>242</v>
      </c>
      <c r="D33" s="22" t="s">
        <v>259</v>
      </c>
      <c r="E33" s="13">
        <v>42679.254062499997</v>
      </c>
      <c r="F33" s="13">
        <v>42679.260821759257</v>
      </c>
      <c r="G33" s="7">
        <v>1</v>
      </c>
      <c r="H33" s="22" t="s">
        <v>285</v>
      </c>
      <c r="I33" s="13">
        <v>42679.28502314815</v>
      </c>
      <c r="J33" s="7">
        <v>0</v>
      </c>
      <c r="K33" s="112" t="str">
        <f t="shared" si="0"/>
        <v>4015/4016</v>
      </c>
      <c r="L33" s="22" t="str">
        <f>VLOOKUP(A33,'Trips&amp;Operators'!$C$1:$E$10000,3,FALSE)</f>
        <v>DE LA ROSA</v>
      </c>
      <c r="M33" s="6">
        <f t="shared" si="1"/>
        <v>2.4201388892834075E-2</v>
      </c>
      <c r="N33" s="7">
        <f t="shared" si="2"/>
        <v>34.850000005681068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05:05:51-0600',mode:absolute,to:'2016-11-05 07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4.4400000000000002E-2</v>
      </c>
      <c r="Z33" s="67">
        <f t="shared" si="9"/>
        <v>23.331199999999999</v>
      </c>
      <c r="AA33" s="67">
        <f t="shared" si="10"/>
        <v>23.286799999999999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0121-05</v>
      </c>
      <c r="AE33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33" s="88" t="str">
        <f t="shared" si="13"/>
        <v>"C:\Program Files (x86)\AstroGrep\AstroGrep.exe" /spath="%USERPROFILE%\AppData\Local\Temp\OnboardLogs" /stypes="app*4016*20161105*" /stext=" 12:.+((SYSTEM_STATE.+slice.+state.+changed )|(ment ac)|(system.+state.+changed )|(\[timeout)|(PRM\|1\|D)|(kpr)|(kdp)|(\|loc)|(penalty))"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121-05 --locoid 4016 --swversion DE.1.0.8.0 --startMP 204:444 --initTime 2016-11-05T06:05:51 --startdatetime 2016-11-05T06:15:35 --delay 1 --endMP 204:233312 --enddatetime 2016-11-05T06:50:26 --enforcementcount 0 &gt;&gt;C:\Users\stu\Documents\GitHub\eaglep3-reporting\EC\2016-11-05-refined-times.txt</v>
      </c>
      <c r="AI3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ID","value":"121-05"},{"id":16,"name":"Locomotive ID","value":"4016"},{"id":130,"name":"Impact","value":""},{"id":150,"name":"Time of Event (Mountain Time)","value":"06:50:26"},{"id":151,"name":"Denver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420</v>
      </c>
      <c r="B34" s="7">
        <v>4015</v>
      </c>
      <c r="C34" s="22" t="s">
        <v>242</v>
      </c>
      <c r="D34" s="22" t="s">
        <v>337</v>
      </c>
      <c r="E34" s="13">
        <v>42679.295925925922</v>
      </c>
      <c r="F34" s="13">
        <v>42679.299490740741</v>
      </c>
      <c r="G34" s="7">
        <v>1</v>
      </c>
      <c r="H34" s="22" t="s">
        <v>201</v>
      </c>
      <c r="I34" s="13">
        <v>42679.324988425928</v>
      </c>
      <c r="J34" s="7">
        <v>0</v>
      </c>
      <c r="K34" s="112" t="str">
        <f t="shared" si="0"/>
        <v>4015/4016</v>
      </c>
      <c r="L34" s="22" t="str">
        <f>VLOOKUP(A34,'Trips&amp;Operators'!$C$1:$E$10000,3,FALSE)</f>
        <v>DE LA ROSA</v>
      </c>
      <c r="M34" s="6">
        <f t="shared" si="1"/>
        <v>2.5497685186564922E-2</v>
      </c>
      <c r="N34" s="7">
        <f t="shared" si="2"/>
        <v>36.716666668653488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06:06:08-0600',mode:absolute,to:'2016-11-05 08:47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23.299399999999999</v>
      </c>
      <c r="Z34" s="67">
        <f t="shared" si="9"/>
        <v>1.54E-2</v>
      </c>
      <c r="AA34" s="67">
        <f t="shared" si="10"/>
        <v>23.283999999999999</v>
      </c>
      <c r="AB34" s="64" t="str">
        <f>VLOOKUP(A34,Enforcements!$C$7:$K$21,8,0)</f>
        <v>Form based authority (4)</v>
      </c>
      <c r="AC34" s="60" t="str">
        <f>VLOOKUP(A34,Enforcements!$C$7:$E$21,3,0)</f>
        <v>TRACK WARRANT AUTHORITY</v>
      </c>
      <c r="AD34" s="61" t="str">
        <f t="shared" si="11"/>
        <v>0122-05</v>
      </c>
      <c r="AE34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34" s="88" t="str">
        <f t="shared" si="13"/>
        <v>"C:\Program Files (x86)\AstroGrep\AstroGrep.exe" /spath="%USERPROFILE%\AppData\Local\Temp\OnboardLogs" /stypes="app*4015*20161105*" /stext=" 13:.+((SYSTEM_STATE.+slice.+state.+changed )|(ment ac)|(system.+state.+changed )|(\[timeout)|(PRM\|1\|D)|(kpr)|(kdp)|(\|loc)|(penalty))"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122-05 --locoid 4015 --swversion DE.1.0.8.0 --startMP 204:232994 --initTime 2016-11-05T07:06:08 --startdatetime 2016-11-05T07:11:16 --delay 1 --endMP 204:154 --enddatetime 2016-11-05T07:47:59 --enforcementcount 0 &gt;&gt;C:\Users\stu\Documents\GitHub\eaglep3-reporting\EC\2016-11-05-refined-times.txt</v>
      </c>
      <c r="AI3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ID","value":"122-05"},{"id":16,"name":"Locomotive ID","value":"4015"},{"id":130,"name":"Impact","value":""},{"id":150,"name":"Time of Event (Mountain Time)","value":"07:47:59"},{"id":151,"name":"Denver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481</v>
      </c>
      <c r="B35" s="7">
        <v>4040</v>
      </c>
      <c r="C35" s="22" t="s">
        <v>242</v>
      </c>
      <c r="D35" s="22" t="s">
        <v>316</v>
      </c>
      <c r="E35" s="13">
        <v>42679.264664351853</v>
      </c>
      <c r="F35" s="13">
        <v>42679.27103009259</v>
      </c>
      <c r="G35" s="7">
        <v>1</v>
      </c>
      <c r="H35" s="22" t="s">
        <v>385</v>
      </c>
      <c r="I35" s="13">
        <v>42679.295219907406</v>
      </c>
      <c r="J35" s="7">
        <v>0</v>
      </c>
      <c r="K35" s="112" t="str">
        <f t="shared" si="0"/>
        <v>4039/4040</v>
      </c>
      <c r="L35" s="22" t="str">
        <f>VLOOKUP(A35,'Trips&amp;Operators'!$C$1:$E$10000,3,FALSE)</f>
        <v>KILLION</v>
      </c>
      <c r="M35" s="6">
        <f t="shared" si="1"/>
        <v>2.4189814816054422E-2</v>
      </c>
      <c r="N35" s="7">
        <f t="shared" si="2"/>
        <v>34.833333335118368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05:21:07-0600',mode:absolute,to:'2016-11-05 08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4.6899999999999997E-2</v>
      </c>
      <c r="Z35" s="67">
        <f t="shared" si="9"/>
        <v>23.328600000000002</v>
      </c>
      <c r="AA35" s="67">
        <f t="shared" si="10"/>
        <v>23.281700000000001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0123-05</v>
      </c>
      <c r="AE35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35" s="88" t="str">
        <f t="shared" si="13"/>
        <v>"C:\Program Files (x86)\AstroGrep\AstroGrep.exe" /spath="%USERPROFILE%\AppData\Local\Temp\OnboardLogs" /stypes="app*4040*20161105*" /stext=" 13:.+((SYSTEM_STATE.+slice.+state.+changed )|(ment ac)|(system.+state.+changed )|(\[timeout)|(PRM\|1\|D)|(kpr)|(kdp)|(\|loc)|(penalty))"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123-05 --locoid 4040 --swversion DE.1.0.8.0 --startMP 204:469 --initTime 2016-11-05T06:21:07 --startdatetime 2016-11-05T06:30:17 --delay 1 --endMP 204:233286 --enddatetime 2016-11-05T07:05:07 --enforcementcount 0 &gt;&gt;C:\Users\stu\Documents\GitHub\eaglep3-reporting\EC\2016-11-05-refined-times.txt</v>
      </c>
      <c r="AI3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{"issue":{"subject":"","project_id":79,"tracker_id":40,"status_id":1,"priority_id":2,"assigned_to_id":23,"start_date":"2016-11-05","description":"","custom_fields":[{"id":1,"name":"Subdivision","value":"EC"},{"id":4,"name":"Milepost","value":"23.3286"},{"id":17,"name":"Train ID","value":"123-05"},{"id":16,"name":"Locomotive ID","value":"4040"},{"id":130,"name":"Impact","value":""},{"id":150,"name":"Time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488</v>
      </c>
      <c r="B36" s="7">
        <v>4039</v>
      </c>
      <c r="C36" s="22" t="s">
        <v>242</v>
      </c>
      <c r="D36" s="22" t="s">
        <v>382</v>
      </c>
      <c r="E36" s="13">
        <v>42679.306898148148</v>
      </c>
      <c r="F36" s="13">
        <v>42679.309918981482</v>
      </c>
      <c r="G36" s="7">
        <v>1</v>
      </c>
      <c r="H36" s="22" t="s">
        <v>203</v>
      </c>
      <c r="I36" s="13">
        <v>42679.335775462961</v>
      </c>
      <c r="J36" s="7">
        <v>0</v>
      </c>
      <c r="K36" s="112" t="str">
        <f t="shared" si="0"/>
        <v>4039/4040</v>
      </c>
      <c r="L36" s="22" t="str">
        <f>VLOOKUP(A36,'Trips&amp;Operators'!$C$1:$E$10000,3,FALSE)</f>
        <v>KILLION</v>
      </c>
      <c r="M36" s="6">
        <f t="shared" si="1"/>
        <v>2.5856481479422655E-2</v>
      </c>
      <c r="N36" s="7">
        <f t="shared" si="2"/>
        <v>37.233333330368623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06:21:56-0600',mode:absolute,to:'2016-11-05 09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23.296700000000001</v>
      </c>
      <c r="Z36" s="67">
        <f t="shared" si="9"/>
        <v>1.49E-2</v>
      </c>
      <c r="AA36" s="67">
        <f t="shared" si="10"/>
        <v>23.2818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0124-05</v>
      </c>
      <c r="AE36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36" s="88" t="str">
        <f t="shared" si="13"/>
        <v>"C:\Program Files (x86)\AstroGrep\AstroGrep.exe" /spath="%USERPROFILE%\AppData\Local\Temp\OnboardLogs" /stypes="app*4039*20161105*" /stext=" 14:.+((SYSTEM_STATE.+slice.+state.+changed )|(ment ac)|(system.+state.+changed )|(\[timeout)|(PRM\|1\|D)|(kpr)|(kdp)|(\|loc)|(penalty))"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124-05 --locoid 4039 --swversion DE.1.0.8.0 --startMP 204:232967 --initTime 2016-11-05T07:21:56 --startdatetime 2016-11-05T07:26:17 --delay 1 --endMP 204:149 --enddatetime 2016-11-05T08:03:31 --enforcementcount 0 &gt;&gt;C:\Users\stu\Documents\GitHub\eaglep3-reporting\EC\2016-11-05-refined-times.txt</v>
      </c>
      <c r="AI3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ID","value":"124-05"},{"id":16,"name":"Locomotive ID","value":"4039"},{"id":130,"name":"Impact","value":""},{"id":150,"name":"Time of Event (Mountain Time)","value":"08:03:31"},{"id":151,"name":"Denver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482</v>
      </c>
      <c r="B37" s="7">
        <v>4014</v>
      </c>
      <c r="C37" s="22" t="s">
        <v>242</v>
      </c>
      <c r="D37" s="22" t="s">
        <v>238</v>
      </c>
      <c r="E37" s="13">
        <v>42679.276076388887</v>
      </c>
      <c r="F37" s="13">
        <v>42679.281435185185</v>
      </c>
      <c r="G37" s="7">
        <v>5</v>
      </c>
      <c r="H37" s="22" t="s">
        <v>284</v>
      </c>
      <c r="I37" s="13">
        <v>42679.305717592593</v>
      </c>
      <c r="J37" s="7">
        <v>0</v>
      </c>
      <c r="K37" s="112" t="str">
        <f t="shared" si="0"/>
        <v>4013/4014</v>
      </c>
      <c r="L37" s="22" t="str">
        <f>VLOOKUP(A37,'Trips&amp;Operators'!$C$1:$E$10000,3,FALSE)</f>
        <v>GEBRETEKLE</v>
      </c>
      <c r="M37" s="6">
        <f t="shared" si="1"/>
        <v>2.4282407408463769E-2</v>
      </c>
      <c r="N37" s="7">
        <f t="shared" si="2"/>
        <v>34.966666668187827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05:37:33-0600',mode:absolute,to:'2016-11-05 08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4.6399999999999997E-2</v>
      </c>
      <c r="Z37" s="67">
        <f t="shared" si="9"/>
        <v>23.331</v>
      </c>
      <c r="AA37" s="67">
        <f t="shared" si="10"/>
        <v>23.284600000000001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0125-05</v>
      </c>
      <c r="AE37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37" s="88" t="str">
        <f t="shared" si="13"/>
        <v>"C:\Program Files (x86)\AstroGrep\AstroGrep.exe" /spath="%USERPROFILE%\AppData\Local\Temp\OnboardLogs" /stypes="app*4014*20161105*" /stext=" 13:.+((SYSTEM_STATE.+slice.+state.+changed )|(ment ac)|(system.+state.+changed )|(\[timeout)|(PRM\|1\|D)|(kpr)|(kdp)|(\|loc)|(penalty))"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125-05 --locoid 4014 --swversion DE.1.0.8.0 --startMP 204:464 --initTime 2016-11-05T06:37:33 --startdatetime 2016-11-05T06:45:16 --delay 5 --endMP 204:233310 --enddatetime 2016-11-05T07:20:14 --enforcementcount 0 &gt;&gt;C:\Users\stu\Documents\GitHub\eaglep3-reporting\EC\2016-11-05-refined-times.txt</v>
      </c>
      <c r="AI3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{"issue":{"subject":"","project_id":79,"tracker_id":40,"status_id":1,"priority_id":2,"assigned_to_id":23,"start_date":"2016-11-05","description":"","custom_fields":[{"id":1,"name":"Subdivision","value":"EC"},{"id":4,"name":"Milepost","value":"23.331"},{"id":17,"name":"Train ID","value":"125-05"},{"id":16,"name":"Locomotive ID","value":"4014"},{"id":130,"name":"Impact","value":""},{"id":150,"name":"Time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491</v>
      </c>
      <c r="B38" s="7">
        <v>4013</v>
      </c>
      <c r="C38" s="22" t="s">
        <v>242</v>
      </c>
      <c r="D38" s="22" t="s">
        <v>310</v>
      </c>
      <c r="E38" s="13">
        <v>42679.316863425927</v>
      </c>
      <c r="F38" s="13">
        <v>42679.320324074077</v>
      </c>
      <c r="G38" s="7">
        <v>1</v>
      </c>
      <c r="H38" s="22" t="s">
        <v>227</v>
      </c>
      <c r="I38" s="13">
        <v>42679.345821759256</v>
      </c>
      <c r="J38" s="7">
        <v>0</v>
      </c>
      <c r="K38" s="112" t="str">
        <f t="shared" si="0"/>
        <v>4013/4014</v>
      </c>
      <c r="L38" s="22" t="str">
        <f>VLOOKUP(A38,'Trips&amp;Operators'!$C$1:$E$10000,3,FALSE)</f>
        <v>GEBRETEKLE</v>
      </c>
      <c r="M38" s="6">
        <f t="shared" si="1"/>
        <v>2.5497685179288965E-2</v>
      </c>
      <c r="N38" s="7">
        <f t="shared" si="2"/>
        <v>36.716666658176109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06:36:17-0600',mode:absolute,to:'2016-11-05 09:17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23.2987</v>
      </c>
      <c r="Z38" s="67">
        <f t="shared" si="9"/>
        <v>1.38E-2</v>
      </c>
      <c r="AA38" s="67">
        <f t="shared" si="10"/>
        <v>23.2849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0126-05</v>
      </c>
      <c r="AE38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38" s="88" t="str">
        <f t="shared" si="13"/>
        <v>"C:\Program Files (x86)\AstroGrep\AstroGrep.exe" /spath="%USERPROFILE%\AppData\Local\Temp\OnboardLogs" /stypes="app*4013*20161105*" /stext=" 14:.+((SYSTEM_STATE.+slice.+state.+changed )|(ment ac)|(system.+state.+changed )|(\[timeout)|(PRM\|1\|D)|(kpr)|(kdp)|(\|loc)|(penalty))"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126-05 --locoid 4013 --swversion DE.1.0.8.0 --startMP 204:232987 --initTime 2016-11-05T07:36:17 --startdatetime 2016-11-05T07:41:16 --delay 1 --endMP 204:138 --enddatetime 2016-11-05T08:17:59 --enforcementcount 0 &gt;&gt;C:\Users\stu\Documents\GitHub\eaglep3-reporting\EC\2016-11-05-refined-times.txt</v>
      </c>
      <c r="AI3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ID","value":"126-05"},{"id":16,"name":"Locomotive ID","value":"4013"},{"id":130,"name":"Impact","value":""},{"id":150,"name":"Time of Event (Mountain Time)","value":"08:17:59"},{"id":151,"name":"Denver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485</v>
      </c>
      <c r="B39" s="7">
        <v>4011</v>
      </c>
      <c r="C39" s="22" t="s">
        <v>242</v>
      </c>
      <c r="D39" s="22" t="s">
        <v>259</v>
      </c>
      <c r="E39" s="13">
        <v>42679.285752314812</v>
      </c>
      <c r="F39" s="13">
        <v>42679.291921296295</v>
      </c>
      <c r="G39" s="7">
        <v>1</v>
      </c>
      <c r="H39" s="22" t="s">
        <v>654</v>
      </c>
      <c r="I39" s="13">
        <v>42679.31658564815</v>
      </c>
      <c r="J39" s="7">
        <v>0</v>
      </c>
      <c r="K39" s="112" t="str">
        <f t="shared" si="0"/>
        <v>4011/4012</v>
      </c>
      <c r="L39" s="22" t="str">
        <f>VLOOKUP(A39,'Trips&amp;Operators'!$C$1:$E$10000,3,FALSE)</f>
        <v>MAELZER</v>
      </c>
      <c r="M39" s="6">
        <f t="shared" si="1"/>
        <v>2.4664351854880806E-2</v>
      </c>
      <c r="N39" s="7">
        <f t="shared" si="2"/>
        <v>35.516666671028361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05:51:29-0600',mode:absolute,to:'2016-11-05 08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4.4400000000000002E-2</v>
      </c>
      <c r="Z39" s="67">
        <f t="shared" si="9"/>
        <v>23.3309</v>
      </c>
      <c r="AA39" s="67">
        <f t="shared" si="10"/>
        <v>23.2865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0127-05</v>
      </c>
      <c r="AE39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39" s="88" t="str">
        <f t="shared" si="13"/>
        <v>"C:\Program Files (x86)\AstroGrep\AstroGrep.exe" /spath="%USERPROFILE%\AppData\Local\Temp\OnboardLogs" /stypes="app*4011*20161105*" /stext=" 13:.+((SYSTEM_STATE.+slice.+state.+changed )|(ment ac)|(system.+state.+changed )|(\[timeout)|(PRM\|1\|D)|(kpr)|(kdp)|(\|loc)|(penalty))"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127-05 --locoid 4011 --swversion DE.1.0.8.0 --startMP 204:444 --initTime 2016-11-05T06:51:29 --startdatetime 2016-11-05T07:00:22 --delay 1 --endMP 204:233309 --enddatetime 2016-11-05T07:35:53 --enforcementcount 0 &gt;&gt;C:\Users\stu\Documents\GitHub\eaglep3-reporting\EC\2016-11-05-refined-times.txt</v>
      </c>
      <c r="AI3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{"issue":{"subject":"","project_id":79,"tracker_id":40,"status_id":1,"priority_id":2,"assigned_to_id":23,"start_date":"2016-11-05","description":"","custom_fields":[{"id":1,"name":"Subdivision","value":"EC"},{"id":4,"name":"Milepost","value":"23.3309"},{"id":17,"name":"Train ID","value":"127-05"},{"id":16,"name":"Locomotive ID","value":"4011"},{"id":130,"name":"Impact","value":""},{"id":150,"name":"Time of Event (Mountain Time)","value":"07:35:53"},{"id":151,"name":"Denver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493</v>
      </c>
      <c r="B40" s="7">
        <v>4012</v>
      </c>
      <c r="C40" s="22" t="s">
        <v>242</v>
      </c>
      <c r="D40" s="22" t="s">
        <v>338</v>
      </c>
      <c r="E40" s="13">
        <v>42679.326284722221</v>
      </c>
      <c r="F40" s="13">
        <v>42679.330810185187</v>
      </c>
      <c r="G40" s="7">
        <v>1</v>
      </c>
      <c r="H40" s="22" t="s">
        <v>227</v>
      </c>
      <c r="I40" s="13">
        <v>42679.356099537035</v>
      </c>
      <c r="J40" s="7">
        <v>0</v>
      </c>
      <c r="K40" s="112" t="str">
        <f t="shared" si="0"/>
        <v>4011/4012</v>
      </c>
      <c r="L40" s="22" t="str">
        <f>VLOOKUP(A40,'Trips&amp;Operators'!$C$1:$E$10000,3,FALSE)</f>
        <v>MAELZER</v>
      </c>
      <c r="M40" s="6">
        <f t="shared" si="1"/>
        <v>2.5289351848186925E-2</v>
      </c>
      <c r="N40" s="7">
        <f t="shared" si="2"/>
        <v>36.416666661389172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06:49:51-0600',mode:absolute,to:'2016-11-05 09:32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23.2986</v>
      </c>
      <c r="Z40" s="67">
        <f t="shared" si="9"/>
        <v>1.38E-2</v>
      </c>
      <c r="AA40" s="67">
        <f t="shared" si="10"/>
        <v>23.284800000000001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0128-05</v>
      </c>
      <c r="AE40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40" s="88" t="str">
        <f t="shared" si="13"/>
        <v>"C:\Program Files (x86)\AstroGrep\AstroGrep.exe" /spath="%USERPROFILE%\AppData\Local\Temp\OnboardLogs" /stypes="app*4012*20161105*" /stext=" 14:.+((SYSTEM_STATE.+slice.+state.+changed )|(ment ac)|(system.+state.+changed )|(\[timeout)|(PRM\|1\|D)|(kpr)|(kdp)|(\|loc)|(penalty))"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128-05 --locoid 4012 --swversion DE.1.0.8.0 --startMP 204:232986 --initTime 2016-11-05T07:49:51 --startdatetime 2016-11-05T07:56:22 --delay 1 --endMP 204:138 --enddatetime 2016-11-05T08:32:47 --enforcementcount 0 &gt;&gt;C:\Users\stu\Documents\GitHub\eaglep3-reporting\EC\2016-11-05-refined-times.txt</v>
      </c>
      <c r="AI4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ID","value":"128-05"},{"id":16,"name":"Locomotive ID","value":"4012"},{"id":130,"name":"Impact","value":""},{"id":150,"name":"Time of Event (Mountain Time)","value":"08:32:47"},{"id":151,"name":"Denver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487</v>
      </c>
      <c r="B41" s="7">
        <v>4025</v>
      </c>
      <c r="C41" s="22" t="s">
        <v>242</v>
      </c>
      <c r="D41" s="22" t="s">
        <v>655</v>
      </c>
      <c r="E41" s="13">
        <v>42679.296226851853</v>
      </c>
      <c r="F41" s="13">
        <v>42679.302256944444</v>
      </c>
      <c r="G41" s="7">
        <v>1</v>
      </c>
      <c r="H41" s="22" t="s">
        <v>204</v>
      </c>
      <c r="I41" s="13">
        <v>42679.326504629629</v>
      </c>
      <c r="J41" s="7">
        <v>0</v>
      </c>
      <c r="K41" s="112" t="str">
        <f t="shared" si="0"/>
        <v>4025/4026</v>
      </c>
      <c r="L41" s="22" t="str">
        <f>VLOOKUP(A41,'Trips&amp;Operators'!$C$1:$E$10000,3,FALSE)</f>
        <v>ROBINSON</v>
      </c>
      <c r="M41" s="6">
        <f t="shared" si="1"/>
        <v>2.4247685185400769E-2</v>
      </c>
      <c r="N41" s="7">
        <f t="shared" si="2"/>
        <v>34.916666666977108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06:06:34-0600',mode:absolute,to:'2016-11-05 08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4.3299999999999998E-2</v>
      </c>
      <c r="Z41" s="67">
        <f t="shared" si="9"/>
        <v>23.3293</v>
      </c>
      <c r="AA41" s="67">
        <f t="shared" si="10"/>
        <v>23.286000000000001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0129-05</v>
      </c>
      <c r="AE41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41" s="88" t="str">
        <f t="shared" si="13"/>
        <v>"C:\Program Files (x86)\AstroGrep\AstroGrep.exe" /spath="%USERPROFILE%\AppData\Local\Temp\OnboardLogs" /stypes="app*4025*20161105*" /stext=" 13:.+((SYSTEM_STATE.+slice.+state.+changed )|(ment ac)|(system.+state.+changed )|(\[timeout)|(PRM\|1\|D)|(kpr)|(kdp)|(\|loc)|(penalty))"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129-05 --locoid 4025 --swversion DE.1.0.8.0 --startMP 204:433 --initTime 2016-11-05T07:06:34 --startdatetime 2016-11-05T07:15:15 --delay 1 --endMP 204:233293 --enddatetime 2016-11-05T07:50:10 --enforcementcount 0 &gt;&gt;C:\Users\stu\Documents\GitHub\eaglep3-reporting\EC\2016-11-05-refined-times.txt</v>
      </c>
      <c r="AI4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{"issue":{"subject":"","project_id":79,"tracker_id":40,"status_id":1,"priority_id":2,"assigned_to_id":23,"start_date":"2016-11-05","description":"","custom_fields":[{"id":1,"name":"Subdivision","value":"EC"},{"id":4,"name":"Milepost","value":"23.3293"},{"id":17,"name":"Train ID","value":"129-05"},{"id":16,"name":"Locomotive ID","value":"4025"},{"id":130,"name":"Impact","value":""},{"id":150,"name":"Time of Event (Mountain Time)","value":"07:50:10"},{"id":151,"name":"Denver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496</v>
      </c>
      <c r="B42" s="7">
        <v>4026</v>
      </c>
      <c r="C42" s="22" t="s">
        <v>242</v>
      </c>
      <c r="D42" s="22" t="s">
        <v>651</v>
      </c>
      <c r="E42" s="13">
        <v>42679.332291666666</v>
      </c>
      <c r="F42" s="13">
        <v>42679.341111111113</v>
      </c>
      <c r="G42" s="7">
        <v>1</v>
      </c>
      <c r="H42" s="22" t="s">
        <v>175</v>
      </c>
      <c r="I42" s="13">
        <v>42679.366898148146</v>
      </c>
      <c r="J42" s="7">
        <v>0</v>
      </c>
      <c r="K42" s="112" t="str">
        <f t="shared" si="0"/>
        <v>4025/4026</v>
      </c>
      <c r="L42" s="22" t="str">
        <f>VLOOKUP(A42,'Trips&amp;Operators'!$C$1:$E$10000,3,FALSE)</f>
        <v>ROBINSON</v>
      </c>
      <c r="M42" s="6">
        <f t="shared" si="1"/>
        <v>2.5787037033296656E-2</v>
      </c>
      <c r="N42" s="7">
        <f t="shared" si="2"/>
        <v>37.133333327947184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06:58:30-0600',mode:absolute,to:'2016-11-05 09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23.297599999999999</v>
      </c>
      <c r="Z42" s="67">
        <f t="shared" si="9"/>
        <v>1.47E-2</v>
      </c>
      <c r="AA42" s="67">
        <f t="shared" si="10"/>
        <v>23.282899999999998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0130-05</v>
      </c>
      <c r="AE42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42" s="88" t="str">
        <f t="shared" si="13"/>
        <v>"C:\Program Files (x86)\AstroGrep\AstroGrep.exe" /spath="%USERPROFILE%\AppData\Local\Temp\OnboardLogs" /stypes="app*4026*20161105*" /stext=" 14:.+((SYSTEM_STATE.+slice.+state.+changed )|(ment ac)|(system.+state.+changed )|(\[timeout)|(PRM\|1\|D)|(kpr)|(kdp)|(\|loc)|(penalty))"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130-05 --locoid 4026 --swversion DE.1.0.8.0 --startMP 204:232976 --initTime 2016-11-05T07:58:30 --startdatetime 2016-11-05T08:11:12 --delay 1 --endMP 204:147 --enddatetime 2016-11-05T08:48:20 --enforcementcount 0 &gt;&gt;C:\Users\stu\Documents\GitHub\eaglep3-reporting\EC\2016-11-05-refined-times.txt</v>
      </c>
      <c r="AI4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{"issue":{"subject":"","project_id":79,"tracker_id":40,"status_id":1,"priority_id":2,"assigned_to_id":23,"start_date":"2016-11-05","description":"","custom_fields":[{"id":1,"name":"Subdivision","value":"EC"},{"id":4,"name":"Milepost","value":"0.0147"},{"id":17,"name":"Train ID","value":"130-05"},{"id":16,"name":"Locomotive ID","value":"4026"},{"id":130,"name":"Impact","value":""},{"id":150,"name":"Time of Event (Mountain Time)","value":"08:48:20"},{"id":151,"name":"Denver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489</v>
      </c>
      <c r="B43" s="7">
        <v>4018</v>
      </c>
      <c r="C43" s="22" t="s">
        <v>242</v>
      </c>
      <c r="D43" s="22" t="s">
        <v>228</v>
      </c>
      <c r="E43" s="13">
        <v>42679.31113425926</v>
      </c>
      <c r="F43" s="13">
        <v>42679.312835648147</v>
      </c>
      <c r="G43" s="7">
        <v>1</v>
      </c>
      <c r="H43" s="22" t="s">
        <v>384</v>
      </c>
      <c r="I43" s="13">
        <v>42679.33766203704</v>
      </c>
      <c r="J43" s="7">
        <v>0</v>
      </c>
      <c r="K43" s="112" t="str">
        <f t="shared" si="0"/>
        <v>4017/4018</v>
      </c>
      <c r="L43" s="22" t="str">
        <f>VLOOKUP(A43,'Trips&amp;Operators'!$C$1:$E$10000,3,FALSE)</f>
        <v>MALAVE</v>
      </c>
      <c r="M43" s="6">
        <f t="shared" si="1"/>
        <v>2.4826388893416151E-2</v>
      </c>
      <c r="N43" s="7">
        <f t="shared" si="2"/>
        <v>35.750000006519258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06:28:02-0600',mode:absolute,to:'2016-11-05 09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4.6199999999999998E-2</v>
      </c>
      <c r="Z43" s="67">
        <f t="shared" si="9"/>
        <v>23.328399999999998</v>
      </c>
      <c r="AA43" s="67">
        <f t="shared" si="10"/>
        <v>23.2822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0131-05</v>
      </c>
      <c r="AE43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43" s="88" t="str">
        <f t="shared" si="13"/>
        <v>"C:\Program Files (x86)\AstroGrep\AstroGrep.exe" /spath="%USERPROFILE%\AppData\Local\Temp\OnboardLogs" /stypes="app*4018*20161105*" /stext=" 14:.+((SYSTEM_STATE.+slice.+state.+changed )|(ment ac)|(system.+state.+changed )|(\[timeout)|(PRM\|1\|D)|(kpr)|(kdp)|(\|loc)|(penalty))"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131-05 --locoid 4018 --swversion DE.1.0.8.0 --startMP 204:462 --initTime 2016-11-05T07:28:02 --startdatetime 2016-11-05T07:30:29 --delay 1 --endMP 204:233284 --enddatetime 2016-11-05T08:06:14 --enforcementcount 0 &gt;&gt;C:\Users\stu\Documents\GitHub\eaglep3-reporting\EC\2016-11-05-refined-times.txt</v>
      </c>
      <c r="AI4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{"issue":{"subject":"","project_id":79,"tracker_id":40,"status_id":1,"priority_id":2,"assigned_to_id":23,"start_date":"2016-11-05","description":"","custom_fields":[{"id":1,"name":"Subdivision","value":"EC"},{"id":4,"name":"Milepost","value":"23.3284"},{"id":17,"name":"Train ID","value":"131-05"},{"id":16,"name":"Locomotive ID","value":"4018"},{"id":130,"name":"Impact","value":""},{"id":150,"name":"Time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499</v>
      </c>
      <c r="B44" s="7">
        <v>4017</v>
      </c>
      <c r="C44" s="22" t="s">
        <v>242</v>
      </c>
      <c r="D44" s="22" t="s">
        <v>656</v>
      </c>
      <c r="E44" s="13">
        <v>42679.349768518521</v>
      </c>
      <c r="F44" s="13">
        <v>42679.3516087963</v>
      </c>
      <c r="G44" s="7">
        <v>1</v>
      </c>
      <c r="H44" s="22" t="s">
        <v>223</v>
      </c>
      <c r="I44" s="13">
        <v>42679.37777777778</v>
      </c>
      <c r="J44" s="7">
        <v>0</v>
      </c>
      <c r="K44" s="112" t="str">
        <f t="shared" si="0"/>
        <v>4017/4018</v>
      </c>
      <c r="L44" s="22" t="str">
        <f>VLOOKUP(A44,'Trips&amp;Operators'!$C$1:$E$10000,3,FALSE)</f>
        <v>MALAVE</v>
      </c>
      <c r="M44" s="6">
        <f t="shared" si="1"/>
        <v>2.6168981479713693E-2</v>
      </c>
      <c r="N44" s="7">
        <f t="shared" si="2"/>
        <v>37.683333330787718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07:23:40-0600',mode:absolute,to:'2016-11-05 10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23.295500000000001</v>
      </c>
      <c r="Z44" s="67">
        <f t="shared" si="9"/>
        <v>1.5599999999999999E-2</v>
      </c>
      <c r="AA44" s="67">
        <f t="shared" si="10"/>
        <v>23.279900000000001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0132-05</v>
      </c>
      <c r="AE44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44" s="88" t="str">
        <f t="shared" si="13"/>
        <v>"C:\Program Files (x86)\AstroGrep\AstroGrep.exe" /spath="%USERPROFILE%\AppData\Local\Temp\OnboardLogs" /stypes="app*4017*20161105*" /stext=" 15:.+((SYSTEM_STATE.+slice.+state.+changed )|(ment ac)|(system.+state.+changed )|(\[timeout)|(PRM\|1\|D)|(kpr)|(kdp)|(\|loc)|(penalty))"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132-05 --locoid 4017 --swversion DE.1.0.8.0 --startMP 204:232955 --initTime 2016-11-05T08:23:40 --startdatetime 2016-11-05T08:26:19 --delay 1 --endMP 204:156 --enddatetime 2016-11-05T09:04:00 --enforcementcount 0 &gt;&gt;C:\Users\stu\Documents\GitHub\eaglep3-reporting\EC\2016-11-05-refined-times.txt</v>
      </c>
      <c r="AI4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{"issue":{"subject":"","project_id":79,"tracker_id":40,"status_id":1,"priority_id":2,"assigned_to_id":23,"start_date":"2016-11-05","description":"","custom_fields":[{"id":1,"name":"Subdivision","value":"EC"},{"id":4,"name":"Milepost","value":"0.0156"},{"id":17,"name":"Train ID","value":"132-05"},{"id":16,"name":"Locomotive ID","value":"4017"},{"id":130,"name":"Impact","value":""},{"id":150,"name":"Time of Event (Mountain Time)","value":"09:04:00"},{"id":151,"name":"Denver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492</v>
      </c>
      <c r="B45" s="7">
        <v>4053</v>
      </c>
      <c r="C45" s="22" t="s">
        <v>242</v>
      </c>
      <c r="D45" s="22" t="s">
        <v>273</v>
      </c>
      <c r="E45" s="13">
        <v>42679.317002314812</v>
      </c>
      <c r="F45" s="13">
        <v>42679.323101851849</v>
      </c>
      <c r="G45" s="7">
        <v>2</v>
      </c>
      <c r="H45" s="22" t="s">
        <v>646</v>
      </c>
      <c r="I45" s="13">
        <v>42679.34747685185</v>
      </c>
      <c r="J45" s="7">
        <v>0</v>
      </c>
      <c r="K45" s="112" t="str">
        <f t="shared" si="0"/>
        <v>4053/4054</v>
      </c>
      <c r="L45" s="22" t="str">
        <f>VLOOKUP(A45,'Trips&amp;Operators'!$C$1:$E$10000,3,FALSE)</f>
        <v>ACKERMAN</v>
      </c>
      <c r="M45" s="6">
        <f t="shared" si="1"/>
        <v>2.4375000000873115E-2</v>
      </c>
      <c r="N45" s="7">
        <f t="shared" si="2"/>
        <v>35.100000001257285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06:36:29-0600',mode:absolute,to:'2016-11-05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4.4200000000000003E-2</v>
      </c>
      <c r="Z45" s="67">
        <f t="shared" si="9"/>
        <v>23.328499999999998</v>
      </c>
      <c r="AA45" s="67">
        <f t="shared" si="10"/>
        <v>23.284299999999998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0133-05</v>
      </c>
      <c r="AE45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45" s="88" t="str">
        <f t="shared" si="13"/>
        <v>"C:\Program Files (x86)\AstroGrep\AstroGrep.exe" /spath="%USERPROFILE%\AppData\Local\Temp\OnboardLogs" /stypes="app*4053*20161105*" /stext=" 14:.+((SYSTEM_STATE.+slice.+state.+changed )|(ment ac)|(system.+state.+changed )|(\[timeout)|(PRM\|1\|D)|(kpr)|(kdp)|(\|loc)|(penalty))"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133-05 --locoid 4053 --swversion DE.1.0.8.0 --startMP 204:442 --initTime 2016-11-05T07:36:29 --startdatetime 2016-11-05T07:45:16 --delay 2 --endMP 204:233285 --enddatetime 2016-11-05T08:20:22 --enforcementcount 0 &gt;&gt;C:\Users\stu\Documents\GitHub\eaglep3-reporting\EC\2016-11-05-refined-times.txt</v>
      </c>
      <c r="AI4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{"issue":{"subject":"","project_id":79,"tracker_id":40,"status_id":1,"priority_id":2,"assigned_to_id":23,"start_date":"2016-11-05","description":"","custom_fields":[{"id":1,"name":"Subdivision","value":"EC"},{"id":4,"name":"Milepost","value":"23.3285"},{"id":17,"name":"Train ID","value":"133-05"},{"id":16,"name":"Locomotive ID","value":"4053"},{"id":130,"name":"Impact","value":""},{"id":150,"name":"Time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500</v>
      </c>
      <c r="B46" s="7">
        <v>4054</v>
      </c>
      <c r="C46" s="22" t="s">
        <v>242</v>
      </c>
      <c r="D46" s="22" t="s">
        <v>657</v>
      </c>
      <c r="E46" s="13">
        <v>42679.354710648149</v>
      </c>
      <c r="F46" s="13">
        <v>42679.362037037034</v>
      </c>
      <c r="G46" s="7">
        <v>1</v>
      </c>
      <c r="H46" s="22" t="s">
        <v>254</v>
      </c>
      <c r="I46" s="13">
        <v>42679.388159722221</v>
      </c>
      <c r="J46" s="7">
        <v>0</v>
      </c>
      <c r="K46" s="112" t="str">
        <f t="shared" si="0"/>
        <v>4053/4054</v>
      </c>
      <c r="L46" s="22" t="str">
        <f>VLOOKUP(A46,'Trips&amp;Operators'!$C$1:$E$10000,3,FALSE)</f>
        <v>ACKERMAN</v>
      </c>
      <c r="M46" s="6">
        <f t="shared" si="1"/>
        <v>2.6122685187146999E-2</v>
      </c>
      <c r="N46" s="7">
        <f t="shared" si="2"/>
        <v>37.616666669491678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07:30:47-0600',mode:absolute,to:'2016-11-05 10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23.297000000000001</v>
      </c>
      <c r="Z46" s="67">
        <f t="shared" si="9"/>
        <v>1.3599999999999999E-2</v>
      </c>
      <c r="AA46" s="67">
        <f t="shared" si="10"/>
        <v>23.2834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0134-05</v>
      </c>
      <c r="AE46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46" s="88" t="str">
        <f t="shared" si="13"/>
        <v>"C:\Program Files (x86)\AstroGrep\AstroGrep.exe" /spath="%USERPROFILE%\AppData\Local\Temp\OnboardLogs" /stypes="app*4054*20161105*" /stext=" 15:.+((SYSTEM_STATE.+slice.+state.+changed )|(ment ac)|(system.+state.+changed )|(\[timeout)|(PRM\|1\|D)|(kpr)|(kdp)|(\|loc)|(penalty))"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134-05 --locoid 4054 --swversion DE.1.0.8.0 --startMP 204:232970 --initTime 2016-11-05T08:30:47 --startdatetime 2016-11-05T08:41:20 --delay 1 --endMP 204:136 --enddatetime 2016-11-05T09:18:57 --enforcementcount 0 &gt;&gt;C:\Users\stu\Documents\GitHub\eaglep3-reporting\EC\2016-11-05-refined-times.txt</v>
      </c>
      <c r="AI4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{"issue":{"subject":"","project_id":79,"tracker_id":40,"status_id":1,"priority_id":2,"assigned_to_id":23,"start_date":"2016-11-05","description":"","custom_fields":[{"id":1,"name":"Subdivision","value":"EC"},{"id":4,"name":"Milepost","value":"0.0136"},{"id":17,"name":"Train ID","value":"134-05"},{"id":16,"name":"Locomotive ID","value":"4054"},{"id":130,"name":"Impact","value":""},{"id":150,"name":"Time of Event (Mountain Time)","value":"09:18:57"},{"id":151,"name":"Denver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494</v>
      </c>
      <c r="B47" s="7">
        <v>4016</v>
      </c>
      <c r="C47" s="22" t="s">
        <v>242</v>
      </c>
      <c r="D47" s="22" t="s">
        <v>206</v>
      </c>
      <c r="E47" s="13">
        <v>42679.329062500001</v>
      </c>
      <c r="F47" s="13">
        <v>42679.33353009259</v>
      </c>
      <c r="G47" s="7">
        <v>2</v>
      </c>
      <c r="H47" s="22" t="s">
        <v>230</v>
      </c>
      <c r="I47" s="13">
        <v>42679.357719907406</v>
      </c>
      <c r="J47" s="7">
        <v>0</v>
      </c>
      <c r="K47" s="112" t="str">
        <f t="shared" si="0"/>
        <v>4015/4016</v>
      </c>
      <c r="L47" s="22" t="str">
        <f>VLOOKUP(A47,'Trips&amp;Operators'!$C$1:$E$10000,3,FALSE)</f>
        <v>DE LA ROSA</v>
      </c>
      <c r="M47" s="6">
        <f t="shared" si="1"/>
        <v>2.4189814816054422E-2</v>
      </c>
      <c r="N47" s="7">
        <f t="shared" si="2"/>
        <v>34.833333335118368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06:53:51-0600',mode:absolute,to:'2016-11-05 09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4.4699999999999997E-2</v>
      </c>
      <c r="Z47" s="67">
        <f t="shared" si="9"/>
        <v>23.3291</v>
      </c>
      <c r="AA47" s="67">
        <f t="shared" si="10"/>
        <v>23.284400000000002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0135-05</v>
      </c>
      <c r="AE47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47" s="88" t="str">
        <f t="shared" si="13"/>
        <v>"C:\Program Files (x86)\AstroGrep\AstroGrep.exe" /spath="%USERPROFILE%\AppData\Local\Temp\OnboardLogs" /stypes="app*4016*20161105*" /stext=" 14:.+((SYSTEM_STATE.+slice.+state.+changed )|(ment ac)|(system.+state.+changed )|(\[timeout)|(PRM\|1\|D)|(kpr)|(kdp)|(\|loc)|(penalty))"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135-05 --locoid 4016 --swversion DE.1.0.8.0 --startMP 204:447 --initTime 2016-11-05T07:53:51 --startdatetime 2016-11-05T08:00:17 --delay 2 --endMP 204:233291 --enddatetime 2016-11-05T08:35:07 --enforcementcount 0 &gt;&gt;C:\Users\stu\Documents\GitHub\eaglep3-reporting\EC\2016-11-05-refined-times.txt</v>
      </c>
      <c r="AI4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{"issue":{"subject":"","project_id":79,"tracker_id":40,"status_id":1,"priority_id":2,"assigned_to_id":23,"start_date":"2016-11-05","description":"","custom_fields":[{"id":1,"name":"Subdivision","value":"EC"},{"id":4,"name":"Milepost","value":"23.3291"},{"id":17,"name":"Train ID","value":"135-05"},{"id":16,"name":"Locomotive ID","value":"4016"},{"id":130,"name":"Impact","value":""},{"id":150,"name":"Time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501</v>
      </c>
      <c r="B48" s="7">
        <v>4015</v>
      </c>
      <c r="C48" s="22" t="s">
        <v>242</v>
      </c>
      <c r="D48" s="22" t="s">
        <v>221</v>
      </c>
      <c r="E48" s="13">
        <v>42679.36681712963</v>
      </c>
      <c r="F48" s="13">
        <v>42679.373877314814</v>
      </c>
      <c r="G48" s="7">
        <v>1</v>
      </c>
      <c r="H48" s="22" t="s">
        <v>176</v>
      </c>
      <c r="I48" s="13">
        <v>42679.398923611108</v>
      </c>
      <c r="J48" s="7">
        <v>0</v>
      </c>
      <c r="K48" s="112" t="str">
        <f t="shared" si="0"/>
        <v>4015/4016</v>
      </c>
      <c r="L48" s="22" t="str">
        <f>VLOOKUP(A48,'Trips&amp;Operators'!$C$1:$E$10000,3,FALSE)</f>
        <v>DE LA ROSA</v>
      </c>
      <c r="M48" s="6">
        <f t="shared" si="1"/>
        <v>2.5046296294021886E-2</v>
      </c>
      <c r="N48" s="7">
        <f t="shared" si="2"/>
        <v>36.066666663391516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07:48:13-0600',mode:absolute,to:'2016-11-05 10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23.297699999999999</v>
      </c>
      <c r="Z48" s="67">
        <f t="shared" si="9"/>
        <v>1.52E-2</v>
      </c>
      <c r="AA48" s="67">
        <f t="shared" si="10"/>
        <v>23.282499999999999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0136-05</v>
      </c>
      <c r="AE48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48" s="88" t="str">
        <f t="shared" si="13"/>
        <v>"C:\Program Files (x86)\AstroGrep\AstroGrep.exe" /spath="%USERPROFILE%\AppData\Local\Temp\OnboardLogs" /stypes="app*4015*20161105*" /stext=" 15:.+((SYSTEM_STATE.+slice.+state.+changed )|(ment ac)|(system.+state.+changed )|(\[timeout)|(PRM\|1\|D)|(kpr)|(kdp)|(\|loc)|(penalty))"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136-05 --locoid 4015 --swversion DE.1.0.8.0 --startMP 204:232977 --initTime 2016-11-05T08:48:13 --startdatetime 2016-11-05T08:58:23 --delay 1 --endMP 204:152 --enddatetime 2016-11-05T09:34:27 --enforcementcount 0 &gt;&gt;C:\Users\stu\Documents\GitHub\eaglep3-reporting\EC\2016-11-05-refined-times.txt</v>
      </c>
      <c r="AI4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ID","value":"136-05"},{"id":16,"name":"Locomotive ID","value":"4015"},{"id":130,"name":"Impact","value":""},{"id":150,"name":"Time of Event (Mountain Time)","value":"09:34:27"},{"id":151,"name":"Denver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497</v>
      </c>
      <c r="B49" s="7">
        <v>4040</v>
      </c>
      <c r="C49" s="22" t="s">
        <v>242</v>
      </c>
      <c r="D49" s="22" t="s">
        <v>259</v>
      </c>
      <c r="E49" s="13">
        <v>42679.340254629627</v>
      </c>
      <c r="F49" s="13">
        <v>42679.343958333331</v>
      </c>
      <c r="G49" s="7">
        <v>1</v>
      </c>
      <c r="H49" s="22" t="s">
        <v>658</v>
      </c>
      <c r="I49" s="13">
        <v>42679.372835648152</v>
      </c>
      <c r="J49" s="7">
        <v>0</v>
      </c>
      <c r="K49" s="112" t="str">
        <f t="shared" si="0"/>
        <v>4039/4040</v>
      </c>
      <c r="L49" s="22" t="str">
        <f>VLOOKUP(A49,'Trips&amp;Operators'!$C$1:$E$10000,3,FALSE)</f>
        <v>BEAM</v>
      </c>
      <c r="M49" s="6">
        <f t="shared" si="1"/>
        <v>2.8877314820419997E-2</v>
      </c>
      <c r="N49" s="7">
        <f t="shared" si="2"/>
        <v>41.583333341404796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07:09:58-0600',mode:absolute,to:'2016-11-05 09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4.4400000000000002E-2</v>
      </c>
      <c r="Z49" s="67">
        <f t="shared" si="9"/>
        <v>23.337599999999998</v>
      </c>
      <c r="AA49" s="67">
        <f t="shared" si="10"/>
        <v>23.293199999999999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0137-05</v>
      </c>
      <c r="AE49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49" s="88" t="str">
        <f t="shared" si="13"/>
        <v>"C:\Program Files (x86)\AstroGrep\AstroGrep.exe" /spath="%USERPROFILE%\AppData\Local\Temp\OnboardLogs" /stypes="app*4040*20161105*" /stext=" 14:.+((SYSTEM_STATE.+slice.+state.+changed )|(ment ac)|(system.+state.+changed )|(\[timeout)|(PRM\|1\|D)|(kpr)|(kdp)|(\|loc)|(penalty))"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137-05 --locoid 4040 --swversion DE.1.0.8.0 --startMP 204:444 --initTime 2016-11-05T08:09:58 --startdatetime 2016-11-05T08:15:18 --delay 1 --endMP 204:233376 --enddatetime 2016-11-05T08:56:53 --enforcementcount 0 &gt;&gt;C:\Users\stu\Documents\GitHub\eaglep3-reporting\EC\2016-11-05-refined-times.txt</v>
      </c>
      <c r="AI4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{"issue":{"subject":"","project_id":79,"tracker_id":40,"status_id":1,"priority_id":2,"assigned_to_id":23,"start_date":"2016-11-05","description":"","custom_fields":[{"id":1,"name":"Subdivision","value":"EC"},{"id":4,"name":"Milepost","value":"23.3376"},{"id":17,"name":"Train ID","value":"137-05"},{"id":16,"name":"Locomotive ID","value":"4040"},{"id":130,"name":"Impact","value":""},{"id":150,"name":"Time of Event (Mountain Time)","value":"08:56:53"},{"id":151,"name":"Denver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503</v>
      </c>
      <c r="B50" s="7">
        <v>4039</v>
      </c>
      <c r="C50" s="22" t="s">
        <v>242</v>
      </c>
      <c r="D50" s="22" t="s">
        <v>659</v>
      </c>
      <c r="E50" s="13">
        <v>42679.37804398148</v>
      </c>
      <c r="F50" s="13">
        <v>42679.382951388892</v>
      </c>
      <c r="G50" s="7">
        <v>1</v>
      </c>
      <c r="H50" s="22" t="s">
        <v>203</v>
      </c>
      <c r="I50" s="13">
        <v>42679.408599537041</v>
      </c>
      <c r="J50" s="7">
        <v>0</v>
      </c>
      <c r="K50" s="112" t="str">
        <f t="shared" si="0"/>
        <v>4039/4040</v>
      </c>
      <c r="L50" s="22" t="str">
        <f>VLOOKUP(A50,'Trips&amp;Operators'!$C$1:$E$10000,3,FALSE)</f>
        <v>BEAM</v>
      </c>
      <c r="M50" s="6">
        <f t="shared" si="1"/>
        <v>2.5648148148320615E-2</v>
      </c>
      <c r="N50" s="7">
        <f t="shared" si="2"/>
        <v>36.933333333581686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08:04:23-0600',mode:absolute,to:'2016-11-05 10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23.3002</v>
      </c>
      <c r="Z50" s="67">
        <f t="shared" si="9"/>
        <v>1.49E-2</v>
      </c>
      <c r="AA50" s="67">
        <f t="shared" si="10"/>
        <v>23.285299999999999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0138-05</v>
      </c>
      <c r="AE50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50" s="88" t="str">
        <f t="shared" si="13"/>
        <v>"C:\Program Files (x86)\AstroGrep\AstroGrep.exe" /spath="%USERPROFILE%\AppData\Local\Temp\OnboardLogs" /stypes="app*4039*20161105*" /stext=" 15:.+((SYSTEM_STATE.+slice.+state.+changed )|(ment ac)|(system.+state.+changed )|(\[timeout)|(PRM\|1\|D)|(kpr)|(kdp)|(\|loc)|(penalty))"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138-05 --locoid 4039 --swversion DE.1.0.8.0 --startMP 204:233002 --initTime 2016-11-05T09:04:23 --startdatetime 2016-11-05T09:11:27 --delay 1 --endMP 204:149 --enddatetime 2016-11-05T09:48:23 --enforcementcount 0 &gt;&gt;C:\Users\stu\Documents\GitHub\eaglep3-reporting\EC\2016-11-05-refined-times.txt</v>
      </c>
      <c r="AI5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ID","value":"138-05"},{"id":16,"name":"Locomotive ID","value":"4039"},{"id":130,"name":"Impact","value":""},{"id":150,"name":"Time of Event (Mountain Time)","value":"09:48:23"},{"id":151,"name":"Denver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498</v>
      </c>
      <c r="B51" s="7">
        <v>4014</v>
      </c>
      <c r="C51" s="22" t="s">
        <v>242</v>
      </c>
      <c r="D51" s="22" t="s">
        <v>247</v>
      </c>
      <c r="E51" s="13">
        <v>42679.349733796298</v>
      </c>
      <c r="F51" s="13">
        <v>42679.354444444441</v>
      </c>
      <c r="G51" s="7">
        <v>1</v>
      </c>
      <c r="H51" s="22" t="s">
        <v>660</v>
      </c>
      <c r="I51" s="13">
        <v>42679.378437500003</v>
      </c>
      <c r="J51" s="7">
        <v>0</v>
      </c>
      <c r="K51" s="112" t="str">
        <f t="shared" si="0"/>
        <v>4013/4014</v>
      </c>
      <c r="L51" s="22" t="str">
        <f>VLOOKUP(A51,'Trips&amp;Operators'!$C$1:$E$10000,3,FALSE)</f>
        <v>GEBRETEKLE</v>
      </c>
      <c r="M51" s="6">
        <f t="shared" si="1"/>
        <v>2.3993055561732035E-2</v>
      </c>
      <c r="N51" s="7">
        <f t="shared" si="2"/>
        <v>34.550000008894131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07:23:37-0600',mode:absolute,to:'2016-11-05 10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4.58E-2</v>
      </c>
      <c r="Z51" s="67">
        <f t="shared" si="9"/>
        <v>23.3278</v>
      </c>
      <c r="AA51" s="67">
        <f t="shared" si="10"/>
        <v>23.282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0139-05</v>
      </c>
      <c r="AE51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51" s="88" t="str">
        <f t="shared" si="13"/>
        <v>"C:\Program Files (x86)\AstroGrep\AstroGrep.exe" /spath="%USERPROFILE%\AppData\Local\Temp\OnboardLogs" /stypes="app*4014*20161105*" /stext=" 15:.+((SYSTEM_STATE.+slice.+state.+changed )|(ment ac)|(system.+state.+changed )|(\[timeout)|(PRM\|1\|D)|(kpr)|(kdp)|(\|loc)|(penalty))"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139-05 --locoid 4014 --swversion DE.1.0.8.0 --startMP 204:458 --initTime 2016-11-05T08:23:37 --startdatetime 2016-11-05T08:30:24 --delay 1 --endMP 204:233278 --enddatetime 2016-11-05T09:04:57 --enforcementcount 0 &gt;&gt;C:\Users\stu\Documents\GitHub\eaglep3-reporting\EC\2016-11-05-refined-times.txt</v>
      </c>
      <c r="AI5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{"issue":{"subject":"","project_id":79,"tracker_id":40,"status_id":1,"priority_id":2,"assigned_to_id":23,"start_date":"2016-11-05","description":"","custom_fields":[{"id":1,"name":"Subdivision","value":"EC"},{"id":4,"name":"Milepost","value":"23.3278"},{"id":17,"name":"Train ID","value":"139-05"},{"id":16,"name":"Locomotive ID","value":"4014"},{"id":130,"name":"Impact","value":""},{"id":150,"name":"Time of Event (Mountain Time)","value":"09:04:57"},{"id":151,"name":"Denver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506</v>
      </c>
      <c r="B52" s="7">
        <v>4013</v>
      </c>
      <c r="C52" s="22" t="s">
        <v>242</v>
      </c>
      <c r="D52" s="22" t="s">
        <v>382</v>
      </c>
      <c r="E52" s="13">
        <v>42679.390601851854</v>
      </c>
      <c r="F52" s="13">
        <v>42679.393240740741</v>
      </c>
      <c r="G52" s="7">
        <v>1</v>
      </c>
      <c r="H52" s="22" t="s">
        <v>227</v>
      </c>
      <c r="I52" s="13">
        <v>42679.418854166666</v>
      </c>
      <c r="J52" s="7">
        <v>0</v>
      </c>
      <c r="K52" s="112" t="str">
        <f t="shared" si="0"/>
        <v>4013/4014</v>
      </c>
      <c r="L52" s="22" t="str">
        <f>VLOOKUP(A52,'Trips&amp;Operators'!$C$1:$E$10000,3,FALSE)</f>
        <v>GEBRETEKLE</v>
      </c>
      <c r="M52" s="6">
        <f t="shared" si="1"/>
        <v>2.5613425925257616E-2</v>
      </c>
      <c r="N52" s="7">
        <f t="shared" si="2"/>
        <v>36.883333332370967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08:22:28-0600',mode:absolute,to:'2016-11-05 11:03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23.296700000000001</v>
      </c>
      <c r="Z52" s="67">
        <f t="shared" si="9"/>
        <v>1.38E-2</v>
      </c>
      <c r="AA52" s="67">
        <f t="shared" si="10"/>
        <v>23.282900000000001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0140-05</v>
      </c>
      <c r="AE52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52" s="88" t="str">
        <f t="shared" si="13"/>
        <v>"C:\Program Files (x86)\AstroGrep\AstroGrep.exe" /spath="%USERPROFILE%\AppData\Local\Temp\OnboardLogs" /stypes="app*4013*20161105*" /stext=" 16:.+((SYSTEM_STATE.+slice.+state.+changed )|(ment ac)|(system.+state.+changed )|(\[timeout)|(PRM\|1\|D)|(kpr)|(kdp)|(\|loc)|(penalty))"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140-05 --locoid 4013 --swversion DE.1.0.8.0 --startMP 204:232967 --initTime 2016-11-05T09:22:28 --startdatetime 2016-11-05T09:26:16 --delay 1 --endMP 204:138 --enddatetime 2016-11-05T10:03:09 --enforcementcount 0 &gt;&gt;C:\Users\stu\Documents\GitHub\eaglep3-reporting\EC\2016-11-05-refined-times.txt</v>
      </c>
      <c r="AI5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ID","value":"140-05"},{"id":16,"name":"Locomotive ID","value":"4013"},{"id":130,"name":"Impact","value":""},{"id":150,"name":"Time of Event (Mountain Time)","value":"10:03:09"},{"id":151,"name":"Denver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421</v>
      </c>
      <c r="B53" s="7">
        <v>4011</v>
      </c>
      <c r="C53" s="22" t="s">
        <v>242</v>
      </c>
      <c r="D53" s="22" t="s">
        <v>238</v>
      </c>
      <c r="E53" s="13">
        <v>42679.35837962963</v>
      </c>
      <c r="F53" s="13">
        <v>42679.364837962959</v>
      </c>
      <c r="G53" s="7">
        <v>1</v>
      </c>
      <c r="H53" s="22" t="s">
        <v>312</v>
      </c>
      <c r="I53" s="13">
        <v>42679.389270833337</v>
      </c>
      <c r="J53" s="7">
        <v>0</v>
      </c>
      <c r="K53" s="112" t="str">
        <f t="shared" si="0"/>
        <v>4011/4012</v>
      </c>
      <c r="L53" s="22" t="str">
        <f>VLOOKUP(A53,'Trips&amp;Operators'!$C$1:$E$10000,3,FALSE)</f>
        <v>MAELZER</v>
      </c>
      <c r="M53" s="6">
        <f t="shared" si="1"/>
        <v>2.4432870377495419E-2</v>
      </c>
      <c r="N53" s="7">
        <f t="shared" si="2"/>
        <v>35.183333343593404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07:36:04-0600',mode:absolute,to:'2016-11-05 10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4.6399999999999997E-2</v>
      </c>
      <c r="Z53" s="67">
        <f t="shared" si="9"/>
        <v>23.3308</v>
      </c>
      <c r="AA53" s="67">
        <f t="shared" si="10"/>
        <v>23.284400000000002</v>
      </c>
      <c r="AB53" s="64" t="str">
        <f>VLOOKUP(A53,Enforcements!$C$7:$K$21,8,0)</f>
        <v>Bulletin (2)</v>
      </c>
      <c r="AC53" s="60" t="str">
        <f>VLOOKUP(A53,Enforcements!$C$7:$E$21,3,0)</f>
        <v>GRADE CROSSING</v>
      </c>
      <c r="AD53" s="61" t="str">
        <f t="shared" si="11"/>
        <v>0141-05</v>
      </c>
      <c r="AE53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53" s="88" t="str">
        <f t="shared" si="13"/>
        <v>"C:\Program Files (x86)\AstroGrep\AstroGrep.exe" /spath="%USERPROFILE%\AppData\Local\Temp\OnboardLogs" /stypes="app*4011*20161105*" /stext=" 15:.+((SYSTEM_STATE.+slice.+state.+changed )|(ment ac)|(system.+state.+changed )|(\[timeout)|(PRM\|1\|D)|(kpr)|(kdp)|(\|loc)|(penalty))"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141-05 --locoid 4011 --swversion DE.1.0.8.0 --startMP 204:464 --initTime 2016-11-05T08:36:04 --startdatetime 2016-11-05T08:45:22 --delay 1 --endMP 204:233308 --enddatetime 2016-11-05T09:20:33 --enforcementcount 0 &gt;&gt;C:\Users\stu\Documents\GitHub\eaglep3-reporting\EC\2016-11-05-refined-times.txt</v>
      </c>
      <c r="AI5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{"issue":{"subject":"","project_id":79,"tracker_id":40,"status_id":1,"priority_id":2,"assigned_to_id":23,"start_date":"2016-11-05","description":"","custom_fields":[{"id":1,"name":"Subdivision","value":"EC"},{"id":4,"name":"Milepost","value":"23.3308"},{"id":17,"name":"Train ID","value":"141-05"},{"id":16,"name":"Locomotive ID","value":"4011"},{"id":130,"name":"Impact","value":""},{"id":150,"name":"Time of Event (Mountain Time)","value":"09:20:33"},{"id":151,"name":"Denver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507</v>
      </c>
      <c r="B54" s="7">
        <v>4012</v>
      </c>
      <c r="C54" s="22" t="s">
        <v>242</v>
      </c>
      <c r="D54" s="22" t="s">
        <v>245</v>
      </c>
      <c r="E54" s="13">
        <v>42679.394328703704</v>
      </c>
      <c r="F54" s="13">
        <v>42679.403784722221</v>
      </c>
      <c r="G54" s="7">
        <v>0</v>
      </c>
      <c r="H54" s="22" t="s">
        <v>227</v>
      </c>
      <c r="I54" s="13">
        <v>42679.429247685184</v>
      </c>
      <c r="J54" s="7">
        <v>0</v>
      </c>
      <c r="K54" s="112" t="str">
        <f t="shared" si="0"/>
        <v>4011/4012</v>
      </c>
      <c r="L54" s="22" t="str">
        <f>VLOOKUP(A54,'Trips&amp;Operators'!$C$1:$E$10000,3,FALSE)</f>
        <v>MAELZER</v>
      </c>
      <c r="M54" s="6">
        <f t="shared" si="1"/>
        <v>2.5462962963501923E-2</v>
      </c>
      <c r="N54" s="7">
        <f t="shared" si="2"/>
        <v>36.666666667442769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08:27:50-0600',mode:absolute,to:'2016-11-05 11:18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23.298300000000001</v>
      </c>
      <c r="Z54" s="67">
        <f t="shared" si="9"/>
        <v>1.38E-2</v>
      </c>
      <c r="AA54" s="67">
        <f t="shared" si="10"/>
        <v>23.284500000000001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0142-05</v>
      </c>
      <c r="AE54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54" s="88" t="str">
        <f t="shared" si="13"/>
        <v>"C:\Program Files (x86)\AstroGrep\AstroGrep.exe" /spath="%USERPROFILE%\AppData\Local\Temp\OnboardLogs" /stypes="app*4012*20161105*" /stext=" 16:.+((SYSTEM_STATE.+slice.+state.+changed )|(ment ac)|(system.+state.+changed )|(\[timeout)|(PRM\|1\|D)|(kpr)|(kdp)|(\|loc)|(penalty))"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142-05 --locoid 4012 --swversion DE.1.0.8.0 --startMP 204:232983 --initTime 2016-11-05T09:27:50 --startdatetime 2016-11-05T09:41:27 --delay 0 --endMP 204:138 --enddatetime 2016-11-05T10:18:07 --enforcementcount 0 &gt;&gt;C:\Users\stu\Documents\GitHub\eaglep3-reporting\EC\2016-11-05-refined-times.txt</v>
      </c>
      <c r="AI5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ID","value":"142-05"},{"id":16,"name":"Locomotive ID","value":"4012"},{"id":130,"name":"Impact","value":""},{"id":150,"name":"Time of Event (Mountain Time)","value":"10:18:07"},{"id":151,"name":"Denver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502</v>
      </c>
      <c r="B55" s="7">
        <v>4025</v>
      </c>
      <c r="C55" s="22" t="s">
        <v>242</v>
      </c>
      <c r="D55" s="22" t="s">
        <v>211</v>
      </c>
      <c r="E55" s="13">
        <v>42679.369699074072</v>
      </c>
      <c r="F55" s="13">
        <v>42679.375277777777</v>
      </c>
      <c r="G55" s="7">
        <v>1</v>
      </c>
      <c r="H55" s="22" t="s">
        <v>246</v>
      </c>
      <c r="I55" s="13">
        <v>42679.399768518517</v>
      </c>
      <c r="J55" s="7">
        <v>0</v>
      </c>
      <c r="K55" s="112" t="str">
        <f t="shared" si="0"/>
        <v>4025/4026</v>
      </c>
      <c r="L55" s="22" t="str">
        <f>VLOOKUP(A55,'Trips&amp;Operators'!$C$1:$E$10000,3,FALSE)</f>
        <v>ROBINSON</v>
      </c>
      <c r="M55" s="6">
        <f t="shared" si="1"/>
        <v>2.4490740739565808E-2</v>
      </c>
      <c r="N55" s="7">
        <f t="shared" si="2"/>
        <v>35.266666664974764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07:52:22-0600',mode:absolute,to:'2016-11-05 10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4.5999999999999999E-2</v>
      </c>
      <c r="Z55" s="67">
        <f t="shared" si="9"/>
        <v>23.328800000000001</v>
      </c>
      <c r="AA55" s="67">
        <f t="shared" si="10"/>
        <v>23.282800000000002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0143-05</v>
      </c>
      <c r="AE55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55" s="88" t="str">
        <f t="shared" si="13"/>
        <v>"C:\Program Files (x86)\AstroGrep\AstroGrep.exe" /spath="%USERPROFILE%\AppData\Local\Temp\OnboardLogs" /stypes="app*4025*20161105*" /stext=" 15:.+((SYSTEM_STATE.+slice.+state.+changed )|(ment ac)|(system.+state.+changed )|(\[timeout)|(PRM\|1\|D)|(kpr)|(kdp)|(\|loc)|(penalty))"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143-05 --locoid 4025 --swversion DE.1.0.8.0 --startMP 204:460 --initTime 2016-11-05T08:52:22 --startdatetime 2016-11-05T09:00:24 --delay 1 --endMP 204:233288 --enddatetime 2016-11-05T09:35:40 --enforcementcount 0 &gt;&gt;C:\Users\stu\Documents\GitHub\eaglep3-reporting\EC\2016-11-05-refined-times.txt</v>
      </c>
      <c r="AI5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{"issue":{"subject":"","project_id":79,"tracker_id":40,"status_id":1,"priority_id":2,"assigned_to_id":23,"start_date":"2016-11-05","description":"","custom_fields":[{"id":1,"name":"Subdivision","value":"EC"},{"id":4,"name":"Milepost","value":"23.3288"},{"id":17,"name":"Train ID","value":"143-05"},{"id":16,"name":"Locomotive ID","value":"4025"},{"id":130,"name":"Impact","value":""},{"id":150,"name":"Time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509</v>
      </c>
      <c r="B56" s="7">
        <v>4026</v>
      </c>
      <c r="C56" s="22" t="s">
        <v>242</v>
      </c>
      <c r="D56" s="22" t="s">
        <v>661</v>
      </c>
      <c r="E56" s="13">
        <v>42679.401458333334</v>
      </c>
      <c r="F56" s="13">
        <v>42679.414050925923</v>
      </c>
      <c r="G56" s="7">
        <v>1</v>
      </c>
      <c r="H56" s="22" t="s">
        <v>176</v>
      </c>
      <c r="I56" s="13">
        <v>42679.439918981479</v>
      </c>
      <c r="J56" s="7">
        <v>0</v>
      </c>
      <c r="K56" s="112" t="str">
        <f t="shared" si="0"/>
        <v>4025/4026</v>
      </c>
      <c r="L56" s="22" t="str">
        <f>VLOOKUP(A56,'Trips&amp;Operators'!$C$1:$E$10000,3,FALSE)</f>
        <v>ROBINSON</v>
      </c>
      <c r="M56" s="6">
        <f t="shared" si="1"/>
        <v>2.5868055556202307E-2</v>
      </c>
      <c r="N56" s="7">
        <f t="shared" si="2"/>
        <v>37.250000000931323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08:38:06-0600',mode:absolute,to:'2016-11-05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23.2942</v>
      </c>
      <c r="Z56" s="67">
        <f t="shared" si="9"/>
        <v>1.52E-2</v>
      </c>
      <c r="AA56" s="67">
        <f t="shared" si="10"/>
        <v>23.279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0144-05</v>
      </c>
      <c r="AE56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56" s="88" t="str">
        <f t="shared" si="13"/>
        <v>"C:\Program Files (x86)\AstroGrep\AstroGrep.exe" /spath="%USERPROFILE%\AppData\Local\Temp\OnboardLogs" /stypes="app*4026*20161105*" /stext=" 16:.+((SYSTEM_STATE.+slice.+state.+changed )|(ment ac)|(system.+state.+changed )|(\[timeout)|(PRM\|1\|D)|(kpr)|(kdp)|(\|loc)|(penalty))"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144-05 --locoid 4026 --swversion DE.1.0.8.0 --startMP 204:232942 --initTime 2016-11-05T09:38:06 --startdatetime 2016-11-05T09:56:14 --delay 1 --endMP 204:152 --enddatetime 2016-11-05T10:33:29 --enforcementcount 0 &gt;&gt;C:\Users\stu\Documents\GitHub\eaglep3-reporting\EC\2016-11-05-refined-times.txt</v>
      </c>
      <c r="AI5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ID","value":"144-05"},{"id":16,"name":"Locomotive ID","value":"4026"},{"id":130,"name":"Impact","value":""},{"id":150,"name":"Time of Event (Mountain Time)","value":"10:33:29"},{"id":151,"name":"Denver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504</v>
      </c>
      <c r="B57" s="7">
        <v>4018</v>
      </c>
      <c r="C57" s="22" t="s">
        <v>242</v>
      </c>
      <c r="D57" s="22" t="s">
        <v>266</v>
      </c>
      <c r="E57" s="13">
        <v>42679.383993055555</v>
      </c>
      <c r="F57" s="13">
        <v>42679.385659722226</v>
      </c>
      <c r="G57" s="7">
        <v>1</v>
      </c>
      <c r="H57" s="22" t="s">
        <v>210</v>
      </c>
      <c r="I57" s="13">
        <v>42679.410092592596</v>
      </c>
      <c r="J57" s="7">
        <v>0</v>
      </c>
      <c r="K57" s="112" t="str">
        <f t="shared" si="0"/>
        <v>4017/4018</v>
      </c>
      <c r="L57" s="22" t="str">
        <f>VLOOKUP(A57,'Trips&amp;Operators'!$C$1:$E$10000,3,FALSE)</f>
        <v>MALAVE</v>
      </c>
      <c r="M57" s="6">
        <f t="shared" si="1"/>
        <v>2.4432870370219462E-2</v>
      </c>
      <c r="N57" s="7">
        <f t="shared" si="2"/>
        <v>35.183333333116025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08:12:57-0600',mode:absolute,to:'2016-11-05 10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4.7500000000000001E-2</v>
      </c>
      <c r="Z57" s="67">
        <f t="shared" si="9"/>
        <v>23.329499999999999</v>
      </c>
      <c r="AA57" s="67">
        <f t="shared" si="10"/>
        <v>23.282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0145-05</v>
      </c>
      <c r="AE57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57" s="88" t="str">
        <f t="shared" si="13"/>
        <v>"C:\Program Files (x86)\AstroGrep\AstroGrep.exe" /spath="%USERPROFILE%\AppData\Local\Temp\OnboardLogs" /stypes="app*4018*20161105*" /stext=" 15:.+((SYSTEM_STATE.+slice.+state.+changed )|(ment ac)|(system.+state.+changed )|(\[timeout)|(PRM\|1\|D)|(kpr)|(kdp)|(\|loc)|(penalty))"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145-05 --locoid 4018 --swversion DE.1.0.8.0 --startMP 204:475 --initTime 2016-11-05T09:12:57 --startdatetime 2016-11-05T09:15:21 --delay 1 --endMP 204:233295 --enddatetime 2016-11-05T09:50:32 --enforcementcount 0 &gt;&gt;C:\Users\stu\Documents\GitHub\eaglep3-reporting\EC\2016-11-05-refined-times.txt</v>
      </c>
      <c r="AI5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ID","value":"145-05"},{"id":16,"name":"Locomotive ID","value":"4018"},{"id":130,"name":"Impact","value":""},{"id":150,"name":"Time of Event (Mountain Time)","value":"09:50:32"},{"id":151,"name":"Denver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512</v>
      </c>
      <c r="B58" s="7">
        <v>4017</v>
      </c>
      <c r="C58" s="22" t="s">
        <v>242</v>
      </c>
      <c r="D58" s="22" t="s">
        <v>662</v>
      </c>
      <c r="E58" s="13">
        <v>42679.423981481479</v>
      </c>
      <c r="F58" s="13">
        <v>42679.424976851849</v>
      </c>
      <c r="G58" s="7">
        <v>1</v>
      </c>
      <c r="H58" s="22" t="s">
        <v>237</v>
      </c>
      <c r="I58" s="13">
        <v>42679.450277777774</v>
      </c>
      <c r="J58" s="7">
        <v>0</v>
      </c>
      <c r="K58" s="112" t="str">
        <f t="shared" si="0"/>
        <v>4017/4018</v>
      </c>
      <c r="L58" s="22" t="str">
        <f>VLOOKUP(A58,'Trips&amp;Operators'!$C$1:$E$10000,3,FALSE)</f>
        <v>MALAVE</v>
      </c>
      <c r="M58" s="6">
        <f t="shared" si="1"/>
        <v>2.5300925924966577E-2</v>
      </c>
      <c r="N58" s="7">
        <f t="shared" si="2"/>
        <v>36.433333331951872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09:10:32-0600',mode:absolute,to:'2016-11-05 11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23.296600000000002</v>
      </c>
      <c r="Z58" s="67">
        <f t="shared" si="9"/>
        <v>1.61E-2</v>
      </c>
      <c r="AA58" s="67">
        <f t="shared" si="10"/>
        <v>23.2805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0146-05</v>
      </c>
      <c r="AE58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58" s="88" t="str">
        <f t="shared" si="13"/>
        <v>"C:\Program Files (x86)\AstroGrep\AstroGrep.exe" /spath="%USERPROFILE%\AppData\Local\Temp\OnboardLogs" /stypes="app*4017*20161105*" /stext=" 16:.+((SYSTEM_STATE.+slice.+state.+changed )|(ment ac)|(system.+state.+changed )|(\[timeout)|(PRM\|1\|D)|(kpr)|(kdp)|(\|loc)|(penalty))"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146-05 --locoid 4017 --swversion DE.1.0.8.0 --startMP 204:232966 --initTime 2016-11-05T10:10:32 --startdatetime 2016-11-05T10:11:58 --delay 1 --endMP 204:161 --enddatetime 2016-11-05T10:48:24 --enforcementcount 0 &gt;&gt;C:\Users\stu\Documents\GitHub\eaglep3-reporting\EC\2016-11-05-refined-times.txt</v>
      </c>
      <c r="AI5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ID","value":"146-05"},{"id":16,"name":"Locomotive ID","value":"4017"},{"id":130,"name":"Impact","value":""},{"id":150,"name":"Time of Event (Mountain Time)","value":"10:48:24"},{"id":151,"name":"Denver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423</v>
      </c>
      <c r="B59" s="7">
        <v>4053</v>
      </c>
      <c r="C59" s="22" t="s">
        <v>242</v>
      </c>
      <c r="D59" s="22" t="s">
        <v>211</v>
      </c>
      <c r="E59" s="13">
        <v>42679.392627314817</v>
      </c>
      <c r="F59" s="13">
        <v>42679.396041666667</v>
      </c>
      <c r="G59" s="7">
        <v>2</v>
      </c>
      <c r="H59" s="22" t="s">
        <v>402</v>
      </c>
      <c r="I59" s="13">
        <v>42679.424490740741</v>
      </c>
      <c r="J59" s="7">
        <v>0</v>
      </c>
      <c r="K59" s="112" t="str">
        <f t="shared" si="0"/>
        <v>4053/4054</v>
      </c>
      <c r="L59" s="22" t="str">
        <f>VLOOKUP(A59,'Trips&amp;Operators'!$C$1:$E$10000,3,FALSE)</f>
        <v>LOZA</v>
      </c>
      <c r="M59" s="6">
        <f t="shared" si="1"/>
        <v>2.8449074074160308E-2</v>
      </c>
      <c r="N59" s="7">
        <f t="shared" si="2"/>
        <v>40.966666666790843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08:25:23-0600',mode:absolute,to:'2016-11-05 11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4.5999999999999999E-2</v>
      </c>
      <c r="Z59" s="67">
        <f t="shared" si="9"/>
        <v>23.3307</v>
      </c>
      <c r="AA59" s="67">
        <f t="shared" si="10"/>
        <v>23.284700000000001</v>
      </c>
      <c r="AB59" s="64" t="str">
        <f>VLOOKUP(A59,Enforcements!$C$7:$K$21,8,0)</f>
        <v>Signal based authority (5)</v>
      </c>
      <c r="AC59" s="60" t="str">
        <f>VLOOKUP(A59,Enforcements!$C$7:$E$21,3,0)</f>
        <v>SIGNAL</v>
      </c>
      <c r="AD59" s="61" t="str">
        <f t="shared" si="11"/>
        <v>0147-05</v>
      </c>
      <c r="AE59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59" s="88" t="str">
        <f t="shared" si="13"/>
        <v>"C:\Program Files (x86)\AstroGrep\AstroGrep.exe" /spath="%USERPROFILE%\AppData\Local\Temp\OnboardLogs" /stypes="app*4053*20161105*" /stext=" 16:.+((SYSTEM_STATE.+slice.+state.+changed )|(ment ac)|(system.+state.+changed )|(\[timeout)|(PRM\|1\|D)|(kpr)|(kdp)|(\|loc)|(penalty))"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147-05 --locoid 4053 --swversion DE.1.0.8.0 --startMP 204:460 --initTime 2016-11-05T09:25:23 --startdatetime 2016-11-05T09:30:18 --delay 2 --endMP 204:233307 --enddatetime 2016-11-05T10:11:16 --enforcementcount 0 &gt;&gt;C:\Users\stu\Documents\GitHub\eaglep3-reporting\EC\2016-11-05-refined-times.txt</v>
      </c>
      <c r="AI5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{"issue":{"subject":"","project_id":79,"tracker_id":40,"status_id":1,"priority_id":2,"assigned_to_id":23,"start_date":"2016-11-05","description":"","custom_fields":[{"id":1,"name":"Subdivision","value":"EC"},{"id":4,"name":"Milepost","value":"23.3307"},{"id":17,"name":"Train ID","value":"147-05"},{"id":16,"name":"Locomotive ID","value":"4053"},{"id":130,"name":"Impact","value":""},{"id":150,"name":"Time of Event (Mountain Time)","value":"10:11:16"},{"id":151,"name":"Denver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516</v>
      </c>
      <c r="B60" s="7">
        <v>4054</v>
      </c>
      <c r="C60" s="22" t="s">
        <v>242</v>
      </c>
      <c r="D60" s="22" t="s">
        <v>645</v>
      </c>
      <c r="E60" s="13">
        <v>42679.431296296294</v>
      </c>
      <c r="F60" s="13">
        <v>42679.435011574074</v>
      </c>
      <c r="G60" s="7">
        <v>2</v>
      </c>
      <c r="H60" s="22" t="s">
        <v>181</v>
      </c>
      <c r="I60" s="13">
        <v>42679.461319444446</v>
      </c>
      <c r="J60" s="7">
        <v>0</v>
      </c>
      <c r="K60" s="112" t="str">
        <f t="shared" si="0"/>
        <v>4053/4054</v>
      </c>
      <c r="L60" s="22" t="str">
        <f>VLOOKUP(A60,'Trips&amp;Operators'!$C$1:$E$10000,3,FALSE)</f>
        <v>LOZA</v>
      </c>
      <c r="M60" s="6">
        <f t="shared" si="1"/>
        <v>2.6307870371965691E-2</v>
      </c>
      <c r="N60" s="7">
        <f t="shared" si="2"/>
        <v>37.883333335630596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09:21:04-0600',mode:absolute,to:'2016-11-05 12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23.2988</v>
      </c>
      <c r="Z60" s="67">
        <f t="shared" si="9"/>
        <v>1.41E-2</v>
      </c>
      <c r="AA60" s="67">
        <f t="shared" si="10"/>
        <v>23.284700000000001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0148-05</v>
      </c>
      <c r="AE60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60" s="88" t="str">
        <f t="shared" si="13"/>
        <v>"C:\Program Files (x86)\AstroGrep\AstroGrep.exe" /spath="%USERPROFILE%\AppData\Local\Temp\OnboardLogs" /stypes="app*4054*20161105*" /stext=" 17:.+((SYSTEM_STATE.+slice.+state.+changed )|(ment ac)|(system.+state.+changed )|(\[timeout)|(PRM\|1\|D)|(kpr)|(kdp)|(\|loc)|(penalty))"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148-05 --locoid 4054 --swversion DE.1.0.8.0 --startMP 204:232988 --initTime 2016-11-05T10:21:04 --startdatetime 2016-11-05T10:26:25 --delay 2 --endMP 204:141 --enddatetime 2016-11-05T11:04:18 --enforcementcount 0 &gt;&gt;C:\Users\stu\Documents\GitHub\eaglep3-reporting\EC\2016-11-05-refined-times.txt</v>
      </c>
      <c r="AI6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ID","value":"148-05"},{"id":16,"name":"Locomotive ID","value":"4054"},{"id":130,"name":"Impact","value":""},{"id":150,"name":"Time of Event (Mountain Time)","value":"11:04:18"},{"id":151,"name":"Denver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424</v>
      </c>
      <c r="B61" s="7">
        <v>4016</v>
      </c>
      <c r="C61" s="22" t="s">
        <v>242</v>
      </c>
      <c r="D61" s="22" t="s">
        <v>209</v>
      </c>
      <c r="E61" s="13">
        <v>42679.401863425926</v>
      </c>
      <c r="F61" s="13">
        <v>42679.406550925924</v>
      </c>
      <c r="G61" s="7">
        <v>1</v>
      </c>
      <c r="H61" s="22" t="s">
        <v>663</v>
      </c>
      <c r="I61" s="13">
        <v>42679.4296412037</v>
      </c>
      <c r="J61" s="7">
        <v>0</v>
      </c>
      <c r="K61" s="112" t="str">
        <f t="shared" si="0"/>
        <v>4015/4016</v>
      </c>
      <c r="L61" s="22" t="str">
        <f>VLOOKUP(A61,'Trips&amp;Operators'!$C$1:$E$10000,3,FALSE)</f>
        <v>DE LA ROSA</v>
      </c>
      <c r="M61" s="6">
        <f t="shared" si="1"/>
        <v>2.3090277776645962E-2</v>
      </c>
      <c r="N61" s="7"/>
      <c r="O61" s="7"/>
      <c r="P61" s="7">
        <f t="shared" si="2"/>
        <v>33.249999998370185</v>
      </c>
      <c r="Q61" s="23"/>
      <c r="R61" s="23" t="s">
        <v>769</v>
      </c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08:38:41-0600',mode:absolute,to:'2016-11-05 11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1" s="52" t="str">
        <f t="shared" si="6"/>
        <v>Y</v>
      </c>
      <c r="X61" s="177">
        <f t="shared" si="7"/>
        <v>1</v>
      </c>
      <c r="Y61" s="67">
        <f t="shared" si="8"/>
        <v>4.6600000000000003E-2</v>
      </c>
      <c r="Z61" s="67">
        <f t="shared" si="9"/>
        <v>22.9512</v>
      </c>
      <c r="AA61" s="67">
        <f t="shared" si="10"/>
        <v>22.904599999999999</v>
      </c>
      <c r="AB61" s="64" t="str">
        <f>VLOOKUP(A61,Enforcements!$C$7:$K$21,8,0)</f>
        <v>Signal based authority (5)</v>
      </c>
      <c r="AC61" s="60" t="str">
        <f>VLOOKUP(A61,Enforcements!$C$7:$E$21,3,0)</f>
        <v>SIGNAL</v>
      </c>
      <c r="AD61" s="61" t="str">
        <f t="shared" si="11"/>
        <v>0149-05</v>
      </c>
      <c r="AE61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61" s="88" t="str">
        <f t="shared" si="13"/>
        <v>"C:\Program Files (x86)\AstroGrep\AstroGrep.exe" /spath="%USERPROFILE%\AppData\Local\Temp\OnboardLogs" /stypes="app*4016*20161105*" /stext=" 16:.+((SYSTEM_STATE.+slice.+state.+changed )|(ment ac)|(system.+state.+changed )|(\[timeout)|(PRM\|1\|D)|(kpr)|(kdp)|(\|loc)|(penalty))"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149-05 --locoid 4016 --swversion DE.1.0.8.0 --startMP 204:466 --initTime 2016-11-05T09:38:41 --startdatetime 2016-11-05T09:45:26 --delay 1 --endMP 204:229512 --enddatetime 2016-11-05T10:18:41 --enforcementcount 0 &gt;&gt;C:\Users\stu\Documents\GitHub\eaglep3-reporting\EC\2016-11-05-refined-times.txt</v>
      </c>
      <c r="AI61" s="122" t="str">
        <f t="shared" si="18"/>
        <v>echo {"issue":{"subject":"GPS showed train past signal, but Location resolved it behind signal","project_id":79,"tracker_id":40,"status_id":1,"priority_id":2,"assigned_to_id":23,"start_date":"2016-11-05","description":"See title","custom_fields":[{"id":1,"name":"Subdivision","value":"EC"},{"id":4,"name":"Milepost","value":"22.9512"},{"id":17,"name":"Train ID","value":"149-05"},{"id":16,"name":"Locomotive ID","value":"4016"},{"id":130,"name":"Impact","value":"Enforcement"},{"id":150,"name":"Time of Event (Mountain Time)","value":"10:18:41"},{"id":151,"name":"Denver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1" s="53" t="s">
        <v>770</v>
      </c>
      <c r="AK61" s="53" t="s">
        <v>125</v>
      </c>
      <c r="AL61" s="53" t="s">
        <v>178</v>
      </c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518</v>
      </c>
      <c r="B62" s="7">
        <v>4015</v>
      </c>
      <c r="C62" s="22" t="s">
        <v>242</v>
      </c>
      <c r="D62" s="22" t="s">
        <v>664</v>
      </c>
      <c r="E62" s="13">
        <v>42679.44190972222</v>
      </c>
      <c r="F62" s="13">
        <v>42679.445289351854</v>
      </c>
      <c r="G62" s="7">
        <v>1</v>
      </c>
      <c r="H62" s="22" t="s">
        <v>201</v>
      </c>
      <c r="I62" s="13">
        <v>42679.470856481479</v>
      </c>
      <c r="J62" s="7">
        <v>0</v>
      </c>
      <c r="K62" s="112" t="str">
        <f t="shared" si="0"/>
        <v>4015/4016</v>
      </c>
      <c r="L62" s="22" t="str">
        <f>VLOOKUP(A62,'Trips&amp;Operators'!$C$1:$E$10000,3,FALSE)</f>
        <v>DE LA ROSA</v>
      </c>
      <c r="M62" s="6">
        <f t="shared" si="1"/>
        <v>2.5567129625414964E-2</v>
      </c>
      <c r="N62" s="7">
        <f t="shared" si="2"/>
        <v>36.816666660597548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09:36:21-0600',mode:absolute,to:'2016-11-05 12:18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23.297899999999998</v>
      </c>
      <c r="Z62" s="67">
        <f t="shared" si="9"/>
        <v>1.54E-2</v>
      </c>
      <c r="AA62" s="67">
        <f t="shared" si="10"/>
        <v>23.282499999999999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0150-05</v>
      </c>
      <c r="AE62" s="91" t="str">
        <f t="shared" si="12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62" s="88" t="str">
        <f t="shared" si="13"/>
        <v>"C:\Program Files (x86)\AstroGrep\AstroGrep.exe" /spath="%USERPROFILE%\AppData\Local\Temp\OnboardLogs" /stypes="app*4015*20161105*" /stext=" 17:.+((SYSTEM_STATE.+slice.+state.+changed )|(ment ac)|(system.+state.+changed )|(\[timeout)|(PRM\|1\|D)|(kpr)|(kdp)|(\|loc)|(penalty))"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150-05 --locoid 4015 --swversion DE.1.0.8.0 --startMP 204:232979 --initTime 2016-11-05T10:36:21 --startdatetime 2016-11-05T10:41:13 --delay 1 --endMP 204:154 --enddatetime 2016-11-05T11:18:02 --enforcementcount 0 &gt;&gt;C:\Users\stu\Documents\GitHub\eaglep3-reporting\EC\2016-11-05-refined-times.txt</v>
      </c>
      <c r="AI6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ID","value":"150-05"},{"id":16,"name":"Locomotive ID","value":"4015"},{"id":130,"name":"Impact","value":""},{"id":150,"name":"Time of Event (Mountain Time)","value":"11:18:02"},{"id":151,"name":"Denver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510</v>
      </c>
      <c r="B63" s="7">
        <v>4040</v>
      </c>
      <c r="C63" s="22" t="s">
        <v>242</v>
      </c>
      <c r="D63" s="22" t="s">
        <v>233</v>
      </c>
      <c r="E63" s="13">
        <v>42679.409861111111</v>
      </c>
      <c r="F63" s="13">
        <v>42679.416967592595</v>
      </c>
      <c r="G63" s="7">
        <v>1</v>
      </c>
      <c r="H63" s="22" t="s">
        <v>263</v>
      </c>
      <c r="I63" s="13">
        <v>42679.44153935185</v>
      </c>
      <c r="J63" s="7">
        <v>0</v>
      </c>
      <c r="K63" s="112" t="str">
        <f t="shared" si="0"/>
        <v>4039/4040</v>
      </c>
      <c r="L63" s="22" t="str">
        <f>VLOOKUP(A63,'Trips&amp;Operators'!$C$1:$E$10000,3,FALSE)</f>
        <v>KILLION</v>
      </c>
      <c r="M63" s="6">
        <f t="shared" si="1"/>
        <v>2.4571759255195502E-2</v>
      </c>
      <c r="N63" s="7">
        <f t="shared" si="2"/>
        <v>35.383333327481523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08:50:12-0600',mode:absolute,to:'2016-11-05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4.5699999999999998E-2</v>
      </c>
      <c r="Z63" s="67">
        <f t="shared" si="9"/>
        <v>23.330300000000001</v>
      </c>
      <c r="AA63" s="67">
        <f t="shared" si="10"/>
        <v>23.284600000000001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0151-05</v>
      </c>
      <c r="AE63" s="91" t="str">
        <f t="shared" si="12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63" s="88" t="str">
        <f t="shared" si="13"/>
        <v>"C:\Program Files (x86)\AstroGrep\AstroGrep.exe" /spath="%USERPROFILE%\AppData\Local\Temp\OnboardLogs" /stypes="app*4040*20161105*" /stext=" 16:.+((SYSTEM_STATE.+slice.+state.+changed )|(ment ac)|(system.+state.+changed )|(\[timeout)|(PRM\|1\|D)|(kpr)|(kdp)|(\|loc)|(penalty))"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151-05 --locoid 4040 --swversion DE.1.0.8.0 --startMP 204:457 --initTime 2016-11-05T09:50:12 --startdatetime 2016-11-05T10:00:26 --delay 1 --endMP 204:233303 --enddatetime 2016-11-05T10:35:49 --enforcementcount 0 &gt;&gt;C:\Users\stu\Documents\GitHub\eaglep3-reporting\EC\2016-11-05-refined-times.txt</v>
      </c>
      <c r="AI6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{"issue":{"subject":"","project_id":79,"tracker_id":40,"status_id":1,"priority_id":2,"assigned_to_id":23,"start_date":"2016-11-05","description":"","custom_fields":[{"id":1,"name":"Subdivision","value":"EC"},{"id":4,"name":"Milepost","value":"23.3303"},{"id":17,"name":"Train ID","value":"151-05"},{"id":16,"name":"Locomotive ID","value":"4040"},{"id":130,"name":"Impact","value":""},{"id":150,"name":"Time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519</v>
      </c>
      <c r="B64" s="7">
        <v>4039</v>
      </c>
      <c r="C64" s="22" t="s">
        <v>242</v>
      </c>
      <c r="D64" s="22" t="s">
        <v>258</v>
      </c>
      <c r="E64" s="13">
        <v>42679.446956018517</v>
      </c>
      <c r="F64" s="13">
        <v>42679.455740740741</v>
      </c>
      <c r="G64" s="7">
        <v>1</v>
      </c>
      <c r="H64" s="22" t="s">
        <v>205</v>
      </c>
      <c r="I64" s="13">
        <v>42679.481793981482</v>
      </c>
      <c r="J64" s="7">
        <v>0</v>
      </c>
      <c r="K64" s="112" t="str">
        <f t="shared" si="0"/>
        <v>4039/4040</v>
      </c>
      <c r="L64" s="22" t="str">
        <f>VLOOKUP(A64,'Trips&amp;Operators'!$C$1:$E$10000,3,FALSE)</f>
        <v>KILLION</v>
      </c>
      <c r="M64" s="6">
        <f t="shared" si="1"/>
        <v>2.6053240741021E-2</v>
      </c>
      <c r="N64" s="7">
        <f t="shared" si="2"/>
        <v>37.51666666707024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09:43:37-0600',mode:absolute,to:'2016-11-05 12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23.297499999999999</v>
      </c>
      <c r="Z64" s="67">
        <f t="shared" si="9"/>
        <v>1.43E-2</v>
      </c>
      <c r="AA64" s="67">
        <f t="shared" si="10"/>
        <v>23.283200000000001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0152-05</v>
      </c>
      <c r="AE64" s="91" t="str">
        <f t="shared" si="12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64" s="88" t="str">
        <f t="shared" si="13"/>
        <v>"C:\Program Files (x86)\AstroGrep\AstroGrep.exe" /spath="%USERPROFILE%\AppData\Local\Temp\OnboardLogs" /stypes="app*4039*20161105*" /stext=" 17:.+((SYSTEM_STATE.+slice.+state.+changed )|(ment ac)|(system.+state.+changed )|(\[timeout)|(PRM\|1\|D)|(kpr)|(kdp)|(\|loc)|(penalty))"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152-05 --locoid 4039 --swversion DE.1.0.8.0 --startMP 204:232975 --initTime 2016-11-05T10:43:37 --startdatetime 2016-11-05T10:56:16 --delay 1 --endMP 204:143 --enddatetime 2016-11-05T11:33:47 --enforcementcount 0 &gt;&gt;C:\Users\stu\Documents\GitHub\eaglep3-reporting\EC\2016-11-05-refined-times.txt</v>
      </c>
      <c r="AI6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ID","value":"152-05"},{"id":16,"name":"Locomotive ID","value":"4039"},{"id":130,"name":"Impact","value":""},{"id":150,"name":"Time of Event (Mountain Time)","value":"11:33:47"},{"id":151,"name":"Denver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511</v>
      </c>
      <c r="B65" s="7">
        <v>4014</v>
      </c>
      <c r="C65" s="22" t="s">
        <v>242</v>
      </c>
      <c r="D65" s="22" t="s">
        <v>665</v>
      </c>
      <c r="E65" s="13">
        <v>42679.422164351854</v>
      </c>
      <c r="F65" s="13">
        <v>42679.435416666667</v>
      </c>
      <c r="G65" s="7">
        <v>18</v>
      </c>
      <c r="H65" s="22" t="s">
        <v>403</v>
      </c>
      <c r="I65" s="13">
        <v>42679.452835648146</v>
      </c>
      <c r="J65" s="7">
        <v>0</v>
      </c>
      <c r="K65" s="112" t="str">
        <f t="shared" si="0"/>
        <v>4013/4014</v>
      </c>
      <c r="L65" s="22" t="str">
        <f>VLOOKUP(A65,'Trips&amp;Operators'!$C$1:$E$10000,3,FALSE)</f>
        <v>GEBRETEKLE</v>
      </c>
      <c r="M65" s="6">
        <f t="shared" si="1"/>
        <v>1.7418981478840578E-2</v>
      </c>
      <c r="N65" s="7"/>
      <c r="O65" s="7"/>
      <c r="P65" s="7">
        <f t="shared" si="2"/>
        <v>25.083333329530433</v>
      </c>
      <c r="Q65" s="23"/>
      <c r="R65" s="23" t="s">
        <v>771</v>
      </c>
      <c r="S65" s="35">
        <f t="shared" si="3"/>
        <v>0.75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9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09:07:55-0600',mode:absolute,to:'2016-11-05 11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5" s="52" t="str">
        <f t="shared" si="6"/>
        <v>Y</v>
      </c>
      <c r="X65" s="177">
        <f t="shared" si="7"/>
        <v>1</v>
      </c>
      <c r="Y65" s="67">
        <f t="shared" si="8"/>
        <v>3.7189999999999999</v>
      </c>
      <c r="Z65" s="67">
        <f t="shared" si="9"/>
        <v>23.327400000000001</v>
      </c>
      <c r="AA65" s="67">
        <f t="shared" si="10"/>
        <v>19.6084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0153-05</v>
      </c>
      <c r="AE65" s="91" t="str">
        <f t="shared" si="12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65" s="88" t="str">
        <f t="shared" si="13"/>
        <v>"C:\Program Files (x86)\AstroGrep\AstroGrep.exe" /spath="%USERPROFILE%\AppData\Local\Temp\OnboardLogs" /stypes="app*4014*20161105*" /stext=" 16:.+((SYSTEM_STATE.+slice.+state.+changed )|(ment ac)|(system.+state.+changed )|(\[timeout)|(PRM\|1\|D)|(kpr)|(kdp)|(\|loc)|(penalty))"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153-05 --locoid 4014 --swversion DE.1.0.8.0 --startMP 204:37190 --initTime 2016-11-05T10:07:55 --startdatetime 2016-11-05T10:27:00 --delay 18 --endMP 204:233274 --enddatetime 2016-11-05T10:52:05 --enforcementcount 0 &gt;&gt;C:\Users\stu\Documents\GitHub\eaglep3-reporting\EC\2016-11-05-refined-times.txt</v>
      </c>
      <c r="AI65" s="122" t="str">
        <f t="shared" si="18"/>
        <v>echo {"issue":{"subject":"Onboard in-route failure","project_id":79,"tracker_id":40,"status_id":1,"priority_id":2,"assigned_to_id":23,"start_date":"2016-11-05","description":"Multiple CPU Faults at 2016-11-05 10:10:38 Denver Time","custom_fields":[{"id":1,"name":"Subdivision","value":"EC"},{"id":4,"name":"Milepost","value":"23.3274"},{"id":17,"name":"Train ID","value":"153-05"},{"id":16,"name":"Locomotive ID","value":"4014"},{"id":130,"name":"Impact","value":"Failed State"},{"id":150,"name":"Time of Event (Mountain Time)","value":"10:52:05"},{"id":151,"name":"Denver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5" s="53" t="s">
        <v>772</v>
      </c>
      <c r="AK65" s="53" t="s">
        <v>128</v>
      </c>
      <c r="AL65" s="53" t="s">
        <v>178</v>
      </c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522</v>
      </c>
      <c r="B66" s="7">
        <v>4013</v>
      </c>
      <c r="C66" s="22" t="s">
        <v>242</v>
      </c>
      <c r="D66" s="22" t="s">
        <v>404</v>
      </c>
      <c r="E66" s="13">
        <v>42679.462546296294</v>
      </c>
      <c r="F66" s="13">
        <v>42679.466157407405</v>
      </c>
      <c r="G66" s="7">
        <v>1</v>
      </c>
      <c r="H66" s="22" t="s">
        <v>175</v>
      </c>
      <c r="I66" s="13">
        <v>42679.491493055553</v>
      </c>
      <c r="J66" s="7">
        <v>0</v>
      </c>
      <c r="K66" s="112" t="str">
        <f t="shared" si="0"/>
        <v>4013/4014</v>
      </c>
      <c r="L66" s="22" t="str">
        <f>VLOOKUP(A66,'Trips&amp;Operators'!$C$1:$E$10000,3,FALSE)</f>
        <v>GEBRETEKLE</v>
      </c>
      <c r="M66" s="6">
        <f t="shared" si="1"/>
        <v>2.5335648148029577E-2</v>
      </c>
      <c r="N66" s="7">
        <f t="shared" si="2"/>
        <v>36.483333333162591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10:06:04-0600',mode:absolute,to:'2016-11-05 12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23.295999999999999</v>
      </c>
      <c r="Z66" s="67">
        <f t="shared" si="9"/>
        <v>1.47E-2</v>
      </c>
      <c r="AA66" s="67">
        <f t="shared" si="10"/>
        <v>23.281299999999998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0154-05</v>
      </c>
      <c r="AE66" s="91" t="str">
        <f t="shared" si="12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66" s="88" t="str">
        <f t="shared" si="13"/>
        <v>"C:\Program Files (x86)\AstroGrep\AstroGrep.exe" /spath="%USERPROFILE%\AppData\Local\Temp\OnboardLogs" /stypes="app*4013*20161105*" /stext=" 17:.+((SYSTEM_STATE.+slice.+state.+changed )|(ment ac)|(system.+state.+changed )|(\[timeout)|(PRM\|1\|D)|(kpr)|(kdp)|(\|loc)|(penalty))"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154-05 --locoid 4013 --swversion DE.1.0.8.0 --startMP 204:232960 --initTime 2016-11-05T11:06:04 --startdatetime 2016-11-05T11:11:16 --delay 1 --endMP 204:147 --enddatetime 2016-11-05T11:47:45 --enforcementcount 0 &gt;&gt;C:\Users\stu\Documents\GitHub\eaglep3-reporting\EC\2016-11-05-refined-times.txt</v>
      </c>
      <c r="AI6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{"issue":{"subject":"","project_id":79,"tracker_id":40,"status_id":1,"priority_id":2,"assigned_to_id":23,"start_date":"2016-11-05","description":"","custom_fields":[{"id":1,"name":"Subdivision","value":"EC"},{"id":4,"name":"Milepost","value":"0.0147"},{"id":17,"name":"Train ID","value":"154-05"},{"id":16,"name":"Locomotive ID","value":"4013"},{"id":130,"name":"Impact","value":""},{"id":150,"name":"Time of Event (Mountain Time)","value":"11:47:45"},{"id":151,"name":"Denver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514</v>
      </c>
      <c r="B67" s="7">
        <v>4011</v>
      </c>
      <c r="C67" s="22" t="s">
        <v>242</v>
      </c>
      <c r="D67" s="22" t="s">
        <v>211</v>
      </c>
      <c r="E67" s="13">
        <v>42679.431435185186</v>
      </c>
      <c r="F67" s="13">
        <v>42679.437685185185</v>
      </c>
      <c r="G67" s="7">
        <v>1</v>
      </c>
      <c r="H67" s="22" t="s">
        <v>384</v>
      </c>
      <c r="I67" s="13">
        <v>42679.463530092595</v>
      </c>
      <c r="J67" s="7">
        <v>0</v>
      </c>
      <c r="K67" s="112" t="str">
        <f t="shared" si="0"/>
        <v>4011/4012</v>
      </c>
      <c r="L67" s="22" t="str">
        <f>VLOOKUP(A67,'Trips&amp;Operators'!$C$1:$E$10000,3,FALSE)</f>
        <v>CLARK</v>
      </c>
      <c r="M67" s="6">
        <f t="shared" si="1"/>
        <v>2.584490740991896E-2</v>
      </c>
      <c r="N67" s="7">
        <f t="shared" si="2"/>
        <v>37.216666670283303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09:21:16-0600',mode:absolute,to:'2016-11-05 12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4.5999999999999999E-2</v>
      </c>
      <c r="Z67" s="67">
        <f t="shared" si="9"/>
        <v>23.328399999999998</v>
      </c>
      <c r="AA67" s="67">
        <f t="shared" si="10"/>
        <v>23.282399999999999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0155-05</v>
      </c>
      <c r="AE67" s="91" t="str">
        <f t="shared" si="12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67" s="88" t="str">
        <f t="shared" si="13"/>
        <v>"C:\Program Files (x86)\AstroGrep\AstroGrep.exe" /spath="%USERPROFILE%\AppData\Local\Temp\OnboardLogs" /stypes="app*4011*20161105*" /stext=" 17:.+((SYSTEM_STATE.+slice.+state.+changed )|(ment ac)|(system.+state.+changed )|(\[timeout)|(PRM\|1\|D)|(kpr)|(kdp)|(\|loc)|(penalty))"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155-05 --locoid 4011 --swversion DE.1.0.8.0 --startMP 204:460 --initTime 2016-11-05T10:21:16 --startdatetime 2016-11-05T10:30:16 --delay 1 --endMP 204:233284 --enddatetime 2016-11-05T11:07:29 --enforcementcount 0 &gt;&gt;C:\Users\stu\Documents\GitHub\eaglep3-reporting\EC\2016-11-05-refined-times.txt</v>
      </c>
      <c r="AI67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{"issue":{"subject":"","project_id":79,"tracker_id":40,"status_id":1,"priority_id":2,"assigned_to_id":23,"start_date":"2016-11-05","description":"","custom_fields":[{"id":1,"name":"Subdivision","value":"EC"},{"id":4,"name":"Milepost","value":"23.3284"},{"id":17,"name":"Train ID","value":"155-05"},{"id":16,"name":"Locomotive ID","value":"4011"},{"id":130,"name":"Impact","value":""},{"id":150,"name":"Time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525</v>
      </c>
      <c r="B68" s="7">
        <v>4012</v>
      </c>
      <c r="C68" s="22" t="s">
        <v>242</v>
      </c>
      <c r="D68" s="22" t="s">
        <v>666</v>
      </c>
      <c r="E68" s="13">
        <v>42679.471087962964</v>
      </c>
      <c r="F68" s="13">
        <v>42679.476550925923</v>
      </c>
      <c r="G68" s="7">
        <v>1</v>
      </c>
      <c r="H68" s="22" t="s">
        <v>386</v>
      </c>
      <c r="I68" s="13">
        <v>42679.503680555557</v>
      </c>
      <c r="J68" s="7">
        <v>0</v>
      </c>
      <c r="K68" s="112" t="str">
        <f t="shared" si="0"/>
        <v>4011/4012</v>
      </c>
      <c r="L68" s="22" t="str">
        <f>VLOOKUP(A68,'Trips&amp;Operators'!$C$1:$E$10000,3,FALSE)</f>
        <v>CLARK</v>
      </c>
      <c r="M68" s="6">
        <f t="shared" si="1"/>
        <v>2.7129629634146113E-2</v>
      </c>
      <c r="N68" s="7">
        <f t="shared" si="2"/>
        <v>39.066666673170403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10:18:22-0600',mode:absolute,to:'2016-11-05 13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23.295200000000001</v>
      </c>
      <c r="Z68" s="67">
        <f t="shared" si="9"/>
        <v>1.3899999999999999E-2</v>
      </c>
      <c r="AA68" s="67">
        <f t="shared" si="10"/>
        <v>23.281300000000002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0156-05</v>
      </c>
      <c r="AE68" s="91" t="str">
        <f t="shared" si="12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68" s="88" t="str">
        <f t="shared" si="13"/>
        <v>"C:\Program Files (x86)\AstroGrep\AstroGrep.exe" /spath="%USERPROFILE%\AppData\Local\Temp\OnboardLogs" /stypes="app*4012*20161105*" /stext=" 18:.+((SYSTEM_STATE.+slice.+state.+changed )|(ment ac)|(system.+state.+changed )|(\[timeout)|(PRM\|1\|D)|(kpr)|(kdp)|(\|loc)|(penalty))"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156-05 --locoid 4012 --swversion DE.1.0.8.0 --startMP 204:232952 --initTime 2016-11-05T11:18:22 --startdatetime 2016-11-05T11:26:14 --delay 1 --endMP 204:139 --enddatetime 2016-11-05T12:05:18 --enforcementcount 0 &gt;&gt;C:\Users\stu\Documents\GitHub\eaglep3-reporting\EC\2016-11-05-refined-times.txt</v>
      </c>
      <c r="AI68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{"issue":{"subject":"","project_id":79,"tracker_id":40,"status_id":1,"priority_id":2,"assigned_to_id":23,"start_date":"2016-11-05","description":"","custom_fields":[{"id":1,"name":"Subdivision","value":"EC"},{"id":4,"name":"Milepost","value":"0.0139"},{"id":17,"name":"Train ID","value":"156-05"},{"id":16,"name":"Locomotive ID","value":"4012"},{"id":130,"name":"Impact","value":""},{"id":150,"name":"Time of Event (Mountain Time)","value":"12:05:18"},{"id":151,"name":"Denver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425</v>
      </c>
      <c r="B69" s="7">
        <v>4025</v>
      </c>
      <c r="C69" s="22" t="s">
        <v>242</v>
      </c>
      <c r="D69" s="22" t="s">
        <v>667</v>
      </c>
      <c r="E69" s="13">
        <v>42679.441759259258</v>
      </c>
      <c r="F69" s="13">
        <v>42679.448101851849</v>
      </c>
      <c r="G69" s="7">
        <v>1</v>
      </c>
      <c r="H69" s="22" t="s">
        <v>383</v>
      </c>
      <c r="I69" s="13">
        <v>42679.473530092589</v>
      </c>
      <c r="J69" s="7">
        <v>0</v>
      </c>
      <c r="K69" s="112" t="str">
        <f t="shared" si="0"/>
        <v>4025/4026</v>
      </c>
      <c r="L69" s="22" t="str">
        <f>VLOOKUP(A69,'Trips&amp;Operators'!$C$1:$E$10000,3,FALSE)</f>
        <v>ROBINSON</v>
      </c>
      <c r="M69" s="6">
        <f t="shared" si="1"/>
        <v>2.5428240740438923E-2</v>
      </c>
      <c r="N69" s="7">
        <f t="shared" si="2"/>
        <v>36.616666666232049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09:36:08-0600',mode:absolute,to:'2016-11-05 12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3.8699999999999998E-2</v>
      </c>
      <c r="Z69" s="67">
        <f t="shared" si="9"/>
        <v>23.331900000000001</v>
      </c>
      <c r="AA69" s="67">
        <f t="shared" si="10"/>
        <v>23.293200000000002</v>
      </c>
      <c r="AB69" s="64" t="str">
        <f>VLOOKUP(A69,Enforcements!$C$7:$K$21,8,0)</f>
        <v>Speed (6)</v>
      </c>
      <c r="AC69" s="60" t="str">
        <f>VLOOKUP(A69,Enforcements!$C$7:$E$21,3,0)</f>
        <v>PERMANENT SPEED RESTRICTION</v>
      </c>
      <c r="AD69" s="61" t="str">
        <f t="shared" si="11"/>
        <v>0157-05</v>
      </c>
      <c r="AE69" s="91" t="str">
        <f t="shared" si="12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69" s="88" t="str">
        <f t="shared" si="13"/>
        <v>"C:\Program Files (x86)\AstroGrep\AstroGrep.exe" /spath="%USERPROFILE%\AppData\Local\Temp\OnboardLogs" /stypes="app*4025*20161105*" /stext=" 17:.+((SYSTEM_STATE.+slice.+state.+changed )|(ment ac)|(system.+state.+changed )|(\[timeout)|(PRM\|1\|D)|(kpr)|(kdp)|(\|loc)|(penalty))"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157-05 --locoid 4025 --swversion DE.1.0.8.0 --startMP 204:387 --initTime 2016-11-05T10:36:08 --startdatetime 2016-11-05T10:45:16 --delay 1 --endMP 204:233319 --enddatetime 2016-11-05T11:21:53 --enforcementcount 0 &gt;&gt;C:\Users\stu\Documents\GitHub\eaglep3-reporting\EC\2016-11-05-refined-times.txt</v>
      </c>
      <c r="AI69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{"issue":{"subject":"","project_id":79,"tracker_id":40,"status_id":1,"priority_id":2,"assigned_to_id":23,"start_date":"2016-11-05","description":"","custom_fields":[{"id":1,"name":"Subdivision","value":"EC"},{"id":4,"name":"Milepost","value":"23.3319"},{"id":17,"name":"Train ID","value":"157-05"},{"id":16,"name":"Locomotive ID","value":"4025"},{"id":130,"name":"Impact","value":""},{"id":150,"name":"Time of Event (Mountain Time)","value":"11:21:53"},{"id":151,"name":"Denver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528</v>
      </c>
      <c r="B70" s="7">
        <v>4026</v>
      </c>
      <c r="C70" s="22" t="s">
        <v>242</v>
      </c>
      <c r="D70" s="22" t="s">
        <v>659</v>
      </c>
      <c r="E70" s="13">
        <v>42679.480798611112</v>
      </c>
      <c r="F70" s="13">
        <v>42679.486990740741</v>
      </c>
      <c r="G70" s="7">
        <v>1</v>
      </c>
      <c r="H70" s="22" t="s">
        <v>202</v>
      </c>
      <c r="I70" s="13">
        <v>42679.512974537036</v>
      </c>
      <c r="J70" s="7">
        <v>0</v>
      </c>
      <c r="K70" s="112" t="str">
        <f t="shared" si="0"/>
        <v>4025/4026</v>
      </c>
      <c r="L70" s="22" t="str">
        <f>VLOOKUP(A70,'Trips&amp;Operators'!$C$1:$E$10000,3,FALSE)</f>
        <v>ROBINSON</v>
      </c>
      <c r="M70" s="6">
        <f t="shared" si="1"/>
        <v>2.5983796294895001E-2</v>
      </c>
      <c r="N70" s="7">
        <f t="shared" si="2"/>
        <v>37.416666664648801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10:32:21-0600',mode:absolute,to:'2016-11-05 13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23.3002</v>
      </c>
      <c r="Z70" s="67">
        <f t="shared" si="9"/>
        <v>1.4500000000000001E-2</v>
      </c>
      <c r="AA70" s="67">
        <f t="shared" si="10"/>
        <v>23.285699999999999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0158-05</v>
      </c>
      <c r="AE70" s="91" t="str">
        <f t="shared" si="12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70" s="88" t="str">
        <f t="shared" si="13"/>
        <v>"C:\Program Files (x86)\AstroGrep\AstroGrep.exe" /spath="%USERPROFILE%\AppData\Local\Temp\OnboardLogs" /stypes="app*4026*20161105*" /stext=" 18:.+((SYSTEM_STATE.+slice.+state.+changed )|(ment ac)|(system.+state.+changed )|(\[timeout)|(PRM\|1\|D)|(kpr)|(kdp)|(\|loc)|(penalty))"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158-05 --locoid 4026 --swversion DE.1.0.8.0 --startMP 204:233002 --initTime 2016-11-05T11:32:21 --startdatetime 2016-11-05T11:41:16 --delay 1 --endMP 204:145 --enddatetime 2016-11-05T12:18:41 --enforcementcount 0 &gt;&gt;C:\Users\stu\Documents\GitHub\eaglep3-reporting\EC\2016-11-05-refined-times.txt</v>
      </c>
      <c r="AI70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ID","value":"158-05"},{"id":16,"name":"Locomotive ID","value":"4026"},{"id":130,"name":"Impact","value":""},{"id":150,"name":"Time of Event (Mountain Time)","value":"12:18:41"},{"id":151,"name":"Denver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520</v>
      </c>
      <c r="B71" s="7">
        <v>4018</v>
      </c>
      <c r="C71" s="22" t="s">
        <v>242</v>
      </c>
      <c r="D71" s="22" t="s">
        <v>668</v>
      </c>
      <c r="E71" s="13">
        <v>42679.452164351853</v>
      </c>
      <c r="F71" s="13">
        <v>42679.45857638889</v>
      </c>
      <c r="G71" s="7">
        <v>2</v>
      </c>
      <c r="H71" s="22" t="s">
        <v>210</v>
      </c>
      <c r="I71" s="13">
        <v>42679.484675925924</v>
      </c>
      <c r="J71" s="7">
        <v>0</v>
      </c>
      <c r="K71" s="112" t="str">
        <f t="shared" si="0"/>
        <v>4017/4018</v>
      </c>
      <c r="L71" s="22" t="str">
        <f>VLOOKUP(A71,'Trips&amp;Operators'!$C$1:$E$10000,3,FALSE)</f>
        <v>STEWART</v>
      </c>
      <c r="M71" s="6">
        <f t="shared" si="1"/>
        <v>2.6099537033587694E-2</v>
      </c>
      <c r="N71" s="7">
        <f t="shared" si="2"/>
        <v>37.58333332836628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09:51:07-0600',mode:absolute,to:'2016-11-05 12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4.8399999999999999E-2</v>
      </c>
      <c r="Z71" s="67">
        <f t="shared" si="9"/>
        <v>23.329499999999999</v>
      </c>
      <c r="AA71" s="67">
        <f t="shared" si="10"/>
        <v>23.281099999999999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0159-05</v>
      </c>
      <c r="AE71" s="91" t="str">
        <f t="shared" si="12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71" s="88" t="str">
        <f t="shared" si="13"/>
        <v>"C:\Program Files (x86)\AstroGrep\AstroGrep.exe" /spath="%USERPROFILE%\AppData\Local\Temp\OnboardLogs" /stypes="app*4018*20161105*" /stext=" 17:.+((SYSTEM_STATE.+slice.+state.+changed )|(ment ac)|(system.+state.+changed )|(\[timeout)|(PRM\|1\|D)|(kpr)|(kdp)|(\|loc)|(penalty))"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159-05 --locoid 4018 --swversion DE.1.0.8.0 --startMP 204:484 --initTime 2016-11-05T10:51:07 --startdatetime 2016-11-05T11:00:21 --delay 2 --endMP 204:233295 --enddatetime 2016-11-05T11:37:56 --enforcementcount 0 &gt;&gt;C:\Users\stu\Documents\GitHub\eaglep3-reporting\EC\2016-11-05-refined-times.txt</v>
      </c>
      <c r="AI71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ID","value":"159-05"},{"id":16,"name":"Locomotive ID","value":"4018"},{"id":130,"name":"Impact","value":""},{"id":150,"name":"Time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531</v>
      </c>
      <c r="B72" s="7">
        <v>4017</v>
      </c>
      <c r="C72" s="22" t="s">
        <v>242</v>
      </c>
      <c r="D72" s="22" t="s">
        <v>239</v>
      </c>
      <c r="E72" s="13">
        <v>42679.494074074071</v>
      </c>
      <c r="F72" s="13">
        <v>42679.497835648152</v>
      </c>
      <c r="G72" s="7">
        <v>1</v>
      </c>
      <c r="H72" s="22" t="s">
        <v>203</v>
      </c>
      <c r="I72" s="13">
        <v>42679.52380787037</v>
      </c>
      <c r="J72" s="7">
        <v>0</v>
      </c>
      <c r="K72" s="112" t="str">
        <f t="shared" si="0"/>
        <v>4017/4018</v>
      </c>
      <c r="L72" s="22" t="str">
        <f>VLOOKUP(A72,'Trips&amp;Operators'!$C$1:$E$10000,3,FALSE)</f>
        <v>STEWART</v>
      </c>
      <c r="M72" s="6">
        <f t="shared" si="1"/>
        <v>2.5972222218115348E-2</v>
      </c>
      <c r="N72" s="7">
        <f t="shared" si="2"/>
        <v>37.399999994086102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10:51:28-0600',mode:absolute,to:'2016-11-05 13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23.296900000000001</v>
      </c>
      <c r="Z72" s="67">
        <f t="shared" si="9"/>
        <v>1.49E-2</v>
      </c>
      <c r="AA72" s="67">
        <f t="shared" si="10"/>
        <v>23.282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0160-05</v>
      </c>
      <c r="AE72" s="91" t="str">
        <f t="shared" si="12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72" s="88" t="str">
        <f t="shared" si="13"/>
        <v>"C:\Program Files (x86)\AstroGrep\AstroGrep.exe" /spath="%USERPROFILE%\AppData\Local\Temp\OnboardLogs" /stypes="app*4017*20161105*" /stext=" 18:.+((SYSTEM_STATE.+slice.+state.+changed )|(ment ac)|(system.+state.+changed )|(\[timeout)|(PRM\|1\|D)|(kpr)|(kdp)|(\|loc)|(penalty))"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160-05 --locoid 4017 --swversion DE.1.0.8.0 --startMP 204:232969 --initTime 2016-11-05T11:51:28 --startdatetime 2016-11-05T11:56:53 --delay 1 --endMP 204:149 --enddatetime 2016-11-05T12:34:17 --enforcementcount 0 &gt;&gt;C:\Users\stu\Documents\GitHub\eaglep3-reporting\EC\2016-11-05-refined-times.txt</v>
      </c>
      <c r="AI72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ID","value":"160-05"},{"id":16,"name":"Locomotive ID","value":"4017"},{"id":130,"name":"Impact","value":""},{"id":150,"name":"Time of Event (Mountain Time)","value":"12:34:17"},{"id":151,"name":"Denver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523</v>
      </c>
      <c r="B73" s="7">
        <v>4053</v>
      </c>
      <c r="C73" s="22" t="s">
        <v>242</v>
      </c>
      <c r="D73" s="22" t="s">
        <v>206</v>
      </c>
      <c r="E73" s="13">
        <v>42679.463310185187</v>
      </c>
      <c r="F73" s="13">
        <v>42679.468993055554</v>
      </c>
      <c r="G73" s="7">
        <v>2</v>
      </c>
      <c r="H73" s="22" t="s">
        <v>343</v>
      </c>
      <c r="I73" s="13">
        <v>42679.497731481482</v>
      </c>
      <c r="J73" s="7">
        <v>0</v>
      </c>
      <c r="K73" s="112" t="str">
        <f t="shared" si="0"/>
        <v>4053/4054</v>
      </c>
      <c r="L73" s="22" t="str">
        <f>VLOOKUP(A73,'Trips&amp;Operators'!$C$1:$E$10000,3,FALSE)</f>
        <v>BARTLETT</v>
      </c>
      <c r="M73" s="6">
        <f t="shared" si="1"/>
        <v>2.8738425928167999E-2</v>
      </c>
      <c r="N73" s="7">
        <f t="shared" si="2"/>
        <v>41.383333336561918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10:07:10-0600',mode:absolute,to:'2016-11-05 12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4.4699999999999997E-2</v>
      </c>
      <c r="Z73" s="67">
        <f t="shared" si="9"/>
        <v>23.331499999999998</v>
      </c>
      <c r="AA73" s="67">
        <f t="shared" si="10"/>
        <v>23.286799999999999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0161-05</v>
      </c>
      <c r="AE73" s="91" t="str">
        <f t="shared" si="12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73" s="88" t="str">
        <f t="shared" si="13"/>
        <v>"C:\Program Files (x86)\AstroGrep\AstroGrep.exe" /spath="%USERPROFILE%\AppData\Local\Temp\OnboardLogs" /stypes="app*4053*20161105*" /stext=" 17:.+((SYSTEM_STATE.+slice.+state.+changed )|(ment ac)|(system.+state.+changed )|(\[timeout)|(PRM\|1\|D)|(kpr)|(kdp)|(\|loc)|(penalty))"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161-05 --locoid 4053 --swversion DE.1.0.8.0 --startMP 204:447 --initTime 2016-11-05T11:07:10 --startdatetime 2016-11-05T11:15:21 --delay 2 --endMP 204:233315 --enddatetime 2016-11-05T11:56:44 --enforcementcount 0 &gt;&gt;C:\Users\stu\Documents\GitHub\eaglep3-reporting\EC\2016-11-05-refined-times.txt</v>
      </c>
      <c r="AI73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{"issue":{"subject":"","project_id":79,"tracker_id":40,"status_id":1,"priority_id":2,"assigned_to_id":23,"start_date":"2016-11-05","description":"","custom_fields":[{"id":1,"name":"Subdivision","value":"EC"},{"id":4,"name":"Milepost","value":"23.3315"},{"id":17,"name":"Train ID","value":"161-05"},{"id":16,"name":"Locomotive ID","value":"4053"},{"id":130,"name":"Impact","value":""},{"id":150,"name":"Time of Event (Mountain Time)","value":"11:56:44"},{"id":151,"name":"Denver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535</v>
      </c>
      <c r="B74" s="7">
        <v>4054</v>
      </c>
      <c r="C74" s="22" t="s">
        <v>242</v>
      </c>
      <c r="D74" s="22" t="s">
        <v>311</v>
      </c>
      <c r="E74" s="13">
        <v>42679.50439814815</v>
      </c>
      <c r="F74" s="13">
        <v>42679.507939814815</v>
      </c>
      <c r="G74" s="7">
        <v>1</v>
      </c>
      <c r="H74" s="22" t="s">
        <v>379</v>
      </c>
      <c r="I74" s="13">
        <v>42679.533680555556</v>
      </c>
      <c r="J74" s="7">
        <v>0</v>
      </c>
      <c r="K74" s="112" t="str">
        <f t="shared" si="0"/>
        <v>4053/4054</v>
      </c>
      <c r="L74" s="22" t="str">
        <f>VLOOKUP(A74,'Trips&amp;Operators'!$C$1:$E$10000,3,FALSE)</f>
        <v>BARTLETT</v>
      </c>
      <c r="M74" s="6">
        <f t="shared" si="1"/>
        <v>2.5740740740729962E-2</v>
      </c>
      <c r="N74" s="7">
        <f t="shared" si="2"/>
        <v>37.066666666651145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11:06:20-0600',mode:absolute,to:'2016-11-05 13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23.299800000000001</v>
      </c>
      <c r="Z74" s="67">
        <f t="shared" si="9"/>
        <v>1.6E-2</v>
      </c>
      <c r="AA74" s="67">
        <f t="shared" si="10"/>
        <v>23.283800000000003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0162-05</v>
      </c>
      <c r="AE74" s="91" t="str">
        <f t="shared" si="12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74" s="88" t="str">
        <f t="shared" si="13"/>
        <v>"C:\Program Files (x86)\AstroGrep\AstroGrep.exe" /spath="%USERPROFILE%\AppData\Local\Temp\OnboardLogs" /stypes="app*4054*20161105*" /stext=" 18:.+((SYSTEM_STATE.+slice.+state.+changed )|(ment ac)|(system.+state.+changed )|(\[timeout)|(PRM\|1\|D)|(kpr)|(kdp)|(\|loc)|(penalty))"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162-05 --locoid 4054 --swversion DE.1.0.8.0 --startMP 204:232998 --initTime 2016-11-05T12:06:20 --startdatetime 2016-11-05T12:11:26 --delay 1 --endMP 204:160 --enddatetime 2016-11-05T12:48:30 --enforcementcount 0 &gt;&gt;C:\Users\stu\Documents\GitHub\eaglep3-reporting\EC\2016-11-05-refined-times.txt</v>
      </c>
      <c r="AI74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{"issue":{"subject":"","project_id":79,"tracker_id":40,"status_id":1,"priority_id":2,"assigned_to_id":23,"start_date":"2016-11-05","description":"","custom_fields":[{"id":1,"name":"Subdivision","value":"EC"},{"id":4,"name":"Milepost","value":"0.016"},{"id":17,"name":"Train ID","value":"162-05"},{"id":16,"name":"Locomotive ID","value":"4054"},{"id":130,"name":"Impact","value":""},{"id":150,"name":"Time of Event (Mountain Time)","value":"12:48:30"},{"id":151,"name":"Denver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526</v>
      </c>
      <c r="B75" s="7">
        <v>4016</v>
      </c>
      <c r="C75" s="22" t="s">
        <v>242</v>
      </c>
      <c r="D75" s="22" t="s">
        <v>228</v>
      </c>
      <c r="E75" s="13">
        <v>42679.472800925927</v>
      </c>
      <c r="F75" s="13">
        <v>42679.479432870372</v>
      </c>
      <c r="G75" s="7">
        <v>1</v>
      </c>
      <c r="H75" s="22" t="s">
        <v>388</v>
      </c>
      <c r="I75" s="13">
        <v>42679.504606481481</v>
      </c>
      <c r="J75" s="7">
        <v>0</v>
      </c>
      <c r="K75" s="112" t="str">
        <f t="shared" si="0"/>
        <v>4015/4016</v>
      </c>
      <c r="L75" s="22" t="str">
        <f>VLOOKUP(A75,'Trips&amp;Operators'!$C$1:$E$10000,3,FALSE)</f>
        <v>SWANSON</v>
      </c>
      <c r="M75" s="6">
        <f t="shared" si="1"/>
        <v>2.5173611109494232E-2</v>
      </c>
      <c r="N75" s="7">
        <f t="shared" si="2"/>
        <v>36.249999997671694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https://search-rtdc-monitor-bjffxe2xuh6vdkpspy63sjmuny.us-east-1.es.amazonaws.com/_plugin/kibana/#/discover/Steve-Slow-Train-Analysis-(2080s-and-2083s)?_g=(refreshInterval:(display:Off,section:0,value:0),time:(from:'2016-11-05 10:20:50-0600',mode:absolute,to:'2016-11-05 13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4.6199999999999998E-2</v>
      </c>
      <c r="Z75" s="67">
        <f t="shared" si="9"/>
        <v>23.334700000000002</v>
      </c>
      <c r="AA75" s="67">
        <f t="shared" si="10"/>
        <v>23.288500000000003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0163-05</v>
      </c>
      <c r="AE75" s="91" t="str">
        <f t="shared" si="12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75" s="88" t="str">
        <f t="shared" si="13"/>
        <v>"C:\Program Files (x86)\AstroGrep\AstroGrep.exe" /spath="%USERPROFILE%\AppData\Local\Temp\OnboardLogs" /stypes="app*4016*20161105*" /stext=" 18:.+((SYSTEM_STATE.+slice.+state.+changed )|(ment ac)|(system.+state.+changed )|(\[timeout)|(PRM\|1\|D)|(kpr)|(kdp)|(\|loc)|(penalty))"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163-05 --locoid 4016 --swversion DE.1.0.8.0 --startMP 204:462 --initTime 2016-11-05T11:20:50 --startdatetime 2016-11-05T11:30:23 --delay 1 --endMP 204:233347 --enddatetime 2016-11-05T12:06:38 --enforcementcount 0 &gt;&gt;C:\Users\stu\Documents\GitHub\eaglep3-reporting\EC\2016-11-05-refined-times.txt</v>
      </c>
      <c r="AI75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{"issue":{"subject":"","project_id":79,"tracker_id":40,"status_id":1,"priority_id":2,"assigned_to_id":23,"start_date":"2016-11-05","description":"","custom_fields":[{"id":1,"name":"Subdivision","value":"EC"},{"id":4,"name":"Milepost","value":"23.3347"},{"id":17,"name":"Train ID","value":"163-05"},{"id":16,"name":"Locomotive ID","value":"4016"},{"id":130,"name":"Impact","value":""},{"id":150,"name":"Time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536</v>
      </c>
      <c r="B76" s="7">
        <v>4015</v>
      </c>
      <c r="C76" s="22" t="s">
        <v>242</v>
      </c>
      <c r="D76" s="22" t="s">
        <v>669</v>
      </c>
      <c r="E76" s="13">
        <v>42679.506157407406</v>
      </c>
      <c r="F76" s="13">
        <v>42679.518472222226</v>
      </c>
      <c r="G76" s="7">
        <v>1</v>
      </c>
      <c r="H76" s="22" t="s">
        <v>386</v>
      </c>
      <c r="I76" s="13">
        <v>42679.545347222222</v>
      </c>
      <c r="J76" s="7">
        <v>0</v>
      </c>
      <c r="K76" s="112" t="str">
        <f t="shared" ref="K76:K139" si="19">IF(ISEVEN(B76),(B76-1)&amp;"/"&amp;B76,B76&amp;"/"&amp;(B76+1))</f>
        <v>4015/4016</v>
      </c>
      <c r="L76" s="22" t="str">
        <f>VLOOKUP(A76,'Trips&amp;Operators'!$C$1:$E$10000,3,FALSE)</f>
        <v>SWANSON</v>
      </c>
      <c r="M76" s="6">
        <f t="shared" ref="M76:M139" si="20">I76-F76</f>
        <v>2.6874999995925464E-2</v>
      </c>
      <c r="N76" s="7">
        <f t="shared" ref="N76:N139" si="21">24*60*SUM($M76:$M76)</f>
        <v>38.699999994132668</v>
      </c>
      <c r="O76" s="7"/>
      <c r="P76" s="7"/>
      <c r="Q76" s="23"/>
      <c r="R76" s="23"/>
      <c r="S76" s="35">
        <f t="shared" ref="S76:S139" si="22">SUM(U76:U76)/IF(AG76="EC",12,1)</f>
        <v>1</v>
      </c>
      <c r="T76" s="50" t="str">
        <f t="shared" ref="T76:T139" si="23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39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https://search-rtdc-monitor-bjffxe2xuh6vdkpspy63sjmuny.us-east-1.es.amazonaws.com/_plugin/kibana/#/discover/Steve-Slow-Train-Analysis-(2080s-and-2083s)?_g=(refreshInterval:(display:Off,section:0,value:0),time:(from:'2016-11-05 11:08:52-0600',mode:absolute,to:'2016-11-05 14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6" s="52" t="str">
        <f t="shared" ref="W76:W139" si="25">IF(AA76&lt;IF(AG76="EC",23,5.65),"Y","N")</f>
        <v>N</v>
      </c>
      <c r="X76" s="177">
        <f t="shared" ref="X76:X139" si="26">VALUE(LEFT(AD76,4))-VALUE(LEFT(AD75,4))</f>
        <v>1</v>
      </c>
      <c r="Y76" s="67">
        <f t="shared" ref="Y76:Y139" si="27">RIGHT(D76,LEN(D76)-4)/10000</f>
        <v>23.3017</v>
      </c>
      <c r="Z76" s="67">
        <f t="shared" ref="Z76:Z139" si="28">RIGHT(H76,LEN(H76)-4)/10000</f>
        <v>1.3899999999999999E-2</v>
      </c>
      <c r="AA76" s="67">
        <f t="shared" ref="AA76:AA139" si="29">ABS(Z76-Y76)</f>
        <v>23.287800000000001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39" si="30">IF(LEN(A76)=6,"0"&amp;A76,A76)</f>
        <v>0164-05</v>
      </c>
      <c r="AE76" s="91" t="str">
        <f t="shared" ref="AE76:AE139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76" s="88" t="str">
        <f t="shared" ref="AF76:AF139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/stypes="app*4015*20161105*" /stext=" 19:.+((SYSTEM_STATE.+slice.+state.+changed )|(ment ac)|(system.+state.+changed )|(\[timeout)|(PRM\|1\|D)|(kpr)|(kdp)|(\|loc)|(penalty))" /e /r /s</v>
      </c>
      <c r="AG76" s="1" t="str">
        <f t="shared" ref="AG76:AG139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164-05 --locoid 4015 --swversion DE.1.0.8.0 --startMP 204:233017 --initTime 2016-11-05T12:08:52 --startdatetime 2016-11-05T12:26:36 --delay 1 --endMP 204:139 --enddatetime 2016-11-05T13:05:18 --enforcementcount 0 &gt;&gt;C:\Users\stu\Documents\GitHub\eaglep3-reporting\EC\2016-11-05-refined-times.txt</v>
      </c>
      <c r="AI76" s="122" t="str">
        <f t="shared" si="18"/>
        <v>echo {"issue":{"subject":"","project_id":79,"tracker_id":40,"status_id":1,"priority_id":2,"assigned_to_id":23,"start_date":"2016-11-05","description":"","custom_fields":[{"id":1,"name":"Subdivision","value":"EC"},{"id":4,"name":"Milepost","value":"0.0139"},{"id":17,"name":"Train ID","value":"164-05"},{"id":16,"name":"Locomotive ID","value":"4015"},{"id":130,"name":"Impact","value":""},{"id":150,"name":"Time of Event (Mountain Time)","value":"13:05:18"},{"id":151,"name":"Denver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530</v>
      </c>
      <c r="B77" s="7">
        <v>4040</v>
      </c>
      <c r="C77" s="22" t="s">
        <v>242</v>
      </c>
      <c r="D77" s="22" t="s">
        <v>316</v>
      </c>
      <c r="E77" s="13">
        <v>42679.484537037039</v>
      </c>
      <c r="F77" s="13">
        <v>42679.48978009259</v>
      </c>
      <c r="G77" s="7">
        <v>1</v>
      </c>
      <c r="H77" s="22" t="s">
        <v>670</v>
      </c>
      <c r="I77" s="13">
        <v>42679.514976851853</v>
      </c>
      <c r="J77" s="7">
        <v>0</v>
      </c>
      <c r="K77" s="112" t="str">
        <f t="shared" si="19"/>
        <v>4039/4040</v>
      </c>
      <c r="L77" s="22" t="str">
        <f>VLOOKUP(A77,'Trips&amp;Operators'!$C$1:$E$10000,3,FALSE)</f>
        <v>SHOOK</v>
      </c>
      <c r="M77" s="6">
        <f t="shared" si="20"/>
        <v>2.5196759263053536E-2</v>
      </c>
      <c r="N77" s="7">
        <f t="shared" si="21"/>
        <v>36.283333338797092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10:37:44-0600',mode:absolute,to:'2016-11-05 13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2" t="str">
        <f t="shared" si="25"/>
        <v>N</v>
      </c>
      <c r="X77" s="177">
        <f t="shared" si="26"/>
        <v>1</v>
      </c>
      <c r="Y77" s="67">
        <f t="shared" si="27"/>
        <v>4.6899999999999997E-2</v>
      </c>
      <c r="Z77" s="67">
        <f t="shared" si="28"/>
        <v>23.339099999999998</v>
      </c>
      <c r="AA77" s="67">
        <f t="shared" si="29"/>
        <v>23.292199999999998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0165-05</v>
      </c>
      <c r="AE77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77" s="88" t="str">
        <f t="shared" si="32"/>
        <v>"C:\Program Files (x86)\AstroGrep\AstroGrep.exe" /spath="%USERPROFILE%\AppData\Local\Temp\OnboardLogs" /stypes="app*4040*20161105*" /stext=" 18:.+((SYSTEM_STATE.+slice.+state.+changed )|(ment ac)|(system.+state.+changed )|(\[timeout)|(PRM\|1\|D)|(kpr)|(kdp)|(\|loc)|(penalty))" /e /r /s</v>
      </c>
      <c r="AG77" s="1" t="str">
        <f t="shared" si="33"/>
        <v>EC</v>
      </c>
      <c r="AH77" s="92" t="str">
        <f t="shared" ref="AH77:AH140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165-05 --locoid 4040 --swversion DE.1.0.8.0 --startMP 204:469 --initTime 2016-11-05T11:37:44 --startdatetime 2016-11-05T11:45:17 --delay 1 --endMP 204:233391 --enddatetime 2016-11-05T12:21:34 --enforcementcount 0 &gt;&gt;C:\Users\stu\Documents\GitHub\eaglep3-reporting\EC\2016-11-05-refined-times.txt</v>
      </c>
      <c r="AI77" s="122" t="str">
        <f t="shared" ref="AI77:AI140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{"issue":{"subject":"","project_id":79,"tracker_id":40,"status_id":1,"priority_id":2,"assigned_to_id":23,"start_date":"2016-11-05","description":"","custom_fields":[{"id":1,"name":"Subdivision","value":"EC"},{"id":4,"name":"Milepost","value":"23.3391"},{"id":17,"name":"Train ID","value":"165-05"},{"id":16,"name":"Locomotive ID","value":"4040"},{"id":130,"name":"Impact","value":""},{"id":150,"name":"Time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540</v>
      </c>
      <c r="B78" s="7">
        <v>4039</v>
      </c>
      <c r="C78" s="22" t="s">
        <v>242</v>
      </c>
      <c r="D78" s="22" t="s">
        <v>395</v>
      </c>
      <c r="E78" s="13">
        <v>42679.522870370369</v>
      </c>
      <c r="F78" s="13">
        <v>42679.528680555559</v>
      </c>
      <c r="G78" s="7">
        <v>1</v>
      </c>
      <c r="H78" s="22" t="s">
        <v>181</v>
      </c>
      <c r="I78" s="13">
        <v>42679.554467592592</v>
      </c>
      <c r="J78" s="7">
        <v>0</v>
      </c>
      <c r="K78" s="112" t="str">
        <f t="shared" si="19"/>
        <v>4039/4040</v>
      </c>
      <c r="L78" s="22" t="str">
        <f>VLOOKUP(A78,'Trips&amp;Operators'!$C$1:$E$10000,3,FALSE)</f>
        <v>SHOOK</v>
      </c>
      <c r="M78" s="6">
        <f t="shared" si="20"/>
        <v>2.5787037033296656E-2</v>
      </c>
      <c r="N78" s="7">
        <f t="shared" si="21"/>
        <v>37.133333327947184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11:32:56-0600',mode:absolute,to:'2016-11-05 14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23.305099999999999</v>
      </c>
      <c r="Z78" s="67">
        <f t="shared" si="28"/>
        <v>1.41E-2</v>
      </c>
      <c r="AA78" s="67">
        <f t="shared" si="29"/>
        <v>23.291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0166-05</v>
      </c>
      <c r="AE78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78" s="88" t="str">
        <f t="shared" si="32"/>
        <v>"C:\Program Files (x86)\AstroGrep\AstroGrep.exe" /spath="%USERPROFILE%\AppData\Local\Temp\OnboardLogs" /stypes="app*4039*20161105*" /stext=" 19:.+((SYSTEM_STATE.+slice.+state.+changed )|(ment ac)|(system.+state.+changed )|(\[timeout)|(PRM\|1\|D)|(kpr)|(kdp)|(\|loc)|(penalty))"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166-05 --locoid 4039 --swversion DE.1.0.8.0 --startMP 204:233051 --initTime 2016-11-05T12:32:56 --startdatetime 2016-11-05T12:41:18 --delay 1 --endMP 204:141 --enddatetime 2016-11-05T13:18:26 --enforcementcount 0 &gt;&gt;C:\Users\stu\Documents\GitHub\eaglep3-reporting\EC\2016-11-05-refined-times.txt</v>
      </c>
      <c r="AI7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ID","value":"166-05"},{"id":16,"name":"Locomotive ID","value":"4039"},{"id":130,"name":"Impact","value":""},{"id":150,"name":"Time of Event (Mountain Time)","value":"13:18:26"},{"id":151,"name":"Denver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532</v>
      </c>
      <c r="B79" s="7">
        <v>4014</v>
      </c>
      <c r="C79" s="22" t="s">
        <v>242</v>
      </c>
      <c r="D79" s="22" t="s">
        <v>671</v>
      </c>
      <c r="E79" s="13">
        <v>42679.495428240742</v>
      </c>
      <c r="F79" s="13">
        <v>42679.500219907408</v>
      </c>
      <c r="G79" s="7">
        <v>2</v>
      </c>
      <c r="H79" s="22" t="s">
        <v>246</v>
      </c>
      <c r="I79" s="13">
        <v>42679.524537037039</v>
      </c>
      <c r="J79" s="7">
        <v>0</v>
      </c>
      <c r="K79" s="112" t="str">
        <f t="shared" si="19"/>
        <v>4013/4014</v>
      </c>
      <c r="L79" s="22" t="str">
        <f>VLOOKUP(A79,'Trips&amp;Operators'!$C$1:$E$10000,3,FALSE)</f>
        <v>BRUDER</v>
      </c>
      <c r="M79" s="6">
        <f t="shared" si="20"/>
        <v>2.4317129631526768E-2</v>
      </c>
      <c r="N79" s="7">
        <f t="shared" si="21"/>
        <v>35.016666669398546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10:53:25-0600',mode:absolute,to:'2016-11-05 13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4.4600000000000001E-2</v>
      </c>
      <c r="Z79" s="67">
        <f t="shared" si="28"/>
        <v>23.328800000000001</v>
      </c>
      <c r="AA79" s="67">
        <f t="shared" si="29"/>
        <v>23.284200000000002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0167-05</v>
      </c>
      <c r="AE79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79" s="88" t="str">
        <f t="shared" si="32"/>
        <v>"C:\Program Files (x86)\AstroGrep\AstroGrep.exe" /spath="%USERPROFILE%\AppData\Local\Temp\OnboardLogs" /stypes="app*4014*20161105*" /stext=" 18:.+((SYSTEM_STATE.+slice.+state.+changed )|(ment ac)|(system.+state.+changed )|(\[timeout)|(PRM\|1\|D)|(kpr)|(kdp)|(\|loc)|(penalty))"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167-05 --locoid 4014 --swversion DE.1.0.8.0 --startMP 204:446 --initTime 2016-11-05T11:53:25 --startdatetime 2016-11-05T12:00:19 --delay 2 --endMP 204:233288 --enddatetime 2016-11-05T12:35:20 --enforcementcount 0 &gt;&gt;C:\Users\stu\Documents\GitHub\eaglep3-reporting\EC\2016-11-05-refined-times.txt</v>
      </c>
      <c r="AI7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{"issue":{"subject":"","project_id":79,"tracker_id":40,"status_id":1,"priority_id":2,"assigned_to_id":23,"start_date":"2016-11-05","description":"","custom_fields":[{"id":1,"name":"Subdivision","value":"EC"},{"id":4,"name":"Milepost","value":"23.3288"},{"id":17,"name":"Train ID","value":"167-05"},{"id":16,"name":"Locomotive ID","value":"4014"},{"id":130,"name":"Impact","value":""},{"id":150,"name":"Time of Event (Mountain Time)","value":"12:35:20"},{"id":151,"name":"Denver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542</v>
      </c>
      <c r="B80" s="7">
        <v>4013</v>
      </c>
      <c r="C80" s="22" t="s">
        <v>242</v>
      </c>
      <c r="D80" s="22" t="s">
        <v>264</v>
      </c>
      <c r="E80" s="13">
        <v>42679.533125000002</v>
      </c>
      <c r="F80" s="13">
        <v>42679.539085648146</v>
      </c>
      <c r="G80" s="7">
        <v>1</v>
      </c>
      <c r="H80" s="22" t="s">
        <v>205</v>
      </c>
      <c r="I80" s="13">
        <v>42679.564965277779</v>
      </c>
      <c r="J80" s="7">
        <v>0</v>
      </c>
      <c r="K80" s="112" t="str">
        <f t="shared" si="19"/>
        <v>4013/4014</v>
      </c>
      <c r="L80" s="22" t="str">
        <f>VLOOKUP(A80,'Trips&amp;Operators'!$C$1:$E$10000,3,FALSE)</f>
        <v>BRUDER</v>
      </c>
      <c r="M80" s="6">
        <f t="shared" si="20"/>
        <v>2.587962963298196E-2</v>
      </c>
      <c r="N80" s="7">
        <f t="shared" si="21"/>
        <v>37.266666671494022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11:47:42-0600',mode:absolute,to:'2016-11-05 14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23.298400000000001</v>
      </c>
      <c r="Z80" s="67">
        <f t="shared" si="28"/>
        <v>1.43E-2</v>
      </c>
      <c r="AA80" s="67">
        <f t="shared" si="29"/>
        <v>23.284100000000002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0168-05</v>
      </c>
      <c r="AE80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80" s="88" t="str">
        <f t="shared" si="32"/>
        <v>"C:\Program Files (x86)\AstroGrep\AstroGrep.exe" /spath="%USERPROFILE%\AppData\Local\Temp\OnboardLogs" /stypes="app*4013*20161105*" /stext=" 19:.+((SYSTEM_STATE.+slice.+state.+changed )|(ment ac)|(system.+state.+changed )|(\[timeout)|(PRM\|1\|D)|(kpr)|(kdp)|(\|loc)|(penalty))"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168-05 --locoid 4013 --swversion DE.1.0.8.0 --startMP 204:232984 --initTime 2016-11-05T12:47:42 --startdatetime 2016-11-05T12:56:17 --delay 1 --endMP 204:143 --enddatetime 2016-11-05T13:33:33 --enforcementcount 0 &gt;&gt;C:\Users\stu\Documents\GitHub\eaglep3-reporting\EC\2016-11-05-refined-times.txt</v>
      </c>
      <c r="AI8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ID","value":"168-05"},{"id":16,"name":"Locomotive ID","value":"4013"},{"id":130,"name":"Impact","value":""},{"id":150,"name":"Time of Event (Mountain Time)","value":"13:33:33"},{"id":151,"name":"Denver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537</v>
      </c>
      <c r="B81" s="7">
        <v>4011</v>
      </c>
      <c r="C81" s="22" t="s">
        <v>242</v>
      </c>
      <c r="D81" s="22" t="s">
        <v>255</v>
      </c>
      <c r="E81" s="13">
        <v>42679.507222222222</v>
      </c>
      <c r="F81" s="13">
        <v>42679.510717592595</v>
      </c>
      <c r="G81" s="7">
        <v>1</v>
      </c>
      <c r="H81" s="22" t="s">
        <v>377</v>
      </c>
      <c r="I81" s="13">
        <v>42679.535046296296</v>
      </c>
      <c r="J81" s="7">
        <v>0</v>
      </c>
      <c r="K81" s="112" t="str">
        <f t="shared" si="19"/>
        <v>4011/4012</v>
      </c>
      <c r="L81" s="22" t="str">
        <f>VLOOKUP(A81,'Trips&amp;Operators'!$C$1:$E$10000,3,FALSE)</f>
        <v>LOZA</v>
      </c>
      <c r="M81" s="6">
        <f t="shared" si="20"/>
        <v>2.4328703701030463E-2</v>
      </c>
      <c r="N81" s="7">
        <f t="shared" si="21"/>
        <v>35.033333329483867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11:10:24-0600',mode:absolute,to:'2016-11-05 13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4.3799999999999999E-2</v>
      </c>
      <c r="Z81" s="67">
        <f t="shared" si="28"/>
        <v>23.331399999999999</v>
      </c>
      <c r="AA81" s="67">
        <f t="shared" si="29"/>
        <v>23.287599999999998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0169-05</v>
      </c>
      <c r="AE81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81" s="88" t="str">
        <f t="shared" si="32"/>
        <v>"C:\Program Files (x86)\AstroGrep\AstroGrep.exe" /spath="%USERPROFILE%\AppData\Local\Temp\OnboardLogs" /stypes="app*4011*20161105*" /stext=" 18:.+((SYSTEM_STATE.+slice.+state.+changed )|(ment ac)|(system.+state.+changed )|(\[timeout)|(PRM\|1\|D)|(kpr)|(kdp)|(\|loc)|(penalty))"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169-05 --locoid 4011 --swversion DE.1.0.8.0 --startMP 204:438 --initTime 2016-11-05T12:10:24 --startdatetime 2016-11-05T12:15:26 --delay 1 --endMP 204:233314 --enddatetime 2016-11-05T12:50:28 --enforcementcount 0 &gt;&gt;C:\Users\stu\Documents\GitHub\eaglep3-reporting\EC\2016-11-05-refined-times.txt</v>
      </c>
      <c r="AI8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{"issue":{"subject":"","project_id":79,"tracker_id":40,"status_id":1,"priority_id":2,"assigned_to_id":23,"start_date":"2016-11-05","description":"","custom_fields":[{"id":1,"name":"Subdivision","value":"EC"},{"id":4,"name":"Milepost","value":"23.3314"},{"id":17,"name":"Train ID","value":"169-05"},{"id":16,"name":"Locomotive ID","value":"4011"},{"id":130,"name":"Impact","value":""},{"id":150,"name":"Time of Event (Mountain Time)","value":"12:50:28"},{"id":151,"name":"Denver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545</v>
      </c>
      <c r="B82" s="7">
        <v>4012</v>
      </c>
      <c r="C82" s="22" t="s">
        <v>242</v>
      </c>
      <c r="D82" s="22" t="s">
        <v>317</v>
      </c>
      <c r="E82" s="13">
        <v>42679.5466087963</v>
      </c>
      <c r="F82" s="13">
        <v>42679.549513888887</v>
      </c>
      <c r="G82" s="7">
        <v>1</v>
      </c>
      <c r="H82" s="22" t="s">
        <v>205</v>
      </c>
      <c r="I82" s="13">
        <v>42679.575798611113</v>
      </c>
      <c r="J82" s="7">
        <v>0</v>
      </c>
      <c r="K82" s="112" t="str">
        <f t="shared" si="19"/>
        <v>4011/4012</v>
      </c>
      <c r="L82" s="22" t="str">
        <f>VLOOKUP(A82,'Trips&amp;Operators'!$C$1:$E$10000,3,FALSE)</f>
        <v>LOZA</v>
      </c>
      <c r="M82" s="6">
        <f t="shared" si="20"/>
        <v>2.6284722225682344E-2</v>
      </c>
      <c r="N82" s="7">
        <f t="shared" si="21"/>
        <v>37.850000004982576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12:07:07-0600',mode:absolute,to:'2016-11-05 14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23.299099999999999</v>
      </c>
      <c r="Z82" s="67">
        <f t="shared" si="28"/>
        <v>1.43E-2</v>
      </c>
      <c r="AA82" s="67">
        <f t="shared" si="29"/>
        <v>23.284800000000001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0170-05</v>
      </c>
      <c r="AE82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82" s="88" t="str">
        <f t="shared" si="32"/>
        <v>"C:\Program Files (x86)\AstroGrep\AstroGrep.exe" /spath="%USERPROFILE%\AppData\Local\Temp\OnboardLogs" /stypes="app*4012*20161105*" /stext=" 19:.+((SYSTEM_STATE.+slice.+state.+changed )|(ment ac)|(system.+state.+changed )|(\[timeout)|(PRM\|1\|D)|(kpr)|(kdp)|(\|loc)|(penalty))"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170-05 --locoid 4012 --swversion DE.1.0.8.0 --startMP 204:232991 --initTime 2016-11-05T13:07:07 --startdatetime 2016-11-05T13:11:18 --delay 1 --endMP 204:143 --enddatetime 2016-11-05T13:49:09 --enforcementcount 0 &gt;&gt;C:\Users\stu\Documents\GitHub\eaglep3-reporting\EC\2016-11-05-refined-times.txt</v>
      </c>
      <c r="AI8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ID","value":"170-05"},{"id":16,"name":"Locomotive ID","value":"4012"},{"id":130,"name":"Impact","value":""},{"id":150,"name":"Time of Event (Mountain Time)","value":"13:49:09"},{"id":151,"name":"Denver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538</v>
      </c>
      <c r="B83" s="7">
        <v>4025</v>
      </c>
      <c r="C83" s="22" t="s">
        <v>242</v>
      </c>
      <c r="D83" s="22" t="s">
        <v>208</v>
      </c>
      <c r="E83" s="13">
        <v>42679.516250000001</v>
      </c>
      <c r="F83" s="13">
        <v>42679.521180555559</v>
      </c>
      <c r="G83" s="7">
        <v>6</v>
      </c>
      <c r="H83" s="22" t="s">
        <v>377</v>
      </c>
      <c r="I83" s="13">
        <v>42679.545543981483</v>
      </c>
      <c r="J83" s="7">
        <v>0</v>
      </c>
      <c r="K83" s="112" t="str">
        <f t="shared" si="19"/>
        <v>4025/4026</v>
      </c>
      <c r="L83" s="22" t="str">
        <f>VLOOKUP(A83,'Trips&amp;Operators'!$C$1:$E$10000,3,FALSE)</f>
        <v>STORY</v>
      </c>
      <c r="M83" s="6">
        <f t="shared" si="20"/>
        <v>2.4363425924093463E-2</v>
      </c>
      <c r="N83" s="7">
        <f t="shared" si="21"/>
        <v>35.083333330694586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11:23:24-0600',mode:absolute,to:'2016-11-05 14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4.5499999999999999E-2</v>
      </c>
      <c r="Z83" s="67">
        <f t="shared" si="28"/>
        <v>23.331399999999999</v>
      </c>
      <c r="AA83" s="67">
        <f t="shared" si="29"/>
        <v>23.285899999999998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0171-05</v>
      </c>
      <c r="AE83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83" s="88" t="str">
        <f t="shared" si="32"/>
        <v>"C:\Program Files (x86)\AstroGrep\AstroGrep.exe" /spath="%USERPROFILE%\AppData\Local\Temp\OnboardLogs" /stypes="app*4025*20161105*" /stext=" 19:.+((SYSTEM_STATE.+slice.+state.+changed )|(ment ac)|(system.+state.+changed )|(\[timeout)|(PRM\|1\|D)|(kpr)|(kdp)|(\|loc)|(penalty))"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171-05 --locoid 4025 --swversion DE.1.0.8.0 --startMP 204:455 --initTime 2016-11-05T12:23:24 --startdatetime 2016-11-05T12:30:30 --delay 6 --endMP 204:233314 --enddatetime 2016-11-05T13:05:35 --enforcementcount 0 &gt;&gt;C:\Users\stu\Documents\GitHub\eaglep3-reporting\EC\2016-11-05-refined-times.txt</v>
      </c>
      <c r="AI8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{"issue":{"subject":"","project_id":79,"tracker_id":40,"status_id":1,"priority_id":2,"assigned_to_id":23,"start_date":"2016-11-05","description":"","custom_fields":[{"id":1,"name":"Subdivision","value":"EC"},{"id":4,"name":"Milepost","value":"23.3314"},{"id":17,"name":"Train ID","value":"171-05"},{"id":16,"name":"Locomotive ID","value":"4025"},{"id":130,"name":"Impact","value":""},{"id":150,"name":"Time of Event (Mountain Time)","value":"13:05:35"},{"id":151,"name":"Denver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547</v>
      </c>
      <c r="B84" s="7">
        <v>4026</v>
      </c>
      <c r="C84" s="22" t="s">
        <v>242</v>
      </c>
      <c r="D84" s="22" t="s">
        <v>271</v>
      </c>
      <c r="E84" s="13">
        <v>42679.556469907409</v>
      </c>
      <c r="F84" s="13">
        <v>42679.594340277778</v>
      </c>
      <c r="G84" s="7">
        <v>1</v>
      </c>
      <c r="H84" s="22" t="s">
        <v>265</v>
      </c>
      <c r="I84" s="13">
        <v>42679.618622685186</v>
      </c>
      <c r="J84" s="7">
        <v>0</v>
      </c>
      <c r="K84" s="112" t="str">
        <f t="shared" si="19"/>
        <v>4025/4026</v>
      </c>
      <c r="L84" s="22" t="str">
        <f>VLOOKUP(A84,'Trips&amp;Operators'!$C$1:$E$10000,3,FALSE)</f>
        <v>STORY</v>
      </c>
      <c r="M84" s="6">
        <f t="shared" si="20"/>
        <v>2.4282407408463769E-2</v>
      </c>
      <c r="N84" s="7">
        <f t="shared" si="21"/>
        <v>34.966666668187827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12:21:19-0600',mode:absolute,to:'2016-11-05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23.299600000000002</v>
      </c>
      <c r="Z84" s="67">
        <f t="shared" si="28"/>
        <v>1.5800000000000002E-2</v>
      </c>
      <c r="AA84" s="67">
        <f t="shared" si="29"/>
        <v>23.283800000000003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0172-05</v>
      </c>
      <c r="AE84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84" s="88" t="str">
        <f t="shared" si="32"/>
        <v>"C:\Program Files (x86)\AstroGrep\AstroGrep.exe" /spath="%USERPROFILE%\AppData\Local\Temp\OnboardLogs" /stypes="app*4026*20161105*" /stext=" 20:.+((SYSTEM_STATE.+slice.+state.+changed )|(ment ac)|(system.+state.+changed )|(\[timeout)|(PRM\|1\|D)|(kpr)|(kdp)|(\|loc)|(penalty))"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172-05 --locoid 4026 --swversion DE.1.0.8.0 --startMP 204:232996 --initTime 2016-11-05T13:21:19 --startdatetime 2016-11-05T14:15:51 --delay 1 --endMP 204:158 --enddatetime 2016-11-05T14:50:49 --enforcementcount 0 &gt;&gt;C:\Users\stu\Documents\GitHub\eaglep3-reporting\EC\2016-11-05-refined-times.txt</v>
      </c>
      <c r="AI8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ID","value":"172-05"},{"id":16,"name":"Locomotive ID","value":"4026"},{"id":130,"name":"Impact","value":""},{"id":150,"name":"Time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427</v>
      </c>
      <c r="B85" s="7">
        <v>4018</v>
      </c>
      <c r="C85" s="22" t="s">
        <v>242</v>
      </c>
      <c r="D85" s="22" t="s">
        <v>228</v>
      </c>
      <c r="E85" s="13">
        <v>42679.526331018518</v>
      </c>
      <c r="F85" s="13">
        <v>42679.5315162037</v>
      </c>
      <c r="G85" s="7">
        <v>1</v>
      </c>
      <c r="H85" s="22" t="s">
        <v>672</v>
      </c>
      <c r="I85" s="13">
        <v>42679.557129629633</v>
      </c>
      <c r="J85" s="7">
        <v>0</v>
      </c>
      <c r="K85" s="112" t="str">
        <f t="shared" si="19"/>
        <v>4017/4018</v>
      </c>
      <c r="L85" s="22" t="str">
        <f>VLOOKUP(A85,'Trips&amp;Operators'!$C$1:$E$10000,3,FALSE)</f>
        <v>STEWART</v>
      </c>
      <c r="M85" s="6">
        <f t="shared" si="20"/>
        <v>2.5613425932533573E-2</v>
      </c>
      <c r="N85" s="7">
        <f t="shared" si="21"/>
        <v>36.883333342848346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4.6199999999999998E-2</v>
      </c>
      <c r="Z85" s="67">
        <f t="shared" si="28"/>
        <v>23.327999999999999</v>
      </c>
      <c r="AA85" s="67">
        <f t="shared" si="29"/>
        <v>23.2818</v>
      </c>
      <c r="AB85" s="64" t="str">
        <f>VLOOKUP(A85,Enforcements!$C$7:$K$21,8,0)</f>
        <v>Bulletin (2)</v>
      </c>
      <c r="AC85" s="60" t="str">
        <f>VLOOKUP(A85,Enforcements!$C$7:$E$21,3,0)</f>
        <v>GRADE CROSSING</v>
      </c>
      <c r="AD85" s="61" t="str">
        <f t="shared" si="30"/>
        <v>0173-05</v>
      </c>
      <c r="AE85" s="91" t="str">
        <f t="shared" si="31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85" s="88" t="str">
        <f t="shared" si="32"/>
        <v>"C:\Program Files (x86)\AstroGrep\AstroGrep.exe" /spath="%USERPROFILE%\AppData\Local\Temp\OnboardLogs" /stypes="app*4018*20161105*" /stext=" 19:.+((SYSTEM_STATE.+slice.+state.+changed )|(ment ac)|(system.+state.+changed )|(\[timeout)|(PRM\|1\|D)|(kpr)|(kdp)|(\|loc)|(penalty))"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173-05 --locoid 4018 --swversion DE.1.0.8.0 --startMP 204:462 --initTime 2016-11-05T12:37:55 --startdatetime 2016-11-05T12:45:23 --delay 1 --endMP 204:233280 --enddatetime 2016-11-05T13:22:16 --enforcementcount 0 &gt;&gt;C:\Users\stu\Documents\GitHub\eaglep3-reporting\EC\2016-11-05-refined-times.txt</v>
      </c>
      <c r="AI8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{"issue":{"subject":"","project_id":79,"tracker_id":40,"status_id":1,"priority_id":2,"assigned_to_id":23,"start_date":"2016-11-05","description":"","custom_fields":[{"id":1,"name":"Subdivision","value":"EC"},{"id":4,"name":"Milepost","value":"23.328"},{"id":17,"name":"Train ID","value":"173-05"},{"id":16,"name":"Locomotive ID","value":"4018"},{"id":130,"name":"Impact","value":""},{"id":150,"name":"Time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552</v>
      </c>
      <c r="B86" s="7">
        <v>4017</v>
      </c>
      <c r="C86" s="22" t="s">
        <v>242</v>
      </c>
      <c r="D86" s="22" t="s">
        <v>310</v>
      </c>
      <c r="E86" s="13">
        <v>42679.569166666668</v>
      </c>
      <c r="F86" s="13">
        <v>42679.570775462962</v>
      </c>
      <c r="G86" s="7">
        <v>1</v>
      </c>
      <c r="H86" s="22" t="s">
        <v>223</v>
      </c>
      <c r="I86" s="13">
        <v>42679.596585648149</v>
      </c>
      <c r="J86" s="7">
        <v>0</v>
      </c>
      <c r="K86" s="112" t="str">
        <f t="shared" si="19"/>
        <v>4017/4018</v>
      </c>
      <c r="L86" s="22" t="str">
        <f>VLOOKUP(A86,'Trips&amp;Operators'!$C$1:$E$10000,3,FALSE)</f>
        <v>STEWART</v>
      </c>
      <c r="M86" s="6">
        <f t="shared" si="20"/>
        <v>2.5810185186855961E-2</v>
      </c>
      <c r="N86" s="7">
        <f t="shared" si="21"/>
        <v>37.166666669072583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12:39:36-0600',mode:absolute,to:'2016-11-05 15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23.2987</v>
      </c>
      <c r="Z86" s="67">
        <f t="shared" si="28"/>
        <v>1.5599999999999999E-2</v>
      </c>
      <c r="AA86" s="67">
        <f t="shared" si="29"/>
        <v>23.283100000000001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0174-05</v>
      </c>
      <c r="AE86" s="91" t="str">
        <f t="shared" si="31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86" s="88" t="str">
        <f t="shared" si="32"/>
        <v>"C:\Program Files (x86)\AstroGrep\AstroGrep.exe" /spath="%USERPROFILE%\AppData\Local\Temp\OnboardLogs" /stypes="app*4017*20161105*" /stext=" 20:.+((SYSTEM_STATE.+slice.+state.+changed )|(ment ac)|(system.+state.+changed )|(\[timeout)|(PRM\|1\|D)|(kpr)|(kdp)|(\|loc)|(penalty))"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174-05 --locoid 4017 --swversion DE.1.0.8.0 --startMP 204:232987 --initTime 2016-11-05T13:39:36 --startdatetime 2016-11-05T13:41:55 --delay 1 --endMP 204:156 --enddatetime 2016-11-05T14:19:05 --enforcementcount 0 &gt;&gt;C:\Users\stu\Documents\GitHub\eaglep3-reporting\EC\2016-11-05-refined-times.txt</v>
      </c>
      <c r="AI8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{"issue":{"subject":"","project_id":79,"tracker_id":40,"status_id":1,"priority_id":2,"assigned_to_id":23,"start_date":"2016-11-05","description":"","custom_fields":[{"id":1,"name":"Subdivision","value":"EC"},{"id":4,"name":"Milepost","value":"0.0156"},{"id":17,"name":"Train ID","value":"174-05"},{"id":16,"name":"Locomotive ID","value":"4017"},{"id":130,"name":"Impact","value":""},{"id":150,"name":"Time of Event (Mountain Time)","value":"14:19:05"},{"id":151,"name":"Denver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543</v>
      </c>
      <c r="B87" s="7">
        <v>4053</v>
      </c>
      <c r="C87" s="22" t="s">
        <v>242</v>
      </c>
      <c r="D87" s="22" t="s">
        <v>228</v>
      </c>
      <c r="E87" s="13">
        <v>42679.535428240742</v>
      </c>
      <c r="F87" s="13">
        <v>42679.541921296295</v>
      </c>
      <c r="G87" s="7">
        <v>1</v>
      </c>
      <c r="H87" s="22" t="s">
        <v>340</v>
      </c>
      <c r="I87" s="13">
        <v>42679.566770833335</v>
      </c>
      <c r="J87" s="7">
        <v>0</v>
      </c>
      <c r="K87" s="112" t="str">
        <f t="shared" si="19"/>
        <v>4053/4054</v>
      </c>
      <c r="L87" s="22" t="str">
        <f>VLOOKUP(A87,'Trips&amp;Operators'!$C$1:$E$10000,3,FALSE)</f>
        <v>BARTLETT</v>
      </c>
      <c r="M87" s="6">
        <f t="shared" si="20"/>
        <v>2.4849537039699499E-2</v>
      </c>
      <c r="N87" s="7">
        <f t="shared" si="21"/>
        <v>35.783333337167278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11:51:01-0600',mode:absolute,to:'2016-11-05 14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4.6199999999999998E-2</v>
      </c>
      <c r="Z87" s="67">
        <f t="shared" si="28"/>
        <v>23.330500000000001</v>
      </c>
      <c r="AA87" s="67">
        <f t="shared" si="29"/>
        <v>23.284300000000002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0175-05</v>
      </c>
      <c r="AE87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87" s="88" t="str">
        <f t="shared" si="32"/>
        <v>"C:\Program Files (x86)\AstroGrep\AstroGrep.exe" /spath="%USERPROFILE%\AppData\Local\Temp\OnboardLogs" /stypes="app*4053*20161105*" /stext=" 19:.+((SYSTEM_STATE.+slice.+state.+changed )|(ment ac)|(system.+state.+changed )|(\[timeout)|(PRM\|1\|D)|(kpr)|(kdp)|(\|loc)|(penalty))"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175-05 --locoid 4053 --swversion DE.1.0.8.0 --startMP 204:462 --initTime 2016-11-05T12:51:01 --startdatetime 2016-11-05T13:00:22 --delay 1 --endMP 204:233305 --enddatetime 2016-11-05T13:36:09 --enforcementcount 0 &gt;&gt;C:\Users\stu\Documents\GitHub\eaglep3-reporting\EC\2016-11-05-refined-times.txt</v>
      </c>
      <c r="AI8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{"issue":{"subject":"","project_id":79,"tracker_id":40,"status_id":1,"priority_id":2,"assigned_to_id":23,"start_date":"2016-11-05","description":"","custom_fields":[{"id":1,"name":"Subdivision","value":"EC"},{"id":4,"name":"Milepost","value":"23.3305"},{"id":17,"name":"Train ID","value":"175-05"},{"id":16,"name":"Locomotive ID","value":"4053"},{"id":130,"name":"Impact","value":""},{"id":150,"name":"Time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551</v>
      </c>
      <c r="B88" s="7">
        <v>4054</v>
      </c>
      <c r="C88" s="22" t="s">
        <v>242</v>
      </c>
      <c r="D88" s="22" t="s">
        <v>397</v>
      </c>
      <c r="E88" s="13">
        <v>42679.568715277775</v>
      </c>
      <c r="F88" s="13">
        <v>42679.58079861111</v>
      </c>
      <c r="G88" s="7">
        <v>1</v>
      </c>
      <c r="H88" s="22" t="s">
        <v>223</v>
      </c>
      <c r="I88" s="13">
        <v>42679.606666666667</v>
      </c>
      <c r="J88" s="7">
        <v>0</v>
      </c>
      <c r="K88" s="112" t="str">
        <f t="shared" si="19"/>
        <v>4053/4054</v>
      </c>
      <c r="L88" s="22" t="str">
        <f>VLOOKUP(A88,'Trips&amp;Operators'!$C$1:$E$10000,3,FALSE)</f>
        <v>BARTLETT</v>
      </c>
      <c r="M88" s="6">
        <f t="shared" si="20"/>
        <v>2.5868055556202307E-2</v>
      </c>
      <c r="N88" s="7">
        <f t="shared" si="21"/>
        <v>37.250000000931323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12:38:57-0600',mode:absolute,to:'2016-11-05 15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23.3003</v>
      </c>
      <c r="Z88" s="67">
        <f t="shared" si="28"/>
        <v>1.5599999999999999E-2</v>
      </c>
      <c r="AA88" s="67">
        <f t="shared" si="29"/>
        <v>23.284700000000001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0176-05</v>
      </c>
      <c r="AE88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88" s="88" t="str">
        <f t="shared" si="32"/>
        <v>"C:\Program Files (x86)\AstroGrep\AstroGrep.exe" /spath="%USERPROFILE%\AppData\Local\Temp\OnboardLogs" /stypes="app*4054*20161105*" /stext=" 20:.+((SYSTEM_STATE.+slice.+state.+changed )|(ment ac)|(system.+state.+changed )|(\[timeout)|(PRM\|1\|D)|(kpr)|(kdp)|(\|loc)|(penalty))"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176-05 --locoid 4054 --swversion DE.1.0.8.0 --startMP 204:233003 --initTime 2016-11-05T13:38:57 --startdatetime 2016-11-05T13:56:21 --delay 1 --endMP 204:156 --enddatetime 2016-11-05T14:33:36 --enforcementcount 0 &gt;&gt;C:\Users\stu\Documents\GitHub\eaglep3-reporting\EC\2016-11-05-refined-times.txt</v>
      </c>
      <c r="AI8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{"issue":{"subject":"","project_id":79,"tracker_id":40,"status_id":1,"priority_id":2,"assigned_to_id":23,"start_date":"2016-11-05","description":"","custom_fields":[{"id":1,"name":"Subdivision","value":"EC"},{"id":4,"name":"Milepost","value":"0.0156"},{"id":17,"name":"Train ID","value":"176-05"},{"id":16,"name":"Locomotive ID","value":"4054"},{"id":130,"name":"Impact","value":""},{"id":150,"name":"Time of Event (Mountain Time)","value":"14:33:36"},{"id":151,"name":"Denver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546</v>
      </c>
      <c r="B89" s="7">
        <v>4016</v>
      </c>
      <c r="C89" s="22" t="s">
        <v>242</v>
      </c>
      <c r="D89" s="22" t="s">
        <v>212</v>
      </c>
      <c r="E89" s="13">
        <v>42679.547326388885</v>
      </c>
      <c r="F89" s="13">
        <v>42679.552361111113</v>
      </c>
      <c r="G89" s="7">
        <v>1</v>
      </c>
      <c r="H89" s="22" t="s">
        <v>210</v>
      </c>
      <c r="I89" s="13">
        <v>42679.577835648146</v>
      </c>
      <c r="J89" s="7">
        <v>0</v>
      </c>
      <c r="K89" s="112" t="str">
        <f t="shared" si="19"/>
        <v>4015/4016</v>
      </c>
      <c r="L89" s="22" t="str">
        <f>VLOOKUP(A89,'Trips&amp;Operators'!$C$1:$E$10000,3,FALSE)</f>
        <v>SWANSON</v>
      </c>
      <c r="M89" s="6">
        <f t="shared" si="20"/>
        <v>2.5474537033005618E-2</v>
      </c>
      <c r="N89" s="7">
        <f t="shared" si="21"/>
        <v>36.683333327528089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12:08:09-0600',mode:absolute,to:'2016-11-05 14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4.5100000000000001E-2</v>
      </c>
      <c r="Z89" s="67">
        <f t="shared" si="28"/>
        <v>23.329499999999999</v>
      </c>
      <c r="AA89" s="67">
        <f t="shared" si="29"/>
        <v>23.284399999999998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0177-05</v>
      </c>
      <c r="AE89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89" s="88" t="str">
        <f t="shared" si="32"/>
        <v>"C:\Program Files (x86)\AstroGrep\AstroGrep.exe" /spath="%USERPROFILE%\AppData\Local\Temp\OnboardLogs" /stypes="app*4016*20161105*" /stext=" 19:.+((SYSTEM_STATE.+slice.+state.+changed )|(ment ac)|(system.+state.+changed )|(\[timeout)|(PRM\|1\|D)|(kpr)|(kdp)|(\|loc)|(penalty))"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177-05 --locoid 4016 --swversion DE.1.0.8.0 --startMP 204:451 --initTime 2016-11-05T13:08:09 --startdatetime 2016-11-05T13:15:24 --delay 1 --endMP 204:233295 --enddatetime 2016-11-05T13:52:05 --enforcementcount 0 &gt;&gt;C:\Users\stu\Documents\GitHub\eaglep3-reporting\EC\2016-11-05-refined-times.txt</v>
      </c>
      <c r="AI8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ID","value":"177-05"},{"id":16,"name":"Locomotive ID","value":"4016"},{"id":130,"name":"Impact","value":""},{"id":150,"name":"Time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553</v>
      </c>
      <c r="B90" s="7">
        <v>4015</v>
      </c>
      <c r="C90" s="22" t="s">
        <v>242</v>
      </c>
      <c r="D90" s="22" t="s">
        <v>673</v>
      </c>
      <c r="E90" s="13">
        <v>42679.580451388887</v>
      </c>
      <c r="F90" s="13">
        <v>42679.591307870367</v>
      </c>
      <c r="G90" s="7">
        <v>1</v>
      </c>
      <c r="H90" s="22" t="s">
        <v>181</v>
      </c>
      <c r="I90" s="13">
        <v>42679.617997685185</v>
      </c>
      <c r="J90" s="7">
        <v>0</v>
      </c>
      <c r="K90" s="112" t="str">
        <f t="shared" si="19"/>
        <v>4015/4016</v>
      </c>
      <c r="L90" s="22" t="str">
        <f>VLOOKUP(A90,'Trips&amp;Operators'!$C$1:$E$10000,3,FALSE)</f>
        <v>SWANSON</v>
      </c>
      <c r="M90" s="6">
        <f t="shared" si="20"/>
        <v>2.6689814818382729E-2</v>
      </c>
      <c r="N90" s="7">
        <f t="shared" si="21"/>
        <v>38.43333333847113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12:55:51-0600',mode:absolute,to:'2016-11-05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23.296199999999999</v>
      </c>
      <c r="Z90" s="67">
        <f t="shared" si="28"/>
        <v>1.41E-2</v>
      </c>
      <c r="AA90" s="67">
        <f t="shared" si="29"/>
        <v>23.2821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0178-05</v>
      </c>
      <c r="AE90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90" s="88" t="str">
        <f t="shared" si="32"/>
        <v>"C:\Program Files (x86)\AstroGrep\AstroGrep.exe" /spath="%USERPROFILE%\AppData\Local\Temp\OnboardLogs" /stypes="app*4015*20161105*" /stext=" 20:.+((SYSTEM_STATE.+slice.+state.+changed )|(ment ac)|(system.+state.+changed )|(\[timeout)|(PRM\|1\|D)|(kpr)|(kdp)|(\|loc)|(penalty))"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178-05 --locoid 4015 --swversion DE.1.0.8.0 --startMP 204:232962 --initTime 2016-11-05T13:55:51 --startdatetime 2016-11-05T14:11:29 --delay 1 --endMP 204:141 --enddatetime 2016-11-05T14:49:55 --enforcementcount 0 &gt;&gt;C:\Users\stu\Documents\GitHub\eaglep3-reporting\EC\2016-11-05-refined-times.txt</v>
      </c>
      <c r="AI9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{"issue":{"subject":"","project_id":79,"tracker_id":40,"status_id":1,"priority_id":2,"assigned_to_id":23,"start_date":"2016-11-05","description":"","custom_fields":[{"id":1,"name":"Subdivision","value":"EC"},{"id":4,"name":"Milepost","value":"0.0141"},{"id":17,"name":"Train ID","value":"178-05"},{"id":16,"name":"Locomotive ID","value":"4015"},{"id":130,"name":"Impact","value":""},{"id":150,"name":"Time of Event (Mountain Time)","value":"14:49:55"},{"id":151,"name":"Denver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548</v>
      </c>
      <c r="B91" s="7">
        <v>4040</v>
      </c>
      <c r="C91" s="22" t="s">
        <v>242</v>
      </c>
      <c r="D91" s="22" t="s">
        <v>212</v>
      </c>
      <c r="E91" s="13">
        <v>42679.558055555557</v>
      </c>
      <c r="F91" s="13">
        <v>42679.562696759262</v>
      </c>
      <c r="G91" s="7">
        <v>1</v>
      </c>
      <c r="H91" s="22" t="s">
        <v>658</v>
      </c>
      <c r="I91" s="13">
        <v>42679.587835648148</v>
      </c>
      <c r="J91" s="7">
        <v>0</v>
      </c>
      <c r="K91" s="112" t="str">
        <f t="shared" si="19"/>
        <v>4039/4040</v>
      </c>
      <c r="L91" s="22" t="str">
        <f>VLOOKUP(A91,'Trips&amp;Operators'!$C$1:$E$10000,3,FALSE)</f>
        <v>SHOOK</v>
      </c>
      <c r="M91" s="6">
        <f t="shared" si="20"/>
        <v>2.5138888886431232E-2</v>
      </c>
      <c r="N91" s="7">
        <f t="shared" si="21"/>
        <v>36.199999996460974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12:23:36-0600',mode:absolute,to:'2016-11-05 15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4.5100000000000001E-2</v>
      </c>
      <c r="Z91" s="67">
        <f t="shared" si="28"/>
        <v>23.337599999999998</v>
      </c>
      <c r="AA91" s="67">
        <f t="shared" si="29"/>
        <v>23.292499999999997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0179-05</v>
      </c>
      <c r="AE91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91" s="88" t="str">
        <f t="shared" si="32"/>
        <v>"C:\Program Files (x86)\AstroGrep\AstroGrep.exe" /spath="%USERPROFILE%\AppData\Local\Temp\OnboardLogs" /stypes="app*4040*20161105*" /stext=" 20:.+((SYSTEM_STATE.+slice.+state.+changed )|(ment ac)|(system.+state.+changed )|(\[timeout)|(PRM\|1\|D)|(kpr)|(kdp)|(\|loc)|(penalty))"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179-05 --locoid 4040 --swversion DE.1.0.8.0 --startMP 204:451 --initTime 2016-11-05T13:23:36 --startdatetime 2016-11-05T13:30:17 --delay 1 --endMP 204:233376 --enddatetime 2016-11-05T14:06:29 --enforcementcount 0 &gt;&gt;C:\Users\stu\Documents\GitHub\eaglep3-reporting\EC\2016-11-05-refined-times.txt</v>
      </c>
      <c r="AI9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{"issue":{"subject":"","project_id":79,"tracker_id":40,"status_id":1,"priority_id":2,"assigned_to_id":23,"start_date":"2016-11-05","description":"","custom_fields":[{"id":1,"name":"Subdivision","value":"EC"},{"id":4,"name":"Milepost","value":"23.3376"},{"id":17,"name":"Train ID","value":"179-05"},{"id":16,"name":"Locomotive ID","value":"4040"},{"id":130,"name":"Impact","value":""},{"id":150,"name":"Time of Event (Mountain Time)","value":"14:06:29"},{"id":151,"name":"Denver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557</v>
      </c>
      <c r="B92" s="7">
        <v>4039</v>
      </c>
      <c r="C92" s="22" t="s">
        <v>242</v>
      </c>
      <c r="D92" s="22" t="s">
        <v>674</v>
      </c>
      <c r="E92" s="13">
        <v>42679.596562500003</v>
      </c>
      <c r="F92" s="13">
        <v>42679.601585648146</v>
      </c>
      <c r="G92" s="7">
        <v>1</v>
      </c>
      <c r="H92" s="22" t="s">
        <v>265</v>
      </c>
      <c r="I92" s="13">
        <v>42679.62773148148</v>
      </c>
      <c r="J92" s="7">
        <v>0</v>
      </c>
      <c r="K92" s="112" t="str">
        <f t="shared" si="19"/>
        <v>4039/4040</v>
      </c>
      <c r="L92" s="22" t="str">
        <f>VLOOKUP(A92,'Trips&amp;Operators'!$C$1:$E$10000,3,FALSE)</f>
        <v>SHOOK</v>
      </c>
      <c r="M92" s="6">
        <f t="shared" si="20"/>
        <v>2.6145833333430346E-2</v>
      </c>
      <c r="N92" s="7">
        <f t="shared" si="21"/>
        <v>37.650000000139698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13:19:03-0600',mode:absolute,to:'2016-11-05 16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23.305299999999999</v>
      </c>
      <c r="Z92" s="67">
        <f t="shared" si="28"/>
        <v>1.5800000000000002E-2</v>
      </c>
      <c r="AA92" s="67">
        <f t="shared" si="29"/>
        <v>23.2895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0180-05</v>
      </c>
      <c r="AE92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92" s="88" t="str">
        <f t="shared" si="32"/>
        <v>"C:\Program Files (x86)\AstroGrep\AstroGrep.exe" /spath="%USERPROFILE%\AppData\Local\Temp\OnboardLogs" /stypes="app*4039*20161105*" /stext=" 21:.+((SYSTEM_STATE.+slice.+state.+changed )|(ment ac)|(system.+state.+changed )|(\[timeout)|(PRM\|1\|D)|(kpr)|(kdp)|(\|loc)|(penalty))"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180-05 --locoid 4039 --swversion DE.1.0.8.0 --startMP 204:233053 --initTime 2016-11-05T14:19:03 --startdatetime 2016-11-05T14:26:17 --delay 1 --endMP 204:158 --enddatetime 2016-11-05T15:03:56 --enforcementcount 0 &gt;&gt;C:\Users\stu\Documents\GitHub\eaglep3-reporting\EC\2016-11-05-refined-times.txt</v>
      </c>
      <c r="AI9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ID","value":"180-05"},{"id":16,"name":"Locomotive ID","value":"4039"},{"id":130,"name":"Impact","value":""},{"id":150,"name":"Time of Event (Mountain Time)","value":"15:03:56"},{"id":151,"name":"Denver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549</v>
      </c>
      <c r="B93" s="7">
        <v>4014</v>
      </c>
      <c r="C93" s="22" t="s">
        <v>242</v>
      </c>
      <c r="D93" s="22" t="s">
        <v>212</v>
      </c>
      <c r="E93" s="13">
        <v>42679.566944444443</v>
      </c>
      <c r="F93" s="13">
        <v>42679.573136574072</v>
      </c>
      <c r="G93" s="7">
        <v>1</v>
      </c>
      <c r="H93" s="22" t="s">
        <v>687</v>
      </c>
      <c r="I93" s="13">
        <v>42679.597488425927</v>
      </c>
      <c r="J93" s="7">
        <v>0</v>
      </c>
      <c r="K93" s="112" t="str">
        <f t="shared" si="19"/>
        <v>4013/4014</v>
      </c>
      <c r="L93" s="22" t="str">
        <f>VLOOKUP(A93,'Trips&amp;Operators'!$C$1:$E$10000,3,FALSE)</f>
        <v>BRUDER</v>
      </c>
      <c r="M93" s="6">
        <f t="shared" si="20"/>
        <v>2.4351851854589768E-2</v>
      </c>
      <c r="N93" s="7">
        <f t="shared" si="21"/>
        <v>35.066666670609266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12:36:24-0600',mode:absolute,to:'2016-11-05 15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4.5100000000000001E-2</v>
      </c>
      <c r="Z93" s="67">
        <f t="shared" si="28"/>
        <v>23.33</v>
      </c>
      <c r="AA93" s="67">
        <f t="shared" si="29"/>
        <v>23.284899999999997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0181-05</v>
      </c>
      <c r="AE93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93" s="88" t="str">
        <f t="shared" si="32"/>
        <v>"C:\Program Files (x86)\AstroGrep\AstroGrep.exe" /spath="%USERPROFILE%\AppData\Local\Temp\OnboardLogs" /stypes="app*4014*20161105*" /stext=" 20:.+((SYSTEM_STATE.+slice.+state.+changed )|(ment ac)|(system.+state.+changed )|(\[timeout)|(PRM\|1\|D)|(kpr)|(kdp)|(\|loc)|(penalty))"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181-05 --locoid 4014 --swversion DE.1.0.8.0 --startMP 204:451 --initTime 2016-11-05T13:36:24 --startdatetime 2016-11-05T13:45:19 --delay 1 --endMP 204:233300 --enddatetime 2016-11-05T14:20:23 --enforcementcount 0 &gt;&gt;C:\Users\stu\Documents\GitHub\eaglep3-reporting\EC\2016-11-05-refined-times.txt</v>
      </c>
      <c r="AI9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{"issue":{"subject":"","project_id":79,"tracker_id":40,"status_id":1,"priority_id":2,"assigned_to_id":23,"start_date":"2016-11-05","description":"","custom_fields":[{"id":1,"name":"Subdivision","value":"EC"},{"id":4,"name":"Milepost","value":"23.33"},{"id":17,"name":"Train ID","value":"181-05"},{"id":16,"name":"Locomotive ID","value":"4014"},{"id":130,"name":"Impact","value":""},{"id":150,"name":"Time of Event (Mountain Time)","value":"14:20:23"},{"id":151,"name":"Denver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559</v>
      </c>
      <c r="B94" s="7">
        <v>4013</v>
      </c>
      <c r="C94" s="22" t="s">
        <v>242</v>
      </c>
      <c r="D94" s="22" t="s">
        <v>311</v>
      </c>
      <c r="E94" s="13">
        <v>42679.604895833334</v>
      </c>
      <c r="F94" s="13">
        <v>42679.612141203703</v>
      </c>
      <c r="G94" s="7">
        <v>1</v>
      </c>
      <c r="H94" s="22" t="s">
        <v>201</v>
      </c>
      <c r="I94" s="13">
        <v>42679.637592592589</v>
      </c>
      <c r="J94" s="7">
        <v>0</v>
      </c>
      <c r="K94" s="112" t="str">
        <f t="shared" si="19"/>
        <v>4013/4014</v>
      </c>
      <c r="L94" s="22" t="str">
        <f>VLOOKUP(A94,'Trips&amp;Operators'!$C$1:$E$10000,3,FALSE)</f>
        <v>BRUDER</v>
      </c>
      <c r="M94" s="6">
        <f t="shared" si="20"/>
        <v>2.545138888672227E-2</v>
      </c>
      <c r="N94" s="7">
        <f t="shared" si="21"/>
        <v>36.649999996880069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13:31:03-0600',mode:absolute,to:'2016-11-05 16:18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23.299800000000001</v>
      </c>
      <c r="Z94" s="67">
        <f t="shared" si="28"/>
        <v>1.54E-2</v>
      </c>
      <c r="AA94" s="67">
        <f t="shared" si="29"/>
        <v>23.284400000000002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0182-05</v>
      </c>
      <c r="AE94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94" s="88" t="str">
        <f t="shared" si="32"/>
        <v>"C:\Program Files (x86)\AstroGrep\AstroGrep.exe" /spath="%USERPROFILE%\AppData\Local\Temp\OnboardLogs" /stypes="app*4013*20161105*" /stext=" 21:.+((SYSTEM_STATE.+slice.+state.+changed )|(ment ac)|(system.+state.+changed )|(\[timeout)|(PRM\|1\|D)|(kpr)|(kdp)|(\|loc)|(penalty))"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182-05 --locoid 4013 --swversion DE.1.0.8.0 --startMP 204:232998 --initTime 2016-11-05T14:31:03 --startdatetime 2016-11-05T14:41:29 --delay 1 --endMP 204:154 --enddatetime 2016-11-05T15:18:08 --enforcementcount 0 &gt;&gt;C:\Users\stu\Documents\GitHub\eaglep3-reporting\EC\2016-11-05-refined-times.txt</v>
      </c>
      <c r="AI9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ID","value":"182-05"},{"id":16,"name":"Locomotive ID","value":"4013"},{"id":130,"name":"Impact","value":""},{"id":150,"name":"Time of Event (Mountain Time)","value":"15:18:08"},{"id":151,"name":"Denver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554</v>
      </c>
      <c r="B95" s="7">
        <v>4011</v>
      </c>
      <c r="C95" s="22" t="s">
        <v>242</v>
      </c>
      <c r="D95" s="22" t="s">
        <v>228</v>
      </c>
      <c r="E95" s="13">
        <v>42679.579872685186</v>
      </c>
      <c r="F95" s="13">
        <v>42679.583854166667</v>
      </c>
      <c r="G95" s="7">
        <v>2</v>
      </c>
      <c r="H95" s="22" t="s">
        <v>654</v>
      </c>
      <c r="I95" s="13">
        <v>42679.607754629629</v>
      </c>
      <c r="J95" s="7">
        <v>0</v>
      </c>
      <c r="K95" s="112" t="str">
        <f t="shared" si="19"/>
        <v>4011/4012</v>
      </c>
      <c r="L95" s="22" t="str">
        <f>VLOOKUP(A95,'Trips&amp;Operators'!$C$1:$E$10000,3,FALSE)</f>
        <v>LOZA</v>
      </c>
      <c r="M95" s="6">
        <f t="shared" si="20"/>
        <v>2.3900462962046731E-2</v>
      </c>
      <c r="N95" s="7">
        <f t="shared" si="21"/>
        <v>34.416666665347293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12:55:01-0600',mode:absolute,to:'2016-11-05 15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4.6199999999999998E-2</v>
      </c>
      <c r="Z95" s="67">
        <f t="shared" si="28"/>
        <v>23.3309</v>
      </c>
      <c r="AA95" s="67">
        <f t="shared" si="29"/>
        <v>23.284700000000001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0183-05</v>
      </c>
      <c r="AE95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95" s="88" t="str">
        <f t="shared" si="32"/>
        <v>"C:\Program Files (x86)\AstroGrep\AstroGrep.exe" /spath="%USERPROFILE%\AppData\Local\Temp\OnboardLogs" /stypes="app*4011*20161105*" /stext=" 20:.+((SYSTEM_STATE.+slice.+state.+changed )|(ment ac)|(system.+state.+changed )|(\[timeout)|(PRM\|1\|D)|(kpr)|(kdp)|(\|loc)|(penalty))"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183-05 --locoid 4011 --swversion DE.1.0.8.0 --startMP 204:462 --initTime 2016-11-05T13:55:01 --startdatetime 2016-11-05T14:00:45 --delay 2 --endMP 204:233309 --enddatetime 2016-11-05T14:35:10 --enforcementcount 0 &gt;&gt;C:\Users\stu\Documents\GitHub\eaglep3-reporting\EC\2016-11-05-refined-times.txt</v>
      </c>
      <c r="AI9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{"issue":{"subject":"","project_id":79,"tracker_id":40,"status_id":1,"priority_id":2,"assigned_to_id":23,"start_date":"2016-11-05","description":"","custom_fields":[{"id":1,"name":"Subdivision","value":"EC"},{"id":4,"name":"Milepost","value":"23.3309"},{"id":17,"name":"Train ID","value":"183-05"},{"id":16,"name":"Locomotive ID","value":"4011"},{"id":130,"name":"Impact","value":""},{"id":150,"name":"Time of Event (Mountain Time)","value":"14:35:10"},{"id":151,"name":"Denver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560</v>
      </c>
      <c r="B96" s="7">
        <v>4012</v>
      </c>
      <c r="C96" s="22" t="s">
        <v>242</v>
      </c>
      <c r="D96" s="22" t="s">
        <v>382</v>
      </c>
      <c r="E96" s="13">
        <v>42679.619340277779</v>
      </c>
      <c r="F96" s="13">
        <v>42679.622465277775</v>
      </c>
      <c r="G96" s="7">
        <v>1</v>
      </c>
      <c r="H96" s="22" t="s">
        <v>205</v>
      </c>
      <c r="I96" s="13">
        <v>42679.648263888892</v>
      </c>
      <c r="J96" s="7">
        <v>0</v>
      </c>
      <c r="K96" s="112" t="str">
        <f t="shared" si="19"/>
        <v>4011/4012</v>
      </c>
      <c r="L96" s="22" t="str">
        <f>VLOOKUP(A96,'Trips&amp;Operators'!$C$1:$E$10000,3,FALSE)</f>
        <v>LOZA</v>
      </c>
      <c r="M96" s="6">
        <f t="shared" si="20"/>
        <v>2.5798611117352266E-2</v>
      </c>
      <c r="N96" s="7">
        <f t="shared" si="21"/>
        <v>37.150000008987263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13:51:51-0600',mode:absolute,to:'2016-11-05 16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23.296700000000001</v>
      </c>
      <c r="Z96" s="67">
        <f t="shared" si="28"/>
        <v>1.43E-2</v>
      </c>
      <c r="AA96" s="67">
        <f t="shared" si="29"/>
        <v>23.282400000000003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0184-05</v>
      </c>
      <c r="AE96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96" s="88" t="str">
        <f t="shared" si="32"/>
        <v>"C:\Program Files (x86)\AstroGrep\AstroGrep.exe" /spath="%USERPROFILE%\AppData\Local\Temp\OnboardLogs" /stypes="app*4012*20161105*" /stext=" 21:.+((SYSTEM_STATE.+slice.+state.+changed )|(ment ac)|(system.+state.+changed )|(\[timeout)|(PRM\|1\|D)|(kpr)|(kdp)|(\|loc)|(penalty))"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184-05 --locoid 4012 --swversion DE.1.0.8.0 --startMP 204:232967 --initTime 2016-11-05T14:51:51 --startdatetime 2016-11-05T14:56:21 --delay 1 --endMP 204:143 --enddatetime 2016-11-05T15:33:30 --enforcementcount 0 &gt;&gt;C:\Users\stu\Documents\GitHub\eaglep3-reporting\EC\2016-11-05-refined-times.txt</v>
      </c>
      <c r="AI9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{"issue":{"subject":"","project_id":79,"tracker_id":40,"status_id":1,"priority_id":2,"assigned_to_id":23,"start_date":"2016-11-05","description":"","custom_fields":[{"id":1,"name":"Subdivision","value":"EC"},{"id":4,"name":"Milepost","value":"0.0143"},{"id":17,"name":"Train ID","value":"184-05"},{"id":16,"name":"Locomotive ID","value":"4012"},{"id":130,"name":"Impact","value":""},{"id":150,"name":"Time of Event (Mountain Time)","value":"15:33:30"},{"id":151,"name":"Denver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s="21" customFormat="1" x14ac:dyDescent="0.25">
      <c r="A97" s="37" t="s">
        <v>555</v>
      </c>
      <c r="B97" s="7">
        <v>4025</v>
      </c>
      <c r="C97" s="22" t="s">
        <v>242</v>
      </c>
      <c r="D97" s="22" t="s">
        <v>259</v>
      </c>
      <c r="E97" s="13">
        <v>42679.588229166664</v>
      </c>
      <c r="F97" s="13">
        <v>42679.594340277778</v>
      </c>
      <c r="G97" s="7">
        <v>5</v>
      </c>
      <c r="H97" s="22" t="s">
        <v>284</v>
      </c>
      <c r="I97" s="13">
        <v>42679.618622685186</v>
      </c>
      <c r="J97" s="7">
        <v>0</v>
      </c>
      <c r="K97" s="112" t="str">
        <f t="shared" si="19"/>
        <v>4025/4026</v>
      </c>
      <c r="L97" s="22" t="str">
        <f>VLOOKUP(A97,'Trips&amp;Operators'!$C$1:$E$10000,3,FALSE)</f>
        <v>STORY</v>
      </c>
      <c r="M97" s="6">
        <f t="shared" si="20"/>
        <v>2.4282407408463769E-2</v>
      </c>
      <c r="N97" s="7">
        <f t="shared" si="21"/>
        <v>34.966666668187827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13:07:03-0600',mode:absolute,to:'2016-11-05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4.4400000000000002E-2</v>
      </c>
      <c r="Z97" s="67">
        <f t="shared" si="28"/>
        <v>23.331</v>
      </c>
      <c r="AA97" s="67">
        <f t="shared" si="29"/>
        <v>23.2866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0185-05</v>
      </c>
      <c r="AE97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97" s="88" t="str">
        <f t="shared" si="32"/>
        <v>"C:\Program Files (x86)\AstroGrep\AstroGrep.exe" /spath="%USERPROFILE%\AppData\Local\Temp\OnboardLogs" /stypes="app*4025*20161105*" /stext=" 20:.+((SYSTEM_STATE.+slice.+state.+changed )|(ment ac)|(system.+state.+changed )|(\[timeout)|(PRM\|1\|D)|(kpr)|(kdp)|(\|loc)|(penalty))"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185-05 --locoid 4025 --swversion DE.1.0.8.0 --startMP 204:444 --initTime 2016-11-05T14:07:03 --startdatetime 2016-11-05T14:15:51 --delay 5 --endMP 204:233310 --enddatetime 2016-11-05T14:50:49 --enforcementcount 0 &gt;&gt;C:\Users\stu\Documents\GitHub\eaglep3-reporting\EC\2016-11-05-refined-times.txt</v>
      </c>
      <c r="AI9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{"issue":{"subject":"","project_id":79,"tracker_id":40,"status_id":1,"priority_id":2,"assigned_to_id":23,"start_date":"2016-11-05","description":"","custom_fields":[{"id":1,"name":"Subdivision","value":"EC"},{"id":4,"name":"Milepost","value":"23.331"},{"id":17,"name":"Train ID","value":"185-05"},{"id":16,"name":"Locomotive ID","value":"4025"},{"id":130,"name":"Impact","value":""},{"id":150,"name":"Time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431</v>
      </c>
      <c r="B98" s="7">
        <v>4026</v>
      </c>
      <c r="C98" s="22" t="s">
        <v>242</v>
      </c>
      <c r="D98" s="22" t="s">
        <v>659</v>
      </c>
      <c r="E98" s="13">
        <v>42679.629201388889</v>
      </c>
      <c r="F98" s="13">
        <v>42679.632905092592</v>
      </c>
      <c r="G98" s="7">
        <v>1</v>
      </c>
      <c r="H98" s="22" t="s">
        <v>715</v>
      </c>
      <c r="I98" s="13">
        <v>42679.658784722225</v>
      </c>
      <c r="J98" s="7">
        <v>0</v>
      </c>
      <c r="K98" s="112" t="str">
        <f t="shared" si="19"/>
        <v>4025/4026</v>
      </c>
      <c r="L98" s="22" t="str">
        <f>VLOOKUP(A98,'Trips&amp;Operators'!$C$1:$E$10000,3,FALSE)</f>
        <v>STORY</v>
      </c>
      <c r="M98" s="6">
        <f t="shared" si="20"/>
        <v>2.587962963298196E-2</v>
      </c>
      <c r="N98" s="7">
        <f t="shared" si="21"/>
        <v>37.266666671494022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14:06:03-0600',mode:absolute,to:'2016-11-05 16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23.3002</v>
      </c>
      <c r="Z98" s="67">
        <f t="shared" si="28"/>
        <v>1.83E-2</v>
      </c>
      <c r="AA98" s="67">
        <f t="shared" si="29"/>
        <v>23.2819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0186-05</v>
      </c>
      <c r="AE98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98" s="88" t="str">
        <f t="shared" si="32"/>
        <v>"C:\Program Files (x86)\AstroGrep\AstroGrep.exe" /spath="%USERPROFILE%\AppData\Local\Temp\OnboardLogs" /stypes="app*4026*20161105*" /stext=" 21:.+((SYSTEM_STATE.+slice.+state.+changed )|(ment ac)|(system.+state.+changed )|(\[timeout)|(PRM\|1\|D)|(kpr)|(kdp)|(\|loc)|(penalty))"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186-05 --locoid 4026 --swversion DE.1.0.8.0 --startMP 204:233002 --initTime 2016-11-05T15:06:03 --startdatetime 2016-11-05T15:11:23 --delay 1 --endMP 204:183 --enddatetime 2016-11-05T15:48:39 --enforcementcount 0 &gt;&gt;C:\Users\stu\Documents\GitHub\eaglep3-reporting\EC\2016-11-05-refined-times.txt</v>
      </c>
      <c r="AI9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{"issue":{"subject":"","project_id":79,"tracker_id":40,"status_id":1,"priority_id":2,"assigned_to_id":23,"start_date":"2016-11-05","description":"","custom_fields":[{"id":1,"name":"Subdivision","value":"EC"},{"id":4,"name":"Milepost","value":"0.0183"},{"id":17,"name":"Train ID","value":"186-05"},{"id":16,"name":"Locomotive ID","value":"4026"},{"id":130,"name":"Impact","value":""},{"id":150,"name":"Time of Event (Mountain Time)","value":"15:48:39"},{"id":151,"name":"Denver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558</v>
      </c>
      <c r="B99" s="7">
        <v>4018</v>
      </c>
      <c r="C99" s="22" t="s">
        <v>242</v>
      </c>
      <c r="D99" s="22" t="s">
        <v>273</v>
      </c>
      <c r="E99" s="13">
        <v>42679.59847222222</v>
      </c>
      <c r="F99" s="13">
        <v>42679.604548611111</v>
      </c>
      <c r="G99" s="7">
        <v>2</v>
      </c>
      <c r="H99" s="22" t="s">
        <v>385</v>
      </c>
      <c r="I99" s="13">
        <v>42679.628993055558</v>
      </c>
      <c r="J99" s="7">
        <v>0</v>
      </c>
      <c r="K99" s="112" t="str">
        <f t="shared" si="19"/>
        <v>4017/4018</v>
      </c>
      <c r="L99" s="22" t="str">
        <f>VLOOKUP(A99,'Trips&amp;Operators'!$C$1:$E$10000,3,FALSE)</f>
        <v>STEWART</v>
      </c>
      <c r="M99" s="6">
        <f t="shared" si="20"/>
        <v>2.4444444446999114E-2</v>
      </c>
      <c r="N99" s="7">
        <f t="shared" si="21"/>
        <v>35.200000003678724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13:21:48-0600',mode:absolute,to:'2016-11-05 16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4.4200000000000003E-2</v>
      </c>
      <c r="Z99" s="67">
        <f t="shared" si="28"/>
        <v>23.328600000000002</v>
      </c>
      <c r="AA99" s="67">
        <f t="shared" si="29"/>
        <v>23.284400000000002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0187-05</v>
      </c>
      <c r="AE99" s="91" t="str">
        <f t="shared" si="31"/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AF99" s="88" t="str">
        <f t="shared" si="32"/>
        <v>"C:\Program Files (x86)\AstroGrep\AstroGrep.exe" /spath="%USERPROFILE%\AppData\Local\Temp\OnboardLogs" /stypes="app*4018*20161105*" /stext=" 21:.+((SYSTEM_STATE.+slice.+state.+changed )|(ment ac)|(system.+state.+changed )|(\[timeout)|(PRM\|1\|D)|(kpr)|(kdp)|(\|loc)|(penalty))"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187-05 --locoid 4018 --swversion DE.1.0.8.0 --startMP 204:442 --initTime 2016-11-05T14:21:48 --startdatetime 2016-11-05T14:30:33 --delay 2 --endMP 204:233286 --enddatetime 2016-11-05T15:05:45 --enforcementcount 0 &gt;&gt;C:\Users\stu\Documents\GitHub\eaglep3-reporting\EC\2016-11-05-refined-times.txt</v>
      </c>
      <c r="AI9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{"issue":{"subject":"","project_id":79,"tracker_id":40,"status_id":1,"priority_id":2,"assigned_to_id":23,"start_date":"2016-11-05","description":"","custom_fields":[{"id":1,"name":"Subdivision","value":"EC"},{"id":4,"name":"Milepost","value":"23.3286"},{"id":17,"name":"Train ID","value":"187-05"},{"id":16,"name":"Locomotive ID","value":"4018"},{"id":130,"name":"Impact","value":""},{"id":150,"name":"Time of Event (Mountain Time)","value":"15:05:45"},{"id":151,"name":"Denver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563</v>
      </c>
      <c r="B100" s="7">
        <v>4017</v>
      </c>
      <c r="C100" s="22" t="s">
        <v>242</v>
      </c>
      <c r="D100" s="22" t="s">
        <v>281</v>
      </c>
      <c r="E100" s="13">
        <v>42679.639768518522</v>
      </c>
      <c r="F100" s="13">
        <v>42679.643310185187</v>
      </c>
      <c r="G100" s="7">
        <v>1</v>
      </c>
      <c r="H100" s="22" t="s">
        <v>648</v>
      </c>
      <c r="I100" s="13">
        <v>42679.671701388892</v>
      </c>
      <c r="J100" s="7">
        <v>0</v>
      </c>
      <c r="K100" s="112" t="str">
        <f t="shared" si="19"/>
        <v>4017/4018</v>
      </c>
      <c r="L100" s="22" t="str">
        <f>VLOOKUP(A100,'Trips&amp;Operators'!$C$1:$E$10000,3,FALSE)</f>
        <v>STEWART</v>
      </c>
      <c r="M100" s="6">
        <f t="shared" si="20"/>
        <v>2.8391203704813961E-2</v>
      </c>
      <c r="N100" s="7">
        <f t="shared" si="21"/>
        <v>40.883333334932104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14:21:16-0600',mode:absolute,to:'2016-11-05 17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23.2971</v>
      </c>
      <c r="Z100" s="67">
        <f t="shared" si="28"/>
        <v>1.6299999999999999E-2</v>
      </c>
      <c r="AA100" s="67">
        <f t="shared" si="29"/>
        <v>23.280799999999999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0188-05</v>
      </c>
      <c r="AE100" s="91" t="str">
        <f t="shared" si="31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100" s="88" t="str">
        <f t="shared" si="32"/>
        <v>"C:\Program Files (x86)\AstroGrep\AstroGrep.exe" /spath="%USERPROFILE%\AppData\Local\Temp\OnboardLogs" /stypes="app*4017*20161105*" /stext=" 22:.+((SYSTEM_STATE.+slice.+state.+changed )|(ment ac)|(system.+state.+changed )|(\[timeout)|(PRM\|1\|D)|(kpr)|(kdp)|(\|loc)|(penalty))"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188-05 --locoid 4017 --swversion DE.1.0.8.0 --startMP 204:232971 --initTime 2016-11-05T15:21:16 --startdatetime 2016-11-05T15:26:22 --delay 1 --endMP 204:163 --enddatetime 2016-11-05T16:07:15 --enforcementcount 0 &gt;&gt;C:\Users\stu\Documents\GitHub\eaglep3-reporting\EC\2016-11-05-refined-times.txt</v>
      </c>
      <c r="AI10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{"issue":{"subject":"","project_id":79,"tracker_id":40,"status_id":1,"priority_id":2,"assigned_to_id":23,"start_date":"2016-11-05","description":"","custom_fields":[{"id":1,"name":"Subdivision","value":"EC"},{"id":4,"name":"Milepost","value":"0.0163"},{"id":17,"name":"Train ID","value":"188-05"},{"id":16,"name":"Locomotive ID","value":"4017"},{"id":130,"name":"Impact","value":""},{"id":150,"name":"Time of Event (Mountain Time)","value":"16:07:15"},{"id":151,"name":"Denver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429</v>
      </c>
      <c r="B101" s="7">
        <v>4053</v>
      </c>
      <c r="C101" s="22" t="s">
        <v>242</v>
      </c>
      <c r="D101" s="22" t="s">
        <v>716</v>
      </c>
      <c r="E101" s="13">
        <v>42679.60833333333</v>
      </c>
      <c r="F101" s="13">
        <v>42679.614953703705</v>
      </c>
      <c r="G101" s="7">
        <v>1</v>
      </c>
      <c r="H101" s="22" t="s">
        <v>230</v>
      </c>
      <c r="I101" s="13">
        <v>42679.63957175926</v>
      </c>
      <c r="J101" s="7">
        <v>0</v>
      </c>
      <c r="K101" s="112" t="str">
        <f t="shared" si="19"/>
        <v>4053/4054</v>
      </c>
      <c r="L101" s="22" t="str">
        <f>VLOOKUP(A101,'Trips&amp;Operators'!$C$1:$E$10000,3,FALSE)</f>
        <v>BARTLETT</v>
      </c>
      <c r="M101" s="6">
        <f t="shared" si="20"/>
        <v>2.4618055555038154E-2</v>
      </c>
      <c r="N101" s="7">
        <f t="shared" si="21"/>
        <v>35.449999999254942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13:36:00-0600',mode:absolute,to:'2016-11-05 16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4.6699999999999998E-2</v>
      </c>
      <c r="Z101" s="67">
        <f t="shared" si="28"/>
        <v>23.3291</v>
      </c>
      <c r="AA101" s="67">
        <f t="shared" si="29"/>
        <v>23.282399999999999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0189-05</v>
      </c>
      <c r="AE101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01" s="88" t="str">
        <f t="shared" si="32"/>
        <v>"C:\Program Files (x86)\AstroGrep\AstroGrep.exe" /spath="%USERPROFILE%\AppData\Local\Temp\OnboardLogs" /stypes="app*4053*20161105*" /stext=" 21:.+((SYSTEM_STATE.+slice.+state.+changed )|(ment ac)|(system.+state.+changed )|(\[timeout)|(PRM\|1\|D)|(kpr)|(kdp)|(\|loc)|(penalty))"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189-05 --locoid 4053 --swversion DE.1.0.8.0 --startMP 204:467 --initTime 2016-11-05T14:36:00 --startdatetime 2016-11-05T14:45:32 --delay 1 --endMP 204:233291 --enddatetime 2016-11-05T15:20:59 --enforcementcount 0 &gt;&gt;C:\Users\stu\Documents\GitHub\eaglep3-reporting\EC\2016-11-05-refined-times.txt</v>
      </c>
      <c r="AI10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{"issue":{"subject":"","project_id":79,"tracker_id":40,"status_id":1,"priority_id":2,"assigned_to_id":23,"start_date":"2016-11-05","description":"","custom_fields":[{"id":1,"name":"Subdivision","value":"EC"},{"id":4,"name":"Milepost","value":"23.3291"},{"id":17,"name":"Train ID","value":"189-05"},{"id":16,"name":"Locomotive ID","value":"4053"},{"id":130,"name":"Impact","value":""},{"id":150,"name":"Time of Event (Mountain Time)","value":"15:20:59"},{"id":151,"name":"Denver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433</v>
      </c>
      <c r="B102" s="7">
        <v>4054</v>
      </c>
      <c r="C102" s="22" t="s">
        <v>242</v>
      </c>
      <c r="D102" s="22" t="s">
        <v>221</v>
      </c>
      <c r="E102" s="13">
        <v>42679.641400462962</v>
      </c>
      <c r="F102" s="13">
        <v>42679.653645833336</v>
      </c>
      <c r="G102" s="7">
        <v>1</v>
      </c>
      <c r="H102" s="22" t="s">
        <v>237</v>
      </c>
      <c r="I102" s="13">
        <v>42679.681087962963</v>
      </c>
      <c r="J102" s="7">
        <v>0</v>
      </c>
      <c r="K102" s="112" t="str">
        <f t="shared" si="19"/>
        <v>4053/4054</v>
      </c>
      <c r="L102" s="22" t="str">
        <f>VLOOKUP(A102,'Trips&amp;Operators'!$C$1:$E$10000,3,FALSE)</f>
        <v>BARTLETT</v>
      </c>
      <c r="M102" s="6">
        <f t="shared" si="20"/>
        <v>2.7442129627161194E-2</v>
      </c>
      <c r="N102" s="7">
        <f t="shared" si="21"/>
        <v>39.516666663112119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14:23:37-0600',mode:absolute,to:'2016-11-05 17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23.297699999999999</v>
      </c>
      <c r="Z102" s="67">
        <f t="shared" si="28"/>
        <v>1.61E-2</v>
      </c>
      <c r="AA102" s="67">
        <f t="shared" si="29"/>
        <v>23.281599999999997</v>
      </c>
      <c r="AB102" s="64" t="str">
        <f>VLOOKUP(A102,Enforcements!$C$7:$K$21,8,0)</f>
        <v>Bulletin (2)</v>
      </c>
      <c r="AC102" s="60" t="str">
        <f>VLOOKUP(A102,Enforcements!$C$7:$E$21,3,0)</f>
        <v>GRADE CROSSING</v>
      </c>
      <c r="AD102" s="61" t="str">
        <f t="shared" si="30"/>
        <v>0190-05</v>
      </c>
      <c r="AE102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02" s="88" t="str">
        <f t="shared" si="32"/>
        <v>"C:\Program Files (x86)\AstroGrep\AstroGrep.exe" /spath="%USERPROFILE%\AppData\Local\Temp\OnboardLogs" /stypes="app*4054*20161105*" /stext=" 22:.+((SYSTEM_STATE.+slice.+state.+changed )|(ment ac)|(system.+state.+changed )|(\[timeout)|(PRM\|1\|D)|(kpr)|(kdp)|(\|loc)|(penalty))"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190-05 --locoid 4054 --swversion DE.1.0.8.0 --startMP 204:232977 --initTime 2016-11-05T15:23:37 --startdatetime 2016-11-05T15:41:15 --delay 1 --endMP 204:161 --enddatetime 2016-11-05T16:20:46 --enforcementcount 0 &gt;&gt;C:\Users\stu\Documents\GitHub\eaglep3-reporting\EC\2016-11-05-refined-times.txt</v>
      </c>
      <c r="AI10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ID","value":"190-05"},{"id":16,"name":"Locomotive ID","value":"4054"},{"id":130,"name":"Impact","value":""},{"id":150,"name":"Time of Event (Mountain Time)","value":"16:20:46"},{"id":151,"name":"Denver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x14ac:dyDescent="0.25">
      <c r="A103" s="37" t="s">
        <v>561</v>
      </c>
      <c r="B103" s="7">
        <v>4016</v>
      </c>
      <c r="C103" s="22" t="s">
        <v>242</v>
      </c>
      <c r="D103" s="22" t="s">
        <v>206</v>
      </c>
      <c r="E103" s="13">
        <v>42679.61986111111</v>
      </c>
      <c r="F103" s="13">
        <v>42679.6252662037</v>
      </c>
      <c r="G103" s="7">
        <v>1</v>
      </c>
      <c r="H103" s="22" t="s">
        <v>719</v>
      </c>
      <c r="I103" s="13">
        <v>42679.650497685187</v>
      </c>
      <c r="J103" s="7">
        <v>0</v>
      </c>
      <c r="K103" s="112" t="str">
        <f t="shared" si="19"/>
        <v>4015/4016</v>
      </c>
      <c r="L103" s="22" t="str">
        <f>VLOOKUP(A103,'Trips&amp;Operators'!$C$1:$E$10000,3,FALSE)</f>
        <v>SWANSON</v>
      </c>
      <c r="M103" s="6">
        <f t="shared" si="20"/>
        <v>2.5231481486116536E-2</v>
      </c>
      <c r="N103" s="7">
        <f t="shared" si="21"/>
        <v>36.333333340007812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13:52:36-0600',mode:absolute,to:'2016-11-05 16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4.4699999999999997E-2</v>
      </c>
      <c r="Z103" s="67">
        <f t="shared" si="28"/>
        <v>23.326599999999999</v>
      </c>
      <c r="AA103" s="67">
        <f t="shared" si="29"/>
        <v>23.2819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0191-05</v>
      </c>
      <c r="AE103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03" s="88" t="str">
        <f t="shared" si="32"/>
        <v>"C:\Program Files (x86)\AstroGrep\AstroGrep.exe" /spath="%USERPROFILE%\AppData\Local\Temp\OnboardLogs" /stypes="app*4016*20161105*" /stext=" 21:.+((SYSTEM_STATE.+slice.+state.+changed )|(ment ac)|(system.+state.+changed )|(\[timeout)|(PRM\|1\|D)|(kpr)|(kdp)|(\|loc)|(penalty))"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191-05 --locoid 4016 --swversion DE.1.0.8.0 --startMP 204:447 --initTime 2016-11-05T14:52:36 --startdatetime 2016-11-05T15:00:23 --delay 1 --endMP 204:233266 --enddatetime 2016-11-05T15:36:43 --enforcementcount 0 &gt;&gt;C:\Users\stu\Documents\GitHub\eaglep3-reporting\EC\2016-11-05-refined-times.txt</v>
      </c>
      <c r="AI10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{"issue":{"subject":"","project_id":79,"tracker_id":40,"status_id":1,"priority_id":2,"assigned_to_id":23,"start_date":"2016-11-05","description":"","custom_fields":[{"id":1,"name":"Subdivision","value":"EC"},{"id":4,"name":"Milepost","value":"23.3266"},{"id":17,"name":"Train ID","value":"191-05"},{"id":16,"name":"Locomotive ID","value":"4016"},{"id":130,"name":"Impact","value":""},{"id":150,"name":"Time of Event (Mountain Time)","value":"15:36:43"},{"id":151,"name":"Denver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x14ac:dyDescent="0.25">
      <c r="A104" s="37" t="s">
        <v>566</v>
      </c>
      <c r="B104" s="7">
        <v>4015</v>
      </c>
      <c r="C104" s="22" t="s">
        <v>242</v>
      </c>
      <c r="D104" s="22" t="s">
        <v>239</v>
      </c>
      <c r="E104" s="13">
        <v>42679.652708333335</v>
      </c>
      <c r="F104" s="13">
        <v>42679.664155092592</v>
      </c>
      <c r="G104" s="7">
        <v>1</v>
      </c>
      <c r="H104" s="22" t="s">
        <v>202</v>
      </c>
      <c r="I104" s="13">
        <v>42679.691030092596</v>
      </c>
      <c r="J104" s="7">
        <v>0</v>
      </c>
      <c r="K104" s="112" t="str">
        <f t="shared" si="19"/>
        <v>4015/4016</v>
      </c>
      <c r="L104" s="22" t="str">
        <f>VLOOKUP(A104,'Trips&amp;Operators'!$C$1:$E$10000,3,FALSE)</f>
        <v>SWANSON</v>
      </c>
      <c r="M104" s="6">
        <f t="shared" si="20"/>
        <v>2.6875000003201421E-2</v>
      </c>
      <c r="N104" s="7">
        <f t="shared" si="21"/>
        <v>38.700000004610047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14:39:54-0600',mode:absolute,to:'2016-11-05 17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23.296900000000001</v>
      </c>
      <c r="Z104" s="67">
        <f t="shared" si="28"/>
        <v>1.4500000000000001E-2</v>
      </c>
      <c r="AA104" s="67">
        <f t="shared" si="29"/>
        <v>23.282399999999999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0192-05</v>
      </c>
      <c r="AE104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04" s="88" t="str">
        <f t="shared" si="32"/>
        <v>"C:\Program Files (x86)\AstroGrep\AstroGrep.exe" /spath="%USERPROFILE%\AppData\Local\Temp\OnboardLogs" /stypes="app*4015*20161105*" /stext=" 22:.+((SYSTEM_STATE.+slice.+state.+changed )|(ment ac)|(system.+state.+changed )|(\[timeout)|(PRM\|1\|D)|(kpr)|(kdp)|(\|loc)|(penalty))"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192-05 --locoid 4015 --swversion DE.1.0.8.0 --startMP 204:232969 --initTime 2016-11-05T15:39:54 --startdatetime 2016-11-05T15:56:23 --delay 1 --endMP 204:145 --enddatetime 2016-11-05T16:35:05 --enforcementcount 0 &gt;&gt;C:\Users\stu\Documents\GitHub\eaglep3-reporting\EC\2016-11-05-refined-times.txt</v>
      </c>
      <c r="AI10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ID","value":"192-05"},{"id":16,"name":"Locomotive ID","value":"4015"},{"id":130,"name":"Impact","value":""},{"id":150,"name":"Time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562</v>
      </c>
      <c r="B105" s="7">
        <v>4040</v>
      </c>
      <c r="C105" s="22" t="s">
        <v>242</v>
      </c>
      <c r="D105" s="22" t="s">
        <v>226</v>
      </c>
      <c r="E105" s="13">
        <v>42679.631597222222</v>
      </c>
      <c r="F105" s="13">
        <v>42679.635601851849</v>
      </c>
      <c r="G105" s="7">
        <v>1</v>
      </c>
      <c r="H105" s="22" t="s">
        <v>720</v>
      </c>
      <c r="I105" s="13">
        <v>42679.660752314812</v>
      </c>
      <c r="J105" s="7">
        <v>0</v>
      </c>
      <c r="K105" s="112" t="str">
        <f t="shared" si="19"/>
        <v>4039/4040</v>
      </c>
      <c r="L105" s="22" t="str">
        <f>VLOOKUP(A105,'Trips&amp;Operators'!$C$1:$E$10000,3,FALSE)</f>
        <v>SHOOK</v>
      </c>
      <c r="M105" s="6">
        <f t="shared" si="20"/>
        <v>2.5150462963210884E-2</v>
      </c>
      <c r="N105" s="7">
        <f t="shared" si="21"/>
        <v>36.216666667023674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14:09:30-0600',mode:absolute,to:'2016-11-05 16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4.4900000000000002E-2</v>
      </c>
      <c r="Z105" s="67">
        <f t="shared" si="28"/>
        <v>23.3398</v>
      </c>
      <c r="AA105" s="67">
        <f t="shared" si="29"/>
        <v>23.294900000000002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0193-05</v>
      </c>
      <c r="AE105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105" s="88" t="str">
        <f t="shared" si="32"/>
        <v>"C:\Program Files (x86)\AstroGrep\AstroGrep.exe" /spath="%USERPROFILE%\AppData\Local\Temp\OnboardLogs" /stypes="app*4040*20161105*" /stext=" 21:.+((SYSTEM_STATE.+slice.+state.+changed )|(ment ac)|(system.+state.+changed )|(\[timeout)|(PRM\|1\|D)|(kpr)|(kdp)|(\|loc)|(penalty))"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193-05 --locoid 4040 --swversion DE.1.0.8.0 --startMP 204:449 --initTime 2016-11-05T15:09:30 --startdatetime 2016-11-05T15:15:16 --delay 1 --endMP 204:233398 --enddatetime 2016-11-05T15:51:29 --enforcementcount 0 &gt;&gt;C:\Users\stu\Documents\GitHub\eaglep3-reporting\EC\2016-11-05-refined-times.txt</v>
      </c>
      <c r="AI10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{"issue":{"subject":"","project_id":79,"tracker_id":40,"status_id":1,"priority_id":2,"assigned_to_id":23,"start_date":"2016-11-05","description":"","custom_fields":[{"id":1,"name":"Subdivision","value":"EC"},{"id":4,"name":"Milepost","value":"23.3398"},{"id":17,"name":"Train ID","value":"193-05"},{"id":16,"name":"Locomotive ID","value":"4040"},{"id":130,"name":"Impact","value":""},{"id":150,"name":"Time of Event (Mountain Time)","value":"15:51:29"},{"id":151,"name":"Denver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569</v>
      </c>
      <c r="B106" s="7">
        <v>4039</v>
      </c>
      <c r="C106" s="22" t="s">
        <v>242</v>
      </c>
      <c r="D106" s="22" t="s">
        <v>393</v>
      </c>
      <c r="E106" s="13">
        <v>42679.667627314811</v>
      </c>
      <c r="F106" s="13">
        <v>42679.674537037034</v>
      </c>
      <c r="G106" s="7">
        <v>1</v>
      </c>
      <c r="H106" s="22" t="s">
        <v>203</v>
      </c>
      <c r="I106" s="13">
        <v>42679.70039351852</v>
      </c>
      <c r="J106" s="7">
        <v>0</v>
      </c>
      <c r="K106" s="112" t="str">
        <f t="shared" si="19"/>
        <v>4039/4040</v>
      </c>
      <c r="L106" s="22" t="str">
        <f>VLOOKUP(A106,'Trips&amp;Operators'!$C$1:$E$10000,3,FALSE)</f>
        <v>SHOOK</v>
      </c>
      <c r="M106" s="6">
        <f t="shared" si="20"/>
        <v>2.5856481486698613E-2</v>
      </c>
      <c r="N106" s="7">
        <f t="shared" si="21"/>
        <v>37.233333340846002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15:01:23-0600',mode:absolute,to:'2016-11-05 17:48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23.305700000000002</v>
      </c>
      <c r="Z106" s="67">
        <f t="shared" si="28"/>
        <v>1.49E-2</v>
      </c>
      <c r="AA106" s="67">
        <f t="shared" si="29"/>
        <v>23.290800000000001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0194-05</v>
      </c>
      <c r="AE106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106" s="88" t="str">
        <f t="shared" si="32"/>
        <v>"C:\Program Files (x86)\AstroGrep\AstroGrep.exe" /spath="%USERPROFILE%\AppData\Local\Temp\OnboardLogs" /stypes="app*4039*20161105*" /stext=" 22:.+((SYSTEM_STATE.+slice.+state.+changed )|(ment ac)|(system.+state.+changed )|(\[timeout)|(PRM\|1\|D)|(kpr)|(kdp)|(\|loc)|(penalty))"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194-05 --locoid 4039 --swversion DE.1.0.8.0 --startMP 204:233057 --initTime 2016-11-05T16:01:23 --startdatetime 2016-11-05T16:11:20 --delay 1 --endMP 204:149 --enddatetime 2016-11-05T16:48:34 --enforcementcount 0 &gt;&gt;C:\Users\stu\Documents\GitHub\eaglep3-reporting\EC\2016-11-05-refined-times.txt</v>
      </c>
      <c r="AI10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ID","value":"194-05"},{"id":16,"name":"Locomotive ID","value":"4039"},{"id":130,"name":"Impact","value":""},{"id":150,"name":"Time of Event (Mountain Time)","value":"16:48:34"},{"id":151,"name":"Denver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564</v>
      </c>
      <c r="B107" s="7">
        <v>4014</v>
      </c>
      <c r="C107" s="22" t="s">
        <v>242</v>
      </c>
      <c r="D107" s="22" t="s">
        <v>671</v>
      </c>
      <c r="E107" s="13">
        <v>42679.640138888892</v>
      </c>
      <c r="F107" s="13">
        <v>42679.646041666667</v>
      </c>
      <c r="G107" s="7">
        <v>2</v>
      </c>
      <c r="H107" s="22" t="s">
        <v>402</v>
      </c>
      <c r="I107" s="13">
        <v>42679.670219907406</v>
      </c>
      <c r="J107" s="7">
        <v>0</v>
      </c>
      <c r="K107" s="112" t="str">
        <f t="shared" si="19"/>
        <v>4013/4014</v>
      </c>
      <c r="L107" s="22" t="str">
        <f>VLOOKUP(A107,'Trips&amp;Operators'!$C$1:$E$10000,3,FALSE)</f>
        <v>BRUDER</v>
      </c>
      <c r="M107" s="6">
        <f t="shared" si="20"/>
        <v>2.417824073927477E-2</v>
      </c>
      <c r="N107" s="7">
        <f t="shared" si="21"/>
        <v>34.816666664555669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14:21:48-0600',mode:absolute,to:'2016-11-05 17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4.4600000000000001E-2</v>
      </c>
      <c r="Z107" s="67">
        <f t="shared" si="28"/>
        <v>23.3307</v>
      </c>
      <c r="AA107" s="67">
        <f t="shared" si="29"/>
        <v>23.286100000000001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0195-05</v>
      </c>
      <c r="AE107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07" s="88" t="str">
        <f t="shared" si="32"/>
        <v>"C:\Program Files (x86)\AstroGrep\AstroGrep.exe" /spath="%USERPROFILE%\AppData\Local\Temp\OnboardLogs" /stypes="app*4014*20161105*" /stext=" 22:.+((SYSTEM_STATE.+slice.+state.+changed )|(ment ac)|(system.+state.+changed )|(\[timeout)|(PRM\|1\|D)|(kpr)|(kdp)|(\|loc)|(penalty))"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195-05 --locoid 4014 --swversion DE.1.0.8.0 --startMP 204:446 --initTime 2016-11-05T15:21:48 --startdatetime 2016-11-05T15:30:18 --delay 2 --endMP 204:233307 --enddatetime 2016-11-05T16:05:07 --enforcementcount 0 &gt;&gt;C:\Users\stu\Documents\GitHub\eaglep3-reporting\EC\2016-11-05-refined-times.txt</v>
      </c>
      <c r="AI10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{"issue":{"subject":"","project_id":79,"tracker_id":40,"status_id":1,"priority_id":2,"assigned_to_id":23,"start_date":"2016-11-05","description":"","custom_fields":[{"id":1,"name":"Subdivision","value":"EC"},{"id":4,"name":"Milepost","value":"23.3307"},{"id":17,"name":"Train ID","value":"195-05"},{"id":16,"name":"Locomotive ID","value":"4014"},{"id":130,"name":"Impact","value":""},{"id":150,"name":"Time of Event (Mountain Time)","value":"16:05:07"},{"id":151,"name":"Denver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571</v>
      </c>
      <c r="B108" s="7">
        <v>4013</v>
      </c>
      <c r="C108" s="22" t="s">
        <v>242</v>
      </c>
      <c r="D108" s="22" t="s">
        <v>283</v>
      </c>
      <c r="E108" s="13">
        <v>42679.67728009259</v>
      </c>
      <c r="F108" s="13">
        <v>42679.684907407405</v>
      </c>
      <c r="G108" s="7">
        <v>2</v>
      </c>
      <c r="H108" s="22" t="s">
        <v>201</v>
      </c>
      <c r="I108" s="13">
        <v>42679.710405092592</v>
      </c>
      <c r="J108" s="7">
        <v>0</v>
      </c>
      <c r="K108" s="112" t="str">
        <f t="shared" si="19"/>
        <v>4013/4014</v>
      </c>
      <c r="L108" s="22" t="str">
        <f>VLOOKUP(A108,'Trips&amp;Operators'!$C$1:$E$10000,3,FALSE)</f>
        <v>BRUDER</v>
      </c>
      <c r="M108" s="6">
        <f t="shared" si="20"/>
        <v>2.5497685186564922E-2</v>
      </c>
      <c r="N108" s="7">
        <f t="shared" si="21"/>
        <v>36.716666668653488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15:15:17-0600',mode:absolute,to:'2016-11-05 18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23.298200000000001</v>
      </c>
      <c r="Z108" s="67">
        <f t="shared" si="28"/>
        <v>1.54E-2</v>
      </c>
      <c r="AA108" s="67">
        <f t="shared" si="29"/>
        <v>23.282800000000002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0196-05</v>
      </c>
      <c r="AE108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08" s="88" t="str">
        <f t="shared" si="32"/>
        <v>"C:\Program Files (x86)\AstroGrep\AstroGrep.exe" /spath="%USERPROFILE%\AppData\Local\Temp\OnboardLogs" /stypes="app*4013*20161105*" /stext=" 23:.+((SYSTEM_STATE.+slice.+state.+changed )|(ment ac)|(system.+state.+changed )|(\[timeout)|(PRM\|1\|D)|(kpr)|(kdp)|(\|loc)|(penalty))"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196-05 --locoid 4013 --swversion DE.1.0.8.0 --startMP 204:232982 --initTime 2016-11-05T16:15:17 --startdatetime 2016-11-05T16:26:16 --delay 2 --endMP 204:154 --enddatetime 2016-11-05T17:02:59 --enforcementcount 0 &gt;&gt;C:\Users\stu\Documents\GitHub\eaglep3-reporting\EC\2016-11-05-refined-times.txt</v>
      </c>
      <c r="AI10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{"issue":{"subject":"","project_id":79,"tracker_id":40,"status_id":1,"priority_id":2,"assigned_to_id":23,"start_date":"2016-11-05","description":"","custom_fields":[{"id":1,"name":"Subdivision","value":"EC"},{"id":4,"name":"Milepost","value":"0.0154"},{"id":17,"name":"Train ID","value":"196-05"},{"id":16,"name":"Locomotive ID","value":"4013"},{"id":130,"name":"Impact","value":""},{"id":150,"name":"Time of Event (Mountain Time)","value":"17:02:59"},{"id":151,"name":"Denver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565</v>
      </c>
      <c r="B109" s="7">
        <v>4011</v>
      </c>
      <c r="C109" s="22" t="s">
        <v>242</v>
      </c>
      <c r="D109" s="22" t="s">
        <v>233</v>
      </c>
      <c r="E109" s="13">
        <v>42679.651736111111</v>
      </c>
      <c r="F109" s="13">
        <v>42679.656446759262</v>
      </c>
      <c r="G109" s="7">
        <v>1</v>
      </c>
      <c r="H109" s="22" t="s">
        <v>721</v>
      </c>
      <c r="I109" s="13">
        <v>42679.681666666664</v>
      </c>
      <c r="J109" s="7">
        <v>0</v>
      </c>
      <c r="K109" s="112" t="str">
        <f t="shared" si="19"/>
        <v>4011/4012</v>
      </c>
      <c r="L109" s="22" t="str">
        <f>VLOOKUP(A109,'Trips&amp;Operators'!$C$1:$E$10000,3,FALSE)</f>
        <v>CLARK</v>
      </c>
      <c r="M109" s="6">
        <f t="shared" si="20"/>
        <v>2.5219907402060926E-2</v>
      </c>
      <c r="N109" s="7">
        <f t="shared" si="21"/>
        <v>36.316666658967733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14:38:30-0600',mode:absolute,to:'2016-11-05 17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4.5699999999999998E-2</v>
      </c>
      <c r="Z109" s="67">
        <f t="shared" si="28"/>
        <v>23.328700000000001</v>
      </c>
      <c r="AA109" s="67">
        <f t="shared" si="29"/>
        <v>23.283000000000001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0197-05</v>
      </c>
      <c r="AE109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109" s="88" t="str">
        <f t="shared" si="32"/>
        <v>"C:\Program Files (x86)\AstroGrep\AstroGrep.exe" /spath="%USERPROFILE%\AppData\Local\Temp\OnboardLogs" /stypes="app*4011*20161105*" /stext=" 22:.+((SYSTEM_STATE.+slice.+state.+changed )|(ment ac)|(system.+state.+changed )|(\[timeout)|(PRM\|1\|D)|(kpr)|(kdp)|(\|loc)|(penalty))"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197-05 --locoid 4011 --swversion DE.1.0.8.0 --startMP 204:457 --initTime 2016-11-05T15:38:30 --startdatetime 2016-11-05T15:45:17 --delay 1 --endMP 204:233287 --enddatetime 2016-11-05T16:21:36 --enforcementcount 0 &gt;&gt;C:\Users\stu\Documents\GitHub\eaglep3-reporting\EC\2016-11-05-refined-times.txt</v>
      </c>
      <c r="AI10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{"issue":{"subject":"","project_id":79,"tracker_id":40,"status_id":1,"priority_id":2,"assigned_to_id":23,"start_date":"2016-11-05","description":"","custom_fields":[{"id":1,"name":"Subdivision","value":"EC"},{"id":4,"name":"Milepost","value":"23.3287"},{"id":17,"name":"Train ID","value":"197-05"},{"id":16,"name":"Locomotive ID","value":"4011"},{"id":130,"name":"Impact","value":""},{"id":150,"name":"Time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573</v>
      </c>
      <c r="B110" s="7">
        <v>4012</v>
      </c>
      <c r="C110" s="22" t="s">
        <v>242</v>
      </c>
      <c r="D110" s="22" t="s">
        <v>722</v>
      </c>
      <c r="E110" s="13">
        <v>42679.688472222224</v>
      </c>
      <c r="F110" s="13">
        <v>42679.695381944446</v>
      </c>
      <c r="G110" s="7">
        <v>1</v>
      </c>
      <c r="H110" s="22" t="s">
        <v>723</v>
      </c>
      <c r="I110" s="13">
        <v>42679.722743055558</v>
      </c>
      <c r="J110" s="7">
        <v>0</v>
      </c>
      <c r="K110" s="112" t="str">
        <f t="shared" si="19"/>
        <v>4011/4012</v>
      </c>
      <c r="L110" s="22" t="str">
        <f>VLOOKUP(A110,'Trips&amp;Operators'!$C$1:$E$10000,3,FALSE)</f>
        <v>CLARK</v>
      </c>
      <c r="M110" s="6">
        <f t="shared" si="20"/>
        <v>2.73611111115315E-2</v>
      </c>
      <c r="N110" s="7">
        <f t="shared" si="21"/>
        <v>39.40000000060536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15:31:24-0600',mode:absolute,to:'2016-11-05 18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23.2972</v>
      </c>
      <c r="Z110" s="67">
        <f t="shared" si="28"/>
        <v>1.14E-2</v>
      </c>
      <c r="AA110" s="67">
        <f t="shared" si="29"/>
        <v>23.285800000000002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0198-05</v>
      </c>
      <c r="AE110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10" s="88" t="str">
        <f t="shared" si="32"/>
        <v>"C:\Program Files (x86)\AstroGrep\AstroGrep.exe" /spath="%USERPROFILE%\AppData\Local\Temp\OnboardLogs" /stypes="app*4012*20161105*" /stext=" 23:.+((SYSTEM_STATE.+slice.+state.+changed )|(ment ac)|(system.+state.+changed )|(\[timeout)|(PRM\|1\|D)|(kpr)|(kdp)|(\|loc)|(penalty))"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198-05 --locoid 4012 --swversion DE.1.0.8.0 --startMP 204:232972 --initTime 2016-11-05T16:31:24 --startdatetime 2016-11-05T16:41:21 --delay 1 --endMP 204:114 --enddatetime 2016-11-05T17:20:45 --enforcementcount 0 &gt;&gt;C:\Users\stu\Documents\GitHub\eaglep3-reporting\EC\2016-11-05-refined-times.txt</v>
      </c>
      <c r="AI11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{"issue":{"subject":"","project_id":79,"tracker_id":40,"status_id":1,"priority_id":2,"assigned_to_id":23,"start_date":"2016-11-05","description":"","custom_fields":[{"id":1,"name":"Subdivision","value":"EC"},{"id":4,"name":"Milepost","value":"0.0114"},{"id":17,"name":"Train ID","value":"198-05"},{"id":16,"name":"Locomotive ID","value":"4012"},{"id":130,"name":"Impact","value":""},{"id":150,"name":"Time of Event (Mountain Time)","value":"17:20:45"},{"id":151,"name":"Denver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567</v>
      </c>
      <c r="B111" s="7">
        <v>4025</v>
      </c>
      <c r="C111" s="22" t="s">
        <v>242</v>
      </c>
      <c r="D111" s="22" t="s">
        <v>724</v>
      </c>
      <c r="E111" s="13">
        <v>42679.66</v>
      </c>
      <c r="F111" s="13">
        <v>42679.667303240742</v>
      </c>
      <c r="G111" s="7">
        <v>6</v>
      </c>
      <c r="H111" s="22" t="s">
        <v>725</v>
      </c>
      <c r="I111" s="13">
        <v>42679.691469907404</v>
      </c>
      <c r="J111" s="7">
        <v>0</v>
      </c>
      <c r="K111" s="112" t="str">
        <f t="shared" si="19"/>
        <v>4025/4026</v>
      </c>
      <c r="L111" s="22" t="str">
        <f>VLOOKUP(A111,'Trips&amp;Operators'!$C$1:$E$10000,3,FALSE)</f>
        <v>STORY</v>
      </c>
      <c r="M111" s="6">
        <f t="shared" si="20"/>
        <v>2.4166666662495118E-2</v>
      </c>
      <c r="N111" s="7">
        <f t="shared" si="21"/>
        <v>34.799999993992969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14:50:24-0600',mode:absolute,to:'2016-11-05 17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4.9500000000000002E-2</v>
      </c>
      <c r="Z111" s="67">
        <f t="shared" si="28"/>
        <v>23.336200000000002</v>
      </c>
      <c r="AA111" s="67">
        <f t="shared" si="29"/>
        <v>23.286700000000003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0199-05</v>
      </c>
      <c r="AE111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11" s="88" t="str">
        <f t="shared" si="32"/>
        <v>"C:\Program Files (x86)\AstroGrep\AstroGrep.exe" /spath="%USERPROFILE%\AppData\Local\Temp\OnboardLogs" /stypes="app*4025*20161105*" /stext=" 22:.+((SYSTEM_STATE.+slice.+state.+changed )|(ment ac)|(system.+state.+changed )|(\[timeout)|(PRM\|1\|D)|(kpr)|(kdp)|(\|loc)|(penalty))"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199-05 --locoid 4025 --swversion DE.1.0.8.0 --startMP 204:495 --initTime 2016-11-05T15:50:24 --startdatetime 2016-11-05T16:00:55 --delay 6 --endMP 204:233362 --enddatetime 2016-11-05T16:35:43 --enforcementcount 0 &gt;&gt;C:\Users\stu\Documents\GitHub\eaglep3-reporting\EC\2016-11-05-refined-times.txt</v>
      </c>
      <c r="AI11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{"issue":{"subject":"","project_id":79,"tracker_id":40,"status_id":1,"priority_id":2,"assigned_to_id":23,"start_date":"2016-11-05","description":"","custom_fields":[{"id":1,"name":"Subdivision","value":"EC"},{"id":4,"name":"Milepost","value":"23.3362"},{"id":17,"name":"Train ID","value":"199-05"},{"id":16,"name":"Locomotive ID","value":"4025"},{"id":130,"name":"Impact","value":""},{"id":150,"name":"Time of Event (Mountain Time)","value":"16:35:43"},{"id":151,"name":"Denver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434</v>
      </c>
      <c r="B112" s="7">
        <v>4026</v>
      </c>
      <c r="C112" s="22" t="s">
        <v>242</v>
      </c>
      <c r="D112" s="22" t="s">
        <v>726</v>
      </c>
      <c r="E112" s="13">
        <v>42679.701793981483</v>
      </c>
      <c r="F112" s="13">
        <v>42679.70584490741</v>
      </c>
      <c r="G112" s="7">
        <v>1</v>
      </c>
      <c r="H112" s="22" t="s">
        <v>237</v>
      </c>
      <c r="I112" s="13">
        <v>42679.732199074075</v>
      </c>
      <c r="J112" s="7">
        <v>0</v>
      </c>
      <c r="K112" s="112" t="str">
        <f t="shared" si="19"/>
        <v>4025/4026</v>
      </c>
      <c r="L112" s="22" t="str">
        <f>VLOOKUP(A112,'Trips&amp;Operators'!$C$1:$E$10000,3,FALSE)</f>
        <v>STORY</v>
      </c>
      <c r="M112" s="6">
        <f t="shared" si="20"/>
        <v>2.6354166664532386E-2</v>
      </c>
      <c r="N112" s="7">
        <f t="shared" si="21"/>
        <v>37.949999996926636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15:50:35-0600',mode:absolute,to:'2016-11-05 18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23.301300000000001</v>
      </c>
      <c r="Z112" s="67">
        <f t="shared" si="28"/>
        <v>1.61E-2</v>
      </c>
      <c r="AA112" s="67">
        <f t="shared" si="29"/>
        <v>23.2852</v>
      </c>
      <c r="AB112" s="64" t="str">
        <f>VLOOKUP(A112,Enforcements!$C$7:$K$21,8,0)</f>
        <v>Signal based authority (5)</v>
      </c>
      <c r="AC112" s="60" t="str">
        <f>VLOOKUP(A112,Enforcements!$C$7:$E$21,3,0)</f>
        <v>SIGNAL</v>
      </c>
      <c r="AD112" s="61" t="str">
        <f t="shared" si="30"/>
        <v>0200-05</v>
      </c>
      <c r="AE112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12" s="88" t="str">
        <f t="shared" si="32"/>
        <v>"C:\Program Files (x86)\AstroGrep\AstroGrep.exe" /spath="%USERPROFILE%\AppData\Local\Temp\OnboardLogs" /stypes="app*4026*20161105*" /stext=" 23:.+((SYSTEM_STATE.+slice.+state.+changed )|(ment ac)|(system.+state.+changed )|(\[timeout)|(PRM\|1\|D)|(kpr)|(kdp)|(\|loc)|(penalty))"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200-05 --locoid 4026 --swversion DE.1.0.8.0 --startMP 204:233013 --initTime 2016-11-05T16:50:35 --startdatetime 2016-11-05T16:56:25 --delay 1 --endMP 204:161 --enddatetime 2016-11-05T17:34:22 --enforcementcount 0 &gt;&gt;C:\Users\stu\Documents\GitHub\eaglep3-reporting\EC\2016-11-05-refined-times.txt</v>
      </c>
      <c r="AI11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ID","value":"200-05"},{"id":16,"name":"Locomotive ID","value":"4026"},{"id":130,"name":"Impact","value":""},{"id":150,"name":"Time of Event (Mountain Time)","value":"17:34:22"},{"id":151,"name":"Denver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570</v>
      </c>
      <c r="B113" s="7">
        <v>4002</v>
      </c>
      <c r="C113" s="22" t="s">
        <v>242</v>
      </c>
      <c r="D113" s="22" t="s">
        <v>207</v>
      </c>
      <c r="E113" s="13">
        <v>42679.675752314812</v>
      </c>
      <c r="F113" s="13">
        <v>42679.677881944444</v>
      </c>
      <c r="G113" s="7">
        <v>1</v>
      </c>
      <c r="H113" s="22" t="s">
        <v>204</v>
      </c>
      <c r="I113" s="13">
        <v>42679.702430555553</v>
      </c>
      <c r="J113" s="7">
        <v>0</v>
      </c>
      <c r="K113" s="112" t="str">
        <f t="shared" si="19"/>
        <v>4001/4002</v>
      </c>
      <c r="L113" s="22" t="str">
        <f>VLOOKUP(A113,'Trips&amp;Operators'!$C$1:$E$10000,3,FALSE)</f>
        <v>STEWART</v>
      </c>
      <c r="M113" s="6">
        <f t="shared" si="20"/>
        <v>2.4548611108912155E-2</v>
      </c>
      <c r="N113" s="7">
        <f t="shared" si="21"/>
        <v>35.349999996833503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15:13:05-0600',mode:absolute,to:'2016-11-05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4.53E-2</v>
      </c>
      <c r="Z113" s="67">
        <f t="shared" si="28"/>
        <v>23.3293</v>
      </c>
      <c r="AA113" s="67">
        <f t="shared" si="29"/>
        <v>23.283999999999999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0201-05</v>
      </c>
      <c r="AE113" s="91" t="str">
        <f t="shared" si="31"/>
        <v>aws s3 cp s3://rtdc.mdm.uploadarchive.raw/RTDC4002/ "%USERPROFILE%\AppData\Local\Temp\OnboardLogs"\RTDC4002\2016-11-05 --exclude "*" --recursive --include "*20161105*" &amp; "%USERPROFILE%\Documents\GitHub\mrs-test-scripts\Headless Mode &amp; Sideloading\WalkAndUnGZ.bat" "%USERPROFILE%\AppData\Local\Temp\OnboardLogs"\RTDC4002\2016-11-05 &amp; aws s3 cp s3://rtdc.mdm.uploadarchive.raw/RTDC4002/ "%USERPROFILE%\AppData\Local\Temp\OnboardLogs"\RTDC4002\2016-11-06 --exclude "*" --recursive --include "*20161106*" &amp; "%USERPROFILE%\Documents\GitHub\mrs-test-scripts\Headless Mode &amp; Sideloading\WalkAndUnGZ.bat" "%USERPROFILE%\AppData\Local\Temp\OnboardLogs"\RTDC4002\2016-11-06</v>
      </c>
      <c r="AF113" s="88" t="str">
        <f t="shared" si="32"/>
        <v>"C:\Program Files (x86)\AstroGrep\AstroGrep.exe" /spath="%USERPROFILE%\AppData\Local\Temp\OnboardLogs" /stypes="app*4002*20161105*" /stext=" 22:.+((SYSTEM_STATE.+slice.+state.+changed )|(ment ac)|(system.+state.+changed )|(\[timeout)|(PRM\|1\|D)|(kpr)|(kdp)|(\|loc)|(penalty))"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201-05 --locoid 4002 --swversion DE.1.0.8.0 --startMP 204:453 --initTime 2016-11-05T16:13:05 --startdatetime 2016-11-05T16:16:09 --delay 1 --endMP 204:233293 --enddatetime 2016-11-05T16:51:30 --enforcementcount 0 &gt;&gt;C:\Users\stu\Documents\GitHub\eaglep3-reporting\EC\2016-11-05-refined-times.txt</v>
      </c>
      <c r="AI11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{"issue":{"subject":"","project_id":79,"tracker_id":40,"status_id":1,"priority_id":2,"assigned_to_id":23,"start_date":"2016-11-05","description":"","custom_fields":[{"id":1,"name":"Subdivision","value":"EC"},{"id":4,"name":"Milepost","value":"23.3293"},{"id":17,"name":"Train ID","value":"201-05"},{"id":16,"name":"Locomotive ID","value":"4002"},{"id":130,"name":"Impact","value":""},{"id":150,"name":"Time of Event (Mountain Time)","value":"16:51:30"},{"id":151,"name":"Denver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577</v>
      </c>
      <c r="B114" s="7">
        <v>4001</v>
      </c>
      <c r="C114" s="22" t="s">
        <v>242</v>
      </c>
      <c r="D114" s="22" t="s">
        <v>240</v>
      </c>
      <c r="E114" s="13">
        <v>42679.711585648147</v>
      </c>
      <c r="F114" s="13">
        <v>42679.716238425928</v>
      </c>
      <c r="G114" s="7">
        <v>2</v>
      </c>
      <c r="H114" s="22" t="s">
        <v>202</v>
      </c>
      <c r="I114" s="13">
        <v>42679.742442129631</v>
      </c>
      <c r="J114" s="7">
        <v>0</v>
      </c>
      <c r="K114" s="112" t="str">
        <f t="shared" si="19"/>
        <v>4001/4002</v>
      </c>
      <c r="L114" s="22" t="str">
        <f>VLOOKUP(A114,'Trips&amp;Operators'!$C$1:$E$10000,3,FALSE)</f>
        <v>STEWART</v>
      </c>
      <c r="M114" s="6">
        <f t="shared" si="20"/>
        <v>2.6203703702776693E-2</v>
      </c>
      <c r="N114" s="7">
        <f t="shared" si="21"/>
        <v>37.733333331998438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16:04:41-0600',mode:absolute,to:'2016-11-05 18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23.298100000000002</v>
      </c>
      <c r="Z114" s="67">
        <f t="shared" si="28"/>
        <v>1.4500000000000001E-2</v>
      </c>
      <c r="AA114" s="67">
        <f t="shared" si="29"/>
        <v>23.2836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0202-05</v>
      </c>
      <c r="AE114" s="91" t="str">
        <f t="shared" si="31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14" s="88" t="str">
        <f t="shared" si="32"/>
        <v>"C:\Program Files (x86)\AstroGrep\AstroGrep.exe" /spath="%USERPROFILE%\AppData\Local\Temp\OnboardLogs" /stypes="app*4001*20161105*" /stext=" 23:.+((SYSTEM_STATE.+slice.+state.+changed )|(ment ac)|(system.+state.+changed )|(\[timeout)|(PRM\|1\|D)|(kpr)|(kdp)|(\|loc)|(penalty))"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202-05 --locoid 4001 --swversion DE.1.0.8.0 --startMP 204:232981 --initTime 2016-11-05T17:04:41 --startdatetime 2016-11-05T17:11:23 --delay 2 --endMP 204:145 --enddatetime 2016-11-05T17:49:07 --enforcementcount 0 &gt;&gt;C:\Users\stu\Documents\GitHub\eaglep3-reporting\EC\2016-11-05-refined-times.txt</v>
      </c>
      <c r="AI11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{"issue":{"subject":"","project_id":79,"tracker_id":40,"status_id":1,"priority_id":2,"assigned_to_id":23,"start_date":"2016-11-05","description":"","custom_fields":[{"id":1,"name":"Subdivision","value":"EC"},{"id":4,"name":"Milepost","value":"0.0145"},{"id":17,"name":"Train ID","value":"202-05"},{"id":16,"name":"Locomotive ID","value":"4001"},{"id":130,"name":"Impact","value":""},{"id":150,"name":"Time of Event (Mountain Time)","value":"17:49:07"},{"id":151,"name":"Denver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572</v>
      </c>
      <c r="B115" s="7">
        <v>4053</v>
      </c>
      <c r="C115" s="22" t="s">
        <v>242</v>
      </c>
      <c r="D115" s="22" t="s">
        <v>238</v>
      </c>
      <c r="E115" s="13">
        <v>42679.682673611111</v>
      </c>
      <c r="F115" s="13">
        <v>42679.687708333331</v>
      </c>
      <c r="G115" s="7">
        <v>1</v>
      </c>
      <c r="H115" s="22" t="s">
        <v>727</v>
      </c>
      <c r="I115" s="13">
        <v>42679.712384259263</v>
      </c>
      <c r="J115" s="7">
        <v>0</v>
      </c>
      <c r="K115" s="112" t="str">
        <f t="shared" si="19"/>
        <v>4053/4054</v>
      </c>
      <c r="L115" s="22" t="str">
        <f>VLOOKUP(A115,'Trips&amp;Operators'!$C$1:$E$10000,3,FALSE)</f>
        <v>BARTLETT</v>
      </c>
      <c r="M115" s="6">
        <f t="shared" si="20"/>
        <v>2.4675925931660458E-2</v>
      </c>
      <c r="N115" s="7">
        <f t="shared" si="21"/>
        <v>35.53333334159106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15:23:03-0600',mode:absolute,to:'2016-11-05 18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4.6399999999999997E-2</v>
      </c>
      <c r="Z115" s="67">
        <f t="shared" si="28"/>
        <v>23.334299999999999</v>
      </c>
      <c r="AA115" s="67">
        <f t="shared" si="29"/>
        <v>23.2879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0203-05</v>
      </c>
      <c r="AE115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15" s="88" t="str">
        <f t="shared" si="32"/>
        <v>"C:\Program Files (x86)\AstroGrep\AstroGrep.exe" /spath="%USERPROFILE%\AppData\Local\Temp\OnboardLogs" /stypes="app*4053*20161105*" /stext=" 23:.+((SYSTEM_STATE.+slice.+state.+changed )|(ment ac)|(system.+state.+changed )|(\[timeout)|(PRM\|1\|D)|(kpr)|(kdp)|(\|loc)|(penalty))"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203-05 --locoid 4053 --swversion DE.1.0.8.0 --startMP 204:464 --initTime 2016-11-05T16:23:03 --startdatetime 2016-11-05T16:30:18 --delay 1 --endMP 204:233343 --enddatetime 2016-11-05T17:05:50 --enforcementcount 0 &gt;&gt;C:\Users\stu\Documents\GitHub\eaglep3-reporting\EC\2016-11-05-refined-times.txt</v>
      </c>
      <c r="AI11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{"issue":{"subject":"","project_id":79,"tracker_id":40,"status_id":1,"priority_id":2,"assigned_to_id":23,"start_date":"2016-11-05","description":"","custom_fields":[{"id":1,"name":"Subdivision","value":"EC"},{"id":4,"name":"Milepost","value":"23.3343"},{"id":17,"name":"Train ID","value":"203-05"},{"id":16,"name":"Locomotive ID","value":"4053"},{"id":130,"name":"Impact","value":""},{"id":150,"name":"Time of Event (Mountain Time)","value":"17:05:50"},{"id":151,"name":"Denver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579</v>
      </c>
      <c r="B116" s="7">
        <v>4054</v>
      </c>
      <c r="C116" s="22" t="s">
        <v>242</v>
      </c>
      <c r="D116" s="22" t="s">
        <v>390</v>
      </c>
      <c r="E116" s="13">
        <v>42679.714814814812</v>
      </c>
      <c r="F116" s="13">
        <v>42679.7268287037</v>
      </c>
      <c r="G116" s="7">
        <v>1</v>
      </c>
      <c r="H116" s="22" t="s">
        <v>176</v>
      </c>
      <c r="I116" s="13">
        <v>42679.752835648149</v>
      </c>
      <c r="J116" s="7">
        <v>0</v>
      </c>
      <c r="K116" s="112" t="str">
        <f t="shared" si="19"/>
        <v>4053/4054</v>
      </c>
      <c r="L116" s="22" t="str">
        <f>VLOOKUP(A116,'Trips&amp;Operators'!$C$1:$E$10000,3,FALSE)</f>
        <v>BARTLETT</v>
      </c>
      <c r="M116" s="6">
        <f t="shared" si="20"/>
        <v>2.6006944448454306E-2</v>
      </c>
      <c r="N116" s="7">
        <f t="shared" si="21"/>
        <v>37.4500000057742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16:09:20-0600',mode:absolute,to:'2016-11-05 19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23.302800000000001</v>
      </c>
      <c r="Z116" s="67">
        <f t="shared" si="28"/>
        <v>1.52E-2</v>
      </c>
      <c r="AA116" s="67">
        <f t="shared" si="29"/>
        <v>23.287600000000001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0204-05</v>
      </c>
      <c r="AE116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16" s="88" t="str">
        <f t="shared" si="32"/>
        <v>"C:\Program Files (x86)\AstroGrep\AstroGrep.exe" /spath="%USERPROFILE%\AppData\Local\Temp\OnboardLogs" /stypes="app*4054*20161106*" /stext=" 00:.+((SYSTEM_STATE.+slice.+state.+changed )|(ment ac)|(system.+state.+changed )|(\[timeout)|(PRM\|1\|D)|(kpr)|(kdp)|(\|loc)|(penalty))"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204-05 --locoid 4054 --swversion DE.1.0.8.0 --startMP 204:233028 --initTime 2016-11-05T17:09:20 --startdatetime 2016-11-05T17:26:38 --delay 1 --endMP 204:152 --enddatetime 2016-11-05T18:04:05 --enforcementcount 0 &gt;&gt;C:\Users\stu\Documents\GitHub\eaglep3-reporting\EC\2016-11-05-refined-times.txt</v>
      </c>
      <c r="AI11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ID","value":"204-05"},{"id":16,"name":"Locomotive ID","value":"4054"},{"id":130,"name":"Impact","value":""},{"id":150,"name":"Time of Event (Mountain Time)","value":"18:04:05"},{"id":151,"name":"Denver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574</v>
      </c>
      <c r="B117" s="7">
        <v>4016</v>
      </c>
      <c r="C117" s="22" t="s">
        <v>242</v>
      </c>
      <c r="D117" s="22" t="s">
        <v>247</v>
      </c>
      <c r="E117" s="13">
        <v>42679.693009259259</v>
      </c>
      <c r="F117" s="13">
        <v>42679.698113425926</v>
      </c>
      <c r="G117" s="7">
        <v>1</v>
      </c>
      <c r="H117" s="22" t="s">
        <v>391</v>
      </c>
      <c r="I117" s="13">
        <v>42679.723657407405</v>
      </c>
      <c r="J117" s="7">
        <v>0</v>
      </c>
      <c r="K117" s="112" t="str">
        <f t="shared" si="19"/>
        <v>4015/4016</v>
      </c>
      <c r="L117" s="22" t="str">
        <f>VLOOKUP(A117,'Trips&amp;Operators'!$C$1:$E$10000,3,FALSE)</f>
        <v>SWANSON</v>
      </c>
      <c r="M117" s="6">
        <f t="shared" si="20"/>
        <v>2.5543981479131617E-2</v>
      </c>
      <c r="N117" s="7">
        <f t="shared" si="21"/>
        <v>36.783333329949528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15:37:56-0600',mode:absolute,to:'2016-11-05 18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4.58E-2</v>
      </c>
      <c r="Z117" s="67">
        <f t="shared" si="28"/>
        <v>23.328299999999999</v>
      </c>
      <c r="AA117" s="67">
        <f t="shared" si="29"/>
        <v>23.282499999999999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0205-05</v>
      </c>
      <c r="AE117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17" s="88" t="str">
        <f t="shared" si="32"/>
        <v>"C:\Program Files (x86)\AstroGrep\AstroGrep.exe" /spath="%USERPROFILE%\AppData\Local\Temp\OnboardLogs" /stypes="app*4016*20161105*" /stext=" 23:.+((SYSTEM_STATE.+slice.+state.+changed )|(ment ac)|(system.+state.+changed )|(\[timeout)|(PRM\|1\|D)|(kpr)|(kdp)|(\|loc)|(penalty))"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205-05 --locoid 4016 --swversion DE.1.0.8.0 --startMP 204:458 --initTime 2016-11-05T16:37:56 --startdatetime 2016-11-05T16:45:17 --delay 1 --endMP 204:233283 --enddatetime 2016-11-05T17:22:04 --enforcementcount 0 &gt;&gt;C:\Users\stu\Documents\GitHub\eaglep3-reporting\EC\2016-11-05-refined-times.txt</v>
      </c>
      <c r="AI11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{"issue":{"subject":"","project_id":79,"tracker_id":40,"status_id":1,"priority_id":2,"assigned_to_id":23,"start_date":"2016-11-05","description":"","custom_fields":[{"id":1,"name":"Subdivision","value":"EC"},{"id":4,"name":"Milepost","value":"23.3283"},{"id":17,"name":"Train ID","value":"205-05"},{"id":16,"name":"Locomotive ID","value":"4016"},{"id":130,"name":"Impact","value":""},{"id":150,"name":"Time of Event (Mountain Time)","value":"17:22:04"},{"id":151,"name":"Denver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584</v>
      </c>
      <c r="B118" s="7">
        <v>4015</v>
      </c>
      <c r="C118" s="22" t="s">
        <v>242</v>
      </c>
      <c r="D118" s="22" t="s">
        <v>336</v>
      </c>
      <c r="E118" s="13">
        <v>42679.727442129632</v>
      </c>
      <c r="F118" s="13">
        <v>42679.737129629626</v>
      </c>
      <c r="G118" s="7">
        <v>1</v>
      </c>
      <c r="H118" s="22" t="s">
        <v>265</v>
      </c>
      <c r="I118" s="13">
        <v>42679.763726851852</v>
      </c>
      <c r="J118" s="7">
        <v>0</v>
      </c>
      <c r="K118" s="112" t="str">
        <f t="shared" si="19"/>
        <v>4015/4016</v>
      </c>
      <c r="L118" s="22" t="str">
        <f>VLOOKUP(A118,'Trips&amp;Operators'!$C$1:$E$10000,3,FALSE)</f>
        <v>SWANSON</v>
      </c>
      <c r="M118" s="6">
        <f t="shared" si="20"/>
        <v>2.6597222225973383E-2</v>
      </c>
      <c r="N118" s="7">
        <f t="shared" si="21"/>
        <v>38.300000005401671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16:27:31-0600',mode:absolute,to:'2016-11-05 19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23.2989</v>
      </c>
      <c r="Z118" s="67">
        <f t="shared" si="28"/>
        <v>1.5800000000000002E-2</v>
      </c>
      <c r="AA118" s="67">
        <f t="shared" si="29"/>
        <v>23.283100000000001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0206-05</v>
      </c>
      <c r="AE118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18" s="88" t="str">
        <f t="shared" si="32"/>
        <v>"C:\Program Files (x86)\AstroGrep\AstroGrep.exe" /spath="%USERPROFILE%\AppData\Local\Temp\OnboardLogs" /stypes="app*4015*20161106*" /stext=" 00:.+((SYSTEM_STATE.+slice.+state.+changed )|(ment ac)|(system.+state.+changed )|(\[timeout)|(PRM\|1\|D)|(kpr)|(kdp)|(\|loc)|(penalty))"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206-05 --locoid 4015 --swversion DE.1.0.8.0 --startMP 204:232989 --initTime 2016-11-05T17:27:31 --startdatetime 2016-11-05T17:41:28 --delay 1 --endMP 204:158 --enddatetime 2016-11-05T18:19:46 --enforcementcount 0 &gt;&gt;C:\Users\stu\Documents\GitHub\eaglep3-reporting\EC\2016-11-05-refined-times.txt</v>
      </c>
      <c r="AI11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ID","value":"206-05"},{"id":16,"name":"Locomotive ID","value":"4015"},{"id":130,"name":"Impact","value":""},{"id":150,"name":"Time of Event (Mountain Time)","value":"18:19:46"},{"id":151,"name":"Denver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576</v>
      </c>
      <c r="B119" s="7">
        <v>4040</v>
      </c>
      <c r="C119" s="22" t="s">
        <v>242</v>
      </c>
      <c r="D119" s="22" t="s">
        <v>208</v>
      </c>
      <c r="E119" s="13">
        <v>42679.703935185185</v>
      </c>
      <c r="F119" s="13">
        <v>42679.708518518521</v>
      </c>
      <c r="G119" s="7">
        <v>1</v>
      </c>
      <c r="H119" s="22" t="s">
        <v>728</v>
      </c>
      <c r="I119" s="13">
        <v>42679.733425925922</v>
      </c>
      <c r="J119" s="7">
        <v>0</v>
      </c>
      <c r="K119" s="112" t="str">
        <f t="shared" si="19"/>
        <v>4039/4040</v>
      </c>
      <c r="L119" s="22" t="str">
        <f>VLOOKUP(A119,'Trips&amp;Operators'!$C$1:$E$10000,3,FALSE)</f>
        <v>SHOOK</v>
      </c>
      <c r="M119" s="6">
        <f t="shared" si="20"/>
        <v>2.4907407401769888E-2</v>
      </c>
      <c r="N119" s="7">
        <f t="shared" si="21"/>
        <v>35.866666658548638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15:53:40-0600',mode:absolute,to:'2016-11-05 18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4.5499999999999999E-2</v>
      </c>
      <c r="Z119" s="67">
        <f t="shared" si="28"/>
        <v>23.3353</v>
      </c>
      <c r="AA119" s="67">
        <f t="shared" si="29"/>
        <v>23.2898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0207-05</v>
      </c>
      <c r="AE119" s="91" t="str">
        <f t="shared" si="31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119" s="88" t="str">
        <f t="shared" si="32"/>
        <v>"C:\Program Files (x86)\AstroGrep\AstroGrep.exe" /spath="%USERPROFILE%\AppData\Local\Temp\OnboardLogs" /stypes="app*4040*20161105*" /stext=" 23:.+((SYSTEM_STATE.+slice.+state.+changed )|(ment ac)|(system.+state.+changed )|(\[timeout)|(PRM\|1\|D)|(kpr)|(kdp)|(\|loc)|(penalty))"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207-05 --locoid 4040 --swversion DE.1.0.8.0 --startMP 204:455 --initTime 2016-11-05T16:53:40 --startdatetime 2016-11-05T17:00:16 --delay 1 --endMP 204:233353 --enddatetime 2016-11-05T17:36:08 --enforcementcount 0 &gt;&gt;C:\Users\stu\Documents\GitHub\eaglep3-reporting\EC\2016-11-05-refined-times.txt</v>
      </c>
      <c r="AI11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{"issue":{"subject":"","project_id":79,"tracker_id":40,"status_id":1,"priority_id":2,"assigned_to_id":23,"start_date":"2016-11-05","description":"","custom_fields":[{"id":1,"name":"Subdivision","value":"EC"},{"id":4,"name":"Milepost","value":"23.3353"},{"id":17,"name":"Train ID","value":"207-05"},{"id":16,"name":"Locomotive ID","value":"4040"},{"id":130,"name":"Impact","value":""},{"id":150,"name":"Time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588</v>
      </c>
      <c r="B120" s="7">
        <v>4039</v>
      </c>
      <c r="C120" s="22" t="s">
        <v>242</v>
      </c>
      <c r="D120" s="22" t="s">
        <v>729</v>
      </c>
      <c r="E120" s="13">
        <v>42679.741805555554</v>
      </c>
      <c r="F120" s="13">
        <v>42679.747453703705</v>
      </c>
      <c r="G120" s="7">
        <v>1</v>
      </c>
      <c r="H120" s="22" t="s">
        <v>648</v>
      </c>
      <c r="I120" s="13">
        <v>42679.773506944446</v>
      </c>
      <c r="J120" s="7">
        <v>0</v>
      </c>
      <c r="K120" s="112" t="str">
        <f t="shared" si="19"/>
        <v>4039/4040</v>
      </c>
      <c r="L120" s="22" t="str">
        <f>VLOOKUP(A120,'Trips&amp;Operators'!$C$1:$E$10000,3,FALSE)</f>
        <v>SHOOK</v>
      </c>
      <c r="M120" s="6">
        <f t="shared" si="20"/>
        <v>2.6053240741021E-2</v>
      </c>
      <c r="N120" s="7">
        <f t="shared" si="21"/>
        <v>37.51666666707024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16:48:12-0600',mode:absolute,to:'2016-11-05 19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23.303599999999999</v>
      </c>
      <c r="Z120" s="67">
        <f t="shared" si="28"/>
        <v>1.6299999999999999E-2</v>
      </c>
      <c r="AA120" s="67">
        <f t="shared" si="29"/>
        <v>23.287299999999998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0208-05</v>
      </c>
      <c r="AE120" s="91" t="str">
        <f t="shared" si="31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120" s="88" t="str">
        <f t="shared" si="32"/>
        <v>"C:\Program Files (x86)\AstroGrep\AstroGrep.exe" /spath="%USERPROFILE%\AppData\Local\Temp\OnboardLogs" /stypes="app*4039*20161106*" /stext=" 00:.+((SYSTEM_STATE.+slice.+state.+changed )|(ment ac)|(system.+state.+changed )|(\[timeout)|(PRM\|1\|D)|(kpr)|(kdp)|(\|loc)|(penalty))"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208-05 --locoid 4039 --swversion DE.1.0.8.0 --startMP 204:233036 --initTime 2016-11-05T17:48:12 --startdatetime 2016-11-05T17:56:20 --delay 1 --endMP 204:163 --enddatetime 2016-11-05T18:33:51 --enforcementcount 0 &gt;&gt;C:\Users\stu\Documents\GitHub\eaglep3-reporting\EC\2016-11-05-refined-times.txt</v>
      </c>
      <c r="AI12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{"issue":{"subject":"","project_id":79,"tracker_id":40,"status_id":1,"priority_id":2,"assigned_to_id":23,"start_date":"2016-11-05","description":"","custom_fields":[{"id":1,"name":"Subdivision","value":"EC"},{"id":4,"name":"Milepost","value":"0.0163"},{"id":17,"name":"Train ID","value":"208-05"},{"id":16,"name":"Locomotive ID","value":"4039"},{"id":130,"name":"Impact","value":""},{"id":150,"name":"Time of Event (Mountain Time)","value":"18:33:51"},{"id":151,"name":"Denver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578</v>
      </c>
      <c r="B121" s="7">
        <v>4014</v>
      </c>
      <c r="C121" s="22" t="s">
        <v>242</v>
      </c>
      <c r="D121" s="22" t="s">
        <v>238</v>
      </c>
      <c r="E121" s="13">
        <v>42679.713113425925</v>
      </c>
      <c r="F121" s="13">
        <v>42679.719004629631</v>
      </c>
      <c r="G121" s="7">
        <v>1</v>
      </c>
      <c r="H121" s="22" t="s">
        <v>282</v>
      </c>
      <c r="I121" s="13">
        <v>42679.743333333332</v>
      </c>
      <c r="J121" s="7">
        <v>0</v>
      </c>
      <c r="K121" s="112" t="str">
        <f t="shared" si="19"/>
        <v>4013/4014</v>
      </c>
      <c r="L121" s="22" t="str">
        <f>VLOOKUP(A121,'Trips&amp;Operators'!$C$1:$E$10000,3,FALSE)</f>
        <v>BRUDER</v>
      </c>
      <c r="M121" s="6">
        <f t="shared" si="20"/>
        <v>2.4328703701030463E-2</v>
      </c>
      <c r="N121" s="7">
        <f t="shared" si="21"/>
        <v>35.033333329483867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16:06:53-0600',mode:absolute,to:'2016-11-05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4.6399999999999997E-2</v>
      </c>
      <c r="Z121" s="67">
        <f t="shared" si="28"/>
        <v>23.329799999999999</v>
      </c>
      <c r="AA121" s="67">
        <f t="shared" si="29"/>
        <v>23.2834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0209-05</v>
      </c>
      <c r="AE121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21" s="88" t="str">
        <f t="shared" si="32"/>
        <v>"C:\Program Files (x86)\AstroGrep\AstroGrep.exe" /spath="%USERPROFILE%\AppData\Local\Temp\OnboardLogs" /stypes="app*4014*20161105*" /stext=" 23:.+((SYSTEM_STATE.+slice.+state.+changed )|(ment ac)|(system.+state.+changed )|(\[timeout)|(PRM\|1\|D)|(kpr)|(kdp)|(\|loc)|(penalty))"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209-05 --locoid 4014 --swversion DE.1.0.8.0 --startMP 204:464 --initTime 2016-11-05T17:06:53 --startdatetime 2016-11-05T17:15:22 --delay 1 --endMP 204:233298 --enddatetime 2016-11-05T17:50:24 --enforcementcount 0 &gt;&gt;C:\Users\stu\Documents\GitHub\eaglep3-reporting\EC\2016-11-05-refined-times.txt</v>
      </c>
      <c r="AI12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{"issue":{"subject":"","project_id":79,"tracker_id":40,"status_id":1,"priority_id":2,"assigned_to_id":23,"start_date":"2016-11-05","description":"","custom_fields":[{"id":1,"name":"Subdivision","value":"EC"},{"id":4,"name":"Milepost","value":"23.3298"},{"id":17,"name":"Train ID","value":"209-05"},{"id":16,"name":"Locomotive ID","value":"4014"},{"id":130,"name":"Impact","value":""},{"id":150,"name":"Time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591</v>
      </c>
      <c r="B122" s="7">
        <v>4013</v>
      </c>
      <c r="C122" s="22" t="s">
        <v>242</v>
      </c>
      <c r="D122" s="22" t="s">
        <v>315</v>
      </c>
      <c r="E122" s="13">
        <v>42679.750601851854</v>
      </c>
      <c r="F122" s="13">
        <v>42679.757962962962</v>
      </c>
      <c r="G122" s="7">
        <v>1</v>
      </c>
      <c r="H122" s="22" t="s">
        <v>203</v>
      </c>
      <c r="I122" s="13">
        <v>42679.783576388887</v>
      </c>
      <c r="J122" s="7">
        <v>0</v>
      </c>
      <c r="K122" s="112" t="str">
        <f t="shared" si="19"/>
        <v>4013/4014</v>
      </c>
      <c r="L122" s="22" t="str">
        <f>VLOOKUP(A122,'Trips&amp;Operators'!$C$1:$E$10000,3,FALSE)</f>
        <v>BRUDER</v>
      </c>
      <c r="M122" s="6">
        <f t="shared" si="20"/>
        <v>2.5613425925257616E-2</v>
      </c>
      <c r="N122" s="7">
        <f t="shared" si="21"/>
        <v>36.883333332370967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17:00:52-0600',mode:absolute,to:'2016-11-05 19:48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23.299299999999999</v>
      </c>
      <c r="Z122" s="67">
        <f t="shared" si="28"/>
        <v>1.49E-2</v>
      </c>
      <c r="AA122" s="67">
        <f t="shared" si="29"/>
        <v>23.284399999999998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0210-05</v>
      </c>
      <c r="AE122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22" s="88" t="str">
        <f t="shared" si="32"/>
        <v>"C:\Program Files (x86)\AstroGrep\AstroGrep.exe" /spath="%USERPROFILE%\AppData\Local\Temp\OnboardLogs" /stypes="app*4013*20161106*" /stext=" 00:.+((SYSTEM_STATE.+slice.+state.+changed )|(ment ac)|(system.+state.+changed )|(\[timeout)|(PRM\|1\|D)|(kpr)|(kdp)|(\|loc)|(penalty))"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210-05 --locoid 4013 --swversion DE.1.0.8.0 --startMP 204:232993 --initTime 2016-11-05T18:00:52 --startdatetime 2016-11-05T18:11:28 --delay 1 --endMP 204:149 --enddatetime 2016-11-05T18:48:21 --enforcementcount 0 &gt;&gt;C:\Users\stu\Documents\GitHub\eaglep3-reporting\EC\2016-11-05-refined-times.txt</v>
      </c>
      <c r="AI12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ID","value":"210-05"},{"id":16,"name":"Locomotive ID","value":"4013"},{"id":130,"name":"Impact","value":""},{"id":150,"name":"Time of Event (Mountain Time)","value":"18:48:21"},{"id":151,"name":"Denver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581</v>
      </c>
      <c r="B123" s="7">
        <v>4011</v>
      </c>
      <c r="C123" s="22" t="s">
        <v>242</v>
      </c>
      <c r="D123" s="22" t="s">
        <v>342</v>
      </c>
      <c r="E123" s="13">
        <v>42679.724722222221</v>
      </c>
      <c r="F123" s="13">
        <v>42679.729351851849</v>
      </c>
      <c r="G123" s="7">
        <v>1</v>
      </c>
      <c r="H123" s="22" t="s">
        <v>263</v>
      </c>
      <c r="I123" s="13">
        <v>42679.754664351851</v>
      </c>
      <c r="J123" s="7">
        <v>0</v>
      </c>
      <c r="K123" s="112" t="str">
        <f t="shared" si="19"/>
        <v>4011/4012</v>
      </c>
      <c r="L123" s="22" t="str">
        <f>VLOOKUP(A123,'Trips&amp;Operators'!$C$1:$E$10000,3,FALSE)</f>
        <v>CLARK</v>
      </c>
      <c r="M123" s="6">
        <f t="shared" si="20"/>
        <v>2.531250000174623E-2</v>
      </c>
      <c r="N123" s="7">
        <f t="shared" si="21"/>
        <v>36.450000002514571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16:23:36-0600',mode:absolute,to:'2016-11-05 19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4.0399999999999998E-2</v>
      </c>
      <c r="Z123" s="67">
        <f t="shared" si="28"/>
        <v>23.330300000000001</v>
      </c>
      <c r="AA123" s="67">
        <f t="shared" si="29"/>
        <v>23.289899999999999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0211-05</v>
      </c>
      <c r="AE123" s="91" t="str">
        <f t="shared" si="31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123" s="88" t="str">
        <f t="shared" si="32"/>
        <v>"C:\Program Files (x86)\AstroGrep\AstroGrep.exe" /spath="%USERPROFILE%\AppData\Local\Temp\OnboardLogs" /stypes="app*4011*20161106*" /stext=" 00:.+((SYSTEM_STATE.+slice.+state.+changed )|(ment ac)|(system.+state.+changed )|(\[timeout)|(PRM\|1\|D)|(kpr)|(kdp)|(\|loc)|(penalty))"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211-05 --locoid 4011 --swversion DE.1.0.8.0 --startMP 204:404 --initTime 2016-11-05T17:23:36 --startdatetime 2016-11-05T17:30:16 --delay 1 --endMP 204:233303 --enddatetime 2016-11-05T18:06:43 --enforcementcount 0 &gt;&gt;C:\Users\stu\Documents\GitHub\eaglep3-reporting\EC\2016-11-05-refined-times.txt</v>
      </c>
      <c r="AI12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{"issue":{"subject":"","project_id":79,"tracker_id":40,"status_id":1,"priority_id":2,"assigned_to_id":23,"start_date":"2016-11-05","description":"","custom_fields":[{"id":1,"name":"Subdivision","value":"EC"},{"id":4,"name":"Milepost","value":"23.3303"},{"id":17,"name":"Train ID","value":"211-05"},{"id":16,"name":"Locomotive ID","value":"4011"},{"id":130,"name":"Impact","value":""},{"id":150,"name":"Time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593</v>
      </c>
      <c r="B124" s="7">
        <v>4012</v>
      </c>
      <c r="C124" s="22" t="s">
        <v>242</v>
      </c>
      <c r="D124" s="22" t="s">
        <v>281</v>
      </c>
      <c r="E124" s="13">
        <v>42679.761076388888</v>
      </c>
      <c r="F124" s="13">
        <v>42679.768240740741</v>
      </c>
      <c r="G124" s="7">
        <v>1</v>
      </c>
      <c r="H124" s="22" t="s">
        <v>730</v>
      </c>
      <c r="I124" s="13">
        <v>42679.796076388891</v>
      </c>
      <c r="J124" s="7">
        <v>0</v>
      </c>
      <c r="K124" s="112" t="str">
        <f t="shared" si="19"/>
        <v>4011/4012</v>
      </c>
      <c r="L124" s="22" t="str">
        <f>VLOOKUP(A124,'Trips&amp;Operators'!$C$1:$E$10000,3,FALSE)</f>
        <v>CLARK</v>
      </c>
      <c r="M124" s="6">
        <f t="shared" si="20"/>
        <v>2.7835648150357883E-2</v>
      </c>
      <c r="N124" s="7">
        <f t="shared" si="21"/>
        <v>40.083333336515352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17:15:57-0600',mode:absolute,to:'2016-11-05 20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23.2971</v>
      </c>
      <c r="Z124" s="67">
        <f t="shared" si="28"/>
        <v>5.28E-2</v>
      </c>
      <c r="AA124" s="67">
        <f t="shared" si="29"/>
        <v>23.244299999999999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0212-05</v>
      </c>
      <c r="AE124" s="91" t="str">
        <f t="shared" si="31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24" s="88" t="str">
        <f t="shared" si="32"/>
        <v>"C:\Program Files (x86)\AstroGrep\AstroGrep.exe" /spath="%USERPROFILE%\AppData\Local\Temp\OnboardLogs" /stypes="app*4012*20161106*" /stext=" 01:.+((SYSTEM_STATE.+slice.+state.+changed )|(ment ac)|(system.+state.+changed )|(\[timeout)|(PRM\|1\|D)|(kpr)|(kdp)|(\|loc)|(penalty))"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212-05 --locoid 4012 --swversion DE.1.0.8.0 --startMP 204:232971 --initTime 2016-11-05T18:15:57 --startdatetime 2016-11-05T18:26:16 --delay 1 --endMP 204:528 --enddatetime 2016-11-05T19:06:21 --enforcementcount 0 &gt;&gt;C:\Users\stu\Documents\GitHub\eaglep3-reporting\EC\2016-11-05-refined-times.txt</v>
      </c>
      <c r="AI12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{"issue":{"subject":"","project_id":79,"tracker_id":40,"status_id":1,"priority_id":2,"assigned_to_id":23,"start_date":"2016-11-05","description":"","custom_fields":[{"id":1,"name":"Subdivision","value":"EC"},{"id":4,"name":"Milepost","value":"0.0528"},{"id":17,"name":"Train ID","value":"212-05"},{"id":16,"name":"Locomotive ID","value":"4012"},{"id":130,"name":"Impact","value":""},{"id":150,"name":"Time of Event (Mountain Time)","value":"19:06:21"},{"id":151,"name":"Denver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586</v>
      </c>
      <c r="B125" s="7">
        <v>4025</v>
      </c>
      <c r="C125" s="22" t="s">
        <v>242</v>
      </c>
      <c r="D125" s="22" t="s">
        <v>212</v>
      </c>
      <c r="E125" s="13">
        <v>42679.735196759262</v>
      </c>
      <c r="F125" s="13">
        <v>42679.740405092591</v>
      </c>
      <c r="G125" s="7">
        <v>1</v>
      </c>
      <c r="H125" s="22" t="s">
        <v>285</v>
      </c>
      <c r="I125" s="13">
        <v>42679.764594907407</v>
      </c>
      <c r="J125" s="7">
        <v>0</v>
      </c>
      <c r="K125" s="112" t="str">
        <f t="shared" si="19"/>
        <v>4025/4026</v>
      </c>
      <c r="L125" s="22" t="str">
        <f>VLOOKUP(A125,'Trips&amp;Operators'!$C$1:$E$10000,3,FALSE)</f>
        <v>NEWELL</v>
      </c>
      <c r="M125" s="6">
        <f t="shared" si="20"/>
        <v>2.4189814816054422E-2</v>
      </c>
      <c r="N125" s="7">
        <f t="shared" si="21"/>
        <v>34.833333335118368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16:38:41-0600',mode:absolute,to:'2016-11-05 19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4.5100000000000001E-2</v>
      </c>
      <c r="Z125" s="67">
        <f t="shared" si="28"/>
        <v>23.331199999999999</v>
      </c>
      <c r="AA125" s="67">
        <f t="shared" si="29"/>
        <v>23.286099999999998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0213-05</v>
      </c>
      <c r="AE125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25" s="88" t="str">
        <f t="shared" si="32"/>
        <v>"C:\Program Files (x86)\AstroGrep\AstroGrep.exe" /spath="%USERPROFILE%\AppData\Local\Temp\OnboardLogs" /stypes="app*4025*20161106*" /stext=" 00:.+((SYSTEM_STATE.+slice.+state.+changed )|(ment ac)|(system.+state.+changed )|(\[timeout)|(PRM\|1\|D)|(kpr)|(kdp)|(\|loc)|(penalty))"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213-05 --locoid 4025 --swversion DE.1.0.8.0 --startMP 204:451 --initTime 2016-11-05T17:38:41 --startdatetime 2016-11-05T17:46:11 --delay 1 --endMP 204:233312 --enddatetime 2016-11-05T18:21:01 --enforcementcount 0 &gt;&gt;C:\Users\stu\Documents\GitHub\eaglep3-reporting\EC\2016-11-05-refined-times.txt</v>
      </c>
      <c r="AI12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ID","value":"213-05"},{"id":16,"name":"Locomotive ID","value":"4025"},{"id":130,"name":"Impact","value":""},{"id":150,"name":"Time of Event (Mountain Time)","value":"18:21:01"},{"id":151,"name":"Denver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595</v>
      </c>
      <c r="B126" s="7">
        <v>4026</v>
      </c>
      <c r="C126" s="22" t="s">
        <v>242</v>
      </c>
      <c r="D126" s="22" t="s">
        <v>231</v>
      </c>
      <c r="E126" s="13">
        <v>42679.772291666668</v>
      </c>
      <c r="F126" s="13">
        <v>42679.778634259259</v>
      </c>
      <c r="G126" s="7">
        <v>1</v>
      </c>
      <c r="H126" s="22" t="s">
        <v>176</v>
      </c>
      <c r="I126" s="13">
        <v>42679.804178240738</v>
      </c>
      <c r="J126" s="7">
        <v>0</v>
      </c>
      <c r="K126" s="112" t="str">
        <f t="shared" si="19"/>
        <v>4025/4026</v>
      </c>
      <c r="L126" s="22" t="str">
        <f>VLOOKUP(A126,'Trips&amp;Operators'!$C$1:$E$10000,3,FALSE)</f>
        <v>NEWELL</v>
      </c>
      <c r="M126" s="6">
        <f t="shared" si="20"/>
        <v>2.5543981479131617E-2</v>
      </c>
      <c r="N126" s="7">
        <f t="shared" si="21"/>
        <v>36.783333329949528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17:32:06-0600',mode:absolute,to:'2016-11-05 20:18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23.298500000000001</v>
      </c>
      <c r="Z126" s="67">
        <f t="shared" si="28"/>
        <v>1.52E-2</v>
      </c>
      <c r="AA126" s="67">
        <f t="shared" si="29"/>
        <v>23.283300000000001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0214-05</v>
      </c>
      <c r="AE126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26" s="88" t="str">
        <f t="shared" si="32"/>
        <v>"C:\Program Files (x86)\AstroGrep\AstroGrep.exe" /spath="%USERPROFILE%\AppData\Local\Temp\OnboardLogs" /stypes="app*4026*20161106*" /stext=" 01:.+((SYSTEM_STATE.+slice.+state.+changed )|(ment ac)|(system.+state.+changed )|(\[timeout)|(PRM\|1\|D)|(kpr)|(kdp)|(\|loc)|(penalty))"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214-05 --locoid 4026 --swversion DE.1.0.8.0 --startMP 204:232985 --initTime 2016-11-05T18:32:06 --startdatetime 2016-11-05T18:41:14 --delay 1 --endMP 204:152 --enddatetime 2016-11-05T19:18:01 --enforcementcount 0 &gt;&gt;C:\Users\stu\Documents\GitHub\eaglep3-reporting\EC\2016-11-05-refined-times.txt</v>
      </c>
      <c r="AI12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{"issue":{"subject":"","project_id":79,"tracker_id":40,"status_id":1,"priority_id":2,"assigned_to_id":23,"start_date":"2016-11-05","description":"","custom_fields":[{"id":1,"name":"Subdivision","value":"EC"},{"id":4,"name":"Milepost","value":"0.0152"},{"id":17,"name":"Train ID","value":"214-05"},{"id":16,"name":"Locomotive ID","value":"4026"},{"id":130,"name":"Impact","value":""},{"id":150,"name":"Time of Event (Mountain Time)","value":"19:18:01"},{"id":151,"name":"Denver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589</v>
      </c>
      <c r="B127" s="7">
        <v>4002</v>
      </c>
      <c r="C127" s="22" t="s">
        <v>242</v>
      </c>
      <c r="D127" s="22" t="s">
        <v>233</v>
      </c>
      <c r="E127" s="13">
        <v>42679.746157407404</v>
      </c>
      <c r="F127" s="13">
        <v>42679.750243055554</v>
      </c>
      <c r="G127" s="7">
        <v>1</v>
      </c>
      <c r="H127" s="22" t="s">
        <v>384</v>
      </c>
      <c r="I127" s="13">
        <v>42679.775150462963</v>
      </c>
      <c r="J127" s="7">
        <v>0</v>
      </c>
      <c r="K127" s="112" t="str">
        <f t="shared" si="19"/>
        <v>4001/4002</v>
      </c>
      <c r="L127" s="22" t="str">
        <f>VLOOKUP(A127,'Trips&amp;Operators'!$C$1:$E$10000,3,FALSE)</f>
        <v>STORY</v>
      </c>
      <c r="M127" s="6">
        <f t="shared" si="20"/>
        <v>2.4907407409045845E-2</v>
      </c>
      <c r="N127" s="7">
        <f t="shared" si="21"/>
        <v>35.866666669026017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16:54:28-0600',mode:absolute,to:'2016-11-05 19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4.5699999999999998E-2</v>
      </c>
      <c r="Z127" s="67">
        <f t="shared" si="28"/>
        <v>23.328399999999998</v>
      </c>
      <c r="AA127" s="67">
        <f t="shared" si="29"/>
        <v>23.282699999999998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0215-05</v>
      </c>
      <c r="AE127" s="91" t="str">
        <f t="shared" si="31"/>
        <v>aws s3 cp s3://rtdc.mdm.uploadarchive.raw/RTDC4002/ "%USERPROFILE%\AppData\Local\Temp\OnboardLogs"\RTDC4002\2016-11-05 --exclude "*" --recursive --include "*20161105*" &amp; "%USERPROFILE%\Documents\GitHub\mrs-test-scripts\Headless Mode &amp; Sideloading\WalkAndUnGZ.bat" "%USERPROFILE%\AppData\Local\Temp\OnboardLogs"\RTDC4002\2016-11-05 &amp; aws s3 cp s3://rtdc.mdm.uploadarchive.raw/RTDC4002/ "%USERPROFILE%\AppData\Local\Temp\OnboardLogs"\RTDC4002\2016-11-06 --exclude "*" --recursive --include "*20161106*" &amp; "%USERPROFILE%\Documents\GitHub\mrs-test-scripts\Headless Mode &amp; Sideloading\WalkAndUnGZ.bat" "%USERPROFILE%\AppData\Local\Temp\OnboardLogs"\RTDC4002\2016-11-06</v>
      </c>
      <c r="AF127" s="88" t="str">
        <f t="shared" si="32"/>
        <v>"C:\Program Files (x86)\AstroGrep\AstroGrep.exe" /spath="%USERPROFILE%\AppData\Local\Temp\OnboardLogs" /stypes="app*4002*20161106*" /stext=" 00:.+((SYSTEM_STATE.+slice.+state.+changed )|(ment ac)|(system.+state.+changed )|(\[timeout)|(PRM\|1\|D)|(kpr)|(kdp)|(\|loc)|(penalty))"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215-05 --locoid 4002 --swversion DE.1.0.8.0 --startMP 204:457 --initTime 2016-11-05T17:54:28 --startdatetime 2016-11-05T18:00:21 --delay 1 --endMP 204:233284 --enddatetime 2016-11-05T18:36:13 --enforcementcount 0 &gt;&gt;C:\Users\stu\Documents\GitHub\eaglep3-reporting\EC\2016-11-05-refined-times.txt</v>
      </c>
      <c r="AI12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{"issue":{"subject":"","project_id":79,"tracker_id":40,"status_id":1,"priority_id":2,"assigned_to_id":23,"start_date":"2016-11-05","description":"","custom_fields":[{"id":1,"name":"Subdivision","value":"EC"},{"id":4,"name":"Milepost","value":"23.3284"},{"id":17,"name":"Train ID","value":"215-05"},{"id":16,"name":"Locomotive ID","value":"4002"},{"id":130,"name":"Impact","value":""},{"id":150,"name":"Time of Event (Mountain Time)","value":"18:36:13"},{"id":151,"name":"Denver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597</v>
      </c>
      <c r="B128" s="7">
        <v>4001</v>
      </c>
      <c r="C128" s="22" t="s">
        <v>242</v>
      </c>
      <c r="D128" s="22" t="s">
        <v>283</v>
      </c>
      <c r="E128" s="13">
        <v>42679.786157407405</v>
      </c>
      <c r="F128" s="13">
        <v>42679.789340277777</v>
      </c>
      <c r="G128" s="7">
        <v>1</v>
      </c>
      <c r="H128" s="22" t="s">
        <v>237</v>
      </c>
      <c r="I128" s="13">
        <v>42679.815509259257</v>
      </c>
      <c r="J128" s="7">
        <v>0</v>
      </c>
      <c r="K128" s="112" t="str">
        <f t="shared" si="19"/>
        <v>4001/4002</v>
      </c>
      <c r="L128" s="22" t="str">
        <f>VLOOKUP(A128,'Trips&amp;Operators'!$C$1:$E$10000,3,FALSE)</f>
        <v>STORY</v>
      </c>
      <c r="M128" s="6">
        <f t="shared" si="20"/>
        <v>2.6168981479713693E-2</v>
      </c>
      <c r="N128" s="7">
        <f t="shared" si="21"/>
        <v>37.683333330787718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17:52:04-0600',mode:absolute,to:'2016-11-05 20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23.298200000000001</v>
      </c>
      <c r="Z128" s="67">
        <f t="shared" si="28"/>
        <v>1.61E-2</v>
      </c>
      <c r="AA128" s="67">
        <f t="shared" si="29"/>
        <v>23.2821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0216-05</v>
      </c>
      <c r="AE128" s="91" t="str">
        <f t="shared" si="31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28" s="88" t="str">
        <f t="shared" si="32"/>
        <v>"C:\Program Files (x86)\AstroGrep\AstroGrep.exe" /spath="%USERPROFILE%\AppData\Local\Temp\OnboardLogs" /stypes="app*4001*20161106*" /stext=" 01:.+((SYSTEM_STATE.+slice.+state.+changed )|(ment ac)|(system.+state.+changed )|(\[timeout)|(PRM\|1\|D)|(kpr)|(kdp)|(\|loc)|(penalty))"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216-05 --locoid 4001 --swversion DE.1.0.8.0 --startMP 204:232982 --initTime 2016-11-05T18:52:04 --startdatetime 2016-11-05T18:56:39 --delay 1 --endMP 204:161 --enddatetime 2016-11-05T19:34:20 --enforcementcount 0 &gt;&gt;C:\Users\stu\Documents\GitHub\eaglep3-reporting\EC\2016-11-05-refined-times.txt</v>
      </c>
      <c r="AI12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{"issue":{"subject":"","project_id":79,"tracker_id":40,"status_id":1,"priority_id":2,"assigned_to_id":23,"start_date":"2016-11-05","description":"","custom_fields":[{"id":1,"name":"Subdivision","value":"EC"},{"id":4,"name":"Milepost","value":"0.0161"},{"id":17,"name":"Train ID","value":"216-05"},{"id":16,"name":"Locomotive ID","value":"4001"},{"id":130,"name":"Impact","value":""},{"id":150,"name":"Time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436</v>
      </c>
      <c r="B129" s="7">
        <v>4053</v>
      </c>
      <c r="C129" s="22" t="s">
        <v>242</v>
      </c>
      <c r="D129" s="22" t="s">
        <v>398</v>
      </c>
      <c r="E129" s="13">
        <v>42679.757361111115</v>
      </c>
      <c r="F129" s="13">
        <v>42679.760682870372</v>
      </c>
      <c r="G129" s="7">
        <v>4</v>
      </c>
      <c r="H129" s="22" t="s">
        <v>646</v>
      </c>
      <c r="I129" s="13">
        <v>42679.786493055559</v>
      </c>
      <c r="J129" s="7">
        <v>0</v>
      </c>
      <c r="K129" s="112" t="str">
        <f t="shared" si="19"/>
        <v>4053/4054</v>
      </c>
      <c r="L129" s="22" t="str">
        <f>VLOOKUP(A129,'Trips&amp;Operators'!$C$1:$E$10000,3,FALSE)</f>
        <v>CHANDLER</v>
      </c>
      <c r="M129" s="6">
        <f t="shared" si="20"/>
        <v>2.5810185186855961E-2</v>
      </c>
      <c r="N129" s="7">
        <f t="shared" si="21"/>
        <v>37.166666669072583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17:10:36-0600',mode:absolute,to:'2016-11-05 19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4.3499999999999997E-2</v>
      </c>
      <c r="Z129" s="67">
        <f t="shared" si="28"/>
        <v>23.328499999999998</v>
      </c>
      <c r="AA129" s="67">
        <f t="shared" si="29"/>
        <v>23.284999999999997</v>
      </c>
      <c r="AB129" s="64" t="str">
        <f>VLOOKUP(A129,Enforcements!$C$7:$K$21,8,0)</f>
        <v>Speed (6)</v>
      </c>
      <c r="AC129" s="60" t="str">
        <f>VLOOKUP(A129,Enforcements!$C$7:$E$21,3,0)</f>
        <v>PERMANENT SPEED RESTRICTION</v>
      </c>
      <c r="AD129" s="61" t="str">
        <f t="shared" si="30"/>
        <v>0217-05</v>
      </c>
      <c r="AE129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29" s="88" t="str">
        <f t="shared" si="32"/>
        <v>"C:\Program Files (x86)\AstroGrep\AstroGrep.exe" /spath="%USERPROFILE%\AppData\Local\Temp\OnboardLogs" /stypes="app*4053*20161106*" /stext=" 00:.+((SYSTEM_STATE.+slice.+state.+changed )|(ment ac)|(system.+state.+changed )|(\[timeout)|(PRM\|1\|D)|(kpr)|(kdp)|(\|loc)|(penalty))"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217-05 --locoid 4053 --swversion DE.1.0.8.0 --startMP 204:435 --initTime 2016-11-05T18:10:36 --startdatetime 2016-11-05T18:15:23 --delay 4 --endMP 204:233285 --enddatetime 2016-11-05T18:52:33 --enforcementcount 0 &gt;&gt;C:\Users\stu\Documents\GitHub\eaglep3-reporting\EC\2016-11-05-refined-times.txt</v>
      </c>
      <c r="AI12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{"issue":{"subject":"","project_id":79,"tracker_id":40,"status_id":1,"priority_id":2,"assigned_to_id":23,"start_date":"2016-11-05","description":"","custom_fields":[{"id":1,"name":"Subdivision","value":"EC"},{"id":4,"name":"Milepost","value":"23.3285"},{"id":17,"name":"Train ID","value":"217-05"},{"id":16,"name":"Locomotive ID","value":"4053"},{"id":130,"name":"Impact","value":""},{"id":150,"name":"Time of Event (Mountain Time)","value":"18:52:33"},{"id":151,"name":"Denver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598</v>
      </c>
      <c r="B130" s="7">
        <v>4054</v>
      </c>
      <c r="C130" s="22" t="s">
        <v>242</v>
      </c>
      <c r="D130" s="22" t="s">
        <v>651</v>
      </c>
      <c r="E130" s="13">
        <v>42679.797407407408</v>
      </c>
      <c r="F130" s="13">
        <v>42679.799733796295</v>
      </c>
      <c r="G130" s="7">
        <v>1</v>
      </c>
      <c r="H130" s="22" t="s">
        <v>265</v>
      </c>
      <c r="I130" s="13">
        <v>42679.825555555559</v>
      </c>
      <c r="J130" s="7">
        <v>0</v>
      </c>
      <c r="K130" s="112" t="str">
        <f t="shared" si="19"/>
        <v>4053/4054</v>
      </c>
      <c r="L130" s="22" t="str">
        <f>VLOOKUP(A130,'Trips&amp;Operators'!$C$1:$E$10000,3,FALSE)</f>
        <v>CHANDLER</v>
      </c>
      <c r="M130" s="6">
        <f t="shared" si="20"/>
        <v>2.5821759263635613E-2</v>
      </c>
      <c r="N130" s="7">
        <f t="shared" si="21"/>
        <v>37.183333339635283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18:08:16-0600',mode:absolute,to:'2016-11-05 20:48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23.297599999999999</v>
      </c>
      <c r="Z130" s="67">
        <f t="shared" si="28"/>
        <v>1.5800000000000002E-2</v>
      </c>
      <c r="AA130" s="67">
        <f t="shared" si="29"/>
        <v>23.2818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0218-05</v>
      </c>
      <c r="AE130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30" s="88" t="str">
        <f t="shared" si="32"/>
        <v>"C:\Program Files (x86)\AstroGrep\AstroGrep.exe" /spath="%USERPROFILE%\AppData\Local\Temp\OnboardLogs" /stypes="app*4054*20161106*" /stext=" 01:.+((SYSTEM_STATE.+slice.+state.+changed )|(ment ac)|(system.+state.+changed )|(\[timeout)|(PRM\|1\|D)|(kpr)|(kdp)|(\|loc)|(penalty))"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218-05 --locoid 4054 --swversion DE.1.0.8.0 --startMP 204:232976 --initTime 2016-11-05T19:08:16 --startdatetime 2016-11-05T19:11:37 --delay 1 --endMP 204:158 --enddatetime 2016-11-05T19:48:48 --enforcementcount 0 &gt;&gt;C:\Users\stu\Documents\GitHub\eaglep3-reporting\EC\2016-11-05-refined-times.txt</v>
      </c>
      <c r="AI13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{"issue":{"subject":"","project_id":79,"tracker_id":40,"status_id":1,"priority_id":2,"assigned_to_id":23,"start_date":"2016-11-05","description":"","custom_fields":[{"id":1,"name":"Subdivision","value":"EC"},{"id":4,"name":"Milepost","value":"0.0158"},{"id":17,"name":"Train ID","value":"218-05"},{"id":16,"name":"Locomotive ID","value":"4054"},{"id":130,"name":"Impact","value":""},{"id":150,"name":"Time of Event (Mountain Time)","value":"19:48:48"},{"id":151,"name":"Denver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594</v>
      </c>
      <c r="B131" s="7">
        <v>4016</v>
      </c>
      <c r="C131" s="22" t="s">
        <v>242</v>
      </c>
      <c r="D131" s="22" t="s">
        <v>247</v>
      </c>
      <c r="E131" s="13">
        <v>42679.767025462963</v>
      </c>
      <c r="F131" s="13">
        <v>42679.771157407406</v>
      </c>
      <c r="G131" s="7">
        <v>2</v>
      </c>
      <c r="H131" s="22" t="s">
        <v>256</v>
      </c>
      <c r="I131" s="13">
        <v>42679.794965277775</v>
      </c>
      <c r="J131" s="7">
        <v>0</v>
      </c>
      <c r="K131" s="112" t="str">
        <f t="shared" si="19"/>
        <v>4015/4016</v>
      </c>
      <c r="L131" s="22" t="str">
        <f>VLOOKUP(A131,'Trips&amp;Operators'!$C$1:$E$10000,3,FALSE)</f>
        <v>STAMBAUGH</v>
      </c>
      <c r="M131" s="6">
        <f t="shared" si="20"/>
        <v>2.3807870369637385E-2</v>
      </c>
      <c r="N131" s="7">
        <f t="shared" si="21"/>
        <v>34.283333332277834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17:24:31-0600',mode:absolute,to:'2016-11-05 20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4.58E-2</v>
      </c>
      <c r="Z131" s="67">
        <f t="shared" si="28"/>
        <v>23.328900000000001</v>
      </c>
      <c r="AA131" s="67">
        <f t="shared" si="29"/>
        <v>23.283100000000001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0219-05</v>
      </c>
      <c r="AE131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31" s="88" t="str">
        <f t="shared" si="32"/>
        <v>"C:\Program Files (x86)\AstroGrep\AstroGrep.exe" /spath="%USERPROFILE%\AppData\Local\Temp\OnboardLogs" /stypes="app*4016*20161106*" /stext=" 01:.+((SYSTEM_STATE.+slice.+state.+changed )|(ment ac)|(system.+state.+changed )|(\[timeout)|(PRM\|1\|D)|(kpr)|(kdp)|(\|loc)|(penalty))"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219-05 --locoid 4016 --swversion DE.1.0.8.0 --startMP 204:458 --initTime 2016-11-05T18:24:31 --startdatetime 2016-11-05T18:30:28 --delay 2 --endMP 204:233289 --enddatetime 2016-11-05T19:04:45 --enforcementcount 0 &gt;&gt;C:\Users\stu\Documents\GitHub\eaglep3-reporting\EC\2016-11-05-refined-times.txt</v>
      </c>
      <c r="AI131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{"issue":{"subject":"","project_id":79,"tracker_id":40,"status_id":1,"priority_id":2,"assigned_to_id":23,"start_date":"2016-11-05","description":"","custom_fields":[{"id":1,"name":"Subdivision","value":"EC"},{"id":4,"name":"Milepost","value":"23.3289"},{"id":17,"name":"Train ID","value":"219-05"},{"id":16,"name":"Locomotive ID","value":"4016"},{"id":130,"name":"Impact","value":""},{"id":150,"name":"Time of Event (Mountain Time)","value":"19:04:45"},{"id":151,"name":"Denver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439</v>
      </c>
      <c r="B132" s="7">
        <v>4015</v>
      </c>
      <c r="C132" s="22" t="s">
        <v>242</v>
      </c>
      <c r="D132" s="22" t="s">
        <v>283</v>
      </c>
      <c r="E132" s="13">
        <v>42679.806319444448</v>
      </c>
      <c r="F132" s="13">
        <v>42679.810162037036</v>
      </c>
      <c r="G132" s="7">
        <v>5</v>
      </c>
      <c r="H132" s="22" t="s">
        <v>203</v>
      </c>
      <c r="I132" s="13">
        <v>42679.835462962961</v>
      </c>
      <c r="J132" s="7">
        <v>0</v>
      </c>
      <c r="K132" s="112" t="str">
        <f t="shared" si="19"/>
        <v>4015/4016</v>
      </c>
      <c r="L132" s="22" t="str">
        <f>VLOOKUP(A132,'Trips&amp;Operators'!$C$1:$E$10000,3,FALSE)</f>
        <v>STAMBAUGH</v>
      </c>
      <c r="M132" s="6">
        <f t="shared" si="20"/>
        <v>2.5300925924966577E-2</v>
      </c>
      <c r="N132" s="7">
        <f t="shared" si="21"/>
        <v>36.433333331951872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18:21:06-0600',mode:absolute,to:'2016-11-05 21:03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23.298200000000001</v>
      </c>
      <c r="Z132" s="67">
        <f t="shared" si="28"/>
        <v>1.49E-2</v>
      </c>
      <c r="AA132" s="67">
        <f t="shared" si="29"/>
        <v>23.283300000000001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0220-05</v>
      </c>
      <c r="AE132" s="91" t="str">
        <f t="shared" si="31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32" s="88" t="str">
        <f t="shared" si="32"/>
        <v>"C:\Program Files (x86)\AstroGrep\AstroGrep.exe" /spath="%USERPROFILE%\AppData\Local\Temp\OnboardLogs" /stypes="app*4015*20161106*" /stext=" 02:.+((SYSTEM_STATE.+slice.+state.+changed )|(ment ac)|(system.+state.+changed )|(\[timeout)|(PRM\|1\|D)|(kpr)|(kdp)|(\|loc)|(penalty))"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220-05 --locoid 4015 --swversion DE.1.0.8.0 --startMP 204:232982 --initTime 2016-11-05T19:21:06 --startdatetime 2016-11-05T19:26:38 --delay 5 --endMP 204:149 --enddatetime 2016-11-05T20:03:04 --enforcementcount 0 &gt;&gt;C:\Users\stu\Documents\GitHub\eaglep3-reporting\EC\2016-11-05-refined-times.txt</v>
      </c>
      <c r="AI132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{"issue":{"subject":"","project_id":79,"tracker_id":40,"status_id":1,"priority_id":2,"assigned_to_id":23,"start_date":"2016-11-05","description":"","custom_fields":[{"id":1,"name":"Subdivision","value":"EC"},{"id":4,"name":"Milepost","value":"0.0149"},{"id":17,"name":"Train ID","value":"220-05"},{"id":16,"name":"Locomotive ID","value":"4015"},{"id":130,"name":"Impact","value":""},{"id":150,"name":"Time of Event (Mountain Time)","value":"20:03:04"},{"id":151,"name":"Denver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438</v>
      </c>
      <c r="B133" s="7">
        <v>4014</v>
      </c>
      <c r="C133" s="22" t="s">
        <v>242</v>
      </c>
      <c r="D133" s="22" t="s">
        <v>211</v>
      </c>
      <c r="E133" s="13">
        <v>42679.786585648151</v>
      </c>
      <c r="F133" s="13">
        <v>42679.830787037034</v>
      </c>
      <c r="G133" s="7">
        <v>2</v>
      </c>
      <c r="H133" s="22" t="s">
        <v>392</v>
      </c>
      <c r="I133" s="13">
        <v>42679.858622685184</v>
      </c>
      <c r="J133" s="7">
        <v>0</v>
      </c>
      <c r="K133" s="112" t="str">
        <f t="shared" si="19"/>
        <v>4013/4014</v>
      </c>
      <c r="L133" s="22" t="str">
        <f>VLOOKUP(A133,'Trips&amp;Operators'!$C$1:$E$10000,3,FALSE)</f>
        <v>LEVIN</v>
      </c>
      <c r="M133" s="6">
        <f t="shared" si="20"/>
        <v>2.7835648150357883E-2</v>
      </c>
      <c r="N133" s="7">
        <f t="shared" si="21"/>
        <v>40.083333336515352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17:52:41-0600',mode:absolute,to:'2016-11-05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4.5999999999999999E-2</v>
      </c>
      <c r="Z133" s="67">
        <f t="shared" si="28"/>
        <v>23.334399999999999</v>
      </c>
      <c r="AA133" s="67">
        <f t="shared" si="29"/>
        <v>23.288399999999999</v>
      </c>
      <c r="AB133" s="64" t="str">
        <f>VLOOKUP(A133,Enforcements!$C$7:$K$21,8,0)</f>
        <v>Bulletin (2)</v>
      </c>
      <c r="AC133" s="60" t="str">
        <f>VLOOKUP(A133,Enforcements!$C$7:$E$21,3,0)</f>
        <v>GRADE CROSSING</v>
      </c>
      <c r="AD133" s="61" t="str">
        <f t="shared" si="30"/>
        <v>0221-05</v>
      </c>
      <c r="AE133" s="91" t="str">
        <f t="shared" si="31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33" s="88" t="str">
        <f t="shared" si="32"/>
        <v>"C:\Program Files (x86)\AstroGrep\AstroGrep.exe" /spath="%USERPROFILE%\AppData\Local\Temp\OnboardLogs" /stypes="app*4014*20161106*" /stext=" 02:.+((SYSTEM_STATE.+slice.+state.+changed )|(ment ac)|(system.+state.+changed )|(\[timeout)|(PRM\|1\|D)|(kpr)|(kdp)|(\|loc)|(penalty))"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221-05 --locoid 4014 --swversion DE.1.0.8.0 --startMP 204:460 --initTime 2016-11-05T18:52:41 --startdatetime 2016-11-05T19:56:20 --delay 2 --endMP 204:233344 --enddatetime 2016-11-05T20:36:25 --enforcementcount 0 &gt;&gt;C:\Users\stu\Documents\GitHub\eaglep3-reporting\EC\2016-11-05-refined-times.txt</v>
      </c>
      <c r="AI133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{"issue":{"subject":"","project_id":79,"tracker_id":40,"status_id":1,"priority_id":2,"assigned_to_id":23,"start_date":"2016-11-05","description":"","custom_fields":[{"id":1,"name":"Subdivision","value":"EC"},{"id":4,"name":"Milepost","value":"23.3344"},{"id":17,"name":"Train ID","value":"221-05"},{"id":16,"name":"Locomotive ID","value":"4014"},{"id":130,"name":"Impact","value":""},{"id":150,"name":"Time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603</v>
      </c>
      <c r="B134" s="7">
        <v>4013</v>
      </c>
      <c r="C134" s="22" t="s">
        <v>242</v>
      </c>
      <c r="D134" s="22" t="s">
        <v>731</v>
      </c>
      <c r="E134" s="13">
        <v>42679.827118055553</v>
      </c>
      <c r="F134" s="13">
        <v>42679.830787037034</v>
      </c>
      <c r="G134" s="7">
        <v>1</v>
      </c>
      <c r="H134" s="22" t="s">
        <v>394</v>
      </c>
      <c r="I134" s="13">
        <v>42679.858622685184</v>
      </c>
      <c r="J134" s="7">
        <v>0</v>
      </c>
      <c r="K134" s="112" t="str">
        <f t="shared" si="19"/>
        <v>4013/4014</v>
      </c>
      <c r="L134" s="22" t="str">
        <f>VLOOKUP(A134,'Trips&amp;Operators'!$C$1:$E$10000,3,FALSE)</f>
        <v>LEVIN</v>
      </c>
      <c r="M134" s="6">
        <f t="shared" si="20"/>
        <v>2.7835648150357883E-2</v>
      </c>
      <c r="N134" s="7">
        <f t="shared" si="21"/>
        <v>40.083333336515352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18:51:03-0600',mode:absolute,to:'2016-11-05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23.302700000000002</v>
      </c>
      <c r="Z134" s="67">
        <f t="shared" si="28"/>
        <v>1.29E-2</v>
      </c>
      <c r="AA134" s="67">
        <f t="shared" si="29"/>
        <v>23.289800000000003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0222-05</v>
      </c>
      <c r="AE134" s="91" t="str">
        <f t="shared" si="31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34" s="88" t="str">
        <f t="shared" si="32"/>
        <v>"C:\Program Files (x86)\AstroGrep\AstroGrep.exe" /spath="%USERPROFILE%\AppData\Local\Temp\OnboardLogs" /stypes="app*4013*20161106*" /stext=" 02:.+((SYSTEM_STATE.+slice.+state.+changed )|(ment ac)|(system.+state.+changed )|(\[timeout)|(PRM\|1\|D)|(kpr)|(kdp)|(\|loc)|(penalty))"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222-05 --locoid 4013 --swversion DE.1.0.8.0 --startMP 204:233027 --initTime 2016-11-05T19:51:03 --startdatetime 2016-11-05T19:56:20 --delay 1 --endMP 204:129 --enddatetime 2016-11-05T20:36:25 --enforcementcount 0 &gt;&gt;C:\Users\stu\Documents\GitHub\eaglep3-reporting\EC\2016-11-05-refined-times.txt</v>
      </c>
      <c r="AI134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{"issue":{"subject":"","project_id":79,"tracker_id":40,"status_id":1,"priority_id":2,"assigned_to_id":23,"start_date":"2016-11-05","description":"","custom_fields":[{"id":1,"name":"Subdivision","value":"EC"},{"id":4,"name":"Milepost","value":"0.0129"},{"id":17,"name":"Train ID","value":"222-05"},{"id":16,"name":"Locomotive ID","value":"4013"},{"id":130,"name":"Impact","value":""},{"id":150,"name":"Time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600</v>
      </c>
      <c r="B135" s="7">
        <v>4025</v>
      </c>
      <c r="C135" s="22" t="s">
        <v>242</v>
      </c>
      <c r="D135" s="22" t="s">
        <v>228</v>
      </c>
      <c r="E135" s="13">
        <v>42679.807280092595</v>
      </c>
      <c r="F135" s="13">
        <v>42679.812673611108</v>
      </c>
      <c r="G135" s="7">
        <v>1</v>
      </c>
      <c r="H135" s="22" t="s">
        <v>402</v>
      </c>
      <c r="I135" s="13">
        <v>42679.836770833332</v>
      </c>
      <c r="J135" s="7">
        <v>0</v>
      </c>
      <c r="K135" s="112" t="str">
        <f t="shared" si="19"/>
        <v>4025/4026</v>
      </c>
      <c r="L135" s="22" t="str">
        <f>VLOOKUP(A135,'Trips&amp;Operators'!$C$1:$E$10000,3,FALSE)</f>
        <v>NEWELL</v>
      </c>
      <c r="M135" s="6">
        <f t="shared" si="20"/>
        <v>2.4097222223645076E-2</v>
      </c>
      <c r="N135" s="7">
        <f t="shared" si="21"/>
        <v>34.70000000204891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18:22:29-0600',mode:absolute,to:'2016-11-05 21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4.6199999999999998E-2</v>
      </c>
      <c r="Z135" s="67">
        <f t="shared" si="28"/>
        <v>23.3307</v>
      </c>
      <c r="AA135" s="67">
        <f t="shared" si="29"/>
        <v>23.284500000000001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0223-05</v>
      </c>
      <c r="AE135" s="91" t="str">
        <f t="shared" si="31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35" s="88" t="str">
        <f t="shared" si="32"/>
        <v>"C:\Program Files (x86)\AstroGrep\AstroGrep.exe" /spath="%USERPROFILE%\AppData\Local\Temp\OnboardLogs" /stypes="app*4025*20161106*" /stext=" 02:.+((SYSTEM_STATE.+slice.+state.+changed )|(ment ac)|(system.+state.+changed )|(\[timeout)|(PRM\|1\|D)|(kpr)|(kdp)|(\|loc)|(penalty))"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223-05 --locoid 4025 --swversion DE.1.0.8.0 --startMP 204:462 --initTime 2016-11-05T19:22:29 --startdatetime 2016-11-05T19:30:15 --delay 1 --endMP 204:233307 --enddatetime 2016-11-05T20:04:57 --enforcementcount 0 &gt;&gt;C:\Users\stu\Documents\GitHub\eaglep3-reporting\EC\2016-11-05-refined-times.txt</v>
      </c>
      <c r="AI135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{"issue":{"subject":"","project_id":79,"tracker_id":40,"status_id":1,"priority_id":2,"assigned_to_id":23,"start_date":"2016-11-05","description":"","custom_fields":[{"id":1,"name":"Subdivision","value":"EC"},{"id":4,"name":"Milepost","value":"23.3307"},{"id":17,"name":"Train ID","value":"223-05"},{"id":16,"name":"Locomotive ID","value":"4025"},{"id":130,"name":"Impact","value":""},{"id":150,"name":"Time of Event (Mountain Time)","value":"20:04:57"},{"id":151,"name":"Denver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4026</v>
      </c>
      <c r="C136" s="22" t="s">
        <v>242</v>
      </c>
      <c r="D136" s="22" t="s">
        <v>272</v>
      </c>
      <c r="E136" s="13">
        <v>42679.838541666664</v>
      </c>
      <c r="F136" s="13">
        <v>42679.851527777777</v>
      </c>
      <c r="G136" s="7">
        <v>1</v>
      </c>
      <c r="H136" s="22" t="s">
        <v>394</v>
      </c>
      <c r="I136" s="13">
        <v>42679.877071759256</v>
      </c>
      <c r="J136" s="7">
        <v>0</v>
      </c>
      <c r="K136" s="112" t="str">
        <f t="shared" si="19"/>
        <v>4025/4026</v>
      </c>
      <c r="L136" s="22" t="str">
        <f>VLOOKUP(A136,'Trips&amp;Operators'!$C$1:$E$10000,3,FALSE)</f>
        <v>NEWELL</v>
      </c>
      <c r="M136" s="6">
        <f t="shared" si="20"/>
        <v>2.5543981479131617E-2</v>
      </c>
      <c r="N136" s="7">
        <f t="shared" si="21"/>
        <v>36.783333329949528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19:07:30-0600',mode:absolute,to:'2016-11-05 22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23.297999999999998</v>
      </c>
      <c r="Z136" s="67">
        <f t="shared" si="28"/>
        <v>1.29E-2</v>
      </c>
      <c r="AA136" s="67">
        <f t="shared" si="29"/>
        <v>23.2851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0224-05</v>
      </c>
      <c r="AE136" s="91" t="str">
        <f t="shared" si="31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36" s="88" t="str">
        <f t="shared" si="32"/>
        <v>"C:\Program Files (x86)\AstroGrep\AstroGrep.exe" /spath="%USERPROFILE%\AppData\Local\Temp\OnboardLogs" /stypes="app*4026*20161106*" /stext=" 03:.+((SYSTEM_STATE.+slice.+state.+changed )|(ment ac)|(system.+state.+changed )|(\[timeout)|(PRM\|1\|D)|(kpr)|(kdp)|(\|loc)|(penalty))"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224-05 --locoid 4026 --swversion DE.1.0.8.0 --startMP 204:232980 --initTime 2016-11-05T20:07:30 --startdatetime 2016-11-05T20:26:12 --delay 1 --endMP 204:129 --enddatetime 2016-11-05T21:02:59 --enforcementcount 0 &gt;&gt;C:\Users\stu\Documents\GitHub\eaglep3-reporting\EC\2016-11-05-refined-times.txt</v>
      </c>
      <c r="AI136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{"issue":{"subject":"","project_id":79,"tracker_id":40,"status_id":1,"priority_id":2,"assigned_to_id":23,"start_date":"2016-11-05","description":"","custom_fields":[{"id":1,"name":"Subdivision","value":"EC"},{"id":4,"name":"Milepost","value":"0.0129"},{"id":17,"name":"Train ID","value":"224-05"},{"id":16,"name":"Locomotive ID","value":"4026"},{"id":130,"name":"Impact","value":""},{"id":150,"name":"Time of Event (Mountain Time)","value":"21:02:59"},{"id":151,"name":"Denver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605</v>
      </c>
      <c r="B137" s="7">
        <v>4053</v>
      </c>
      <c r="C137" s="22" t="s">
        <v>242</v>
      </c>
      <c r="D137" s="22" t="s">
        <v>266</v>
      </c>
      <c r="E137" s="13">
        <v>42679.832974537036</v>
      </c>
      <c r="F137" s="13">
        <v>42679.834189814814</v>
      </c>
      <c r="G137" s="7">
        <v>1</v>
      </c>
      <c r="H137" s="22" t="s">
        <v>210</v>
      </c>
      <c r="I137" s="13">
        <v>42679.859027777777</v>
      </c>
      <c r="J137" s="7">
        <v>0</v>
      </c>
      <c r="K137" s="112" t="str">
        <f t="shared" si="19"/>
        <v>4053/4054</v>
      </c>
      <c r="L137" s="22" t="str">
        <f>VLOOKUP(A137,'Trips&amp;Operators'!$C$1:$E$10000,3,FALSE)</f>
        <v>CHANDLER</v>
      </c>
      <c r="M137" s="6">
        <f t="shared" si="20"/>
        <v>2.4837962962919846E-2</v>
      </c>
      <c r="N137" s="7">
        <f t="shared" si="21"/>
        <v>35.766666666604578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18:59:29-0600',mode:absolute,to:'2016-11-05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4.7500000000000001E-2</v>
      </c>
      <c r="Z137" s="67">
        <f t="shared" si="28"/>
        <v>23.329499999999999</v>
      </c>
      <c r="AA137" s="67">
        <f t="shared" si="29"/>
        <v>23.282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0225-05</v>
      </c>
      <c r="AE137" s="91" t="str">
        <f t="shared" si="31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37" s="88" t="str">
        <f t="shared" si="32"/>
        <v>"C:\Program Files (x86)\AstroGrep\AstroGrep.exe" /spath="%USERPROFILE%\AppData\Local\Temp\OnboardLogs" /stypes="app*4053*20161106*" /stext=" 02:.+((SYSTEM_STATE.+slice.+state.+changed )|(ment ac)|(system.+state.+changed )|(\[timeout)|(PRM\|1\|D)|(kpr)|(kdp)|(\|loc)|(penalty))"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225-05 --locoid 4053 --swversion DE.1.0.8.0 --startMP 204:475 --initTime 2016-11-05T19:59:29 --startdatetime 2016-11-05T20:01:14 --delay 1 --endMP 204:233295 --enddatetime 2016-11-05T20:37:00 --enforcementcount 0 &gt;&gt;C:\Users\stu\Documents\GitHub\eaglep3-reporting\EC\2016-11-05-refined-times.txt</v>
      </c>
      <c r="AI137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{"issue":{"subject":"","project_id":79,"tracker_id":40,"status_id":1,"priority_id":2,"assigned_to_id":23,"start_date":"2016-11-05","description":"","custom_fields":[{"id":1,"name":"Subdivision","value":"EC"},{"id":4,"name":"Milepost","value":"23.3295"},{"id":17,"name":"Train ID","value":"225-05"},{"id":16,"name":"Locomotive ID","value":"4053"},{"id":130,"name":"Impact","value":""},{"id":150,"name":"Time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609</v>
      </c>
      <c r="B138" s="7">
        <v>4054</v>
      </c>
      <c r="C138" s="22" t="s">
        <v>242</v>
      </c>
      <c r="D138" s="22" t="s">
        <v>272</v>
      </c>
      <c r="E138" s="13">
        <v>42679.871724537035</v>
      </c>
      <c r="F138" s="13">
        <v>42679.872870370367</v>
      </c>
      <c r="G138" s="7">
        <v>1</v>
      </c>
      <c r="H138" s="22" t="s">
        <v>314</v>
      </c>
      <c r="I138" s="13">
        <v>42679.899525462963</v>
      </c>
      <c r="J138" s="7">
        <v>0</v>
      </c>
      <c r="K138" s="112" t="str">
        <f t="shared" si="19"/>
        <v>4053/4054</v>
      </c>
      <c r="L138" s="22" t="str">
        <f>VLOOKUP(A138,'Trips&amp;Operators'!$C$1:$E$10000,3,FALSE)</f>
        <v>CHANDLER</v>
      </c>
      <c r="M138" s="6">
        <f t="shared" si="20"/>
        <v>2.6655092595319729E-2</v>
      </c>
      <c r="N138" s="7">
        <f t="shared" si="21"/>
        <v>38.38333333726041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19:55:17-0600',mode:absolute,to:'2016-11-05 22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23.297999999999998</v>
      </c>
      <c r="Z138" s="67">
        <f t="shared" si="28"/>
        <v>1.34E-2</v>
      </c>
      <c r="AA138" s="67">
        <f t="shared" si="29"/>
        <v>23.284599999999998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0226-05</v>
      </c>
      <c r="AE138" s="91" t="str">
        <f t="shared" si="31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38" s="88" t="str">
        <f t="shared" si="32"/>
        <v>"C:\Program Files (x86)\AstroGrep\AstroGrep.exe" /spath="%USERPROFILE%\AppData\Local\Temp\OnboardLogs" /stypes="app*4054*20161106*" /stext=" 03:.+((SYSTEM_STATE.+slice.+state.+changed )|(ment ac)|(system.+state.+changed )|(\[timeout)|(PRM\|1\|D)|(kpr)|(kdp)|(\|loc)|(penalty))"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226-05 --locoid 4054 --swversion DE.1.0.8.0 --startMP 204:232980 --initTime 2016-11-05T20:55:17 --startdatetime 2016-11-05T20:56:56 --delay 1 --endMP 204:134 --enddatetime 2016-11-05T21:35:19 --enforcementcount 0 &gt;&gt;C:\Users\stu\Documents\GitHub\eaglep3-reporting\EC\2016-11-05-refined-times.txt</v>
      </c>
      <c r="AI138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{"issue":{"subject":"","project_id":79,"tracker_id":40,"status_id":1,"priority_id":2,"assigned_to_id":23,"start_date":"2016-11-05","description":"","custom_fields":[{"id":1,"name":"Subdivision","value":"EC"},{"id":4,"name":"Milepost","value":"0.0134"},{"id":17,"name":"Train ID","value":"226-05"},{"id":16,"name":"Locomotive ID","value":"4054"},{"id":130,"name":"Impact","value":""},{"id":150,"name":"Time of Event (Mountain Time)","value":"21:35:19"},{"id":151,"name":"Denver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607</v>
      </c>
      <c r="B139" s="7">
        <v>4016</v>
      </c>
      <c r="C139" s="22" t="s">
        <v>242</v>
      </c>
      <c r="D139" s="22" t="s">
        <v>207</v>
      </c>
      <c r="E139" s="13">
        <v>42679.85119212963</v>
      </c>
      <c r="F139" s="13">
        <v>42679.854710648149</v>
      </c>
      <c r="G139" s="7">
        <v>1</v>
      </c>
      <c r="H139" s="22" t="s">
        <v>285</v>
      </c>
      <c r="I139" s="13">
        <v>42679.878784722219</v>
      </c>
      <c r="J139" s="7">
        <v>0</v>
      </c>
      <c r="K139" s="112" t="str">
        <f t="shared" si="19"/>
        <v>4015/4016</v>
      </c>
      <c r="L139" s="22" t="str">
        <f>VLOOKUP(A139,'Trips&amp;Operators'!$C$1:$E$10000,3,FALSE)</f>
        <v>STAMBAUGH</v>
      </c>
      <c r="M139" s="6">
        <f t="shared" si="20"/>
        <v>2.4074074070085771E-2</v>
      </c>
      <c r="N139" s="7">
        <f t="shared" si="21"/>
        <v>34.666666660923511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https://search-rtdc-monitor-bjffxe2xuh6vdkpspy63sjmuny.us-east-1.es.amazonaws.com/_plugin/kibana/#/discover/Steve-Slow-Train-Analysis-(2080s-and-2083s)?_g=(refreshInterval:(display:Off,section:0,value:0),time:(from:'2016-11-05 19:25:43-0600',mode:absolute,to:'2016-11-05 22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4.53E-2</v>
      </c>
      <c r="Z139" s="67">
        <f t="shared" si="28"/>
        <v>23.331199999999999</v>
      </c>
      <c r="AA139" s="67">
        <f t="shared" si="29"/>
        <v>23.285899999999998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0227-05</v>
      </c>
      <c r="AE139" s="91" t="str">
        <f t="shared" si="31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39" s="88" t="str">
        <f t="shared" si="32"/>
        <v>"C:\Program Files (x86)\AstroGrep\AstroGrep.exe" /spath="%USERPROFILE%\AppData\Local\Temp\OnboardLogs" /stypes="app*4016*20161106*" /stext=" 03:.+((SYSTEM_STATE.+slice.+state.+changed )|(ment ac)|(system.+state.+changed )|(\[timeout)|(PRM\|1\|D)|(kpr)|(kdp)|(\|loc)|(penalty))"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227-05 --locoid 4016 --swversion DE.1.0.8.0 --startMP 204:453 --initTime 2016-11-05T20:25:43 --startdatetime 2016-11-05T20:30:47 --delay 1 --endMP 204:233312 --enddatetime 2016-11-05T21:05:27 --enforcementcount 0 &gt;&gt;C:\Users\stu\Documents\GitHub\eaglep3-reporting\EC\2016-11-05-refined-times.txt</v>
      </c>
      <c r="AI139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ID","value":"227-05"},{"id":16,"name":"Locomotive ID","value":"4016"},{"id":130,"name":"Impact","value":""},{"id":150,"name":"Time of Event (Mountain Time)","value":"21:05:27"},{"id":151,"name":"Denver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612</v>
      </c>
      <c r="B140" s="7">
        <v>4015</v>
      </c>
      <c r="C140" s="22" t="s">
        <v>242</v>
      </c>
      <c r="D140" s="22" t="s">
        <v>381</v>
      </c>
      <c r="E140" s="13">
        <v>42679.890219907407</v>
      </c>
      <c r="F140" s="13">
        <v>42679.89334490741</v>
      </c>
      <c r="G140" s="7">
        <v>1</v>
      </c>
      <c r="H140" s="22" t="s">
        <v>380</v>
      </c>
      <c r="I140" s="13">
        <v>42679.918449074074</v>
      </c>
      <c r="J140" s="7">
        <v>0</v>
      </c>
      <c r="K140" s="112" t="str">
        <f t="shared" ref="K140:K200" si="36">IF(ISEVEN(B140),(B140-1)&amp;"/"&amp;B140,B140&amp;"/"&amp;(B140+1))</f>
        <v>4015/4016</v>
      </c>
      <c r="L140" s="22" t="str">
        <f>VLOOKUP(A140,'Trips&amp;Operators'!$C$1:$E$10000,3,FALSE)</f>
        <v>STAMBAUGH</v>
      </c>
      <c r="M140" s="6">
        <f t="shared" ref="M140:M200" si="37">I140-F140</f>
        <v>2.5104166663368233E-2</v>
      </c>
      <c r="N140" s="7">
        <f t="shared" ref="N140:N200" si="38">24*60*SUM($M140:$M140)</f>
        <v>36.149999995250255</v>
      </c>
      <c r="O140" s="7"/>
      <c r="P140" s="7"/>
      <c r="Q140" s="23"/>
      <c r="R140" s="23"/>
      <c r="S140" s="35">
        <f t="shared" ref="S140:S200" si="39">SUM(U140:U140)/IF(AG140="EC",12,1)</f>
        <v>1</v>
      </c>
      <c r="T140" s="50" t="str">
        <f t="shared" ref="T140:T200" si="40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0" si="41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https://search-rtdc-monitor-bjffxe2xuh6vdkpspy63sjmuny.us-east-1.es.amazonaws.com/_plugin/kibana/#/discover/Steve-Slow-Train-Analysis-(2080s-and-2083s)?_g=(refreshInterval:(display:Off,section:0,value:0),time:(from:'2016-11-05 20:21:55-0600',mode:absolute,to:'2016-11-05 23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0" s="52" t="str">
        <f t="shared" ref="W140:W200" si="42">IF(AA140&lt;IF(AG140="EC",23,5.65),"Y","N")</f>
        <v>N</v>
      </c>
      <c r="X140" s="177">
        <f t="shared" ref="X140:X200" si="43">VALUE(LEFT(AD140,4))-VALUE(LEFT(AD139,4))</f>
        <v>1</v>
      </c>
      <c r="Y140" s="67">
        <f t="shared" ref="Y140:Y200" si="44">RIGHT(D140,LEN(D140)-4)/10000</f>
        <v>23.299199999999999</v>
      </c>
      <c r="Z140" s="67">
        <f t="shared" ref="Z140:Z200" si="45">RIGHT(H140,LEN(H140)-4)/10000</f>
        <v>1.4999999999999999E-2</v>
      </c>
      <c r="AA140" s="67">
        <f t="shared" ref="AA140:AA200" si="46">ABS(Z140-Y140)</f>
        <v>23.284199999999998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200" si="47">IF(LEN(A140)=6,"0"&amp;A140,A140)</f>
        <v>0228-05</v>
      </c>
      <c r="AE140" s="91" t="str">
        <f t="shared" ref="AE140:AE200" si="48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40" s="88" t="str">
        <f t="shared" ref="AF140:AF200" si="49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/stypes="app*4015*20161106*" /stext=" 04:.+((SYSTEM_STATE.+slice.+state.+changed )|(ment ac)|(system.+state.+changed )|(\[timeout)|(PRM\|1\|D)|(kpr)|(kdp)|(\|loc)|(penalty))" /e /r /s</v>
      </c>
      <c r="AG140" s="1" t="str">
        <f t="shared" ref="AG140:AG200" si="50">IFERROR(IF(VALUE(LEFT(AD140,2))&lt;=2,"EC",IF(OR(VALUE(LEFT(AD140,2))=8,VALUE(LEFT(AD140,2))=18),"NW","Other")),"Other")</f>
        <v>EC</v>
      </c>
      <c r="AH140" s="92" t="str">
        <f t="shared" si="34"/>
        <v>"%USERPROFILE%\Documents\GitHub\eaglep3\Utilities\RefineRTDCRunTimes.py" --tripid 228-05 --locoid 4015 --swversion DE.1.0.8.0 --startMP 204:232992 --initTime 2016-11-05T21:21:55 --startdatetime 2016-11-05T21:26:25 --delay 1 --endMP 204:150 --enddatetime 2016-11-05T22:02:34 --enforcementcount 0 &gt;&gt;C:\Users\stu\Documents\GitHub\eaglep3-reporting\EC\2016-11-05-refined-times.txt</v>
      </c>
      <c r="AI140" s="122" t="str">
        <f t="shared" si="35"/>
        <v>echo {"issue":{"subject":"","project_id":79,"tracker_id":40,"status_id":1,"priority_id":2,"assigned_to_id":23,"start_date":"2016-11-05","description":"","custom_fields":[{"id":1,"name":"Subdivision","value":"EC"},{"id":4,"name":"Milepost","value":"0.015"},{"id":17,"name":"Train ID","value":"228-05"},{"id":16,"name":"Locomotive ID","value":"4015"},{"id":130,"name":"Impact","value":""},{"id":150,"name":"Time of Event (Mountain Time)","value":"22:02:34"},{"id":151,"name":"Denver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608</v>
      </c>
      <c r="B141" s="7">
        <v>4014</v>
      </c>
      <c r="C141" s="22" t="s">
        <v>242</v>
      </c>
      <c r="D141" s="22" t="s">
        <v>207</v>
      </c>
      <c r="E141" s="13">
        <v>42679.869305555556</v>
      </c>
      <c r="F141" s="13">
        <v>42679.875300925924</v>
      </c>
      <c r="G141" s="7">
        <v>1</v>
      </c>
      <c r="H141" s="22" t="s">
        <v>732</v>
      </c>
      <c r="I141" s="13">
        <v>42679.899930555555</v>
      </c>
      <c r="J141" s="7">
        <v>0</v>
      </c>
      <c r="K141" s="112" t="str">
        <f t="shared" si="36"/>
        <v>4013/4014</v>
      </c>
      <c r="L141" s="22" t="str">
        <f>VLOOKUP(A141,'Trips&amp;Operators'!$C$1:$E$10000,3,FALSE)</f>
        <v>LEVIN</v>
      </c>
      <c r="M141" s="6">
        <f t="shared" si="37"/>
        <v>2.4629629631817807E-2</v>
      </c>
      <c r="N141" s="7">
        <f t="shared" si="38"/>
        <v>35.466666669817641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19:51:48-0600',mode:absolute,to:'2016-11-05 22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4.53E-2</v>
      </c>
      <c r="Z141" s="67">
        <f t="shared" si="45"/>
        <v>23.334900000000001</v>
      </c>
      <c r="AA141" s="67">
        <f t="shared" si="46"/>
        <v>23.2896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7"/>
        <v>0229-05</v>
      </c>
      <c r="AE141" s="91" t="str">
        <f t="shared" si="48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41" s="88" t="str">
        <f t="shared" si="49"/>
        <v>"C:\Program Files (x86)\AstroGrep\AstroGrep.exe" /spath="%USERPROFILE%\AppData\Local\Temp\OnboardLogs" /stypes="app*4014*20161106*" /stext=" 03:.+((SYSTEM_STATE.+slice.+state.+changed )|(ment ac)|(system.+state.+changed )|(\[timeout)|(PRM\|1\|D)|(kpr)|(kdp)|(\|loc)|(penalty))" /e /r /s</v>
      </c>
      <c r="AG141" s="1" t="str">
        <f t="shared" si="50"/>
        <v>EC</v>
      </c>
      <c r="AH141" s="92" t="str">
        <f t="shared" ref="AH141:AH201" si="5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229-05 --locoid 4014 --swversion DE.1.0.8.0 --startMP 204:453 --initTime 2016-11-05T20:51:48 --startdatetime 2016-11-05T21:00:26 --delay 1 --endMP 204:233349 --enddatetime 2016-11-05T21:35:54 --enforcementcount 0 &gt;&gt;C:\Users\stu\Documents\GitHub\eaglep3-reporting\EC\2016-11-05-refined-times.txt</v>
      </c>
      <c r="AI141" s="122" t="str">
        <f t="shared" ref="AI141:AI201" si="5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{"issue":{"subject":"","project_id":79,"tracker_id":40,"status_id":1,"priority_id":2,"assigned_to_id":23,"start_date":"2016-11-05","description":"","custom_fields":[{"id":1,"name":"Subdivision","value":"EC"},{"id":4,"name":"Milepost","value":"23.3349"},{"id":17,"name":"Train ID","value":"229-05"},{"id":16,"name":"Locomotive ID","value":"4014"},{"id":130,"name":"Impact","value":""},{"id":150,"name":"Time of Event (Mountain Time)","value":"21:35:54"},{"id":151,"name":"Denver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4013</v>
      </c>
      <c r="C142" s="22" t="s">
        <v>242</v>
      </c>
      <c r="D142" s="22" t="s">
        <v>669</v>
      </c>
      <c r="E142" s="13">
        <v>42679.911168981482</v>
      </c>
      <c r="F142" s="13">
        <v>42679.914120370369</v>
      </c>
      <c r="G142" s="7">
        <v>1</v>
      </c>
      <c r="H142" s="22" t="s">
        <v>227</v>
      </c>
      <c r="I142" s="13">
        <v>42679.93954861111</v>
      </c>
      <c r="J142" s="7">
        <v>0</v>
      </c>
      <c r="K142" s="112" t="str">
        <f t="shared" si="36"/>
        <v>4013/4014</v>
      </c>
      <c r="L142" s="22" t="str">
        <f>VLOOKUP(A142,'Trips&amp;Operators'!$C$1:$E$10000,3,FALSE)</f>
        <v>LEVIN</v>
      </c>
      <c r="M142" s="6">
        <f t="shared" si="37"/>
        <v>2.5428240740438923E-2</v>
      </c>
      <c r="N142" s="7">
        <f t="shared" si="38"/>
        <v>36.616666666232049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20:52:05-0600',mode:absolute,to:'2016-11-05 23:32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23.3017</v>
      </c>
      <c r="Z142" s="67">
        <f t="shared" si="45"/>
        <v>1.38E-2</v>
      </c>
      <c r="AA142" s="67">
        <f t="shared" si="46"/>
        <v>23.2879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0230-05</v>
      </c>
      <c r="AE142" s="91" t="str">
        <f t="shared" si="48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42" s="88" t="str">
        <f t="shared" si="49"/>
        <v>"C:\Program Files (x86)\AstroGrep\AstroGrep.exe" /spath="%USERPROFILE%\AppData\Local\Temp\OnboardLogs" /stypes="app*4013*20161106*" /stext=" 04:.+((SYSTEM_STATE.+slice.+state.+changed )|(ment ac)|(system.+state.+changed )|(\[timeout)|(PRM\|1\|D)|(kpr)|(kdp)|(\|loc)|(penalty))"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230-05 --locoid 4013 --swversion DE.1.0.8.0 --startMP 204:233017 --initTime 2016-11-05T21:52:05 --startdatetime 2016-11-05T21:56:20 --delay 1 --endMP 204:138 --enddatetime 2016-11-05T22:32:57 --enforcementcount 0 &gt;&gt;C:\Users\stu\Documents\GitHub\eaglep3-reporting\EC\2016-11-05-refined-times.txt</v>
      </c>
      <c r="AI142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{"issue":{"subject":"","project_id":79,"tracker_id":40,"status_id":1,"priority_id":2,"assigned_to_id":23,"start_date":"2016-11-05","description":"","custom_fields":[{"id":1,"name":"Subdivision","value":"EC"},{"id":4,"name":"Milepost","value":"0.0138"},{"id":17,"name":"Train ID","value":"230-05"},{"id":16,"name":"Locomotive ID","value":"4013"},{"id":130,"name":"Impact","value":""},{"id":150,"name":"Time of Event (Mountain Time)","value":"22:32:57"},{"id":151,"name":"Denver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610</v>
      </c>
      <c r="B143" s="7">
        <v>4025</v>
      </c>
      <c r="C143" s="22" t="s">
        <v>242</v>
      </c>
      <c r="D143" s="22" t="s">
        <v>207</v>
      </c>
      <c r="E143" s="13">
        <v>42679.883657407408</v>
      </c>
      <c r="F143" s="13">
        <v>42679.896018518521</v>
      </c>
      <c r="G143" s="7">
        <v>1</v>
      </c>
      <c r="H143" s="22" t="s">
        <v>285</v>
      </c>
      <c r="I143" s="13">
        <v>42679.920763888891</v>
      </c>
      <c r="J143" s="7">
        <v>0</v>
      </c>
      <c r="K143" s="112" t="str">
        <f t="shared" si="36"/>
        <v>4025/4026</v>
      </c>
      <c r="L143" s="22" t="str">
        <f>VLOOKUP(A143,'Trips&amp;Operators'!$C$1:$E$10000,3,FALSE)</f>
        <v>NEWELL</v>
      </c>
      <c r="M143" s="6">
        <f t="shared" si="37"/>
        <v>2.47453703705105E-2</v>
      </c>
      <c r="N143" s="7">
        <f t="shared" si="38"/>
        <v>35.63333333353512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20:12:28-0600',mode:absolute,to:'2016-11-05 23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4.53E-2</v>
      </c>
      <c r="Z143" s="67">
        <f t="shared" si="45"/>
        <v>23.331199999999999</v>
      </c>
      <c r="AA143" s="67">
        <f t="shared" si="46"/>
        <v>23.285899999999998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0231-05</v>
      </c>
      <c r="AE143" s="91" t="str">
        <f t="shared" si="48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43" s="88" t="str">
        <f t="shared" si="49"/>
        <v>"C:\Program Files (x86)\AstroGrep\AstroGrep.exe" /spath="%USERPROFILE%\AppData\Local\Temp\OnboardLogs" /stypes="app*4025*20161106*" /stext=" 04:.+((SYSTEM_STATE.+slice.+state.+changed )|(ment ac)|(system.+state.+changed )|(\[timeout)|(PRM\|1\|D)|(kpr)|(kdp)|(\|loc)|(penalty))"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231-05 --locoid 4025 --swversion DE.1.0.8.0 --startMP 204:453 --initTime 2016-11-05T21:12:28 --startdatetime 2016-11-05T21:30:16 --delay 1 --endMP 204:233312 --enddatetime 2016-11-05T22:05:54 --enforcementcount 0 &gt;&gt;C:\Users\stu\Documents\GitHub\eaglep3-reporting\EC\2016-11-05-refined-times.txt</v>
      </c>
      <c r="AI143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{"issue":{"subject":"","project_id":79,"tracker_id":40,"status_id":1,"priority_id":2,"assigned_to_id":23,"start_date":"2016-11-05","description":"","custom_fields":[{"id":1,"name":"Subdivision","value":"EC"},{"id":4,"name":"Milepost","value":"23.3312"},{"id":17,"name":"Train ID","value":"231-05"},{"id":16,"name":"Locomotive ID","value":"4025"},{"id":130,"name":"Impact","value":""},{"id":150,"name":"Time of Event (Mountain Time)","value":"22:05:54"},{"id":151,"name":"Denver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616</v>
      </c>
      <c r="B144" s="7">
        <v>4026</v>
      </c>
      <c r="C144" s="22" t="s">
        <v>242</v>
      </c>
      <c r="D144" s="22" t="s">
        <v>221</v>
      </c>
      <c r="E144" s="13">
        <v>42679.923090277778</v>
      </c>
      <c r="F144" s="13">
        <v>42679.934895833336</v>
      </c>
      <c r="G144" s="7">
        <v>1</v>
      </c>
      <c r="H144" s="22" t="s">
        <v>386</v>
      </c>
      <c r="I144" s="13">
        <v>42679.960474537038</v>
      </c>
      <c r="J144" s="7">
        <v>0</v>
      </c>
      <c r="K144" s="112" t="str">
        <f t="shared" si="36"/>
        <v>4025/4026</v>
      </c>
      <c r="L144" s="22" t="str">
        <f>VLOOKUP(A144,'Trips&amp;Operators'!$C$1:$E$10000,3,FALSE)</f>
        <v>NEWELL</v>
      </c>
      <c r="M144" s="6">
        <f t="shared" si="37"/>
        <v>2.5578703702194616E-2</v>
      </c>
      <c r="N144" s="7">
        <f t="shared" si="38"/>
        <v>36.833333331160247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21:09:15-0600',mode:absolute,to:'2016-11-06 00:03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23.297699999999999</v>
      </c>
      <c r="Z144" s="67">
        <f t="shared" si="45"/>
        <v>1.3899999999999999E-2</v>
      </c>
      <c r="AA144" s="67">
        <f t="shared" si="46"/>
        <v>23.283799999999999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0232-05</v>
      </c>
      <c r="AE144" s="91" t="str">
        <f t="shared" si="48"/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AF144" s="88" t="str">
        <f t="shared" si="49"/>
        <v>"C:\Program Files (x86)\AstroGrep\AstroGrep.exe" /spath="%USERPROFILE%\AppData\Local\Temp\OnboardLogs" /stypes="app*4026*20161106*" /stext=" 05:.+((SYSTEM_STATE.+slice.+state.+changed )|(ment ac)|(system.+state.+changed )|(\[timeout)|(PRM\|1\|D)|(kpr)|(kdp)|(\|loc)|(penalty))"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232-05 --locoid 4026 --swversion DE.1.0.8.0 --startMP 204:232977 --initTime 2016-11-05T22:09:15 --startdatetime 2016-11-05T22:26:15 --delay 1 --endMP 204:139 --enddatetime 2016-11-05T23:03:05 --enforcementcount 0 &gt;&gt;C:\Users\stu\Documents\GitHub\eaglep3-reporting\EC\2016-11-05-refined-times.txt</v>
      </c>
      <c r="AI144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{"issue":{"subject":"","project_id":79,"tracker_id":40,"status_id":1,"priority_id":2,"assigned_to_id":23,"start_date":"2016-11-05","description":"","custom_fields":[{"id":1,"name":"Subdivision","value":"EC"},{"id":4,"name":"Milepost","value":"0.0139"},{"id":17,"name":"Train ID","value":"232-05"},{"id":16,"name":"Locomotive ID","value":"4026"},{"id":130,"name":"Impact","value":""},{"id":150,"name":"Time of Event (Mountain Time)","value":"23:03:05"},{"id":151,"name":"Denver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614</v>
      </c>
      <c r="B145" s="7">
        <v>4053</v>
      </c>
      <c r="C145" s="22" t="s">
        <v>242</v>
      </c>
      <c r="D145" s="22" t="s">
        <v>259</v>
      </c>
      <c r="E145" s="13">
        <v>42679.915613425925</v>
      </c>
      <c r="F145" s="13">
        <v>42679.916932870372</v>
      </c>
      <c r="G145" s="7">
        <v>1</v>
      </c>
      <c r="H145" s="22" t="s">
        <v>733</v>
      </c>
      <c r="I145" s="13">
        <v>42679.942430555559</v>
      </c>
      <c r="J145" s="7">
        <v>0</v>
      </c>
      <c r="K145" s="112" t="str">
        <f t="shared" si="36"/>
        <v>4053/4054</v>
      </c>
      <c r="L145" s="22" t="str">
        <f>VLOOKUP(A145,'Trips&amp;Operators'!$C$1:$E$10000,3,FALSE)</f>
        <v>CHANDLER</v>
      </c>
      <c r="M145" s="6">
        <f t="shared" si="37"/>
        <v>2.5497685186564922E-2</v>
      </c>
      <c r="N145" s="7">
        <f t="shared" si="38"/>
        <v>36.716666668653488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20:58:29-0600',mode:absolute,to:'2016-11-05 23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4.4400000000000002E-2</v>
      </c>
      <c r="Z145" s="67">
        <f t="shared" si="45"/>
        <v>23.329899999999999</v>
      </c>
      <c r="AA145" s="67">
        <f t="shared" si="46"/>
        <v>23.285499999999999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0233-05</v>
      </c>
      <c r="AE145" s="91" t="str">
        <f t="shared" si="48"/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AF145" s="88" t="str">
        <f t="shared" si="49"/>
        <v>"C:\Program Files (x86)\AstroGrep\AstroGrep.exe" /spath="%USERPROFILE%\AppData\Local\Temp\OnboardLogs" /stypes="app*4053*20161106*" /stext=" 04:.+((SYSTEM_STATE.+slice.+state.+changed )|(ment ac)|(system.+state.+changed )|(\[timeout)|(PRM\|1\|D)|(kpr)|(kdp)|(\|loc)|(penalty))"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233-05 --locoid 4053 --swversion DE.1.0.8.0 --startMP 204:444 --initTime 2016-11-05T21:58:29 --startdatetime 2016-11-05T22:00:23 --delay 1 --endMP 204:233299 --enddatetime 2016-11-05T22:37:06 --enforcementcount 0 &gt;&gt;C:\Users\stu\Documents\GitHub\eaglep3-reporting\EC\2016-11-05-refined-times.txt</v>
      </c>
      <c r="AI145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{"issue":{"subject":"","project_id":79,"tracker_id":40,"status_id":1,"priority_id":2,"assigned_to_id":23,"start_date":"2016-11-05","description":"","custom_fields":[{"id":1,"name":"Subdivision","value":"EC"},{"id":4,"name":"Milepost","value":"23.3299"},{"id":17,"name":"Train ID","value":"233-05"},{"id":16,"name":"Locomotive ID","value":"4053"},{"id":130,"name":"Impact","value":""},{"id":150,"name":"Time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x14ac:dyDescent="0.25">
      <c r="A146" s="37" t="s">
        <v>619</v>
      </c>
      <c r="B146" s="7">
        <v>4054</v>
      </c>
      <c r="C146" s="22" t="s">
        <v>242</v>
      </c>
      <c r="D146" s="22" t="s">
        <v>264</v>
      </c>
      <c r="E146" s="13">
        <v>42679.953182870369</v>
      </c>
      <c r="F146" s="13">
        <v>42679.955914351849</v>
      </c>
      <c r="G146" s="7">
        <v>1</v>
      </c>
      <c r="H146" s="22" t="s">
        <v>734</v>
      </c>
      <c r="I146" s="13">
        <v>42679.983657407407</v>
      </c>
      <c r="J146" s="7">
        <v>0</v>
      </c>
      <c r="K146" s="112" t="str">
        <f t="shared" si="36"/>
        <v>4053/4054</v>
      </c>
      <c r="L146" s="22" t="str">
        <f>VLOOKUP(A146,'Trips&amp;Operators'!$C$1:$E$10000,3,FALSE)</f>
        <v>CHANDLER</v>
      </c>
      <c r="M146" s="6">
        <f t="shared" si="37"/>
        <v>2.7743055557948537E-2</v>
      </c>
      <c r="N146" s="7">
        <f t="shared" si="38"/>
        <v>39.950000003445894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21:52:35-0600',mode:absolute,to:'2016-11-06 00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23.298400000000001</v>
      </c>
      <c r="Z146" s="67">
        <f t="shared" si="45"/>
        <v>1.2999999999999999E-2</v>
      </c>
      <c r="AA146" s="67">
        <f t="shared" si="46"/>
        <v>23.285399999999999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0234-05</v>
      </c>
      <c r="AE146" s="91" t="str">
        <f t="shared" si="48"/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AF146" s="88" t="str">
        <f t="shared" si="49"/>
        <v>"C:\Program Files (x86)\AstroGrep\AstroGrep.exe" /spath="%USERPROFILE%\AppData\Local\Temp\OnboardLogs" /stypes="app*4054*20161106*" /stext=" 05:.+((SYSTEM_STATE.+slice.+state.+changed )|(ment ac)|(system.+state.+changed )|(\[timeout)|(PRM\|1\|D)|(kpr)|(kdp)|(\|loc)|(penalty))"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234-05 --locoid 4054 --swversion DE.1.0.8.0 --startMP 204:232984 --initTime 2016-11-05T22:52:35 --startdatetime 2016-11-05T22:56:31 --delay 1 --endMP 204:130 --enddatetime 2016-11-05T23:36:28 --enforcementcount 0 &gt;&gt;C:\Users\stu\Documents\GitHub\eaglep3-reporting\EC\2016-11-05-refined-times.txt</v>
      </c>
      <c r="AI146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{"issue":{"subject":"","project_id":79,"tracker_id":40,"status_id":1,"priority_id":2,"assigned_to_id":23,"start_date":"2016-11-05","description":"","custom_fields":[{"id":1,"name":"Subdivision","value":"EC"},{"id":4,"name":"Milepost","value":"0.013"},{"id":17,"name":"Train ID","value":"234-05"},{"id":16,"name":"Locomotive ID","value":"4054"},{"id":130,"name":"Impact","value":""},{"id":150,"name":"Time of Event (Mountain Time)","value":"23:36:28"},{"id":151,"name":"Denver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x14ac:dyDescent="0.25">
      <c r="A147" s="37" t="s">
        <v>617</v>
      </c>
      <c r="B147" s="7">
        <v>4016</v>
      </c>
      <c r="C147" s="22" t="s">
        <v>242</v>
      </c>
      <c r="D147" s="22" t="s">
        <v>257</v>
      </c>
      <c r="E147" s="13">
        <v>42679.932662037034</v>
      </c>
      <c r="F147" s="13">
        <v>42679.937881944446</v>
      </c>
      <c r="G147" s="7">
        <v>1</v>
      </c>
      <c r="H147" s="22" t="s">
        <v>230</v>
      </c>
      <c r="I147" s="13">
        <v>42679.962384259263</v>
      </c>
      <c r="J147" s="7">
        <v>0</v>
      </c>
      <c r="K147" s="112" t="str">
        <f t="shared" si="36"/>
        <v>4015/4016</v>
      </c>
      <c r="L147" s="22" t="str">
        <f>VLOOKUP(A147,'Trips&amp;Operators'!$C$1:$E$10000,3,FALSE)</f>
        <v>STAMBAUGH</v>
      </c>
      <c r="M147" s="6">
        <f t="shared" si="37"/>
        <v>2.4502314816345461E-2</v>
      </c>
      <c r="N147" s="7">
        <f t="shared" si="38"/>
        <v>35.283333335537463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21:23:02-0600',mode:absolute,to:'2016-11-06 00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4.7300000000000002E-2</v>
      </c>
      <c r="Z147" s="67">
        <f t="shared" si="45"/>
        <v>23.3291</v>
      </c>
      <c r="AA147" s="67">
        <f t="shared" si="46"/>
        <v>23.2818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0235-05</v>
      </c>
      <c r="AE147" s="91" t="str">
        <f t="shared" si="48"/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AF147" s="88" t="str">
        <f t="shared" si="49"/>
        <v>"C:\Program Files (x86)\AstroGrep\AstroGrep.exe" /spath="%USERPROFILE%\AppData\Local\Temp\OnboardLogs" /stypes="app*4016*20161106*" /stext=" 05:.+((SYSTEM_STATE.+slice.+state.+changed )|(ment ac)|(system.+state.+changed )|(\[timeout)|(PRM\|1\|D)|(kpr)|(kdp)|(\|loc)|(penalty))"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235-05 --locoid 4016 --swversion DE.1.0.8.0 --startMP 204:473 --initTime 2016-11-05T22:23:02 --startdatetime 2016-11-05T22:30:33 --delay 1 --endMP 204:233291 --enddatetime 2016-11-05T23:05:50 --enforcementcount 0 &gt;&gt;C:\Users\stu\Documents\GitHub\eaglep3-reporting\EC\2016-11-05-refined-times.txt</v>
      </c>
      <c r="AI147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{"issue":{"subject":"","project_id":79,"tracker_id":40,"status_id":1,"priority_id":2,"assigned_to_id":23,"start_date":"2016-11-05","description":"","custom_fields":[{"id":1,"name":"Subdivision","value":"EC"},{"id":4,"name":"Milepost","value":"23.3291"},{"id":17,"name":"Train ID","value":"235-05"},{"id":16,"name":"Locomotive ID","value":"4016"},{"id":130,"name":"Impact","value":""},{"id":150,"name":"Time of Event (Mountain Time)","value":"23:05:50"},{"id":151,"name":"Denver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442</v>
      </c>
      <c r="B148" s="7">
        <v>4015</v>
      </c>
      <c r="C148" s="22" t="s">
        <v>242</v>
      </c>
      <c r="D148" s="22" t="s">
        <v>241</v>
      </c>
      <c r="E148" s="13">
        <v>42679.972858796296</v>
      </c>
      <c r="F148" s="13">
        <v>42679.97693287037</v>
      </c>
      <c r="G148" s="7">
        <v>1</v>
      </c>
      <c r="H148" s="22" t="s">
        <v>379</v>
      </c>
      <c r="I148" s="13">
        <v>42680.00304398148</v>
      </c>
      <c r="J148" s="7">
        <v>0</v>
      </c>
      <c r="K148" s="112" t="str">
        <f t="shared" si="36"/>
        <v>4015/4016</v>
      </c>
      <c r="L148" s="22" t="str">
        <f>VLOOKUP(A148,'Trips&amp;Operators'!$C$1:$E$10000,3,FALSE)</f>
        <v>STAMBAUGH</v>
      </c>
      <c r="M148" s="6">
        <f t="shared" si="37"/>
        <v>2.6111111110367347E-2</v>
      </c>
      <c r="N148" s="7">
        <f t="shared" si="38"/>
        <v>37.599999998928979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22:20:55-0600',mode:absolute,to:'2016-11-06 01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23.297799999999999</v>
      </c>
      <c r="Z148" s="67">
        <f t="shared" si="45"/>
        <v>1.6E-2</v>
      </c>
      <c r="AA148" s="67">
        <f t="shared" si="46"/>
        <v>23.2818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0236-05</v>
      </c>
      <c r="AE148" s="91" t="str">
        <f t="shared" si="48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148" s="88" t="str">
        <f t="shared" si="49"/>
        <v>"C:\Program Files (x86)\AstroGrep\AstroGrep.exe" /spath="%USERPROFILE%\AppData\Local\Temp\OnboardLogs" /stypes="app*4015*20161106*" /stext=" 06:.+((SYSTEM_STATE.+slice.+state.+changed )|(ment ac)|(system.+state.+changed )|(\[timeout)|(PRM\|1\|D)|(kpr)|(kdp)|(\|loc)|(penalty))"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236-05 --locoid 4015 --swversion DE.1.0.8.0 --startMP 204:232978 --initTime 2016-11-05T23:20:55 --startdatetime 2016-11-05T23:26:47 --delay 1 --endMP 204:160 --enddatetime 2016-11-06T00:04:23 --enforcementcount 0 &gt;&gt;C:\Users\stu\Documents\GitHub\eaglep3-reporting\EC\2016-11-05-refined-times.txt</v>
      </c>
      <c r="AI148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{"issue":{"subject":"","project_id":79,"tracker_id":40,"status_id":1,"priority_id":2,"assigned_to_id":23,"start_date":"2016-11-06","description":"","custom_fields":[{"id":1,"name":"Subdivision","value":"EC"},{"id":4,"name":"Milepost","value":"0.016"},{"id":17,"name":"Train ID","value":"236-05"},{"id":16,"name":"Locomotive ID","value":"4015"},{"id":130,"name":"Impact","value":""},{"id":150,"name":"Time of Event (Mountain Time)","value":"00:04:23"},{"id":151,"name":"Denver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618</v>
      </c>
      <c r="B149" s="7">
        <v>4014</v>
      </c>
      <c r="C149" s="22" t="s">
        <v>242</v>
      </c>
      <c r="D149" s="22" t="s">
        <v>399</v>
      </c>
      <c r="E149" s="13">
        <v>42679.951377314814</v>
      </c>
      <c r="F149" s="13">
        <v>42679.958518518521</v>
      </c>
      <c r="G149" s="7">
        <v>2</v>
      </c>
      <c r="H149" s="22" t="s">
        <v>341</v>
      </c>
      <c r="I149" s="13">
        <v>42679.983287037037</v>
      </c>
      <c r="J149" s="7">
        <v>0</v>
      </c>
      <c r="K149" s="112" t="str">
        <f t="shared" si="36"/>
        <v>4013/4014</v>
      </c>
      <c r="L149" s="22" t="str">
        <f>VLOOKUP(A149,'Trips&amp;Operators'!$C$1:$E$10000,3,FALSE)</f>
        <v>LEVIN</v>
      </c>
      <c r="M149" s="6">
        <f t="shared" si="37"/>
        <v>2.4768518516793847E-2</v>
      </c>
      <c r="N149" s="7">
        <f t="shared" si="38"/>
        <v>35.66666666418314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21:49:59-0600',mode:absolute,to:'2016-11-06 00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4.3700000000000003E-2</v>
      </c>
      <c r="Z149" s="67">
        <f t="shared" si="45"/>
        <v>23.333400000000001</v>
      </c>
      <c r="AA149" s="67">
        <f t="shared" si="46"/>
        <v>23.2897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0237-05</v>
      </c>
      <c r="AE149" s="91" t="str">
        <f t="shared" si="48"/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AF149" s="88" t="str">
        <f t="shared" si="49"/>
        <v>"C:\Program Files (x86)\AstroGrep\AstroGrep.exe" /spath="%USERPROFILE%\AppData\Local\Temp\OnboardLogs" /stypes="app*4014*20161106*" /stext=" 05:.+((SYSTEM_STATE.+slice.+state.+changed )|(ment ac)|(system.+state.+changed )|(\[timeout)|(PRM\|1\|D)|(kpr)|(kdp)|(\|loc)|(penalty))"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237-05 --locoid 4014 --swversion DE.1.0.8.0 --startMP 204:437 --initTime 2016-11-05T22:49:59 --startdatetime 2016-11-05T23:00:16 --delay 2 --endMP 204:233334 --enddatetime 2016-11-05T23:35:56 --enforcementcount 0 &gt;&gt;C:\Users\stu\Documents\GitHub\eaglep3-reporting\EC\2016-11-05-refined-times.txt</v>
      </c>
      <c r="AI149" s="122" t="str">
        <f t="shared" si="52"/>
        <v>echo {"issue":{"subject":"","project_id":79,"tracker_id":40,"status_id":1,"priority_id":2,"assigned_to_id":23,"start_date":"2016-11-05","description":"","custom_fields":[{"id":1,"name":"Subdivision","value":"EC"},{"id":4,"name":"Milepost","value":"23.3334"},{"id":17,"name":"Train ID","value":"237-05"},{"id":16,"name":"Locomotive ID","value":"4014"},{"id":130,"name":"Impact","value":""},{"id":150,"name":"Time of Event (Mountain Time)","value":"23:35:56"},{"id":151,"name":"Denver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621</v>
      </c>
      <c r="B150" s="7">
        <v>4013</v>
      </c>
      <c r="C150" s="22" t="s">
        <v>242</v>
      </c>
      <c r="D150" s="22" t="s">
        <v>401</v>
      </c>
      <c r="E150" s="13">
        <v>42679.992997685185</v>
      </c>
      <c r="F150" s="13">
        <v>42679.997418981482</v>
      </c>
      <c r="G150" s="7">
        <v>1</v>
      </c>
      <c r="H150" s="22" t="s">
        <v>176</v>
      </c>
      <c r="I150" s="13">
        <v>42680.023020833331</v>
      </c>
      <c r="J150" s="7">
        <v>0</v>
      </c>
      <c r="K150" s="112" t="str">
        <f t="shared" si="36"/>
        <v>4013/4014</v>
      </c>
      <c r="L150" s="22" t="str">
        <f>VLOOKUP(A150,'Trips&amp;Operators'!$C$1:$E$10000,3,FALSE)</f>
        <v>LEVIN</v>
      </c>
      <c r="M150" s="6">
        <f t="shared" si="37"/>
        <v>2.5601851848477963E-2</v>
      </c>
      <c r="N150" s="7">
        <f t="shared" si="38"/>
        <v>36.866666661808267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22:49:55-0600',mode:absolute,to:'2016-11-06 01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23.303000000000001</v>
      </c>
      <c r="Z150" s="67">
        <f t="shared" si="45"/>
        <v>1.52E-2</v>
      </c>
      <c r="AA150" s="67">
        <f t="shared" si="46"/>
        <v>23.287800000000001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0238-05</v>
      </c>
      <c r="AE150" s="91" t="str">
        <f t="shared" si="48"/>
        <v>aws s3 cp s3://rtdc.mdm.uploadarchive.raw/RTDC4013/ "%USERPROFILE%\AppData\Local\Temp\OnboardLogs"\RTDC4013\2016-11-05 --exclude "*" --recursive --include "*20161105*" &amp; "%USERPROFILE%\Documents\GitHub\mrs-test-scripts\Headless Mode &amp; Sideloading\WalkAndUnGZ.bat" "%USERPROFILE%\AppData\Local\Temp\OnboardLogs"\RTDC4013\2016-11-05 &amp; 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</v>
      </c>
      <c r="AF150" s="88" t="str">
        <f t="shared" si="49"/>
        <v>"C:\Program Files (x86)\AstroGrep\AstroGrep.exe" /spath="%USERPROFILE%\AppData\Local\Temp\OnboardLogs" /stypes="app*4013*20161106*" /stext=" 06:.+((SYSTEM_STATE.+slice.+state.+changed )|(ment ac)|(system.+state.+changed )|(\[timeout)|(PRM\|1\|D)|(kpr)|(kdp)|(\|loc)|(penalty))"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238-05 --locoid 4013 --swversion DE.1.0.8.0 --startMP 204:233030 --initTime 2016-11-05T23:49:55 --startdatetime 2016-11-05T23:56:17 --delay 1 --endMP 204:152 --enddatetime 2016-11-06T00:33:09 --enforcementcount 0 &gt;&gt;C:\Users\stu\Documents\GitHub\eaglep3-reporting\EC\2016-11-05-refined-times.txt</v>
      </c>
      <c r="AI150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{"issue":{"subject":"","project_id":79,"tracker_id":40,"status_id":1,"priority_id":2,"assigned_to_id":23,"start_date":"2016-11-06","description":"","custom_fields":[{"id":1,"name":"Subdivision","value":"EC"},{"id":4,"name":"Milepost","value":"0.0152"},{"id":17,"name":"Train ID","value":"238-05"},{"id":16,"name":"Locomotive ID","value":"4013"},{"id":130,"name":"Impact","value":""},{"id":150,"name":"Time of Event (Mountain Time)","value":"00:33:09"},{"id":151,"name":"Denver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620</v>
      </c>
      <c r="B151" s="7">
        <v>4025</v>
      </c>
      <c r="C151" s="22" t="s">
        <v>242</v>
      </c>
      <c r="D151" s="22" t="s">
        <v>716</v>
      </c>
      <c r="E151" s="13">
        <v>42679.963935185187</v>
      </c>
      <c r="F151" s="13">
        <v>42679.979398148149</v>
      </c>
      <c r="G151" s="7">
        <v>1</v>
      </c>
      <c r="H151" s="22" t="s">
        <v>735</v>
      </c>
      <c r="I151" s="13">
        <v>42680.005289351851</v>
      </c>
      <c r="J151" s="7">
        <v>0</v>
      </c>
      <c r="K151" s="112" t="str">
        <f t="shared" si="36"/>
        <v>4025/4026</v>
      </c>
      <c r="L151" s="22" t="str">
        <f>VLOOKUP(A151,'Trips&amp;Operators'!$C$1:$E$10000,3,FALSE)</f>
        <v>NEWELL</v>
      </c>
      <c r="M151" s="6">
        <f t="shared" si="37"/>
        <v>2.5891203702485655E-2</v>
      </c>
      <c r="N151" s="7">
        <f t="shared" si="38"/>
        <v>37.283333331579342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22:08:04-0600',mode:absolute,to:'2016-11-06 01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4.6699999999999998E-2</v>
      </c>
      <c r="Z151" s="67">
        <f t="shared" si="45"/>
        <v>23.334099999999999</v>
      </c>
      <c r="AA151" s="67">
        <f t="shared" si="46"/>
        <v>23.287399999999998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0239-05</v>
      </c>
      <c r="AE151" s="91" t="str">
        <f t="shared" si="48"/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AF151" s="88" t="str">
        <f t="shared" si="49"/>
        <v>"C:\Program Files (x86)\AstroGrep\AstroGrep.exe" /spath="%USERPROFILE%\AppData\Local\Temp\OnboardLogs" /stypes="app*4025*20161106*" /stext=" 06:.+((SYSTEM_STATE.+slice.+state.+changed )|(ment ac)|(system.+state.+changed )|(\[timeout)|(PRM\|1\|D)|(kpr)|(kdp)|(\|loc)|(penalty))"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239-05 --locoid 4025 --swversion DE.1.0.8.0 --startMP 204:467 --initTime 2016-11-05T23:08:04 --startdatetime 2016-11-05T23:30:20 --delay 1 --endMP 204:233341 --enddatetime 2016-11-06T00:07:37 --enforcementcount 0 &gt;&gt;C:\Users\stu\Documents\GitHub\eaglep3-reporting\EC\2016-11-05-refined-times.txt</v>
      </c>
      <c r="AI151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{"issue":{"subject":"","project_id":79,"tracker_id":40,"status_id":1,"priority_id":2,"assigned_to_id":23,"start_date":"2016-11-06","description":"","custom_fields":[{"id":1,"name":"Subdivision","value":"EC"},{"id":4,"name":"Milepost","value":"23.3341"},{"id":17,"name":"Train ID","value":"239-05"},{"id":16,"name":"Locomotive ID","value":"4025"},{"id":130,"name":"Impact","value":""},{"id":150,"name":"Time of Event (Mountain Time)","value":"00:07:37"},{"id":151,"name":"Denver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623</v>
      </c>
      <c r="B152" s="7">
        <v>4026</v>
      </c>
      <c r="C152" s="22" t="s">
        <v>242</v>
      </c>
      <c r="D152" s="22" t="s">
        <v>736</v>
      </c>
      <c r="E152" s="13">
        <v>42680.014837962961</v>
      </c>
      <c r="F152" s="13">
        <v>42680.018252314818</v>
      </c>
      <c r="G152" s="7">
        <v>1</v>
      </c>
      <c r="H152" s="22" t="s">
        <v>339</v>
      </c>
      <c r="I152" s="13">
        <v>42680.043726851851</v>
      </c>
      <c r="J152" s="7">
        <v>0</v>
      </c>
      <c r="K152" s="112" t="str">
        <f t="shared" si="36"/>
        <v>4025/4026</v>
      </c>
      <c r="L152" s="22" t="str">
        <f>VLOOKUP(A152,'Trips&amp;Operators'!$C$1:$E$10000,3,FALSE)</f>
        <v>NEWELL</v>
      </c>
      <c r="M152" s="6">
        <f t="shared" si="37"/>
        <v>2.5474537033005618E-2</v>
      </c>
      <c r="N152" s="7">
        <f t="shared" si="38"/>
        <v>36.683333327528089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23:21:22-0600',mode:absolute,to:'2016-11-06 02:02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23.298999999999999</v>
      </c>
      <c r="Z152" s="67">
        <f t="shared" si="45"/>
        <v>1.32E-2</v>
      </c>
      <c r="AA152" s="67">
        <f t="shared" si="46"/>
        <v>23.285799999999998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0240-05</v>
      </c>
      <c r="AE152" s="91" t="str">
        <f t="shared" si="48"/>
        <v>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 &amp; 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</v>
      </c>
      <c r="AF152" s="88" t="str">
        <f t="shared" si="49"/>
        <v>"C:\Program Files (x86)\AstroGrep\AstroGrep.exe" /spath="%USERPROFILE%\AppData\Local\Temp\OnboardLogs" /stypes="app*4026*20161106*" /stext=" 07:.+((SYSTEM_STATE.+slice.+state.+changed )|(ment ac)|(system.+state.+changed )|(\[timeout)|(PRM\|1\|D)|(kpr)|(kdp)|(\|loc)|(penalty))"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240-05 --locoid 4026 --swversion DE.1.0.8.0 --startMP 204:232990 --initTime 2016-11-06T00:21:22 --startdatetime 2016-11-06T00:26:17 --delay 1 --endMP 204:132 --enddatetime 2016-11-06T01:02:58 --enforcementcount 0 &gt;&gt;C:\Users\stu\Documents\GitHub\eaglep3-reporting\EC\2016-11-05-refined-times.txt</v>
      </c>
      <c r="AI152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ID","value":"240-05"},{"id":16,"name":"Locomotive ID","value":"4026"},{"id":130,"name":"Impact","value":""},{"id":150,"name":"Time of Event (Mountain Time)","value":"01:02:58"},{"id":151,"name":"Denver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622</v>
      </c>
      <c r="B153" s="7">
        <v>4053</v>
      </c>
      <c r="C153" s="22" t="s">
        <v>242</v>
      </c>
      <c r="D153" s="22" t="s">
        <v>737</v>
      </c>
      <c r="E153" s="13">
        <v>42679.999502314815</v>
      </c>
      <c r="F153" s="13">
        <v>42680.000717592593</v>
      </c>
      <c r="G153" s="7">
        <v>1</v>
      </c>
      <c r="H153" s="22" t="s">
        <v>719</v>
      </c>
      <c r="I153" s="13">
        <v>42680.025138888886</v>
      </c>
      <c r="J153" s="7">
        <v>0</v>
      </c>
      <c r="K153" s="112" t="str">
        <f t="shared" si="36"/>
        <v>4053/4054</v>
      </c>
      <c r="L153" s="22" t="str">
        <f>VLOOKUP(A153,'Trips&amp;Operators'!$C$1:$E$10000,3,FALSE)</f>
        <v>CHANDLER</v>
      </c>
      <c r="M153" s="6">
        <f t="shared" si="37"/>
        <v>2.4421296293439809E-2</v>
      </c>
      <c r="N153" s="7">
        <f t="shared" si="38"/>
        <v>35.166666662553325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22:59:17-0600',mode:absolute,to:'2016-11-06 01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4.2200000000000001E-2</v>
      </c>
      <c r="Z153" s="67">
        <f t="shared" si="45"/>
        <v>23.326599999999999</v>
      </c>
      <c r="AA153" s="67">
        <f t="shared" si="46"/>
        <v>23.284399999999998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0241-05</v>
      </c>
      <c r="AE153" s="91" t="str">
        <f t="shared" si="48"/>
        <v>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 &amp; 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</v>
      </c>
      <c r="AF153" s="88" t="str">
        <f t="shared" si="49"/>
        <v>"C:\Program Files (x86)\AstroGrep\AstroGrep.exe" /spath="%USERPROFILE%\AppData\Local\Temp\OnboardLogs" /stypes="app*4053*20161106*" /stext=" 06:.+((SYSTEM_STATE.+slice.+state.+changed )|(ment ac)|(system.+state.+changed )|(\[timeout)|(PRM\|1\|D)|(kpr)|(kdp)|(\|loc)|(penalty))"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241-05 --locoid 4053 --swversion DE.1.0.8.0 --startMP 204:422 --initTime 2016-11-05T23:59:17 --startdatetime 2016-11-06T00:01:02 --delay 1 --endMP 204:233266 --enddatetime 2016-11-06T00:36:12 --enforcementcount 0 &gt;&gt;C:\Users\stu\Documents\GitHub\eaglep3-reporting\EC\2016-11-05-refined-times.txt</v>
      </c>
      <c r="AI153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{"issue":{"subject":"","project_id":79,"tracker_id":40,"status_id":1,"priority_id":2,"assigned_to_id":23,"start_date":"2016-11-06","description":"","custom_fields":[{"id":1,"name":"Subdivision","value":"EC"},{"id":4,"name":"Milepost","value":"23.3266"},{"id":17,"name":"Train ID","value":"241-05"},{"id":16,"name":"Locomotive ID","value":"4053"},{"id":130,"name":"Impact","value":""},{"id":150,"name":"Time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625</v>
      </c>
      <c r="B154" s="7">
        <v>4054</v>
      </c>
      <c r="C154" s="22" t="s">
        <v>242</v>
      </c>
      <c r="D154" s="22" t="s">
        <v>656</v>
      </c>
      <c r="E154" s="13">
        <v>42680.034768518519</v>
      </c>
      <c r="F154" s="13">
        <v>42680.039143518516</v>
      </c>
      <c r="G154" s="7">
        <v>1</v>
      </c>
      <c r="H154" s="22" t="s">
        <v>201</v>
      </c>
      <c r="I154" s="13">
        <v>42680.06585648148</v>
      </c>
      <c r="J154" s="7">
        <v>0</v>
      </c>
      <c r="K154" s="112" t="str">
        <f t="shared" si="36"/>
        <v>4053/4054</v>
      </c>
      <c r="L154" s="22" t="str">
        <f>VLOOKUP(A154,'Trips&amp;Operators'!$C$1:$E$10000,3,FALSE)</f>
        <v>CHANDLER</v>
      </c>
      <c r="M154" s="6">
        <f t="shared" si="37"/>
        <v>2.6712962964666076E-2</v>
      </c>
      <c r="N154" s="7">
        <f t="shared" si="38"/>
        <v>38.466666669119149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23:50:04-0600',mode:absolute,to:'2016-11-06 02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23.295500000000001</v>
      </c>
      <c r="Z154" s="67">
        <f t="shared" si="45"/>
        <v>1.54E-2</v>
      </c>
      <c r="AA154" s="67">
        <f t="shared" si="46"/>
        <v>23.280100000000001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7"/>
        <v>0242-05</v>
      </c>
      <c r="AE154" s="91" t="str">
        <f t="shared" si="48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154" s="88" t="str">
        <f t="shared" si="49"/>
        <v>"C:\Program Files (x86)\AstroGrep\AstroGrep.exe" /spath="%USERPROFILE%\AppData\Local\Temp\OnboardLogs" /stypes="app*4054*20161106*" /stext=" 07:.+((SYSTEM_STATE.+slice.+state.+changed )|(ment ac)|(system.+state.+changed )|(\[timeout)|(PRM\|1\|D)|(kpr)|(kdp)|(\|loc)|(penalty))"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242-05 --locoid 4054 --swversion DE.1.0.8.0 --startMP 204:232955 --initTime 2016-11-06T00:50:04 --startdatetime 2016-11-06T00:56:22 --delay 1 --endMP 204:154 --enddatetime 2016-11-06T01:34:50 --enforcementcount 0 &gt;&gt;C:\Users\stu\Documents\GitHub\eaglep3-reporting\EC\2016-11-05-refined-times.txt</v>
      </c>
      <c r="AI154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{"issue":{"subject":"","project_id":79,"tracker_id":40,"status_id":1,"priority_id":2,"assigned_to_id":23,"start_date":"2016-11-06","description":"","custom_fields":[{"id":1,"name":"Subdivision","value":"EC"},{"id":4,"name":"Milepost","value":"0.0154"},{"id":17,"name":"Train ID","value":"242-05"},{"id":16,"name":"Locomotive ID","value":"4054"},{"id":130,"name":"Impact","value":""},{"id":150,"name":"Time of Event (Mountain Time)","value":"01:34:50"},{"id":151,"name":"Denver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624</v>
      </c>
      <c r="B155" s="7">
        <v>4016</v>
      </c>
      <c r="C155" s="22" t="s">
        <v>242</v>
      </c>
      <c r="D155" s="22" t="s">
        <v>247</v>
      </c>
      <c r="E155" s="13">
        <v>42680.016967592594</v>
      </c>
      <c r="F155" s="13">
        <v>42680.021365740744</v>
      </c>
      <c r="G155" s="7">
        <v>5</v>
      </c>
      <c r="H155" s="22" t="s">
        <v>263</v>
      </c>
      <c r="I155" s="13">
        <v>42680.044710648152</v>
      </c>
      <c r="J155" s="7">
        <v>0</v>
      </c>
      <c r="K155" s="112" t="str">
        <f t="shared" si="36"/>
        <v>4015/4016</v>
      </c>
      <c r="L155" s="22" t="str">
        <f>VLOOKUP(A155,'Trips&amp;Operators'!$C$1:$E$10000,3,FALSE)</f>
        <v>STAMBAUGH</v>
      </c>
      <c r="M155" s="6">
        <f t="shared" si="37"/>
        <v>2.3344907407590654E-2</v>
      </c>
      <c r="N155" s="7">
        <f t="shared" si="38"/>
        <v>33.616666666930541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23:24:26-0600',mode:absolute,to:'2016-11-06 02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4.58E-2</v>
      </c>
      <c r="Z155" s="67">
        <f t="shared" si="45"/>
        <v>23.330300000000001</v>
      </c>
      <c r="AA155" s="67">
        <f t="shared" si="46"/>
        <v>23.284500000000001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0243-05</v>
      </c>
      <c r="AE155" s="91" t="str">
        <f t="shared" si="48"/>
        <v>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 &amp; aws s3 cp s3://rtdc.mdm.uploadarchive.raw/RTDC4016/ "%USERPROFILE%\AppData\Local\Temp\OnboardLogs"\RTDC4016\2016-11-07 --exclude "*" --recursive --include "*20161107*" &amp; "%USERPROFILE%\Documents\GitHub\mrs-test-scripts\Headless Mode &amp; Sideloading\WalkAndUnGZ.bat" "%USERPROFILE%\AppData\Local\Temp\OnboardLogs"\RTDC4016\2016-11-07</v>
      </c>
      <c r="AF155" s="88" t="str">
        <f t="shared" si="49"/>
        <v>"C:\Program Files (x86)\AstroGrep\AstroGrep.exe" /spath="%USERPROFILE%\AppData\Local\Temp\OnboardLogs" /stypes="app*4016*20161106*" /stext=" 07:.+((SYSTEM_STATE.+slice.+state.+changed )|(ment ac)|(system.+state.+changed )|(\[timeout)|(PRM\|1\|D)|(kpr)|(kdp)|(\|loc)|(penalty))"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243-05 --locoid 4016 --swversion DE.1.0.8.0 --startMP 204:458 --initTime 2016-11-06T00:24:26 --startdatetime 2016-11-06T00:30:46 --delay 5 --endMP 204:233303 --enddatetime 2016-11-06T01:04:23 --enforcementcount 0 &gt;&gt;C:\Users\stu\Documents\GitHub\eaglep3-reporting\EC\2016-11-05-refined-times.txt</v>
      </c>
      <c r="AI155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{"issue":{"subject":"","project_id":79,"tracker_id":40,"status_id":1,"priority_id":2,"assigned_to_id":23,"start_date":"2016-11-06","description":"","custom_fields":[{"id":1,"name":"Subdivision","value":"EC"},{"id":4,"name":"Milepost","value":"23.3303"},{"id":17,"name":"Train ID","value":"243-05"},{"id":16,"name":"Locomotive ID","value":"4016"},{"id":130,"name":"Impact","value":""},{"id":150,"name":"Time of Event (Mountain Time)","value":"01:04:23"},{"id":151,"name":"Denver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629</v>
      </c>
      <c r="B156" s="7">
        <v>4015</v>
      </c>
      <c r="C156" s="22" t="s">
        <v>242</v>
      </c>
      <c r="D156" s="22" t="s">
        <v>337</v>
      </c>
      <c r="E156" s="13">
        <v>42680.053194444445</v>
      </c>
      <c r="F156" s="13">
        <v>42680.060555555552</v>
      </c>
      <c r="G156" s="7">
        <v>1</v>
      </c>
      <c r="H156" s="22" t="s">
        <v>339</v>
      </c>
      <c r="I156" s="13">
        <v>42680.085162037038</v>
      </c>
      <c r="J156" s="7">
        <v>0</v>
      </c>
      <c r="K156" s="112" t="str">
        <f t="shared" si="36"/>
        <v>4015/4016</v>
      </c>
      <c r="L156" s="22" t="str">
        <f>VLOOKUP(A156,'Trips&amp;Operators'!$C$1:$E$10000,3,FALSE)</f>
        <v>STAMBAUGH</v>
      </c>
      <c r="M156" s="6">
        <f t="shared" si="37"/>
        <v>2.4606481485534459E-2</v>
      </c>
      <c r="N156" s="7">
        <f t="shared" si="38"/>
        <v>35.433333339169621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https://search-rtdc-monitor-bjffxe2xuh6vdkpspy63sjmuny.us-east-1.es.amazonaws.com/_plugin/kibana/#/discover/Steve-Slow-Train-Analysis-(2080s-and-2083s)?_g=(refreshInterval:(display:Off,section:0,value:0),time:(from:'2016-11-06 00:16:36-0600',mode:absolute,to:'2016-11-06 03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23.299399999999999</v>
      </c>
      <c r="Z156" s="67">
        <f t="shared" si="45"/>
        <v>1.32E-2</v>
      </c>
      <c r="AA156" s="67">
        <f t="shared" si="46"/>
        <v>23.286199999999997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0244-05</v>
      </c>
      <c r="AE156" s="91" t="str">
        <f t="shared" si="48"/>
        <v>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 &amp; aws s3 cp s3://rtdc.mdm.uploadarchive.raw/RTDC4015/ "%USERPROFILE%\AppData\Local\Temp\OnboardLogs"\RTDC4015\2016-11-07 --exclude "*" --recursive --include "*20161107*" &amp; "%USERPROFILE%\Documents\GitHub\mrs-test-scripts\Headless Mode &amp; Sideloading\WalkAndUnGZ.bat" "%USERPROFILE%\AppData\Local\Temp\OnboardLogs"\RTDC4015\2016-11-07</v>
      </c>
      <c r="AF156" s="88" t="str">
        <f t="shared" si="49"/>
        <v>"C:\Program Files (x86)\AstroGrep\AstroGrep.exe" /spath="%USERPROFILE%\AppData\Local\Temp\OnboardLogs" /stypes="app*4015*20161106*" /stext=" 08:.+((SYSTEM_STATE.+slice.+state.+changed )|(ment ac)|(system.+state.+changed )|(\[timeout)|(PRM\|1\|D)|(kpr)|(kdp)|(\|loc)|(penalty))"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244-05 --locoid 4015 --swversion DE.1.0.8.0 --startMP 204:232994 --initTime 2016-11-06T01:16:36 --startdatetime 2016-11-06T01:27:12 --delay 1 --endMP 204:132 --enddatetime 2016-11-06T02:02:38 --enforcementcount 0 &gt;&gt;C:\Users\stu\Documents\GitHub\eaglep3-reporting\EC\2016-11-05-refined-times.txt</v>
      </c>
      <c r="AI156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{"issue":{"subject":"","project_id":79,"tracker_id":40,"status_id":1,"priority_id":2,"assigned_to_id":23,"start_date":"2016-11-06","description":"","custom_fields":[{"id":1,"name":"Subdivision","value":"EC"},{"id":4,"name":"Milepost","value":"0.0132"},{"id":17,"name":"Train ID","value":"244-05"},{"id":16,"name":"Locomotive ID","value":"4015"},{"id":130,"name":"Impact","value":""},{"id":150,"name":"Time of Event (Mountain Time)","value":"02:02:38"},{"id":151,"name":"Denver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626</v>
      </c>
      <c r="B157" s="7">
        <v>4014</v>
      </c>
      <c r="C157" s="22" t="s">
        <v>242</v>
      </c>
      <c r="D157" s="22" t="s">
        <v>266</v>
      </c>
      <c r="E157" s="13">
        <v>42680.038472222222</v>
      </c>
      <c r="F157" s="13">
        <v>42680.041921296295</v>
      </c>
      <c r="G157" s="7">
        <v>3</v>
      </c>
      <c r="H157" s="22" t="s">
        <v>389</v>
      </c>
      <c r="I157" s="13">
        <v>42680.066319444442</v>
      </c>
      <c r="J157" s="7">
        <v>0</v>
      </c>
      <c r="K157" s="112" t="str">
        <f t="shared" si="36"/>
        <v>4013/4014</v>
      </c>
      <c r="L157" s="22" t="str">
        <f>VLOOKUP(A157,'Trips&amp;Operators'!$C$1:$E$10000,3,FALSE)</f>
        <v>LEVIN</v>
      </c>
      <c r="M157" s="6">
        <f t="shared" si="37"/>
        <v>2.4398148147156462E-2</v>
      </c>
      <c r="N157" s="7">
        <f t="shared" si="38"/>
        <v>35.133333331905305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23:55:24-0600',mode:absolute,to:'2016-11-06 02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4.7500000000000001E-2</v>
      </c>
      <c r="Z157" s="67">
        <f t="shared" si="45"/>
        <v>23.3337</v>
      </c>
      <c r="AA157" s="67">
        <f t="shared" si="46"/>
        <v>23.286200000000001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0245-05</v>
      </c>
      <c r="AE157" s="91" t="str">
        <f t="shared" si="48"/>
        <v>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 &amp; 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</v>
      </c>
      <c r="AF157" s="88" t="str">
        <f t="shared" si="49"/>
        <v>"C:\Program Files (x86)\AstroGrep\AstroGrep.exe" /spath="%USERPROFILE%\AppData\Local\Temp\OnboardLogs" /stypes="app*4014*20161106*" /stext=" 07:.+((SYSTEM_STATE.+slice.+state.+changed )|(ment ac)|(system.+state.+changed )|(\[timeout)|(PRM\|1\|D)|(kpr)|(kdp)|(\|loc)|(penalty))"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245-05 --locoid 4014 --swversion DE.1.0.8.0 --startMP 204:475 --initTime 2016-11-06T00:55:24 --startdatetime 2016-11-06T01:00:22 --delay 3 --endMP 204:233337 --enddatetime 2016-11-06T01:35:30 --enforcementcount 0 &gt;&gt;C:\Users\stu\Documents\GitHub\eaglep3-reporting\EC\2016-11-05-refined-times.txt</v>
      </c>
      <c r="AI157" s="122" t="str">
        <f t="shared" si="52"/>
        <v>echo {"issue":{"subject":"","project_id":79,"tracker_id":40,"status_id":1,"priority_id":2,"assigned_to_id":23,"start_date":"2016-11-06","description":"","custom_fields":[{"id":1,"name":"Subdivision","value":"EC"},{"id":4,"name":"Milepost","value":"23.3337"},{"id":17,"name":"Train ID","value":"245-05"},{"id":16,"name":"Locomotive ID","value":"4014"},{"id":130,"name":"Impact","value":""},{"id":150,"name":"Time of Event (Mountain Time)","value":"01:35:30"},{"id":151,"name":"Denver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630</v>
      </c>
      <c r="B158" s="7">
        <v>4013</v>
      </c>
      <c r="C158" s="22" t="s">
        <v>242</v>
      </c>
      <c r="D158" s="22" t="s">
        <v>738</v>
      </c>
      <c r="E158" s="13">
        <v>42680.076249999998</v>
      </c>
      <c r="F158" s="13">
        <v>42680.080729166664</v>
      </c>
      <c r="G158" s="7">
        <v>1</v>
      </c>
      <c r="H158" s="22" t="s">
        <v>237</v>
      </c>
      <c r="I158" s="13">
        <v>42680.116585648146</v>
      </c>
      <c r="J158" s="7">
        <v>0</v>
      </c>
      <c r="K158" s="112" t="str">
        <f t="shared" si="36"/>
        <v>4013/4014</v>
      </c>
      <c r="L158" s="22" t="str">
        <f>VLOOKUP(A158,'Trips&amp;Operators'!$C$1:$E$10000,3,FALSE)</f>
        <v>LEVIN</v>
      </c>
      <c r="M158" s="6">
        <f t="shared" si="37"/>
        <v>3.5856481481459923E-2</v>
      </c>
      <c r="N158" s="7">
        <f t="shared" si="38"/>
        <v>51.633333333302289</v>
      </c>
      <c r="O158" s="7"/>
      <c r="P158" s="7"/>
      <c r="Q158" s="23"/>
      <c r="R158" s="23" t="s">
        <v>773</v>
      </c>
      <c r="S158" s="35">
        <f t="shared" si="39"/>
        <v>1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https://search-rtdc-monitor-bjffxe2xuh6vdkpspy63sjmuny.us-east-1.es.amazonaws.com/_plugin/kibana/#/discover/Steve-Slow-Train-Analysis-(2080s-and-2083s)?_g=(refreshInterval:(display:Off,section:0,value:0),time:(from:'2016-11-06 00:49:48-0600',mode:absolute,to:'2016-11-06 03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23.302600000000002</v>
      </c>
      <c r="Z158" s="67">
        <f t="shared" si="45"/>
        <v>1.61E-2</v>
      </c>
      <c r="AA158" s="67">
        <f t="shared" si="46"/>
        <v>23.2865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0246-05</v>
      </c>
      <c r="AE158" s="91" t="str">
        <f t="shared" si="48"/>
        <v>aws s3 cp s3://rtdc.mdm.uploadarchive.raw/RTDC4013/ "%USERPROFILE%\AppData\Local\Temp\OnboardLogs"\RTDC4013\2016-11-06 --exclude "*" --recursive --include "*20161106*" &amp; "%USERPROFILE%\Documents\GitHub\mrs-test-scripts\Headless Mode &amp; Sideloading\WalkAndUnGZ.bat" "%USERPROFILE%\AppData\Local\Temp\OnboardLogs"\RTDC4013\2016-11-06 &amp; 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</v>
      </c>
      <c r="AF158" s="88" t="str">
        <f t="shared" si="49"/>
        <v>"C:\Program Files (x86)\AstroGrep\AstroGrep.exe" /spath="%USERPROFILE%\AppData\Local\Temp\OnboardLogs" /stypes="app*4013*20161106*" /stext=" 08:.+((SYSTEM_STATE.+slice.+state.+changed )|(ment ac)|(system.+state.+changed )|(\[timeout)|(PRM\|1\|D)|(kpr)|(kdp)|(\|loc)|(penalty))"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246-05 --locoid 4013 --swversion DE.1.0.8.0 --startMP 204:233026 --initTime 2016-11-06T01:49:48 --startdatetime 2016-11-06T01:56:15 --delay 1 --endMP 204:161 --enddatetime 2016-11-06T02:47:53 --enforcementcount 0 &gt;&gt;C:\Users\stu\Documents\GitHub\eaglep3-reporting\EC\2016-11-05-refined-times.txt</v>
      </c>
      <c r="AI158" s="122" t="str">
        <f t="shared" si="52"/>
        <v>echo {"issue":{"subject":"Delayed due to DST affecting TMDS Code Server","project_id":79,"tracker_id":40,"status_id":1,"priority_id":2,"assigned_to_id":23,"start_date":"2016-11-06","description":"","custom_fields":[{"id":1,"name":"Subdivision","value":"EC"},{"id":4,"name":"Milepost","value":"0.0161"},{"id":17,"name":"Train ID","value":"246-05"},{"id":16,"name":"Locomotive ID","value":"4013"},{"id":130,"name":"Impact","value":""},{"id":150,"name":"Time of Event (Mountain Time)","value":"02:47:53"},{"id":151,"name":"Denver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473</v>
      </c>
      <c r="B159" s="7">
        <v>4004</v>
      </c>
      <c r="C159" s="22" t="s">
        <v>242</v>
      </c>
      <c r="D159" s="22" t="s">
        <v>675</v>
      </c>
      <c r="E159" s="13">
        <v>42679.232719907406</v>
      </c>
      <c r="F159" s="13">
        <v>42679.23605324074</v>
      </c>
      <c r="G159" s="7">
        <v>1</v>
      </c>
      <c r="H159" s="22" t="s">
        <v>676</v>
      </c>
      <c r="I159" s="13">
        <v>42679.246030092596</v>
      </c>
      <c r="J159" s="7">
        <v>0</v>
      </c>
      <c r="K159" s="112" t="str">
        <f t="shared" si="36"/>
        <v>4003/4004</v>
      </c>
      <c r="L159" s="22" t="str">
        <f>VLOOKUP(A159,'Trips&amp;Operators'!$C$1:$E$10000,3,FALSE)</f>
        <v>YORK</v>
      </c>
      <c r="M159" s="6">
        <f t="shared" si="37"/>
        <v>9.976851855753921E-3</v>
      </c>
      <c r="N159" s="7">
        <f t="shared" si="38"/>
        <v>14.366666672285646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04:35:07-0600',mode:absolute,to:'2016-11-05 06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 t="shared" si="42"/>
        <v>N</v>
      </c>
      <c r="X159" s="177">
        <f t="shared" si="43"/>
        <v>1554</v>
      </c>
      <c r="Y159" s="67">
        <f t="shared" si="44"/>
        <v>5.8604000000000003</v>
      </c>
      <c r="Z159" s="67">
        <f t="shared" si="45"/>
        <v>7.7499999999999999E-2</v>
      </c>
      <c r="AA159" s="67">
        <f t="shared" si="46"/>
        <v>5.7829000000000006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1800-05</v>
      </c>
      <c r="AE159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59" s="88" t="str">
        <f t="shared" si="49"/>
        <v>"C:\Program Files (x86)\AstroGrep\AstroGrep.exe" /spath="%USERPROFILE%\AppData\Local\Temp\OnboardLogs" /stypes="app*4004*20161105*" /stext=" 11:.+((SYSTEM_STATE.+slice.+state.+changed )|(ment ac)|(system.+state.+changed )|(\[timeout)|(PRM\|1\|D)|(kpr)|(kdp)|(\|loc)|(penalty))"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1800-05 --locoid 4004 --swversion DE.1.0.8.0 --startMP 300:58604 --initTime 2016-11-05T05:35:07 --startdatetime 2016-11-05T05:39:55 --delay 1 --endMP 204:775 --enddatetime 2016-11-05T05:54:17 --enforcementcount 0 &gt;&gt;C:\Users\stu\Documents\GitHub\eaglep3-reporting\EC\2016-11-05-refined-times.txt</v>
      </c>
      <c r="AI15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{"issue":{"subject":"","project_id":79,"tracker_id":40,"status_id":1,"priority_id":2,"assigned_to_id":23,"start_date":"2016-11-05","description":"","custom_fields":[{"id":1,"name":"Subdivision","value":"NW"},{"id":4,"name":"Milepost","value":"0.0775"},{"id":17,"name":"Train ID","value":"1800-05"},{"id":16,"name":"Locomotive ID","value":"4004"},{"id":130,"name":"Impact","value":""},{"id":150,"name":"Time of Event (Mountain Time)","value":"05:54:17"},{"id":151,"name":"Denver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477</v>
      </c>
      <c r="B160" s="7">
        <v>4003</v>
      </c>
      <c r="C160" s="22" t="s">
        <v>242</v>
      </c>
      <c r="D160" s="22" t="s">
        <v>677</v>
      </c>
      <c r="E160" s="13">
        <v>42679.247372685182</v>
      </c>
      <c r="F160" s="13">
        <v>42679.265497685185</v>
      </c>
      <c r="G160" s="7">
        <v>0</v>
      </c>
      <c r="H160" s="22" t="s">
        <v>678</v>
      </c>
      <c r="I160" s="13">
        <v>42679.274201388886</v>
      </c>
      <c r="J160" s="7">
        <v>0</v>
      </c>
      <c r="K160" s="112" t="str">
        <f t="shared" si="36"/>
        <v>4003/4004</v>
      </c>
      <c r="L160" s="22" t="str">
        <f>VLOOKUP(A160,'Trips&amp;Operators'!$C$1:$E$10000,3,FALSE)</f>
        <v>YORK</v>
      </c>
      <c r="M160" s="6">
        <f t="shared" si="37"/>
        <v>8.703703701030463E-3</v>
      </c>
      <c r="N160" s="7">
        <f t="shared" si="38"/>
        <v>12.533333329483867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04:56:13-0600',mode:absolute,to:'2016-11-05 07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0.1041</v>
      </c>
      <c r="Z160" s="67">
        <f t="shared" si="45"/>
        <v>5.8924000000000003</v>
      </c>
      <c r="AA160" s="67">
        <f t="shared" si="46"/>
        <v>5.7883000000000004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1801-05</v>
      </c>
      <c r="AE160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0" s="88" t="str">
        <f t="shared" si="49"/>
        <v>"C:\Program Files (x86)\AstroGrep\AstroGrep.exe" /spath="%USERPROFILE%\AppData\Local\Temp\OnboardLogs" /stypes="app*4003*20161105*" /stext=" 12:.+((SYSTEM_STATE.+slice.+state.+changed )|(ment ac)|(system.+state.+changed )|(\[timeout)|(PRM\|1\|D)|(kpr)|(kdp)|(\|loc)|(penalty))"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1801-05 --locoid 4003 --swversion DE.1.0.8.0 --startMP 204:1041 --initTime 2016-11-05T05:56:13 --startdatetime 2016-11-05T06:22:19 --delay 0 --endMP 300:58924 --enddatetime 2016-11-05T06:34:51 --enforcementcount 0 &gt;&gt;C:\Users\stu\Documents\GitHub\eaglep3-reporting\EC\2016-11-05-refined-times.txt</v>
      </c>
      <c r="AI16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{"issue":{"subject":"","project_id":79,"tracker_id":40,"status_id":1,"priority_id":2,"assigned_to_id":23,"start_date":"2016-11-05","description":"","custom_fields":[{"id":1,"name":"Subdivision","value":"NW"},{"id":4,"name":"Milepost","value":"5.8924"},{"id":17,"name":"Train ID","value":"1801-05"},{"id":16,"name":"Locomotive ID","value":"4003"},{"id":130,"name":"Impact","value":""},{"id":150,"name":"Time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483</v>
      </c>
      <c r="B161" s="7">
        <v>4004</v>
      </c>
      <c r="C161" s="22" t="s">
        <v>242</v>
      </c>
      <c r="D161" s="22" t="s">
        <v>679</v>
      </c>
      <c r="E161" s="13">
        <v>42679.276122685187</v>
      </c>
      <c r="F161" s="13">
        <v>42679.278449074074</v>
      </c>
      <c r="G161" s="7">
        <v>0</v>
      </c>
      <c r="H161" s="22" t="s">
        <v>680</v>
      </c>
      <c r="I161" s="13">
        <v>42679.287465277775</v>
      </c>
      <c r="J161" s="7">
        <v>0</v>
      </c>
      <c r="K161" s="112" t="str">
        <f t="shared" si="36"/>
        <v>4003/4004</v>
      </c>
      <c r="L161" s="22" t="str">
        <f>VLOOKUP(A161,'Trips&amp;Operators'!$C$1:$E$10000,3,FALSE)</f>
        <v>YORK</v>
      </c>
      <c r="M161" s="6">
        <f t="shared" si="37"/>
        <v>9.0162037013215013E-3</v>
      </c>
      <c r="N161" s="7">
        <f t="shared" si="38"/>
        <v>12.983333329902962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05:37:37-0600',mode:absolute,to:'2016-11-05 07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5.8608000000000002</v>
      </c>
      <c r="Z161" s="67">
        <f t="shared" si="45"/>
        <v>7.6399999999999996E-2</v>
      </c>
      <c r="AA161" s="67">
        <f t="shared" si="46"/>
        <v>5.7844000000000007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1802-05</v>
      </c>
      <c r="AE161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1" s="88" t="str">
        <f t="shared" si="49"/>
        <v>"C:\Program Files (x86)\AstroGrep\AstroGrep.exe" /spath="%USERPROFILE%\AppData\Local\Temp\OnboardLogs" /stypes="app*4004*20161105*" /stext=" 12:.+((SYSTEM_STATE.+slice.+state.+changed )|(ment ac)|(system.+state.+changed )|(\[timeout)|(PRM\|1\|D)|(kpr)|(kdp)|(\|loc)|(penalty))"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1802-05 --locoid 4004 --swversion DE.1.0.8.0 --startMP 300:58608 --initTime 2016-11-05T06:37:37 --startdatetime 2016-11-05T06:40:58 --delay 0 --endMP 204:764 --enddatetime 2016-11-05T06:53:57 --enforcementcount 0 &gt;&gt;C:\Users\stu\Documents\GitHub\eaglep3-reporting\EC\2016-11-05-refined-times.txt</v>
      </c>
      <c r="AI16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{"issue":{"subject":"","project_id":79,"tracker_id":40,"status_id":1,"priority_id":2,"assigned_to_id":23,"start_date":"2016-11-05","description":"","custom_fields":[{"id":1,"name":"Subdivision","value":"NW"},{"id":4,"name":"Milepost","value":"0.0764"},{"id":17,"name":"Train ID","value":"1802-05"},{"id":16,"name":"Locomotive ID","value":"4004"},{"id":130,"name":"Impact","value":""},{"id":150,"name":"Time of Event (Mountain Time)","value":"06:53:57"},{"id":151,"name":"Denver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486</v>
      </c>
      <c r="B162" s="7">
        <v>4003</v>
      </c>
      <c r="C162" s="22" t="s">
        <v>242</v>
      </c>
      <c r="D162" s="22" t="s">
        <v>681</v>
      </c>
      <c r="E162" s="13">
        <v>42679.289027777777</v>
      </c>
      <c r="F162" s="13">
        <v>42679.306655092594</v>
      </c>
      <c r="G162" s="7">
        <v>0</v>
      </c>
      <c r="H162" s="22" t="s">
        <v>678</v>
      </c>
      <c r="I162" s="13">
        <v>42679.315648148149</v>
      </c>
      <c r="J162" s="7">
        <v>0</v>
      </c>
      <c r="K162" s="112" t="str">
        <f t="shared" si="36"/>
        <v>4003/4004</v>
      </c>
      <c r="L162" s="22" t="str">
        <f>VLOOKUP(A162,'Trips&amp;Operators'!$C$1:$E$10000,3,FALSE)</f>
        <v>YORK</v>
      </c>
      <c r="M162" s="6">
        <f t="shared" si="37"/>
        <v>8.9930555550381541E-3</v>
      </c>
      <c r="N162" s="7">
        <f t="shared" si="38"/>
        <v>12.949999999254942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05:56:12-0600',mode:absolute,to:'2016-11-05 08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0.1056</v>
      </c>
      <c r="Z162" s="67">
        <f t="shared" si="45"/>
        <v>5.8924000000000003</v>
      </c>
      <c r="AA162" s="67">
        <f t="shared" si="46"/>
        <v>5.7868000000000004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1803-05</v>
      </c>
      <c r="AE162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2" s="88" t="str">
        <f t="shared" si="49"/>
        <v>"C:\Program Files (x86)\AstroGrep\AstroGrep.exe" /spath="%USERPROFILE%\AppData\Local\Temp\OnboardLogs" /stypes="app*4003*20161105*" /stext=" 13:.+((SYSTEM_STATE.+slice.+state.+changed )|(ment ac)|(system.+state.+changed )|(\[timeout)|(PRM\|1\|D)|(kpr)|(kdp)|(\|loc)|(penalty))"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1803-05 --locoid 4003 --swversion DE.1.0.8.0 --startMP 204:1056 --initTime 2016-11-05T06:56:12 --startdatetime 2016-11-05T07:21:35 --delay 0 --endMP 300:58924 --enddatetime 2016-11-05T07:34:32 --enforcementcount 0 &gt;&gt;C:\Users\stu\Documents\GitHub\eaglep3-reporting\EC\2016-11-05-refined-times.txt</v>
      </c>
      <c r="AI16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{"issue":{"subject":"","project_id":79,"tracker_id":40,"status_id":1,"priority_id":2,"assigned_to_id":23,"start_date":"2016-11-05","description":"","custom_fields":[{"id":1,"name":"Subdivision","value":"NW"},{"id":4,"name":"Milepost","value":"5.8924"},{"id":17,"name":"Train ID","value":"1803-05"},{"id":16,"name":"Locomotive ID","value":"4003"},{"id":130,"name":"Impact","value":""},{"id":150,"name":"Time of Event (Mountain Time)","value":"07:34:32"},{"id":151,"name":"Denver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490</v>
      </c>
      <c r="B163" s="7">
        <v>4004</v>
      </c>
      <c r="C163" s="22" t="s">
        <v>242</v>
      </c>
      <c r="D163" s="22" t="s">
        <v>675</v>
      </c>
      <c r="E163" s="13">
        <v>42679.316863425927</v>
      </c>
      <c r="F163" s="13">
        <v>42679.31890046296</v>
      </c>
      <c r="G163" s="7">
        <v>0</v>
      </c>
      <c r="H163" s="22" t="s">
        <v>682</v>
      </c>
      <c r="I163" s="13">
        <v>42679.329050925924</v>
      </c>
      <c r="J163" s="7">
        <v>0</v>
      </c>
      <c r="K163" s="112" t="str">
        <f t="shared" si="36"/>
        <v>4003/4004</v>
      </c>
      <c r="L163" s="22" t="str">
        <f>VLOOKUP(A163,'Trips&amp;Operators'!$C$1:$E$10000,3,FALSE)</f>
        <v>YORK</v>
      </c>
      <c r="M163" s="6">
        <f t="shared" si="37"/>
        <v>1.0150462963792961E-2</v>
      </c>
      <c r="N163" s="7">
        <f t="shared" si="38"/>
        <v>14.616666667861864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06:36:17-0600',mode:absolute,to:'2016-11-05 08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5.8604000000000003</v>
      </c>
      <c r="Z163" s="67">
        <f t="shared" si="45"/>
        <v>7.3800000000000004E-2</v>
      </c>
      <c r="AA163" s="67">
        <f t="shared" si="46"/>
        <v>5.7866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1804-05</v>
      </c>
      <c r="AE163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3" s="88" t="str">
        <f t="shared" si="49"/>
        <v>"C:\Program Files (x86)\AstroGrep\AstroGrep.exe" /spath="%USERPROFILE%\AppData\Local\Temp\OnboardLogs" /stypes="app*4004*20161105*" /stext=" 13:.+((SYSTEM_STATE.+slice.+state.+changed )|(ment ac)|(system.+state.+changed )|(\[timeout)|(PRM\|1\|D)|(kpr)|(kdp)|(\|loc)|(penalty))"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1804-05 --locoid 4004 --swversion DE.1.0.8.0 --startMP 300:58604 --initTime 2016-11-05T07:36:17 --startdatetime 2016-11-05T07:39:13 --delay 0 --endMP 204:738 --enddatetime 2016-11-05T07:53:50 --enforcementcount 0 &gt;&gt;C:\Users\stu\Documents\GitHub\eaglep3-reporting\EC\2016-11-05-refined-times.txt</v>
      </c>
      <c r="AI16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{"issue":{"subject":"","project_id":79,"tracker_id":40,"status_id":1,"priority_id":2,"assigned_to_id":23,"start_date":"2016-11-05","description":"","custom_fields":[{"id":1,"name":"Subdivision","value":"NW"},{"id":4,"name":"Milepost","value":"0.0738"},{"id":17,"name":"Train ID","value":"1804-05"},{"id":16,"name":"Locomotive ID","value":"4004"},{"id":130,"name":"Impact","value":""},{"id":150,"name":"Time of Event (Mountain Time)","value":"07:53:50"},{"id":151,"name":"Denver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495</v>
      </c>
      <c r="B164" s="7">
        <v>4003</v>
      </c>
      <c r="C164" s="22" t="s">
        <v>242</v>
      </c>
      <c r="D164" s="22" t="s">
        <v>683</v>
      </c>
      <c r="E164" s="13">
        <v>42679.330439814818</v>
      </c>
      <c r="F164" s="13">
        <v>42679.348275462966</v>
      </c>
      <c r="G164" s="7">
        <v>0</v>
      </c>
      <c r="H164" s="22" t="s">
        <v>413</v>
      </c>
      <c r="I164" s="13">
        <v>42679.357002314813</v>
      </c>
      <c r="J164" s="7">
        <v>0</v>
      </c>
      <c r="K164" s="112" t="str">
        <f t="shared" si="36"/>
        <v>4003/4004</v>
      </c>
      <c r="L164" s="22" t="str">
        <f>VLOOKUP(A164,'Trips&amp;Operators'!$C$1:$E$10000,3,FALSE)</f>
        <v>YORK</v>
      </c>
      <c r="M164" s="6">
        <f t="shared" si="37"/>
        <v>8.7268518473138101E-3</v>
      </c>
      <c r="N164" s="7">
        <f t="shared" si="38"/>
        <v>12.566666660131887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06:55:50-0600',mode:absolute,to:'2016-11-05 09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0.1018</v>
      </c>
      <c r="Z164" s="67">
        <f t="shared" si="45"/>
        <v>5.8920000000000003</v>
      </c>
      <c r="AA164" s="67">
        <f t="shared" si="46"/>
        <v>5.7902000000000005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1805-05</v>
      </c>
      <c r="AE164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4" s="88" t="str">
        <f t="shared" si="49"/>
        <v>"C:\Program Files (x86)\AstroGrep\AstroGrep.exe" /spath="%USERPROFILE%\AppData\Local\Temp\OnboardLogs" /stypes="app*4003*20161105*" /stext=" 14:.+((SYSTEM_STATE.+slice.+state.+changed )|(ment ac)|(system.+state.+changed )|(\[timeout)|(PRM\|1\|D)|(kpr)|(kdp)|(\|loc)|(penalty))"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1805-05 --locoid 4003 --swversion DE.1.0.8.0 --startMP 204:1018 --initTime 2016-11-05T07:55:50 --startdatetime 2016-11-05T08:21:31 --delay 0 --endMP 300:58920 --enddatetime 2016-11-05T08:34:05 --enforcementcount 0 &gt;&gt;C:\Users\stu\Documents\GitHub\eaglep3-reporting\EC\2016-11-05-refined-times.txt</v>
      </c>
      <c r="AI164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{"issue":{"subject":"","project_id":79,"tracker_id":40,"status_id":1,"priority_id":2,"assigned_to_id":23,"start_date":"2016-11-05","description":"","custom_fields":[{"id":1,"name":"Subdivision","value":"NW"},{"id":4,"name":"Milepost","value":"5.892"},{"id":17,"name":"Train ID","value":"1805-05"},{"id":16,"name":"Locomotive ID","value":"4003"},{"id":130,"name":"Impact","value":""},{"id":150,"name":"Time of Event (Mountain Time)","value":"08:34:05"},{"id":151,"name":"Denver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422</v>
      </c>
      <c r="B165" s="7">
        <v>4004</v>
      </c>
      <c r="C165" s="22" t="s">
        <v>242</v>
      </c>
      <c r="D165" s="22" t="s">
        <v>320</v>
      </c>
      <c r="E165" s="13">
        <v>42679.358229166668</v>
      </c>
      <c r="F165" s="13">
        <v>42679.361296296294</v>
      </c>
      <c r="G165" s="7">
        <v>0</v>
      </c>
      <c r="H165" s="22" t="s">
        <v>684</v>
      </c>
      <c r="I165" s="13">
        <v>42679.371099537035</v>
      </c>
      <c r="J165" s="7">
        <v>0</v>
      </c>
      <c r="K165" s="112" t="str">
        <f t="shared" si="36"/>
        <v>4003/4004</v>
      </c>
      <c r="L165" s="22" t="str">
        <f>VLOOKUP(A165,'Trips&amp;Operators'!$C$1:$E$10000,3,FALSE)</f>
        <v>YORK</v>
      </c>
      <c r="M165" s="6">
        <f t="shared" si="37"/>
        <v>9.8032407404389232E-3</v>
      </c>
      <c r="N165" s="7">
        <f t="shared" si="38"/>
        <v>14.116666666232049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07:35:51-0600',mode:absolute,to:'2016-11-05 09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5.8611000000000004</v>
      </c>
      <c r="Z165" s="67">
        <f t="shared" si="45"/>
        <v>7.3999999999999996E-2</v>
      </c>
      <c r="AA165" s="67">
        <f t="shared" si="46"/>
        <v>5.7871000000000006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1806-05</v>
      </c>
      <c r="AE165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5" s="88" t="str">
        <f t="shared" si="49"/>
        <v>"C:\Program Files (x86)\AstroGrep\AstroGrep.exe" /spath="%USERPROFILE%\AppData\Local\Temp\OnboardLogs" /stypes="app*4004*20161105*" /stext=" 14:.+((SYSTEM_STATE.+slice.+state.+changed )|(ment ac)|(system.+state.+changed )|(\[timeout)|(PRM\|1\|D)|(kpr)|(kdp)|(\|loc)|(penalty))"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1806-05 --locoid 4004 --swversion DE.1.0.8.0 --startMP 300:58611 --initTime 2016-11-05T08:35:51 --startdatetime 2016-11-05T08:40:16 --delay 0 --endMP 204:740 --enddatetime 2016-11-05T08:54:23 --enforcementcount 0 &gt;&gt;C:\Users\stu\Documents\GitHub\eaglep3-reporting\EC\2016-11-05-refined-times.txt</v>
      </c>
      <c r="AI165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{"issue":{"subject":"","project_id":79,"tracker_id":40,"status_id":1,"priority_id":2,"assigned_to_id":23,"start_date":"2016-11-05","description":"","custom_fields":[{"id":1,"name":"Subdivision","value":"NW"},{"id":4,"name":"Milepost","value":"0.074"},{"id":17,"name":"Train ID","value":"1806-05"},{"id":16,"name":"Locomotive ID","value":"4004"},{"id":130,"name":"Impact","value":""},{"id":150,"name":"Time of Event (Mountain Time)","value":"08:54:23"},{"id":151,"name":"Denver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505</v>
      </c>
      <c r="B166" s="7">
        <v>4003</v>
      </c>
      <c r="C166" s="22" t="s">
        <v>242</v>
      </c>
      <c r="D166" s="22" t="s">
        <v>685</v>
      </c>
      <c r="E166" s="13">
        <v>42679.385462962964</v>
      </c>
      <c r="F166" s="13">
        <v>42679.389837962961</v>
      </c>
      <c r="G166" s="7">
        <v>1</v>
      </c>
      <c r="H166" s="22" t="s">
        <v>261</v>
      </c>
      <c r="I166" s="13">
        <v>42679.398599537039</v>
      </c>
      <c r="J166" s="7">
        <v>0</v>
      </c>
      <c r="K166" s="112" t="str">
        <f t="shared" si="36"/>
        <v>4003/4004</v>
      </c>
      <c r="L166" s="22" t="str">
        <f>VLOOKUP(A166,'Trips&amp;Operators'!$C$1:$E$10000,3,FALSE)</f>
        <v>YORK</v>
      </c>
      <c r="M166" s="6">
        <f t="shared" si="37"/>
        <v>8.7615740776527673E-3</v>
      </c>
      <c r="N166" s="7">
        <f t="shared" si="38"/>
        <v>12.616666671819985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08:15:04-0600',mode:absolute,to:'2016-11-05 10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0.1014</v>
      </c>
      <c r="Z166" s="67">
        <f t="shared" si="45"/>
        <v>5.8925999999999998</v>
      </c>
      <c r="AA166" s="67">
        <f t="shared" si="46"/>
        <v>5.7911999999999999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1807-05</v>
      </c>
      <c r="AE166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6" s="88" t="str">
        <f t="shared" si="49"/>
        <v>"C:\Program Files (x86)\AstroGrep\AstroGrep.exe" /spath="%USERPROFILE%\AppData\Local\Temp\OnboardLogs" /stypes="app*4003*20161105*" /stext=" 15:.+((SYSTEM_STATE.+slice.+state.+changed )|(ment ac)|(system.+state.+changed )|(\[timeout)|(PRM\|1\|D)|(kpr)|(kdp)|(\|loc)|(penalty))"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1807-05 --locoid 4003 --swversion DE.1.0.8.0 --startMP 204:1014 --initTime 2016-11-05T09:15:04 --startdatetime 2016-11-05T09:21:22 --delay 1 --endMP 300:58926 --enddatetime 2016-11-05T09:33:59 --enforcementcount 0 &gt;&gt;C:\Users\stu\Documents\GitHub\eaglep3-reporting\EC\2016-11-05-refined-times.txt</v>
      </c>
      <c r="AI166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ID","value":"1807-05"},{"id":16,"name":"Locomotive ID","value":"4003"},{"id":130,"name":"Impact","value":""},{"id":150,"name":"Time of Event (Mountain Time)","value":"09:33:59"},{"id":151,"name":"Denver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508</v>
      </c>
      <c r="B167" s="7">
        <v>4004</v>
      </c>
      <c r="C167" s="22" t="s">
        <v>242</v>
      </c>
      <c r="D167" s="22" t="s">
        <v>679</v>
      </c>
      <c r="E167" s="13">
        <v>42679.400208333333</v>
      </c>
      <c r="F167" s="13">
        <v>42679.40184027778</v>
      </c>
      <c r="G167" s="7">
        <v>1</v>
      </c>
      <c r="H167" s="22" t="s">
        <v>686</v>
      </c>
      <c r="I167" s="13">
        <v>42679.412581018521</v>
      </c>
      <c r="J167" s="7">
        <v>0</v>
      </c>
      <c r="K167" s="112" t="str">
        <f t="shared" si="36"/>
        <v>4003/4004</v>
      </c>
      <c r="L167" s="22" t="str">
        <f>VLOOKUP(A167,'Trips&amp;Operators'!$C$1:$E$10000,3,FALSE)</f>
        <v>YORK</v>
      </c>
      <c r="M167" s="6">
        <f t="shared" si="37"/>
        <v>1.0740740741312038E-2</v>
      </c>
      <c r="N167" s="7">
        <f t="shared" si="38"/>
        <v>15.466666667489335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08:36:18-0600',mode:absolute,to:'2016-11-05 10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5.8608000000000002</v>
      </c>
      <c r="Z167" s="67">
        <f t="shared" si="45"/>
        <v>7.4499999999999997E-2</v>
      </c>
      <c r="AA167" s="67">
        <f t="shared" si="46"/>
        <v>5.7863000000000007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1808-05</v>
      </c>
      <c r="AE167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7" s="88" t="str">
        <f t="shared" si="49"/>
        <v>"C:\Program Files (x86)\AstroGrep\AstroGrep.exe" /spath="%USERPROFILE%\AppData\Local\Temp\OnboardLogs" /stypes="app*4004*20161105*" /stext=" 15:.+((SYSTEM_STATE.+slice.+state.+changed )|(ment ac)|(system.+state.+changed )|(\[timeout)|(PRM\|1\|D)|(kpr)|(kdp)|(\|loc)|(penalty))"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1808-05 --locoid 4004 --swversion DE.1.0.8.0 --startMP 300:58608 --initTime 2016-11-05T09:36:18 --startdatetime 2016-11-05T09:38:39 --delay 1 --endMP 204:745 --enddatetime 2016-11-05T09:54:07 --enforcementcount 0 &gt;&gt;C:\Users\stu\Documents\GitHub\eaglep3-reporting\EC\2016-11-05-refined-times.txt</v>
      </c>
      <c r="AI167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{"issue":{"subject":"","project_id":79,"tracker_id":40,"status_id":1,"priority_id":2,"assigned_to_id":23,"start_date":"2016-11-05","description":"","custom_fields":[{"id":1,"name":"Subdivision","value":"NW"},{"id":4,"name":"Milepost","value":"0.0745"},{"id":17,"name":"Train ID","value":"1808-05"},{"id":16,"name":"Locomotive ID","value":"4004"},{"id":130,"name":"Impact","value":""},{"id":150,"name":"Time of Event (Mountain Time)","value":"09:54:07"},{"id":151,"name":"Denver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513</v>
      </c>
      <c r="B168" s="7">
        <v>4003</v>
      </c>
      <c r="C168" s="22" t="s">
        <v>242</v>
      </c>
      <c r="D168" s="22" t="s">
        <v>350</v>
      </c>
      <c r="E168" s="13">
        <v>42679.429699074077</v>
      </c>
      <c r="F168" s="13">
        <v>42679.43141203704</v>
      </c>
      <c r="G168" s="7">
        <v>1</v>
      </c>
      <c r="H168" s="22" t="s">
        <v>411</v>
      </c>
      <c r="I168" s="13">
        <v>42679.439988425926</v>
      </c>
      <c r="J168" s="7">
        <v>0</v>
      </c>
      <c r="K168" s="112" t="str">
        <f t="shared" si="36"/>
        <v>4003/4004</v>
      </c>
      <c r="L168" s="22" t="str">
        <f>VLOOKUP(A168,'Trips&amp;Operators'!$C$1:$E$10000,3,FALSE)</f>
        <v>YORK</v>
      </c>
      <c r="M168" s="6">
        <f t="shared" si="37"/>
        <v>8.5763888855581172E-3</v>
      </c>
      <c r="N168" s="7">
        <f t="shared" si="38"/>
        <v>12.349999995203689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09:18:46-0600',mode:absolute,to:'2016-11-05 11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0.1032</v>
      </c>
      <c r="Z168" s="67">
        <f t="shared" si="45"/>
        <v>5.8929</v>
      </c>
      <c r="AA168" s="67">
        <f t="shared" si="46"/>
        <v>5.7896999999999998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1809-05</v>
      </c>
      <c r="AE168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68" s="88" t="str">
        <f t="shared" si="49"/>
        <v>"C:\Program Files (x86)\AstroGrep\AstroGrep.exe" /spath="%USERPROFILE%\AppData\Local\Temp\OnboardLogs" /stypes="app*4003*20161105*" /stext=" 16:.+((SYSTEM_STATE.+slice.+state.+changed )|(ment ac)|(system.+state.+changed )|(\[timeout)|(PRM\|1\|D)|(kpr)|(kdp)|(\|loc)|(penalty))"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1809-05 --locoid 4003 --swversion DE.1.0.8.0 --startMP 204:1032 --initTime 2016-11-05T10:18:46 --startdatetime 2016-11-05T10:21:14 --delay 1 --endMP 300:58929 --enddatetime 2016-11-05T10:33:35 --enforcementcount 0 &gt;&gt;C:\Users\stu\Documents\GitHub\eaglep3-reporting\EC\2016-11-05-refined-times.txt</v>
      </c>
      <c r="AI168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{"issue":{"subject":"","project_id":79,"tracker_id":40,"status_id":1,"priority_id":2,"assigned_to_id":23,"start_date":"2016-11-05","description":"","custom_fields":[{"id":1,"name":"Subdivision","value":"NW"},{"id":4,"name":"Milepost","value":"5.8929"},{"id":17,"name":"Train ID","value":"1809-05"},{"id":16,"name":"Locomotive ID","value":"4003"},{"id":130,"name":"Impact","value":""},{"id":150,"name":"Time of Event (Mountain Time)","value":"10:33:35"},{"id":151,"name":"Denver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517</v>
      </c>
      <c r="B169" s="7">
        <v>4004</v>
      </c>
      <c r="C169" s="22" t="s">
        <v>242</v>
      </c>
      <c r="D169" s="22" t="s">
        <v>319</v>
      </c>
      <c r="E169" s="13">
        <v>42679.441874999997</v>
      </c>
      <c r="F169" s="13">
        <v>42679.443738425929</v>
      </c>
      <c r="G169" s="7">
        <v>0</v>
      </c>
      <c r="H169" s="22" t="s">
        <v>318</v>
      </c>
      <c r="I169" s="13">
        <v>42679.454259259262</v>
      </c>
      <c r="J169" s="7">
        <v>0</v>
      </c>
      <c r="K169" s="112" t="str">
        <f t="shared" si="36"/>
        <v>4003/4004</v>
      </c>
      <c r="L169" s="22" t="str">
        <f>VLOOKUP(A169,'Trips&amp;Operators'!$C$1:$E$10000,3,FALSE)</f>
        <v>YORK</v>
      </c>
      <c r="M169" s="6">
        <f t="shared" si="37"/>
        <v>1.0520833333430346E-2</v>
      </c>
      <c r="N169" s="7">
        <f t="shared" si="38"/>
        <v>15.150000000139698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09:36:18-0600',mode:absolute,to:'2016-11-05 11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5.8615000000000004</v>
      </c>
      <c r="Z169" s="67">
        <f t="shared" si="45"/>
        <v>7.3099999999999998E-2</v>
      </c>
      <c r="AA169" s="67">
        <f t="shared" si="46"/>
        <v>5.7884000000000002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1810-05</v>
      </c>
      <c r="AE169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69" s="88" t="str">
        <f t="shared" si="49"/>
        <v>"C:\Program Files (x86)\AstroGrep\AstroGrep.exe" /spath="%USERPROFILE%\AppData\Local\Temp\OnboardLogs" /stypes="app*4004*20161105*" /stext=" 16:.+((SYSTEM_STATE.+slice.+state.+changed )|(ment ac)|(system.+state.+changed )|(\[timeout)|(PRM\|1\|D)|(kpr)|(kdp)|(\|loc)|(penalty))"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1810-05 --locoid 4004 --swversion DE.1.0.8.0 --startMP 300:58615 --initTime 2016-11-05T10:36:18 --startdatetime 2016-11-05T10:38:59 --delay 0 --endMP 204:731 --enddatetime 2016-11-05T10:54:08 --enforcementcount 0 &gt;&gt;C:\Users\stu\Documents\GitHub\eaglep3-reporting\EC\2016-11-05-refined-times.txt</v>
      </c>
      <c r="AI16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{"issue":{"subject":"","project_id":79,"tracker_id":40,"status_id":1,"priority_id":2,"assigned_to_id":23,"start_date":"2016-11-05","description":"","custom_fields":[{"id":1,"name":"Subdivision","value":"NW"},{"id":4,"name":"Milepost","value":"0.0731"},{"id":17,"name":"Train ID","value":"1810-05"},{"id":16,"name":"Locomotive ID","value":"4004"},{"id":130,"name":"Impact","value":""},{"id":150,"name":"Time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426</v>
      </c>
      <c r="B170" s="7">
        <v>4003</v>
      </c>
      <c r="C170" s="22" t="s">
        <v>242</v>
      </c>
      <c r="D170" s="22" t="s">
        <v>688</v>
      </c>
      <c r="E170" s="13">
        <v>42679.456585648149</v>
      </c>
      <c r="F170" s="13">
        <v>42679.473090277781</v>
      </c>
      <c r="G170" s="7">
        <v>0</v>
      </c>
      <c r="H170" s="22" t="s">
        <v>261</v>
      </c>
      <c r="I170" s="13">
        <v>42679.482615740744</v>
      </c>
      <c r="J170" s="7">
        <v>0</v>
      </c>
      <c r="K170" s="112" t="str">
        <f t="shared" si="36"/>
        <v>4003/4004</v>
      </c>
      <c r="L170" s="22" t="str">
        <f>VLOOKUP(A170,'Trips&amp;Operators'!$C$1:$E$10000,3,FALSE)</f>
        <v>YORK</v>
      </c>
      <c r="M170" s="6">
        <f t="shared" si="37"/>
        <v>9.5254629632108845E-3</v>
      </c>
      <c r="N170" s="7">
        <f t="shared" si="38"/>
        <v>13.716666667023674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09:57:29-0600',mode:absolute,to:'2016-11-05 12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0.10199999999999999</v>
      </c>
      <c r="Z170" s="67">
        <f t="shared" si="45"/>
        <v>5.8925999999999998</v>
      </c>
      <c r="AA170" s="67">
        <f t="shared" si="46"/>
        <v>5.7905999999999995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1811-05</v>
      </c>
      <c r="AE170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0" s="88" t="str">
        <f t="shared" si="49"/>
        <v>"C:\Program Files (x86)\AstroGrep\AstroGrep.exe" /spath="%USERPROFILE%\AppData\Local\Temp\OnboardLogs" /stypes="app*4003*20161105*" /stext=" 17:.+((SYSTEM_STATE.+slice.+state.+changed )|(ment ac)|(system.+state.+changed )|(\[timeout)|(PRM\|1\|D)|(kpr)|(kdp)|(\|loc)|(penalty))"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1811-05 --locoid 4003 --swversion DE.1.0.8.0 --startMP 204:1020 --initTime 2016-11-05T10:57:29 --startdatetime 2016-11-05T11:21:15 --delay 0 --endMP 300:58926 --enddatetime 2016-11-05T11:34:58 --enforcementcount 0 &gt;&gt;C:\Users\stu\Documents\GitHub\eaglep3-reporting\EC\2016-11-05-refined-times.txt</v>
      </c>
      <c r="AI17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ID","value":"1811-05"},{"id":16,"name":"Locomotive ID","value":"4003"},{"id":130,"name":"Impact","value":""},{"id":150,"name":"Time of Event (Mountain Time)","value":"11:34:58"},{"id":151,"name":"Denver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529</v>
      </c>
      <c r="B171" s="7">
        <v>4004</v>
      </c>
      <c r="C171" s="22" t="s">
        <v>242</v>
      </c>
      <c r="D171" s="22" t="s">
        <v>260</v>
      </c>
      <c r="E171" s="13">
        <v>42679.483703703707</v>
      </c>
      <c r="F171" s="13">
        <v>42679.486643518518</v>
      </c>
      <c r="G171" s="7">
        <v>1</v>
      </c>
      <c r="H171" s="22" t="s">
        <v>682</v>
      </c>
      <c r="I171" s="13">
        <v>42679.495983796296</v>
      </c>
      <c r="J171" s="7">
        <v>0</v>
      </c>
      <c r="K171" s="112" t="str">
        <f t="shared" si="36"/>
        <v>4003/4004</v>
      </c>
      <c r="L171" s="22" t="str">
        <f>VLOOKUP(A171,'Trips&amp;Operators'!$C$1:$E$10000,3,FALSE)</f>
        <v>YORK</v>
      </c>
      <c r="M171" s="6">
        <f t="shared" si="37"/>
        <v>9.340277778392192E-3</v>
      </c>
      <c r="N171" s="7">
        <f t="shared" si="38"/>
        <v>13.450000000884756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10:36:32-0600',mode:absolute,to:'2016-11-05 12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5.8613</v>
      </c>
      <c r="Z171" s="67">
        <f t="shared" si="45"/>
        <v>7.3800000000000004E-2</v>
      </c>
      <c r="AA171" s="67">
        <f t="shared" si="46"/>
        <v>5.7874999999999996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1812-05</v>
      </c>
      <c r="AE171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1" s="88" t="str">
        <f t="shared" si="49"/>
        <v>"C:\Program Files (x86)\AstroGrep\AstroGrep.exe" /spath="%USERPROFILE%\AppData\Local\Temp\OnboardLogs" /stypes="app*4004*20161105*" /stext=" 17:.+((SYSTEM_STATE.+slice.+state.+changed )|(ment ac)|(system.+state.+changed )|(\[timeout)|(PRM\|1\|D)|(kpr)|(kdp)|(\|loc)|(penalty))"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1812-05 --locoid 4004 --swversion DE.1.0.8.0 --startMP 300:58613 --initTime 2016-11-05T11:36:32 --startdatetime 2016-11-05T11:40:46 --delay 1 --endMP 204:738 --enddatetime 2016-11-05T11:54:13 --enforcementcount 0 &gt;&gt;C:\Users\stu\Documents\GitHub\eaglep3-reporting\EC\2016-11-05-refined-times.txt</v>
      </c>
      <c r="AI17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{"issue":{"subject":"","project_id":79,"tracker_id":40,"status_id":1,"priority_id":2,"assigned_to_id":23,"start_date":"2016-11-05","description":"","custom_fields":[{"id":1,"name":"Subdivision","value":"NW"},{"id":4,"name":"Milepost","value":"0.0738"},{"id":17,"name":"Train ID","value":"1812-05"},{"id":16,"name":"Locomotive ID","value":"4004"},{"id":130,"name":"Impact","value":""},{"id":150,"name":"Time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534</v>
      </c>
      <c r="B172" s="7">
        <v>4003</v>
      </c>
      <c r="C172" s="22" t="s">
        <v>242</v>
      </c>
      <c r="D172" s="22" t="s">
        <v>349</v>
      </c>
      <c r="E172" s="13">
        <v>42679.497372685182</v>
      </c>
      <c r="F172" s="13">
        <v>42679.514884259261</v>
      </c>
      <c r="G172" s="7">
        <v>1</v>
      </c>
      <c r="H172" s="22" t="s">
        <v>678</v>
      </c>
      <c r="I172" s="13">
        <v>42679.523472222223</v>
      </c>
      <c r="J172" s="7">
        <v>0</v>
      </c>
      <c r="K172" s="112" t="str">
        <f t="shared" si="36"/>
        <v>4003/4004</v>
      </c>
      <c r="L172" s="22" t="str">
        <f>VLOOKUP(A172,'Trips&amp;Operators'!$C$1:$E$10000,3,FALSE)</f>
        <v>YORK</v>
      </c>
      <c r="M172" s="6">
        <f t="shared" si="37"/>
        <v>8.5879629623377696E-3</v>
      </c>
      <c r="N172" s="7">
        <f t="shared" si="38"/>
        <v>12.366666665766388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10:56:13-0600',mode:absolute,to:'2016-11-05 13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0.10299999999999999</v>
      </c>
      <c r="Z172" s="67">
        <f t="shared" si="45"/>
        <v>5.8924000000000003</v>
      </c>
      <c r="AA172" s="67">
        <f t="shared" si="46"/>
        <v>5.7894000000000005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1813-05</v>
      </c>
      <c r="AE172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2" s="88" t="str">
        <f t="shared" si="49"/>
        <v>"C:\Program Files (x86)\AstroGrep\AstroGrep.exe" /spath="%USERPROFILE%\AppData\Local\Temp\OnboardLogs" /stypes="app*4003*20161105*" /stext=" 18:.+((SYSTEM_STATE.+slice.+state.+changed )|(ment ac)|(system.+state.+changed )|(\[timeout)|(PRM\|1\|D)|(kpr)|(kdp)|(\|loc)|(penalty))"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1813-05 --locoid 4003 --swversion DE.1.0.8.0 --startMP 204:1030 --initTime 2016-11-05T11:56:13 --startdatetime 2016-11-05T12:21:26 --delay 1 --endMP 300:58924 --enddatetime 2016-11-05T12:33:48 --enforcementcount 0 &gt;&gt;C:\Users\stu\Documents\GitHub\eaglep3-reporting\EC\2016-11-05-refined-times.txt</v>
      </c>
      <c r="AI17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{"issue":{"subject":"","project_id":79,"tracker_id":40,"status_id":1,"priority_id":2,"assigned_to_id":23,"start_date":"2016-11-05","description":"","custom_fields":[{"id":1,"name":"Subdivision","value":"NW"},{"id":4,"name":"Milepost","value":"5.8924"},{"id":17,"name":"Train ID","value":"1813-05"},{"id":16,"name":"Locomotive ID","value":"4003"},{"id":130,"name":"Impact","value":""},{"id":150,"name":"Time of Event (Mountain Time)","value":"12:33:48"},{"id":151,"name":"Denver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541</v>
      </c>
      <c r="B173" s="7">
        <v>4004</v>
      </c>
      <c r="C173" s="22" t="s">
        <v>242</v>
      </c>
      <c r="D173" s="22" t="s">
        <v>689</v>
      </c>
      <c r="E173" s="13">
        <v>42679.524548611109</v>
      </c>
      <c r="F173" s="13">
        <v>42679.528402777774</v>
      </c>
      <c r="G173" s="7">
        <v>1</v>
      </c>
      <c r="H173" s="22" t="s">
        <v>690</v>
      </c>
      <c r="I173" s="13">
        <v>42679.537708333337</v>
      </c>
      <c r="J173" s="7">
        <v>0</v>
      </c>
      <c r="K173" s="112" t="str">
        <f t="shared" si="36"/>
        <v>4003/4004</v>
      </c>
      <c r="L173" s="22" t="str">
        <f>VLOOKUP(A173,'Trips&amp;Operators'!$C$1:$E$10000,3,FALSE)</f>
        <v>YORK</v>
      </c>
      <c r="M173" s="6">
        <f t="shared" si="37"/>
        <v>9.30555556260515E-3</v>
      </c>
      <c r="N173" s="7">
        <f t="shared" si="38"/>
        <v>13.400000010151416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11:35:21-0600',mode:absolute,to:'2016-11-05 13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</v>
      </c>
      <c r="Z173" s="67">
        <f t="shared" si="45"/>
        <v>0.192</v>
      </c>
      <c r="AA173" s="67">
        <f t="shared" si="46"/>
        <v>5.6680000000000001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1814-05</v>
      </c>
      <c r="AE173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3" s="88" t="str">
        <f t="shared" si="49"/>
        <v>"C:\Program Files (x86)\AstroGrep\AstroGrep.exe" /spath="%USERPROFILE%\AppData\Local\Temp\OnboardLogs" /stypes="app*4004*20161105*" /stext=" 18:.+((SYSTEM_STATE.+slice.+state.+changed )|(ment ac)|(system.+state.+changed )|(\[timeout)|(PRM\|1\|D)|(kpr)|(kdp)|(\|loc)|(penalty))"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1814-05 --locoid 4004 --swversion DE.1.0.8.0 --startMP 300:58600 --initTime 2016-11-05T12:35:21 --startdatetime 2016-11-05T12:40:54 --delay 1 --endMP 204:1920 --enddatetime 2016-11-05T12:54:18 --enforcementcount 0 &gt;&gt;C:\Users\stu\Documents\GitHub\eaglep3-reporting\EC\2016-11-05-refined-times.txt</v>
      </c>
      <c r="AI17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{"issue":{"subject":"","project_id":79,"tracker_id":40,"status_id":1,"priority_id":2,"assigned_to_id":23,"start_date":"2016-11-05","description":"","custom_fields":[{"id":1,"name":"Subdivision","value":"NW"},{"id":4,"name":"Milepost","value":"0.192"},{"id":17,"name":"Train ID","value":"1814-05"},{"id":16,"name":"Locomotive ID","value":"4004"},{"id":130,"name":"Impact","value":""},{"id":150,"name":"Time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544</v>
      </c>
      <c r="B174" s="7">
        <v>4003</v>
      </c>
      <c r="C174" s="22" t="s">
        <v>242</v>
      </c>
      <c r="D174" s="22" t="s">
        <v>406</v>
      </c>
      <c r="E174" s="13">
        <v>42679.539143518516</v>
      </c>
      <c r="F174" s="13">
        <v>42679.556458333333</v>
      </c>
      <c r="G174" s="7">
        <v>0</v>
      </c>
      <c r="H174" s="22" t="s">
        <v>261</v>
      </c>
      <c r="I174" s="13">
        <v>42679.56523148148</v>
      </c>
      <c r="J174" s="7">
        <v>0</v>
      </c>
      <c r="K174" s="112" t="str">
        <f t="shared" si="36"/>
        <v>4003/4004</v>
      </c>
      <c r="L174" s="22" t="str">
        <f>VLOOKUP(A174,'Trips&amp;Operators'!$C$1:$E$10000,3,FALSE)</f>
        <v>YORK</v>
      </c>
      <c r="M174" s="6">
        <f t="shared" si="37"/>
        <v>8.7731481471564621E-3</v>
      </c>
      <c r="N174" s="7">
        <f t="shared" si="38"/>
        <v>12.633333331905305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11:56:22-0600',mode:absolute,to:'2016-11-05 14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0.10340000000000001</v>
      </c>
      <c r="Z174" s="67">
        <f t="shared" si="45"/>
        <v>5.8925999999999998</v>
      </c>
      <c r="AA174" s="67">
        <f t="shared" si="46"/>
        <v>5.7892000000000001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1815-05</v>
      </c>
      <c r="AE174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4" s="88" t="str">
        <f t="shared" si="49"/>
        <v>"C:\Program Files (x86)\AstroGrep\AstroGrep.exe" /spath="%USERPROFILE%\AppData\Local\Temp\OnboardLogs" /stypes="app*4003*20161105*" /stext=" 19:.+((SYSTEM_STATE.+slice.+state.+changed )|(ment ac)|(system.+state.+changed )|(\[timeout)|(PRM\|1\|D)|(kpr)|(kdp)|(\|loc)|(penalty))"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1815-05 --locoid 4003 --swversion DE.1.0.8.0 --startMP 204:1034 --initTime 2016-11-05T12:56:22 --startdatetime 2016-11-05T13:21:18 --delay 0 --endMP 300:58926 --enddatetime 2016-11-05T13:33:56 --enforcementcount 0 &gt;&gt;C:\Users\stu\Documents\GitHub\eaglep3-reporting\EC\2016-11-05-refined-times.txt</v>
      </c>
      <c r="AI174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ID","value":"1815-05"},{"id":16,"name":"Locomotive ID","value":"4003"},{"id":130,"name":"Impact","value":""},{"id":150,"name":"Time of Event (Mountain Time)","value":"13:33:56"},{"id":151,"name":"Denver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550</v>
      </c>
      <c r="B175" s="7">
        <v>4004</v>
      </c>
      <c r="C175" s="22" t="s">
        <v>242</v>
      </c>
      <c r="D175" s="22" t="s">
        <v>320</v>
      </c>
      <c r="E175" s="13">
        <v>42679.56759259259</v>
      </c>
      <c r="F175" s="13">
        <v>42679.570069444446</v>
      </c>
      <c r="G175" s="7">
        <v>0</v>
      </c>
      <c r="H175" s="22" t="s">
        <v>691</v>
      </c>
      <c r="I175" s="13">
        <v>42679.578831018516</v>
      </c>
      <c r="J175" s="7">
        <v>0</v>
      </c>
      <c r="K175" s="112" t="str">
        <f t="shared" si="36"/>
        <v>4003/4004</v>
      </c>
      <c r="L175" s="22" t="str">
        <f>VLOOKUP(A175,'Trips&amp;Operators'!$C$1:$E$10000,3,FALSE)</f>
        <v>YORK</v>
      </c>
      <c r="M175" s="6">
        <f t="shared" si="37"/>
        <v>8.7615740703768097E-3</v>
      </c>
      <c r="N175" s="7">
        <f t="shared" si="38"/>
        <v>12.616666661342606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12:37:20-0600',mode:absolute,to:'2016-11-05 14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5.8611000000000004</v>
      </c>
      <c r="Z175" s="67">
        <f t="shared" si="45"/>
        <v>8.4599999999999995E-2</v>
      </c>
      <c r="AA175" s="67">
        <f t="shared" si="46"/>
        <v>5.7765000000000004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1816-05</v>
      </c>
      <c r="AE175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5" s="88" t="str">
        <f t="shared" si="49"/>
        <v>"C:\Program Files (x86)\AstroGrep\AstroGrep.exe" /spath="%USERPROFILE%\AppData\Local\Temp\OnboardLogs" /stypes="app*4004*20161105*" /stext=" 19:.+((SYSTEM_STATE.+slice.+state.+changed )|(ment ac)|(system.+state.+changed )|(\[timeout)|(PRM\|1\|D)|(kpr)|(kdp)|(\|loc)|(penalty))"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1816-05 --locoid 4004 --swversion DE.1.0.8.0 --startMP 300:58611 --initTime 2016-11-05T13:37:20 --startdatetime 2016-11-05T13:40:54 --delay 0 --endMP 204:846 --enddatetime 2016-11-05T13:53:31 --enforcementcount 0 &gt;&gt;C:\Users\stu\Documents\GitHub\eaglep3-reporting\EC\2016-11-05-refined-times.txt</v>
      </c>
      <c r="AI175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{"issue":{"subject":"","project_id":79,"tracker_id":40,"status_id":1,"priority_id":2,"assigned_to_id":23,"start_date":"2016-11-05","description":"","custom_fields":[{"id":1,"name":"Subdivision","value":"NW"},{"id":4,"name":"Milepost","value":"0.0846"},{"id":17,"name":"Train ID","value":"1816-05"},{"id":16,"name":"Locomotive ID","value":"4004"},{"id":130,"name":"Impact","value":""},{"id":150,"name":"Time of Event (Mountain Time)","value":"13:53:31"},{"id":151,"name":"Denver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556</v>
      </c>
      <c r="B176" s="7">
        <v>4003</v>
      </c>
      <c r="C176" s="22" t="s">
        <v>242</v>
      </c>
      <c r="D176" s="22" t="s">
        <v>692</v>
      </c>
      <c r="E176" s="13">
        <v>42679.593900462962</v>
      </c>
      <c r="F176" s="13">
        <v>42679.598402777781</v>
      </c>
      <c r="G176" s="7">
        <v>1</v>
      </c>
      <c r="H176" s="22" t="s">
        <v>410</v>
      </c>
      <c r="I176" s="13">
        <v>42679.607604166667</v>
      </c>
      <c r="J176" s="7">
        <v>0</v>
      </c>
      <c r="K176" s="112" t="str">
        <f t="shared" si="36"/>
        <v>4003/4004</v>
      </c>
      <c r="L176" s="22" t="str">
        <f>VLOOKUP(A176,'Trips&amp;Operators'!$C$1:$E$10000,3,FALSE)</f>
        <v>ADANE</v>
      </c>
      <c r="M176" s="6">
        <f t="shared" si="37"/>
        <v>9.2013888861401938E-3</v>
      </c>
      <c r="N176" s="7">
        <f t="shared" si="38"/>
        <v>13.249999996041879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13:15:13-0600',mode:absolute,to:'2016-11-05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0.1132</v>
      </c>
      <c r="Z176" s="67">
        <f t="shared" si="45"/>
        <v>5.8940999999999999</v>
      </c>
      <c r="AA176" s="67">
        <f t="shared" si="46"/>
        <v>5.7808999999999999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1817-05</v>
      </c>
      <c r="AE176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6" s="88" t="str">
        <f t="shared" si="49"/>
        <v>"C:\Program Files (x86)\AstroGrep\AstroGrep.exe" /spath="%USERPROFILE%\AppData\Local\Temp\OnboardLogs" /stypes="app*4003*20161105*" /stext=" 20:.+((SYSTEM_STATE.+slice.+state.+changed )|(ment ac)|(system.+state.+changed )|(\[timeout)|(PRM\|1\|D)|(kpr)|(kdp)|(\|loc)|(penalty))"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1817-05 --locoid 4003 --swversion DE.1.0.8.0 --startMP 204:1132 --initTime 2016-11-05T14:15:13 --startdatetime 2016-11-05T14:21:42 --delay 1 --endMP 300:58941 --enddatetime 2016-11-05T14:34:57 --enforcementcount 0 &gt;&gt;C:\Users\stu\Documents\GitHub\eaglep3-reporting\EC\2016-11-05-refined-times.txt</v>
      </c>
      <c r="AI176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{"issue":{"subject":"","project_id":79,"tracker_id":40,"status_id":1,"priority_id":2,"assigned_to_id":23,"start_date":"2016-11-05","description":"","custom_fields":[{"id":1,"name":"Subdivision","value":"NW"},{"id":4,"name":"Milepost","value":"5.8941"},{"id":17,"name":"Train ID","value":"1817-05"},{"id":16,"name":"Locomotive ID","value":"4003"},{"id":130,"name":"Impact","value":""},{"id":150,"name":"Time of Event (Mountain Time)","value":"14:34:57"},{"id":151,"name":"Denver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428</v>
      </c>
      <c r="B177" s="7">
        <v>4004</v>
      </c>
      <c r="C177" s="22" t="s">
        <v>242</v>
      </c>
      <c r="D177" s="22" t="s">
        <v>693</v>
      </c>
      <c r="E177" s="13">
        <v>42679.608796296299</v>
      </c>
      <c r="F177" s="13">
        <v>42679.610208333332</v>
      </c>
      <c r="G177" s="7">
        <v>1</v>
      </c>
      <c r="H177" s="22" t="s">
        <v>412</v>
      </c>
      <c r="I177" s="13">
        <v>42679.621493055558</v>
      </c>
      <c r="J177" s="7">
        <v>0</v>
      </c>
      <c r="K177" s="112" t="str">
        <f t="shared" si="36"/>
        <v>4003/4004</v>
      </c>
      <c r="L177" s="22" t="str">
        <f>VLOOKUP(A177,'Trips&amp;Operators'!$C$1:$E$10000,3,FALSE)</f>
        <v>ADANE</v>
      </c>
      <c r="M177" s="6">
        <f t="shared" si="37"/>
        <v>1.1284722226264421E-2</v>
      </c>
      <c r="N177" s="7">
        <f t="shared" si="38"/>
        <v>16.250000005820766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13:36:40-0600',mode:absolute,to:'2016-11-05 15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5.8628</v>
      </c>
      <c r="Z177" s="67">
        <f t="shared" si="45"/>
        <v>7.1199999999999999E-2</v>
      </c>
      <c r="AA177" s="67">
        <f t="shared" si="46"/>
        <v>5.7915999999999999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1818-05</v>
      </c>
      <c r="AE177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7" s="88" t="str">
        <f t="shared" si="49"/>
        <v>"C:\Program Files (x86)\AstroGrep\AstroGrep.exe" /spath="%USERPROFILE%\AppData\Local\Temp\OnboardLogs" /stypes="app*4004*20161105*" /stext=" 20:.+((SYSTEM_STATE.+slice.+state.+changed )|(ment ac)|(system.+state.+changed )|(\[timeout)|(PRM\|1\|D)|(kpr)|(kdp)|(\|loc)|(penalty))"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1818-05 --locoid 4004 --swversion DE.1.0.8.0 --startMP 300:58628 --initTime 2016-11-05T14:36:40 --startdatetime 2016-11-05T14:38:42 --delay 1 --endMP 204:712 --enddatetime 2016-11-05T14:54:57 --enforcementcount 0 &gt;&gt;C:\Users\stu\Documents\GitHub\eaglep3-reporting\EC\2016-11-05-refined-times.txt</v>
      </c>
      <c r="AI177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{"issue":{"subject":"","project_id":79,"tracker_id":40,"status_id":1,"priority_id":2,"assigned_to_id":23,"start_date":"2016-11-05","description":"","custom_fields":[{"id":1,"name":"Subdivision","value":"NW"},{"id":4,"name":"Milepost","value":"0.0712"},{"id":17,"name":"Train ID","value":"1818-05"},{"id":16,"name":"Locomotive ID","value":"4004"},{"id":130,"name":"Impact","value":""},{"id":150,"name":"Time of Event (Mountain Time)","value":"14:54:57"},{"id":151,"name":"Denver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430</v>
      </c>
      <c r="B178" s="7">
        <v>4003</v>
      </c>
      <c r="C178" s="22" t="s">
        <v>242</v>
      </c>
      <c r="D178" s="22" t="s">
        <v>694</v>
      </c>
      <c r="E178" s="13">
        <v>42679.623333333337</v>
      </c>
      <c r="F178" s="13">
        <v>42679.640162037038</v>
      </c>
      <c r="G178" s="7">
        <v>0</v>
      </c>
      <c r="H178" s="22" t="s">
        <v>695</v>
      </c>
      <c r="I178" s="13">
        <v>42679.650937500002</v>
      </c>
      <c r="J178" s="7">
        <v>0</v>
      </c>
      <c r="K178" s="112" t="str">
        <f t="shared" si="36"/>
        <v>4003/4004</v>
      </c>
      <c r="L178" s="22" t="str">
        <f>VLOOKUP(A178,'Trips&amp;Operators'!$C$1:$E$10000,3,FALSE)</f>
        <v>ADANE</v>
      </c>
      <c r="M178" s="6">
        <f t="shared" si="37"/>
        <v>1.0775462964375038E-2</v>
      </c>
      <c r="N178" s="7">
        <f t="shared" si="38"/>
        <v>15.516666668700054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13:57:36-0600',mode:absolute,to:'2016-11-05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0.1013</v>
      </c>
      <c r="Z178" s="67">
        <f t="shared" si="45"/>
        <v>5.8968999999999996</v>
      </c>
      <c r="AA178" s="67">
        <f t="shared" si="46"/>
        <v>5.7955999999999994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1819-05</v>
      </c>
      <c r="AE178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78" s="88" t="str">
        <f t="shared" si="49"/>
        <v>"C:\Program Files (x86)\AstroGrep\AstroGrep.exe" /spath="%USERPROFILE%\AppData\Local\Temp\OnboardLogs" /stypes="app*4003*20161105*" /stext=" 21:.+((SYSTEM_STATE.+slice.+state.+changed )|(ment ac)|(system.+state.+changed )|(\[timeout)|(PRM\|1\|D)|(kpr)|(kdp)|(\|loc)|(penalty))"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1819-05 --locoid 4003 --swversion DE.1.0.8.0 --startMP 204:1013 --initTime 2016-11-05T14:57:36 --startdatetime 2016-11-05T15:21:50 --delay 0 --endMP 300:58969 --enddatetime 2016-11-05T15:37:21 --enforcementcount 0 &gt;&gt;C:\Users\stu\Documents\GitHub\eaglep3-reporting\EC\2016-11-05-refined-times.txt</v>
      </c>
      <c r="AI178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{"issue":{"subject":"","project_id":79,"tracker_id":40,"status_id":1,"priority_id":2,"assigned_to_id":23,"start_date":"2016-11-05","description":"","custom_fields":[{"id":1,"name":"Subdivision","value":"NW"},{"id":4,"name":"Milepost","value":"5.8969"},{"id":17,"name":"Train ID","value":"1819-05"},{"id":16,"name":"Locomotive ID","value":"4003"},{"id":130,"name":"Impact","value":""},{"id":150,"name":"Time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432</v>
      </c>
      <c r="B179" s="7">
        <v>4004</v>
      </c>
      <c r="C179" s="22" t="s">
        <v>242</v>
      </c>
      <c r="D179" s="22" t="s">
        <v>696</v>
      </c>
      <c r="E179" s="13">
        <v>42679.651932870373</v>
      </c>
      <c r="F179" s="13">
        <v>42679.65320601852</v>
      </c>
      <c r="G179" s="7">
        <v>1</v>
      </c>
      <c r="H179" s="22" t="s">
        <v>697</v>
      </c>
      <c r="I179" s="13">
        <v>42679.663090277776</v>
      </c>
      <c r="J179" s="7">
        <v>0</v>
      </c>
      <c r="K179" s="112" t="str">
        <f t="shared" si="36"/>
        <v>4003/4004</v>
      </c>
      <c r="L179" s="22" t="str">
        <f>VLOOKUP(A179,'Trips&amp;Operators'!$C$1:$E$10000,3,FALSE)</f>
        <v>ADANE</v>
      </c>
      <c r="M179" s="6">
        <f t="shared" si="37"/>
        <v>9.8842592560686171E-3</v>
      </c>
      <c r="N179" s="7">
        <f t="shared" si="38"/>
        <v>14.233333328738809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14:38:47-0600',mode:absolute,to:'2016-11-05 16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5.8659999999999997</v>
      </c>
      <c r="Z179" s="67">
        <f t="shared" si="45"/>
        <v>6.8500000000000005E-2</v>
      </c>
      <c r="AA179" s="67">
        <f t="shared" si="46"/>
        <v>5.7974999999999994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1820-05</v>
      </c>
      <c r="AE179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79" s="88" t="str">
        <f t="shared" si="49"/>
        <v>"C:\Program Files (x86)\AstroGrep\AstroGrep.exe" /spath="%USERPROFILE%\AppData\Local\Temp\OnboardLogs" /stypes="app*4004*20161105*" /stext=" 21:.+((SYSTEM_STATE.+slice.+state.+changed )|(ment ac)|(system.+state.+changed )|(\[timeout)|(PRM\|1\|D)|(kpr)|(kdp)|(\|loc)|(penalty))"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1820-05 --locoid 4004 --swversion DE.1.0.8.0 --startMP 300:58660 --initTime 2016-11-05T15:38:47 --startdatetime 2016-11-05T15:40:37 --delay 1 --endMP 204:685 --enddatetime 2016-11-05T15:54:51 --enforcementcount 0 &gt;&gt;C:\Users\stu\Documents\GitHub\eaglep3-reporting\EC\2016-11-05-refined-times.txt</v>
      </c>
      <c r="AI17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{"issue":{"subject":"","project_id":79,"tracker_id":40,"status_id":1,"priority_id":2,"assigned_to_id":23,"start_date":"2016-11-05","description":"","custom_fields":[{"id":1,"name":"Subdivision","value":"NW"},{"id":4,"name":"Milepost","value":"0.0685"},{"id":17,"name":"Train ID","value":"1820-05"},{"id":16,"name":"Locomotive ID","value":"4004"},{"id":130,"name":"Impact","value":""},{"id":150,"name":"Time of Event (Mountain Time)","value":"15:54:51"},{"id":151,"name":"Denver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568</v>
      </c>
      <c r="B180" s="7">
        <v>4003</v>
      </c>
      <c r="C180" s="22" t="s">
        <v>242</v>
      </c>
      <c r="D180" s="22" t="s">
        <v>407</v>
      </c>
      <c r="E180" s="13">
        <v>42679.678124999999</v>
      </c>
      <c r="F180" s="13">
        <v>42679.681851851848</v>
      </c>
      <c r="G180" s="7">
        <v>2</v>
      </c>
      <c r="H180" s="22" t="s">
        <v>261</v>
      </c>
      <c r="I180" s="13">
        <v>42679.691817129627</v>
      </c>
      <c r="J180" s="7">
        <v>0</v>
      </c>
      <c r="K180" s="112" t="str">
        <f t="shared" si="36"/>
        <v>4003/4004</v>
      </c>
      <c r="L180" s="22" t="str">
        <f>VLOOKUP(A180,'Trips&amp;Operators'!$C$1:$E$10000,3,FALSE)</f>
        <v>ADANE</v>
      </c>
      <c r="M180" s="6">
        <f t="shared" si="37"/>
        <v>9.9652777789742686E-3</v>
      </c>
      <c r="N180" s="7">
        <f t="shared" si="38"/>
        <v>14.350000001722947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15:16:30-0600',mode:absolute,to:'2016-11-05 17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9.7900000000000001E-2</v>
      </c>
      <c r="Z180" s="67">
        <f t="shared" si="45"/>
        <v>5.8925999999999998</v>
      </c>
      <c r="AA180" s="67">
        <f t="shared" si="46"/>
        <v>5.7946999999999997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1821-05</v>
      </c>
      <c r="AE180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0" s="88" t="str">
        <f t="shared" si="49"/>
        <v>"C:\Program Files (x86)\AstroGrep\AstroGrep.exe" /spath="%USERPROFILE%\AppData\Local\Temp\OnboardLogs" /stypes="app*4003*20161105*" /stext=" 22:.+((SYSTEM_STATE.+slice.+state.+changed )|(ment ac)|(system.+state.+changed )|(\[timeout)|(PRM\|1\|D)|(kpr)|(kdp)|(\|loc)|(penalty))"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1821-05 --locoid 4003 --swversion DE.1.0.8.0 --startMP 204:979 --initTime 2016-11-05T16:16:30 --startdatetime 2016-11-05T16:21:52 --delay 2 --endMP 300:58926 --enddatetime 2016-11-05T16:36:13 --enforcementcount 0 &gt;&gt;C:\Users\stu\Documents\GitHub\eaglep3-reporting\EC\2016-11-05-refined-times.txt</v>
      </c>
      <c r="AI18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{"issue":{"subject":"","project_id":79,"tracker_id":40,"status_id":1,"priority_id":2,"assigned_to_id":23,"start_date":"2016-11-05","description":"","custom_fields":[{"id":1,"name":"Subdivision","value":"NW"},{"id":4,"name":"Milepost","value":"5.8926"},{"id":17,"name":"Train ID","value":"1821-05"},{"id":16,"name":"Locomotive ID","value":"4003"},{"id":130,"name":"Impact","value":""},{"id":150,"name":"Time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575</v>
      </c>
      <c r="B181" s="7">
        <v>4004</v>
      </c>
      <c r="C181" s="22" t="s">
        <v>242</v>
      </c>
      <c r="D181" s="22" t="s">
        <v>320</v>
      </c>
      <c r="E181" s="13">
        <v>42679.693483796298</v>
      </c>
      <c r="F181" s="13">
        <v>42679.695509259262</v>
      </c>
      <c r="G181" s="7">
        <v>1</v>
      </c>
      <c r="H181" s="22" t="s">
        <v>698</v>
      </c>
      <c r="I181" s="13">
        <v>42679.704687500001</v>
      </c>
      <c r="J181" s="7">
        <v>0</v>
      </c>
      <c r="K181" s="112" t="str">
        <f t="shared" si="36"/>
        <v>4003/4004</v>
      </c>
      <c r="L181" s="22" t="str">
        <f>VLOOKUP(A181,'Trips&amp;Operators'!$C$1:$E$10000,3,FALSE)</f>
        <v>LOZA</v>
      </c>
      <c r="M181" s="6">
        <f t="shared" si="37"/>
        <v>9.1782407398568466E-3</v>
      </c>
      <c r="N181" s="7">
        <f t="shared" si="38"/>
        <v>13.216666665393859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15:38:37-0600',mode:absolute,to:'2016-11-05 17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5.8611000000000004</v>
      </c>
      <c r="Z181" s="67">
        <f t="shared" si="45"/>
        <v>6.8699999999999997E-2</v>
      </c>
      <c r="AA181" s="67">
        <f t="shared" si="46"/>
        <v>5.7924000000000007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1822-05</v>
      </c>
      <c r="AE181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1" s="88" t="str">
        <f t="shared" si="49"/>
        <v>"C:\Program Files (x86)\AstroGrep\AstroGrep.exe" /spath="%USERPROFILE%\AppData\Local\Temp\OnboardLogs" /stypes="app*4004*20161105*" /stext=" 22:.+((SYSTEM_STATE.+slice.+state.+changed )|(ment ac)|(system.+state.+changed )|(\[timeout)|(PRM\|1\|D)|(kpr)|(kdp)|(\|loc)|(penalty))"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1822-05 --locoid 4004 --swversion DE.1.0.8.0 --startMP 300:58611 --initTime 2016-11-05T16:38:37 --startdatetime 2016-11-05T16:41:32 --delay 1 --endMP 204:687 --enddatetime 2016-11-05T16:54:45 --enforcementcount 0 &gt;&gt;C:\Users\stu\Documents\GitHub\eaglep3-reporting\EC\2016-11-05-refined-times.txt</v>
      </c>
      <c r="AI18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{"issue":{"subject":"","project_id":79,"tracker_id":40,"status_id":1,"priority_id":2,"assigned_to_id":23,"start_date":"2016-11-05","description":"","custom_fields":[{"id":1,"name":"Subdivision","value":"NW"},{"id":4,"name":"Milepost","value":"0.0687"},{"id":17,"name":"Train ID","value":"1822-05"},{"id":16,"name":"Locomotive ID","value":"4004"},{"id":130,"name":"Impact","value":""},{"id":150,"name":"Time of Event (Mountain Time)","value":"16:54:45"},{"id":151,"name":"Denver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580</v>
      </c>
      <c r="B182" s="7">
        <v>4003</v>
      </c>
      <c r="C182" s="22" t="s">
        <v>242</v>
      </c>
      <c r="D182" s="22" t="s">
        <v>699</v>
      </c>
      <c r="E182" s="13">
        <v>42679.718564814815</v>
      </c>
      <c r="F182" s="13">
        <v>42679.72320601852</v>
      </c>
      <c r="G182" s="7">
        <v>1</v>
      </c>
      <c r="H182" s="22" t="s">
        <v>700</v>
      </c>
      <c r="I182" s="13">
        <v>42679.732673611114</v>
      </c>
      <c r="J182" s="7">
        <v>0</v>
      </c>
      <c r="K182" s="112" t="str">
        <f t="shared" si="36"/>
        <v>4003/4004</v>
      </c>
      <c r="L182" s="22" t="str">
        <f>VLOOKUP(A182,'Trips&amp;Operators'!$C$1:$E$10000,3,FALSE)</f>
        <v>LOZA</v>
      </c>
      <c r="M182" s="6">
        <f t="shared" si="37"/>
        <v>9.4675925938645378E-3</v>
      </c>
      <c r="N182" s="7">
        <f t="shared" si="38"/>
        <v>13.633333335164934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16:14:44-0600',mode:absolute,to:'2016-11-05 18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9.6000000000000002E-2</v>
      </c>
      <c r="Z182" s="67">
        <f t="shared" si="45"/>
        <v>5.8933</v>
      </c>
      <c r="AA182" s="67">
        <f t="shared" si="46"/>
        <v>5.7972999999999999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1823-05</v>
      </c>
      <c r="AE182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2" s="88" t="str">
        <f t="shared" si="49"/>
        <v>"C:\Program Files (x86)\AstroGrep\AstroGrep.exe" /spath="%USERPROFILE%\AppData\Local\Temp\OnboardLogs" /stypes="app*4003*20161105*" /stext=" 23:.+((SYSTEM_STATE.+slice.+state.+changed )|(ment ac)|(system.+state.+changed )|(\[timeout)|(PRM\|1\|D)|(kpr)|(kdp)|(\|loc)|(penalty))"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1823-05 --locoid 4003 --swversion DE.1.0.8.0 --startMP 204:960 --initTime 2016-11-05T17:14:44 --startdatetime 2016-11-05T17:21:25 --delay 1 --endMP 300:58933 --enddatetime 2016-11-05T17:35:03 --enforcementcount 0 &gt;&gt;C:\Users\stu\Documents\GitHub\eaglep3-reporting\EC\2016-11-05-refined-times.txt</v>
      </c>
      <c r="AI18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{"issue":{"subject":"","project_id":79,"tracker_id":40,"status_id":1,"priority_id":2,"assigned_to_id":23,"start_date":"2016-11-05","description":"","custom_fields":[{"id":1,"name":"Subdivision","value":"NW"},{"id":4,"name":"Milepost","value":"5.8933"},{"id":17,"name":"Train ID","value":"1823-05"},{"id":16,"name":"Locomotive ID","value":"4003"},{"id":130,"name":"Impact","value":""},{"id":150,"name":"Time of Event (Mountain Time)","value":"17:35:03"},{"id":151,"name":"Denver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585</v>
      </c>
      <c r="B183" s="7">
        <v>4004</v>
      </c>
      <c r="C183" s="22" t="s">
        <v>242</v>
      </c>
      <c r="D183" s="22" t="s">
        <v>320</v>
      </c>
      <c r="E183" s="13">
        <v>42679.7341087963</v>
      </c>
      <c r="F183" s="13">
        <v>42679.736655092594</v>
      </c>
      <c r="G183" s="7">
        <v>1</v>
      </c>
      <c r="H183" s="22" t="s">
        <v>701</v>
      </c>
      <c r="I183" s="13">
        <v>42679.746562499997</v>
      </c>
      <c r="J183" s="7">
        <v>0</v>
      </c>
      <c r="K183" s="112" t="str">
        <f t="shared" si="36"/>
        <v>4003/4004</v>
      </c>
      <c r="L183" s="22" t="str">
        <f>VLOOKUP(A183,'Trips&amp;Operators'!$C$1:$E$10000,3,FALSE)</f>
        <v>LOZA</v>
      </c>
      <c r="M183" s="6">
        <f t="shared" si="37"/>
        <v>9.9074074023519643E-3</v>
      </c>
      <c r="N183" s="7">
        <f t="shared" si="38"/>
        <v>14.266666659386829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16:37:07-0600',mode:absolute,to:'2016-11-05 18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5.8611000000000004</v>
      </c>
      <c r="Z183" s="67">
        <f t="shared" si="45"/>
        <v>7.0099999999999996E-2</v>
      </c>
      <c r="AA183" s="67">
        <f t="shared" si="46"/>
        <v>5.7910000000000004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1824-05</v>
      </c>
      <c r="AE183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3" s="88" t="str">
        <f t="shared" si="49"/>
        <v>"C:\Program Files (x86)\AstroGrep\AstroGrep.exe" /spath="%USERPROFILE%\AppData\Local\Temp\OnboardLogs" /stypes="app*4004*20161105*" /stext=" 23:.+((SYSTEM_STATE.+slice.+state.+changed )|(ment ac)|(system.+state.+changed )|(\[timeout)|(PRM\|1\|D)|(kpr)|(kdp)|(\|loc)|(penalty))"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1824-05 --locoid 4004 --swversion DE.1.0.8.0 --startMP 300:58611 --initTime 2016-11-05T17:37:07 --startdatetime 2016-11-05T17:40:47 --delay 1 --endMP 204:701 --enddatetime 2016-11-05T17:55:03 --enforcementcount 0 &gt;&gt;C:\Users\stu\Documents\GitHub\eaglep3-reporting\EC\2016-11-05-refined-times.txt</v>
      </c>
      <c r="AI18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{"issue":{"subject":"","project_id":79,"tracker_id":40,"status_id":1,"priority_id":2,"assigned_to_id":23,"start_date":"2016-11-05","description":"","custom_fields":[{"id":1,"name":"Subdivision","value":"NW"},{"id":4,"name":"Milepost","value":"0.0701"},{"id":17,"name":"Train ID","value":"1824-05"},{"id":16,"name":"Locomotive ID","value":"4004"},{"id":130,"name":"Impact","value":""},{"id":150,"name":"Time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592</v>
      </c>
      <c r="B184" s="7">
        <v>4003</v>
      </c>
      <c r="C184" s="22" t="s">
        <v>242</v>
      </c>
      <c r="D184" s="22" t="s">
        <v>347</v>
      </c>
      <c r="E184" s="13">
        <v>42679.760138888887</v>
      </c>
      <c r="F184" s="13">
        <v>42679.765092592592</v>
      </c>
      <c r="G184" s="7">
        <v>2</v>
      </c>
      <c r="H184" s="22" t="s">
        <v>695</v>
      </c>
      <c r="I184" s="13">
        <v>42679.774837962963</v>
      </c>
      <c r="J184" s="7">
        <v>0</v>
      </c>
      <c r="K184" s="112" t="str">
        <f t="shared" si="36"/>
        <v>4003/4004</v>
      </c>
      <c r="L184" s="22" t="str">
        <f>VLOOKUP(A184,'Trips&amp;Operators'!$C$1:$E$10000,3,FALSE)</f>
        <v>ADANE</v>
      </c>
      <c r="M184" s="6">
        <f t="shared" si="37"/>
        <v>9.7453703710925765E-3</v>
      </c>
      <c r="N184" s="7">
        <f t="shared" si="38"/>
        <v>14.03333333437331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17:14:36-0600',mode:absolute,to:'2016-11-05 19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9.9199999999999997E-2</v>
      </c>
      <c r="Z184" s="67">
        <f t="shared" si="45"/>
        <v>5.8968999999999996</v>
      </c>
      <c r="AA184" s="67">
        <f t="shared" si="46"/>
        <v>5.7976999999999999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1825-05</v>
      </c>
      <c r="AE184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4" s="88" t="str">
        <f t="shared" si="49"/>
        <v>"C:\Program Files (x86)\AstroGrep\AstroGrep.exe" /spath="%USERPROFILE%\AppData\Local\Temp\OnboardLogs" /stypes="app*4003*20161106*" /stext=" 00:.+((SYSTEM_STATE.+slice.+state.+changed )|(ment ac)|(system.+state.+changed )|(\[timeout)|(PRM\|1\|D)|(kpr)|(kdp)|(\|loc)|(penalty))"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1825-05 --locoid 4003 --swversion DE.1.0.8.0 --startMP 204:992 --initTime 2016-11-05T18:14:36 --startdatetime 2016-11-05T18:21:44 --delay 2 --endMP 300:58969 --enddatetime 2016-11-05T18:35:46 --enforcementcount 0 &gt;&gt;C:\Users\stu\Documents\GitHub\eaglep3-reporting\EC\2016-11-05-refined-times.txt</v>
      </c>
      <c r="AI184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{"issue":{"subject":"","project_id":79,"tracker_id":40,"status_id":1,"priority_id":2,"assigned_to_id":23,"start_date":"2016-11-05","description":"","custom_fields":[{"id":1,"name":"Subdivision","value":"NW"},{"id":4,"name":"Milepost","value":"5.8969"},{"id":17,"name":"Train ID","value":"1825-05"},{"id":16,"name":"Locomotive ID","value":"4003"},{"id":130,"name":"Impact","value":""},{"id":150,"name":"Time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437</v>
      </c>
      <c r="B185" s="7">
        <v>4004</v>
      </c>
      <c r="C185" s="22" t="s">
        <v>242</v>
      </c>
      <c r="D185" s="22" t="s">
        <v>702</v>
      </c>
      <c r="E185" s="13">
        <v>42679.786874999998</v>
      </c>
      <c r="F185" s="13">
        <v>42679.787615740737</v>
      </c>
      <c r="G185" s="7">
        <v>1</v>
      </c>
      <c r="H185" s="22" t="s">
        <v>414</v>
      </c>
      <c r="I185" s="13">
        <v>42679.794803240744</v>
      </c>
      <c r="J185" s="7">
        <v>1</v>
      </c>
      <c r="K185" s="112" t="str">
        <f t="shared" si="36"/>
        <v>4003/4004</v>
      </c>
      <c r="L185" s="22" t="str">
        <f>VLOOKUP(A185,'Trips&amp;Operators'!$C$1:$E$10000,3,FALSE)</f>
        <v>ADANE</v>
      </c>
      <c r="M185" s="6">
        <f t="shared" si="37"/>
        <v>7.187500006693881E-3</v>
      </c>
      <c r="N185" s="7"/>
      <c r="O185" s="7"/>
      <c r="P185" s="7">
        <f>24*60*SUM($M185:$M186)</f>
        <v>22.750000006053597</v>
      </c>
      <c r="Q185" s="23"/>
      <c r="R185" s="23" t="s">
        <v>774</v>
      </c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17:53:06-0600',mode:absolute,to:'2016-11-05 20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2" t="str">
        <f t="shared" si="42"/>
        <v>Y</v>
      </c>
      <c r="X185" s="177">
        <f t="shared" si="43"/>
        <v>1</v>
      </c>
      <c r="Y185" s="67">
        <f t="shared" si="44"/>
        <v>2.2090000000000001</v>
      </c>
      <c r="Z185" s="67">
        <f t="shared" si="45"/>
        <v>6.5699999999999995E-2</v>
      </c>
      <c r="AA185" s="67">
        <f t="shared" si="46"/>
        <v>2.1433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1826-05</v>
      </c>
      <c r="AE185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5" s="88" t="str">
        <f t="shared" si="49"/>
        <v>"C:\Program Files (x86)\AstroGrep\AstroGrep.exe" /spath="%USERPROFILE%\AppData\Local\Temp\OnboardLogs" /stypes="app*4004*20161106*" /stext=" 01:.+((SYSTEM_STATE.+slice.+state.+changed )|(ment ac)|(system.+state.+changed )|(\[timeout)|(PRM\|1\|D)|(kpr)|(kdp)|(\|loc)|(penalty))"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1826-05 --locoid 4004 --swversion DE.1.0.8.0 --startMP 300:22090 --initTime 2016-11-05T18:53:06 --startdatetime 2016-11-05T18:54:10 --delay 1 --endMP 204:657 --enddatetime 2016-11-05T19:04:31 --enforcementcount 1 &gt;&gt;C:\Users\stu\Documents\GitHub\eaglep3-reporting\EC\2016-11-05-refined-times.txt</v>
      </c>
      <c r="AI185" s="122" t="str">
        <f t="shared" si="52"/>
        <v>echo {"issue":{"subject":"No clear controls sent to CRMFN 2S","project_id":79,"tracker_id":40,"status_id":1,"priority_id":2,"assigned_to_id":23,"start_date":"2016-11-05","description":"No clear controls sent to CRMFN 2S from 18:47:49.554 - 19:41:25.708 - were there special traffic conditions that prevented this?","custom_fields":[{"id":1,"name":"Subdivision","value":"NW"},{"id":4,"name":"Milepost","value":"0.0657"},{"id":17,"name":"Train ID","value":"1826-05"},{"id":16,"name":"Locomotive ID","value":"4004"},{"id":130,"name":"Impact","value":"Unexpected Cut-Out or Disengaged"},{"id":150,"name":"Time of Event (Mountain Time)","value":"19:04:31"},{"id":151,"name":"Denver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85" s="53" t="s">
        <v>775</v>
      </c>
      <c r="AK185" s="53" t="s">
        <v>131</v>
      </c>
      <c r="AL185" s="53" t="s">
        <v>134</v>
      </c>
    </row>
    <row r="186" spans="1:91" x14ac:dyDescent="0.25">
      <c r="A186" s="37" t="s">
        <v>437</v>
      </c>
      <c r="B186" s="7">
        <v>4004</v>
      </c>
      <c r="C186" s="22" t="s">
        <v>242</v>
      </c>
      <c r="D186" s="22" t="s">
        <v>703</v>
      </c>
      <c r="E186" s="13">
        <v>42679.776273148149</v>
      </c>
      <c r="F186" s="13">
        <v>42679.777245370373</v>
      </c>
      <c r="G186" s="7">
        <v>1</v>
      </c>
      <c r="H186" s="22" t="s">
        <v>704</v>
      </c>
      <c r="I186" s="13">
        <v>42679.785856481481</v>
      </c>
      <c r="J186" s="7">
        <v>0</v>
      </c>
      <c r="K186" s="112" t="str">
        <f t="shared" si="36"/>
        <v>4003/4004</v>
      </c>
      <c r="L186" s="22" t="str">
        <f>VLOOKUP(A186,'Trips&amp;Operators'!$C$1:$E$10000,3,FALSE)</f>
        <v>ADANE</v>
      </c>
      <c r="M186" s="6">
        <f t="shared" si="37"/>
        <v>8.6111111086211167E-3</v>
      </c>
      <c r="N186" s="7"/>
      <c r="O186" s="7"/>
      <c r="P186" s="7"/>
      <c r="Q186" s="23"/>
      <c r="R186" s="23"/>
      <c r="S186" s="35"/>
      <c r="T186" s="50" t="str">
        <f t="shared" si="40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17:37:50-0600',mode:absolute,to:'2016-11-05 19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6" s="52" t="str">
        <f t="shared" si="42"/>
        <v>Y</v>
      </c>
      <c r="X186" s="177">
        <f t="shared" si="43"/>
        <v>0</v>
      </c>
      <c r="Y186" s="67">
        <f t="shared" si="44"/>
        <v>5.8653000000000004</v>
      </c>
      <c r="Z186" s="67">
        <f t="shared" si="45"/>
        <v>2.4775</v>
      </c>
      <c r="AA186" s="67">
        <f t="shared" si="46"/>
        <v>3.3878000000000004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1826-05</v>
      </c>
      <c r="AE186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6" s="88" t="str">
        <f t="shared" si="49"/>
        <v>"C:\Program Files (x86)\AstroGrep\AstroGrep.exe" /spath="%USERPROFILE%\AppData\Local\Temp\OnboardLogs" /stypes="app*4004*20161106*" /stext=" 00:.+((SYSTEM_STATE.+slice.+state.+changed )|(ment ac)|(system.+state.+changed )|(\[timeout)|(PRM\|1\|D)|(kpr)|(kdp)|(\|loc)|(penalty))"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1826-05 --locoid 4004 --swversion DE.1.0.8.0 --startMP 300:58653 --initTime 2016-11-05T18:37:50 --startdatetime 2016-11-05T18:39:14 --delay 1 --endMP 300:24775 --enddatetime 2016-11-05T18:51:38 --enforcementcount 0 &gt;&gt;C:\Users\stu\Documents\GitHub\eaglep3-reporting\EC\2016-11-05-refined-times.txt</v>
      </c>
      <c r="AI186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{"issue":{"subject":"","project_id":79,"tracker_id":40,"status_id":1,"priority_id":2,"assigned_to_id":23,"start_date":"2016-11-05","description":"","custom_fields":[{"id":1,"name":"Subdivision","value":"NW"},{"id":4,"name":"Milepost","value":"2.4775"},{"id":17,"name":"Train ID","value":"1826-05"},{"id":16,"name":"Locomotive ID","value":"4004"},{"id":130,"name":"Impact","value":""},{"id":150,"name":"Time of Event (Mountain Time)","value":"18:51:38"},{"id":151,"name":"Denver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599</v>
      </c>
      <c r="B187" s="7">
        <v>4003</v>
      </c>
      <c r="C187" s="22" t="s">
        <v>242</v>
      </c>
      <c r="D187" s="22" t="s">
        <v>705</v>
      </c>
      <c r="E187" s="13">
        <v>42679.804201388892</v>
      </c>
      <c r="F187" s="13">
        <v>42679.806608796294</v>
      </c>
      <c r="G187" s="7">
        <v>1</v>
      </c>
      <c r="H187" s="22" t="s">
        <v>706</v>
      </c>
      <c r="I187" s="13">
        <v>42679.816087962965</v>
      </c>
      <c r="J187" s="7">
        <v>0</v>
      </c>
      <c r="K187" s="112" t="str">
        <f t="shared" si="36"/>
        <v>4003/4004</v>
      </c>
      <c r="L187" s="22" t="str">
        <f>VLOOKUP(A187,'Trips&amp;Operators'!$C$1:$E$10000,3,FALSE)</f>
        <v>ADANE</v>
      </c>
      <c r="M187" s="6">
        <f t="shared" si="37"/>
        <v>9.4791666706441902E-3</v>
      </c>
      <c r="N187" s="7">
        <f t="shared" si="38"/>
        <v>13.650000005727634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18:18:03-0600',mode:absolute,to:'2016-11-05 20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9.5100000000000004E-2</v>
      </c>
      <c r="Z187" s="67">
        <f t="shared" si="45"/>
        <v>5.8993000000000002</v>
      </c>
      <c r="AA187" s="67">
        <f t="shared" si="46"/>
        <v>5.8041999999999998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1827-05</v>
      </c>
      <c r="AE187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7" s="88" t="str">
        <f t="shared" si="49"/>
        <v>"C:\Program Files (x86)\AstroGrep\AstroGrep.exe" /spath="%USERPROFILE%\AppData\Local\Temp\OnboardLogs" /stypes="app*4003*20161106*" /stext=" 01:.+((SYSTEM_STATE.+slice.+state.+changed )|(ment ac)|(system.+state.+changed )|(\[timeout)|(PRM\|1\|D)|(kpr)|(kdp)|(\|loc)|(penalty))"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1827-05 --locoid 4003 --swversion DE.1.0.8.0 --startMP 204:951 --initTime 2016-11-05T19:18:03 --startdatetime 2016-11-05T19:21:31 --delay 1 --endMP 300:58993 --enddatetime 2016-11-05T19:35:10 --enforcementcount 0 &gt;&gt;C:\Users\stu\Documents\GitHub\eaglep3-reporting\EC\2016-11-05-refined-times.txt</v>
      </c>
      <c r="AI187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{"issue":{"subject":"","project_id":79,"tracker_id":40,"status_id":1,"priority_id":2,"assigned_to_id":23,"start_date":"2016-11-05","description":"","custom_fields":[{"id":1,"name":"Subdivision","value":"NW"},{"id":4,"name":"Milepost","value":"5.8993"},{"id":17,"name":"Train ID","value":"1827-05"},{"id":16,"name":"Locomotive ID","value":"4003"},{"id":130,"name":"Impact","value":""},{"id":150,"name":"Time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602</v>
      </c>
      <c r="B188" s="7">
        <v>4004</v>
      </c>
      <c r="C188" s="22" t="s">
        <v>242</v>
      </c>
      <c r="D188" s="22" t="s">
        <v>707</v>
      </c>
      <c r="E188" s="13">
        <v>42679.817349537036</v>
      </c>
      <c r="F188" s="13">
        <v>42679.819120370368</v>
      </c>
      <c r="G188" s="7">
        <v>1</v>
      </c>
      <c r="H188" s="22" t="s">
        <v>708</v>
      </c>
      <c r="I188" s="13">
        <v>42679.830960648149</v>
      </c>
      <c r="J188" s="7">
        <v>0</v>
      </c>
      <c r="K188" s="112" t="str">
        <f t="shared" si="36"/>
        <v>4003/4004</v>
      </c>
      <c r="L188" s="22" t="str">
        <f>VLOOKUP(A188,'Trips&amp;Operators'!$C$1:$E$10000,3,FALSE)</f>
        <v>ADANE</v>
      </c>
      <c r="M188" s="6">
        <f t="shared" si="37"/>
        <v>1.1840277780720498E-2</v>
      </c>
      <c r="N188" s="7">
        <f t="shared" si="38"/>
        <v>17.050000004237518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18:36:59-0600',mode:absolute,to:'2016-11-05 20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5.8666</v>
      </c>
      <c r="Z188" s="67">
        <f t="shared" si="45"/>
        <v>6.54E-2</v>
      </c>
      <c r="AA188" s="67">
        <f t="shared" si="46"/>
        <v>5.8011999999999997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1828-05</v>
      </c>
      <c r="AE188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88" s="88" t="str">
        <f t="shared" si="49"/>
        <v>"C:\Program Files (x86)\AstroGrep\AstroGrep.exe" /spath="%USERPROFILE%\AppData\Local\Temp\OnboardLogs" /stypes="app*4004*20161106*" /stext=" 01:.+((SYSTEM_STATE.+slice.+state.+changed )|(ment ac)|(system.+state.+changed )|(\[timeout)|(PRM\|1\|D)|(kpr)|(kdp)|(\|loc)|(penalty))"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1828-05 --locoid 4004 --swversion DE.1.0.8.0 --startMP 300:58666 --initTime 2016-11-05T19:36:59 --startdatetime 2016-11-05T19:39:32 --delay 1 --endMP 204:654 --enddatetime 2016-11-05T19:56:35 --enforcementcount 0 &gt;&gt;C:\Users\stu\Documents\GitHub\eaglep3-reporting\EC\2016-11-05-refined-times.txt</v>
      </c>
      <c r="AI188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{"issue":{"subject":"","project_id":79,"tracker_id":40,"status_id":1,"priority_id":2,"assigned_to_id":23,"start_date":"2016-11-05","description":"","custom_fields":[{"id":1,"name":"Subdivision","value":"NW"},{"id":4,"name":"Milepost","value":"0.0654"},{"id":17,"name":"Train ID","value":"1828-05"},{"id":16,"name":"Locomotive ID","value":"4004"},{"id":130,"name":"Impact","value":""},{"id":150,"name":"Time of Event (Mountain Time)","value":"19:56:35"},{"id":151,"name":"Denver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604</v>
      </c>
      <c r="B189" s="7">
        <v>4003</v>
      </c>
      <c r="C189" s="22" t="s">
        <v>242</v>
      </c>
      <c r="D189" s="22" t="s">
        <v>705</v>
      </c>
      <c r="E189" s="13">
        <v>42679.849953703706</v>
      </c>
      <c r="F189" s="13">
        <v>42679.851527777777</v>
      </c>
      <c r="G189" s="7">
        <v>0</v>
      </c>
      <c r="H189" s="22" t="s">
        <v>346</v>
      </c>
      <c r="I189" s="13">
        <v>42679.861157407409</v>
      </c>
      <c r="J189" s="7">
        <v>0</v>
      </c>
      <c r="K189" s="112" t="str">
        <f t="shared" si="36"/>
        <v>4003/4004</v>
      </c>
      <c r="L189" s="22" t="str">
        <f>VLOOKUP(A189,'Trips&amp;Operators'!$C$1:$E$10000,3,FALSE)</f>
        <v>ADANE</v>
      </c>
      <c r="M189" s="6">
        <f t="shared" si="37"/>
        <v>9.6296296323998831E-3</v>
      </c>
      <c r="N189" s="7">
        <f t="shared" si="38"/>
        <v>13.866666670655832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19:23:56-0600',mode:absolute,to:'2016-11-05 21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9.5100000000000004E-2</v>
      </c>
      <c r="Z189" s="67">
        <f t="shared" si="45"/>
        <v>5.8983999999999996</v>
      </c>
      <c r="AA189" s="67">
        <f t="shared" si="46"/>
        <v>5.8032999999999992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1829-05</v>
      </c>
      <c r="AE189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89" s="88" t="str">
        <f t="shared" si="49"/>
        <v>"C:\Program Files (x86)\AstroGrep\AstroGrep.exe" /spath="%USERPROFILE%\AppData\Local\Temp\OnboardLogs" /stypes="app*4003*20161106*" /stext=" 02:.+((SYSTEM_STATE.+slice.+state.+changed )|(ment ac)|(system.+state.+changed )|(\[timeout)|(PRM\|1\|D)|(kpr)|(kdp)|(\|loc)|(penalty))"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1829-05 --locoid 4003 --swversion DE.1.0.8.0 --startMP 204:951 --initTime 2016-11-05T20:23:56 --startdatetime 2016-11-05T20:26:12 --delay 0 --endMP 300:58984 --enddatetime 2016-11-05T20:40:04 --enforcementcount 0 &gt;&gt;C:\Users\stu\Documents\GitHub\eaglep3-reporting\EC\2016-11-05-refined-times.txt</v>
      </c>
      <c r="AI189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{"issue":{"subject":"","project_id":79,"tracker_id":40,"status_id":1,"priority_id":2,"assigned_to_id":23,"start_date":"2016-11-05","description":"","custom_fields":[{"id":1,"name":"Subdivision","value":"NW"},{"id":4,"name":"Milepost","value":"5.8984"},{"id":17,"name":"Train ID","value":"1829-05"},{"id":16,"name":"Locomotive ID","value":"4003"},{"id":130,"name":"Impact","value":""},{"id":150,"name":"Time of Event (Mountain Time)","value":"20:40:04"},{"id":151,"name":"Denver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440</v>
      </c>
      <c r="B190" s="7">
        <v>4004</v>
      </c>
      <c r="C190" s="22" t="s">
        <v>242</v>
      </c>
      <c r="D190" s="22" t="s">
        <v>707</v>
      </c>
      <c r="E190" s="13">
        <v>42679.862824074073</v>
      </c>
      <c r="F190" s="13">
        <v>42679.86409722222</v>
      </c>
      <c r="G190" s="7">
        <v>1</v>
      </c>
      <c r="H190" s="22" t="s">
        <v>709</v>
      </c>
      <c r="I190" s="13">
        <v>42679.872847222221</v>
      </c>
      <c r="J190" s="7">
        <v>0</v>
      </c>
      <c r="K190" s="112" t="str">
        <f t="shared" si="36"/>
        <v>4003/4004</v>
      </c>
      <c r="L190" s="22" t="str">
        <f>VLOOKUP(A190,'Trips&amp;Operators'!$C$1:$E$10000,3,FALSE)</f>
        <v>ADANE</v>
      </c>
      <c r="M190" s="6">
        <f t="shared" si="37"/>
        <v>8.7500000008731149E-3</v>
      </c>
      <c r="N190" s="7">
        <f t="shared" si="38"/>
        <v>12.600000001257285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19:42:28-0600',mode:absolute,to:'2016-11-05 21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5.8666</v>
      </c>
      <c r="Z190" s="67">
        <f t="shared" si="45"/>
        <v>6.5600000000000006E-2</v>
      </c>
      <c r="AA190" s="67">
        <f t="shared" si="46"/>
        <v>5.8010000000000002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1830-05</v>
      </c>
      <c r="AE190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90" s="88" t="str">
        <f t="shared" si="49"/>
        <v>"C:\Program Files (x86)\AstroGrep\AstroGrep.exe" /spath="%USERPROFILE%\AppData\Local\Temp\OnboardLogs" /stypes="app*4004*20161106*" /stext=" 02:.+((SYSTEM_STATE.+slice.+state.+changed )|(ment ac)|(system.+state.+changed )|(\[timeout)|(PRM\|1\|D)|(kpr)|(kdp)|(\|loc)|(penalty))"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1830-05 --locoid 4004 --swversion DE.1.0.8.0 --startMP 300:58666 --initTime 2016-11-05T20:42:28 --startdatetime 2016-11-05T20:44:18 --delay 1 --endMP 204:656 --enddatetime 2016-11-05T20:56:54 --enforcementcount 0 &gt;&gt;C:\Users\stu\Documents\GitHub\eaglep3-reporting\EC\2016-11-05-refined-times.txt</v>
      </c>
      <c r="AI190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{"issue":{"subject":"","project_id":79,"tracker_id":40,"status_id":1,"priority_id":2,"assigned_to_id":23,"start_date":"2016-11-05","description":"","custom_fields":[{"id":1,"name":"Subdivision","value":"NW"},{"id":4,"name":"Milepost","value":"0.0656"},{"id":17,"name":"Train ID","value":"1830-05"},{"id":16,"name":"Locomotive ID","value":"4004"},{"id":130,"name":"Impact","value":""},{"id":150,"name":"Time of Event (Mountain Time)","value":"20:56:54"},{"id":151,"name":"Denver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611</v>
      </c>
      <c r="B191" s="7">
        <v>4003</v>
      </c>
      <c r="C191" s="22" t="s">
        <v>242</v>
      </c>
      <c r="D191" s="22" t="s">
        <v>710</v>
      </c>
      <c r="E191" s="13">
        <v>42679.886365740742</v>
      </c>
      <c r="F191" s="13">
        <v>42679.903611111113</v>
      </c>
      <c r="G191" s="7">
        <v>2</v>
      </c>
      <c r="H191" s="22" t="s">
        <v>711</v>
      </c>
      <c r="I191" s="13">
        <v>42679.913495370369</v>
      </c>
      <c r="J191" s="7">
        <v>0</v>
      </c>
      <c r="K191" s="112" t="str">
        <f t="shared" si="36"/>
        <v>4003/4004</v>
      </c>
      <c r="L191" s="22" t="str">
        <f>VLOOKUP(A191,'Trips&amp;Operators'!$C$1:$E$10000,3,FALSE)</f>
        <v>ADANE</v>
      </c>
      <c r="M191" s="6">
        <f t="shared" si="37"/>
        <v>9.8842592560686171E-3</v>
      </c>
      <c r="N191" s="7">
        <f t="shared" si="38"/>
        <v>14.233333328738809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20:16:22-0600',mode:absolute,to:'2016-11-05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9.5799999999999996E-2</v>
      </c>
      <c r="Z191" s="67">
        <f t="shared" si="45"/>
        <v>5.8979999999999997</v>
      </c>
      <c r="AA191" s="67">
        <f t="shared" si="46"/>
        <v>5.8022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1831-05</v>
      </c>
      <c r="AE191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91" s="88" t="str">
        <f t="shared" si="49"/>
        <v>"C:\Program Files (x86)\AstroGrep\AstroGrep.exe" /spath="%USERPROFILE%\AppData\Local\Temp\OnboardLogs" /stypes="app*4003*20161106*" /stext=" 03:.+((SYSTEM_STATE.+slice.+state.+changed )|(ment ac)|(system.+state.+changed )|(\[timeout)|(PRM\|1\|D)|(kpr)|(kdp)|(\|loc)|(penalty))"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1831-05 --locoid 4003 --swversion DE.1.0.8.0 --startMP 204:958 --initTime 2016-11-05T21:16:22 --startdatetime 2016-11-05T21:41:12 --delay 2 --endMP 300:58980 --enddatetime 2016-11-05T21:55:26 --enforcementcount 0 &gt;&gt;C:\Users\stu\Documents\GitHub\eaglep3-reporting\EC\2016-11-05-refined-times.txt</v>
      </c>
      <c r="AI191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{"issue":{"subject":"","project_id":79,"tracker_id":40,"status_id":1,"priority_id":2,"assigned_to_id":23,"start_date":"2016-11-05","description":"","custom_fields":[{"id":1,"name":"Subdivision","value":"NW"},{"id":4,"name":"Milepost","value":"5.898"},{"id":17,"name":"Train ID","value":"1831-05"},{"id":16,"name":"Locomotive ID","value":"4003"},{"id":130,"name":"Impact","value":""},{"id":150,"name":"Time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441</v>
      </c>
      <c r="B192" s="7">
        <v>4004</v>
      </c>
      <c r="C192" s="22" t="s">
        <v>242</v>
      </c>
      <c r="D192" s="22" t="s">
        <v>707</v>
      </c>
      <c r="E192" s="13">
        <v>42679.902442129627</v>
      </c>
      <c r="F192" s="13">
        <v>42679.903611111113</v>
      </c>
      <c r="G192" s="7">
        <v>1</v>
      </c>
      <c r="H192" s="22" t="s">
        <v>712</v>
      </c>
      <c r="I192" s="13">
        <v>42679.913495370369</v>
      </c>
      <c r="J192" s="7">
        <v>0</v>
      </c>
      <c r="K192" s="112" t="str">
        <f t="shared" si="36"/>
        <v>4003/4004</v>
      </c>
      <c r="L192" s="22" t="str">
        <f>VLOOKUP(A192,'Trips&amp;Operators'!$C$1:$E$10000,3,FALSE)</f>
        <v>ADANE</v>
      </c>
      <c r="M192" s="6">
        <f t="shared" si="37"/>
        <v>9.8842592560686171E-3</v>
      </c>
      <c r="N192" s="7">
        <f t="shared" si="38"/>
        <v>14.233333328738809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20:39:31-0600',mode:absolute,to:'2016-11-05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5.8666</v>
      </c>
      <c r="Z192" s="67">
        <f t="shared" si="45"/>
        <v>8.6699999999999999E-2</v>
      </c>
      <c r="AA192" s="67">
        <f t="shared" si="46"/>
        <v>5.7798999999999996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1832-05</v>
      </c>
      <c r="AE192" s="91" t="str">
        <f t="shared" si="48"/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AF192" s="88" t="str">
        <f t="shared" si="49"/>
        <v>"C:\Program Files (x86)\AstroGrep\AstroGrep.exe" /spath="%USERPROFILE%\AppData\Local\Temp\OnboardLogs" /stypes="app*4004*20161106*" /stext=" 03:.+((SYSTEM_STATE.+slice.+state.+changed )|(ment ac)|(system.+state.+changed )|(\[timeout)|(PRM\|1\|D)|(kpr)|(kdp)|(\|loc)|(penalty))"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1832-05 --locoid 4004 --swversion DE.1.0.8.0 --startMP 300:58666 --initTime 2016-11-05T21:39:31 --startdatetime 2016-11-05T21:41:12 --delay 1 --endMP 204:867 --enddatetime 2016-11-05T21:55:26 --enforcementcount 0 &gt;&gt;C:\Users\stu\Documents\GitHub\eaglep3-reporting\EC\2016-11-05-refined-times.txt</v>
      </c>
      <c r="AI192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{"issue":{"subject":"","project_id":79,"tracker_id":40,"status_id":1,"priority_id":2,"assigned_to_id":23,"start_date":"2016-11-05","description":"","custom_fields":[{"id":1,"name":"Subdivision","value":"NW"},{"id":4,"name":"Milepost","value":"0.0867"},{"id":17,"name":"Train ID","value":"1832-05"},{"id":16,"name":"Locomotive ID","value":"4004"},{"id":130,"name":"Impact","value":""},{"id":150,"name":"Time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615</v>
      </c>
      <c r="B193" s="7">
        <v>4003</v>
      </c>
      <c r="C193" s="22" t="s">
        <v>242</v>
      </c>
      <c r="D193" s="22" t="s">
        <v>713</v>
      </c>
      <c r="E193" s="13">
        <v>42679.922581018516</v>
      </c>
      <c r="F193" s="13">
        <v>42679.931597222225</v>
      </c>
      <c r="G193" s="7">
        <v>1</v>
      </c>
      <c r="H193" s="22" t="s">
        <v>714</v>
      </c>
      <c r="I193" s="13">
        <v>42679.941423611112</v>
      </c>
      <c r="J193" s="7">
        <v>0</v>
      </c>
      <c r="K193" s="112" t="str">
        <f t="shared" si="36"/>
        <v>4003/4004</v>
      </c>
      <c r="L193" s="22" t="str">
        <f>VLOOKUP(A193,'Trips&amp;Operators'!$C$1:$E$10000,3,FALSE)</f>
        <v>ADANE</v>
      </c>
      <c r="M193" s="6">
        <f t="shared" si="37"/>
        <v>9.8263888867222704E-3</v>
      </c>
      <c r="N193" s="7">
        <f t="shared" si="38"/>
        <v>14.149999996880069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21:08:31-0600',mode:absolute,to:'2016-11-05 23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0.11700000000000001</v>
      </c>
      <c r="Z193" s="67">
        <f t="shared" si="45"/>
        <v>5.8958000000000004</v>
      </c>
      <c r="AA193" s="67">
        <f t="shared" si="46"/>
        <v>5.7788000000000004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1833-05</v>
      </c>
      <c r="AE193" s="91" t="str">
        <f t="shared" si="48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193" s="88" t="str">
        <f t="shared" si="49"/>
        <v>"C:\Program Files (x86)\AstroGrep\AstroGrep.exe" /spath="%USERPROFILE%\AppData\Local\Temp\OnboardLogs" /stypes="app*4003*20161106*" /stext=" 04:.+((SYSTEM_STATE.+slice.+state.+changed )|(ment ac)|(system.+state.+changed )|(\[timeout)|(PRM\|1\|D)|(kpr)|(kdp)|(\|loc)|(penalty))"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1833-05 --locoid 4003 --swversion DE.1.0.8.0 --startMP 204:1170 --initTime 2016-11-05T22:08:31 --startdatetime 2016-11-05T22:21:30 --delay 1 --endMP 300:58958 --enddatetime 2016-11-05T22:35:39 --enforcementcount 0 &gt;&gt;C:\Users\stu\Documents\GitHub\eaglep3-reporting\EC\2016-11-05-refined-times.txt</v>
      </c>
      <c r="AI193" s="122" t="str">
        <f t="shared" si="52"/>
        <v>echo {"issue":{"subject":"","project_id":79,"tracker_id":40,"status_id":1,"priority_id":2,"assigned_to_id":23,"start_date":"2016-11-05","description":"","custom_fields":[{"id":1,"name":"Subdivision","value":"NW"},{"id":4,"name":"Milepost","value":"5.8958"},{"id":17,"name":"Train ID","value":"1833-05"},{"id":16,"name":"Locomotive ID","value":"4003"},{"id":130,"name":"Impact","value":""},{"id":150,"name":"Time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451</v>
      </c>
      <c r="B194" s="7">
        <v>4012</v>
      </c>
      <c r="C194" s="22" t="s">
        <v>242</v>
      </c>
      <c r="D194" s="22" t="s">
        <v>739</v>
      </c>
      <c r="E194" s="13">
        <v>42679.12122685185</v>
      </c>
      <c r="F194" s="13">
        <v>42679.123449074075</v>
      </c>
      <c r="G194" s="7">
        <v>2</v>
      </c>
      <c r="H194" s="22" t="s">
        <v>181</v>
      </c>
      <c r="I194" s="13">
        <v>42679.129837962966</v>
      </c>
      <c r="J194" s="7">
        <v>0</v>
      </c>
      <c r="K194" s="112" t="str">
        <f t="shared" si="36"/>
        <v>4011/4012</v>
      </c>
      <c r="L194" s="22" t="str">
        <f>VLOOKUP(A194,'Trips&amp;Operators'!$C$1:$E$10000,3,FALSE)</f>
        <v>MAELZER</v>
      </c>
      <c r="M194" s="6">
        <f t="shared" si="37"/>
        <v>6.3888888907968067E-3</v>
      </c>
      <c r="N194" s="7">
        <f t="shared" si="38"/>
        <v>9.2000000027474016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01:54:34-0600',mode:absolute,to:'2016-11-05 04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4" s="52" t="str">
        <f t="shared" si="42"/>
        <v>Y</v>
      </c>
      <c r="X194" s="177">
        <f t="shared" si="43"/>
        <v>-1531</v>
      </c>
      <c r="Y194" s="67">
        <f t="shared" si="44"/>
        <v>2.3146</v>
      </c>
      <c r="Z194" s="67">
        <f t="shared" si="45"/>
        <v>1.41E-2</v>
      </c>
      <c r="AA194" s="67">
        <f t="shared" si="46"/>
        <v>2.3005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0302-05</v>
      </c>
      <c r="AE194" s="91" t="str">
        <f t="shared" si="48"/>
        <v>aws s3 cp s3://rtdc.mdm.uploadarchive.raw/RTDC4012/ "%USERPROFILE%\AppData\Local\Temp\OnboardLogs"\RTDC4012\2016-11-05 --exclude "*" --recursive --include "*20161105*" &amp; "%USERPROFILE%\Documents\GitHub\mrs-test-scripts\Headless Mode &amp; Sideloading\WalkAndUnGZ.bat" "%USERPROFILE%\AppData\Local\Temp\OnboardLogs"\RTDC4012\2016-11-05 &amp; aws s3 cp s3://rtdc.mdm.uploadarchive.raw/RTDC4012/ "%USERPROFILE%\AppData\Local\Temp\OnboardLogs"\RTDC4012\2016-11-06 --exclude "*" --recursive --include "*20161106*" &amp; "%USERPROFILE%\Documents\GitHub\mrs-test-scripts\Headless Mode &amp; Sideloading\WalkAndUnGZ.bat" "%USERPROFILE%\AppData\Local\Temp\OnboardLogs"\RTDC4012\2016-11-06</v>
      </c>
      <c r="AF194" s="88" t="str">
        <f t="shared" si="49"/>
        <v>"C:\Program Files (x86)\AstroGrep\AstroGrep.exe" /spath="%USERPROFILE%\AppData\Local\Temp\OnboardLogs" /stypes="app*4012*20161105*" /stext=" 09:.+((SYSTEM_STATE.+slice.+state.+changed )|(ment ac)|(system.+state.+changed )|(\[timeout)|(PRM\|1\|D)|(kpr)|(kdp)|(\|loc)|(penalty))"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302-05 --locoid 4012 --swversion DE.1.0.8.0 --startMP 300:23146 --initTime 2016-11-05T02:54:34 --startdatetime 2016-11-05T02:57:46 --delay 2 --endMP 204:141 --enddatetime 2016-11-05T03:06:58 --enforcementcount 0 &gt;&gt;C:\Users\stu\Documents\GitHub\eaglep3-reporting\EC\2016-11-05-refined-times.txt</v>
      </c>
      <c r="AI194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{"issue":{"subject":"","project_id":79,"tracker_id":40,"status_id":1,"priority_id":2,"assigned_to_id":23,"start_date":"2016-11-05","description":"","custom_fields":[{"id":1,"name":"Subdivision","value":"Other"},{"id":4,"name":"Milepost","value":"0.0141"},{"id":17,"name":"Train ID","value":"302-05"},{"id":16,"name":"Locomotive ID","value":"4012"},{"id":130,"name":"Impact","value":""},{"id":150,"name":"Time of Event (Mountain Time)","value":"03:06:58"},{"id":151,"name":"Denver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596</v>
      </c>
      <c r="B195" s="7">
        <v>4011</v>
      </c>
      <c r="C195" s="22" t="s">
        <v>242</v>
      </c>
      <c r="D195" s="22" t="s">
        <v>740</v>
      </c>
      <c r="E195" s="13">
        <v>42679.802777777775</v>
      </c>
      <c r="F195" s="13">
        <v>42679.805277777778</v>
      </c>
      <c r="G195" s="7">
        <v>1</v>
      </c>
      <c r="H195" s="22" t="s">
        <v>741</v>
      </c>
      <c r="I195" s="13">
        <v>42679.811296296299</v>
      </c>
      <c r="J195" s="7">
        <v>0</v>
      </c>
      <c r="K195" s="112" t="str">
        <f t="shared" si="36"/>
        <v>4011/4012</v>
      </c>
      <c r="L195" s="22" t="str">
        <f>VLOOKUP(A195,'Trips&amp;Operators'!$C$1:$E$10000,3,FALSE)</f>
        <v>SHOOK</v>
      </c>
      <c r="M195" s="6">
        <f t="shared" si="37"/>
        <v>6.0185185211594217E-3</v>
      </c>
      <c r="N195" s="7">
        <f t="shared" si="38"/>
        <v>8.6666666704695672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18:16:00-0600',mode:absolute,to:'2016-11-05 20:28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7.3499999999999996E-2</v>
      </c>
      <c r="Z195" s="67">
        <f t="shared" si="45"/>
        <v>1.6073</v>
      </c>
      <c r="AA195" s="67">
        <f t="shared" si="46"/>
        <v>1.5338000000000001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0303-05</v>
      </c>
      <c r="AE195" s="91" t="str">
        <f t="shared" si="48"/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AF195" s="88" t="str">
        <f t="shared" si="49"/>
        <v>"C:\Program Files (x86)\AstroGrep\AstroGrep.exe" /spath="%USERPROFILE%\AppData\Local\Temp\OnboardLogs" /stypes="app*4011*20161106*" /stext=" 01:.+((SYSTEM_STATE.+slice.+state.+changed )|(ment ac)|(system.+state.+changed )|(\[timeout)|(PRM\|1\|D)|(kpr)|(kdp)|(\|loc)|(penalty))"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303-05 --locoid 4011 --swversion DE.1.0.8.0 --startMP 204:735 --initTime 2016-11-05T19:16:00 --startdatetime 2016-11-05T19:19:36 --delay 1 --endMP 300:16073 --enddatetime 2016-11-05T19:28:16 --enforcementcount 0 &gt;&gt;C:\Users\stu\Documents\GitHub\eaglep3-reporting\EC\2016-11-05-refined-times.txt</v>
      </c>
      <c r="AI195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{"issue":{"subject":"","project_id":79,"tracker_id":40,"status_id":1,"priority_id":2,"assigned_to_id":23,"start_date":"2016-11-05","description":"","custom_fields":[{"id":1,"name":"Subdivision","value":"Other"},{"id":4,"name":"Milepost","value":"1.6073"},{"id":17,"name":"Train ID","value":"303-05"},{"id":16,"name":"Locomotive ID","value":"4011"},{"id":130,"name":"Impact","value":""},{"id":150,"name":"Time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596</v>
      </c>
      <c r="B196" s="7">
        <v>4040</v>
      </c>
      <c r="C196" s="22" t="s">
        <v>242</v>
      </c>
      <c r="D196" s="22" t="s">
        <v>212</v>
      </c>
      <c r="E196" s="13">
        <v>42679.775787037041</v>
      </c>
      <c r="F196" s="13">
        <v>42679.805277777778</v>
      </c>
      <c r="G196" s="7">
        <v>1</v>
      </c>
      <c r="H196" s="22" t="s">
        <v>742</v>
      </c>
      <c r="I196" s="13">
        <v>42679.811296296299</v>
      </c>
      <c r="J196" s="7">
        <v>0</v>
      </c>
      <c r="K196" s="112" t="str">
        <f t="shared" si="36"/>
        <v>4039/4040</v>
      </c>
      <c r="L196" s="22" t="str">
        <f>VLOOKUP(A196,'Trips&amp;Operators'!$C$1:$E$10000,3,FALSE)</f>
        <v>SHOOK</v>
      </c>
      <c r="M196" s="6">
        <f t="shared" si="37"/>
        <v>6.0185185211594217E-3</v>
      </c>
      <c r="N196" s="7">
        <f t="shared" si="38"/>
        <v>8.6666666704695672</v>
      </c>
      <c r="O196" s="7"/>
      <c r="P196" s="7"/>
      <c r="Q196" s="23"/>
      <c r="R196" s="23"/>
      <c r="S196" s="35">
        <f t="shared" si="39"/>
        <v>0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17:37:08-0600',mode:absolute,to:'2016-11-05 20:28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42"/>
        <v>Y</v>
      </c>
      <c r="X196" s="177">
        <f t="shared" si="43"/>
        <v>0</v>
      </c>
      <c r="Y196" s="67">
        <f t="shared" si="44"/>
        <v>4.5100000000000001E-2</v>
      </c>
      <c r="Z196" s="67">
        <f t="shared" si="45"/>
        <v>4.7800000000000002E-2</v>
      </c>
      <c r="AA196" s="67">
        <f t="shared" si="46"/>
        <v>2.700000000000001E-3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0303-05</v>
      </c>
      <c r="AE196" s="91" t="str">
        <f t="shared" si="48"/>
        <v>aws s3 cp s3://rtdc.mdm.uploadarchive.raw/RTDC4040/ "%USERPROFILE%\AppData\Local\Temp\OnboardLogs"\RTDC4040\2016-11-05 --exclude "*" --recursive --include "*20161105*" &amp; "%USERPROFILE%\Documents\GitHub\mrs-test-scripts\Headless Mode &amp; Sideloading\WalkAndUnGZ.bat" "%USERPROFILE%\AppData\Local\Temp\OnboardLogs"\RTDC4040\2016-11-05 &amp; aws s3 cp s3://rtdc.mdm.uploadarchive.raw/RTDC4040/ "%USERPROFILE%\AppData\Local\Temp\OnboardLogs"\RTDC4040\2016-11-06 --exclude "*" --recursive --include "*20161106*" &amp; "%USERPROFILE%\Documents\GitHub\mrs-test-scripts\Headless Mode &amp; Sideloading\WalkAndUnGZ.bat" "%USERPROFILE%\AppData\Local\Temp\OnboardLogs"\RTDC4040\2016-11-06</v>
      </c>
      <c r="AF196" s="88" t="str">
        <f t="shared" si="49"/>
        <v>"C:\Program Files (x86)\AstroGrep\AstroGrep.exe" /spath="%USERPROFILE%\AppData\Local\Temp\OnboardLogs" /stypes="app*4040*20161106*" /stext=" 01:.+((SYSTEM_STATE.+slice.+state.+changed )|(ment ac)|(system.+state.+changed )|(\[timeout)|(PRM\|1\|D)|(kpr)|(kdp)|(\|loc)|(penalty))"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303-05 --locoid 4040 --swversion DE.1.0.8.0 --startMP 204:451 --initTime 2016-11-05T18:37:08 --startdatetime 2016-11-05T19:19:36 --delay 1 --endMP 204:478 --enddatetime 2016-11-05T19:28:16 --enforcementcount 0 &gt;&gt;C:\Users\stu\Documents\GitHub\eaglep3-reporting\EC\2016-11-05-refined-times.txt</v>
      </c>
      <c r="AI196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{"issue":{"subject":"","project_id":79,"tracker_id":40,"status_id":1,"priority_id":2,"assigned_to_id":23,"start_date":"2016-11-05","description":"","custom_fields":[{"id":1,"name":"Subdivision","value":"Other"},{"id":4,"name":"Milepost","value":"0.0478"},{"id":17,"name":"Train ID","value":"303-05"},{"id":16,"name":"Locomotive ID","value":"4040"},{"id":130,"name":"Impact","value":""},{"id":150,"name":"Time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453</v>
      </c>
      <c r="B197" s="7">
        <v>4017</v>
      </c>
      <c r="C197" s="22" t="s">
        <v>242</v>
      </c>
      <c r="D197" s="22" t="s">
        <v>743</v>
      </c>
      <c r="E197" s="13">
        <v>42679.151643518519</v>
      </c>
      <c r="F197" s="13">
        <v>42679.153402777774</v>
      </c>
      <c r="G197" s="7">
        <v>1</v>
      </c>
      <c r="H197" s="22" t="s">
        <v>648</v>
      </c>
      <c r="I197" s="13">
        <v>42679.160428240742</v>
      </c>
      <c r="J197" s="7">
        <v>0</v>
      </c>
      <c r="K197" s="112" t="str">
        <f t="shared" si="36"/>
        <v>4017/4018</v>
      </c>
      <c r="L197" s="22" t="str">
        <f>VLOOKUP(A197,'Trips&amp;Operators'!$C$1:$E$10000,3,FALSE)</f>
        <v>MALAVE</v>
      </c>
      <c r="M197" s="6">
        <f t="shared" si="37"/>
        <v>7.0254629681585357E-3</v>
      </c>
      <c r="N197" s="7">
        <f t="shared" si="38"/>
        <v>10.116666674148291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02:38:22-0600',mode:absolute,to:'2016-11-05 04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2.3536000000000001</v>
      </c>
      <c r="Z197" s="67">
        <f t="shared" si="45"/>
        <v>1.6299999999999999E-2</v>
      </c>
      <c r="AA197" s="67">
        <f t="shared" si="46"/>
        <v>2.3372999999999999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0304-05</v>
      </c>
      <c r="AE197" s="91" t="str">
        <f t="shared" si="48"/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AF197" s="88" t="str">
        <f t="shared" si="49"/>
        <v>"C:\Program Files (x86)\AstroGrep\AstroGrep.exe" /spath="%USERPROFILE%\AppData\Local\Temp\OnboardLogs" /stypes="app*4017*20161105*" /stext=" 09:.+((SYSTEM_STATE.+slice.+state.+changed )|(ment ac)|(system.+state.+changed )|(\[timeout)|(PRM\|1\|D)|(kpr)|(kdp)|(\|loc)|(penalty))"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304-05 --locoid 4017 --swversion DE.1.0.8.0 --startMP 300:23536 --initTime 2016-11-05T03:38:22 --startdatetime 2016-11-05T03:40:54 --delay 1 --endMP 204:163 --enddatetime 2016-11-05T03:51:01 --enforcementcount 0 &gt;&gt;C:\Users\stu\Documents\GitHub\eaglep3-reporting\EC\2016-11-05-refined-times.txt</v>
      </c>
      <c r="AI197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{"issue":{"subject":"","project_id":79,"tracker_id":40,"status_id":1,"priority_id":2,"assigned_to_id":23,"start_date":"2016-11-05","description":"","custom_fields":[{"id":1,"name":"Subdivision","value":"Other"},{"id":4,"name":"Milepost","value":"0.0163"},{"id":17,"name":"Train ID","value":"304-05"},{"id":16,"name":"Locomotive ID","value":"4017"},{"id":130,"name":"Impact","value":""},{"id":150,"name":"Time of Event (Mountain Time)","value":"03:51:01"},{"id":151,"name":"Denver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455</v>
      </c>
      <c r="B198" s="7">
        <v>4001</v>
      </c>
      <c r="C198" s="22" t="s">
        <v>242</v>
      </c>
      <c r="D198" s="22" t="s">
        <v>744</v>
      </c>
      <c r="E198" s="13">
        <v>42679.164918981478</v>
      </c>
      <c r="F198" s="13">
        <v>42679.166006944448</v>
      </c>
      <c r="G198" s="7">
        <v>1</v>
      </c>
      <c r="H198" s="22" t="s">
        <v>745</v>
      </c>
      <c r="I198" s="13">
        <v>42679.17224537037</v>
      </c>
      <c r="J198" s="7">
        <v>0</v>
      </c>
      <c r="K198" s="112" t="str">
        <f t="shared" si="36"/>
        <v>4001/4002</v>
      </c>
      <c r="L198" s="22" t="str">
        <f>VLOOKUP(A198,'Trips&amp;Operators'!$C$1:$E$10000,3,FALSE)</f>
        <v>ACKERMAN</v>
      </c>
      <c r="M198" s="6">
        <f t="shared" si="37"/>
        <v>6.2384259217651561E-3</v>
      </c>
      <c r="N198" s="7">
        <f t="shared" si="38"/>
        <v>8.9833333273418248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02:57:29-0600',mode:absolute,to:'2016-11-05 05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8" s="52" t="str">
        <f t="shared" si="42"/>
        <v>Y</v>
      </c>
      <c r="X198" s="177">
        <f t="shared" si="43"/>
        <v>2</v>
      </c>
      <c r="Y198" s="67">
        <f t="shared" si="44"/>
        <v>2.2359</v>
      </c>
      <c r="Z198" s="67">
        <f t="shared" si="45"/>
        <v>8.3000000000000001E-3</v>
      </c>
      <c r="AA198" s="67">
        <f t="shared" si="46"/>
        <v>2.2275999999999998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0306-05</v>
      </c>
      <c r="AE198" s="91" t="str">
        <f t="shared" si="48"/>
        <v>aws s3 cp s3://rtdc.mdm.uploadarchive.raw/RTDC4001/ "%USERPROFILE%\AppData\Local\Temp\OnboardLogs"\RTDC4001\2016-11-05 --exclude "*" --recursive --include "*20161105*" &amp; "%USERPROFILE%\Documents\GitHub\mrs-test-scripts\Headless Mode &amp; Sideloading\WalkAndUnGZ.bat" "%USERPROFILE%\AppData\Local\Temp\OnboardLogs"\RTDC4001\2016-11-05 &amp; aws s3 cp s3://rtdc.mdm.uploadarchive.raw/RTDC4001/ "%USERPROFILE%\AppData\Local\Temp\OnboardLogs"\RTDC4001\2016-11-06 --exclude "*" --recursive --include "*20161106*" &amp; "%USERPROFILE%\Documents\GitHub\mrs-test-scripts\Headless Mode &amp; Sideloading\WalkAndUnGZ.bat" "%USERPROFILE%\AppData\Local\Temp\OnboardLogs"\RTDC4001\2016-11-06</v>
      </c>
      <c r="AF198" s="88" t="str">
        <f t="shared" si="49"/>
        <v>"C:\Program Files (x86)\AstroGrep\AstroGrep.exe" /spath="%USERPROFILE%\AppData\Local\Temp\OnboardLogs" /stypes="app*4001*20161105*" /stext=" 10:.+((SYSTEM_STATE.+slice.+state.+changed )|(ment ac)|(system.+state.+changed )|(\[timeout)|(PRM\|1\|D)|(kpr)|(kdp)|(\|loc)|(penalty))"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306-05 --locoid 4001 --swversion DE.1.0.8.0 --startMP 300:22359 --initTime 2016-11-05T03:57:29 --startdatetime 2016-11-05T03:59:03 --delay 1 --endMP 204:83 --enddatetime 2016-11-05T04:08:02 --enforcementcount 0 &gt;&gt;C:\Users\stu\Documents\GitHub\eaglep3-reporting\EC\2016-11-05-refined-times.txt</v>
      </c>
      <c r="AI198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{"issue":{"subject":"","project_id":79,"tracker_id":40,"status_id":1,"priority_id":2,"assigned_to_id":23,"start_date":"2016-11-05","description":"","custom_fields":[{"id":1,"name":"Subdivision","value":"Other"},{"id":4,"name":"Milepost","value":"0.0083"},{"id":17,"name":"Train ID","value":"306-05"},{"id":16,"name":"Locomotive ID","value":"4001"},{"id":130,"name":"Impact","value":""},{"id":150,"name":"Time of Event (Mountain Time)","value":"04:08:02"},{"id":151,"name":"Denver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601</v>
      </c>
      <c r="B199" s="7">
        <v>4002</v>
      </c>
      <c r="C199" s="22" t="s">
        <v>242</v>
      </c>
      <c r="D199" s="22" t="s">
        <v>206</v>
      </c>
      <c r="E199" s="13">
        <v>42679.817245370374</v>
      </c>
      <c r="F199" s="13">
        <v>25568.708333333332</v>
      </c>
      <c r="G199" s="7">
        <v>1</v>
      </c>
      <c r="H199" s="22" t="s">
        <v>746</v>
      </c>
      <c r="I199" s="13">
        <v>25568.708333333332</v>
      </c>
      <c r="J199" s="7">
        <v>0</v>
      </c>
      <c r="K199" s="112" t="str">
        <f t="shared" si="36"/>
        <v>4001/4002</v>
      </c>
      <c r="L199" s="22" t="str">
        <f>VLOOKUP(A199,'Trips&amp;Operators'!$C$1:$E$10000,3,FALSE)</f>
        <v>STORY</v>
      </c>
      <c r="M199" s="6">
        <f t="shared" si="37"/>
        <v>0</v>
      </c>
      <c r="N199" s="7">
        <f t="shared" si="38"/>
        <v>0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18:36:50-0600',mode:absolute,to:'1969-12-31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4.4699999999999997E-2</v>
      </c>
      <c r="Z199" s="67">
        <f t="shared" si="45"/>
        <v>2.3298999999999999</v>
      </c>
      <c r="AA199" s="67">
        <f t="shared" si="46"/>
        <v>2.2851999999999997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0307-05</v>
      </c>
      <c r="AE199" s="91" t="str">
        <f t="shared" si="4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199" s="88" t="str">
        <f t="shared" si="49"/>
        <v>"C:\Program Files (x86)\AstroGrep\AstroGrep.exe" /spath="%USERPROFILE%\AppData\Local\Temp\OnboardLogs" /stypes="app*4002*19691231*" /stext=" 23:.+((SYSTEM_STATE.+slice.+state.+changed )|(ment ac)|(system.+state.+changed )|(\[timeout)|(PRM\|1\|D)|(kpr)|(kdp)|(\|loc)|(penalty))"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307-05 --locoid 4002 --swversion DE.1.0.8.0 --startMP 204:447 --initTime 2016-11-05T19:36:50 --startdatetime 1969-12-31T17:00:00 --delay 1 --endMP 300:23299 --enddatetime 1969-12-31T17:00:00 --enforcementcount 0 &gt;&gt;C:\Users\stu\Documents\GitHub\eaglep3-reporting\EC\2016-11-05-refined-times.txt</v>
      </c>
      <c r="AI199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ID","value":"307-05"},{"id":16,"name":"Locomotive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459</v>
      </c>
      <c r="B200" s="7">
        <v>4015</v>
      </c>
      <c r="C200" s="22" t="s">
        <v>242</v>
      </c>
      <c r="D200" s="22" t="s">
        <v>747</v>
      </c>
      <c r="E200" s="13">
        <v>42679.171481481484</v>
      </c>
      <c r="F200" s="13">
        <v>42679.172800925924</v>
      </c>
      <c r="G200" s="7">
        <v>1</v>
      </c>
      <c r="H200" s="22" t="s">
        <v>202</v>
      </c>
      <c r="I200" s="13">
        <v>42679.17864583333</v>
      </c>
      <c r="J200" s="7">
        <v>0</v>
      </c>
      <c r="K200" s="112" t="str">
        <f t="shared" si="36"/>
        <v>4015/4016</v>
      </c>
      <c r="L200" s="22" t="str">
        <f>VLOOKUP(A200,'Trips&amp;Operators'!$C$1:$E$10000,3,FALSE)</f>
        <v>DE LA ROSA</v>
      </c>
      <c r="M200" s="6">
        <f t="shared" si="37"/>
        <v>5.8449074058444239E-3</v>
      </c>
      <c r="N200" s="7">
        <f t="shared" si="38"/>
        <v>8.4166666644159704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https://search-rtdc-monitor-bjffxe2xuh6vdkpspy63sjmuny.us-east-1.es.amazonaws.com/_plugin/kibana/#/discover/Steve-Slow-Train-Analysis-(2080s-and-2083s)?_g=(refreshInterval:(display:Off,section:0,value:0),time:(from:'2016-11-05 03:06:56-0600',mode:absolute,to:'2016-11-05 05:17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2.3233000000000001</v>
      </c>
      <c r="Z200" s="67">
        <f t="shared" si="45"/>
        <v>1.4500000000000001E-2</v>
      </c>
      <c r="AA200" s="67">
        <f t="shared" si="46"/>
        <v>2.3088000000000002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0308-05</v>
      </c>
      <c r="AE200" s="91" t="str">
        <f t="shared" si="48"/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AF200" s="88" t="str">
        <f t="shared" si="49"/>
        <v>"C:\Program Files (x86)\AstroGrep\AstroGrep.exe" /spath="%USERPROFILE%\AppData\Local\Temp\OnboardLogs" /stypes="app*4015*20161105*" /stext=" 10:.+((SYSTEM_STATE.+slice.+state.+changed )|(ment ac)|(system.+state.+changed )|(\[timeout)|(PRM\|1\|D)|(kpr)|(kdp)|(\|loc)|(penalty))"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308-05 --locoid 4015 --swversion DE.1.0.8.0 --startMP 300:23233 --initTime 2016-11-05T04:06:56 --startdatetime 2016-11-05T04:08:50 --delay 1 --endMP 204:145 --enddatetime 2016-11-05T04:17:15 --enforcementcount 0 &gt;&gt;C:\Users\stu\Documents\GitHub\eaglep3-reporting\EC\2016-11-05-refined-times.txt</v>
      </c>
      <c r="AI200" s="122" t="str">
        <f t="shared" si="52"/>
        <v>echo {"issue":{"subject":"","project_id":79,"tracker_id":40,"status_id":1,"priority_id":2,"assigned_to_id":23,"start_date":"2016-11-05","description":"","custom_fields":[{"id":1,"name":"Subdivision","value":"Other"},{"id":4,"name":"Milepost","value":"0.0145"},{"id":17,"name":"Train ID","value":"308-05"},{"id":16,"name":"Locomotive ID","value":"4015"},{"id":130,"name":"Impact","value":""},{"id":150,"name":"Time of Event (Mountain Time)","value":"04:17:15"},{"id":151,"name":"Denver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748</v>
      </c>
      <c r="B201" s="7">
        <v>4025</v>
      </c>
      <c r="C201" s="22" t="s">
        <v>242</v>
      </c>
      <c r="D201" s="22" t="s">
        <v>206</v>
      </c>
      <c r="E201" s="13">
        <v>42680.088553240741</v>
      </c>
      <c r="F201" s="13">
        <v>25568.708333333332</v>
      </c>
      <c r="G201" s="7">
        <v>1</v>
      </c>
      <c r="H201" s="22" t="s">
        <v>405</v>
      </c>
      <c r="I201" s="13">
        <v>25568.708333333332</v>
      </c>
      <c r="J201" s="7">
        <v>0</v>
      </c>
      <c r="K201" s="112" t="str">
        <f t="shared" ref="K201:K213" si="53">IF(ISEVEN(B201),(B201-1)&amp;"/"&amp;B201,B201&amp;"/"&amp;(B201+1))</f>
        <v>4025/4026</v>
      </c>
      <c r="L201" s="22" t="e">
        <f>VLOOKUP(A201,'Trips&amp;Operators'!$C$1:$E$10000,3,FALSE)</f>
        <v>#N/A</v>
      </c>
      <c r="M201" s="6">
        <f t="shared" ref="M201:M213" si="54">I201-F201</f>
        <v>0</v>
      </c>
      <c r="N201" s="7">
        <f t="shared" ref="N201:N213" si="55">24*60*SUM($M201:$M201)</f>
        <v>0</v>
      </c>
      <c r="O201" s="7"/>
      <c r="P201" s="7"/>
      <c r="Q201" s="23"/>
      <c r="R201" s="23"/>
      <c r="S201" s="35">
        <f t="shared" ref="S201:S213" si="56">SUM(U201:U201)/IF(AG201="EC",12,1)</f>
        <v>1</v>
      </c>
      <c r="T201" s="50" t="str">
        <f t="shared" ref="T201:T213" si="57"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ref="V201:V213" si="58"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https://search-rtdc-monitor-bjffxe2xuh6vdkpspy63sjmuny.us-east-1.es.amazonaws.com/_plugin/kibana/#/discover/Steve-Slow-Train-Analysis-(2080s-and-2083s)?_g=(refreshInterval:(display:Off,section:0,value:0),time:(from:'2016-11-06 01:07:31-0600',mode:absolute,to:'1969-12-31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1" s="52" t="str">
        <f t="shared" ref="W201:W213" si="59">IF(AA201&lt;IF(AG201="EC",23,5.65),"Y","N")</f>
        <v>Y</v>
      </c>
      <c r="X201" s="177">
        <f t="shared" ref="X201:X213" si="60">VALUE(LEFT(AD201,4))-VALUE(LEFT(AD200,4))</f>
        <v>1</v>
      </c>
      <c r="Y201" s="67">
        <f t="shared" ref="Y201:Y213" si="61">RIGHT(D201,LEN(D201)-4)/10000</f>
        <v>4.4699999999999997E-2</v>
      </c>
      <c r="Z201" s="67">
        <f t="shared" ref="Z201:Z213" si="62">RIGHT(H201,LEN(H201)-4)/10000</f>
        <v>2.3308</v>
      </c>
      <c r="AA201" s="67">
        <f t="shared" ref="AA201:AA213" si="63">ABS(Z201-Y201)</f>
        <v>2.2860999999999998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ref="AD201:AD213" si="64">IF(LEN(A201)=6,"0"&amp;A201,A201)</f>
        <v>0309-05</v>
      </c>
      <c r="AE201" s="91" t="str">
        <f t="shared" ref="AE201:AE213" si="65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1" s="88" t="str">
        <f t="shared" ref="AF201:AF213" si="66"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/stypes="app*4025*19691231*" /stext=" 23:.+((SYSTEM_STATE.+slice.+state.+changed )|(ment ac)|(system.+state.+changed )|(\[timeout)|(PRM\|1\|D)|(kpr)|(kdp)|(\|loc)|(penalty))" /e /r /s</v>
      </c>
      <c r="AG201" s="1" t="str">
        <f t="shared" ref="AG201:AG213" si="67">IFERROR(IF(VALUE(LEFT(AD201,2))&lt;=2,"EC",IF(OR(VALUE(LEFT(AD201,2))=8,VALUE(LEFT(AD201,2))=18),"NW","Other")),"Other")</f>
        <v>Other</v>
      </c>
      <c r="AH201" s="92" t="str">
        <f t="shared" si="51"/>
        <v>"%USERPROFILE%\Documents\GitHub\eaglep3\Utilities\RefineRTDCRunTimes.py" --tripid 309-05 --locoid 4025 --swversion DE.1.0.8.0 --startMP 204:447 --initTime 2016-11-06T02:07:31 --startdatetime 1969-12-31T17:00:00 --delay 1 --endMP 300:23308 --enddatetime 1969-12-31T17:00:00 --enforcementcount 0 &gt;&gt;C:\Users\stu\Documents\GitHub\eaglep3-reporting\EC\2016-11-05-refined-times.txt</v>
      </c>
      <c r="AI201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461</v>
      </c>
      <c r="B202" s="7">
        <v>4039</v>
      </c>
      <c r="C202" s="22" t="s">
        <v>242</v>
      </c>
      <c r="D202" s="22" t="s">
        <v>749</v>
      </c>
      <c r="E202" s="13">
        <v>42679.178981481484</v>
      </c>
      <c r="F202" s="13">
        <v>42679.180243055554</v>
      </c>
      <c r="G202" s="7">
        <v>1</v>
      </c>
      <c r="H202" s="22" t="s">
        <v>203</v>
      </c>
      <c r="I202" s="13">
        <v>42679.186006944445</v>
      </c>
      <c r="J202" s="7">
        <v>0</v>
      </c>
      <c r="K202" s="112" t="str">
        <f t="shared" si="53"/>
        <v>4039/4040</v>
      </c>
      <c r="L202" s="22" t="str">
        <f>VLOOKUP(A202,'Trips&amp;Operators'!$C$1:$E$10000,3,FALSE)</f>
        <v>KILLION</v>
      </c>
      <c r="M202" s="6">
        <f t="shared" si="54"/>
        <v>5.7638888902147301E-3</v>
      </c>
      <c r="N202" s="7">
        <f t="shared" si="55"/>
        <v>8.3000000019092113</v>
      </c>
      <c r="O202" s="7"/>
      <c r="P202" s="7"/>
      <c r="Q202" s="23"/>
      <c r="R202" s="23"/>
      <c r="S202" s="35">
        <f t="shared" si="56"/>
        <v>1</v>
      </c>
      <c r="T202" s="50" t="str">
        <f t="shared" si="57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03:17:44-0600',mode:absolute,to:'2016-11-05 05:27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 t="shared" si="59"/>
        <v>Y</v>
      </c>
      <c r="X202" s="177">
        <f t="shared" si="60"/>
        <v>1</v>
      </c>
      <c r="Y202" s="67">
        <f t="shared" si="61"/>
        <v>2.15</v>
      </c>
      <c r="Z202" s="67">
        <f t="shared" si="62"/>
        <v>1.49E-2</v>
      </c>
      <c r="AA202" s="67">
        <f t="shared" si="63"/>
        <v>2.1351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4"/>
        <v>0310-05</v>
      </c>
      <c r="AE202" s="91" t="str">
        <f t="shared" si="65"/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AF202" s="88" t="str">
        <f t="shared" si="66"/>
        <v>"C:\Program Files (x86)\AstroGrep\AstroGrep.exe" /spath="%USERPROFILE%\AppData\Local\Temp\OnboardLogs" /stypes="app*4039*20161105*" /stext=" 10:.+((SYSTEM_STATE.+slice.+state.+changed )|(ment ac)|(system.+state.+changed )|(\[timeout)|(PRM\|1\|D)|(kpr)|(kdp)|(\|loc)|(penalty))" /e /r /s</v>
      </c>
      <c r="AG202" s="1" t="str">
        <f t="shared" si="67"/>
        <v>Other</v>
      </c>
      <c r="AH202" s="92" t="str">
        <f t="shared" ref="AH202:AH213" si="68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310-05 --locoid 4039 --swversion DE.1.0.8.0 --startMP 300:21500 --initTime 2016-11-05T04:17:44 --startdatetime 2016-11-05T04:19:33 --delay 1 --endMP 204:149 --enddatetime 2016-11-05T04:27:51 --enforcementcount 0 &gt;&gt;C:\Users\stu\Documents\GitHub\eaglep3-reporting\EC\2016-11-05-refined-times.txt</v>
      </c>
      <c r="AI202" s="122" t="str">
        <f t="shared" ref="AI202:AI213" si="69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{"issue":{"subject":"","project_id":79,"tracker_id":40,"status_id":1,"priority_id":2,"assigned_to_id":23,"start_date":"2016-11-05","description":"","custom_fields":[{"id":1,"name":"Subdivision","value":"Other"},{"id":4,"name":"Milepost","value":"0.0149"},{"id":17,"name":"Train ID","value":"310-05"},{"id":16,"name":"Locomotive ID","value":"4039"},{"id":130,"name":"Impact","value":""},{"id":150,"name":"Time of Event (Mountain Time)","value":"04:27:51"},{"id":151,"name":"Denver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750</v>
      </c>
      <c r="B203" s="7">
        <v>4053</v>
      </c>
      <c r="C203" s="22" t="s">
        <v>242</v>
      </c>
      <c r="D203" s="22" t="s">
        <v>259</v>
      </c>
      <c r="E203" s="13">
        <v>42680.111284722225</v>
      </c>
      <c r="F203" s="13">
        <v>25568.708333333332</v>
      </c>
      <c r="G203" s="7">
        <v>1</v>
      </c>
      <c r="H203" s="22" t="s">
        <v>751</v>
      </c>
      <c r="I203" s="13">
        <v>25568.708333333332</v>
      </c>
      <c r="J203" s="7">
        <v>0</v>
      </c>
      <c r="K203" s="112" t="str">
        <f t="shared" si="53"/>
        <v>4053/4054</v>
      </c>
      <c r="L203" s="22" t="e">
        <f>VLOOKUP(A203,'Trips&amp;Operators'!$C$1:$E$10000,3,FALSE)</f>
        <v>#N/A</v>
      </c>
      <c r="M203" s="6">
        <f t="shared" si="54"/>
        <v>0</v>
      </c>
      <c r="N203" s="7">
        <f t="shared" si="55"/>
        <v>0</v>
      </c>
      <c r="O203" s="7"/>
      <c r="P203" s="7"/>
      <c r="Q203" s="23"/>
      <c r="R203" s="23"/>
      <c r="S203" s="35">
        <f t="shared" si="56"/>
        <v>1</v>
      </c>
      <c r="T203" s="50" t="str">
        <f t="shared" si="57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3" s="52" t="str">
        <f t="shared" si="59"/>
        <v>Y</v>
      </c>
      <c r="X203" s="177">
        <f t="shared" si="60"/>
        <v>1</v>
      </c>
      <c r="Y203" s="67">
        <f t="shared" si="61"/>
        <v>4.4400000000000002E-2</v>
      </c>
      <c r="Z203" s="67">
        <f t="shared" si="62"/>
        <v>2.3001999999999998</v>
      </c>
      <c r="AA203" s="67">
        <f t="shared" si="63"/>
        <v>2.2557999999999998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4"/>
        <v>0311-05</v>
      </c>
      <c r="AE203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3" s="88" t="str">
        <f t="shared" si="66"/>
        <v>"C:\Program Files (x86)\AstroGrep\AstroGrep.exe" /spath="%USERPROFILE%\AppData\Local\Temp\OnboardLogs" /stypes="app*4053*19691231*" /stext=" 23:.+((SYSTEM_STATE.+slice.+state.+changed )|(ment ac)|(system.+state.+changed )|(\[timeout)|(PRM\|1\|D)|(kpr)|(kdp)|(\|loc)|(penalty))" /e /r /s</v>
      </c>
      <c r="AG203" s="1" t="str">
        <f t="shared" si="67"/>
        <v>Other</v>
      </c>
      <c r="AH203" s="92" t="str">
        <f t="shared" si="68"/>
        <v>"%USERPROFILE%\Documents\GitHub\eaglep3\Utilities\RefineRTDCRunTimes.py" --tripid 311-05 --locoid 4053 --swversion DE.1.0.8.0 --startMP 204:444 --initTime 2016-11-06T02:40:15 --startdatetime 1969-12-31T17:00:00 --delay 1 --endMP 300:23002 --enddatetime 1969-12-31T17:00:00 --enforcementcount 0 &gt;&gt;C:\Users\stu\Documents\GitHub\eaglep3-reporting\EC\2016-11-05-refined-times.txt</v>
      </c>
      <c r="AI203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{"issue":{"subject":"","project_id":79,"tracker_id":40,"status_id":1,"priority_id":2,"assigned_to_id":23,"start_date":"1969-12-31","description":"","custom_fields":[{"id":1,"name":"Subdivision","value":"Other"},{"id":4,"name":"Milepost","value":"2.3002"},{"id":17,"name":"Train ID","value":"311-05"},{"id":16,"name":"Locomotive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449</v>
      </c>
      <c r="B204" s="7">
        <v>4042</v>
      </c>
      <c r="C204" s="22" t="s">
        <v>242</v>
      </c>
      <c r="D204" s="22" t="s">
        <v>655</v>
      </c>
      <c r="E204" s="13">
        <v>42679.090196759258</v>
      </c>
      <c r="F204" s="13">
        <v>25568.708333333332</v>
      </c>
      <c r="G204" s="7">
        <v>1</v>
      </c>
      <c r="H204" s="22" t="s">
        <v>405</v>
      </c>
      <c r="I204" s="13">
        <v>25568.708333333332</v>
      </c>
      <c r="J204" s="7">
        <v>0</v>
      </c>
      <c r="K204" s="112" t="str">
        <f t="shared" si="53"/>
        <v>4041/4042</v>
      </c>
      <c r="L204" s="22" t="str">
        <f>VLOOKUP(A204,'Trips&amp;Operators'!$C$1:$E$10000,3,FALSE)</f>
        <v>STAMBAUGH</v>
      </c>
      <c r="M204" s="6">
        <f t="shared" si="54"/>
        <v>0</v>
      </c>
      <c r="N204" s="7">
        <f t="shared" si="55"/>
        <v>0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01:09:53-0600',mode:absolute,to:'1969-12-31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 t="shared" si="59"/>
        <v>Y</v>
      </c>
      <c r="X204" s="177">
        <f t="shared" si="60"/>
        <v>2</v>
      </c>
      <c r="Y204" s="67">
        <f t="shared" si="61"/>
        <v>4.3299999999999998E-2</v>
      </c>
      <c r="Z204" s="67">
        <f t="shared" si="62"/>
        <v>2.3308</v>
      </c>
      <c r="AA204" s="67">
        <f t="shared" si="63"/>
        <v>2.2875000000000001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0313-04</v>
      </c>
      <c r="AE204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4" s="88" t="str">
        <f t="shared" si="66"/>
        <v>"C:\Program Files (x86)\AstroGrep\AstroGrep.exe" /spath="%USERPROFILE%\AppData\Local\Temp\OnboardLogs" /stypes="app*4042*19691231*" /stext=" 23:.+((SYSTEM_STATE.+slice.+state.+changed )|(ment ac)|(system.+state.+changed )|(\[timeout)|(PRM\|1\|D)|(kpr)|(kdp)|(\|loc)|(penalty))" /e /r /s</v>
      </c>
      <c r="AG204" s="1" t="str">
        <f t="shared" si="67"/>
        <v>Other</v>
      </c>
      <c r="AH204" s="92" t="str">
        <f t="shared" si="68"/>
        <v>"%USERPROFILE%\Documents\GitHub\eaglep3\Utilities\RefineRTDCRunTimes.py" --tripid 313-04 --locoid 4042 --swversion DE.1.0.8.0 --startMP 204:433 --initTime 2016-11-05T02:09:53 --startdatetime 1969-12-31T17:00:00 --delay 1 --endMP 300:23308 --enddatetime 1969-12-31T17:00:00 --enforcementcount 0 &gt;&gt;C:\Users\stu\Documents\GitHub\eaglep3-reporting\EC\2016-11-05-refined-times.txt</v>
      </c>
      <c r="AI204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450</v>
      </c>
      <c r="B205" s="7">
        <v>4038</v>
      </c>
      <c r="C205" s="22" t="s">
        <v>242</v>
      </c>
      <c r="D205" s="22" t="s">
        <v>228</v>
      </c>
      <c r="E205" s="13">
        <v>42679.108460648145</v>
      </c>
      <c r="F205" s="13">
        <v>25568.708333333332</v>
      </c>
      <c r="G205" s="7">
        <v>1</v>
      </c>
      <c r="H205" s="22" t="s">
        <v>344</v>
      </c>
      <c r="I205" s="13">
        <v>25568.708333333332</v>
      </c>
      <c r="J205" s="7">
        <v>0</v>
      </c>
      <c r="K205" s="112" t="str">
        <f t="shared" si="53"/>
        <v>4037/4038</v>
      </c>
      <c r="L205" s="22" t="str">
        <f>VLOOKUP(A205,'Trips&amp;Operators'!$C$1:$E$10000,3,FALSE)</f>
        <v>LEVIN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01:36:11-0600',mode:absolute,to:'1969-12-31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5" s="52" t="str">
        <f t="shared" si="59"/>
        <v>Y</v>
      </c>
      <c r="X205" s="177">
        <f t="shared" si="60"/>
        <v>2</v>
      </c>
      <c r="Y205" s="67">
        <f t="shared" si="61"/>
        <v>4.6199999999999998E-2</v>
      </c>
      <c r="Z205" s="67">
        <f t="shared" si="62"/>
        <v>2.3300999999999998</v>
      </c>
      <c r="AA205" s="67">
        <f t="shared" si="63"/>
        <v>2.2839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4"/>
        <v>0315-04</v>
      </c>
      <c r="AE205" s="91" t="str">
        <f t="shared" si="6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5" s="88" t="str">
        <f t="shared" si="66"/>
        <v>"C:\Program Files (x86)\AstroGrep\AstroGrep.exe" /spath="%USERPROFILE%\AppData\Local\Temp\OnboardLogs" /stypes="app*4038*19691231*" /stext=" 23:.+((SYSTEM_STATE.+slice.+state.+changed )|(ment ac)|(system.+state.+changed )|(\[timeout)|(PRM\|1\|D)|(kpr)|(kdp)|(\|loc)|(penalty))" /e /r /s</v>
      </c>
      <c r="AG205" s="1" t="str">
        <f t="shared" si="67"/>
        <v>Other</v>
      </c>
      <c r="AH205" s="92" t="str">
        <f t="shared" si="68"/>
        <v>"%USERPROFILE%\Documents\GitHub\eaglep3\Utilities\RefineRTDCRunTimes.py" --tripid 315-04 --locoid 4038 --swversion DE.1.0.8.0 --startMP 204:462 --initTime 2016-11-05T02:36:11 --startdatetime 1969-12-31T17:00:00 --delay 1 --endMP 300:23301 --enddatetime 1969-12-31T17:00:00 --enforcementcount 0 &gt;&gt;C:\Users\stu\Documents\GitHub\eaglep3-reporting\EC\2016-11-05-refined-times.txt</v>
      </c>
      <c r="AI205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752</v>
      </c>
      <c r="B206" s="7">
        <v>4014</v>
      </c>
      <c r="C206" s="22" t="s">
        <v>242</v>
      </c>
      <c r="D206" s="22" t="s">
        <v>233</v>
      </c>
      <c r="E206" s="13">
        <v>42680.077037037037</v>
      </c>
      <c r="F206" s="13">
        <v>25568.708333333332</v>
      </c>
      <c r="G206" s="7">
        <v>1</v>
      </c>
      <c r="H206" s="22" t="s">
        <v>345</v>
      </c>
      <c r="I206" s="13">
        <v>25568.708333333332</v>
      </c>
      <c r="J206" s="7">
        <v>0</v>
      </c>
      <c r="K206" s="112" t="str">
        <f t="shared" si="53"/>
        <v>4013/4014</v>
      </c>
      <c r="L206" s="22" t="e">
        <f>VLOOKUP(A206,'Trips&amp;Operators'!$C$1:$E$10000,3,FALSE)</f>
        <v>#N/A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00:50:56-0600',mode:absolute,to:'1969-12-31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52" t="str">
        <f t="shared" si="59"/>
        <v>Y</v>
      </c>
      <c r="X206" s="177">
        <f t="shared" si="60"/>
        <v>0</v>
      </c>
      <c r="Y206" s="67">
        <f t="shared" si="61"/>
        <v>4.5699999999999998E-2</v>
      </c>
      <c r="Z206" s="67">
        <f t="shared" si="62"/>
        <v>2.3302</v>
      </c>
      <c r="AA206" s="67">
        <f t="shared" si="63"/>
        <v>2.2845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4"/>
        <v>0315-05</v>
      </c>
      <c r="AE206" s="91" t="str">
        <f t="shared" si="6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6" s="88" t="str">
        <f t="shared" si="66"/>
        <v>"C:\Program Files (x86)\AstroGrep\AstroGrep.exe" /spath="%USERPROFILE%\AppData\Local\Temp\OnboardLogs" /stypes="app*4014*19691231*" /stext=" 23:.+((SYSTEM_STATE.+slice.+state.+changed )|(ment ac)|(system.+state.+changed )|(\[timeout)|(PRM\|1\|D)|(kpr)|(kdp)|(\|loc)|(penalty))"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315-05 --locoid 4014 --swversion DE.1.0.8.0 --startMP 204:457 --initTime 2016-11-06T01:50:56 --startdatetime 1969-12-31T17:00:00 --delay 1 --endMP 300:23302 --enddatetime 1969-12-31T17:00:00 --enforcementcount 0 &gt;&gt;C:\Users\stu\Documents\GitHub\eaglep3-reporting\EC\2016-11-05-refined-times.txt</v>
      </c>
      <c r="AI20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ID","value":"315-05"},{"id":16,"name":"Locomotive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470</v>
      </c>
      <c r="B207" s="7">
        <v>4003</v>
      </c>
      <c r="C207" s="22" t="s">
        <v>242</v>
      </c>
      <c r="D207" s="22" t="s">
        <v>717</v>
      </c>
      <c r="E207" s="13">
        <v>42679.224282407406</v>
      </c>
      <c r="F207" s="13">
        <v>42679.225289351853</v>
      </c>
      <c r="G207" s="7">
        <v>0</v>
      </c>
      <c r="H207" s="22" t="s">
        <v>718</v>
      </c>
      <c r="I207" s="13">
        <v>42679.229907407411</v>
      </c>
      <c r="J207" s="7">
        <v>0</v>
      </c>
      <c r="K207" s="112" t="str">
        <f t="shared" si="53"/>
        <v>4003/4004</v>
      </c>
      <c r="L207" s="22" t="str">
        <f>VLOOKUP(A207,'Trips&amp;Operators'!$C$1:$E$10000,3,FALSE)</f>
        <v>YORK</v>
      </c>
      <c r="M207" s="6">
        <f t="shared" si="54"/>
        <v>4.6180555582395755E-3</v>
      </c>
      <c r="N207" s="7">
        <f t="shared" si="55"/>
        <v>6.6500000038649887</v>
      </c>
      <c r="O207" s="7"/>
      <c r="P207" s="7"/>
      <c r="Q207" s="23"/>
      <c r="R207" s="23"/>
      <c r="S207" s="35">
        <f t="shared" si="56"/>
        <v>0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04:22:58-0600',mode:absolute,to:'2016-11-05 06:31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7" s="52" t="str">
        <f t="shared" si="59"/>
        <v>Y</v>
      </c>
      <c r="X207" s="177">
        <f t="shared" si="60"/>
        <v>1586</v>
      </c>
      <c r="Y207" s="67">
        <f t="shared" si="61"/>
        <v>2.9977999999999998</v>
      </c>
      <c r="Z207" s="67">
        <f t="shared" si="62"/>
        <v>5.8921999999999999</v>
      </c>
      <c r="AA207" s="67">
        <f t="shared" si="63"/>
        <v>2.8944000000000001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4"/>
        <v>1901-05</v>
      </c>
      <c r="AE207" s="91" t="str">
        <f t="shared" si="65"/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AF207" s="88" t="str">
        <f t="shared" si="66"/>
        <v>"C:\Program Files (x86)\AstroGrep\AstroGrep.exe" /spath="%USERPROFILE%\AppData\Local\Temp\OnboardLogs" /stypes="app*4003*20161105*" /stext=" 11:.+((SYSTEM_STATE.+slice.+state.+changed )|(ment ac)|(system.+state.+changed )|(\[timeout)|(PRM\|1\|D)|(kpr)|(kdp)|(\|loc)|(penalty))"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1901-05 --locoid 4003 --swversion DE.1.0.8.0 --startMP 300:29978 --initTime 2016-11-05T05:22:58 --startdatetime 2016-11-05T05:24:25 --delay 0 --endMP 300:58922 --enddatetime 2016-11-05T05:31:04 --enforcementcount 0 &gt;&gt;C:\Users\stu\Documents\GitHub\eaglep3-reporting\EC\2016-11-05-refined-times.txt</v>
      </c>
      <c r="AI207" s="122" t="str">
        <f t="shared" si="69"/>
        <v>echo {"issue":{"subject":"","project_id":79,"tracker_id":40,"status_id":1,"priority_id":2,"assigned_to_id":23,"start_date":"2016-11-05","description":"","custom_fields":[{"id":1,"name":"Subdivision","value":"Other"},{"id":4,"name":"Milepost","value":"5.8922"},{"id":17,"name":"Train ID","value":"1901-05"},{"id":16,"name":"Locomotive ID","value":"4003"},{"id":130,"name":"Impact","value":""},{"id":150,"name":"Time of Event (Mountain Time)","value":"05:31:04"},{"id":151,"name":"Denver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627</v>
      </c>
      <c r="B208" s="7">
        <v>4025</v>
      </c>
      <c r="C208" s="22" t="s">
        <v>242</v>
      </c>
      <c r="D208" s="22" t="s">
        <v>207</v>
      </c>
      <c r="E208" s="13">
        <v>42680.050023148149</v>
      </c>
      <c r="F208" s="13">
        <v>25568.708333333332</v>
      </c>
      <c r="G208" s="7">
        <v>1</v>
      </c>
      <c r="H208" s="22" t="s">
        <v>660</v>
      </c>
      <c r="I208" s="13">
        <v>25568.708333333332</v>
      </c>
      <c r="J208" s="7">
        <v>0</v>
      </c>
      <c r="K208" s="112" t="str">
        <f t="shared" si="53"/>
        <v>4025/4026</v>
      </c>
      <c r="L208" s="22" t="str">
        <f>VLOOKUP(A208,'Trips&amp;Operators'!$C$1:$E$10000,3,FALSE)</f>
        <v>SMITH</v>
      </c>
      <c r="M208" s="6">
        <f t="shared" si="54"/>
        <v>0</v>
      </c>
      <c r="N208" s="7">
        <f t="shared" si="55"/>
        <v>0</v>
      </c>
      <c r="O208" s="7"/>
      <c r="P208" s="7"/>
      <c r="Q208" s="23"/>
      <c r="R208" s="23"/>
      <c r="S208" s="35">
        <f t="shared" si="56"/>
        <v>0</v>
      </c>
      <c r="T208" s="50" t="e">
        <f t="shared" si="57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00:12:02-0600',mode:absolute,to:'1969-12-31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8" s="52" t="str">
        <f t="shared" si="59"/>
        <v>N</v>
      </c>
      <c r="X208" s="177" t="e">
        <f t="shared" si="60"/>
        <v>#VALUE!</v>
      </c>
      <c r="Y208" s="67">
        <f t="shared" si="61"/>
        <v>4.53E-2</v>
      </c>
      <c r="Z208" s="67">
        <f t="shared" si="62"/>
        <v>23.3278</v>
      </c>
      <c r="AA208" s="67">
        <f t="shared" si="63"/>
        <v>23.282499999999999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4"/>
        <v>39-05</v>
      </c>
      <c r="AE208" s="91" t="str">
        <f t="shared" si="6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8" s="88" t="str">
        <f t="shared" si="66"/>
        <v>"C:\Program Files (x86)\AstroGrep\AstroGrep.exe" /spath="%USERPROFILE%\AppData\Local\Temp\OnboardLogs" /stypes="app*4025*19691231*" /stext=" 23:.+((SYSTEM_STATE.+slice.+state.+changed )|(ment ac)|(system.+state.+changed )|(\[timeout)|(PRM\|1\|D)|(kpr)|(kdp)|(\|loc)|(penalty))"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39-05 --locoid 4025 --swversion DE.1.0.8.0 --startMP 204:453 --initTime 2016-11-06T01:12:02 --startdatetime 1969-12-31T17:00:00 --delay 1 --endMP 204:233278 --enddatetime 1969-12-31T17:00:00 --enforcementcount 0 &gt;&gt;C:\Users\stu\Documents\GitHub\eaglep3-reporting\EC\2016-11-05-refined-times.txt</v>
      </c>
      <c r="AI208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{"issue":{"subject":"","project_id":79,"tracker_id":40,"status_id":1,"priority_id":2,"assigned_to_id":23,"start_date":"1969-12-31","description":"","custom_fields":[{"id":1,"name":"Subdivision","value":"Other"},{"id":4,"name":"Milepost","value":"23.3278"},{"id":17,"name":"Train ID","value":"39-05"},{"id":16,"name":"Locomotive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634</v>
      </c>
      <c r="B209" s="7">
        <v>4026</v>
      </c>
      <c r="C209" s="22" t="s">
        <v>242</v>
      </c>
      <c r="D209" s="22" t="s">
        <v>400</v>
      </c>
      <c r="E209" s="13">
        <v>42680.049930555557</v>
      </c>
      <c r="F209" s="13">
        <v>42680.060115740744</v>
      </c>
      <c r="G209" s="7">
        <v>1</v>
      </c>
      <c r="H209" s="22" t="s">
        <v>379</v>
      </c>
      <c r="I209" s="13">
        <v>42680.086157407408</v>
      </c>
      <c r="J209" s="7">
        <v>0</v>
      </c>
      <c r="K209" s="112" t="str">
        <f t="shared" si="53"/>
        <v>4025/4026</v>
      </c>
      <c r="L209" s="22" t="str">
        <f>VLOOKUP(A209,'Trips&amp;Operators'!$C$1:$E$10000,3,FALSE)</f>
        <v>SMITH</v>
      </c>
      <c r="M209" s="6">
        <f t="shared" si="54"/>
        <v>2.6041666664241347E-2</v>
      </c>
      <c r="N209" s="7">
        <f t="shared" si="55"/>
        <v>37.49999999650754</v>
      </c>
      <c r="O209" s="7"/>
      <c r="P209" s="7"/>
      <c r="Q209" s="23"/>
      <c r="R209" s="23"/>
      <c r="S209" s="35">
        <f t="shared" si="56"/>
        <v>0</v>
      </c>
      <c r="T209" s="50" t="e">
        <f t="shared" si="57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00:11:54-0600',mode:absolute,to:'2016-11-06 03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9" s="52" t="str">
        <f t="shared" si="59"/>
        <v>N</v>
      </c>
      <c r="X209" s="177" t="e">
        <f t="shared" si="60"/>
        <v>#VALUE!</v>
      </c>
      <c r="Y209" s="67">
        <f t="shared" si="61"/>
        <v>23.2957</v>
      </c>
      <c r="Z209" s="67">
        <f t="shared" si="62"/>
        <v>1.6E-2</v>
      </c>
      <c r="AA209" s="67">
        <f t="shared" si="63"/>
        <v>23.279700000000002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4"/>
        <v>40-05</v>
      </c>
      <c r="AE209" s="91" t="str">
        <f t="shared" si="65"/>
        <v>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 &amp; 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</v>
      </c>
      <c r="AF209" s="88" t="str">
        <f t="shared" si="66"/>
        <v>"C:\Program Files (x86)\AstroGrep\AstroGrep.exe" /spath="%USERPROFILE%\AppData\Local\Temp\OnboardLogs" /stypes="app*4026*20161106*" /stext=" 08:.+((SYSTEM_STATE.+slice.+state.+changed )|(ment ac)|(system.+state.+changed )|(\[timeout)|(PRM\|1\|D)|(kpr)|(kdp)|(\|loc)|(penalty))"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40-05 --locoid 4026 --swversion DE.1.0.8.0 --startMP 204:232957 --initTime 2016-11-06T01:11:54 --startdatetime 2016-11-06T01:26:34 --delay 1 --endMP 204:160 --enddatetime 2016-11-06T02:04:04 --enforcementcount 0 &gt;&gt;C:\Users\stu\Documents\GitHub\eaglep3-reporting\EC\2016-11-05-refined-times.txt</v>
      </c>
      <c r="AI209" s="122" t="str">
        <f t="shared" si="69"/>
        <v>echo {"issue":{"subject":"","project_id":79,"tracker_id":40,"status_id":1,"priority_id":2,"assigned_to_id":23,"start_date":"2016-11-06","description":"","custom_fields":[{"id":1,"name":"Subdivision","value":"Other"},{"id":4,"name":"Milepost","value":"0.016"},{"id":17,"name":"Train ID","value":"40-05"},{"id":16,"name":"Locomotive ID","value":"4026"},{"id":130,"name":"Impact","value":""},{"id":150,"name":"Time of Event (Mountain Time)","value":"02:04:04"},{"id":151,"name":"Denver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631</v>
      </c>
      <c r="B210" s="7">
        <v>4053</v>
      </c>
      <c r="C210" s="22" t="s">
        <v>242</v>
      </c>
      <c r="D210" s="22" t="s">
        <v>238</v>
      </c>
      <c r="E210" s="13">
        <v>42680.080104166664</v>
      </c>
      <c r="F210" s="13">
        <v>25568.708333333332</v>
      </c>
      <c r="G210" s="7">
        <v>1</v>
      </c>
      <c r="H210" s="22" t="s">
        <v>396</v>
      </c>
      <c r="I210" s="13">
        <v>25568.708333333332</v>
      </c>
      <c r="J210" s="7">
        <v>0</v>
      </c>
      <c r="K210" s="112" t="str">
        <f t="shared" si="53"/>
        <v>4053/4054</v>
      </c>
      <c r="L210" s="22" t="str">
        <f>VLOOKUP(A210,'Trips&amp;Operators'!$C$1:$E$10000,3,FALSE)</f>
        <v>ARVIDSON</v>
      </c>
      <c r="M210" s="6">
        <f t="shared" si="54"/>
        <v>0</v>
      </c>
      <c r="N210" s="7">
        <f t="shared" si="55"/>
        <v>0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00:55:21-0600',mode:absolute,to:'1969-12-31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0" s="52" t="str">
        <f t="shared" si="59"/>
        <v>N</v>
      </c>
      <c r="X210" s="177" t="e">
        <f t="shared" si="60"/>
        <v>#VALUE!</v>
      </c>
      <c r="Y210" s="67">
        <f t="shared" si="61"/>
        <v>4.6399999999999997E-2</v>
      </c>
      <c r="Z210" s="67">
        <f t="shared" si="62"/>
        <v>23.331800000000001</v>
      </c>
      <c r="AA210" s="67">
        <f t="shared" si="63"/>
        <v>23.285400000000003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4"/>
        <v>41-05</v>
      </c>
      <c r="AE210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0" s="88" t="str">
        <f t="shared" si="66"/>
        <v>"C:\Program Files (x86)\AstroGrep\AstroGrep.exe" /spath="%USERPROFILE%\AppData\Local\Temp\OnboardLogs" /stypes="app*4053*19691231*" /stext=" 23:.+((SYSTEM_STATE.+slice.+state.+changed )|(ment ac)|(system.+state.+changed )|(\[timeout)|(PRM\|1\|D)|(kpr)|(kdp)|(\|loc)|(penalty))"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41-05 --locoid 4053 --swversion DE.1.0.8.0 --startMP 204:464 --initTime 2016-11-06T01:55:21 --startdatetime 1969-12-31T17:00:00 --delay 1 --endMP 204:233318 --enddatetime 1969-12-31T17:00:00 --enforcementcount 0 &gt;&gt;C:\Users\stu\Documents\GitHub\eaglep3-reporting\EC\2016-11-05-refined-times.txt</v>
      </c>
      <c r="AI210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{"issue":{"subject":"","project_id":79,"tracker_id":40,"status_id":1,"priority_id":2,"assigned_to_id":23,"start_date":"1969-12-31","description":"","custom_fields":[{"id":1,"name":"Subdivision","value":"Other"},{"id":4,"name":"Milepost","value":"23.3318"},{"id":17,"name":"Train ID","value":"41-05"},{"id":16,"name":"Locomotive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753</v>
      </c>
      <c r="B211" s="7">
        <v>4054</v>
      </c>
      <c r="C211" s="22" t="s">
        <v>242</v>
      </c>
      <c r="D211" s="22" t="s">
        <v>754</v>
      </c>
      <c r="E211" s="13">
        <v>42680.081435185188</v>
      </c>
      <c r="F211" s="13">
        <v>42680.083460648151</v>
      </c>
      <c r="G211" s="7">
        <v>1</v>
      </c>
      <c r="H211" s="22" t="s">
        <v>313</v>
      </c>
      <c r="I211" s="13">
        <v>42680.109212962961</v>
      </c>
      <c r="J211" s="7">
        <v>0</v>
      </c>
      <c r="K211" s="112" t="str">
        <f t="shared" si="53"/>
        <v>4053/4054</v>
      </c>
      <c r="L211" s="22" t="e">
        <f>VLOOKUP(A211,'Trips&amp;Operators'!$C$1:$E$10000,3,FALSE)</f>
        <v>#N/A</v>
      </c>
      <c r="M211" s="6">
        <f t="shared" si="54"/>
        <v>2.5752314810233656E-2</v>
      </c>
      <c r="N211" s="7">
        <f t="shared" si="55"/>
        <v>37.083333326736465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https://search-rtdc-monitor-bjffxe2xuh6vdkpspy63sjmuny.us-east-1.es.amazonaws.com/_plugin/kibana/#/discover/Steve-Slow-Train-Analysis-(2080s-and-2083s)?_g=(refreshInterval:(display:Off,section:0,value:0),time:(from:'2016-11-06 00:57:16-0600',mode:absolute,to:'2016-11-06 03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1" s="52" t="str">
        <f t="shared" si="59"/>
        <v>N</v>
      </c>
      <c r="X211" s="177" t="e">
        <f t="shared" si="60"/>
        <v>#VALUE!</v>
      </c>
      <c r="Y211" s="67">
        <f t="shared" si="61"/>
        <v>23.300699999999999</v>
      </c>
      <c r="Z211" s="67">
        <f t="shared" si="62"/>
        <v>1.2699999999999999E-2</v>
      </c>
      <c r="AA211" s="67">
        <f t="shared" si="63"/>
        <v>23.288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4"/>
        <v>42-05</v>
      </c>
      <c r="AE211" s="91" t="str">
        <f t="shared" si="65"/>
        <v>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 &amp; 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</v>
      </c>
      <c r="AF211" s="88" t="str">
        <f t="shared" si="66"/>
        <v>"C:\Program Files (x86)\AstroGrep\AstroGrep.exe" /spath="%USERPROFILE%\AppData\Local\Temp\OnboardLogs" /stypes="app*4054*20161106*" /stext=" 08:.+((SYSTEM_STATE.+slice.+state.+changed )|(ment ac)|(system.+state.+changed )|(\[timeout)|(PRM\|1\|D)|(kpr)|(kdp)|(\|loc)|(penalty))"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42-05 --locoid 4054 --swversion DE.1.0.8.0 --startMP 204:233007 --initTime 2016-11-06T01:57:16 --startdatetime 2016-11-06T02:00:11 --delay 1 --endMP 204:127 --enddatetime 2016-11-06T02:37:16 --enforcementcount 0 &gt;&gt;C:\Users\stu\Documents\GitHub\eaglep3-reporting\EC\2016-11-05-refined-times.txt</v>
      </c>
      <c r="AI211" s="122" t="str">
        <f t="shared" si="69"/>
        <v>echo {"issue":{"subject":"","project_id":79,"tracker_id":40,"status_id":1,"priority_id":2,"assigned_to_id":23,"start_date":"2016-11-06","description":"","custom_fields":[{"id":1,"name":"Subdivision","value":"Other"},{"id":4,"name":"Milepost","value":"0.0127"},{"id":17,"name":"Train ID","value":"42-05"},{"id":16,"name":"Locomotive ID","value":"4054"},{"id":130,"name":"Impact","value":""},{"id":150,"name":"Time of Event (Mountain Time)","value":"02:37:16"},{"id":151,"name":"Denver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435</v>
      </c>
      <c r="B212" s="7">
        <v>4037</v>
      </c>
      <c r="C212" s="22" t="s">
        <v>242</v>
      </c>
      <c r="D212" s="22" t="s">
        <v>755</v>
      </c>
      <c r="E212" s="13">
        <v>42679.745949074073</v>
      </c>
      <c r="F212" s="13">
        <v>42679.748206018521</v>
      </c>
      <c r="G212" s="7">
        <v>3</v>
      </c>
      <c r="H212" s="22" t="s">
        <v>756</v>
      </c>
      <c r="I212" s="13">
        <v>42679.754930555559</v>
      </c>
      <c r="J212" s="7">
        <v>0</v>
      </c>
      <c r="K212" s="112" t="str">
        <f t="shared" si="53"/>
        <v>4037/4038</v>
      </c>
      <c r="L212" s="22" t="str">
        <f>VLOOKUP(A212,'Trips&amp;Operators'!$C$1:$E$10000,3,FALSE)</f>
        <v>MAHAN</v>
      </c>
      <c r="M212" s="6">
        <f t="shared" si="54"/>
        <v>6.7245370373711921E-3</v>
      </c>
      <c r="N212" s="7">
        <f t="shared" si="55"/>
        <v>9.6833333338145167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16:54:10-0600',mode:absolute,to:'2016-11-05 19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2" s="52" t="str">
        <f t="shared" si="59"/>
        <v>Y</v>
      </c>
      <c r="X212" s="177" t="e">
        <f t="shared" si="60"/>
        <v>#VALUE!</v>
      </c>
      <c r="Y212" s="67">
        <f t="shared" si="61"/>
        <v>2.2995999999999999</v>
      </c>
      <c r="Z212" s="67">
        <f t="shared" si="62"/>
        <v>8.77E-2</v>
      </c>
      <c r="AA212" s="67">
        <f t="shared" si="63"/>
        <v>2.2119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4"/>
        <v>58-05</v>
      </c>
      <c r="AE212" s="91" t="str">
        <f t="shared" si="65"/>
        <v>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 &amp; aws s3 cp s3://rtdc.mdm.uploadarchive.raw/RTDC4037/ "%USERPROFILE%\AppData\Local\Temp\OnboardLogs"\RTDC4037\2016-11-06 --exclude "*" --recursive --include "*20161106*" &amp; "%USERPROFILE%\Documents\GitHub\mrs-test-scripts\Headless Mode &amp; Sideloading\WalkAndUnGZ.bat" "%USERPROFILE%\AppData\Local\Temp\OnboardLogs"\RTDC4037\2016-11-06</v>
      </c>
      <c r="AF212" s="88" t="str">
        <f t="shared" si="66"/>
        <v>"C:\Program Files (x86)\AstroGrep\AstroGrep.exe" /spath="%USERPROFILE%\AppData\Local\Temp\OnboardLogs" /stypes="app*4037*20161106*" /stext=" 00:.+((SYSTEM_STATE.+slice.+state.+changed )|(ment ac)|(system.+state.+changed )|(\[timeout)|(PRM\|1\|D)|(kpr)|(kdp)|(\|loc)|(penalty))"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58-05 --locoid 4037 --swversion DE.1.0.8.0 --startMP 300:22996 --initTime 2016-11-05T17:54:10 --startdatetime 2016-11-05T17:57:25 --delay 3 --endMP 204:877 --enddatetime 2016-11-05T18:07:06 --enforcementcount 0 &gt;&gt;C:\Users\stu\Documents\GitHub\eaglep3-reporting\EC\2016-11-05-refined-times.txt</v>
      </c>
      <c r="AI212" s="122" t="str">
        <f t="shared" si="69"/>
        <v>echo {"issue":{"subject":"","project_id":79,"tracker_id":40,"status_id":1,"priority_id":2,"assigned_to_id":23,"start_date":"2016-11-05","description":"","custom_fields":[{"id":1,"name":"Subdivision","value":"Other"},{"id":4,"name":"Milepost","value":"0.0877"},{"id":17,"name":"Train ID","value":"58-05"},{"id":16,"name":"Locomotive ID","value":"4037"},{"id":130,"name":"Impact","value":""},{"id":150,"name":"Time of Event (Mountain Time)","value":"18:07:06"},{"id":151,"name":"Denver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582</v>
      </c>
      <c r="B213" s="7">
        <v>4018</v>
      </c>
      <c r="C213" s="22" t="s">
        <v>242</v>
      </c>
      <c r="D213" s="22" t="s">
        <v>757</v>
      </c>
      <c r="E213" s="13">
        <v>42679.72583333333</v>
      </c>
      <c r="F213" s="13">
        <v>25568.708333333332</v>
      </c>
      <c r="G213" s="7">
        <v>1</v>
      </c>
      <c r="H213" s="22" t="s">
        <v>758</v>
      </c>
      <c r="I213" s="13">
        <v>25568.708333333332</v>
      </c>
      <c r="J213" s="7">
        <v>0</v>
      </c>
      <c r="K213" s="112" t="str">
        <f t="shared" si="53"/>
        <v>4017/4018</v>
      </c>
      <c r="L213" s="22" t="str">
        <f>VLOOKUP(A213,'Trips&amp;Operators'!$C$1:$E$10000,3,FALSE)</f>
        <v>OUN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https://search-rtdc-monitor-bjffxe2xuh6vdkpspy63sjmuny.us-east-1.es.amazonaws.com/_plugin/kibana/#/discover/Steve-Slow-Train-Analysis-(2080s-and-2083s)?_g=(refreshInterval:(display:Off,section:0,value:0),time:(from:'2016-11-05 16:25:12-0600',mode:absolute,to:'1969-12-31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0.14810000000000001</v>
      </c>
      <c r="Z213" s="67">
        <f t="shared" si="62"/>
        <v>2.3315999999999999</v>
      </c>
      <c r="AA213" s="67">
        <f t="shared" si="63"/>
        <v>2.1835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4"/>
        <v>79-05</v>
      </c>
      <c r="AE213" s="91" t="str">
        <f t="shared" si="6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3" s="88" t="str">
        <f t="shared" si="66"/>
        <v>"C:\Program Files (x86)\AstroGrep\AstroGrep.exe" /spath="%USERPROFILE%\AppData\Local\Temp\OnboardLogs" /stypes="app*4018*19691231*" /stext=" 23:.+((SYSTEM_STATE.+slice.+state.+changed )|(ment ac)|(system.+state.+changed )|(\[timeout)|(PRM\|1\|D)|(kpr)|(kdp)|(\|loc)|(penalty))"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79-05 --locoid 4018 --swversion DE.1.0.8.0 --startMP 204:1481 --initTime 2016-11-05T17:25:12 --startdatetime 1969-12-31T17:00:00 --delay 1 --endMP 300:23316 --enddatetime 1969-12-31T17:00:00 --enforcementcount 0 &gt;&gt;C:\Users\stu\Documents\GitHub\eaglep3-reporting\EC\2016-11-05-refined-times.txt</v>
      </c>
      <c r="AI213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ID","value":"79-05"},{"id":16,"name":"Locomotive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</sheetData>
  <autoFilter ref="A12:AG259">
    <sortState ref="A13:AG263">
      <sortCondition ref="AG13:AG217"/>
      <sortCondition ref="AD13:AD217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13">
    <cfRule type="cellIs" dxfId="14" priority="344" operator="equal">
      <formula>"Y"</formula>
    </cfRule>
  </conditionalFormatting>
  <conditionalFormatting sqref="X260:X1048576 X13:X213">
    <cfRule type="cellIs" dxfId="13" priority="327" operator="greaterThan">
      <formula>1</formula>
    </cfRule>
  </conditionalFormatting>
  <conditionalFormatting sqref="X260:X1048576 X12:X213">
    <cfRule type="cellIs" dxfId="12" priority="324" operator="equal">
      <formula>0</formula>
    </cfRule>
  </conditionalFormatting>
  <conditionalFormatting sqref="A13:S213">
    <cfRule type="expression" dxfId="11" priority="318" stopIfTrue="1">
      <formula>$P13&gt;0</formula>
    </cfRule>
    <cfRule type="expression" dxfId="10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abSelected="1" topLeftCell="A2" workbookViewId="0">
      <selection activeCell="P11" sqref="P1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1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2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29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- 2016-11-05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42679.369108796294</v>
      </c>
      <c r="B7" s="31" t="s">
        <v>232</v>
      </c>
      <c r="C7" s="31" t="s">
        <v>421</v>
      </c>
      <c r="D7" s="31" t="s">
        <v>49</v>
      </c>
      <c r="E7" s="31" t="s">
        <v>154</v>
      </c>
      <c r="F7" s="47">
        <v>0</v>
      </c>
      <c r="G7" s="47">
        <v>249</v>
      </c>
      <c r="H7" s="47">
        <v>26782</v>
      </c>
      <c r="I7" s="47">
        <v>27122</v>
      </c>
      <c r="J7" s="31" t="s">
        <v>153</v>
      </c>
      <c r="K7" s="47">
        <v>27053</v>
      </c>
      <c r="L7" s="157" t="s">
        <v>50</v>
      </c>
      <c r="M7" s="158">
        <f t="shared" ref="M7:M37" si="0">CONVERT((I7-K7)/10000,"mi","ft")*IF(L7="Increasing Mileposts (1)",-1,1)</f>
        <v>-36.432000000000002</v>
      </c>
      <c r="N7" s="159" t="str">
        <f>VLOOKUP(C7,'Trips&amp;Operators'!$C$1:$E$99999,3,FALSE)</f>
        <v>MAELZER</v>
      </c>
      <c r="O7" s="184" t="s">
        <v>213</v>
      </c>
      <c r="P7" s="160" t="s">
        <v>781</v>
      </c>
      <c r="Q7" s="31"/>
      <c r="R7" s="100" t="str">
        <f>VLOOKUP(C7,'Train Runs'!$A$13:$AE$10003,31,0)</f>
        <v>aws s3 cp s3://rtdc.mdm.uploadarchive.raw/RTDC4011/ "%USERPROFILE%\AppData\Local\Temp\OnboardLogs"\RTDC4011\2016-11-05 --exclude "*" --recursive --include "*20161105*" &amp; "%USERPROFILE%\Documents\GitHub\mrs-test-scripts\Headless Mode &amp; Sideloading\WalkAndUnGZ.bat" "%USERPROFILE%\AppData\Local\Temp\OnboardLogs"\RTDC4011\2016-11-05 &amp; aws s3 cp s3://rtdc.mdm.uploadarchive.raw/RTDC4011/ "%USERPROFILE%\AppData\Local\Temp\OnboardLogs"\RTDC4011\2016-11-06 --exclude "*" --recursive --include "*20161106*" &amp; "%USERPROFILE%\Documents\GitHub\mrs-test-scripts\Headless Mode &amp; Sideloading\WalkAndUnGZ.bat" "%USERPROFILE%\AppData\Local\Temp\OnboardLogs"\RTDC4011\2016-11-06</v>
      </c>
      <c r="S7" s="103" t="str">
        <f>VLOOKUP(C7,'Train Runs'!$A$13:$AE$10003,22,0)</f>
        <v>https://search-rtdc-monitor-bjffxe2xuh6vdkpspy63sjmuny.us-east-1.es.amazonaws.com/_plugin/kibana/#/discover/Steve-Slow-Train-Analysis-(2080s-and-2083s)?_g=(refreshInterval:(display:Off,section:0,value:0),time:(from:'2016-11-05 07:36:04-0600',mode:absolute,to:'2016-11-05 10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7" s="105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/stypes="*4011*201611051*" /stext=" 14:.+((SYSTEM_STATE.+slice.+state.+changed )|(ment ac)|(system.+state.+changed )|(\[timeout)|(PRM\|1\|D)|(kpr)|(kdp)|(\|loc)|(penalty))" /e /r /s</v>
      </c>
      <c r="U7" s="9" t="str">
        <f t="shared" ref="U7:U37" si="2">MID(B7,13,4)</f>
        <v>4011</v>
      </c>
      <c r="V7" s="36">
        <f t="shared" ref="V7:V37" si="3">A7+6/24</f>
        <v>42679.619108796294</v>
      </c>
      <c r="W7" s="50" t="str">
        <f t="shared" ref="W7:W37" si="4">IF(VALUE(LEFT(IF(LEN(C7)=6,"0"&amp;C7,C7),2))&lt;=2,"EC",IF(OR(VALUE(LEFT(IF(LEN(C7)=6,"0"&amp;C7,C7),2))=8,VALUE(LEFT(IF(LEN(C7)=6,"0"&amp;C7,C7),2))=18),"NW","Other"))</f>
        <v>EC</v>
      </c>
      <c r="X7" s="50" t="str">
        <f t="shared" ref="X7:X37" si="5">IF(AND(E7="TRACK WARRANT AUTHORITY",G7&lt;10),"OMIT","KEEP")</f>
        <v>KEEP</v>
      </c>
      <c r="Y7" s="122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enough","project_id":79,"tracker_id":40,"status_id":1,"priority_id":2,"assigned_to_id":23,"start_date":"2016-11-05","description":"","custom_fields":[{"id":1,"name":"Subdivision","value":"EC"},{"id":4,"name":"Milepost","value":"2.7053"},{"id":17,"name":"Train ID","value":"141-05"},{"id":16,"name":"Locomotive ID","value":"4011"},{"id":130,"name":"Impact","value":""},{"id":150,"name":"Time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"%USERPROFILE%\AppData\Local\Temp\OnboardLogs"\RTDC4011\*4011*201611051* | grep -SE "((Enforcement Ac)|(PRM))" -</v>
      </c>
    </row>
    <row r="8" spans="1:29" s="1" customFormat="1" x14ac:dyDescent="0.25">
      <c r="A8" s="36">
        <v>42679.536030092589</v>
      </c>
      <c r="B8" s="31" t="s">
        <v>324</v>
      </c>
      <c r="C8" s="31" t="s">
        <v>427</v>
      </c>
      <c r="D8" s="31" t="s">
        <v>49</v>
      </c>
      <c r="E8" s="31" t="s">
        <v>154</v>
      </c>
      <c r="F8" s="47">
        <v>0</v>
      </c>
      <c r="G8" s="47">
        <v>162</v>
      </c>
      <c r="H8" s="47">
        <v>27000</v>
      </c>
      <c r="I8" s="47">
        <v>27212</v>
      </c>
      <c r="J8" s="31" t="s">
        <v>153</v>
      </c>
      <c r="K8" s="47">
        <v>27053</v>
      </c>
      <c r="L8" s="157" t="s">
        <v>50</v>
      </c>
      <c r="M8" s="158">
        <f t="shared" si="0"/>
        <v>-83.951999999999998</v>
      </c>
      <c r="N8" s="159" t="str">
        <f>VLOOKUP(C8,'Trips&amp;Operators'!$C$1:$E$99999,3,FALSE)</f>
        <v>STEWART</v>
      </c>
      <c r="O8" s="184" t="s">
        <v>213</v>
      </c>
      <c r="P8" s="160" t="s">
        <v>781</v>
      </c>
      <c r="Q8" s="31"/>
      <c r="R8" s="100" t="str">
        <f>VLOOKUP(C8,'Train Runs'!$A$13:$AE$10003,31,0)</f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S8" s="103" t="str">
        <f>VLOOKUP(C8,'Train Runs'!$A$13:$AE$10003,22,0)</f>
        <v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8" s="105" t="str">
        <f t="shared" si="1"/>
        <v>"C:\Program Files (x86)\AstroGrep\AstroGrep.exe" /spath="%USERPROFILE%\AppData\Local\Temp\OnboardLogs" /stypes="*4018*201611051*" /stext=" 18:.+((SYSTEM_STATE.+slice.+state.+changed )|(ment ac)|(system.+state.+changed )|(\[timeout)|(PRM\|1\|D)|(kpr)|(kdp)|(\|loc)|(penalty))" /e /r /s</v>
      </c>
      <c r="U8" s="9" t="str">
        <f t="shared" si="2"/>
        <v>4018</v>
      </c>
      <c r="V8" s="36">
        <f t="shared" si="3"/>
        <v>42679.786030092589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enough","project_id":79,"tracker_id":40,"status_id":1,"priority_id":2,"assigned_to_id":23,"start_date":"2016-11-05","description":"","custom_fields":[{"id":1,"name":"Subdivision","value":"EC"},{"id":4,"name":"Milepost","value":"2.7053"},{"id":17,"name":"Train ID","value":"173-05"},{"id":16,"name":"Locomotive ID","value":"4018"},{"id":130,"name":"Impact","value":""},{"id":150,"name":"Time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"%USERPROFILE%\AppData\Local\Temp\OnboardLogs"\RTDC4018\*4018*201611051* | grep -SE "((Enforcement Ac)|(PRM))" -</v>
      </c>
    </row>
    <row r="9" spans="1:29" s="1" customFormat="1" x14ac:dyDescent="0.25">
      <c r="A9" s="36">
        <v>42679.675000000003</v>
      </c>
      <c r="B9" s="31" t="s">
        <v>325</v>
      </c>
      <c r="C9" s="31" t="s">
        <v>433</v>
      </c>
      <c r="D9" s="31" t="s">
        <v>49</v>
      </c>
      <c r="E9" s="31" t="s">
        <v>154</v>
      </c>
      <c r="F9" s="47">
        <v>0</v>
      </c>
      <c r="G9" s="47">
        <v>121</v>
      </c>
      <c r="H9" s="47">
        <v>27356</v>
      </c>
      <c r="I9" s="47">
        <v>27218</v>
      </c>
      <c r="J9" s="31" t="s">
        <v>153</v>
      </c>
      <c r="K9" s="47">
        <v>27350</v>
      </c>
      <c r="L9" s="157" t="s">
        <v>51</v>
      </c>
      <c r="M9" s="158">
        <f t="shared" si="0"/>
        <v>-69.695999999999998</v>
      </c>
      <c r="N9" s="159" t="str">
        <f>VLOOKUP(C9,'Trips&amp;Operators'!$C$1:$E$99999,3,FALSE)</f>
        <v>BARTLETT</v>
      </c>
      <c r="O9" s="184" t="s">
        <v>213</v>
      </c>
      <c r="P9" s="160" t="s">
        <v>781</v>
      </c>
      <c r="Q9" s="31"/>
      <c r="R9" s="100" t="str">
        <f>VLOOKUP(C9,'Train Runs'!$A$13:$AE$10003,31,0)</f>
        <v>aws s3 cp s3://rtdc.mdm.uploadarchive.raw/RTDC4054/ "%USERPROFILE%\AppData\Local\Temp\OnboardLogs"\RTDC4054\2016-11-05 --exclude "*" --recursive --include "*20161105*" &amp; "%USERPROFILE%\Documents\GitHub\mrs-test-scripts\Headless Mode &amp; Sideloading\WalkAndUnGZ.bat" "%USERPROFILE%\AppData\Local\Temp\OnboardLogs"\RTDC4054\2016-11-05 &amp; aws s3 cp s3://rtdc.mdm.uploadarchive.raw/RTDC4054/ "%USERPROFILE%\AppData\Local\Temp\OnboardLogs"\RTDC4054\2016-11-06 --exclude "*" --recursive --include "*20161106*" &amp; "%USERPROFILE%\Documents\GitHub\mrs-test-scripts\Headless Mode &amp; Sideloading\WalkAndUnGZ.bat" "%USERPROFILE%\AppData\Local\Temp\OnboardLogs"\RTDC4054\2016-11-06</v>
      </c>
      <c r="S9" s="103" t="str">
        <f>VLOOKUP(C9,'Train Runs'!$A$13:$AE$10003,22,0)</f>
        <v>https://search-rtdc-monitor-bjffxe2xuh6vdkpspy63sjmuny.us-east-1.es.amazonaws.com/_plugin/kibana/#/discover/Steve-Slow-Train-Analysis-(2080s-and-2083s)?_g=(refreshInterval:(display:Off,section:0,value:0),time:(from:'2016-11-05 14:23:37-0600',mode:absolute,to:'2016-11-05 17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9" s="105" t="str">
        <f t="shared" si="1"/>
        <v>"C:\Program Files (x86)\AstroGrep\AstroGrep.exe" /spath="%USERPROFILE%\AppData\Local\Temp\OnboardLogs" /stypes="*4054*201611052*" /stext=" 22:.+((SYSTEM_STATE.+slice.+state.+changed )|(ment ac)|(system.+state.+changed )|(\[timeout)|(PRM\|1\|D)|(kpr)|(kdp)|(\|loc)|(penalty))" /e /r /s</v>
      </c>
      <c r="U9" s="9" t="str">
        <f t="shared" si="2"/>
        <v>4054</v>
      </c>
      <c r="V9" s="36">
        <f t="shared" si="3"/>
        <v>42679.925000000003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arrival; didn't slow down quickly enough","project_id":79,"tracker_id":40,"status_id":1,"priority_id":2,"assigned_to_id":23,"start_date":"2016-11-05","description":"","custom_fields":[{"id":1,"name":"Subdivision","value":"EC"},{"id":4,"name":"Milepost","value":"2.735"},{"id":17,"name":"Train ID","value":"190-05"},{"id":16,"name":"Locomotive ID","value":"4054"},{"id":130,"name":"Impact","value":""},{"id":150,"name":"Time of Event (Mountain Time)","value":"16:12:00"},{"id":151,"name":"Denver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"%USERPROFILE%\AppData\Local\Temp\OnboardLogs"\RTDC4054\*4054*201611052* | grep -SE "((Enforcement Ac)|(PRM))" -</v>
      </c>
    </row>
    <row r="10" spans="1:29" s="1" customFormat="1" x14ac:dyDescent="0.25">
      <c r="A10" s="36">
        <v>42679.300185185188</v>
      </c>
      <c r="B10" s="31" t="s">
        <v>322</v>
      </c>
      <c r="C10" s="31" t="s">
        <v>419</v>
      </c>
      <c r="D10" s="31" t="s">
        <v>98</v>
      </c>
      <c r="E10" s="31" t="s">
        <v>154</v>
      </c>
      <c r="F10" s="47">
        <v>190</v>
      </c>
      <c r="G10" s="47">
        <v>242</v>
      </c>
      <c r="H10" s="47">
        <v>27069</v>
      </c>
      <c r="I10" s="47">
        <v>26443</v>
      </c>
      <c r="J10" s="31" t="s">
        <v>153</v>
      </c>
      <c r="K10" s="47">
        <v>27350</v>
      </c>
      <c r="L10" s="157" t="s">
        <v>51</v>
      </c>
      <c r="M10" s="158">
        <f t="shared" si="0"/>
        <v>-478.89600000000002</v>
      </c>
      <c r="N10" s="159" t="str">
        <f>VLOOKUP(C10,'Trips&amp;Operators'!$C$1:$E$99999,3,FALSE)</f>
        <v>MALAVE</v>
      </c>
      <c r="O10" s="184" t="s">
        <v>213</v>
      </c>
      <c r="P10" s="160" t="s">
        <v>783</v>
      </c>
      <c r="Q10" s="31"/>
      <c r="R10" s="100" t="str">
        <f>VLOOKUP(C10,'Train Runs'!$A$13:$AE$10003,31,0)</f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S10" s="103" t="str">
        <f>VLOOKUP(C10,'Train Runs'!$A$13:$AE$10003,22,0)</f>
        <v>https://search-rtdc-monitor-bjffxe2xuh6vdkpspy63sjmuny.us-east-1.es.amazonaws.com/_plugin/kibana/#/discover/Steve-Slow-Train-Analysis-(2080s-and-2083s)?_g=(refreshInterval:(display:Off,section:0,value:0),time:(from:'2016-11-05 05:39:30-0600',mode:absolute,to:'2016-11-05 08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5" t="str">
        <f t="shared" si="1"/>
        <v>"C:\Program Files (x86)\AstroGrep\AstroGrep.exe" /spath="%USERPROFILE%\AppData\Local\Temp\OnboardLogs" /stypes="*4017*201611051*" /stext=" 13:.+((SYSTEM_STATE.+slice.+state.+changed )|(ment ac)|(system.+state.+changed )|(\[timeout)|(PRM\|1\|D)|(kpr)|(kdp)|(\|loc)|(penalty))" /e /r /s</v>
      </c>
      <c r="U10" s="9" t="str">
        <f t="shared" si="2"/>
        <v>4017</v>
      </c>
      <c r="V10" s="36">
        <f t="shared" si="3"/>
        <v>42679.550185185188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arrival; Accelerated before clearing crossing","project_id":79,"tracker_id":40,"status_id":1,"priority_id":2,"assigned_to_id":23,"start_date":"2016-11-05","description":"","custom_fields":[{"id":1,"name":"Subdivision","value":"EC"},{"id":4,"name":"Milepost","value":"2.735"},{"id":17,"name":"Train ID","value":"118-05"},{"id":16,"name":"Locomotive ID","value":"4017"},{"id":130,"name":"Impact","value":""},{"id":150,"name":"Time of Event (Mountain Time)","value":"07:12:16"},{"id":151,"name":"Denver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"%USERPROFILE%\AppData\Local\Temp\OnboardLogs"\RTDC4017\*4017*201611051* | grep -SE "((Enforcement Ac)|(PRM))" -</v>
      </c>
    </row>
    <row r="11" spans="1:29" s="1" customFormat="1" x14ac:dyDescent="0.25">
      <c r="A11" s="36">
        <v>42679.797013888892</v>
      </c>
      <c r="B11" s="31" t="s">
        <v>249</v>
      </c>
      <c r="C11" s="31" t="s">
        <v>438</v>
      </c>
      <c r="D11" s="31" t="s">
        <v>98</v>
      </c>
      <c r="E11" s="31" t="s">
        <v>154</v>
      </c>
      <c r="F11" s="47">
        <v>230</v>
      </c>
      <c r="G11" s="47">
        <v>283</v>
      </c>
      <c r="H11" s="47">
        <v>31027</v>
      </c>
      <c r="I11" s="47">
        <v>31708</v>
      </c>
      <c r="J11" s="31" t="s">
        <v>153</v>
      </c>
      <c r="K11" s="47">
        <v>30830</v>
      </c>
      <c r="L11" s="157" t="s">
        <v>50</v>
      </c>
      <c r="M11" s="158">
        <f t="shared" si="0"/>
        <v>-463.584</v>
      </c>
      <c r="N11" s="159" t="str">
        <f>VLOOKUP(C11,'Trips&amp;Operators'!$C$1:$E$99999,3,FALSE)</f>
        <v>LEVIN</v>
      </c>
      <c r="O11" s="184" t="s">
        <v>213</v>
      </c>
      <c r="P11" s="160" t="s">
        <v>783</v>
      </c>
      <c r="Q11" s="31"/>
      <c r="R11" s="100" t="str">
        <f>VLOOKUP(C11,'Train Runs'!$A$13:$AE$10003,31,0)</f>
        <v>aws s3 cp s3://rtdc.mdm.uploadarchive.raw/RTDC4014/ "%USERPROFILE%\AppData\Local\Temp\OnboardLogs"\RTDC4014\2016-11-05 --exclude "*" --recursive --include "*20161105*" &amp; "%USERPROFILE%\Documents\GitHub\mrs-test-scripts\Headless Mode &amp; Sideloading\WalkAndUnGZ.bat" "%USERPROFILE%\AppData\Local\Temp\OnboardLogs"\RTDC4014\2016-11-05 &amp; aws s3 cp s3://rtdc.mdm.uploadarchive.raw/RTDC4014/ "%USERPROFILE%\AppData\Local\Temp\OnboardLogs"\RTDC4014\2016-11-06 --exclude "*" --recursive --include "*20161106*" &amp; "%USERPROFILE%\Documents\GitHub\mrs-test-scripts\Headless Mode &amp; Sideloading\WalkAndUnGZ.bat" "%USERPROFILE%\AppData\Local\Temp\OnboardLogs"\RTDC4014\2016-11-06</v>
      </c>
      <c r="S11" s="103" t="str">
        <f>VLOOKUP(C11,'Train Runs'!$A$13:$AE$10003,22,0)</f>
        <v>https://search-rtdc-monitor-bjffxe2xuh6vdkpspy63sjmuny.us-east-1.es.amazonaws.com/_plugin/kibana/#/discover/Steve-Slow-Train-Analysis-(2080s-and-2083s)?_g=(refreshInterval:(display:Off,section:0,value:0),time:(from:'2016-11-05 17:52:41-0600',mode:absolute,to:'2016-11-05 21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1" s="105" t="str">
        <f t="shared" si="1"/>
        <v>"C:\Program Files (x86)\AstroGrep\AstroGrep.exe" /spath="%USERPROFILE%\AppData\Local\Temp\OnboardLogs" /stypes="*4014*201611060*" /stext=" 01:.+((SYSTEM_STATE.+slice.+state.+changed )|(ment ac)|(system.+state.+changed )|(\[timeout)|(PRM\|1\|D)|(kpr)|(kdp)|(\|loc)|(penalty))" /e /r /s</v>
      </c>
      <c r="U11" s="9" t="str">
        <f t="shared" si="2"/>
        <v>4014</v>
      </c>
      <c r="V11" s="36">
        <f t="shared" si="3"/>
        <v>42680.047013888892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arrival; Accelerated before clearing crossing","project_id":79,"tracker_id":40,"status_id":1,"priority_id":2,"assigned_to_id":23,"start_date":"2016-11-05","description":"","custom_fields":[{"id":1,"name":"Subdivision","value":"EC"},{"id":4,"name":"Milepost","value":"3.083"},{"id":17,"name":"Train ID","value":"221-05"},{"id":16,"name":"Locomotive ID","value":"4014"},{"id":130,"name":"Impact","value":""},{"id":150,"name":"Time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"%USERPROFILE%\AppData\Local\Temp\OnboardLogs"\RTDC4014\*4014*201611060* | grep -SE "((Enforcement Ac)|(PRM))" -</v>
      </c>
    </row>
    <row r="12" spans="1:29" s="1" customFormat="1" x14ac:dyDescent="0.25">
      <c r="A12" s="36">
        <v>42679.537800925929</v>
      </c>
      <c r="B12" s="31" t="s">
        <v>324</v>
      </c>
      <c r="C12" s="31" t="s">
        <v>427</v>
      </c>
      <c r="D12" s="31" t="s">
        <v>49</v>
      </c>
      <c r="E12" s="31" t="s">
        <v>154</v>
      </c>
      <c r="F12" s="47">
        <v>350</v>
      </c>
      <c r="G12" s="47">
        <v>404</v>
      </c>
      <c r="H12" s="47">
        <v>33091</v>
      </c>
      <c r="I12" s="47">
        <v>34047</v>
      </c>
      <c r="J12" s="31" t="s">
        <v>153</v>
      </c>
      <c r="K12" s="47">
        <v>33137</v>
      </c>
      <c r="L12" s="157" t="s">
        <v>50</v>
      </c>
      <c r="M12" s="158">
        <f t="shared" si="0"/>
        <v>-480.48</v>
      </c>
      <c r="N12" s="159" t="str">
        <f>VLOOKUP(C12,'Trips&amp;Operators'!$C$1:$E$99999,3,FALSE)</f>
        <v>STEWART</v>
      </c>
      <c r="O12" s="184" t="s">
        <v>213</v>
      </c>
      <c r="P12" s="160" t="s">
        <v>782</v>
      </c>
      <c r="Q12" s="31"/>
      <c r="R12" s="100" t="str">
        <f>VLOOKUP(C12,'Train Runs'!$A$13:$AE$10003,31,0)</f>
        <v>aws s3 cp s3://rtdc.mdm.uploadarchive.raw/RTDC4018/ "%USERPROFILE%\AppData\Local\Temp\OnboardLogs"\RTDC4018\2016-11-05 --exclude "*" --recursive --include "*20161105*" &amp; "%USERPROFILE%\Documents\GitHub\mrs-test-scripts\Headless Mode &amp; Sideloading\WalkAndUnGZ.bat" "%USERPROFILE%\AppData\Local\Temp\OnboardLogs"\RTDC4018\2016-11-05 &amp; aws s3 cp s3://rtdc.mdm.uploadarchive.raw/RTDC4018/ "%USERPROFILE%\AppData\Local\Temp\OnboardLogs"\RTDC4018\2016-11-06 --exclude "*" --recursive --include "*20161106*" &amp; "%USERPROFILE%\Documents\GitHub\mrs-test-scripts\Headless Mode &amp; Sideloading\WalkAndUnGZ.bat" "%USERPROFILE%\AppData\Local\Temp\OnboardLogs"\RTDC4018\2016-11-06</v>
      </c>
      <c r="S12" s="103" t="str">
        <f>VLOOKUP(C12,'Train Runs'!$A$13:$AE$10003,22,0)</f>
        <v>https://search-rtdc-monitor-bjffxe2xuh6vdkpspy63sjmuny.us-east-1.es.amazonaws.com/_plugin/kibana/#/discover/Steve-Slow-Train-Analysis-(2080s-and-2083s)?_g=(refreshInterval:(display:Off,section:0,value:0),time:(from:'2016-11-05 11:37:55-0600',mode:absolute,to:'2016-11-05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2" s="105" t="str">
        <f t="shared" si="1"/>
        <v>"C:\Program Files (x86)\AstroGrep\AstroGrep.exe" /spath="%USERPROFILE%\AppData\Local\Temp\OnboardLogs" /stypes="*4018*201611051*" /stext=" 18:.+((SYSTEM_STATE.+slice.+state.+changed )|(ment ac)|(system.+state.+changed )|(\[timeout)|(PRM\|1\|D)|(kpr)|(kdp)|(\|loc)|(penalty))" /e /r /s</v>
      </c>
      <c r="U12" s="9" t="str">
        <f t="shared" si="2"/>
        <v>4018</v>
      </c>
      <c r="V12" s="36">
        <f t="shared" si="3"/>
        <v>42679.787800925929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arrival; Accelerated into crossing","project_id":79,"tracker_id":40,"status_id":1,"priority_id":2,"assigned_to_id":23,"start_date":"2016-11-05","description":"","custom_fields":[{"id":1,"name":"Subdivision","value":"EC"},{"id":4,"name":"Milepost","value":"3.3137"},{"id":17,"name":"Train ID","value":"173-05"},{"id":16,"name":"Locomotive ID","value":"4018"},{"id":130,"name":"Impact","value":""},{"id":150,"name":"Time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"%USERPROFILE%\AppData\Local\Temp\OnboardLogs"\RTDC4018\*4018*201611051* | grep -SE "((Enforcement Ac)|(PRM))" -</v>
      </c>
    </row>
    <row r="13" spans="1:29" s="1" customFormat="1" x14ac:dyDescent="0.25">
      <c r="A13" s="36">
        <v>42679.217372685183</v>
      </c>
      <c r="B13" s="31" t="s">
        <v>322</v>
      </c>
      <c r="C13" s="31" t="s">
        <v>416</v>
      </c>
      <c r="D13" s="31" t="s">
        <v>49</v>
      </c>
      <c r="E13" s="31" t="s">
        <v>214</v>
      </c>
      <c r="F13" s="47">
        <v>300</v>
      </c>
      <c r="G13" s="47">
        <v>394</v>
      </c>
      <c r="H13" s="47">
        <v>22753</v>
      </c>
      <c r="I13" s="47">
        <v>21816</v>
      </c>
      <c r="J13" s="31" t="s">
        <v>215</v>
      </c>
      <c r="K13" s="47">
        <v>21848</v>
      </c>
      <c r="L13" s="157" t="s">
        <v>51</v>
      </c>
      <c r="M13" s="158">
        <f t="shared" si="0"/>
        <v>-16.896000000000001</v>
      </c>
      <c r="N13" s="159" t="str">
        <f>VLOOKUP(C13,'Trips&amp;Operators'!$C$1:$E$99999,3,FALSE)</f>
        <v>MALAVE</v>
      </c>
      <c r="O13" s="184" t="s">
        <v>213</v>
      </c>
      <c r="P13" s="160"/>
      <c r="Q13" s="31"/>
      <c r="R13" s="100" t="str">
        <f>VLOOKUP(C13,'Train Runs'!$A$13:$AE$10003,31,0)</f>
        <v>aws s3 cp s3://rtdc.mdm.uploadarchive.raw/RTDC4017/ "%USERPROFILE%\AppData\Local\Temp\OnboardLogs"\RTDC4017\2016-11-05 --exclude "*" --recursive --include "*20161105*" &amp; "%USERPROFILE%\Documents\GitHub\mrs-test-scripts\Headless Mode &amp; Sideloading\WalkAndUnGZ.bat" "%USERPROFILE%\AppData\Local\Temp\OnboardLogs"\RTDC4017\2016-11-05 &amp; aws s3 cp s3://rtdc.mdm.uploadarchive.raw/RTDC4017/ "%USERPROFILE%\AppData\Local\Temp\OnboardLogs"\RTDC4017\2016-11-06 --exclude "*" --recursive --include "*20161106*" &amp; "%USERPROFILE%\Documents\GitHub\mrs-test-scripts\Headless Mode &amp; Sideloading\WalkAndUnGZ.bat" "%USERPROFILE%\AppData\Local\Temp\OnboardLogs"\RTDC4017\2016-11-06</v>
      </c>
      <c r="S13" s="103" t="str">
        <f>VLOOKUP(C13,'Train Runs'!$A$13:$AE$10003,22,0)</f>
        <v>https://search-rtdc-monitor-bjffxe2xuh6vdkpspy63sjmuny.us-east-1.es.amazonaws.com/_plugin/kibana/#/discover/Steve-Slow-Train-Analysis-(2080s-and-2083s)?_g=(refreshInterval:(display:Off,section:0,value:0),time:(from:'2016-11-05 03:38:51-0600',mode:absolute,to:'2016-11-05 06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3" s="105" t="str">
        <f t="shared" si="1"/>
        <v>"C:\Program Files (x86)\AstroGrep\AstroGrep.exe" /spath="%USERPROFILE%\AppData\Local\Temp\OnboardLogs" /stypes="*4017*201611051*" /stext=" 11:.+((SYSTEM_STATE.+slice.+state.+changed )|(ment ac)|(system.+state.+changed )|(\[timeout)|(PRM\|1\|D)|(kpr)|(kdp)|(\|loc)|(penalty))" /e /r /s</v>
      </c>
      <c r="U13" s="9" t="str">
        <f t="shared" si="2"/>
        <v>4017</v>
      </c>
      <c r="V13" s="36">
        <f t="shared" si="3"/>
        <v>42679.467372685183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{"issue":{"subject":"","project_id":79,"tracker_id":40,"status_id":1,"priority_id":2,"assigned_to_id":23,"start_date":"2016-11-05","description":"","custom_fields":[{"id":1,"name":"Subdivision","value":"EC"},{"id":4,"name":"Milepost","value":"2.1848"},{"id":17,"name":"Train ID","value":"104-05"},{"id":16,"name":"Locomotive ID","value":"4017"},{"id":130,"name":"Impact","value":""},{"id":150,"name":"Time of Event (Mountain Time)","value":"05:13:01"},{"id":151,"name":"Denver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"%USERPROFILE%\AppData\Local\Temp\OnboardLogs"\RTDC4017\*4017*201611051* | grep -SE "((Enforcement Ac)|(PRM))" -</v>
      </c>
    </row>
    <row r="14" spans="1:29" s="1" customFormat="1" x14ac:dyDescent="0.25">
      <c r="A14" s="36">
        <v>42679.77511574074</v>
      </c>
      <c r="B14" s="31" t="s">
        <v>328</v>
      </c>
      <c r="C14" s="31" t="s">
        <v>436</v>
      </c>
      <c r="D14" s="31" t="s">
        <v>49</v>
      </c>
      <c r="E14" s="31" t="s">
        <v>214</v>
      </c>
      <c r="F14" s="47">
        <v>400</v>
      </c>
      <c r="G14" s="47">
        <v>541</v>
      </c>
      <c r="H14" s="47">
        <v>115807</v>
      </c>
      <c r="I14" s="47">
        <v>117287</v>
      </c>
      <c r="J14" s="31" t="s">
        <v>215</v>
      </c>
      <c r="K14" s="47">
        <v>116838</v>
      </c>
      <c r="L14" s="157" t="s">
        <v>50</v>
      </c>
      <c r="M14" s="158">
        <f t="shared" si="0"/>
        <v>-237.072</v>
      </c>
      <c r="N14" s="159" t="str">
        <f>VLOOKUP(C14,'Trips&amp;Operators'!$C$1:$E$99999,3,FALSE)</f>
        <v>CHANDLER</v>
      </c>
      <c r="O14" s="184" t="s">
        <v>213</v>
      </c>
      <c r="P14" s="160"/>
      <c r="Q14" s="31"/>
      <c r="R14" s="100" t="str">
        <f>VLOOKUP(C14,'Train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14" s="103" t="str">
        <f>VLOOKUP(C14,'Train Runs'!$A$13:$AE$10003,22,0)</f>
        <v>https://search-rtdc-monitor-bjffxe2xuh6vdkpspy63sjmuny.us-east-1.es.amazonaws.com/_plugin/kibana/#/discover/Steve-Slow-Train-Analysis-(2080s-and-2083s)?_g=(refreshInterval:(display:Off,section:0,value:0),time:(from:'2016-11-05 17:10:36-0600',mode:absolute,to:'2016-11-05 19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4" s="105" t="str">
        <f t="shared" si="1"/>
        <v>"C:\Program Files (x86)\AstroGrep\AstroGrep.exe" /spath="%USERPROFILE%\AppData\Local\Temp\OnboardLogs" /stypes="*4053*201611060*" /stext=" 00:.+((SYSTEM_STATE.+slice.+state.+changed )|(ment ac)|(system.+state.+changed )|(\[timeout)|(PRM\|1\|D)|(kpr)|(kdp)|(\|loc)|(penalty))" /e /r /s</v>
      </c>
      <c r="U14" s="9" t="str">
        <f t="shared" si="2"/>
        <v>4053</v>
      </c>
      <c r="V14" s="36">
        <f t="shared" si="3"/>
        <v>42680.02511574074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{"issue":{"subject":"","project_id":79,"tracker_id":40,"status_id":1,"priority_id":2,"assigned_to_id":23,"start_date":"2016-11-05","description":"","custom_fields":[{"id":1,"name":"Subdivision","value":"EC"},{"id":4,"name":"Milepost","value":"11.6838"},{"id":17,"name":"Train ID","value":"217-05"},{"id":16,"name":"Locomotive ID","value":"4053"},{"id":130,"name":"Impact","value":""},{"id":150,"name":"Time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"%USERPROFILE%\AppData\Local\Temp\OnboardLogs"\RTDC4053\*4053*201611060* | grep -SE "((Enforcement Ac)|(PRM))" -</v>
      </c>
    </row>
    <row r="15" spans="1:29" s="1" customFormat="1" x14ac:dyDescent="0.25">
      <c r="A15" s="36">
        <v>42679.470520833333</v>
      </c>
      <c r="B15" s="31" t="s">
        <v>323</v>
      </c>
      <c r="C15" s="31" t="s">
        <v>425</v>
      </c>
      <c r="D15" s="31" t="s">
        <v>49</v>
      </c>
      <c r="E15" s="31" t="s">
        <v>214</v>
      </c>
      <c r="F15" s="47">
        <v>550</v>
      </c>
      <c r="G15" s="47">
        <v>610</v>
      </c>
      <c r="H15" s="47">
        <v>220584</v>
      </c>
      <c r="I15" s="47">
        <v>222765</v>
      </c>
      <c r="J15" s="31" t="s">
        <v>215</v>
      </c>
      <c r="K15" s="47">
        <v>222090</v>
      </c>
      <c r="L15" s="157" t="s">
        <v>50</v>
      </c>
      <c r="M15" s="158">
        <f t="shared" si="0"/>
        <v>-356.40000000000003</v>
      </c>
      <c r="N15" s="159" t="str">
        <f>VLOOKUP(C15,'Trips&amp;Operators'!$C$1:$E$99999,3,FALSE)</f>
        <v>ROBINSON</v>
      </c>
      <c r="O15" s="184" t="s">
        <v>213</v>
      </c>
      <c r="P15" s="160"/>
      <c r="Q15" s="31"/>
      <c r="R15" s="100" t="str">
        <f>VLOOKUP(C15,'Train Runs'!$A$13:$AE$10003,31,0)</f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S15" s="103" t="str">
        <f>VLOOKUP(C15,'Train Runs'!$A$13:$AE$10003,22,0)</f>
        <v>https://search-rtdc-monitor-bjffxe2xuh6vdkpspy63sjmuny.us-east-1.es.amazonaws.com/_plugin/kibana/#/discover/Steve-Slow-Train-Analysis-(2080s-and-2083s)?_g=(refreshInterval:(display:Off,section:0,value:0),time:(from:'2016-11-05 09:36:08-0600',mode:absolute,to:'2016-11-05 12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5" s="105" t="str">
        <f t="shared" si="1"/>
        <v>"C:\Program Files (x86)\AstroGrep\AstroGrep.exe" /spath="%USERPROFILE%\AppData\Local\Temp\OnboardLogs" /stypes="*4025*201611051*" /stext=" 17:.+((SYSTEM_STATE.+slice.+state.+changed )|(ment ac)|(system.+state.+changed )|(\[timeout)|(PRM\|1\|D)|(kpr)|(kdp)|(\|loc)|(penalty))" /e /r /s</v>
      </c>
      <c r="U15" s="9" t="str">
        <f t="shared" si="2"/>
        <v>4025</v>
      </c>
      <c r="V15" s="36">
        <f t="shared" si="3"/>
        <v>42679.720520833333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{"issue":{"subject":"","project_id":79,"tracker_id":40,"status_id":1,"priority_id":2,"assigned_to_id":23,"start_date":"2016-11-05","description":"","custom_fields":[{"id":1,"name":"Subdivision","value":"EC"},{"id":4,"name":"Milepost","value":"22.209"},{"id":17,"name":"Train ID","value":"157-05"},{"id":16,"name":"Locomotive ID","value":"4025"},{"id":130,"name":"Impact","value":""},{"id":150,"name":"Time of Event (Mountain Time)","value":"11:17:33"},{"id":151,"name":"Denver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"%USERPROFILE%\AppData\Local\Temp\OnboardLogs"\RTDC4025\*4025*201611051* | grep -SE "((Enforcement Ac)|(PRM))" -</v>
      </c>
    </row>
    <row r="16" spans="1:29" s="1" customFormat="1" x14ac:dyDescent="0.25">
      <c r="A16" s="36">
        <v>42679.252615740741</v>
      </c>
      <c r="B16" s="31" t="s">
        <v>323</v>
      </c>
      <c r="C16" s="31" t="s">
        <v>417</v>
      </c>
      <c r="D16" s="31" t="s">
        <v>98</v>
      </c>
      <c r="E16" s="31" t="s">
        <v>214</v>
      </c>
      <c r="F16" s="47">
        <v>350</v>
      </c>
      <c r="G16" s="47">
        <v>400</v>
      </c>
      <c r="H16" s="47">
        <v>227744</v>
      </c>
      <c r="I16" s="47">
        <v>228803</v>
      </c>
      <c r="J16" s="31" t="s">
        <v>215</v>
      </c>
      <c r="K16" s="47">
        <v>224578</v>
      </c>
      <c r="L16" s="157" t="s">
        <v>50</v>
      </c>
      <c r="M16" s="158">
        <f t="shared" si="0"/>
        <v>-2230.8000000000002</v>
      </c>
      <c r="N16" s="159" t="str">
        <f>VLOOKUP(C16,'Trips&amp;Operators'!$C$1:$E$99999,3,FALSE)</f>
        <v>ROBINSON</v>
      </c>
      <c r="O16" s="184" t="s">
        <v>213</v>
      </c>
      <c r="P16" s="160"/>
      <c r="Q16" s="31"/>
      <c r="R16" s="100" t="str">
        <f>VLOOKUP(C16,'Train Runs'!$A$13:$AE$10003,31,0)</f>
        <v>aws s3 cp s3://rtdc.mdm.uploadarchive.raw/RTDC4025/ "%USERPROFILE%\AppData\Local\Temp\OnboardLogs"\RTDC4025\2016-11-05 --exclude "*" --recursive --include "*20161105*" &amp; "%USERPROFILE%\Documents\GitHub\mrs-test-scripts\Headless Mode &amp; Sideloading\WalkAndUnGZ.bat" "%USERPROFILE%\AppData\Local\Temp\OnboardLogs"\RTDC4025\2016-11-05 &amp; aws s3 cp s3://rtdc.mdm.uploadarchive.raw/RTDC4025/ "%USERPROFILE%\AppData\Local\Temp\OnboardLogs"\RTDC4025\2016-11-06 --exclude "*" --recursive --include "*20161106*" &amp; "%USERPROFILE%\Documents\GitHub\mrs-test-scripts\Headless Mode &amp; Sideloading\WalkAndUnGZ.bat" "%USERPROFILE%\AppData\Local\Temp\OnboardLogs"\RTDC4025\2016-11-06</v>
      </c>
      <c r="S16" s="103" t="str">
        <f>VLOOKUP(C16,'Train Runs'!$A$13:$AE$10003,22,0)</f>
        <v>https://search-rtdc-monitor-bjffxe2xuh6vdkpspy63sjmuny.us-east-1.es.amazonaws.com/_plugin/kibana/#/discover/Steve-Slow-Train-Analysis-(2080s-and-2083s)?_g=(refreshInterval:(display:Off,section:0,value:0),time:(from:'2016-11-05 04:24:24-0600',mode:absolute,to:'2016-11-05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6" s="105" t="str">
        <f t="shared" si="1"/>
        <v>"C:\Program Files (x86)\AstroGrep\AstroGrep.exe" /spath="%USERPROFILE%\AppData\Local\Temp\OnboardLogs" /stypes="*4025*201611051*" /stext=" 12:.+((SYSTEM_STATE.+slice.+state.+changed )|(ment ac)|(system.+state.+changed )|(\[timeout)|(PRM\|1\|D)|(kpr)|(kdp)|(\|loc)|(penalty))" /e /r /s</v>
      </c>
      <c r="U16" s="9" t="str">
        <f t="shared" si="2"/>
        <v>4025</v>
      </c>
      <c r="V16" s="36">
        <f t="shared" si="3"/>
        <v>42679.502615740741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{"issue":{"subject":"","project_id":79,"tracker_id":40,"status_id":1,"priority_id":2,"assigned_to_id":23,"start_date":"2016-11-05","description":"","custom_fields":[{"id":1,"name":"Subdivision","value":"EC"},{"id":4,"name":"Milepost","value":"22.4578"},{"id":17,"name":"Train ID","value":"115-05"},{"id":16,"name":"Locomotive ID","value":"4025"},{"id":130,"name":"Impact","value":""},{"id":150,"name":"Time of Event (Mountain Time)","value":"06:03:46"},{"id":151,"name":"Denver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"%USERPROFILE%\AppData\Local\Temp\OnboardLogs"\RTDC4025\*4025*201611051* | grep -SE "((Enforcement Ac)|(PRM))" -</v>
      </c>
    </row>
    <row r="17" spans="1:30" s="1" customFormat="1" x14ac:dyDescent="0.25">
      <c r="A17" s="36">
        <v>42679.714849537035</v>
      </c>
      <c r="B17" s="31" t="s">
        <v>329</v>
      </c>
      <c r="C17" s="31" t="s">
        <v>434</v>
      </c>
      <c r="D17" s="31" t="s">
        <v>49</v>
      </c>
      <c r="E17" s="31" t="s">
        <v>216</v>
      </c>
      <c r="F17" s="47">
        <v>0</v>
      </c>
      <c r="G17" s="47">
        <v>359</v>
      </c>
      <c r="H17" s="47">
        <v>128806</v>
      </c>
      <c r="I17" s="47">
        <v>128130</v>
      </c>
      <c r="J17" s="31" t="s">
        <v>217</v>
      </c>
      <c r="K17" s="47">
        <v>127587</v>
      </c>
      <c r="L17" s="157" t="s">
        <v>51</v>
      </c>
      <c r="M17" s="158">
        <f t="shared" si="0"/>
        <v>286.70400000000001</v>
      </c>
      <c r="N17" s="159" t="str">
        <f>VLOOKUP(C17,'Trips&amp;Operators'!$C$1:$E$99999,3,FALSE)</f>
        <v>STORY</v>
      </c>
      <c r="O17" s="184" t="s">
        <v>213</v>
      </c>
      <c r="P17" s="160" t="s">
        <v>777</v>
      </c>
      <c r="Q17" s="31"/>
      <c r="R17" s="100" t="str">
        <f>VLOOKUP(C17,'Train Runs'!$A$13:$AE$10003,31,0)</f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S17" s="103" t="str">
        <f>VLOOKUP(C17,'Train Runs'!$A$13:$AE$10003,22,0)</f>
        <v>https://search-rtdc-monitor-bjffxe2xuh6vdkpspy63sjmuny.us-east-1.es.amazonaws.com/_plugin/kibana/#/discover/Steve-Slow-Train-Analysis-(2080s-and-2083s)?_g=(refreshInterval:(display:Off,section:0,value:0),time:(from:'2016-11-05 15:50:35-0600',mode:absolute,to:'2016-11-05 18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/stypes="*4026*201611052*" /stext=" 23:.+((SYSTEM_STATE.+slice.+state.+changed )|(ment ac)|(system.+state.+changed )|(\[timeout)|(PRM\|1\|D)|(kpr)|(kdp)|(\|loc)|(penalty))" /e /r /s</v>
      </c>
      <c r="U17" s="9" t="str">
        <f t="shared" si="2"/>
        <v>4026</v>
      </c>
      <c r="V17" s="36">
        <f t="shared" si="3"/>
        <v>42679.964849537035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{"issue":{"subject":"40th 4S STOP, cleared afterward","project_id":79,"tracker_id":40,"status_id":1,"priority_id":2,"assigned_to_id":23,"start_date":"2016-11-05","description":"","custom_fields":[{"id":1,"name":"Subdivision","value":"EC"},{"id":4,"name":"Milepost","value":"12.7587"},{"id":17,"name":"Train ID","value":"200-05"},{"id":16,"name":"Locomotive ID","value":"4026"},{"id":130,"name":"Impact","value":""},{"id":150,"name":"Time of Event (Mountain Time)","value":"17:09:23"},{"id":151,"name":"Denver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"%USERPROFILE%\AppData\Local\Temp\OnboardLogs"\RTDC4026\*4026*201611052* | grep -SE "((Enforcement Ac)|(PRM))" -</v>
      </c>
    </row>
    <row r="18" spans="1:30" s="1" customFormat="1" x14ac:dyDescent="0.25">
      <c r="A18" s="36">
        <v>42679.421435185184</v>
      </c>
      <c r="B18" s="31" t="s">
        <v>328</v>
      </c>
      <c r="C18" s="31" t="s">
        <v>423</v>
      </c>
      <c r="D18" s="31" t="s">
        <v>49</v>
      </c>
      <c r="E18" s="31" t="s">
        <v>216</v>
      </c>
      <c r="F18" s="47">
        <v>0</v>
      </c>
      <c r="G18" s="47">
        <v>45</v>
      </c>
      <c r="H18" s="47">
        <v>227931</v>
      </c>
      <c r="I18" s="47">
        <v>228016</v>
      </c>
      <c r="J18" s="31" t="s">
        <v>217</v>
      </c>
      <c r="K18" s="47">
        <v>228572</v>
      </c>
      <c r="L18" s="157" t="s">
        <v>50</v>
      </c>
      <c r="M18" s="158">
        <f t="shared" si="0"/>
        <v>293.56799999999998</v>
      </c>
      <c r="N18" s="159" t="str">
        <f>VLOOKUP(C18,'Trips&amp;Operators'!$C$1:$E$99999,3,FALSE)</f>
        <v>LOZA</v>
      </c>
      <c r="O18" s="184" t="s">
        <v>213</v>
      </c>
      <c r="P18" s="160" t="s">
        <v>776</v>
      </c>
      <c r="Q18" s="31"/>
      <c r="R18" s="100" t="str">
        <f>VLOOKUP(C18,'Train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18" s="103" t="str">
        <f>VLOOKUP(C18,'Train Runs'!$A$13:$AE$10003,22,0)</f>
        <v>https://search-rtdc-monitor-bjffxe2xuh6vdkpspy63sjmuny.us-east-1.es.amazonaws.com/_plugin/kibana/#/discover/Steve-Slow-Train-Analysis-(2080s-and-2083s)?_g=(refreshInterval:(display:Off,section:0,value:0),time:(from:'2016-11-05 08:25:23-0600',mode:absolute,to:'2016-11-05 11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8" s="105" t="str">
        <f t="shared" si="1"/>
        <v>"C:\Program Files (x86)\AstroGrep\AstroGrep.exe" /spath="%USERPROFILE%\AppData\Local\Temp\OnboardLogs" /stypes="*4053*201611051*" /stext=" 16:.+((SYSTEM_STATE.+slice.+state.+changed )|(ment ac)|(system.+state.+changed )|(\[timeout)|(PRM\|1\|D)|(kpr)|(kdp)|(\|loc)|(penalty))" /e /r /s</v>
      </c>
      <c r="U18" s="9" t="str">
        <f t="shared" si="2"/>
        <v>4053</v>
      </c>
      <c r="V18" s="36">
        <f t="shared" si="3"/>
        <v>42679.671435185184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{"issue":{"subject":"DIA 2N STOP, cleared afterward","project_id":79,"tracker_id":40,"status_id":1,"priority_id":2,"assigned_to_id":23,"start_date":"2016-11-05","description":"","custom_fields":[{"id":1,"name":"Subdivision","value":"EC"},{"id":4,"name":"Milepost","value":"22.8572"},{"id":17,"name":"Train ID","value":"147-05"},{"id":16,"name":"Locomotive ID","value":"4053"},{"id":130,"name":"Impact","value":""},{"id":150,"name":"Time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"%USERPROFILE%\AppData\Local\Temp\OnboardLogs"\RTDC4053\*4053*201611051* | grep -SE "((Enforcement Ac)|(PRM))" -</v>
      </c>
    </row>
    <row r="19" spans="1:30" s="1" customFormat="1" x14ac:dyDescent="0.25">
      <c r="A19" s="36">
        <v>42679.4296412037</v>
      </c>
      <c r="B19" s="31" t="s">
        <v>356</v>
      </c>
      <c r="C19" s="31" t="s">
        <v>424</v>
      </c>
      <c r="D19" s="31" t="s">
        <v>98</v>
      </c>
      <c r="E19" s="31" t="s">
        <v>216</v>
      </c>
      <c r="F19" s="47">
        <v>0</v>
      </c>
      <c r="G19" s="47">
        <v>298</v>
      </c>
      <c r="H19" s="47">
        <v>228634</v>
      </c>
      <c r="I19" s="47">
        <v>229528</v>
      </c>
      <c r="J19" s="31" t="s">
        <v>217</v>
      </c>
      <c r="K19" s="47">
        <v>228572</v>
      </c>
      <c r="L19" s="157" t="s">
        <v>50</v>
      </c>
      <c r="M19" s="158">
        <f t="shared" si="0"/>
        <v>-504.76799999999997</v>
      </c>
      <c r="N19" s="159" t="str">
        <f>VLOOKUP(C19,'Trips&amp;Operators'!$C$1:$E$99999,3,FALSE)</f>
        <v>DE LA ROSA</v>
      </c>
      <c r="O19" s="184" t="s">
        <v>276</v>
      </c>
      <c r="P19" s="160" t="s">
        <v>769</v>
      </c>
      <c r="Q19" s="31"/>
      <c r="R19" s="100" t="str">
        <f>VLOOKUP(C19,'Train Runs'!$A$13:$AE$10003,31,0)</f>
        <v>aws s3 cp s3://rtdc.mdm.uploadarchive.raw/RTDC4016/ "%USERPROFILE%\AppData\Local\Temp\OnboardLogs"\RTDC4016\2016-11-05 --exclude "*" --recursive --include "*20161105*" &amp; "%USERPROFILE%\Documents\GitHub\mrs-test-scripts\Headless Mode &amp; Sideloading\WalkAndUnGZ.bat" "%USERPROFILE%\AppData\Local\Temp\OnboardLogs"\RTDC4016\2016-11-05 &amp; aws s3 cp s3://rtdc.mdm.uploadarchive.raw/RTDC4016/ "%USERPROFILE%\AppData\Local\Temp\OnboardLogs"\RTDC4016\2016-11-06 --exclude "*" --recursive --include "*20161106*" &amp; "%USERPROFILE%\Documents\GitHub\mrs-test-scripts\Headless Mode &amp; Sideloading\WalkAndUnGZ.bat" "%USERPROFILE%\AppData\Local\Temp\OnboardLogs"\RTDC4016\2016-11-06</v>
      </c>
      <c r="S19" s="103" t="str">
        <f>VLOOKUP(C19,'Train Runs'!$A$13:$AE$10003,22,0)</f>
        <v>https://search-rtdc-monitor-bjffxe2xuh6vdkpspy63sjmuny.us-east-1.es.amazonaws.com/_plugin/kibana/#/discover/Steve-Slow-Train-Analysis-(2080s-and-2083s)?_g=(refreshInterval:(display:Off,section:0,value:0),time:(from:'2016-11-05 08:38:41-0600',mode:absolute,to:'2016-11-05 11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/stypes="*4016*201611051*" /stext=" 16:.+((SYSTEM_STATE.+slice.+state.+changed )|(ment ac)|(system.+state.+changed )|(\[timeout)|(PRM\|1\|D)|(kpr)|(kdp)|(\|loc)|(penalty))" /e /r /s</v>
      </c>
      <c r="U19" s="9" t="str">
        <f t="shared" si="2"/>
        <v>4016</v>
      </c>
      <c r="V19" s="36">
        <f t="shared" si="3"/>
        <v>42679.6796412037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{"issue":{"subject":"GPS showed train past signal, but Location resolved it behind signal","project_id":79,"tracker_id":40,"status_id":1,"priority_id":2,"assigned_to_id":23,"start_date":"2016-11-05","description":"","custom_fields":[{"id":1,"name":"Subdivision","value":"EC"},{"id":4,"name":"Milepost","value":"22.8572"},{"id":17,"name":"Train ID","value":"149-05"},{"id":16,"name":"Locomotive ID","value":"4016"},{"id":130,"name":"Impact","value":""},{"id":150,"name":"Time of Event (Mountain Time)","value":"10:18:41"},{"id":151,"name":"Denver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"%USERPROFILE%\AppData\Local\Temp\OnboardLogs"\RTDC4016\*4016*201611051* | grep -SE "((Enforcement Ac)|(PRM))" -</v>
      </c>
    </row>
    <row r="20" spans="1:30" x14ac:dyDescent="0.25">
      <c r="A20" s="36">
        <v>42679.262800925928</v>
      </c>
      <c r="B20" s="31" t="s">
        <v>274</v>
      </c>
      <c r="C20" s="31" t="s">
        <v>418</v>
      </c>
      <c r="D20" s="31" t="s">
        <v>49</v>
      </c>
      <c r="E20" s="31" t="s">
        <v>218</v>
      </c>
      <c r="F20" s="47">
        <v>0</v>
      </c>
      <c r="G20" s="47">
        <v>52</v>
      </c>
      <c r="H20" s="47">
        <v>201</v>
      </c>
      <c r="I20" s="47">
        <v>125</v>
      </c>
      <c r="J20" s="31" t="s">
        <v>219</v>
      </c>
      <c r="K20" s="47">
        <v>1</v>
      </c>
      <c r="L20" s="157" t="s">
        <v>51</v>
      </c>
      <c r="M20" s="158">
        <f t="shared" si="0"/>
        <v>65.471999999999994</v>
      </c>
      <c r="N20" s="159" t="str">
        <f>VLOOKUP(C20,'Trips&amp;Operators'!$C$1:$E$99999,3,FALSE)</f>
        <v>KILLION</v>
      </c>
      <c r="O20" s="184" t="s">
        <v>213</v>
      </c>
      <c r="P20" s="160"/>
      <c r="Q20" s="31"/>
      <c r="R20" s="100" t="str">
        <f>VLOOKUP(C20,'Train Runs'!$A$13:$AE$10003,31,0)</f>
        <v>aws s3 cp s3://rtdc.mdm.uploadarchive.raw/RTDC4039/ "%USERPROFILE%\AppData\Local\Temp\OnboardLogs"\RTDC4039\2016-11-05 --exclude "*" --recursive --include "*20161105*" &amp; "%USERPROFILE%\Documents\GitHub\mrs-test-scripts\Headless Mode &amp; Sideloading\WalkAndUnGZ.bat" "%USERPROFILE%\AppData\Local\Temp\OnboardLogs"\RTDC4039\2016-11-05 &amp; aws s3 cp s3://rtdc.mdm.uploadarchive.raw/RTDC4039/ "%USERPROFILE%\AppData\Local\Temp\OnboardLogs"\RTDC4039\2016-11-06 --exclude "*" --recursive --include "*20161106*" &amp; "%USERPROFILE%\Documents\GitHub\mrs-test-scripts\Headless Mode &amp; Sideloading\WalkAndUnGZ.bat" "%USERPROFILE%\AppData\Local\Temp\OnboardLogs"\RTDC4039\2016-11-06</v>
      </c>
      <c r="S20" s="103" t="str">
        <f>VLOOKUP(C20,'Train Runs'!$A$13:$AE$10003,22,0)</f>
        <v>https://search-rtdc-monitor-bjffxe2xuh6vdkpspy63sjmuny.us-east-1.es.amazonaws.com/_plugin/kibana/#/discover/Steve-Slow-Train-Analysis-(2080s-and-2083s)?_g=(refreshInterval:(display:Off,section:0,value:0),time:(from:'2016-11-05 04:29:27-0600',mode:absolute,to:'2016-11-05 07:18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/stypes="*4039*201611051*" /stext=" 12:.+((SYSTEM_STATE.+slice.+state.+changed )|(ment ac)|(system.+state.+changed )|(\[timeout)|(PRM\|1\|D)|(kpr)|(kdp)|(\|loc)|(penalty))" /e /r /s</v>
      </c>
      <c r="U20" s="9" t="str">
        <f t="shared" si="2"/>
        <v>4039</v>
      </c>
      <c r="V20" s="36">
        <f t="shared" si="3"/>
        <v>42679.512800925928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ID","value":"110-05"},{"id":16,"name":"Locomotive ID","value":"4039"},{"id":130,"name":"Impact","value":""},{"id":150,"name":"Time of Event (Mountain Time)","value":"06:18:26"},{"id":151,"name":"Denver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"%USERPROFILE%\AppData\Local\Temp\OnboardLogs"\RTDC4039\*4039*201611051* | grep -SE "((Enforcement Ac)|(PRM))" -</v>
      </c>
      <c r="AD20" s="1"/>
    </row>
    <row r="21" spans="1:30" s="1" customFormat="1" x14ac:dyDescent="0.25">
      <c r="A21" s="36">
        <v>42679.324988425928</v>
      </c>
      <c r="B21" s="31" t="s">
        <v>352</v>
      </c>
      <c r="C21" s="31" t="s">
        <v>420</v>
      </c>
      <c r="D21" s="31" t="s">
        <v>49</v>
      </c>
      <c r="E21" s="31" t="s">
        <v>218</v>
      </c>
      <c r="F21" s="47">
        <v>0</v>
      </c>
      <c r="G21" s="47">
        <v>44</v>
      </c>
      <c r="H21" s="47">
        <v>158</v>
      </c>
      <c r="I21" s="47">
        <v>123</v>
      </c>
      <c r="J21" s="31" t="s">
        <v>219</v>
      </c>
      <c r="K21" s="47">
        <v>1</v>
      </c>
      <c r="L21" s="157" t="s">
        <v>51</v>
      </c>
      <c r="M21" s="158">
        <f t="shared" si="0"/>
        <v>64.415999999999997</v>
      </c>
      <c r="N21" s="159" t="str">
        <f>VLOOKUP(C21,'Trips&amp;Operators'!$C$1:$E$99999,3,FALSE)</f>
        <v>DE LA ROSA</v>
      </c>
      <c r="O21" s="184" t="s">
        <v>213</v>
      </c>
      <c r="P21" s="160"/>
      <c r="Q21" s="31"/>
      <c r="R21" s="100" t="str">
        <f>VLOOKUP(C21,'Train Runs'!$A$13:$AE$10003,31,0)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S21" s="103" t="str">
        <f>VLOOKUP(C21,'Train Runs'!$A$13:$AE$10003,22,0)</f>
        <v>https://search-rtdc-monitor-bjffxe2xuh6vdkpspy63sjmuny.us-east-1.es.amazonaws.com/_plugin/kibana/#/discover/Steve-Slow-Train-Analysis-(2080s-and-2083s)?_g=(refreshInterval:(display:Off,section:0,value:0),time:(from:'2016-11-05 06:06:08-0600',mode:absolute,to:'2016-11-05 08:47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 t="shared" si="1"/>
        <v>"C:\Program Files (x86)\AstroGrep\AstroGrep.exe" /spath="%USERPROFILE%\AppData\Local\Temp\OnboardLogs" /stypes="*4015*201611051*" /stext=" 13:.+((SYSTEM_STATE.+slice.+state.+changed )|(ment ac)|(system.+state.+changed )|(\[timeout)|(PRM\|1\|D)|(kpr)|(kdp)|(\|loc)|(penalty))" /e /r /s</v>
      </c>
      <c r="U21" s="9" t="str">
        <f t="shared" si="2"/>
        <v>4015</v>
      </c>
      <c r="V21" s="36">
        <f t="shared" si="3"/>
        <v>42679.574988425928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ID","value":"122-05"},{"id":16,"name":"Locomotive ID","value":"4015"},{"id":130,"name":"Impact","value":""},{"id":150,"name":"Time of Event (Mountain Time)","value":"07:47:59"},{"id":151,"name":"Denver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"%USERPROFILE%\AppData\Local\Temp\OnboardLogs"\RTDC4015\*4015*201611051* | grep -SE "((Enforcement Ac)|(PRM))" -</v>
      </c>
    </row>
    <row r="22" spans="1:30" x14ac:dyDescent="0.25">
      <c r="A22" s="36">
        <v>42679.658796296295</v>
      </c>
      <c r="B22" s="31" t="s">
        <v>329</v>
      </c>
      <c r="C22" s="31" t="s">
        <v>431</v>
      </c>
      <c r="D22" s="31" t="s">
        <v>49</v>
      </c>
      <c r="E22" s="31" t="s">
        <v>218</v>
      </c>
      <c r="F22" s="47">
        <v>0</v>
      </c>
      <c r="G22" s="47">
        <v>70</v>
      </c>
      <c r="H22" s="47">
        <v>221</v>
      </c>
      <c r="I22" s="47">
        <v>152</v>
      </c>
      <c r="J22" s="31" t="s">
        <v>219</v>
      </c>
      <c r="K22" s="47">
        <v>1</v>
      </c>
      <c r="L22" s="157" t="s">
        <v>51</v>
      </c>
      <c r="M22" s="158">
        <f t="shared" si="0"/>
        <v>79.727999999999994</v>
      </c>
      <c r="N22" s="159" t="str">
        <f>VLOOKUP(C22,'Trips&amp;Operators'!$C$1:$E$99999,3,FALSE)</f>
        <v>STORY</v>
      </c>
      <c r="O22" s="184" t="s">
        <v>213</v>
      </c>
      <c r="P22" s="160"/>
      <c r="Q22" s="31"/>
      <c r="R22" s="100" t="str">
        <f>VLOOKUP(C22,'Train Runs'!$A$13:$AE$10003,31,0)</f>
        <v>aws s3 cp s3://rtdc.mdm.uploadarchive.raw/RTDC4026/ "%USERPROFILE%\AppData\Local\Temp\OnboardLogs"\RTDC4026\2016-11-05 --exclude "*" --recursive --include "*20161105*" &amp; "%USERPROFILE%\Documents\GitHub\mrs-test-scripts\Headless Mode &amp; Sideloading\WalkAndUnGZ.bat" "%USERPROFILE%\AppData\Local\Temp\OnboardLogs"\RTDC4026\2016-11-05 &amp; aws s3 cp s3://rtdc.mdm.uploadarchive.raw/RTDC4026/ "%USERPROFILE%\AppData\Local\Temp\OnboardLogs"\RTDC4026\2016-11-06 --exclude "*" --recursive --include "*20161106*" &amp; "%USERPROFILE%\Documents\GitHub\mrs-test-scripts\Headless Mode &amp; Sideloading\WalkAndUnGZ.bat" "%USERPROFILE%\AppData\Local\Temp\OnboardLogs"\RTDC4026\2016-11-06</v>
      </c>
      <c r="S22" s="103" t="str">
        <f>VLOOKUP(C22,'Train Runs'!$A$13:$AE$10003,22,0)</f>
        <v>https://search-rtdc-monitor-bjffxe2xuh6vdkpspy63sjmuny.us-east-1.es.amazonaws.com/_plugin/kibana/#/discover/Steve-Slow-Train-Analysis-(2080s-and-2083s)?_g=(refreshInterval:(display:Off,section:0,value:0),time:(from:'2016-11-05 14:06:03-0600',mode:absolute,to:'2016-11-05 16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2" s="105" t="str">
        <f t="shared" si="1"/>
        <v>"C:\Program Files (x86)\AstroGrep\AstroGrep.exe" /spath="%USERPROFILE%\AppData\Local\Temp\OnboardLogs" /stypes="*4026*201611052*" /stext=" 21:.+((SYSTEM_STATE.+slice.+state.+changed )|(ment ac)|(system.+state.+changed )|(\[timeout)|(PRM\|1\|D)|(kpr)|(kdp)|(\|loc)|(penalty))" /e /r /s</v>
      </c>
      <c r="U22" s="9" t="str">
        <f t="shared" si="2"/>
        <v>4026</v>
      </c>
      <c r="V22" s="36">
        <f t="shared" si="3"/>
        <v>42679.908796296295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ID","value":"186-05"},{"id":16,"name":"Locomotive ID","value":"4026"},{"id":130,"name":"Impact","value":""},{"id":150,"name":"Time of Event (Mountain Time)","value":"15:48:40"},{"id":151,"name":"Denver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"%USERPROFILE%\AppData\Local\Temp\OnboardLogs"\RTDC4026\*4026*201611052* | grep -SE "((Enforcement Ac)|(PRM))" -</v>
      </c>
      <c r="AD22" s="1"/>
    </row>
    <row r="23" spans="1:30" x14ac:dyDescent="0.25">
      <c r="A23" s="36">
        <v>42679.835474537038</v>
      </c>
      <c r="B23" s="31" t="s">
        <v>352</v>
      </c>
      <c r="C23" s="31" t="s">
        <v>439</v>
      </c>
      <c r="D23" s="31" t="s">
        <v>49</v>
      </c>
      <c r="E23" s="31" t="s">
        <v>218</v>
      </c>
      <c r="F23" s="47">
        <v>0</v>
      </c>
      <c r="G23" s="47">
        <v>53</v>
      </c>
      <c r="H23" s="47">
        <v>181</v>
      </c>
      <c r="I23" s="47">
        <v>121</v>
      </c>
      <c r="J23" s="31" t="s">
        <v>219</v>
      </c>
      <c r="K23" s="47">
        <v>1</v>
      </c>
      <c r="L23" s="157" t="s">
        <v>51</v>
      </c>
      <c r="M23" s="158">
        <f t="shared" si="0"/>
        <v>63.36</v>
      </c>
      <c r="N23" s="159" t="str">
        <f>VLOOKUP(C23,'Trips&amp;Operators'!$C$1:$E$99999,3,FALSE)</f>
        <v>STAMBAUGH</v>
      </c>
      <c r="O23" s="184" t="s">
        <v>213</v>
      </c>
      <c r="P23" s="160"/>
      <c r="Q23" s="31"/>
      <c r="R23" s="100" t="str">
        <f>VLOOKUP(C23,'Train Runs'!$A$13:$AE$10003,31,0)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S23" s="103" t="str">
        <f>VLOOKUP(C23,'Train Runs'!$A$13:$AE$10003,22,0)</f>
        <v>https://search-rtdc-monitor-bjffxe2xuh6vdkpspy63sjmuny.us-east-1.es.amazonaws.com/_plugin/kibana/#/discover/Steve-Slow-Train-Analysis-(2080s-and-2083s)?_g=(refreshInterval:(display:Off,section:0,value:0),time:(from:'2016-11-05 18:21:06-0600',mode:absolute,to:'2016-11-05 21:03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3" s="105" t="str">
        <f t="shared" si="1"/>
        <v>"C:\Program Files (x86)\AstroGrep\AstroGrep.exe" /spath="%USERPROFILE%\AppData\Local\Temp\OnboardLogs" /stypes="*4015*201611060*" /stext=" 02:.+((SYSTEM_STATE.+slice.+state.+changed )|(ment ac)|(system.+state.+changed )|(\[timeout)|(PRM\|1\|D)|(kpr)|(kdp)|(\|loc)|(penalty))" /e /r /s</v>
      </c>
      <c r="U23" s="9" t="str">
        <f t="shared" si="2"/>
        <v>4015</v>
      </c>
      <c r="V23" s="36">
        <f t="shared" si="3"/>
        <v>42680.085474537038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{"issue":{"subject":"","project_id":79,"tracker_id":40,"status_id":1,"priority_id":2,"assigned_to_id":23,"start_date":"2016-11-05","description":"","custom_fields":[{"id":1,"name":"Subdivision","value":"EC"},{"id":4,"name":"Milepost","value":"0.0001"},{"id":17,"name":"Train ID","value":"220-05"},{"id":16,"name":"Locomotive ID","value":"4015"},{"id":130,"name":"Impact","value":""},{"id":150,"name":"Time of Event (Mountain Time)","value":"20:03:05"},{"id":151,"name":"Denver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"%USERPROFILE%\AppData\Local\Temp\OnboardLogs"\RTDC4015\*4015*201611060* | grep -SE "((Enforcement Ac)|(PRM))" -</v>
      </c>
      <c r="AD23" s="1"/>
    </row>
    <row r="24" spans="1:30" x14ac:dyDescent="0.25">
      <c r="A24" s="36">
        <v>42680.003055555557</v>
      </c>
      <c r="B24" s="31" t="s">
        <v>352</v>
      </c>
      <c r="C24" s="31" t="s">
        <v>442</v>
      </c>
      <c r="D24" s="31" t="s">
        <v>49</v>
      </c>
      <c r="E24" s="31" t="s">
        <v>218</v>
      </c>
      <c r="F24" s="47">
        <v>0</v>
      </c>
      <c r="G24" s="47">
        <v>82</v>
      </c>
      <c r="H24" s="47">
        <v>322</v>
      </c>
      <c r="I24" s="47">
        <v>220</v>
      </c>
      <c r="J24" s="31" t="s">
        <v>219</v>
      </c>
      <c r="K24" s="47">
        <v>1</v>
      </c>
      <c r="L24" s="157" t="s">
        <v>51</v>
      </c>
      <c r="M24" s="158">
        <f t="shared" si="0"/>
        <v>115.63200000000001</v>
      </c>
      <c r="N24" s="159" t="str">
        <f>VLOOKUP(C24,'Trips&amp;Operators'!$C$1:$E$99999,3,FALSE)</f>
        <v>STAMBAUGH</v>
      </c>
      <c r="O24" s="184" t="s">
        <v>213</v>
      </c>
      <c r="P24" s="160"/>
      <c r="Q24" s="31"/>
      <c r="R24" s="100" t="str">
        <f>VLOOKUP(C24,'Train Runs'!$A$13:$AE$10003,31,0)</f>
        <v>aws s3 cp s3://rtdc.mdm.uploadarchive.raw/RTDC4015/ "%USERPROFILE%\AppData\Local\Temp\OnboardLogs"\RTDC4015\2016-11-05 --exclude "*" --recursive --include "*20161105*" &amp; "%USERPROFILE%\Documents\GitHub\mrs-test-scripts\Headless Mode &amp; Sideloading\WalkAndUnGZ.bat" "%USERPROFILE%\AppData\Local\Temp\OnboardLogs"\RTDC4015\2016-11-05 &amp; aws s3 cp s3://rtdc.mdm.uploadarchive.raw/RTDC4015/ "%USERPROFILE%\AppData\Local\Temp\OnboardLogs"\RTDC4015\2016-11-06 --exclude "*" --recursive --include "*20161106*" &amp; "%USERPROFILE%\Documents\GitHub\mrs-test-scripts\Headless Mode &amp; Sideloading\WalkAndUnGZ.bat" "%USERPROFILE%\AppData\Local\Temp\OnboardLogs"\RTDC4015\2016-11-06</v>
      </c>
      <c r="S24" s="103" t="str">
        <f>VLOOKUP(C24,'Train Runs'!$A$13:$AE$10003,22,0)</f>
        <v>https://search-rtdc-monitor-bjffxe2xuh6vdkpspy63sjmuny.us-east-1.es.amazonaws.com/_plugin/kibana/#/discover/Steve-Slow-Train-Analysis-(2080s-and-2083s)?_g=(refreshInterval:(display:Off,section:0,value:0),time:(from:'2016-11-05 22:20:55-0600',mode:absolute,to:'2016-11-06 01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4" s="105" t="str">
        <f t="shared" si="1"/>
        <v>"C:\Program Files (x86)\AstroGrep\AstroGrep.exe" /spath="%USERPROFILE%\AppData\Local\Temp\OnboardLogs" /stypes="*4015*201611060*" /stext=" 06:.+((SYSTEM_STATE.+slice.+state.+changed )|(ment ac)|(system.+state.+changed )|(\[timeout)|(PRM\|1\|D)|(kpr)|(kdp)|(\|loc)|(penalty))" /e /r /s</v>
      </c>
      <c r="U24" s="9" t="str">
        <f t="shared" si="2"/>
        <v>4015</v>
      </c>
      <c r="V24" s="36">
        <f t="shared" si="3"/>
        <v>42680.253055555557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{"issue":{"subject":"","project_id":79,"tracker_id":40,"status_id":1,"priority_id":2,"assigned_to_id":23,"start_date":"2016-11-06","description":"","custom_fields":[{"id":1,"name":"Subdivision","value":"EC"},{"id":4,"name":"Milepost","value":"0.0001"},{"id":17,"name":"Train ID","value":"236-05"},{"id":16,"name":"Locomotive ID","value":"4015"},{"id":130,"name":"Impact","value":""},{"id":150,"name":"Time of Event (Mountain Time)","value":"00:04:24"},{"id":151,"name":"Denver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"%USERPROFILE%\AppData\Local\Temp\OnboardLogs"\RTDC4015\*4015*201611060* | grep -SE "((Enforcement Ac)|(PRM))" -</v>
      </c>
      <c r="AD24" s="1"/>
    </row>
    <row r="25" spans="1:30" ht="15" customHeight="1" x14ac:dyDescent="0.25">
      <c r="A25" s="36">
        <v>42679.202361111114</v>
      </c>
      <c r="B25" s="31" t="s">
        <v>328</v>
      </c>
      <c r="C25" s="31" t="s">
        <v>415</v>
      </c>
      <c r="D25" s="31" t="s">
        <v>49</v>
      </c>
      <c r="E25" s="31" t="s">
        <v>218</v>
      </c>
      <c r="F25" s="47">
        <v>0</v>
      </c>
      <c r="G25" s="47">
        <v>40</v>
      </c>
      <c r="H25" s="47">
        <v>233347</v>
      </c>
      <c r="I25" s="47">
        <v>233359</v>
      </c>
      <c r="J25" s="31" t="s">
        <v>219</v>
      </c>
      <c r="K25" s="47">
        <v>233491</v>
      </c>
      <c r="L25" s="157" t="s">
        <v>50</v>
      </c>
      <c r="M25" s="158">
        <f t="shared" si="0"/>
        <v>69.695999999999998</v>
      </c>
      <c r="N25" s="159" t="str">
        <f>VLOOKUP(C25,'Trips&amp;Operators'!$C$1:$E$99999,3,FALSE)</f>
        <v>ACKERMAN</v>
      </c>
      <c r="O25" s="184" t="s">
        <v>213</v>
      </c>
      <c r="P25" s="160"/>
      <c r="Q25" s="31"/>
      <c r="R25" s="100" t="str">
        <f>VLOOKUP(C25,'Train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25" s="103" t="str">
        <f>VLOOKUP(C25,'Train Runs'!$A$13:$AE$10003,22,0)</f>
        <v>https://search-rtdc-monitor-bjffxe2xuh6vdkpspy63sjmuny.us-east-1.es.amazonaws.com/_plugin/kibana/#/discover/Steve-Slow-Train-Analysis-(2080s-and-2083s)?_g=(refreshInterval:(display:Off,section:0,value:0),time:(from:'2016-11-05 03:12:18-0600',mode:absolute,to:'2016-11-05 05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5" s="105" t="str">
        <f t="shared" si="1"/>
        <v>"C:\Program Files (x86)\AstroGrep\AstroGrep.exe" /spath="%USERPROFILE%\AppData\Local\Temp\OnboardLogs" /stypes="*4053*201611051*" /stext=" 10:.+((SYSTEM_STATE.+slice.+state.+changed )|(ment ac)|(system.+state.+changed )|(\[timeout)|(PRM\|1\|D)|(kpr)|(kdp)|(\|loc)|(penalty))" /e /r /s</v>
      </c>
      <c r="U25" s="9" t="str">
        <f t="shared" si="2"/>
        <v>4053</v>
      </c>
      <c r="V25" s="36">
        <f t="shared" si="3"/>
        <v>42679.452361111114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{"issue":{"subject":"","project_id":79,"tracker_id":40,"status_id":1,"priority_id":2,"assigned_to_id":23,"start_date":"2016-11-05","description":"","custom_fields":[{"id":1,"name":"Subdivision","value":"EC"},{"id":4,"name":"Milepost","value":"23.3491"},{"id":17,"name":"Train ID","value":"105-05"},{"id":16,"name":"Locomotive ID","value":"4053"},{"id":130,"name":"Impact","value":""},{"id":150,"name":"Time of Event (Mountain Time)","value":"04:51:24"},{"id":151,"name":"Denver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"%USERPROFILE%\AppData\Local\Temp\OnboardLogs"\RTDC4053\*4053*201611051* | grep -SE "((Enforcement Ac)|(PRM))" -</v>
      </c>
      <c r="AD25" s="1"/>
    </row>
    <row r="26" spans="1:30" x14ac:dyDescent="0.25">
      <c r="A26" s="36">
        <v>42679.63957175926</v>
      </c>
      <c r="B26" s="31" t="s">
        <v>328</v>
      </c>
      <c r="C26" s="31" t="s">
        <v>429</v>
      </c>
      <c r="D26" s="31" t="s">
        <v>49</v>
      </c>
      <c r="E26" s="31" t="s">
        <v>218</v>
      </c>
      <c r="F26" s="47">
        <v>0</v>
      </c>
      <c r="G26" s="47">
        <v>63</v>
      </c>
      <c r="H26" s="47">
        <v>233264</v>
      </c>
      <c r="I26" s="47">
        <v>233323</v>
      </c>
      <c r="J26" s="31" t="s">
        <v>219</v>
      </c>
      <c r="K26" s="47">
        <v>233491</v>
      </c>
      <c r="L26" s="157" t="s">
        <v>50</v>
      </c>
      <c r="M26" s="158">
        <f t="shared" si="0"/>
        <v>88.703999999999994</v>
      </c>
      <c r="N26" s="159" t="str">
        <f>VLOOKUP(C26,'Trips&amp;Operators'!$C$1:$E$99999,3,FALSE)</f>
        <v>BARTLETT</v>
      </c>
      <c r="O26" s="184" t="s">
        <v>213</v>
      </c>
      <c r="P26" s="160"/>
      <c r="Q26" s="31"/>
      <c r="R26" s="100" t="str">
        <f>VLOOKUP(C26,'Train Runs'!$A$13:$AE$10003,31,0)</f>
        <v>aws s3 cp s3://rtdc.mdm.uploadarchive.raw/RTDC4053/ "%USERPROFILE%\AppData\Local\Temp\OnboardLogs"\RTDC4053\2016-11-05 --exclude "*" --recursive --include "*20161105*" &amp; "%USERPROFILE%\Documents\GitHub\mrs-test-scripts\Headless Mode &amp; Sideloading\WalkAndUnGZ.bat" "%USERPROFILE%\AppData\Local\Temp\OnboardLogs"\RTDC4053\2016-11-05 &amp; aws s3 cp s3://rtdc.mdm.uploadarchive.raw/RTDC4053/ "%USERPROFILE%\AppData\Local\Temp\OnboardLogs"\RTDC4053\2016-11-06 --exclude "*" --recursive --include "*20161106*" &amp; "%USERPROFILE%\Documents\GitHub\mrs-test-scripts\Headless Mode &amp; Sideloading\WalkAndUnGZ.bat" "%USERPROFILE%\AppData\Local\Temp\OnboardLogs"\RTDC4053\2016-11-06</v>
      </c>
      <c r="S26" s="103" t="str">
        <f>VLOOKUP(C26,'Train Runs'!$A$13:$AE$10003,22,0)</f>
        <v>https://search-rtdc-monitor-bjffxe2xuh6vdkpspy63sjmuny.us-east-1.es.amazonaws.com/_plugin/kibana/#/discover/Steve-Slow-Train-Analysis-(2080s-and-2083s)?_g=(refreshInterval:(display:Off,section:0,value:0),time:(from:'2016-11-05 13:36:00-0600',mode:absolute,to:'2016-11-05 16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6" s="105" t="str">
        <f t="shared" si="1"/>
        <v>"C:\Program Files (x86)\AstroGrep\AstroGrep.exe" /spath="%USERPROFILE%\AppData\Local\Temp\OnboardLogs" /stypes="*4053*201611052*" /stext=" 21:.+((SYSTEM_STATE.+slice.+state.+changed )|(ment ac)|(system.+state.+changed )|(\[timeout)|(PRM\|1\|D)|(kpr)|(kdp)|(\|loc)|(penalty))" /e /r /s</v>
      </c>
      <c r="U26" s="9" t="str">
        <f t="shared" si="2"/>
        <v>4053</v>
      </c>
      <c r="V26" s="36">
        <f t="shared" si="3"/>
        <v>42679.88957175926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{"issue":{"subject":"","project_id":79,"tracker_id":40,"status_id":1,"priority_id":2,"assigned_to_id":23,"start_date":"2016-11-05","description":"","custom_fields":[{"id":1,"name":"Subdivision","value":"EC"},{"id":4,"name":"Milepost","value":"23.3491"},{"id":17,"name":"Train ID","value":"189-05"},{"id":16,"name":"Locomotive ID","value":"4053"},{"id":130,"name":"Impact","value":""},{"id":150,"name":"Time of Event (Mountain Time)","value":"15:20:59"},{"id":151,"name":"Denver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"%USERPROFILE%\AppData\Local\Temp\OnboardLogs"\RTDC4053\*4053*201611052* | grep -SE "((Enforcement Ac)|(PRM))" -</v>
      </c>
      <c r="AD26" s="1"/>
    </row>
    <row r="27" spans="1:30" x14ac:dyDescent="0.25">
      <c r="A27" s="36">
        <v>42679.369490740741</v>
      </c>
      <c r="B27" s="31" t="s">
        <v>277</v>
      </c>
      <c r="C27" s="31" t="s">
        <v>422</v>
      </c>
      <c r="D27" s="31" t="s">
        <v>49</v>
      </c>
      <c r="E27" s="31" t="s">
        <v>214</v>
      </c>
      <c r="F27" s="47">
        <v>150</v>
      </c>
      <c r="G27" s="47">
        <v>201</v>
      </c>
      <c r="H27" s="47">
        <v>5217</v>
      </c>
      <c r="I27" s="47">
        <v>4807</v>
      </c>
      <c r="J27" s="31" t="s">
        <v>215</v>
      </c>
      <c r="K27" s="47">
        <v>4790</v>
      </c>
      <c r="L27" s="157" t="s">
        <v>51</v>
      </c>
      <c r="M27" s="158">
        <f t="shared" si="0"/>
        <v>8.9760000000000009</v>
      </c>
      <c r="N27" s="159" t="str">
        <f>VLOOKUP(C27,'Trips&amp;Operators'!$C$1:$E$99999,3,FALSE)</f>
        <v>YORK</v>
      </c>
      <c r="O27" s="184" t="s">
        <v>213</v>
      </c>
      <c r="P27" s="160"/>
      <c r="Q27" s="31"/>
      <c r="R27" s="100" t="str">
        <f>VLOOKUP(C27,'Train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27" s="103" t="str">
        <f>VLOOKUP(C27,'Train Runs'!$A$13:$AE$10003,22,0)</f>
        <v>https://search-rtdc-monitor-bjffxe2xuh6vdkpspy63sjmuny.us-east-1.es.amazonaws.com/_plugin/kibana/#/discover/Steve-Slow-Train-Analysis-(2080s-and-2083s)?_g=(refreshInterval:(display:Off,section:0,value:0),time:(from:'2016-11-05 07:35:51-0600',mode:absolute,to:'2016-11-05 09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5" t="str">
        <f t="shared" si="1"/>
        <v>"C:\Program Files (x86)\AstroGrep\AstroGrep.exe" /spath="%USERPROFILE%\AppData\Local\Temp\OnboardLogs" /stypes="*4004*201611051*" /stext=" 14:.+((SYSTEM_STATE.+slice.+state.+changed )|(ment ac)|(system.+state.+changed )|(\[timeout)|(PRM\|1\|D)|(kpr)|(kdp)|(\|loc)|(penalty))" /e /r /s</v>
      </c>
      <c r="U27" s="9" t="str">
        <f t="shared" si="2"/>
        <v>4004</v>
      </c>
      <c r="V27" s="36">
        <f t="shared" si="3"/>
        <v>42679.619490740741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{"issue":{"subject":"","project_id":79,"tracker_id":40,"status_id":1,"priority_id":2,"assigned_to_id":23,"start_date":"2016-11-05","description":"","custom_fields":[{"id":1,"name":"Subdivision","value":"NW"},{"id":4,"name":"Milepost","value":"0.479"},{"id":17,"name":"Train ID","value":"1806-05"},{"id":16,"name":"Locomotive ID","value":"4004"},{"id":130,"name":"Impact","value":""},{"id":150,"name":"Time of Event (Mountain Time)","value":"08:52:04"},{"id":151,"name":"Denver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"%USERPROFILE%\AppData\Local\Temp\OnboardLogs"\RTDC4004\*4004*201611051* | grep -SE "((Enforcement Ac)|(PRM))" -</v>
      </c>
      <c r="AD27" s="1"/>
    </row>
    <row r="28" spans="1:30" x14ac:dyDescent="0.25">
      <c r="A28" s="36">
        <v>42679.911469907405</v>
      </c>
      <c r="B28" s="31" t="s">
        <v>277</v>
      </c>
      <c r="C28" s="31" t="s">
        <v>441</v>
      </c>
      <c r="D28" s="31" t="s">
        <v>49</v>
      </c>
      <c r="E28" s="31" t="s">
        <v>214</v>
      </c>
      <c r="F28" s="47">
        <v>200</v>
      </c>
      <c r="G28" s="47">
        <v>377</v>
      </c>
      <c r="H28" s="47">
        <v>7904</v>
      </c>
      <c r="I28" s="47">
        <v>6892</v>
      </c>
      <c r="J28" s="31" t="s">
        <v>215</v>
      </c>
      <c r="K28" s="47">
        <v>5782</v>
      </c>
      <c r="L28" s="157" t="s">
        <v>51</v>
      </c>
      <c r="M28" s="158">
        <f t="shared" si="0"/>
        <v>586.08000000000004</v>
      </c>
      <c r="N28" s="159" t="str">
        <f>VLOOKUP(C28,'Trips&amp;Operators'!$C$1:$E$99999,3,FALSE)</f>
        <v>ADANE</v>
      </c>
      <c r="O28" s="184" t="s">
        <v>213</v>
      </c>
      <c r="P28" s="160"/>
      <c r="Q28" s="31"/>
      <c r="R28" s="100" t="str">
        <f>VLOOKUP(C28,'Train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28" s="103" t="str">
        <f>VLOOKUP(C28,'Train Runs'!$A$13:$AE$10003,22,0)</f>
        <v>https://search-rtdc-monitor-bjffxe2xuh6vdkpspy63sjmuny.us-east-1.es.amazonaws.com/_plugin/kibana/#/discover/Steve-Slow-Train-Analysis-(2080s-and-2083s)?_g=(refreshInterval:(display:Off,section:0,value:0),time:(from:'2016-11-05 20:39:31-0600',mode:absolute,to:'2016-11-05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5" t="str">
        <f t="shared" si="1"/>
        <v>"C:\Program Files (x86)\AstroGrep\AstroGrep.exe" /spath="%USERPROFILE%\AppData\Local\Temp\OnboardLogs" /stypes="*4004*201611060*" /stext=" 03:.+((SYSTEM_STATE.+slice.+state.+changed )|(ment ac)|(system.+state.+changed )|(\[timeout)|(PRM\|1\|D)|(kpr)|(kdp)|(\|loc)|(penalty))" /e /r /s</v>
      </c>
      <c r="U28" s="9" t="str">
        <f t="shared" si="2"/>
        <v>4004</v>
      </c>
      <c r="V28" s="36">
        <f t="shared" si="3"/>
        <v>42680.161469907405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{"issue":{"subject":"","project_id":79,"tracker_id":40,"status_id":1,"priority_id":2,"assigned_to_id":23,"start_date":"2016-11-05","description":"","custom_fields":[{"id":1,"name":"Subdivision","value":"NW"},{"id":4,"name":"Milepost","value":"0.5782"},{"id":17,"name":"Train ID","value":"1832-05"},{"id":16,"name":"Locomotive ID","value":"4004"},{"id":130,"name":"Impact","value":""},{"id":150,"name":"Time of Event (Mountain Time)","value":"21:52:31"},{"id":151,"name":"Denver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"%USERPROFILE%\AppData\Local\Temp\OnboardLogs"\RTDC4004\*4004*201611060* | grep -SE "((Enforcement Ac)|(PRM))" -</v>
      </c>
      <c r="AD28" s="1"/>
    </row>
    <row r="29" spans="1:30" x14ac:dyDescent="0.25">
      <c r="A29" s="36">
        <v>42679.643796296295</v>
      </c>
      <c r="B29" s="31" t="s">
        <v>268</v>
      </c>
      <c r="C29" s="31" t="s">
        <v>430</v>
      </c>
      <c r="D29" s="31" t="s">
        <v>98</v>
      </c>
      <c r="E29" s="31" t="s">
        <v>214</v>
      </c>
      <c r="F29" s="47">
        <v>500</v>
      </c>
      <c r="G29" s="47">
        <v>550</v>
      </c>
      <c r="H29" s="47">
        <v>16919</v>
      </c>
      <c r="I29" s="47">
        <v>18559</v>
      </c>
      <c r="J29" s="31" t="s">
        <v>215</v>
      </c>
      <c r="K29" s="47">
        <v>14402</v>
      </c>
      <c r="L29" s="157" t="s">
        <v>50</v>
      </c>
      <c r="M29" s="158">
        <f t="shared" si="0"/>
        <v>-2194.8960000000002</v>
      </c>
      <c r="N29" s="159" t="str">
        <f>VLOOKUP(C29,'Trips&amp;Operators'!$C$1:$E$99999,3,FALSE)</f>
        <v>ADANE</v>
      </c>
      <c r="O29" s="184" t="s">
        <v>213</v>
      </c>
      <c r="P29" s="160"/>
      <c r="Q29" s="31"/>
      <c r="R29" s="100" t="str">
        <f>VLOOKUP(C29,'Train Runs'!$A$13:$AE$10003,31,0)</f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S29" s="103" t="str">
        <f>VLOOKUP(C29,'Train Runs'!$A$13:$AE$10003,22,0)</f>
        <v>https://search-rtdc-monitor-bjffxe2xuh6vdkpspy63sjmuny.us-east-1.es.amazonaws.com/_plugin/kibana/#/discover/Steve-Slow-Train-Analysis-(2080s-and-2083s)?_g=(refreshInterval:(display:Off,section:0,value:0),time:(from:'2016-11-05 13:57:36-0600',mode:absolute,to:'2016-11-05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9" s="105" t="str">
        <f t="shared" si="1"/>
        <v>"C:\Program Files (x86)\AstroGrep\AstroGrep.exe" /spath="%USERPROFILE%\AppData\Local\Temp\OnboardLogs" /stypes="*4003*201611052*" /stext=" 21:.+((SYSTEM_STATE.+slice.+state.+changed )|(ment ac)|(system.+state.+changed )|(\[timeout)|(PRM\|1\|D)|(kpr)|(kdp)|(\|loc)|(penalty))" /e /r /s</v>
      </c>
      <c r="U29" s="9" t="str">
        <f t="shared" si="2"/>
        <v>4003</v>
      </c>
      <c r="V29" s="36">
        <f t="shared" si="3"/>
        <v>42679.893796296295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{"issue":{"subject":"","project_id":79,"tracker_id":40,"status_id":1,"priority_id":2,"assigned_to_id":23,"start_date":"2016-11-05","description":"","custom_fields":[{"id":1,"name":"Subdivision","value":"NW"},{"id":4,"name":"Milepost","value":"1.4402"},{"id":17,"name":"Train ID","value":"1819-05"},{"id":16,"name":"Locomotive ID","value":"4003"},{"id":130,"name":"Impact","value":""},{"id":150,"name":"Time of Event (Mountain Time)","value":"15:27:04"},{"id":151,"name":"Denver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"%USERPROFILE%\AppData\Local\Temp\OnboardLogs"\RTDC4003\*4003*201611052* | grep -SE "((Enforcement Ac)|(PRM))" -</v>
      </c>
      <c r="AD29" s="1"/>
    </row>
    <row r="30" spans="1:30" x14ac:dyDescent="0.25">
      <c r="A30" s="36">
        <v>42679.79074074074</v>
      </c>
      <c r="B30" s="31" t="s">
        <v>277</v>
      </c>
      <c r="C30" s="31" t="s">
        <v>437</v>
      </c>
      <c r="D30" s="31" t="s">
        <v>98</v>
      </c>
      <c r="E30" s="31" t="s">
        <v>214</v>
      </c>
      <c r="F30" s="47">
        <v>150</v>
      </c>
      <c r="G30" s="47">
        <v>213</v>
      </c>
      <c r="H30" s="47">
        <v>13396</v>
      </c>
      <c r="I30" s="47">
        <v>12825</v>
      </c>
      <c r="J30" s="31" t="s">
        <v>215</v>
      </c>
      <c r="K30" s="47">
        <v>14977</v>
      </c>
      <c r="L30" s="157" t="s">
        <v>51</v>
      </c>
      <c r="M30" s="158">
        <f t="shared" si="0"/>
        <v>-1136.2560000000001</v>
      </c>
      <c r="N30" s="159" t="str">
        <f>VLOOKUP(C30,'Trips&amp;Operators'!$C$1:$E$99999,3,FALSE)</f>
        <v>ADANE</v>
      </c>
      <c r="O30" s="184" t="s">
        <v>213</v>
      </c>
      <c r="P30" s="160"/>
      <c r="Q30" s="31"/>
      <c r="R30" s="100" t="str">
        <f>VLOOKUP(C30,'Train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0" s="103" t="str">
        <f>VLOOKUP(C30,'Train Runs'!$A$13:$AE$10003,22,0)</f>
        <v>https://search-rtdc-monitor-bjffxe2xuh6vdkpspy63sjmuny.us-east-1.es.amazonaws.com/_plugin/kibana/#/discover/Steve-Slow-Train-Analysis-(2080s-and-2083s)?_g=(refreshInterval:(display:Off,section:0,value:0),time:(from:'2016-11-05 17:53:06-0600',mode:absolute,to:'2016-11-05 20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0" s="105" t="str">
        <f t="shared" si="1"/>
        <v>"C:\Program Files (x86)\AstroGrep\AstroGrep.exe" /spath="%USERPROFILE%\AppData\Local\Temp\OnboardLogs" /stypes="*4004*201611060*" /stext=" 00:.+((SYSTEM_STATE.+slice.+state.+changed )|(ment ac)|(system.+state.+changed )|(\[timeout)|(PRM\|1\|D)|(kpr)|(kdp)|(\|loc)|(penalty))" /e /r /s</v>
      </c>
      <c r="U30" s="9" t="str">
        <f t="shared" si="2"/>
        <v>4004</v>
      </c>
      <c r="V30" s="36">
        <f t="shared" si="3"/>
        <v>42680.04074074074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{"issue":{"subject":"","project_id":79,"tracker_id":40,"status_id":1,"priority_id":2,"assigned_to_id":23,"start_date":"2016-11-05","description":"","custom_fields":[{"id":1,"name":"Subdivision","value":"NW"},{"id":4,"name":"Milepost","value":"1.4977"},{"id":17,"name":"Train ID","value":"1826-05"},{"id":16,"name":"Locomotive ID","value":"4004"},{"id":130,"name":"Impact","value":""},{"id":150,"name":"Time of Event (Mountain Time)","value":"18:58:40"},{"id":151,"name":"Denver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"%USERPROFILE%\AppData\Local\Temp\OnboardLogs"\RTDC4004\*4004*201611060* | grep -SE "((Enforcement Ac)|(PRM))" -</v>
      </c>
      <c r="AD30" s="1"/>
    </row>
    <row r="31" spans="1:30" ht="15" customHeight="1" x14ac:dyDescent="0.25">
      <c r="A31" s="36">
        <v>42679.613611111112</v>
      </c>
      <c r="B31" s="31" t="s">
        <v>277</v>
      </c>
      <c r="C31" s="31" t="s">
        <v>428</v>
      </c>
      <c r="D31" s="31" t="s">
        <v>98</v>
      </c>
      <c r="E31" s="31" t="s">
        <v>214</v>
      </c>
      <c r="F31" s="47">
        <v>150</v>
      </c>
      <c r="G31" s="47">
        <v>204</v>
      </c>
      <c r="H31" s="47">
        <v>56995</v>
      </c>
      <c r="I31" s="47">
        <v>56553</v>
      </c>
      <c r="J31" s="31" t="s">
        <v>215</v>
      </c>
      <c r="K31" s="47">
        <v>59050</v>
      </c>
      <c r="L31" s="157" t="s">
        <v>51</v>
      </c>
      <c r="M31" s="158">
        <f t="shared" si="0"/>
        <v>-1318.4159999999999</v>
      </c>
      <c r="N31" s="159" t="str">
        <f>VLOOKUP(C31,'Trips&amp;Operators'!$C$1:$E$99999,3,FALSE)</f>
        <v>ADANE</v>
      </c>
      <c r="O31" s="184" t="s">
        <v>213</v>
      </c>
      <c r="P31" s="160"/>
      <c r="Q31" s="31"/>
      <c r="R31" s="100" t="str">
        <f>VLOOKUP(C31,'Train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1" s="103" t="str">
        <f>VLOOKUP(C31,'Train Runs'!$A$13:$AE$10003,22,0)</f>
        <v>https://search-rtdc-monitor-bjffxe2xuh6vdkpspy63sjmuny.us-east-1.es.amazonaws.com/_plugin/kibana/#/discover/Steve-Slow-Train-Analysis-(2080s-and-2083s)?_g=(refreshInterval:(display:Off,section:0,value:0),time:(from:'2016-11-05 13:36:40-0600',mode:absolute,to:'2016-11-05 15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5" t="str">
        <f t="shared" si="1"/>
        <v>"C:\Program Files (x86)\AstroGrep\AstroGrep.exe" /spath="%USERPROFILE%\AppData\Local\Temp\OnboardLogs" /stypes="*4004*201611052*" /stext=" 20:.+((SYSTEM_STATE.+slice.+state.+changed )|(ment ac)|(system.+state.+changed )|(\[timeout)|(PRM\|1\|D)|(kpr)|(kdp)|(\|loc)|(penalty))" /e /r /s</v>
      </c>
      <c r="U31" s="9" t="str">
        <f t="shared" si="2"/>
        <v>4004</v>
      </c>
      <c r="V31" s="36">
        <f t="shared" si="3"/>
        <v>42679.863611111112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{"issue":{"subject":"","project_id":79,"tracker_id":40,"status_id":1,"priority_id":2,"assigned_to_id":23,"start_date":"2016-11-05","description":"","custom_fields":[{"id":1,"name":"Subdivision","value":"NW"},{"id":4,"name":"Milepost","value":"5.905"},{"id":17,"name":"Train ID","value":"1818-05"},{"id":16,"name":"Locomotive ID","value":"4004"},{"id":130,"name":"Impact","value":""},{"id":150,"name":"Time of Event (Mountain Time)","value":"14:43:36"},{"id":151,"name":"Denver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"%USERPROFILE%\AppData\Local\Temp\OnboardLogs"\RTDC4004\*4004*201611052* | grep -SE "((Enforcement Ac)|(PRM))" -</v>
      </c>
      <c r="AD31" s="1"/>
    </row>
    <row r="32" spans="1:30" x14ac:dyDescent="0.25">
      <c r="A32" s="36">
        <v>42679.478159722225</v>
      </c>
      <c r="B32" s="31" t="s">
        <v>268</v>
      </c>
      <c r="C32" s="31" t="s">
        <v>426</v>
      </c>
      <c r="D32" s="31" t="s">
        <v>49</v>
      </c>
      <c r="E32" s="31" t="s">
        <v>216</v>
      </c>
      <c r="F32" s="47">
        <v>0</v>
      </c>
      <c r="G32" s="47">
        <v>520</v>
      </c>
      <c r="H32" s="47">
        <v>35025</v>
      </c>
      <c r="I32" s="47">
        <v>37318</v>
      </c>
      <c r="J32" s="31" t="s">
        <v>217</v>
      </c>
      <c r="K32" s="47">
        <v>37575</v>
      </c>
      <c r="L32" s="157" t="s">
        <v>50</v>
      </c>
      <c r="M32" s="158">
        <f t="shared" si="0"/>
        <v>135.696</v>
      </c>
      <c r="N32" s="159" t="str">
        <f>VLOOKUP(C32,'Trips&amp;Operators'!$C$1:$E$99999,3,FALSE)</f>
        <v>YORK</v>
      </c>
      <c r="O32" s="184" t="s">
        <v>276</v>
      </c>
      <c r="P32" s="160" t="s">
        <v>778</v>
      </c>
      <c r="Q32" s="31"/>
      <c r="R32" s="100" t="str">
        <f>VLOOKUP(C32,'Train Runs'!$A$13:$AE$10003,31,0)</f>
        <v>aws s3 cp s3://rtdc.mdm.uploadarchive.raw/RTDC4003/ "%USERPROFILE%\AppData\Local\Temp\OnboardLogs"\RTDC4003\2016-11-05 --exclude "*" --recursive --include "*20161105*" &amp; "%USERPROFILE%\Documents\GitHub\mrs-test-scripts\Headless Mode &amp; Sideloading\WalkAndUnGZ.bat" "%USERPROFILE%\AppData\Local\Temp\OnboardLogs"\RTDC4003\2016-11-05 &amp; aws s3 cp s3://rtdc.mdm.uploadarchive.raw/RTDC4003/ "%USERPROFILE%\AppData\Local\Temp\OnboardLogs"\RTDC4003\2016-11-06 --exclude "*" --recursive --include "*20161106*" &amp; "%USERPROFILE%\Documents\GitHub\mrs-test-scripts\Headless Mode &amp; Sideloading\WalkAndUnGZ.bat" "%USERPROFILE%\AppData\Local\Temp\OnboardLogs"\RTDC4003\2016-11-06</v>
      </c>
      <c r="S32" s="103" t="str">
        <f>VLOOKUP(C32,'Train Runs'!$A$13:$AE$10003,22,0)</f>
        <v>https://search-rtdc-monitor-bjffxe2xuh6vdkpspy63sjmuny.us-east-1.es.amazonaws.com/_plugin/kibana/#/discover/Steve-Slow-Train-Analysis-(2080s-and-2083s)?_g=(refreshInterval:(display:Off,section:0,value:0),time:(from:'2016-11-05 09:57:29-0600',mode:absolute,to:'2016-11-05 12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5" t="str">
        <f t="shared" si="1"/>
        <v>"C:\Program Files (x86)\AstroGrep\AstroGrep.exe" /spath="%USERPROFILE%\AppData\Local\Temp\OnboardLogs" /stypes="*4003*201611051*" /stext=" 17:.+((SYSTEM_STATE.+slice.+state.+changed )|(ment ac)|(system.+state.+changed )|(\[timeout)|(PRM\|1\|D)|(kpr)|(kdp)|(\|loc)|(penalty))" /e /r /s</v>
      </c>
      <c r="U32" s="9" t="str">
        <f t="shared" si="2"/>
        <v>4003</v>
      </c>
      <c r="V32" s="36">
        <f t="shared" si="3"/>
        <v>42679.728159722225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{"issue":{"subject":"Wi-MAX data drop","project_id":79,"tracker_id":40,"status_id":1,"priority_id":2,"assigned_to_id":23,"start_date":"2016-11-05","description":"http://stevetu21.github.io/eaglep3/load_kml.html?kml=http://rtdc.gmaps-snips.s3.amazonaws.com/9afb532f-103f-42c3-9167-dc4e3a1ead85.kml","custom_fields":[{"id":1,"name":"Subdivision","value":"NW"},{"id":4,"name":"Milepost","value":"3.7575"},{"id":17,"name":"Train ID","value":"1811-05"},{"id":16,"name":"Locomotive ID","value":"4003"},{"id":130,"name":"Impact","value":"Enforcement"},{"id":150,"name":"Time of Event (Mountain Time)","value":"11:28:33"},{"id":151,"name":"Denver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s="185" t="s">
        <v>779</v>
      </c>
      <c r="AA32" s="53" t="s">
        <v>125</v>
      </c>
      <c r="AB32" s="53" t="s">
        <v>138</v>
      </c>
      <c r="AC32" s="141" t="str">
        <f t="shared" si="7"/>
        <v>grep -hSE -A100 "Enforcement Action" "%USERPROFILE%\AppData\Local\Temp\OnboardLogs"\RTDC4003\*4003*201611051* | grep -SE "((Enforcement Ac)|(PRM))" -</v>
      </c>
      <c r="AD32" s="1"/>
    </row>
    <row r="33" spans="1:30" ht="15" customHeight="1" x14ac:dyDescent="0.25">
      <c r="A33" s="36">
        <v>42679.663101851853</v>
      </c>
      <c r="B33" s="31" t="s">
        <v>277</v>
      </c>
      <c r="C33" s="31" t="s">
        <v>432</v>
      </c>
      <c r="D33" s="31" t="s">
        <v>49</v>
      </c>
      <c r="E33" s="31" t="s">
        <v>218</v>
      </c>
      <c r="F33" s="47">
        <v>0</v>
      </c>
      <c r="G33" s="47">
        <v>43</v>
      </c>
      <c r="H33" s="47">
        <v>708</v>
      </c>
      <c r="I33" s="47">
        <v>666</v>
      </c>
      <c r="J33" s="31" t="s">
        <v>219</v>
      </c>
      <c r="K33" s="47">
        <v>575</v>
      </c>
      <c r="L33" s="157" t="s">
        <v>51</v>
      </c>
      <c r="M33" s="158">
        <f t="shared" si="0"/>
        <v>48.048000000000002</v>
      </c>
      <c r="N33" s="159" t="str">
        <f>VLOOKUP(C33,'Trips&amp;Operators'!$C$1:$E$99999,3,FALSE)</f>
        <v>ADANE</v>
      </c>
      <c r="O33" s="184" t="s">
        <v>213</v>
      </c>
      <c r="P33" s="160"/>
      <c r="Q33" s="31"/>
      <c r="R33" s="100" t="str">
        <f>VLOOKUP(C33,'Train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3" s="103" t="str">
        <f>VLOOKUP(C33,'Train Runs'!$A$13:$AE$10003,22,0)</f>
        <v>https://search-rtdc-monitor-bjffxe2xuh6vdkpspy63sjmuny.us-east-1.es.amazonaws.com/_plugin/kibana/#/discover/Steve-Slow-Train-Analysis-(2080s-and-2083s)?_g=(refreshInterval:(display:Off,section:0,value:0),time:(from:'2016-11-05 14:38:47-0600',mode:absolute,to:'2016-11-05 16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3" s="105" t="str">
        <f t="shared" si="1"/>
        <v>"C:\Program Files (x86)\AstroGrep\AstroGrep.exe" /spath="%USERPROFILE%\AppData\Local\Temp\OnboardLogs" /stypes="*4004*201611052*" /stext=" 21:.+((SYSTEM_STATE.+slice.+state.+changed )|(ment ac)|(system.+state.+changed )|(\[timeout)|(PRM\|1\|D)|(kpr)|(kdp)|(\|loc)|(penalty))" /e /r /s</v>
      </c>
      <c r="U33" s="9" t="str">
        <f t="shared" si="2"/>
        <v>4004</v>
      </c>
      <c r="V33" s="36">
        <f t="shared" si="3"/>
        <v>42679.913101851853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ID","value":"1820-05"},{"id":16,"name":"Locomotive ID","value":"4004"},{"id":130,"name":"Impact","value":""},{"id":150,"name":"Time of Event (Mountain Time)","value":"15:54:52"},{"id":151,"name":"Denver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"%USERPROFILE%\AppData\Local\Temp\OnboardLogs"\RTDC4004\*4004*201611052* | grep -SE "((Enforcement Ac)|(PRM))" -</v>
      </c>
      <c r="AD33" s="1"/>
    </row>
    <row r="34" spans="1:30" x14ac:dyDescent="0.25">
      <c r="A34" s="36">
        <v>42679.872361111113</v>
      </c>
      <c r="B34" s="31" t="s">
        <v>277</v>
      </c>
      <c r="C34" s="31" t="s">
        <v>440</v>
      </c>
      <c r="D34" s="31" t="s">
        <v>49</v>
      </c>
      <c r="E34" s="31" t="s">
        <v>218</v>
      </c>
      <c r="F34" s="47">
        <v>0</v>
      </c>
      <c r="G34" s="47">
        <v>157</v>
      </c>
      <c r="H34" s="47">
        <v>1447</v>
      </c>
      <c r="I34" s="47">
        <v>1216</v>
      </c>
      <c r="J34" s="31" t="s">
        <v>219</v>
      </c>
      <c r="K34" s="47">
        <v>575</v>
      </c>
      <c r="L34" s="157" t="s">
        <v>51</v>
      </c>
      <c r="M34" s="158">
        <f t="shared" si="0"/>
        <v>338.44800000000004</v>
      </c>
      <c r="N34" s="159" t="str">
        <f>VLOOKUP(C34,'Trips&amp;Operators'!$C$1:$E$99999,3,FALSE)</f>
        <v>ADANE</v>
      </c>
      <c r="O34" s="184" t="s">
        <v>213</v>
      </c>
      <c r="P34" s="160"/>
      <c r="Q34" s="31"/>
      <c r="R34" s="100" t="str">
        <f>VLOOKUP(C34,'Train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4" s="103" t="str">
        <f>VLOOKUP(C34,'Train Runs'!$A$13:$AE$10003,22,0)</f>
        <v>https://search-rtdc-monitor-bjffxe2xuh6vdkpspy63sjmuny.us-east-1.es.amazonaws.com/_plugin/kibana/#/discover/Steve-Slow-Train-Analysis-(2080s-and-2083s)?_g=(refreshInterval:(display:Off,section:0,value:0),time:(from:'2016-11-05 19:42:28-0600',mode:absolute,to:'2016-11-05 21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 t="shared" si="1"/>
        <v>"C:\Program Files (x86)\AstroGrep\AstroGrep.exe" /spath="%USERPROFILE%\AppData\Local\Temp\OnboardLogs" /stypes="*4004*201611060*" /stext=" 02:.+((SYSTEM_STATE.+slice.+state.+changed )|(ment ac)|(system.+state.+changed )|(\[timeout)|(PRM\|1\|D)|(kpr)|(kdp)|(\|loc)|(penalty))" /e /r /s</v>
      </c>
      <c r="U34" s="9" t="str">
        <f t="shared" si="2"/>
        <v>4004</v>
      </c>
      <c r="V34" s="36">
        <f t="shared" si="3"/>
        <v>42680.122361111113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ID","value":"1830-05"},{"id":16,"name":"Locomotive ID","value":"4004"},{"id":130,"name":"Impact","value":""},{"id":150,"name":"Time of Event (Mountain Time)","value":"20:56:12"},{"id":151,"name":"Denver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"%USERPROFILE%\AppData\Local\Temp\OnboardLogs"\RTDC4004\*4004*201611060* | grep -SE "((Enforcement Ac)|(PRM))" -</v>
      </c>
      <c r="AD34" s="1"/>
    </row>
    <row r="35" spans="1:30" x14ac:dyDescent="0.25">
      <c r="A35" s="36">
        <v>42679.872858796298</v>
      </c>
      <c r="B35" s="31" t="s">
        <v>277</v>
      </c>
      <c r="C35" s="31" t="s">
        <v>440</v>
      </c>
      <c r="D35" s="31" t="s">
        <v>49</v>
      </c>
      <c r="E35" s="31" t="s">
        <v>218</v>
      </c>
      <c r="F35" s="47">
        <v>0</v>
      </c>
      <c r="G35" s="47">
        <v>101</v>
      </c>
      <c r="H35" s="47">
        <v>1051</v>
      </c>
      <c r="I35" s="47">
        <v>960</v>
      </c>
      <c r="J35" s="31" t="s">
        <v>219</v>
      </c>
      <c r="K35" s="47">
        <v>575</v>
      </c>
      <c r="L35" s="157" t="s">
        <v>51</v>
      </c>
      <c r="M35" s="158">
        <f t="shared" si="0"/>
        <v>203.28</v>
      </c>
      <c r="N35" s="159" t="str">
        <f>VLOOKUP(C35,'Trips&amp;Operators'!$C$1:$E$99999,3,FALSE)</f>
        <v>ADANE</v>
      </c>
      <c r="O35" s="184" t="s">
        <v>213</v>
      </c>
      <c r="P35" s="160"/>
      <c r="Q35" s="31"/>
      <c r="R35" s="100" t="str">
        <f>VLOOKUP(C35,'Train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5" s="103" t="str">
        <f>VLOOKUP(C35,'Train Runs'!$A$13:$AE$10003,22,0)</f>
        <v>https://search-rtdc-monitor-bjffxe2xuh6vdkpspy63sjmuny.us-east-1.es.amazonaws.com/_plugin/kibana/#/discover/Steve-Slow-Train-Analysis-(2080s-and-2083s)?_g=(refreshInterval:(display:Off,section:0,value:0),time:(from:'2016-11-05 19:42:28-0600',mode:absolute,to:'2016-11-05 21:56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5" s="105" t="str">
        <f t="shared" si="1"/>
        <v>"C:\Program Files (x86)\AstroGrep\AstroGrep.exe" /spath="%USERPROFILE%\AppData\Local\Temp\OnboardLogs" /stypes="*4004*201611060*" /stext=" 02:.+((SYSTEM_STATE.+slice.+state.+changed )|(ment ac)|(system.+state.+changed )|(\[timeout)|(PRM\|1\|D)|(kpr)|(kdp)|(\|loc)|(penalty))" /e /r /s</v>
      </c>
      <c r="U35" s="9" t="str">
        <f t="shared" si="2"/>
        <v>4004</v>
      </c>
      <c r="V35" s="36">
        <f t="shared" si="3"/>
        <v>42680.122858796298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ID","value":"1830-05"},{"id":16,"name":"Locomotive ID","value":"4004"},{"id":130,"name":"Impact","value":""},{"id":150,"name":"Time of Event (Mountain Time)","value":"20:56:55"},{"id":151,"name":"Denver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"%USERPROFILE%\AppData\Local\Temp\OnboardLogs"\RTDC4004\*4004*201611060* | grep -SE "((Enforcement Ac)|(PRM))" -</v>
      </c>
      <c r="AD35" s="1"/>
    </row>
    <row r="36" spans="1:30" x14ac:dyDescent="0.25">
      <c r="A36" s="36">
        <v>42679.913506944446</v>
      </c>
      <c r="B36" s="31" t="s">
        <v>277</v>
      </c>
      <c r="C36" s="31" t="s">
        <v>441</v>
      </c>
      <c r="D36" s="31" t="s">
        <v>49</v>
      </c>
      <c r="E36" s="31" t="s">
        <v>218</v>
      </c>
      <c r="F36" s="47">
        <v>0</v>
      </c>
      <c r="G36" s="47">
        <v>100</v>
      </c>
      <c r="H36" s="47">
        <v>929</v>
      </c>
      <c r="I36" s="47">
        <v>843</v>
      </c>
      <c r="J36" s="31" t="s">
        <v>219</v>
      </c>
      <c r="K36" s="47">
        <v>575</v>
      </c>
      <c r="L36" s="157" t="s">
        <v>51</v>
      </c>
      <c r="M36" s="158">
        <f t="shared" si="0"/>
        <v>141.50399999999999</v>
      </c>
      <c r="N36" s="159" t="str">
        <f>VLOOKUP(C36,'Trips&amp;Operators'!$C$1:$E$99999,3,FALSE)</f>
        <v>ADANE</v>
      </c>
      <c r="O36" s="184" t="s">
        <v>213</v>
      </c>
      <c r="P36" s="160"/>
      <c r="Q36" s="31"/>
      <c r="R36" s="100" t="str">
        <f>VLOOKUP(C36,'Train Runs'!$A$13:$AE$10003,31,0)</f>
        <v>aws s3 cp s3://rtdc.mdm.uploadarchive.raw/RTDC4004/ "%USERPROFILE%\AppData\Local\Temp\OnboardLogs"\RTDC4004\2016-11-05 --exclude "*" --recursive --include "*20161105*" &amp; "%USERPROFILE%\Documents\GitHub\mrs-test-scripts\Headless Mode &amp; Sideloading\WalkAndUnGZ.bat" "%USERPROFILE%\AppData\Local\Temp\OnboardLogs"\RTDC4004\2016-11-05 &amp; aws s3 cp s3://rtdc.mdm.uploadarchive.raw/RTDC4004/ "%USERPROFILE%\AppData\Local\Temp\OnboardLogs"\RTDC4004\2016-11-06 --exclude "*" --recursive --include "*20161106*" &amp; "%USERPROFILE%\Documents\GitHub\mrs-test-scripts\Headless Mode &amp; Sideloading\WalkAndUnGZ.bat" "%USERPROFILE%\AppData\Local\Temp\OnboardLogs"\RTDC4004\2016-11-06</v>
      </c>
      <c r="S36" s="103" t="str">
        <f>VLOOKUP(C36,'Train Runs'!$A$13:$AE$10003,22,0)</f>
        <v>https://search-rtdc-monitor-bjffxe2xuh6vdkpspy63sjmuny.us-east-1.es.amazonaws.com/_plugin/kibana/#/discover/Steve-Slow-Train-Analysis-(2080s-and-2083s)?_g=(refreshInterval:(display:Off,section:0,value:0),time:(from:'2016-11-05 20:39:31-0600',mode:absolute,to:'2016-11-05 22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6" s="105" t="str">
        <f t="shared" si="1"/>
        <v>"C:\Program Files (x86)\AstroGrep\AstroGrep.exe" /spath="%USERPROFILE%\AppData\Local\Temp\OnboardLogs" /stypes="*4004*201611060*" /stext=" 03:.+((SYSTEM_STATE.+slice.+state.+changed )|(ment ac)|(system.+state.+changed )|(\[timeout)|(PRM\|1\|D)|(kpr)|(kdp)|(\|loc)|(penalty))" /e /r /s</v>
      </c>
      <c r="U36" s="9" t="str">
        <f t="shared" si="2"/>
        <v>4004</v>
      </c>
      <c r="V36" s="36">
        <f t="shared" si="3"/>
        <v>42680.163506944446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{"issue":{"subject":"","project_id":79,"tracker_id":40,"status_id":1,"priority_id":2,"assigned_to_id":23,"start_date":"2016-11-05","description":"","custom_fields":[{"id":1,"name":"Subdivision","value":"NW"},{"id":4,"name":"Milepost","value":"0.0575"},{"id":17,"name":"Train ID","value":"1832-05"},{"id":16,"name":"Locomotive ID","value":"4004"},{"id":130,"name":"Impact","value":""},{"id":150,"name":"Time of Event (Mountain Time)","value":"21:55:27"},{"id":151,"name":"Denver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"%USERPROFILE%\AppData\Local\Temp\OnboardLogs"\RTDC4004\*4004*201611060* | grep -SE "((Enforcement Ac)|(PRM))" -</v>
      </c>
      <c r="AD36" s="1"/>
    </row>
    <row r="37" spans="1:30" x14ac:dyDescent="0.25">
      <c r="A37" s="36">
        <v>42679.755949074075</v>
      </c>
      <c r="B37" s="31" t="s">
        <v>229</v>
      </c>
      <c r="C37" s="31" t="s">
        <v>435</v>
      </c>
      <c r="D37" s="31" t="s">
        <v>98</v>
      </c>
      <c r="E37" s="31" t="s">
        <v>218</v>
      </c>
      <c r="F37" s="47">
        <v>0</v>
      </c>
      <c r="G37" s="47">
        <v>11</v>
      </c>
      <c r="H37" s="47">
        <v>839</v>
      </c>
      <c r="I37" s="47">
        <v>0</v>
      </c>
      <c r="J37" s="31" t="s">
        <v>219</v>
      </c>
      <c r="K37" s="47">
        <v>839</v>
      </c>
      <c r="L37" s="157" t="s">
        <v>51</v>
      </c>
      <c r="M37" s="158">
        <f t="shared" si="0"/>
        <v>-442.99200000000002</v>
      </c>
      <c r="N37" s="159" t="str">
        <f>VLOOKUP(C37,'Trips&amp;Operators'!$C$1:$E$99999,3,FALSE)</f>
        <v>MAHAN</v>
      </c>
      <c r="O37" s="184" t="s">
        <v>213</v>
      </c>
      <c r="P37" s="160"/>
      <c r="Q37" s="31"/>
      <c r="R37" s="100" t="str">
        <f>VLOOKUP(C37,'Train Runs'!$A$13:$AE$10003,31,0)</f>
        <v>aws s3 cp s3://rtdc.mdm.uploadarchive.raw/RTDC4037/ "%USERPROFILE%\AppData\Local\Temp\OnboardLogs"\RTDC4037\2016-11-05 --exclude "*" --recursive --include "*20161105*" &amp; "%USERPROFILE%\Documents\GitHub\mrs-test-scripts\Headless Mode &amp; Sideloading\WalkAndUnGZ.bat" "%USERPROFILE%\AppData\Local\Temp\OnboardLogs"\RTDC4037\2016-11-05 &amp; aws s3 cp s3://rtdc.mdm.uploadarchive.raw/RTDC4037/ "%USERPROFILE%\AppData\Local\Temp\OnboardLogs"\RTDC4037\2016-11-06 --exclude "*" --recursive --include "*20161106*" &amp; "%USERPROFILE%\Documents\GitHub\mrs-test-scripts\Headless Mode &amp; Sideloading\WalkAndUnGZ.bat" "%USERPROFILE%\AppData\Local\Temp\OnboardLogs"\RTDC4037\2016-11-06</v>
      </c>
      <c r="S37" s="103" t="str">
        <f>VLOOKUP(C37,'Train Runs'!$A$13:$AE$10003,22,0)</f>
        <v>https://search-rtdc-monitor-bjffxe2xuh6vdkpspy63sjmuny.us-east-1.es.amazonaws.com/_plugin/kibana/#/discover/Steve-Slow-Train-Analysis-(2080s-and-2083s)?_g=(refreshInterval:(display:Off,section:0,value:0),time:(from:'2016-11-05 16:54:10-0600',mode:absolute,to:'2016-11-05 19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7" s="105" t="str">
        <f t="shared" si="1"/>
        <v>"C:\Program Files (x86)\AstroGrep\AstroGrep.exe" /spath="%USERPROFILE%\AppData\Local\Temp\OnboardLogs" /stypes="*4037*201611060*" /stext=" 00:.+((SYSTEM_STATE.+slice.+state.+changed )|(ment ac)|(system.+state.+changed )|(\[timeout)|(PRM\|1\|D)|(kpr)|(kdp)|(\|loc)|(penalty))" /e /r /s</v>
      </c>
      <c r="U37" s="9" t="str">
        <f t="shared" si="2"/>
        <v>4037</v>
      </c>
      <c r="V37" s="36">
        <f t="shared" si="3"/>
        <v>42680.005949074075</v>
      </c>
      <c r="W37" s="50" t="str">
        <f t="shared" si="4"/>
        <v>Other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{"issue":{"subject":"","project_id":79,"tracker_id":40,"status_id":1,"priority_id":2,"assigned_to_id":23,"start_date":"2016-11-05","description":"","custom_fields":[{"id":1,"name":"Subdivision","value":"Other"},{"id":4,"name":"Milepost","value":"0.0839"},{"id":17,"name":"Train ID","value":"58-05"},{"id":16,"name":"Locomotive ID","value":"4037"},{"id":130,"name":"Impact","value":""},{"id":150,"name":"Time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"%USERPROFILE%\AppData\Local\Temp\OnboardLogs"\RTDC4037\*4037*201611060* | grep -SE "((Enforcement Ac)|(PRM))" -</v>
      </c>
      <c r="AD37" s="1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>
    <sortState ref="A7:AC45">
      <sortCondition ref="W7:W37"/>
      <sortCondition ref="E7:E37"/>
      <sortCondition ref="K7:K37"/>
      <sortCondition ref="F7:F3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O7:O37">
    <cfRule type="cellIs" dxfId="5" priority="21" operator="equal">
      <formula>"Y"</formula>
    </cfRule>
  </conditionalFormatting>
  <conditionalFormatting sqref="A7:P37">
    <cfRule type="expression" dxfId="4" priority="20">
      <formula>$O7="Y"</formula>
    </cfRule>
  </conditionalFormatting>
  <hyperlinks>
    <hyperlink ref="Z3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7" t="str">
        <f>"Trips that did not appear in PTC Data "&amp;TEXT(Variables!$A$2,"YYYY-mm-dd")</f>
        <v>Trips that did not appear in PTC Data 2016-11-05</v>
      </c>
      <c r="C1" s="187"/>
      <c r="D1" s="187"/>
      <c r="E1" s="187"/>
      <c r="F1" s="187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-05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3" s="31" t="e">
        <f>VLOOKUP(B3,'Train Runs'!$A$13:$A$100000,1,FALSE)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-05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4" s="31" t="e">
        <f>VLOOKUP(B4,'Train Runs'!$A$13:$A$100000,1,FALSE)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-05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5" s="31" t="e">
        <f>VLOOKUP(B5,'Train Runs'!$A$13:$A$100000,1,FALSE)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-05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6" s="31" t="e">
        <f>VLOOKUP(B6,'Train Runs'!$A$13:$A$100000,1,FALSE)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-05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7" s="31" t="e">
        <f>VLOOKUP(B7,'Train Runs'!$A$13:$A$100000,1,FALSE)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-05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8" s="31" t="e">
        <f>VLOOKUP(B8,'Train Runs'!$A$13:$A$100000,1,FALSE)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-05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9" s="31" t="e">
        <f>VLOOKUP(B9,'Train Runs'!$A$13:$A$100000,1,FALSE)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-05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0" s="31" t="e">
        <f>VLOOKUP(B10,'Train Runs'!$A$13:$A$100000,1,FALSE)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-05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1" s="31" t="e">
        <f>VLOOKUP(B11,'Train Runs'!$A$13:$A$100000,1,FALSE)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-05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2" s="31" t="e">
        <f>VLOOKUP(B12,'Train Runs'!$A$13:$A$100000,1,FALSE)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-05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3" s="31" t="e">
        <f>VLOOKUP(B13,'Train Runs'!$A$13:$A$100000,1,FALSE)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42679.036226851851</v>
      </c>
      <c r="B2" s="21" t="s">
        <v>244</v>
      </c>
      <c r="C2" s="21" t="s">
        <v>443</v>
      </c>
      <c r="D2" s="21">
        <v>1300000</v>
      </c>
      <c r="E2" s="21" t="s">
        <v>113</v>
      </c>
      <c r="F2" s="21" t="str">
        <f t="shared" ref="F2:F65" si="0">B2</f>
        <v>rtdc.l.rtdc.4038:itc</v>
      </c>
      <c r="G2" s="8">
        <f t="shared" ref="G2:G65" si="1">A2</f>
        <v>42679.036226851851</v>
      </c>
    </row>
    <row r="3" spans="1:7" x14ac:dyDescent="0.25">
      <c r="A3" s="8">
        <v>42679.038483796299</v>
      </c>
      <c r="B3" s="21" t="s">
        <v>225</v>
      </c>
      <c r="C3" s="21" t="s">
        <v>444</v>
      </c>
      <c r="D3" s="21">
        <v>1800000</v>
      </c>
      <c r="E3" s="21" t="s">
        <v>262</v>
      </c>
      <c r="F3" s="21" t="str">
        <f t="shared" si="0"/>
        <v>rtdc.l.rtdc.4030:itc</v>
      </c>
      <c r="G3" s="8">
        <f t="shared" si="1"/>
        <v>42679.038483796299</v>
      </c>
    </row>
    <row r="4" spans="1:7" x14ac:dyDescent="0.25">
      <c r="A4" s="8">
        <v>42679.044918981483</v>
      </c>
      <c r="B4" s="21" t="s">
        <v>191</v>
      </c>
      <c r="C4" s="21" t="s">
        <v>445</v>
      </c>
      <c r="D4" s="21">
        <v>2610000</v>
      </c>
      <c r="E4" s="21" t="s">
        <v>333</v>
      </c>
      <c r="F4" s="21" t="str">
        <f t="shared" si="0"/>
        <v>rtdc.l.rtdc.4007:itc</v>
      </c>
      <c r="G4" s="8">
        <f t="shared" si="1"/>
        <v>42679.044918981483</v>
      </c>
    </row>
    <row r="5" spans="1:7" x14ac:dyDescent="0.25">
      <c r="A5" s="8">
        <v>42679.05672453704</v>
      </c>
      <c r="B5" s="21" t="s">
        <v>287</v>
      </c>
      <c r="C5" s="21" t="s">
        <v>446</v>
      </c>
      <c r="D5" s="21">
        <v>2000000</v>
      </c>
      <c r="E5" s="21" t="s">
        <v>291</v>
      </c>
      <c r="F5" s="21" t="str">
        <f t="shared" si="0"/>
        <v>rtdc.l.rtdc.4041:itc</v>
      </c>
      <c r="G5" s="8">
        <f t="shared" si="1"/>
        <v>42679.05672453704</v>
      </c>
    </row>
    <row r="6" spans="1:7" x14ac:dyDescent="0.25">
      <c r="A6" s="8">
        <v>42679.068749999999</v>
      </c>
      <c r="B6" s="21" t="s">
        <v>224</v>
      </c>
      <c r="C6" s="21" t="s">
        <v>447</v>
      </c>
      <c r="D6" s="21">
        <v>1800000</v>
      </c>
      <c r="E6" s="21" t="s">
        <v>262</v>
      </c>
      <c r="F6" s="21" t="str">
        <f t="shared" si="0"/>
        <v>rtdc.l.rtdc.4029:itc</v>
      </c>
      <c r="G6" s="8">
        <f t="shared" si="1"/>
        <v>42679.068749999999</v>
      </c>
    </row>
    <row r="7" spans="1:7" x14ac:dyDescent="0.25">
      <c r="A7" s="8">
        <v>42679.078159722223</v>
      </c>
      <c r="B7" s="21" t="s">
        <v>229</v>
      </c>
      <c r="C7" s="21" t="s">
        <v>448</v>
      </c>
      <c r="D7" s="21">
        <v>1300000</v>
      </c>
      <c r="E7" s="21" t="s">
        <v>113</v>
      </c>
      <c r="F7" s="21" t="str">
        <f t="shared" si="0"/>
        <v>rtdc.l.rtdc.4037:itc</v>
      </c>
      <c r="G7" s="8">
        <f t="shared" si="1"/>
        <v>42679.078159722223</v>
      </c>
    </row>
    <row r="8" spans="1:7" x14ac:dyDescent="0.25">
      <c r="A8" s="8">
        <v>42679.090590277781</v>
      </c>
      <c r="B8" s="21" t="s">
        <v>290</v>
      </c>
      <c r="C8" s="21" t="s">
        <v>449</v>
      </c>
      <c r="D8" s="21">
        <v>2000000</v>
      </c>
      <c r="E8" s="21" t="s">
        <v>291</v>
      </c>
      <c r="F8" s="21" t="str">
        <f t="shared" si="0"/>
        <v>rtdc.l.rtdc.4042:itc</v>
      </c>
      <c r="G8" s="8">
        <f t="shared" si="1"/>
        <v>42679.090590277781</v>
      </c>
    </row>
    <row r="9" spans="1:7" ht="15.75" thickBot="1" x14ac:dyDescent="0.3">
      <c r="A9" s="25">
        <v>42679.108761574076</v>
      </c>
      <c r="B9" s="21" t="s">
        <v>244</v>
      </c>
      <c r="C9" s="21" t="s">
        <v>450</v>
      </c>
      <c r="D9" s="21">
        <v>1300000</v>
      </c>
      <c r="E9" s="21" t="s">
        <v>113</v>
      </c>
      <c r="F9" s="21" t="str">
        <f t="shared" si="0"/>
        <v>rtdc.l.rtdc.4038:itc</v>
      </c>
      <c r="G9" s="8">
        <f t="shared" si="1"/>
        <v>42679.108761574076</v>
      </c>
    </row>
    <row r="10" spans="1:7" x14ac:dyDescent="0.25">
      <c r="A10" s="8">
        <v>42679.121666666666</v>
      </c>
      <c r="B10" s="21" t="s">
        <v>351</v>
      </c>
      <c r="C10" s="21" t="s">
        <v>451</v>
      </c>
      <c r="D10" s="21">
        <v>2010000</v>
      </c>
      <c r="E10" s="21" t="s">
        <v>327</v>
      </c>
      <c r="F10" s="21" t="str">
        <f t="shared" si="0"/>
        <v>rtdc.l.rtdc.4012:itc</v>
      </c>
      <c r="G10" s="8">
        <f t="shared" si="1"/>
        <v>42679.121666666666</v>
      </c>
    </row>
    <row r="11" spans="1:7" x14ac:dyDescent="0.25">
      <c r="A11" s="8">
        <v>42679.132453703707</v>
      </c>
      <c r="B11" s="21" t="s">
        <v>249</v>
      </c>
      <c r="C11" s="21" t="s">
        <v>452</v>
      </c>
      <c r="D11" s="21">
        <v>2010000</v>
      </c>
      <c r="E11" s="21" t="s">
        <v>327</v>
      </c>
      <c r="F11" s="21" t="str">
        <f t="shared" si="0"/>
        <v>rtdc.l.rtdc.4014:itc</v>
      </c>
      <c r="G11" s="8">
        <f t="shared" si="1"/>
        <v>42679.132453703707</v>
      </c>
    </row>
    <row r="12" spans="1:7" x14ac:dyDescent="0.25">
      <c r="A12" s="8">
        <v>42679.152303240742</v>
      </c>
      <c r="B12" s="21" t="s">
        <v>322</v>
      </c>
      <c r="C12" s="21" t="s">
        <v>453</v>
      </c>
      <c r="D12" s="21">
        <v>1310000</v>
      </c>
      <c r="E12" s="21" t="s">
        <v>454</v>
      </c>
      <c r="F12" s="21" t="str">
        <f t="shared" si="0"/>
        <v>rtdc.l.rtdc.4017:itc</v>
      </c>
      <c r="G12" s="8">
        <f t="shared" si="1"/>
        <v>42679.152303240742</v>
      </c>
    </row>
    <row r="13" spans="1:7" x14ac:dyDescent="0.25">
      <c r="A13" s="8">
        <v>42679.163425925923</v>
      </c>
      <c r="B13" s="21" t="s">
        <v>236</v>
      </c>
      <c r="C13" s="21" t="s">
        <v>455</v>
      </c>
      <c r="D13" s="21">
        <v>1260000</v>
      </c>
      <c r="E13" s="21" t="s">
        <v>456</v>
      </c>
      <c r="F13" s="21" t="str">
        <f t="shared" si="0"/>
        <v>rtdc.l.rtdc.4001:itc</v>
      </c>
      <c r="G13" s="8">
        <f t="shared" si="1"/>
        <v>42679.163425925923</v>
      </c>
    </row>
    <row r="14" spans="1:7" x14ac:dyDescent="0.25">
      <c r="A14" s="8">
        <v>42679.163715277777</v>
      </c>
      <c r="B14" s="21" t="s">
        <v>323</v>
      </c>
      <c r="C14" s="21" t="s">
        <v>457</v>
      </c>
      <c r="D14" s="21">
        <v>1310000</v>
      </c>
      <c r="E14" s="21" t="s">
        <v>454</v>
      </c>
      <c r="F14" s="21" t="str">
        <f t="shared" si="0"/>
        <v>rtdc.l.rtdc.4025:itc</v>
      </c>
      <c r="G14" s="8">
        <f t="shared" si="1"/>
        <v>42679.163715277777</v>
      </c>
    </row>
    <row r="15" spans="1:7" x14ac:dyDescent="0.25">
      <c r="A15" s="8">
        <v>42679.1643287037</v>
      </c>
      <c r="B15" s="21" t="s">
        <v>236</v>
      </c>
      <c r="C15" s="21" t="s">
        <v>455</v>
      </c>
      <c r="D15" s="21">
        <v>1260000</v>
      </c>
      <c r="E15" s="21" t="s">
        <v>456</v>
      </c>
      <c r="F15" s="21" t="str">
        <f t="shared" si="0"/>
        <v>rtdc.l.rtdc.4001:itc</v>
      </c>
      <c r="G15" s="8">
        <f t="shared" si="1"/>
        <v>42679.1643287037</v>
      </c>
    </row>
    <row r="16" spans="1:7" x14ac:dyDescent="0.25">
      <c r="A16" s="8">
        <v>42679.165254629632</v>
      </c>
      <c r="B16" s="21" t="s">
        <v>236</v>
      </c>
      <c r="C16" s="21" t="s">
        <v>455</v>
      </c>
      <c r="D16" s="21">
        <v>1260000</v>
      </c>
      <c r="E16" s="21" t="s">
        <v>456</v>
      </c>
      <c r="F16" s="21" t="str">
        <f t="shared" si="0"/>
        <v>rtdc.l.rtdc.4001:itc</v>
      </c>
      <c r="G16" s="8">
        <f t="shared" si="1"/>
        <v>42679.165254629632</v>
      </c>
    </row>
    <row r="17" spans="1:7" x14ac:dyDescent="0.25">
      <c r="A17" s="8">
        <v>42679.166967592595</v>
      </c>
      <c r="B17" s="21" t="s">
        <v>351</v>
      </c>
      <c r="C17" s="21" t="s">
        <v>458</v>
      </c>
      <c r="D17" s="21">
        <v>2010000</v>
      </c>
      <c r="E17" s="21" t="s">
        <v>327</v>
      </c>
      <c r="F17" s="21" t="str">
        <f t="shared" si="0"/>
        <v>rtdc.l.rtdc.4012:itc</v>
      </c>
      <c r="G17" s="8">
        <f t="shared" si="1"/>
        <v>42679.166967592595</v>
      </c>
    </row>
    <row r="18" spans="1:7" x14ac:dyDescent="0.25">
      <c r="A18" s="8">
        <v>42679.172037037039</v>
      </c>
      <c r="B18" s="21" t="s">
        <v>352</v>
      </c>
      <c r="C18" s="21" t="s">
        <v>459</v>
      </c>
      <c r="D18" s="21">
        <v>1780000</v>
      </c>
      <c r="E18" s="21" t="s">
        <v>460</v>
      </c>
      <c r="F18" s="21" t="str">
        <f t="shared" si="0"/>
        <v>rtdc.l.rtdc.4015:itc</v>
      </c>
      <c r="G18" s="8">
        <f t="shared" si="1"/>
        <v>42679.172037037039</v>
      </c>
    </row>
    <row r="19" spans="1:7" x14ac:dyDescent="0.25">
      <c r="A19" s="8">
        <v>42679.175694444442</v>
      </c>
      <c r="B19" s="21" t="s">
        <v>328</v>
      </c>
      <c r="C19" s="21" t="s">
        <v>415</v>
      </c>
      <c r="D19" s="21">
        <v>1260000</v>
      </c>
      <c r="E19" s="21" t="s">
        <v>456</v>
      </c>
      <c r="F19" s="21" t="str">
        <f t="shared" si="0"/>
        <v>rtdc.l.rtdc.4053:itc</v>
      </c>
      <c r="G19" s="8">
        <f t="shared" si="1"/>
        <v>42679.175694444442</v>
      </c>
    </row>
    <row r="20" spans="1:7" x14ac:dyDescent="0.25">
      <c r="A20" s="8">
        <v>42679.179432870369</v>
      </c>
      <c r="B20" s="21" t="s">
        <v>274</v>
      </c>
      <c r="C20" s="21" t="s">
        <v>461</v>
      </c>
      <c r="D20" s="21">
        <v>2030000</v>
      </c>
      <c r="E20" s="21" t="s">
        <v>462</v>
      </c>
      <c r="F20" s="21" t="str">
        <f t="shared" si="0"/>
        <v>rtdc.l.rtdc.4039:itc</v>
      </c>
      <c r="G20" s="8">
        <f t="shared" si="1"/>
        <v>42679.179432870369</v>
      </c>
    </row>
    <row r="21" spans="1:7" x14ac:dyDescent="0.25">
      <c r="A21" s="8">
        <v>42679.181574074071</v>
      </c>
      <c r="B21" s="21" t="s">
        <v>356</v>
      </c>
      <c r="C21" s="21" t="s">
        <v>463</v>
      </c>
      <c r="D21" s="21">
        <v>1780000</v>
      </c>
      <c r="E21" s="21" t="s">
        <v>460</v>
      </c>
      <c r="F21" s="21" t="str">
        <f t="shared" si="0"/>
        <v>rtdc.l.rtdc.4016:itc</v>
      </c>
      <c r="G21" s="8">
        <f t="shared" si="1"/>
        <v>42679.181574074071</v>
      </c>
    </row>
    <row r="22" spans="1:7" x14ac:dyDescent="0.25">
      <c r="A22" s="27">
        <v>42679.188043981485</v>
      </c>
      <c r="B22" s="21" t="s">
        <v>243</v>
      </c>
      <c r="C22" s="21" t="s">
        <v>464</v>
      </c>
      <c r="D22" s="21">
        <v>2030000</v>
      </c>
      <c r="E22" s="21" t="s">
        <v>462</v>
      </c>
      <c r="F22" s="21" t="str">
        <f t="shared" si="0"/>
        <v>rtdc.l.rtdc.4040:itc</v>
      </c>
      <c r="G22" s="8">
        <f t="shared" si="1"/>
        <v>42679.188043981485</v>
      </c>
    </row>
    <row r="23" spans="1:7" x14ac:dyDescent="0.25">
      <c r="A23" s="8">
        <v>42679.194108796299</v>
      </c>
      <c r="B23" s="21" t="s">
        <v>322</v>
      </c>
      <c r="C23" s="21" t="s">
        <v>416</v>
      </c>
      <c r="D23" s="21">
        <v>1310000</v>
      </c>
      <c r="E23" s="21" t="s">
        <v>454</v>
      </c>
      <c r="F23" s="21" t="str">
        <f t="shared" si="0"/>
        <v>rtdc.l.rtdc.4017:itc</v>
      </c>
      <c r="G23" s="8">
        <f t="shared" si="1"/>
        <v>42679.194108796299</v>
      </c>
    </row>
    <row r="24" spans="1:7" x14ac:dyDescent="0.25">
      <c r="A24" s="8">
        <v>42679.202905092592</v>
      </c>
      <c r="B24" s="21" t="s">
        <v>249</v>
      </c>
      <c r="C24" s="21" t="s">
        <v>465</v>
      </c>
      <c r="D24" s="21">
        <v>1100000</v>
      </c>
      <c r="E24" s="21" t="s">
        <v>466</v>
      </c>
      <c r="F24" s="21" t="str">
        <f t="shared" si="0"/>
        <v>rtdc.l.rtdc.4014:itc</v>
      </c>
      <c r="G24" s="8">
        <f t="shared" si="1"/>
        <v>42679.202905092592</v>
      </c>
    </row>
    <row r="25" spans="1:7" x14ac:dyDescent="0.25">
      <c r="A25" s="8">
        <v>42679.210590277777</v>
      </c>
      <c r="B25" s="21" t="s">
        <v>236</v>
      </c>
      <c r="C25" s="21" t="s">
        <v>467</v>
      </c>
      <c r="D25" s="21">
        <v>1260000</v>
      </c>
      <c r="E25" s="21" t="s">
        <v>456</v>
      </c>
      <c r="F25" s="21" t="str">
        <f t="shared" si="0"/>
        <v>rtdc.l.rtdc.4001:itc</v>
      </c>
      <c r="G25" s="8">
        <f t="shared" si="1"/>
        <v>42679.210590277777</v>
      </c>
    </row>
    <row r="26" spans="1:7" x14ac:dyDescent="0.25">
      <c r="A26" s="8">
        <v>42679.214004629626</v>
      </c>
      <c r="B26" s="21" t="s">
        <v>232</v>
      </c>
      <c r="C26" s="21" t="s">
        <v>468</v>
      </c>
      <c r="D26" s="21">
        <v>2010000</v>
      </c>
      <c r="E26" s="21" t="s">
        <v>327</v>
      </c>
      <c r="F26" s="21" t="str">
        <f t="shared" si="0"/>
        <v>rtdc.l.rtdc.4011:itc</v>
      </c>
      <c r="G26" s="8">
        <f t="shared" si="1"/>
        <v>42679.214004629626</v>
      </c>
    </row>
    <row r="27" spans="1:7" x14ac:dyDescent="0.25">
      <c r="A27" s="8">
        <v>42679.221446759257</v>
      </c>
      <c r="B27" s="21" t="s">
        <v>352</v>
      </c>
      <c r="C27" s="21" t="s">
        <v>469</v>
      </c>
      <c r="D27" s="21">
        <v>1780000</v>
      </c>
      <c r="E27" s="21" t="s">
        <v>460</v>
      </c>
      <c r="F27" s="21" t="str">
        <f t="shared" si="0"/>
        <v>rtdc.l.rtdc.4015:itc</v>
      </c>
      <c r="G27" s="8">
        <f t="shared" si="1"/>
        <v>42679.221446759257</v>
      </c>
    </row>
    <row r="28" spans="1:7" x14ac:dyDescent="0.25">
      <c r="A28" s="8">
        <v>42679.223773148151</v>
      </c>
      <c r="B28" s="21" t="s">
        <v>268</v>
      </c>
      <c r="C28" s="21" t="s">
        <v>470</v>
      </c>
      <c r="D28" s="21">
        <v>1830000</v>
      </c>
      <c r="E28" s="21" t="s">
        <v>471</v>
      </c>
      <c r="F28" s="21" t="str">
        <f t="shared" si="0"/>
        <v>rtdc.l.rtdc.4003:itc</v>
      </c>
      <c r="G28" s="8">
        <f t="shared" si="1"/>
        <v>42679.223773148151</v>
      </c>
    </row>
    <row r="29" spans="1:7" x14ac:dyDescent="0.25">
      <c r="A29" s="8">
        <v>42679.224560185183</v>
      </c>
      <c r="B29" s="21" t="s">
        <v>268</v>
      </c>
      <c r="C29" s="21" t="s">
        <v>470</v>
      </c>
      <c r="D29" s="21">
        <v>1830000</v>
      </c>
      <c r="E29" s="21" t="s">
        <v>471</v>
      </c>
      <c r="F29" s="21" t="str">
        <f t="shared" si="0"/>
        <v>rtdc.l.rtdc.4003:itc</v>
      </c>
      <c r="G29" s="8">
        <f t="shared" si="1"/>
        <v>42679.224560185183</v>
      </c>
    </row>
    <row r="30" spans="1:7" x14ac:dyDescent="0.25">
      <c r="A30" s="8">
        <v>42679.225891203707</v>
      </c>
      <c r="B30" s="21" t="s">
        <v>323</v>
      </c>
      <c r="C30" s="21" t="s">
        <v>417</v>
      </c>
      <c r="D30" s="21">
        <v>2140000</v>
      </c>
      <c r="E30" s="21" t="s">
        <v>472</v>
      </c>
      <c r="F30" s="21" t="str">
        <f t="shared" si="0"/>
        <v>rtdc.l.rtdc.4025:itc</v>
      </c>
      <c r="G30" s="8">
        <f t="shared" si="1"/>
        <v>42679.225891203707</v>
      </c>
    </row>
    <row r="31" spans="1:7" x14ac:dyDescent="0.25">
      <c r="A31" s="8">
        <v>42679.229108796295</v>
      </c>
      <c r="B31" s="21" t="s">
        <v>274</v>
      </c>
      <c r="C31" s="21" t="s">
        <v>418</v>
      </c>
      <c r="D31" s="21">
        <v>2030000</v>
      </c>
      <c r="E31" s="21" t="s">
        <v>462</v>
      </c>
      <c r="F31" s="21" t="str">
        <f t="shared" si="0"/>
        <v>rtdc.l.rtdc.4039:itc</v>
      </c>
      <c r="G31" s="8">
        <f t="shared" si="1"/>
        <v>42679.229108796295</v>
      </c>
    </row>
    <row r="32" spans="1:7" x14ac:dyDescent="0.25">
      <c r="A32" s="8">
        <v>42679.233206018522</v>
      </c>
      <c r="B32" s="21" t="s">
        <v>277</v>
      </c>
      <c r="C32" s="21" t="s">
        <v>473</v>
      </c>
      <c r="D32" s="21">
        <v>1830000</v>
      </c>
      <c r="E32" s="21" t="s">
        <v>471</v>
      </c>
      <c r="F32" s="21" t="str">
        <f t="shared" si="0"/>
        <v>rtdc.l.rtdc.4004:itc</v>
      </c>
      <c r="G32" s="8">
        <f t="shared" si="1"/>
        <v>42679.233206018522</v>
      </c>
    </row>
    <row r="33" spans="1:7" x14ac:dyDescent="0.25">
      <c r="A33" s="8">
        <v>42679.238842592589</v>
      </c>
      <c r="B33" s="21" t="s">
        <v>324</v>
      </c>
      <c r="C33" s="21" t="s">
        <v>474</v>
      </c>
      <c r="D33" s="21">
        <v>1310000</v>
      </c>
      <c r="E33" s="21" t="s">
        <v>454</v>
      </c>
      <c r="F33" s="21" t="str">
        <f t="shared" si="0"/>
        <v>rtdc.l.rtdc.4018:itc</v>
      </c>
      <c r="G33" s="8">
        <f t="shared" si="1"/>
        <v>42679.238842592589</v>
      </c>
    </row>
    <row r="34" spans="1:7" x14ac:dyDescent="0.25">
      <c r="A34" s="8">
        <v>42679.241666666669</v>
      </c>
      <c r="B34" s="21" t="s">
        <v>248</v>
      </c>
      <c r="C34" s="21" t="s">
        <v>475</v>
      </c>
      <c r="D34" s="21">
        <v>1100000</v>
      </c>
      <c r="E34" s="21" t="s">
        <v>466</v>
      </c>
      <c r="F34" s="21" t="str">
        <f t="shared" si="0"/>
        <v>rtdc.l.rtdc.4013:itc</v>
      </c>
      <c r="G34" s="8">
        <f t="shared" si="1"/>
        <v>42679.241666666669</v>
      </c>
    </row>
    <row r="35" spans="1:7" x14ac:dyDescent="0.25">
      <c r="A35" s="8">
        <v>42679.247118055559</v>
      </c>
      <c r="B35" s="21" t="s">
        <v>328</v>
      </c>
      <c r="C35" s="21" t="s">
        <v>476</v>
      </c>
      <c r="D35" s="21">
        <v>1260000</v>
      </c>
      <c r="E35" s="21" t="s">
        <v>456</v>
      </c>
      <c r="F35" s="21" t="str">
        <f t="shared" si="0"/>
        <v>rtdc.l.rtdc.4053:itc</v>
      </c>
      <c r="G35" s="8">
        <f t="shared" si="1"/>
        <v>42679.247118055559</v>
      </c>
    </row>
    <row r="36" spans="1:7" x14ac:dyDescent="0.25">
      <c r="A36" s="8">
        <v>42679.247615740744</v>
      </c>
      <c r="B36" s="21" t="s">
        <v>268</v>
      </c>
      <c r="C36" s="21" t="s">
        <v>477</v>
      </c>
      <c r="D36" s="21">
        <v>1830000</v>
      </c>
      <c r="E36" s="21" t="s">
        <v>471</v>
      </c>
      <c r="F36" s="21" t="str">
        <f t="shared" si="0"/>
        <v>rtdc.l.rtdc.4003:itc</v>
      </c>
      <c r="G36" s="8">
        <f t="shared" si="1"/>
        <v>42679.247615740744</v>
      </c>
    </row>
    <row r="37" spans="1:7" x14ac:dyDescent="0.25">
      <c r="A37" s="8">
        <v>42679.250532407408</v>
      </c>
      <c r="B37" s="21" t="s">
        <v>351</v>
      </c>
      <c r="C37" s="21" t="s">
        <v>478</v>
      </c>
      <c r="D37" s="21">
        <v>2010000</v>
      </c>
      <c r="E37" s="21" t="s">
        <v>327</v>
      </c>
      <c r="F37" s="21" t="str">
        <f t="shared" si="0"/>
        <v>rtdc.l.rtdc.4012:itc</v>
      </c>
      <c r="G37" s="8">
        <f t="shared" si="1"/>
        <v>42679.250532407408</v>
      </c>
    </row>
    <row r="38" spans="1:7" x14ac:dyDescent="0.25">
      <c r="A38" s="8">
        <v>42679.254699074074</v>
      </c>
      <c r="B38" s="21" t="s">
        <v>356</v>
      </c>
      <c r="C38" s="21" t="s">
        <v>479</v>
      </c>
      <c r="D38" s="21">
        <v>1780000</v>
      </c>
      <c r="E38" s="21" t="s">
        <v>460</v>
      </c>
      <c r="F38" s="21" t="str">
        <f t="shared" si="0"/>
        <v>rtdc.l.rtdc.4016:itc</v>
      </c>
      <c r="G38" s="8">
        <f t="shared" si="1"/>
        <v>42679.254699074074</v>
      </c>
    </row>
    <row r="39" spans="1:7" x14ac:dyDescent="0.25">
      <c r="A39" s="8">
        <v>42679.257534722223</v>
      </c>
      <c r="B39" s="21" t="s">
        <v>329</v>
      </c>
      <c r="C39" s="21" t="s">
        <v>480</v>
      </c>
      <c r="D39" s="21">
        <v>2140000</v>
      </c>
      <c r="E39" s="21" t="s">
        <v>472</v>
      </c>
      <c r="F39" s="21" t="str">
        <f t="shared" si="0"/>
        <v>rtdc.l.rtdc.4026:itc</v>
      </c>
      <c r="G39" s="8">
        <f t="shared" si="1"/>
        <v>42679.257534722223</v>
      </c>
    </row>
    <row r="40" spans="1:7" x14ac:dyDescent="0.25">
      <c r="A40" s="8">
        <v>42679.265011574076</v>
      </c>
      <c r="B40" s="26" t="s">
        <v>243</v>
      </c>
      <c r="C40" s="21" t="s">
        <v>481</v>
      </c>
      <c r="D40" s="21">
        <v>2030000</v>
      </c>
      <c r="E40" s="21" t="s">
        <v>462</v>
      </c>
      <c r="F40" s="21" t="str">
        <f t="shared" si="0"/>
        <v>rtdc.l.rtdc.4040:itc</v>
      </c>
      <c r="G40" s="8">
        <f t="shared" si="1"/>
        <v>42679.265011574076</v>
      </c>
    </row>
    <row r="41" spans="1:7" x14ac:dyDescent="0.25">
      <c r="A41" s="8">
        <v>42679.276412037034</v>
      </c>
      <c r="B41" s="21" t="s">
        <v>249</v>
      </c>
      <c r="C41" s="21" t="s">
        <v>482</v>
      </c>
      <c r="D41" s="21">
        <v>1100000</v>
      </c>
      <c r="E41" s="21" t="s">
        <v>466</v>
      </c>
      <c r="F41" s="21" t="str">
        <f t="shared" si="0"/>
        <v>rtdc.l.rtdc.4014:itc</v>
      </c>
      <c r="G41" s="8">
        <f t="shared" si="1"/>
        <v>42679.276412037034</v>
      </c>
    </row>
    <row r="42" spans="1:7" x14ac:dyDescent="0.25">
      <c r="A42" s="8">
        <v>42679.276412037034</v>
      </c>
      <c r="B42" s="21" t="s">
        <v>277</v>
      </c>
      <c r="C42" s="21" t="s">
        <v>483</v>
      </c>
      <c r="D42" s="21">
        <v>1830000</v>
      </c>
      <c r="E42" s="21" t="s">
        <v>471</v>
      </c>
      <c r="F42" s="21" t="str">
        <f t="shared" si="0"/>
        <v>rtdc.l.rtdc.4004:itc</v>
      </c>
      <c r="G42" s="8">
        <f t="shared" si="1"/>
        <v>42679.276412037034</v>
      </c>
    </row>
    <row r="43" spans="1:7" x14ac:dyDescent="0.25">
      <c r="A43" s="8">
        <v>42679.277824074074</v>
      </c>
      <c r="B43" s="21" t="s">
        <v>322</v>
      </c>
      <c r="C43" s="21" t="s">
        <v>419</v>
      </c>
      <c r="D43" s="21">
        <v>1310000</v>
      </c>
      <c r="E43" s="21" t="s">
        <v>454</v>
      </c>
      <c r="F43" s="21" t="str">
        <f t="shared" si="0"/>
        <v>rtdc.l.rtdc.4017:itc</v>
      </c>
      <c r="G43" s="8">
        <f t="shared" si="1"/>
        <v>42679.277824074074</v>
      </c>
    </row>
    <row r="44" spans="1:7" x14ac:dyDescent="0.25">
      <c r="A44" s="8">
        <v>42679.283495370371</v>
      </c>
      <c r="B44" s="21" t="s">
        <v>325</v>
      </c>
      <c r="C44" s="21" t="s">
        <v>484</v>
      </c>
      <c r="D44" s="21">
        <v>1260000</v>
      </c>
      <c r="E44" s="21" t="s">
        <v>456</v>
      </c>
      <c r="F44" s="21" t="str">
        <f t="shared" si="0"/>
        <v>rtdc.l.rtdc.4054:itc</v>
      </c>
      <c r="G44" s="8">
        <f t="shared" si="1"/>
        <v>42679.283495370371</v>
      </c>
    </row>
    <row r="45" spans="1:7" x14ac:dyDescent="0.25">
      <c r="A45" s="8">
        <v>42679.286087962966</v>
      </c>
      <c r="B45" s="21" t="s">
        <v>232</v>
      </c>
      <c r="C45" s="21" t="s">
        <v>485</v>
      </c>
      <c r="D45" s="21">
        <v>2010000</v>
      </c>
      <c r="E45" s="21" t="s">
        <v>327</v>
      </c>
      <c r="F45" s="21" t="str">
        <f t="shared" si="0"/>
        <v>rtdc.l.rtdc.4011:itc</v>
      </c>
      <c r="G45" s="8">
        <f t="shared" si="1"/>
        <v>42679.286087962966</v>
      </c>
    </row>
    <row r="46" spans="1:7" x14ac:dyDescent="0.25">
      <c r="A46" s="8">
        <v>42679.2893287037</v>
      </c>
      <c r="B46" s="21" t="s">
        <v>268</v>
      </c>
      <c r="C46" s="21" t="s">
        <v>486</v>
      </c>
      <c r="D46" s="21">
        <v>1830000</v>
      </c>
      <c r="E46" s="21" t="s">
        <v>471</v>
      </c>
      <c r="F46" s="21" t="str">
        <f t="shared" si="0"/>
        <v>rtdc.l.rtdc.4003:itc</v>
      </c>
      <c r="G46" s="8">
        <f t="shared" si="1"/>
        <v>42679.2893287037</v>
      </c>
    </row>
    <row r="47" spans="1:7" x14ac:dyDescent="0.25">
      <c r="A47" s="8">
        <v>42679.296423611115</v>
      </c>
      <c r="B47" s="21" t="s">
        <v>352</v>
      </c>
      <c r="C47" s="21" t="s">
        <v>420</v>
      </c>
      <c r="D47" s="21">
        <v>1780000</v>
      </c>
      <c r="E47" s="21" t="s">
        <v>460</v>
      </c>
      <c r="F47" s="21" t="str">
        <f t="shared" si="0"/>
        <v>rtdc.l.rtdc.4015:itc</v>
      </c>
      <c r="G47" s="8">
        <f t="shared" si="1"/>
        <v>42679.296423611115</v>
      </c>
    </row>
    <row r="48" spans="1:7" x14ac:dyDescent="0.25">
      <c r="A48" s="8">
        <v>42679.296631944446</v>
      </c>
      <c r="B48" s="21" t="s">
        <v>323</v>
      </c>
      <c r="C48" s="21" t="s">
        <v>487</v>
      </c>
      <c r="D48" s="21">
        <v>2140000</v>
      </c>
      <c r="E48" s="21" t="s">
        <v>472</v>
      </c>
      <c r="F48" s="21" t="str">
        <f t="shared" si="0"/>
        <v>rtdc.l.rtdc.4025:itc</v>
      </c>
      <c r="G48" s="8">
        <f t="shared" si="1"/>
        <v>42679.296631944446</v>
      </c>
    </row>
    <row r="49" spans="1:7" x14ac:dyDescent="0.25">
      <c r="A49" s="8">
        <v>42679.30746527778</v>
      </c>
      <c r="B49" s="21" t="s">
        <v>274</v>
      </c>
      <c r="C49" s="21" t="s">
        <v>488</v>
      </c>
      <c r="D49" s="21">
        <v>2030000</v>
      </c>
      <c r="E49" s="21" t="s">
        <v>462</v>
      </c>
      <c r="F49" s="21" t="str">
        <f t="shared" si="0"/>
        <v>rtdc.l.rtdc.4039:itc</v>
      </c>
      <c r="G49" s="8">
        <f t="shared" si="1"/>
        <v>42679.30746527778</v>
      </c>
    </row>
    <row r="50" spans="1:7" x14ac:dyDescent="0.25">
      <c r="A50" s="8">
        <v>42679.311400462961</v>
      </c>
      <c r="B50" s="21" t="s">
        <v>324</v>
      </c>
      <c r="C50" s="21" t="s">
        <v>489</v>
      </c>
      <c r="D50" s="21">
        <v>1310000</v>
      </c>
      <c r="E50" s="21" t="s">
        <v>454</v>
      </c>
      <c r="F50" s="21" t="str">
        <f t="shared" si="0"/>
        <v>rtdc.l.rtdc.4018:itc</v>
      </c>
      <c r="G50" s="8">
        <f t="shared" si="1"/>
        <v>42679.311400462961</v>
      </c>
    </row>
    <row r="51" spans="1:7" x14ac:dyDescent="0.25">
      <c r="A51" s="8">
        <v>42679.317152777781</v>
      </c>
      <c r="B51" s="21" t="s">
        <v>277</v>
      </c>
      <c r="C51" s="21" t="s">
        <v>490</v>
      </c>
      <c r="D51" s="21">
        <v>1830000</v>
      </c>
      <c r="E51" s="21" t="s">
        <v>471</v>
      </c>
      <c r="F51" s="21" t="str">
        <f t="shared" si="0"/>
        <v>rtdc.l.rtdc.4004:itc</v>
      </c>
      <c r="G51" s="8">
        <f t="shared" si="1"/>
        <v>42679.317152777781</v>
      </c>
    </row>
    <row r="52" spans="1:7" x14ac:dyDescent="0.25">
      <c r="A52" s="8">
        <v>42679.317199074074</v>
      </c>
      <c r="B52" s="21" t="s">
        <v>248</v>
      </c>
      <c r="C52" s="21" t="s">
        <v>491</v>
      </c>
      <c r="D52" s="21">
        <v>1100000</v>
      </c>
      <c r="E52" s="21" t="s">
        <v>466</v>
      </c>
      <c r="F52" s="21" t="str">
        <f t="shared" si="0"/>
        <v>rtdc.l.rtdc.4013:itc</v>
      </c>
      <c r="G52" s="8">
        <f t="shared" si="1"/>
        <v>42679.317199074074</v>
      </c>
    </row>
    <row r="53" spans="1:7" x14ac:dyDescent="0.25">
      <c r="A53" s="8">
        <v>42679.318182870367</v>
      </c>
      <c r="B53" s="21" t="s">
        <v>328</v>
      </c>
      <c r="C53" s="21" t="s">
        <v>492</v>
      </c>
      <c r="D53" s="21">
        <v>1260000</v>
      </c>
      <c r="E53" s="21" t="s">
        <v>456</v>
      </c>
      <c r="F53" s="21" t="str">
        <f t="shared" si="0"/>
        <v>rtdc.l.rtdc.4053:itc</v>
      </c>
      <c r="G53" s="8">
        <f t="shared" si="1"/>
        <v>42679.318182870367</v>
      </c>
    </row>
    <row r="54" spans="1:7" x14ac:dyDescent="0.25">
      <c r="A54" s="8">
        <v>42679.326574074075</v>
      </c>
      <c r="B54" s="21" t="s">
        <v>351</v>
      </c>
      <c r="C54" s="21" t="s">
        <v>493</v>
      </c>
      <c r="D54" s="21">
        <v>2010000</v>
      </c>
      <c r="E54" s="21" t="s">
        <v>327</v>
      </c>
      <c r="F54" s="21" t="str">
        <f t="shared" si="0"/>
        <v>rtdc.l.rtdc.4012:itc</v>
      </c>
      <c r="G54" s="8">
        <f t="shared" si="1"/>
        <v>42679.326574074075</v>
      </c>
    </row>
    <row r="55" spans="1:7" x14ac:dyDescent="0.25">
      <c r="A55" s="8">
        <v>42679.329479166663</v>
      </c>
      <c r="B55" s="21" t="s">
        <v>356</v>
      </c>
      <c r="C55" s="21" t="s">
        <v>494</v>
      </c>
      <c r="D55" s="21">
        <v>1780000</v>
      </c>
      <c r="E55" s="21" t="s">
        <v>460</v>
      </c>
      <c r="F55" s="21" t="str">
        <f t="shared" si="0"/>
        <v>rtdc.l.rtdc.4016:itc</v>
      </c>
      <c r="G55" s="8">
        <f t="shared" si="1"/>
        <v>42679.329479166663</v>
      </c>
    </row>
    <row r="56" spans="1:7" x14ac:dyDescent="0.25">
      <c r="A56" s="8">
        <v>42679.330717592595</v>
      </c>
      <c r="B56" s="21" t="s">
        <v>268</v>
      </c>
      <c r="C56" s="21" t="s">
        <v>495</v>
      </c>
      <c r="D56" s="21">
        <v>1830000</v>
      </c>
      <c r="E56" s="21" t="s">
        <v>471</v>
      </c>
      <c r="F56" s="21" t="str">
        <f t="shared" si="0"/>
        <v>rtdc.l.rtdc.4003:itc</v>
      </c>
      <c r="G56" s="8">
        <f t="shared" si="1"/>
        <v>42679.330717592595</v>
      </c>
    </row>
    <row r="57" spans="1:7" x14ac:dyDescent="0.25">
      <c r="A57" s="8">
        <v>42679.332615740743</v>
      </c>
      <c r="B57" s="21" t="s">
        <v>329</v>
      </c>
      <c r="C57" s="21" t="s">
        <v>496</v>
      </c>
      <c r="D57" s="21">
        <v>2140000</v>
      </c>
      <c r="E57" s="21" t="s">
        <v>472</v>
      </c>
      <c r="F57" s="21" t="str">
        <f t="shared" si="0"/>
        <v>rtdc.l.rtdc.4026:itc</v>
      </c>
      <c r="G57" s="8">
        <f t="shared" si="1"/>
        <v>42679.332615740743</v>
      </c>
    </row>
    <row r="58" spans="1:7" x14ac:dyDescent="0.25">
      <c r="A58" s="8">
        <v>42679.340729166666</v>
      </c>
      <c r="B58" s="21" t="s">
        <v>243</v>
      </c>
      <c r="C58" s="21" t="s">
        <v>497</v>
      </c>
      <c r="D58" s="21">
        <v>1340000</v>
      </c>
      <c r="E58" s="21" t="s">
        <v>330</v>
      </c>
      <c r="F58" s="21" t="str">
        <f t="shared" si="0"/>
        <v>rtdc.l.rtdc.4040:itc</v>
      </c>
      <c r="G58" s="8">
        <f t="shared" si="1"/>
        <v>42679.340729166666</v>
      </c>
    </row>
    <row r="59" spans="1:7" x14ac:dyDescent="0.25">
      <c r="A59" s="8">
        <v>42679.350092592591</v>
      </c>
      <c r="B59" s="21" t="s">
        <v>249</v>
      </c>
      <c r="C59" s="21" t="s">
        <v>498</v>
      </c>
      <c r="D59" s="21">
        <v>1100000</v>
      </c>
      <c r="E59" s="21" t="s">
        <v>466</v>
      </c>
      <c r="F59" s="21" t="str">
        <f t="shared" si="0"/>
        <v>rtdc.l.rtdc.4014:itc</v>
      </c>
      <c r="G59" s="8">
        <f t="shared" si="1"/>
        <v>42679.350092592591</v>
      </c>
    </row>
    <row r="60" spans="1:7" x14ac:dyDescent="0.25">
      <c r="A60" s="8">
        <v>42679.350104166668</v>
      </c>
      <c r="B60" s="21" t="s">
        <v>322</v>
      </c>
      <c r="C60" s="21" t="s">
        <v>499</v>
      </c>
      <c r="D60" s="21">
        <v>1310000</v>
      </c>
      <c r="E60" s="21" t="s">
        <v>454</v>
      </c>
      <c r="F60" s="21" t="str">
        <f t="shared" si="0"/>
        <v>rtdc.l.rtdc.4017:itc</v>
      </c>
      <c r="G60" s="8">
        <f t="shared" si="1"/>
        <v>42679.350104166668</v>
      </c>
    </row>
    <row r="61" spans="1:7" x14ac:dyDescent="0.25">
      <c r="A61" s="8">
        <v>42679.355266203704</v>
      </c>
      <c r="B61" s="21" t="s">
        <v>325</v>
      </c>
      <c r="C61" s="21" t="s">
        <v>500</v>
      </c>
      <c r="D61" s="21">
        <v>1260000</v>
      </c>
      <c r="E61" s="21" t="s">
        <v>456</v>
      </c>
      <c r="F61" s="21" t="str">
        <f t="shared" si="0"/>
        <v>rtdc.l.rtdc.4054:itc</v>
      </c>
      <c r="G61" s="8">
        <f t="shared" si="1"/>
        <v>42679.355266203704</v>
      </c>
    </row>
    <row r="62" spans="1:7" x14ac:dyDescent="0.25">
      <c r="A62" s="8">
        <v>42679.358518518522</v>
      </c>
      <c r="B62" s="21" t="s">
        <v>277</v>
      </c>
      <c r="C62" s="21" t="s">
        <v>422</v>
      </c>
      <c r="D62" s="21">
        <v>1830000</v>
      </c>
      <c r="E62" s="21" t="s">
        <v>471</v>
      </c>
      <c r="F62" s="21" t="str">
        <f t="shared" si="0"/>
        <v>rtdc.l.rtdc.4004:itc</v>
      </c>
      <c r="G62" s="8">
        <f t="shared" si="1"/>
        <v>42679.358518518522</v>
      </c>
    </row>
    <row r="63" spans="1:7" x14ac:dyDescent="0.25">
      <c r="A63" s="8">
        <v>42679.358761574076</v>
      </c>
      <c r="B63" s="21" t="s">
        <v>232</v>
      </c>
      <c r="C63" s="21" t="s">
        <v>421</v>
      </c>
      <c r="D63" s="21">
        <v>2010000</v>
      </c>
      <c r="E63" s="21" t="s">
        <v>327</v>
      </c>
      <c r="F63" s="21" t="str">
        <f t="shared" si="0"/>
        <v>rtdc.l.rtdc.4011:itc</v>
      </c>
      <c r="G63" s="8">
        <f t="shared" si="1"/>
        <v>42679.358761574076</v>
      </c>
    </row>
    <row r="64" spans="1:7" x14ac:dyDescent="0.25">
      <c r="A64" s="27">
        <v>42679.367372685185</v>
      </c>
      <c r="B64" s="21" t="s">
        <v>352</v>
      </c>
      <c r="C64" s="21" t="s">
        <v>501</v>
      </c>
      <c r="D64" s="21">
        <v>1780000</v>
      </c>
      <c r="E64" s="21" t="s">
        <v>460</v>
      </c>
      <c r="F64" s="21" t="str">
        <f t="shared" si="0"/>
        <v>rtdc.l.rtdc.4015:itc</v>
      </c>
      <c r="G64" s="8">
        <f t="shared" si="1"/>
        <v>42679.367372685185</v>
      </c>
    </row>
    <row r="65" spans="1:7" x14ac:dyDescent="0.25">
      <c r="A65" s="8">
        <v>42679.370127314818</v>
      </c>
      <c r="B65" s="21" t="s">
        <v>323</v>
      </c>
      <c r="C65" s="21" t="s">
        <v>502</v>
      </c>
      <c r="D65" s="21">
        <v>2140000</v>
      </c>
      <c r="E65" s="21" t="s">
        <v>472</v>
      </c>
      <c r="F65" s="21" t="str">
        <f t="shared" si="0"/>
        <v>rtdc.l.rtdc.4025:itc</v>
      </c>
      <c r="G65" s="8">
        <f t="shared" si="1"/>
        <v>42679.370127314818</v>
      </c>
    </row>
    <row r="66" spans="1:7" x14ac:dyDescent="0.25">
      <c r="A66" s="8">
        <v>42679.37840277778</v>
      </c>
      <c r="B66" s="21" t="s">
        <v>274</v>
      </c>
      <c r="C66" s="21" t="s">
        <v>503</v>
      </c>
      <c r="D66" s="21">
        <v>1340000</v>
      </c>
      <c r="E66" s="21" t="s">
        <v>330</v>
      </c>
      <c r="F66" s="21" t="str">
        <f t="shared" ref="F66:F129" si="2">B66</f>
        <v>rtdc.l.rtdc.4039:itc</v>
      </c>
      <c r="G66" s="8">
        <f t="shared" ref="G66:G129" si="3">A66</f>
        <v>42679.37840277778</v>
      </c>
    </row>
    <row r="67" spans="1:7" x14ac:dyDescent="0.25">
      <c r="A67" s="8">
        <v>42679.384270833332</v>
      </c>
      <c r="B67" s="21" t="s">
        <v>324</v>
      </c>
      <c r="C67" s="21" t="s">
        <v>504</v>
      </c>
      <c r="D67" s="21">
        <v>1310000</v>
      </c>
      <c r="E67" s="21" t="s">
        <v>454</v>
      </c>
      <c r="F67" s="21" t="str">
        <f t="shared" si="2"/>
        <v>rtdc.l.rtdc.4018:itc</v>
      </c>
      <c r="G67" s="8">
        <f t="shared" si="3"/>
        <v>42679.384270833332</v>
      </c>
    </row>
    <row r="68" spans="1:7" x14ac:dyDescent="0.25">
      <c r="A68" s="8">
        <v>42679.385821759257</v>
      </c>
      <c r="B68" s="21" t="s">
        <v>268</v>
      </c>
      <c r="C68" s="21" t="s">
        <v>505</v>
      </c>
      <c r="D68" s="21">
        <v>1830000</v>
      </c>
      <c r="E68" s="21" t="s">
        <v>471</v>
      </c>
      <c r="F68" s="21" t="str">
        <f t="shared" si="2"/>
        <v>rtdc.l.rtdc.4003:itc</v>
      </c>
      <c r="G68" s="8">
        <f t="shared" si="3"/>
        <v>42679.385821759257</v>
      </c>
    </row>
    <row r="69" spans="1:7" x14ac:dyDescent="0.25">
      <c r="A69" s="8">
        <v>42679.390972222223</v>
      </c>
      <c r="B69" s="21" t="s">
        <v>248</v>
      </c>
      <c r="C69" s="21" t="s">
        <v>506</v>
      </c>
      <c r="D69" s="21">
        <v>1100000</v>
      </c>
      <c r="E69" s="21" t="s">
        <v>466</v>
      </c>
      <c r="F69" s="21" t="str">
        <f t="shared" si="2"/>
        <v>rtdc.l.rtdc.4013:itc</v>
      </c>
      <c r="G69" s="8">
        <f t="shared" si="3"/>
        <v>42679.390972222223</v>
      </c>
    </row>
    <row r="70" spans="1:7" x14ac:dyDescent="0.25">
      <c r="A70" s="8">
        <v>42679.393460648149</v>
      </c>
      <c r="B70" s="21" t="s">
        <v>328</v>
      </c>
      <c r="C70" s="21" t="s">
        <v>423</v>
      </c>
      <c r="D70" s="21">
        <v>890000</v>
      </c>
      <c r="E70" s="21" t="s">
        <v>331</v>
      </c>
      <c r="F70" s="21" t="str">
        <f t="shared" si="2"/>
        <v>rtdc.l.rtdc.4053:itc</v>
      </c>
      <c r="G70" s="8">
        <f t="shared" si="3"/>
        <v>42679.393460648149</v>
      </c>
    </row>
    <row r="71" spans="1:7" x14ac:dyDescent="0.25">
      <c r="A71" s="8">
        <v>42679.394606481481</v>
      </c>
      <c r="B71" s="21" t="s">
        <v>351</v>
      </c>
      <c r="C71" s="21" t="s">
        <v>507</v>
      </c>
      <c r="D71" s="21">
        <v>2010000</v>
      </c>
      <c r="E71" s="21" t="s">
        <v>327</v>
      </c>
      <c r="F71" s="21" t="str">
        <f t="shared" si="2"/>
        <v>rtdc.l.rtdc.4012:itc</v>
      </c>
      <c r="G71" s="8">
        <f t="shared" si="3"/>
        <v>42679.394606481481</v>
      </c>
    </row>
    <row r="72" spans="1:7" x14ac:dyDescent="0.25">
      <c r="A72" s="8">
        <v>42679.400520833333</v>
      </c>
      <c r="B72" s="21" t="s">
        <v>277</v>
      </c>
      <c r="C72" s="21" t="s">
        <v>508</v>
      </c>
      <c r="D72" s="21">
        <v>1830000</v>
      </c>
      <c r="E72" s="21" t="s">
        <v>471</v>
      </c>
      <c r="F72" s="21" t="str">
        <f t="shared" si="2"/>
        <v>rtdc.l.rtdc.4004:itc</v>
      </c>
      <c r="G72" s="8">
        <f t="shared" si="3"/>
        <v>42679.400520833333</v>
      </c>
    </row>
    <row r="73" spans="1:7" x14ac:dyDescent="0.25">
      <c r="A73" s="8">
        <v>42679.401886574073</v>
      </c>
      <c r="B73" s="21" t="s">
        <v>329</v>
      </c>
      <c r="C73" s="21" t="s">
        <v>509</v>
      </c>
      <c r="D73" s="21">
        <v>2140000</v>
      </c>
      <c r="E73" s="21" t="s">
        <v>472</v>
      </c>
      <c r="F73" s="21" t="str">
        <f t="shared" si="2"/>
        <v>rtdc.l.rtdc.4026:itc</v>
      </c>
      <c r="G73" s="8">
        <f t="shared" si="3"/>
        <v>42679.401886574073</v>
      </c>
    </row>
    <row r="74" spans="1:7" x14ac:dyDescent="0.25">
      <c r="A74" s="8">
        <v>42679.402314814812</v>
      </c>
      <c r="B74" s="21" t="s">
        <v>356</v>
      </c>
      <c r="C74" s="21" t="s">
        <v>424</v>
      </c>
      <c r="D74" s="21">
        <v>1780000</v>
      </c>
      <c r="E74" s="21" t="s">
        <v>460</v>
      </c>
      <c r="F74" s="21" t="str">
        <f t="shared" si="2"/>
        <v>rtdc.l.rtdc.4016:itc</v>
      </c>
      <c r="G74" s="8">
        <f t="shared" si="3"/>
        <v>42679.402314814812</v>
      </c>
    </row>
    <row r="75" spans="1:7" x14ac:dyDescent="0.25">
      <c r="A75" s="8">
        <v>42679.410555555558</v>
      </c>
      <c r="B75" s="21" t="s">
        <v>243</v>
      </c>
      <c r="C75" s="21" t="s">
        <v>510</v>
      </c>
      <c r="D75" s="21">
        <v>2030000</v>
      </c>
      <c r="E75" s="21" t="s">
        <v>462</v>
      </c>
      <c r="F75" s="21" t="str">
        <f t="shared" si="2"/>
        <v>rtdc.l.rtdc.4040:itc</v>
      </c>
      <c r="G75" s="8">
        <f t="shared" si="3"/>
        <v>42679.410555555558</v>
      </c>
    </row>
    <row r="76" spans="1:7" x14ac:dyDescent="0.25">
      <c r="A76" s="8">
        <v>42679.422662037039</v>
      </c>
      <c r="B76" s="21" t="s">
        <v>249</v>
      </c>
      <c r="C76" s="21" t="s">
        <v>511</v>
      </c>
      <c r="D76" s="21">
        <v>1100000</v>
      </c>
      <c r="E76" s="21" t="s">
        <v>466</v>
      </c>
      <c r="F76" s="21" t="str">
        <f t="shared" si="2"/>
        <v>rtdc.l.rtdc.4014:itc</v>
      </c>
      <c r="G76" s="8">
        <f t="shared" si="3"/>
        <v>42679.422662037039</v>
      </c>
    </row>
    <row r="77" spans="1:7" x14ac:dyDescent="0.25">
      <c r="A77" s="8">
        <v>42679.42428240741</v>
      </c>
      <c r="B77" s="21" t="s">
        <v>322</v>
      </c>
      <c r="C77" s="21" t="s">
        <v>512</v>
      </c>
      <c r="D77" s="21">
        <v>1310000</v>
      </c>
      <c r="E77" s="21" t="s">
        <v>454</v>
      </c>
      <c r="F77" s="21" t="str">
        <f t="shared" si="2"/>
        <v>rtdc.l.rtdc.4017:itc</v>
      </c>
      <c r="G77" s="8">
        <f t="shared" si="3"/>
        <v>42679.42428240741</v>
      </c>
    </row>
    <row r="78" spans="1:7" x14ac:dyDescent="0.25">
      <c r="A78" s="8">
        <v>42679.43</v>
      </c>
      <c r="B78" s="21" t="s">
        <v>268</v>
      </c>
      <c r="C78" s="21" t="s">
        <v>513</v>
      </c>
      <c r="D78" s="21">
        <v>1830000</v>
      </c>
      <c r="E78" s="21" t="s">
        <v>471</v>
      </c>
      <c r="F78" s="21" t="str">
        <f t="shared" si="2"/>
        <v>rtdc.l.rtdc.4003:itc</v>
      </c>
      <c r="G78" s="8">
        <f t="shared" si="3"/>
        <v>42679.43</v>
      </c>
    </row>
    <row r="79" spans="1:7" x14ac:dyDescent="0.25">
      <c r="A79" s="8">
        <v>42679.431909722225</v>
      </c>
      <c r="B79" s="21" t="s">
        <v>232</v>
      </c>
      <c r="C79" s="21" t="s">
        <v>514</v>
      </c>
      <c r="D79" s="21">
        <v>930000</v>
      </c>
      <c r="E79" s="21" t="s">
        <v>515</v>
      </c>
      <c r="F79" s="21" t="str">
        <f t="shared" si="2"/>
        <v>rtdc.l.rtdc.4011:itc</v>
      </c>
      <c r="G79" s="8">
        <f t="shared" si="3"/>
        <v>42679.431909722225</v>
      </c>
    </row>
    <row r="80" spans="1:7" x14ac:dyDescent="0.25">
      <c r="A80" s="8">
        <v>42679.431909722225</v>
      </c>
      <c r="B80" s="21" t="s">
        <v>325</v>
      </c>
      <c r="C80" s="21" t="s">
        <v>516</v>
      </c>
      <c r="D80" s="21">
        <v>890000</v>
      </c>
      <c r="E80" s="21" t="s">
        <v>331</v>
      </c>
      <c r="F80" s="21" t="str">
        <f t="shared" si="2"/>
        <v>rtdc.l.rtdc.4054:itc</v>
      </c>
      <c r="G80" s="8">
        <f t="shared" si="3"/>
        <v>42679.431909722225</v>
      </c>
    </row>
    <row r="81" spans="1:7" x14ac:dyDescent="0.25">
      <c r="A81" s="8">
        <v>42679.434224537035</v>
      </c>
      <c r="B81" s="21" t="s">
        <v>249</v>
      </c>
      <c r="C81" s="21" t="s">
        <v>511</v>
      </c>
      <c r="D81" s="21">
        <v>1100000</v>
      </c>
      <c r="E81" s="21" t="s">
        <v>466</v>
      </c>
      <c r="F81" s="21" t="str">
        <f t="shared" si="2"/>
        <v>rtdc.l.rtdc.4014:itc</v>
      </c>
      <c r="G81" s="8">
        <f t="shared" si="3"/>
        <v>42679.434224537035</v>
      </c>
    </row>
    <row r="82" spans="1:7" x14ac:dyDescent="0.25">
      <c r="A82" s="8">
        <v>42679.442152777781</v>
      </c>
      <c r="B82" s="21" t="s">
        <v>277</v>
      </c>
      <c r="C82" s="21" t="s">
        <v>517</v>
      </c>
      <c r="D82" s="21">
        <v>1830000</v>
      </c>
      <c r="E82" s="21" t="s">
        <v>471</v>
      </c>
      <c r="F82" s="21" t="str">
        <f t="shared" si="2"/>
        <v>rtdc.l.rtdc.4004:itc</v>
      </c>
      <c r="G82" s="8">
        <f t="shared" si="3"/>
        <v>42679.442152777781</v>
      </c>
    </row>
    <row r="83" spans="1:7" x14ac:dyDescent="0.25">
      <c r="A83" s="8">
        <v>42679.442233796297</v>
      </c>
      <c r="B83" s="21" t="s">
        <v>323</v>
      </c>
      <c r="C83" s="21" t="s">
        <v>425</v>
      </c>
      <c r="D83" s="21">
        <v>2140000</v>
      </c>
      <c r="E83" s="21" t="s">
        <v>472</v>
      </c>
      <c r="F83" s="21" t="str">
        <f t="shared" si="2"/>
        <v>rtdc.l.rtdc.4025:itc</v>
      </c>
      <c r="G83" s="8">
        <f t="shared" si="3"/>
        <v>42679.442233796297</v>
      </c>
    </row>
    <row r="84" spans="1:7" x14ac:dyDescent="0.25">
      <c r="A84" s="8">
        <v>42679.442523148151</v>
      </c>
      <c r="B84" s="21" t="s">
        <v>352</v>
      </c>
      <c r="C84" s="21" t="s">
        <v>518</v>
      </c>
      <c r="D84" s="21">
        <v>1780000</v>
      </c>
      <c r="E84" s="21" t="s">
        <v>460</v>
      </c>
      <c r="F84" s="21" t="str">
        <f t="shared" si="2"/>
        <v>rtdc.l.rtdc.4015:itc</v>
      </c>
      <c r="G84" s="8">
        <f t="shared" si="3"/>
        <v>42679.442523148151</v>
      </c>
    </row>
    <row r="85" spans="1:7" x14ac:dyDescent="0.25">
      <c r="A85" s="8">
        <v>42679.447465277779</v>
      </c>
      <c r="B85" s="21" t="s">
        <v>274</v>
      </c>
      <c r="C85" s="21" t="s">
        <v>519</v>
      </c>
      <c r="D85" s="21">
        <v>2030000</v>
      </c>
      <c r="E85" s="21" t="s">
        <v>462</v>
      </c>
      <c r="F85" s="21" t="str">
        <f t="shared" si="2"/>
        <v>rtdc.l.rtdc.4039:itc</v>
      </c>
      <c r="G85" s="8">
        <f t="shared" si="3"/>
        <v>42679.447465277779</v>
      </c>
    </row>
    <row r="86" spans="1:7" x14ac:dyDescent="0.25">
      <c r="A86" s="8">
        <v>42679.453217592592</v>
      </c>
      <c r="B86" s="21" t="s">
        <v>324</v>
      </c>
      <c r="C86" s="21" t="s">
        <v>520</v>
      </c>
      <c r="D86" s="21">
        <v>880000</v>
      </c>
      <c r="E86" s="21" t="s">
        <v>521</v>
      </c>
      <c r="F86" s="21" t="str">
        <f t="shared" si="2"/>
        <v>rtdc.l.rtdc.4018:itc</v>
      </c>
      <c r="G86" s="8">
        <f t="shared" si="3"/>
        <v>42679.453217592592</v>
      </c>
    </row>
    <row r="87" spans="1:7" x14ac:dyDescent="0.25">
      <c r="A87" s="8">
        <v>42679.456875000003</v>
      </c>
      <c r="B87" s="21" t="s">
        <v>268</v>
      </c>
      <c r="C87" s="21" t="s">
        <v>426</v>
      </c>
      <c r="D87" s="21">
        <v>1830000</v>
      </c>
      <c r="E87" s="21" t="s">
        <v>471</v>
      </c>
      <c r="F87" s="21" t="str">
        <f t="shared" si="2"/>
        <v>rtdc.l.rtdc.4003:itc</v>
      </c>
      <c r="G87" s="8">
        <f t="shared" si="3"/>
        <v>42679.456875000003</v>
      </c>
    </row>
    <row r="88" spans="1:7" x14ac:dyDescent="0.25">
      <c r="A88" s="8">
        <v>42679.463009259256</v>
      </c>
      <c r="B88" s="21" t="s">
        <v>248</v>
      </c>
      <c r="C88" s="21" t="s">
        <v>522</v>
      </c>
      <c r="D88" s="21">
        <v>1100000</v>
      </c>
      <c r="E88" s="21" t="s">
        <v>466</v>
      </c>
      <c r="F88" s="21" t="str">
        <f t="shared" si="2"/>
        <v>rtdc.l.rtdc.4013:itc</v>
      </c>
      <c r="G88" s="8">
        <f t="shared" si="3"/>
        <v>42679.463009259256</v>
      </c>
    </row>
    <row r="89" spans="1:7" x14ac:dyDescent="0.25">
      <c r="A89" s="8">
        <v>42679.464641203704</v>
      </c>
      <c r="B89" s="21" t="s">
        <v>328</v>
      </c>
      <c r="C89" s="21" t="s">
        <v>523</v>
      </c>
      <c r="D89" s="21">
        <v>1280000</v>
      </c>
      <c r="E89" s="21" t="s">
        <v>524</v>
      </c>
      <c r="F89" s="21" t="str">
        <f t="shared" si="2"/>
        <v>rtdc.l.rtdc.4053:itc</v>
      </c>
      <c r="G89" s="8">
        <f t="shared" si="3"/>
        <v>42679.464641203704</v>
      </c>
    </row>
    <row r="90" spans="1:7" x14ac:dyDescent="0.25">
      <c r="A90" s="8">
        <v>42679.471655092595</v>
      </c>
      <c r="B90" s="21" t="s">
        <v>351</v>
      </c>
      <c r="C90" s="21" t="s">
        <v>525</v>
      </c>
      <c r="D90" s="21">
        <v>930000</v>
      </c>
      <c r="E90" s="21" t="s">
        <v>515</v>
      </c>
      <c r="F90" s="21" t="str">
        <f t="shared" si="2"/>
        <v>rtdc.l.rtdc.4012:itc</v>
      </c>
      <c r="G90" s="8">
        <f t="shared" si="3"/>
        <v>42679.471655092595</v>
      </c>
    </row>
    <row r="91" spans="1:7" x14ac:dyDescent="0.25">
      <c r="A91" s="8">
        <v>42679.473449074074</v>
      </c>
      <c r="B91" s="21" t="s">
        <v>356</v>
      </c>
      <c r="C91" s="21" t="s">
        <v>526</v>
      </c>
      <c r="D91" s="21">
        <v>2150000</v>
      </c>
      <c r="E91" s="21" t="s">
        <v>527</v>
      </c>
      <c r="F91" s="21" t="str">
        <f t="shared" si="2"/>
        <v>rtdc.l.rtdc.4016:itc</v>
      </c>
      <c r="G91" s="8">
        <f t="shared" si="3"/>
        <v>42679.473449074074</v>
      </c>
    </row>
    <row r="92" spans="1:7" x14ac:dyDescent="0.25">
      <c r="A92" s="8">
        <v>42679.481180555558</v>
      </c>
      <c r="B92" s="21" t="s">
        <v>329</v>
      </c>
      <c r="C92" s="21" t="s">
        <v>528</v>
      </c>
      <c r="D92" s="21">
        <v>2140000</v>
      </c>
      <c r="E92" s="21" t="s">
        <v>472</v>
      </c>
      <c r="F92" s="21" t="str">
        <f t="shared" si="2"/>
        <v>rtdc.l.rtdc.4026:itc</v>
      </c>
      <c r="G92" s="8">
        <f t="shared" si="3"/>
        <v>42679.481180555558</v>
      </c>
    </row>
    <row r="93" spans="1:7" x14ac:dyDescent="0.25">
      <c r="A93" s="8">
        <v>42679.484016203707</v>
      </c>
      <c r="B93" s="21" t="s">
        <v>277</v>
      </c>
      <c r="C93" s="21" t="s">
        <v>529</v>
      </c>
      <c r="D93" s="21">
        <v>1830000</v>
      </c>
      <c r="E93" s="21" t="s">
        <v>471</v>
      </c>
      <c r="F93" s="21" t="str">
        <f t="shared" si="2"/>
        <v>rtdc.l.rtdc.4004:itc</v>
      </c>
      <c r="G93" s="8">
        <f t="shared" si="3"/>
        <v>42679.484016203707</v>
      </c>
    </row>
    <row r="94" spans="1:7" x14ac:dyDescent="0.25">
      <c r="A94" s="8">
        <v>42679.485150462962</v>
      </c>
      <c r="B94" s="21" t="s">
        <v>243</v>
      </c>
      <c r="C94" s="21" t="s">
        <v>530</v>
      </c>
      <c r="D94" s="21">
        <v>2020000</v>
      </c>
      <c r="E94" s="21" t="s">
        <v>358</v>
      </c>
      <c r="F94" s="21" t="str">
        <f t="shared" si="2"/>
        <v>rtdc.l.rtdc.4040:itc</v>
      </c>
      <c r="G94" s="8">
        <f t="shared" si="3"/>
        <v>42679.485150462962</v>
      </c>
    </row>
    <row r="95" spans="1:7" x14ac:dyDescent="0.25">
      <c r="A95" s="8">
        <v>42679.494849537034</v>
      </c>
      <c r="B95" s="21" t="s">
        <v>322</v>
      </c>
      <c r="C95" s="21" t="s">
        <v>531</v>
      </c>
      <c r="D95" s="21">
        <v>880000</v>
      </c>
      <c r="E95" s="21" t="s">
        <v>521</v>
      </c>
      <c r="F95" s="21" t="str">
        <f t="shared" si="2"/>
        <v>rtdc.l.rtdc.4017:itc</v>
      </c>
      <c r="G95" s="8">
        <f t="shared" si="3"/>
        <v>42679.494849537034</v>
      </c>
    </row>
    <row r="96" spans="1:7" x14ac:dyDescent="0.25">
      <c r="A96" s="8">
        <v>42679.496192129627</v>
      </c>
      <c r="B96" s="21" t="s">
        <v>249</v>
      </c>
      <c r="C96" s="21" t="s">
        <v>532</v>
      </c>
      <c r="D96" s="21">
        <v>1770000</v>
      </c>
      <c r="E96" s="21" t="s">
        <v>533</v>
      </c>
      <c r="F96" s="21" t="str">
        <f t="shared" si="2"/>
        <v>rtdc.l.rtdc.4014:itc</v>
      </c>
      <c r="G96" s="8">
        <f t="shared" si="3"/>
        <v>42679.496192129627</v>
      </c>
    </row>
    <row r="97" spans="1:7" x14ac:dyDescent="0.25">
      <c r="A97" s="8">
        <v>42679.497673611113</v>
      </c>
      <c r="B97" s="21" t="s">
        <v>268</v>
      </c>
      <c r="C97" s="21" t="s">
        <v>534</v>
      </c>
      <c r="D97" s="21">
        <v>1830000</v>
      </c>
      <c r="E97" s="21" t="s">
        <v>471</v>
      </c>
      <c r="F97" s="21" t="str">
        <f t="shared" si="2"/>
        <v>rtdc.l.rtdc.4003:itc</v>
      </c>
      <c r="G97" s="8">
        <f t="shared" si="3"/>
        <v>42679.497673611113</v>
      </c>
    </row>
    <row r="98" spans="1:7" x14ac:dyDescent="0.25">
      <c r="A98" s="8">
        <v>42679.504988425928</v>
      </c>
      <c r="B98" s="21" t="s">
        <v>325</v>
      </c>
      <c r="C98" s="21" t="s">
        <v>535</v>
      </c>
      <c r="D98" s="21">
        <v>1280000</v>
      </c>
      <c r="E98" s="21" t="s">
        <v>524</v>
      </c>
      <c r="F98" s="21" t="str">
        <f t="shared" si="2"/>
        <v>rtdc.l.rtdc.4054:itc</v>
      </c>
      <c r="G98" s="8">
        <f t="shared" si="3"/>
        <v>42679.504988425928</v>
      </c>
    </row>
    <row r="99" spans="1:7" x14ac:dyDescent="0.25">
      <c r="A99" s="8">
        <v>42679.506782407407</v>
      </c>
      <c r="B99" s="21" t="s">
        <v>352</v>
      </c>
      <c r="C99" s="21" t="s">
        <v>536</v>
      </c>
      <c r="D99" s="21">
        <v>2150000</v>
      </c>
      <c r="E99" s="21" t="s">
        <v>527</v>
      </c>
      <c r="F99" s="21" t="str">
        <f t="shared" si="2"/>
        <v>rtdc.l.rtdc.4015:itc</v>
      </c>
      <c r="G99" s="8">
        <f t="shared" si="3"/>
        <v>42679.506782407407</v>
      </c>
    </row>
    <row r="100" spans="1:7" x14ac:dyDescent="0.25">
      <c r="A100" s="8">
        <v>42679.507719907408</v>
      </c>
      <c r="B100" s="21" t="s">
        <v>232</v>
      </c>
      <c r="C100" s="21" t="s">
        <v>537</v>
      </c>
      <c r="D100" s="21">
        <v>890000</v>
      </c>
      <c r="E100" s="21" t="s">
        <v>331</v>
      </c>
      <c r="F100" s="21" t="str">
        <f t="shared" si="2"/>
        <v>rtdc.l.rtdc.4011:itc</v>
      </c>
      <c r="G100" s="8">
        <f t="shared" si="3"/>
        <v>42679.507719907408</v>
      </c>
    </row>
    <row r="101" spans="1:7" x14ac:dyDescent="0.25">
      <c r="A101" s="8">
        <v>42679.516921296294</v>
      </c>
      <c r="B101" s="21" t="s">
        <v>323</v>
      </c>
      <c r="C101" s="21" t="s">
        <v>538</v>
      </c>
      <c r="D101" s="21">
        <v>1740000</v>
      </c>
      <c r="E101" s="21" t="s">
        <v>539</v>
      </c>
      <c r="F101" s="21" t="str">
        <f t="shared" si="2"/>
        <v>rtdc.l.rtdc.4025:itc</v>
      </c>
      <c r="G101" s="8">
        <f t="shared" si="3"/>
        <v>42679.516921296294</v>
      </c>
    </row>
    <row r="102" spans="1:7" x14ac:dyDescent="0.25">
      <c r="A102" s="8">
        <v>42679.523564814815</v>
      </c>
      <c r="B102" s="21" t="s">
        <v>274</v>
      </c>
      <c r="C102" s="21" t="s">
        <v>540</v>
      </c>
      <c r="D102" s="21">
        <v>2020000</v>
      </c>
      <c r="E102" s="21" t="s">
        <v>358</v>
      </c>
      <c r="F102" s="21" t="str">
        <f t="shared" si="2"/>
        <v>rtdc.l.rtdc.4039:itc</v>
      </c>
      <c r="G102" s="8">
        <f t="shared" si="3"/>
        <v>42679.523564814815</v>
      </c>
    </row>
    <row r="103" spans="1:7" x14ac:dyDescent="0.25">
      <c r="A103" s="8">
        <v>42679.524930555555</v>
      </c>
      <c r="B103" s="21" t="s">
        <v>277</v>
      </c>
      <c r="C103" s="21" t="s">
        <v>541</v>
      </c>
      <c r="D103" s="21">
        <v>1830000</v>
      </c>
      <c r="E103" s="21" t="s">
        <v>471</v>
      </c>
      <c r="F103" s="21" t="str">
        <f t="shared" si="2"/>
        <v>rtdc.l.rtdc.4004:itc</v>
      </c>
      <c r="G103" s="8">
        <f t="shared" si="3"/>
        <v>42679.524930555555</v>
      </c>
    </row>
    <row r="104" spans="1:7" x14ac:dyDescent="0.25">
      <c r="A104" s="8">
        <v>42679.526990740742</v>
      </c>
      <c r="B104" s="21" t="s">
        <v>324</v>
      </c>
      <c r="C104" s="21" t="s">
        <v>427</v>
      </c>
      <c r="D104" s="21">
        <v>880000</v>
      </c>
      <c r="E104" s="21" t="s">
        <v>521</v>
      </c>
      <c r="F104" s="21" t="str">
        <f t="shared" si="2"/>
        <v>rtdc.l.rtdc.4018:itc</v>
      </c>
      <c r="G104" s="8">
        <f t="shared" si="3"/>
        <v>42679.526990740742</v>
      </c>
    </row>
    <row r="105" spans="1:7" x14ac:dyDescent="0.25">
      <c r="A105" s="8">
        <v>42679.533877314818</v>
      </c>
      <c r="B105" s="21" t="s">
        <v>248</v>
      </c>
      <c r="C105" s="21" t="s">
        <v>542</v>
      </c>
      <c r="D105" s="21">
        <v>1770000</v>
      </c>
      <c r="E105" s="21" t="s">
        <v>533</v>
      </c>
      <c r="F105" s="21" t="str">
        <f t="shared" si="2"/>
        <v>rtdc.l.rtdc.4013:itc</v>
      </c>
      <c r="G105" s="8">
        <f t="shared" si="3"/>
        <v>42679.533877314818</v>
      </c>
    </row>
    <row r="106" spans="1:7" x14ac:dyDescent="0.25">
      <c r="A106" s="8">
        <v>42679.535763888889</v>
      </c>
      <c r="B106" s="21" t="s">
        <v>328</v>
      </c>
      <c r="C106" s="21" t="s">
        <v>543</v>
      </c>
      <c r="D106" s="21">
        <v>1280000</v>
      </c>
      <c r="E106" s="21" t="s">
        <v>524</v>
      </c>
      <c r="F106" s="21" t="str">
        <f t="shared" si="2"/>
        <v>rtdc.l.rtdc.4053:itc</v>
      </c>
      <c r="G106" s="8">
        <f t="shared" si="3"/>
        <v>42679.535763888889</v>
      </c>
    </row>
    <row r="107" spans="1:7" x14ac:dyDescent="0.25">
      <c r="A107" s="8">
        <v>42679.539444444446</v>
      </c>
      <c r="B107" s="21" t="s">
        <v>268</v>
      </c>
      <c r="C107" s="21" t="s">
        <v>544</v>
      </c>
      <c r="D107" s="21">
        <v>1830000</v>
      </c>
      <c r="E107" s="21" t="s">
        <v>471</v>
      </c>
      <c r="F107" s="21" t="str">
        <f t="shared" si="2"/>
        <v>rtdc.l.rtdc.4003:itc</v>
      </c>
      <c r="G107" s="8">
        <f t="shared" si="3"/>
        <v>42679.539444444446</v>
      </c>
    </row>
    <row r="108" spans="1:7" x14ac:dyDescent="0.25">
      <c r="A108" s="8">
        <v>42679.547280092593</v>
      </c>
      <c r="B108" s="21" t="s">
        <v>351</v>
      </c>
      <c r="C108" s="21" t="s">
        <v>545</v>
      </c>
      <c r="D108" s="21">
        <v>890000</v>
      </c>
      <c r="E108" s="21" t="s">
        <v>331</v>
      </c>
      <c r="F108" s="21" t="str">
        <f t="shared" si="2"/>
        <v>rtdc.l.rtdc.4012:itc</v>
      </c>
      <c r="G108" s="8">
        <f t="shared" si="3"/>
        <v>42679.547280092593</v>
      </c>
    </row>
    <row r="109" spans="1:7" x14ac:dyDescent="0.25">
      <c r="A109" s="8">
        <v>42679.547789351855</v>
      </c>
      <c r="B109" s="21" t="s">
        <v>356</v>
      </c>
      <c r="C109" s="21" t="s">
        <v>546</v>
      </c>
      <c r="D109" s="21">
        <v>2150000</v>
      </c>
      <c r="E109" s="21" t="s">
        <v>527</v>
      </c>
      <c r="F109" s="21" t="str">
        <f t="shared" si="2"/>
        <v>rtdc.l.rtdc.4016:itc</v>
      </c>
      <c r="G109" s="8">
        <f t="shared" si="3"/>
        <v>42679.547789351855</v>
      </c>
    </row>
    <row r="110" spans="1:7" x14ac:dyDescent="0.25">
      <c r="A110" s="8">
        <v>42679.556944444441</v>
      </c>
      <c r="B110" s="21" t="s">
        <v>329</v>
      </c>
      <c r="C110" s="21" t="s">
        <v>547</v>
      </c>
      <c r="D110" s="21">
        <v>1740000</v>
      </c>
      <c r="E110" s="21" t="s">
        <v>539</v>
      </c>
      <c r="F110" s="21" t="str">
        <f t="shared" si="2"/>
        <v>rtdc.l.rtdc.4026:itc</v>
      </c>
      <c r="G110" s="8">
        <f t="shared" si="3"/>
        <v>42679.556944444441</v>
      </c>
    </row>
    <row r="111" spans="1:7" x14ac:dyDescent="0.25">
      <c r="A111" s="8">
        <v>42679.558506944442</v>
      </c>
      <c r="B111" s="21" t="s">
        <v>243</v>
      </c>
      <c r="C111" s="21" t="s">
        <v>548</v>
      </c>
      <c r="D111" s="21">
        <v>2020000</v>
      </c>
      <c r="E111" s="21" t="s">
        <v>358</v>
      </c>
      <c r="F111" s="21" t="str">
        <f t="shared" si="2"/>
        <v>rtdc.l.rtdc.4040:itc</v>
      </c>
      <c r="G111" s="8">
        <f t="shared" si="3"/>
        <v>42679.558506944442</v>
      </c>
    </row>
    <row r="112" spans="1:7" x14ac:dyDescent="0.25">
      <c r="A112" s="8">
        <v>42679.567407407405</v>
      </c>
      <c r="B112" s="21" t="s">
        <v>249</v>
      </c>
      <c r="C112" s="21" t="s">
        <v>549</v>
      </c>
      <c r="D112" s="21">
        <v>1770000</v>
      </c>
      <c r="E112" s="21" t="s">
        <v>533</v>
      </c>
      <c r="F112" s="21" t="str">
        <f t="shared" si="2"/>
        <v>rtdc.l.rtdc.4014:itc</v>
      </c>
      <c r="G112" s="8">
        <f t="shared" si="3"/>
        <v>42679.567407407405</v>
      </c>
    </row>
    <row r="113" spans="1:7" x14ac:dyDescent="0.25">
      <c r="A113" s="8">
        <v>42679.567858796298</v>
      </c>
      <c r="B113" s="21" t="s">
        <v>277</v>
      </c>
      <c r="C113" s="21" t="s">
        <v>550</v>
      </c>
      <c r="D113" s="21">
        <v>1830000</v>
      </c>
      <c r="E113" s="21" t="s">
        <v>471</v>
      </c>
      <c r="F113" s="21" t="str">
        <f t="shared" si="2"/>
        <v>rtdc.l.rtdc.4004:itc</v>
      </c>
      <c r="G113" s="8">
        <f t="shared" si="3"/>
        <v>42679.567858796298</v>
      </c>
    </row>
    <row r="114" spans="1:7" x14ac:dyDescent="0.25">
      <c r="A114" s="8">
        <v>42679.569594907407</v>
      </c>
      <c r="B114" s="21" t="s">
        <v>325</v>
      </c>
      <c r="C114" s="21" t="s">
        <v>551</v>
      </c>
      <c r="D114" s="21">
        <v>1280000</v>
      </c>
      <c r="E114" s="21" t="s">
        <v>524</v>
      </c>
      <c r="F114" s="21" t="str">
        <f t="shared" si="2"/>
        <v>rtdc.l.rtdc.4054:itc</v>
      </c>
      <c r="G114" s="8">
        <f t="shared" si="3"/>
        <v>42679.569594907407</v>
      </c>
    </row>
    <row r="115" spans="1:7" x14ac:dyDescent="0.25">
      <c r="A115" s="8">
        <v>42679.569710648146</v>
      </c>
      <c r="B115" s="21" t="s">
        <v>322</v>
      </c>
      <c r="C115" s="21" t="s">
        <v>552</v>
      </c>
      <c r="D115" s="21">
        <v>880000</v>
      </c>
      <c r="E115" s="21" t="s">
        <v>521</v>
      </c>
      <c r="F115" s="21" t="str">
        <f t="shared" si="2"/>
        <v>rtdc.l.rtdc.4017:itc</v>
      </c>
      <c r="G115" s="8">
        <f t="shared" si="3"/>
        <v>42679.569710648146</v>
      </c>
    </row>
    <row r="116" spans="1:7" x14ac:dyDescent="0.25">
      <c r="A116" s="8">
        <v>42679.58090277778</v>
      </c>
      <c r="B116" s="21" t="s">
        <v>352</v>
      </c>
      <c r="C116" s="21" t="s">
        <v>553</v>
      </c>
      <c r="D116" s="21">
        <v>2150000</v>
      </c>
      <c r="E116" s="21" t="s">
        <v>527</v>
      </c>
      <c r="F116" s="21" t="str">
        <f t="shared" si="2"/>
        <v>rtdc.l.rtdc.4015:itc</v>
      </c>
      <c r="G116" s="8">
        <f t="shared" si="3"/>
        <v>42679.58090277778</v>
      </c>
    </row>
    <row r="117" spans="1:7" x14ac:dyDescent="0.25">
      <c r="A117" s="8">
        <v>42679.581273148149</v>
      </c>
      <c r="B117" s="21" t="s">
        <v>232</v>
      </c>
      <c r="C117" s="21" t="s">
        <v>554</v>
      </c>
      <c r="D117" s="21">
        <v>890000</v>
      </c>
      <c r="E117" s="21" t="s">
        <v>331</v>
      </c>
      <c r="F117" s="21" t="str">
        <f t="shared" si="2"/>
        <v>rtdc.l.rtdc.4011:itc</v>
      </c>
      <c r="G117" s="8">
        <f t="shared" si="3"/>
        <v>42679.581273148149</v>
      </c>
    </row>
    <row r="118" spans="1:7" x14ac:dyDescent="0.25">
      <c r="A118" s="8">
        <v>42679.587893518517</v>
      </c>
      <c r="B118" s="21" t="s">
        <v>323</v>
      </c>
      <c r="C118" s="21" t="s">
        <v>547</v>
      </c>
      <c r="D118" s="21">
        <v>1740000</v>
      </c>
      <c r="E118" s="21" t="s">
        <v>539</v>
      </c>
      <c r="F118" s="21" t="str">
        <f t="shared" si="2"/>
        <v>rtdc.l.rtdc.4025:itc</v>
      </c>
      <c r="G118" s="8">
        <f t="shared" si="3"/>
        <v>42679.587893518517</v>
      </c>
    </row>
    <row r="119" spans="1:7" x14ac:dyDescent="0.25">
      <c r="A119" s="8">
        <v>42679.588564814818</v>
      </c>
      <c r="B119" s="21" t="s">
        <v>323</v>
      </c>
      <c r="C119" s="21" t="s">
        <v>555</v>
      </c>
      <c r="D119" s="21">
        <v>1740000</v>
      </c>
      <c r="E119" s="21" t="s">
        <v>539</v>
      </c>
      <c r="F119" s="21" t="str">
        <f t="shared" si="2"/>
        <v>rtdc.l.rtdc.4025:itc</v>
      </c>
      <c r="G119" s="8">
        <f t="shared" si="3"/>
        <v>42679.588564814818</v>
      </c>
    </row>
    <row r="120" spans="1:7" x14ac:dyDescent="0.25">
      <c r="A120" s="8">
        <v>42679.59443287037</v>
      </c>
      <c r="B120" s="21" t="s">
        <v>268</v>
      </c>
      <c r="C120" s="21" t="s">
        <v>556</v>
      </c>
      <c r="D120" s="21">
        <v>1820000</v>
      </c>
      <c r="E120" s="21" t="s">
        <v>332</v>
      </c>
      <c r="F120" s="21" t="str">
        <f t="shared" si="2"/>
        <v>rtdc.l.rtdc.4003:itc</v>
      </c>
      <c r="G120" s="8">
        <f t="shared" si="3"/>
        <v>42679.59443287037</v>
      </c>
    </row>
    <row r="121" spans="1:7" x14ac:dyDescent="0.25">
      <c r="A121" s="8">
        <v>42679.597037037034</v>
      </c>
      <c r="B121" s="21" t="s">
        <v>274</v>
      </c>
      <c r="C121" s="21" t="s">
        <v>557</v>
      </c>
      <c r="D121" s="21">
        <v>2020000</v>
      </c>
      <c r="E121" s="21" t="s">
        <v>358</v>
      </c>
      <c r="F121" s="21" t="str">
        <f t="shared" si="2"/>
        <v>rtdc.l.rtdc.4039:itc</v>
      </c>
      <c r="G121" s="8">
        <f t="shared" si="3"/>
        <v>42679.597037037034</v>
      </c>
    </row>
    <row r="122" spans="1:7" x14ac:dyDescent="0.25">
      <c r="A122" s="8">
        <v>42679.599247685182</v>
      </c>
      <c r="B122" s="26" t="s">
        <v>324</v>
      </c>
      <c r="C122" s="21" t="s">
        <v>558</v>
      </c>
      <c r="D122" s="21">
        <v>880000</v>
      </c>
      <c r="E122" s="21" t="s">
        <v>521</v>
      </c>
      <c r="F122" s="21" t="str">
        <f t="shared" si="2"/>
        <v>rtdc.l.rtdc.4018:itc</v>
      </c>
      <c r="G122" s="8">
        <f t="shared" si="3"/>
        <v>42679.599247685182</v>
      </c>
    </row>
    <row r="123" spans="1:7" x14ac:dyDescent="0.25">
      <c r="A123" s="8">
        <v>42679.605312500003</v>
      </c>
      <c r="B123" s="21" t="s">
        <v>248</v>
      </c>
      <c r="C123" s="21" t="s">
        <v>559</v>
      </c>
      <c r="D123" s="21">
        <v>1770000</v>
      </c>
      <c r="E123" s="21" t="s">
        <v>533</v>
      </c>
      <c r="F123" s="21" t="str">
        <f t="shared" si="2"/>
        <v>rtdc.l.rtdc.4013:itc</v>
      </c>
      <c r="G123" s="8">
        <f t="shared" si="3"/>
        <v>42679.605312500003</v>
      </c>
    </row>
    <row r="124" spans="1:7" x14ac:dyDescent="0.25">
      <c r="A124" s="8">
        <v>42679.608715277776</v>
      </c>
      <c r="B124" s="21" t="s">
        <v>328</v>
      </c>
      <c r="C124" s="21" t="s">
        <v>429</v>
      </c>
      <c r="D124" s="21">
        <v>1280000</v>
      </c>
      <c r="E124" s="21" t="s">
        <v>524</v>
      </c>
      <c r="F124" s="21" t="str">
        <f t="shared" si="2"/>
        <v>rtdc.l.rtdc.4053:itc</v>
      </c>
      <c r="G124" s="8">
        <f t="shared" si="3"/>
        <v>42679.608715277776</v>
      </c>
    </row>
    <row r="125" spans="1:7" x14ac:dyDescent="0.25">
      <c r="A125" s="8">
        <v>42679.609386574077</v>
      </c>
      <c r="B125" s="21" t="s">
        <v>277</v>
      </c>
      <c r="C125" s="21" t="s">
        <v>428</v>
      </c>
      <c r="D125" s="21">
        <v>1820000</v>
      </c>
      <c r="E125" s="21" t="s">
        <v>332</v>
      </c>
      <c r="F125" s="21" t="str">
        <f t="shared" si="2"/>
        <v>rtdc.l.rtdc.4004:itc</v>
      </c>
      <c r="G125" s="8">
        <f t="shared" si="3"/>
        <v>42679.609386574077</v>
      </c>
    </row>
    <row r="126" spans="1:7" x14ac:dyDescent="0.25">
      <c r="A126" s="8">
        <v>42679.61990740741</v>
      </c>
      <c r="B126" s="21" t="s">
        <v>351</v>
      </c>
      <c r="C126" s="21" t="s">
        <v>560</v>
      </c>
      <c r="D126" s="21">
        <v>890000</v>
      </c>
      <c r="E126" s="21" t="s">
        <v>331</v>
      </c>
      <c r="F126" s="21" t="str">
        <f t="shared" si="2"/>
        <v>rtdc.l.rtdc.4012:itc</v>
      </c>
      <c r="G126" s="8">
        <f t="shared" si="3"/>
        <v>42679.61990740741</v>
      </c>
    </row>
    <row r="127" spans="1:7" x14ac:dyDescent="0.25">
      <c r="A127" s="8">
        <v>42679.620486111111</v>
      </c>
      <c r="B127" s="21" t="s">
        <v>356</v>
      </c>
      <c r="C127" s="21" t="s">
        <v>561</v>
      </c>
      <c r="D127" s="21">
        <v>2150000</v>
      </c>
      <c r="E127" s="21" t="s">
        <v>527</v>
      </c>
      <c r="F127" s="21" t="str">
        <f t="shared" si="2"/>
        <v>rtdc.l.rtdc.4016:itc</v>
      </c>
      <c r="G127" s="8">
        <f t="shared" si="3"/>
        <v>42679.620486111111</v>
      </c>
    </row>
    <row r="128" spans="1:7" x14ac:dyDescent="0.25">
      <c r="A128" s="8">
        <v>42679.623668981483</v>
      </c>
      <c r="B128" s="21" t="s">
        <v>268</v>
      </c>
      <c r="C128" s="21" t="s">
        <v>430</v>
      </c>
      <c r="D128" s="21">
        <v>1820000</v>
      </c>
      <c r="E128" s="21" t="s">
        <v>332</v>
      </c>
      <c r="F128" s="21" t="str">
        <f t="shared" si="2"/>
        <v>rtdc.l.rtdc.4003:itc</v>
      </c>
      <c r="G128" s="8">
        <f t="shared" si="3"/>
        <v>42679.623668981483</v>
      </c>
    </row>
    <row r="129" spans="1:7" x14ac:dyDescent="0.25">
      <c r="A129" s="8">
        <v>42679.629699074074</v>
      </c>
      <c r="B129" s="21" t="s">
        <v>329</v>
      </c>
      <c r="C129" s="21" t="s">
        <v>431</v>
      </c>
      <c r="D129" s="21">
        <v>1740000</v>
      </c>
      <c r="E129" s="21" t="s">
        <v>539</v>
      </c>
      <c r="F129" s="21" t="str">
        <f t="shared" si="2"/>
        <v>rtdc.l.rtdc.4026:itc</v>
      </c>
      <c r="G129" s="8">
        <f t="shared" si="3"/>
        <v>42679.629699074074</v>
      </c>
    </row>
    <row r="130" spans="1:7" x14ac:dyDescent="0.25">
      <c r="A130" s="8">
        <v>42679.632002314815</v>
      </c>
      <c r="B130" s="21" t="s">
        <v>243</v>
      </c>
      <c r="C130" s="21" t="s">
        <v>562</v>
      </c>
      <c r="D130" s="21">
        <v>2020000</v>
      </c>
      <c r="E130" s="21" t="s">
        <v>358</v>
      </c>
      <c r="F130" s="21" t="str">
        <f t="shared" ref="F130:F193" si="4">B130</f>
        <v>rtdc.l.rtdc.4040:itc</v>
      </c>
      <c r="G130" s="8">
        <f t="shared" ref="G130:G193" si="5">A130</f>
        <v>42679.632002314815</v>
      </c>
    </row>
    <row r="131" spans="1:7" x14ac:dyDescent="0.25">
      <c r="A131" s="8">
        <v>42679.640324074076</v>
      </c>
      <c r="B131" s="21" t="s">
        <v>322</v>
      </c>
      <c r="C131" s="21" t="s">
        <v>563</v>
      </c>
      <c r="D131" s="21">
        <v>880000</v>
      </c>
      <c r="E131" s="21" t="s">
        <v>521</v>
      </c>
      <c r="F131" s="21" t="str">
        <f t="shared" si="4"/>
        <v>rtdc.l.rtdc.4017:itc</v>
      </c>
      <c r="G131" s="8">
        <f t="shared" si="5"/>
        <v>42679.640324074076</v>
      </c>
    </row>
    <row r="132" spans="1:7" x14ac:dyDescent="0.25">
      <c r="A132" s="8">
        <v>42679.640775462962</v>
      </c>
      <c r="B132" s="21" t="s">
        <v>249</v>
      </c>
      <c r="C132" s="21" t="s">
        <v>564</v>
      </c>
      <c r="D132" s="21">
        <v>1770000</v>
      </c>
      <c r="E132" s="21" t="s">
        <v>533</v>
      </c>
      <c r="F132" s="21" t="str">
        <f t="shared" si="4"/>
        <v>rtdc.l.rtdc.4014:itc</v>
      </c>
      <c r="G132" s="8">
        <f t="shared" si="5"/>
        <v>42679.640775462962</v>
      </c>
    </row>
    <row r="133" spans="1:7" x14ac:dyDescent="0.25">
      <c r="A133" s="8">
        <v>42679.641747685186</v>
      </c>
      <c r="B133" s="21" t="s">
        <v>325</v>
      </c>
      <c r="C133" s="21" t="s">
        <v>433</v>
      </c>
      <c r="D133" s="21">
        <v>1280000</v>
      </c>
      <c r="E133" s="21" t="s">
        <v>524</v>
      </c>
      <c r="F133" s="21" t="str">
        <f t="shared" si="4"/>
        <v>rtdc.l.rtdc.4054:itc</v>
      </c>
      <c r="G133" s="8">
        <f t="shared" si="5"/>
        <v>42679.641747685186</v>
      </c>
    </row>
    <row r="134" spans="1:7" x14ac:dyDescent="0.25">
      <c r="A134" s="8">
        <v>42679.652291666665</v>
      </c>
      <c r="B134" s="21" t="s">
        <v>277</v>
      </c>
      <c r="C134" s="21" t="s">
        <v>432</v>
      </c>
      <c r="D134" s="21">
        <v>1820000</v>
      </c>
      <c r="E134" s="21" t="s">
        <v>332</v>
      </c>
      <c r="F134" s="21" t="str">
        <f t="shared" si="4"/>
        <v>rtdc.l.rtdc.4004:itc</v>
      </c>
      <c r="G134" s="8">
        <f t="shared" si="5"/>
        <v>42679.652291666665</v>
      </c>
    </row>
    <row r="135" spans="1:7" x14ac:dyDescent="0.25">
      <c r="A135" s="8">
        <v>42679.652453703704</v>
      </c>
      <c r="B135" s="21" t="s">
        <v>232</v>
      </c>
      <c r="C135" s="21" t="s">
        <v>565</v>
      </c>
      <c r="D135" s="21">
        <v>930000</v>
      </c>
      <c r="E135" s="21" t="s">
        <v>515</v>
      </c>
      <c r="F135" s="21" t="str">
        <f t="shared" si="4"/>
        <v>rtdc.l.rtdc.4011:itc</v>
      </c>
      <c r="G135" s="8">
        <f t="shared" si="5"/>
        <v>42679.652453703704</v>
      </c>
    </row>
    <row r="136" spans="1:7" x14ac:dyDescent="0.25">
      <c r="A136" s="8">
        <v>42679.653182870374</v>
      </c>
      <c r="B136" s="21" t="s">
        <v>352</v>
      </c>
      <c r="C136" s="21" t="s">
        <v>566</v>
      </c>
      <c r="D136" s="21">
        <v>2150000</v>
      </c>
      <c r="E136" s="21" t="s">
        <v>527</v>
      </c>
      <c r="F136" s="21" t="str">
        <f t="shared" si="4"/>
        <v>rtdc.l.rtdc.4015:itc</v>
      </c>
      <c r="G136" s="8">
        <f t="shared" si="5"/>
        <v>42679.653182870374</v>
      </c>
    </row>
    <row r="137" spans="1:7" x14ac:dyDescent="0.25">
      <c r="A137" s="8">
        <v>42679.660671296297</v>
      </c>
      <c r="B137" s="21" t="s">
        <v>323</v>
      </c>
      <c r="C137" s="21" t="s">
        <v>567</v>
      </c>
      <c r="D137" s="21">
        <v>1740000</v>
      </c>
      <c r="E137" s="21" t="s">
        <v>539</v>
      </c>
      <c r="F137" s="21" t="str">
        <f t="shared" si="4"/>
        <v>rtdc.l.rtdc.4025:itc</v>
      </c>
      <c r="G137" s="8">
        <f t="shared" si="5"/>
        <v>42679.660671296297</v>
      </c>
    </row>
    <row r="138" spans="1:7" x14ac:dyDescent="0.25">
      <c r="A138" s="8">
        <v>42679.665555555555</v>
      </c>
      <c r="B138" s="21" t="s">
        <v>268</v>
      </c>
      <c r="C138" s="21" t="s">
        <v>568</v>
      </c>
      <c r="D138" s="21">
        <v>1820000</v>
      </c>
      <c r="E138" s="21" t="s">
        <v>332</v>
      </c>
      <c r="F138" s="21" t="str">
        <f t="shared" si="4"/>
        <v>rtdc.l.rtdc.4003:itc</v>
      </c>
      <c r="G138" s="8">
        <f t="shared" si="5"/>
        <v>42679.665555555555</v>
      </c>
    </row>
    <row r="139" spans="1:7" x14ac:dyDescent="0.25">
      <c r="A139" s="8">
        <v>42679.668182870373</v>
      </c>
      <c r="B139" s="21" t="s">
        <v>274</v>
      </c>
      <c r="C139" s="21" t="s">
        <v>569</v>
      </c>
      <c r="D139" s="21">
        <v>2020000</v>
      </c>
      <c r="E139" s="21" t="s">
        <v>358</v>
      </c>
      <c r="F139" s="21" t="str">
        <f t="shared" si="4"/>
        <v>rtdc.l.rtdc.4039:itc</v>
      </c>
      <c r="G139" s="8">
        <f t="shared" si="5"/>
        <v>42679.668182870373</v>
      </c>
    </row>
    <row r="140" spans="1:7" x14ac:dyDescent="0.25">
      <c r="A140" s="8">
        <v>42679.67659722222</v>
      </c>
      <c r="B140" s="21" t="s">
        <v>235</v>
      </c>
      <c r="C140" s="21" t="s">
        <v>570</v>
      </c>
      <c r="D140" s="21">
        <v>880000</v>
      </c>
      <c r="E140" s="21" t="s">
        <v>521</v>
      </c>
      <c r="F140" s="21" t="str">
        <f t="shared" si="4"/>
        <v>rtdc.l.rtdc.4002:itc</v>
      </c>
      <c r="G140" s="8">
        <f t="shared" si="5"/>
        <v>42679.67659722222</v>
      </c>
    </row>
    <row r="141" spans="1:7" x14ac:dyDescent="0.25">
      <c r="A141" s="8">
        <v>42679.678194444445</v>
      </c>
      <c r="B141" s="21" t="s">
        <v>248</v>
      </c>
      <c r="C141" s="21" t="s">
        <v>571</v>
      </c>
      <c r="D141" s="21">
        <v>1770000</v>
      </c>
      <c r="E141" s="21" t="s">
        <v>533</v>
      </c>
      <c r="F141" s="21" t="str">
        <f t="shared" si="4"/>
        <v>rtdc.l.rtdc.4013:itc</v>
      </c>
      <c r="G141" s="8">
        <f t="shared" si="5"/>
        <v>42679.678194444445</v>
      </c>
    </row>
    <row r="142" spans="1:7" x14ac:dyDescent="0.25">
      <c r="A142" s="8">
        <v>42679.679189814815</v>
      </c>
      <c r="B142" s="21" t="s">
        <v>268</v>
      </c>
      <c r="C142" s="21" t="s">
        <v>568</v>
      </c>
      <c r="D142" s="21">
        <v>890000</v>
      </c>
      <c r="E142" s="21" t="s">
        <v>331</v>
      </c>
      <c r="F142" s="21" t="str">
        <f t="shared" si="4"/>
        <v>rtdc.l.rtdc.4003:itc</v>
      </c>
      <c r="G142" s="8">
        <f t="shared" si="5"/>
        <v>42679.679189814815</v>
      </c>
    </row>
    <row r="143" spans="1:7" x14ac:dyDescent="0.25">
      <c r="A143" s="8">
        <v>42679.683229166665</v>
      </c>
      <c r="B143" s="21" t="s">
        <v>328</v>
      </c>
      <c r="C143" s="21" t="s">
        <v>572</v>
      </c>
      <c r="D143" s="21">
        <v>1280000</v>
      </c>
      <c r="E143" s="21" t="s">
        <v>524</v>
      </c>
      <c r="F143" s="21" t="str">
        <f t="shared" si="4"/>
        <v>rtdc.l.rtdc.4053:itc</v>
      </c>
      <c r="G143" s="8">
        <f t="shared" si="5"/>
        <v>42679.683229166665</v>
      </c>
    </row>
    <row r="144" spans="1:7" x14ac:dyDescent="0.25">
      <c r="A144" s="8">
        <v>42679.688981481479</v>
      </c>
      <c r="B144" s="21" t="s">
        <v>351</v>
      </c>
      <c r="C144" s="21" t="s">
        <v>573</v>
      </c>
      <c r="D144" s="21">
        <v>930000</v>
      </c>
      <c r="E144" s="21" t="s">
        <v>515</v>
      </c>
      <c r="F144" s="21" t="str">
        <f t="shared" si="4"/>
        <v>rtdc.l.rtdc.4012:itc</v>
      </c>
      <c r="G144" s="8">
        <f t="shared" si="5"/>
        <v>42679.688981481479</v>
      </c>
    </row>
    <row r="145" spans="1:7" x14ac:dyDescent="0.25">
      <c r="A145" s="8">
        <v>42679.69363425926</v>
      </c>
      <c r="B145" s="21" t="s">
        <v>356</v>
      </c>
      <c r="C145" s="21" t="s">
        <v>574</v>
      </c>
      <c r="D145" s="21">
        <v>2150000</v>
      </c>
      <c r="E145" s="21" t="s">
        <v>527</v>
      </c>
      <c r="F145" s="21" t="str">
        <f t="shared" si="4"/>
        <v>rtdc.l.rtdc.4016:itc</v>
      </c>
      <c r="G145" s="8">
        <f t="shared" si="5"/>
        <v>42679.69363425926</v>
      </c>
    </row>
    <row r="146" spans="1:7" x14ac:dyDescent="0.25">
      <c r="A146" s="8">
        <v>42679.694143518522</v>
      </c>
      <c r="B146" s="21" t="s">
        <v>277</v>
      </c>
      <c r="C146" s="21" t="s">
        <v>575</v>
      </c>
      <c r="D146" s="21">
        <v>890000</v>
      </c>
      <c r="E146" s="21" t="s">
        <v>331</v>
      </c>
      <c r="F146" s="21" t="str">
        <f t="shared" si="4"/>
        <v>rtdc.l.rtdc.4004:itc</v>
      </c>
      <c r="G146" s="8">
        <f t="shared" si="5"/>
        <v>42679.694143518522</v>
      </c>
    </row>
    <row r="147" spans="1:7" x14ac:dyDescent="0.25">
      <c r="A147" s="8">
        <v>42679.702280092592</v>
      </c>
      <c r="B147" s="21" t="s">
        <v>329</v>
      </c>
      <c r="C147" s="21" t="s">
        <v>434</v>
      </c>
      <c r="D147" s="21">
        <v>1740000</v>
      </c>
      <c r="E147" s="21" t="s">
        <v>539</v>
      </c>
      <c r="F147" s="21" t="str">
        <f t="shared" si="4"/>
        <v>rtdc.l.rtdc.4026:itc</v>
      </c>
      <c r="G147" s="8">
        <f t="shared" si="5"/>
        <v>42679.702280092592</v>
      </c>
    </row>
    <row r="148" spans="1:7" x14ac:dyDescent="0.25">
      <c r="A148" s="8">
        <v>42679.704328703701</v>
      </c>
      <c r="B148" s="21" t="s">
        <v>243</v>
      </c>
      <c r="C148" s="21" t="s">
        <v>576</v>
      </c>
      <c r="D148" s="21">
        <v>2020000</v>
      </c>
      <c r="E148" s="21" t="s">
        <v>358</v>
      </c>
      <c r="F148" s="21" t="str">
        <f t="shared" si="4"/>
        <v>rtdc.l.rtdc.4040:itc</v>
      </c>
      <c r="G148" s="8">
        <f t="shared" si="5"/>
        <v>42679.704328703701</v>
      </c>
    </row>
    <row r="149" spans="1:7" x14ac:dyDescent="0.25">
      <c r="A149" s="8">
        <v>42679.712673611109</v>
      </c>
      <c r="B149" s="21" t="s">
        <v>236</v>
      </c>
      <c r="C149" s="21" t="s">
        <v>577</v>
      </c>
      <c r="D149" s="21">
        <v>880000</v>
      </c>
      <c r="E149" s="21" t="s">
        <v>521</v>
      </c>
      <c r="F149" s="21" t="str">
        <f t="shared" si="4"/>
        <v>rtdc.l.rtdc.4001:itc</v>
      </c>
      <c r="G149" s="8">
        <f t="shared" si="5"/>
        <v>42679.712673611109</v>
      </c>
    </row>
    <row r="150" spans="1:7" x14ac:dyDescent="0.25">
      <c r="A150" s="8">
        <v>42679.713495370372</v>
      </c>
      <c r="B150" s="21" t="s">
        <v>249</v>
      </c>
      <c r="C150" s="21" t="s">
        <v>578</v>
      </c>
      <c r="D150" s="21">
        <v>1770000</v>
      </c>
      <c r="E150" s="21" t="s">
        <v>533</v>
      </c>
      <c r="F150" s="21" t="str">
        <f t="shared" si="4"/>
        <v>rtdc.l.rtdc.4014:itc</v>
      </c>
      <c r="G150" s="8">
        <f t="shared" si="5"/>
        <v>42679.713495370372</v>
      </c>
    </row>
    <row r="151" spans="1:7" x14ac:dyDescent="0.25">
      <c r="A151" s="8">
        <v>42679.715254629627</v>
      </c>
      <c r="B151" s="21" t="s">
        <v>325</v>
      </c>
      <c r="C151" s="21" t="s">
        <v>579</v>
      </c>
      <c r="D151" s="21">
        <v>1280000</v>
      </c>
      <c r="E151" s="21" t="s">
        <v>524</v>
      </c>
      <c r="F151" s="21" t="str">
        <f t="shared" si="4"/>
        <v>rtdc.l.rtdc.4054:itc</v>
      </c>
      <c r="G151" s="8">
        <f t="shared" si="5"/>
        <v>42679.715254629627</v>
      </c>
    </row>
    <row r="152" spans="1:7" x14ac:dyDescent="0.25">
      <c r="A152" s="8">
        <v>42679.718958333331</v>
      </c>
      <c r="B152" s="21" t="s">
        <v>268</v>
      </c>
      <c r="C152" s="21" t="s">
        <v>580</v>
      </c>
      <c r="D152" s="21">
        <v>890000</v>
      </c>
      <c r="E152" s="21" t="s">
        <v>331</v>
      </c>
      <c r="F152" s="21" t="str">
        <f t="shared" si="4"/>
        <v>rtdc.l.rtdc.4003:itc</v>
      </c>
      <c r="G152" s="8">
        <f t="shared" si="5"/>
        <v>42679.718958333331</v>
      </c>
    </row>
    <row r="153" spans="1:7" x14ac:dyDescent="0.25">
      <c r="A153" s="8">
        <v>42679.725115740737</v>
      </c>
      <c r="B153" s="21" t="s">
        <v>232</v>
      </c>
      <c r="C153" s="21" t="s">
        <v>581</v>
      </c>
      <c r="D153" s="21">
        <v>930000</v>
      </c>
      <c r="E153" s="21" t="s">
        <v>515</v>
      </c>
      <c r="F153" s="21" t="str">
        <f t="shared" si="4"/>
        <v>rtdc.l.rtdc.4011:itc</v>
      </c>
      <c r="G153" s="8">
        <f t="shared" si="5"/>
        <v>42679.725115740737</v>
      </c>
    </row>
    <row r="154" spans="1:7" x14ac:dyDescent="0.25">
      <c r="A154" s="8">
        <v>42679.726284722223</v>
      </c>
      <c r="B154" s="21" t="s">
        <v>324</v>
      </c>
      <c r="C154" s="21" t="s">
        <v>582</v>
      </c>
      <c r="D154" s="21">
        <v>2110000</v>
      </c>
      <c r="E154" s="21" t="s">
        <v>583</v>
      </c>
      <c r="F154" s="21" t="str">
        <f t="shared" si="4"/>
        <v>rtdc.l.rtdc.4018:itc</v>
      </c>
      <c r="G154" s="8">
        <f t="shared" si="5"/>
        <v>42679.726284722223</v>
      </c>
    </row>
    <row r="155" spans="1:7" x14ac:dyDescent="0.25">
      <c r="A155" s="8">
        <v>42679.727766203701</v>
      </c>
      <c r="B155" s="21" t="s">
        <v>352</v>
      </c>
      <c r="C155" s="21" t="s">
        <v>584</v>
      </c>
      <c r="D155" s="21">
        <v>2150000</v>
      </c>
      <c r="E155" s="21" t="s">
        <v>527</v>
      </c>
      <c r="F155" s="21" t="str">
        <f t="shared" si="4"/>
        <v>rtdc.l.rtdc.4015:itc</v>
      </c>
      <c r="G155" s="8">
        <f t="shared" si="5"/>
        <v>42679.727766203701</v>
      </c>
    </row>
    <row r="156" spans="1:7" x14ac:dyDescent="0.25">
      <c r="A156" s="8">
        <v>42679.734756944446</v>
      </c>
      <c r="B156" s="21" t="s">
        <v>277</v>
      </c>
      <c r="C156" s="21" t="s">
        <v>585</v>
      </c>
      <c r="D156" s="21">
        <v>890000</v>
      </c>
      <c r="E156" s="21" t="s">
        <v>331</v>
      </c>
      <c r="F156" s="21" t="str">
        <f t="shared" si="4"/>
        <v>rtdc.l.rtdc.4004:itc</v>
      </c>
      <c r="G156" s="8">
        <f t="shared" si="5"/>
        <v>42679.734756944446</v>
      </c>
    </row>
    <row r="157" spans="1:7" x14ac:dyDescent="0.25">
      <c r="A157" s="8">
        <v>42679.735682870371</v>
      </c>
      <c r="B157" s="21" t="s">
        <v>323</v>
      </c>
      <c r="C157" s="21" t="s">
        <v>586</v>
      </c>
      <c r="D157" s="21">
        <v>1810000</v>
      </c>
      <c r="E157" s="21" t="s">
        <v>587</v>
      </c>
      <c r="F157" s="21" t="str">
        <f t="shared" si="4"/>
        <v>rtdc.l.rtdc.4025:itc</v>
      </c>
      <c r="G157" s="8">
        <f t="shared" si="5"/>
        <v>42679.735682870371</v>
      </c>
    </row>
    <row r="158" spans="1:7" x14ac:dyDescent="0.25">
      <c r="A158" s="8">
        <v>42679.742256944446</v>
      </c>
      <c r="B158" s="21" t="s">
        <v>274</v>
      </c>
      <c r="C158" s="21" t="s">
        <v>588</v>
      </c>
      <c r="D158" s="21">
        <v>2020000</v>
      </c>
      <c r="E158" s="21" t="s">
        <v>358</v>
      </c>
      <c r="F158" s="21" t="str">
        <f t="shared" si="4"/>
        <v>rtdc.l.rtdc.4039:itc</v>
      </c>
      <c r="G158" s="8">
        <f t="shared" si="5"/>
        <v>42679.742256944446</v>
      </c>
    </row>
    <row r="159" spans="1:7" x14ac:dyDescent="0.25">
      <c r="A159" s="8">
        <v>42679.74659722222</v>
      </c>
      <c r="B159" s="21" t="s">
        <v>235</v>
      </c>
      <c r="C159" s="21" t="s">
        <v>589</v>
      </c>
      <c r="D159" s="21">
        <v>1740000</v>
      </c>
      <c r="E159" s="21" t="s">
        <v>539</v>
      </c>
      <c r="F159" s="21" t="str">
        <f t="shared" si="4"/>
        <v>rtdc.l.rtdc.4002:itc</v>
      </c>
      <c r="G159" s="8">
        <f t="shared" si="5"/>
        <v>42679.74659722222</v>
      </c>
    </row>
    <row r="160" spans="1:7" x14ac:dyDescent="0.25">
      <c r="A160" s="8">
        <v>42679.746805555558</v>
      </c>
      <c r="B160" s="21" t="s">
        <v>229</v>
      </c>
      <c r="C160" s="21" t="s">
        <v>435</v>
      </c>
      <c r="D160" s="21">
        <v>2280000</v>
      </c>
      <c r="E160" s="21" t="s">
        <v>590</v>
      </c>
      <c r="F160" s="21" t="str">
        <f t="shared" si="4"/>
        <v>rtdc.l.rtdc.4037:itc</v>
      </c>
      <c r="G160" s="8">
        <f t="shared" si="5"/>
        <v>42679.746805555558</v>
      </c>
    </row>
    <row r="161" spans="1:7" x14ac:dyDescent="0.25">
      <c r="A161" s="8">
        <v>42679.751006944447</v>
      </c>
      <c r="B161" s="21" t="s">
        <v>248</v>
      </c>
      <c r="C161" s="21" t="s">
        <v>591</v>
      </c>
      <c r="D161" s="21">
        <v>1770000</v>
      </c>
      <c r="E161" s="21" t="s">
        <v>533</v>
      </c>
      <c r="F161" s="21" t="str">
        <f t="shared" si="4"/>
        <v>rtdc.l.rtdc.4013:itc</v>
      </c>
      <c r="G161" s="8">
        <f t="shared" si="5"/>
        <v>42679.751006944447</v>
      </c>
    </row>
    <row r="162" spans="1:7" x14ac:dyDescent="0.25">
      <c r="A162" s="8">
        <v>42679.7577662037</v>
      </c>
      <c r="B162" s="21" t="s">
        <v>328</v>
      </c>
      <c r="C162" s="21" t="s">
        <v>436</v>
      </c>
      <c r="D162" s="21">
        <v>1800000</v>
      </c>
      <c r="E162" s="21" t="s">
        <v>262</v>
      </c>
      <c r="F162" s="21" t="str">
        <f t="shared" si="4"/>
        <v>rtdc.l.rtdc.4053:itc</v>
      </c>
      <c r="G162" s="8">
        <f t="shared" si="5"/>
        <v>42679.7577662037</v>
      </c>
    </row>
    <row r="163" spans="1:7" x14ac:dyDescent="0.25">
      <c r="A163" s="8">
        <v>42679.761111111111</v>
      </c>
      <c r="B163" s="21" t="s">
        <v>268</v>
      </c>
      <c r="C163" s="21" t="s">
        <v>592</v>
      </c>
      <c r="D163" s="21">
        <v>1820000</v>
      </c>
      <c r="E163" s="21" t="s">
        <v>332</v>
      </c>
      <c r="F163" s="21" t="str">
        <f t="shared" si="4"/>
        <v>rtdc.l.rtdc.4003:itc</v>
      </c>
      <c r="G163" s="8">
        <f t="shared" si="5"/>
        <v>42679.761111111111</v>
      </c>
    </row>
    <row r="164" spans="1:7" x14ac:dyDescent="0.25">
      <c r="A164" s="8">
        <v>42679.761423611111</v>
      </c>
      <c r="B164" s="21" t="s">
        <v>351</v>
      </c>
      <c r="C164" s="21" t="s">
        <v>593</v>
      </c>
      <c r="D164" s="21">
        <v>930000</v>
      </c>
      <c r="E164" s="21" t="s">
        <v>515</v>
      </c>
      <c r="F164" s="21" t="str">
        <f t="shared" si="4"/>
        <v>rtdc.l.rtdc.4012:itc</v>
      </c>
      <c r="G164" s="8">
        <f t="shared" si="5"/>
        <v>42679.761423611111</v>
      </c>
    </row>
    <row r="165" spans="1:7" x14ac:dyDescent="0.25">
      <c r="A165" s="8">
        <v>42679.768043981479</v>
      </c>
      <c r="B165" s="21" t="s">
        <v>356</v>
      </c>
      <c r="C165" s="21" t="s">
        <v>594</v>
      </c>
      <c r="D165" s="21">
        <v>2000000</v>
      </c>
      <c r="E165" s="21" t="s">
        <v>291</v>
      </c>
      <c r="F165" s="21" t="str">
        <f t="shared" si="4"/>
        <v>rtdc.l.rtdc.4016:itc</v>
      </c>
      <c r="G165" s="8">
        <f t="shared" si="5"/>
        <v>42679.768043981479</v>
      </c>
    </row>
    <row r="166" spans="1:7" x14ac:dyDescent="0.25">
      <c r="A166" s="8">
        <v>42679.772824074076</v>
      </c>
      <c r="B166" s="21" t="s">
        <v>329</v>
      </c>
      <c r="C166" s="21" t="s">
        <v>595</v>
      </c>
      <c r="D166" s="21">
        <v>1810000</v>
      </c>
      <c r="E166" s="21" t="s">
        <v>587</v>
      </c>
      <c r="F166" s="21" t="str">
        <f t="shared" si="4"/>
        <v>rtdc.l.rtdc.4026:itc</v>
      </c>
      <c r="G166" s="8">
        <f t="shared" si="5"/>
        <v>42679.772824074076</v>
      </c>
    </row>
    <row r="167" spans="1:7" x14ac:dyDescent="0.25">
      <c r="A167" s="8">
        <v>42679.776145833333</v>
      </c>
      <c r="B167" s="21" t="s">
        <v>243</v>
      </c>
      <c r="C167" s="21" t="s">
        <v>596</v>
      </c>
      <c r="D167" s="21">
        <v>2020000</v>
      </c>
      <c r="E167" s="21" t="s">
        <v>358</v>
      </c>
      <c r="F167" s="21" t="str">
        <f t="shared" si="4"/>
        <v>rtdc.l.rtdc.4040:itc</v>
      </c>
      <c r="G167" s="8">
        <f t="shared" si="5"/>
        <v>42679.776145833333</v>
      </c>
    </row>
    <row r="168" spans="1:7" x14ac:dyDescent="0.25">
      <c r="A168" s="8">
        <v>42679.776898148149</v>
      </c>
      <c r="B168" s="21" t="s">
        <v>277</v>
      </c>
      <c r="C168" s="21" t="s">
        <v>437</v>
      </c>
      <c r="D168" s="21">
        <v>1820000</v>
      </c>
      <c r="E168" s="21" t="s">
        <v>332</v>
      </c>
      <c r="F168" s="21" t="str">
        <f t="shared" si="4"/>
        <v>rtdc.l.rtdc.4004:itc</v>
      </c>
      <c r="G168" s="8">
        <f t="shared" si="5"/>
        <v>42679.776898148149</v>
      </c>
    </row>
    <row r="169" spans="1:7" x14ac:dyDescent="0.25">
      <c r="A169" s="8">
        <v>42679.786666666667</v>
      </c>
      <c r="B169" s="21" t="s">
        <v>236</v>
      </c>
      <c r="C169" s="21" t="s">
        <v>597</v>
      </c>
      <c r="D169" s="21">
        <v>1740000</v>
      </c>
      <c r="E169" s="21" t="s">
        <v>539</v>
      </c>
      <c r="F169" s="21" t="str">
        <f t="shared" si="4"/>
        <v>rtdc.l.rtdc.4001:itc</v>
      </c>
      <c r="G169" s="8">
        <f t="shared" si="5"/>
        <v>42679.786666666667</v>
      </c>
    </row>
    <row r="170" spans="1:7" x14ac:dyDescent="0.25">
      <c r="A170" s="8">
        <v>42679.787048611113</v>
      </c>
      <c r="B170" s="21" t="s">
        <v>277</v>
      </c>
      <c r="C170" s="21" t="s">
        <v>437</v>
      </c>
      <c r="D170" s="21">
        <v>1820000</v>
      </c>
      <c r="E170" s="21" t="s">
        <v>332</v>
      </c>
      <c r="F170" s="21" t="str">
        <f t="shared" si="4"/>
        <v>rtdc.l.rtdc.4004:itc</v>
      </c>
      <c r="G170" s="8">
        <f t="shared" si="5"/>
        <v>42679.787048611113</v>
      </c>
    </row>
    <row r="171" spans="1:7" x14ac:dyDescent="0.25">
      <c r="A171" s="8">
        <v>42679.787499999999</v>
      </c>
      <c r="B171" s="21" t="s">
        <v>249</v>
      </c>
      <c r="C171" s="21" t="s">
        <v>438</v>
      </c>
      <c r="D171" s="21">
        <v>1300000</v>
      </c>
      <c r="E171" s="21" t="s">
        <v>113</v>
      </c>
      <c r="F171" s="21" t="str">
        <f t="shared" si="4"/>
        <v>rtdc.l.rtdc.4014:itc</v>
      </c>
      <c r="G171" s="8">
        <f t="shared" si="5"/>
        <v>42679.787499999999</v>
      </c>
    </row>
    <row r="172" spans="1:7" x14ac:dyDescent="0.25">
      <c r="A172" s="8">
        <v>42679.797847222224</v>
      </c>
      <c r="B172" s="21" t="s">
        <v>325</v>
      </c>
      <c r="C172" s="21" t="s">
        <v>598</v>
      </c>
      <c r="D172" s="21">
        <v>1800000</v>
      </c>
      <c r="E172" s="21" t="s">
        <v>262</v>
      </c>
      <c r="F172" s="21" t="str">
        <f t="shared" si="4"/>
        <v>rtdc.l.rtdc.4054:itc</v>
      </c>
      <c r="G172" s="8">
        <f t="shared" si="5"/>
        <v>42679.797847222224</v>
      </c>
    </row>
    <row r="173" spans="1:7" x14ac:dyDescent="0.25">
      <c r="A173" s="8">
        <v>42679.803368055553</v>
      </c>
      <c r="B173" s="21" t="s">
        <v>232</v>
      </c>
      <c r="C173" s="21" t="s">
        <v>596</v>
      </c>
      <c r="D173" s="21">
        <v>2020000</v>
      </c>
      <c r="E173" s="21" t="s">
        <v>358</v>
      </c>
      <c r="F173" s="21" t="str">
        <f t="shared" si="4"/>
        <v>rtdc.l.rtdc.4011:itc</v>
      </c>
      <c r="G173" s="8">
        <f t="shared" si="5"/>
        <v>42679.803368055553</v>
      </c>
    </row>
    <row r="174" spans="1:7" x14ac:dyDescent="0.25">
      <c r="A174" s="8">
        <v>42679.804837962962</v>
      </c>
      <c r="B174" s="21" t="s">
        <v>268</v>
      </c>
      <c r="C174" s="21" t="s">
        <v>599</v>
      </c>
      <c r="D174" s="21">
        <v>1820000</v>
      </c>
      <c r="E174" s="21" t="s">
        <v>332</v>
      </c>
      <c r="F174" s="21" t="str">
        <f t="shared" si="4"/>
        <v>rtdc.l.rtdc.4003:itc</v>
      </c>
      <c r="G174" s="8">
        <f t="shared" si="5"/>
        <v>42679.804837962962</v>
      </c>
    </row>
    <row r="175" spans="1:7" x14ac:dyDescent="0.25">
      <c r="A175" s="8">
        <v>42679.806770833333</v>
      </c>
      <c r="B175" s="21" t="s">
        <v>352</v>
      </c>
      <c r="C175" s="21" t="s">
        <v>439</v>
      </c>
      <c r="D175" s="21">
        <v>2000000</v>
      </c>
      <c r="E175" s="21" t="s">
        <v>291</v>
      </c>
      <c r="F175" s="21" t="str">
        <f t="shared" si="4"/>
        <v>rtdc.l.rtdc.4015:itc</v>
      </c>
      <c r="G175" s="8">
        <f t="shared" si="5"/>
        <v>42679.806770833333</v>
      </c>
    </row>
    <row r="176" spans="1:7" x14ac:dyDescent="0.25">
      <c r="A176" s="8">
        <v>42679.807708333334</v>
      </c>
      <c r="B176" s="21" t="s">
        <v>323</v>
      </c>
      <c r="C176" s="21" t="s">
        <v>600</v>
      </c>
      <c r="D176" s="21">
        <v>1810000</v>
      </c>
      <c r="E176" s="21" t="s">
        <v>587</v>
      </c>
      <c r="F176" s="21" t="str">
        <f t="shared" si="4"/>
        <v>rtdc.l.rtdc.4025:itc</v>
      </c>
      <c r="G176" s="8">
        <f t="shared" si="5"/>
        <v>42679.807708333334</v>
      </c>
    </row>
    <row r="177" spans="1:7" x14ac:dyDescent="0.25">
      <c r="A177" s="8">
        <v>42679.817511574074</v>
      </c>
      <c r="B177" s="21" t="s">
        <v>235</v>
      </c>
      <c r="C177" s="21" t="s">
        <v>601</v>
      </c>
      <c r="D177" s="21">
        <v>1740000</v>
      </c>
      <c r="E177" s="21" t="s">
        <v>539</v>
      </c>
      <c r="F177" s="21" t="str">
        <f t="shared" si="4"/>
        <v>rtdc.l.rtdc.4002:itc</v>
      </c>
      <c r="G177" s="8">
        <f t="shared" si="5"/>
        <v>42679.817511574074</v>
      </c>
    </row>
    <row r="178" spans="1:7" x14ac:dyDescent="0.25">
      <c r="A178" s="8">
        <v>42679.817812499998</v>
      </c>
      <c r="B178" s="21" t="s">
        <v>277</v>
      </c>
      <c r="C178" s="21" t="s">
        <v>602</v>
      </c>
      <c r="D178" s="21">
        <v>1820000</v>
      </c>
      <c r="E178" s="21" t="s">
        <v>332</v>
      </c>
      <c r="F178" s="21" t="str">
        <f t="shared" si="4"/>
        <v>rtdc.l.rtdc.4004:itc</v>
      </c>
      <c r="G178" s="8">
        <f t="shared" si="5"/>
        <v>42679.817812499998</v>
      </c>
    </row>
    <row r="179" spans="1:7" x14ac:dyDescent="0.25">
      <c r="A179" s="8">
        <v>42679.826770833337</v>
      </c>
      <c r="B179" s="21" t="s">
        <v>248</v>
      </c>
      <c r="C179" s="21" t="s">
        <v>438</v>
      </c>
      <c r="D179" s="21">
        <v>1300000</v>
      </c>
      <c r="E179" s="21" t="s">
        <v>113</v>
      </c>
      <c r="F179" s="21" t="str">
        <f t="shared" si="4"/>
        <v>rtdc.l.rtdc.4013:itc</v>
      </c>
      <c r="G179" s="8">
        <f t="shared" si="5"/>
        <v>42679.826770833337</v>
      </c>
    </row>
    <row r="180" spans="1:7" x14ac:dyDescent="0.25">
      <c r="A180" s="8">
        <v>42679.82739583333</v>
      </c>
      <c r="B180" s="21" t="s">
        <v>248</v>
      </c>
      <c r="C180" s="21" t="s">
        <v>603</v>
      </c>
      <c r="D180" s="21">
        <v>1300000</v>
      </c>
      <c r="E180" s="21" t="s">
        <v>113</v>
      </c>
      <c r="F180" s="21" t="str">
        <f t="shared" si="4"/>
        <v>rtdc.l.rtdc.4013:itc</v>
      </c>
      <c r="G180" s="8">
        <f t="shared" si="5"/>
        <v>42679.82739583333</v>
      </c>
    </row>
    <row r="181" spans="1:7" x14ac:dyDescent="0.25">
      <c r="A181" s="8">
        <v>42679.833136574074</v>
      </c>
      <c r="B181" s="21" t="s">
        <v>268</v>
      </c>
      <c r="C181" s="21" t="s">
        <v>604</v>
      </c>
      <c r="D181" s="21">
        <v>1820000</v>
      </c>
      <c r="E181" s="21" t="s">
        <v>332</v>
      </c>
      <c r="F181" s="21" t="str">
        <f t="shared" si="4"/>
        <v>rtdc.l.rtdc.4003:itc</v>
      </c>
      <c r="G181" s="8">
        <f t="shared" si="5"/>
        <v>42679.833136574074</v>
      </c>
    </row>
    <row r="182" spans="1:7" x14ac:dyDescent="0.25">
      <c r="A182" s="8">
        <v>42679.833437499998</v>
      </c>
      <c r="B182" s="21" t="s">
        <v>328</v>
      </c>
      <c r="C182" s="21" t="s">
        <v>605</v>
      </c>
      <c r="D182" s="21">
        <v>1800000</v>
      </c>
      <c r="E182" s="21" t="s">
        <v>262</v>
      </c>
      <c r="F182" s="21" t="str">
        <f t="shared" si="4"/>
        <v>rtdc.l.rtdc.4053:itc</v>
      </c>
      <c r="G182" s="8">
        <f t="shared" si="5"/>
        <v>42679.833437499998</v>
      </c>
    </row>
    <row r="183" spans="1:7" x14ac:dyDescent="0.25">
      <c r="A183" s="8">
        <v>42679.838912037034</v>
      </c>
      <c r="B183" s="21" t="s">
        <v>329</v>
      </c>
      <c r="C183" s="21" t="s">
        <v>606</v>
      </c>
      <c r="D183" s="21">
        <v>1810000</v>
      </c>
      <c r="E183" s="21" t="s">
        <v>587</v>
      </c>
      <c r="F183" s="21" t="str">
        <f t="shared" si="4"/>
        <v>rtdc.l.rtdc.4026:itc</v>
      </c>
      <c r="G183" s="8">
        <f t="shared" si="5"/>
        <v>42679.838912037034</v>
      </c>
    </row>
    <row r="184" spans="1:7" x14ac:dyDescent="0.25">
      <c r="A184" s="8">
        <v>42679.847442129627</v>
      </c>
      <c r="B184" s="21" t="s">
        <v>268</v>
      </c>
      <c r="C184" s="21" t="s">
        <v>604</v>
      </c>
      <c r="D184" s="21">
        <v>1820000</v>
      </c>
      <c r="E184" s="21" t="s">
        <v>332</v>
      </c>
      <c r="F184" s="21" t="str">
        <f t="shared" si="4"/>
        <v>rtdc.l.rtdc.4003:itc</v>
      </c>
      <c r="G184" s="8">
        <f t="shared" si="5"/>
        <v>42679.847442129627</v>
      </c>
    </row>
    <row r="185" spans="1:7" x14ac:dyDescent="0.25">
      <c r="A185" s="8">
        <v>42679.848506944443</v>
      </c>
      <c r="B185" s="21" t="s">
        <v>268</v>
      </c>
      <c r="C185" s="21" t="s">
        <v>604</v>
      </c>
      <c r="D185" s="21">
        <v>1820000</v>
      </c>
      <c r="E185" s="21" t="s">
        <v>332</v>
      </c>
      <c r="F185" s="21" t="str">
        <f t="shared" si="4"/>
        <v>rtdc.l.rtdc.4003:itc</v>
      </c>
      <c r="G185" s="8">
        <f t="shared" si="5"/>
        <v>42679.848506944443</v>
      </c>
    </row>
    <row r="186" spans="1:7" x14ac:dyDescent="0.25">
      <c r="A186" s="8">
        <v>42679.850127314814</v>
      </c>
      <c r="B186" s="21" t="s">
        <v>268</v>
      </c>
      <c r="C186" s="21" t="s">
        <v>604</v>
      </c>
      <c r="D186" s="21">
        <v>1820000</v>
      </c>
      <c r="E186" s="21" t="s">
        <v>332</v>
      </c>
      <c r="F186" s="21" t="str">
        <f t="shared" si="4"/>
        <v>rtdc.l.rtdc.4003:itc</v>
      </c>
      <c r="G186" s="8">
        <f t="shared" si="5"/>
        <v>42679.850127314814</v>
      </c>
    </row>
    <row r="187" spans="1:7" x14ac:dyDescent="0.25">
      <c r="A187" s="8">
        <v>42679.851736111108</v>
      </c>
      <c r="B187" s="21" t="s">
        <v>356</v>
      </c>
      <c r="C187" s="21" t="s">
        <v>607</v>
      </c>
      <c r="D187" s="21">
        <v>2000000</v>
      </c>
      <c r="E187" s="21" t="s">
        <v>291</v>
      </c>
      <c r="F187" s="21" t="str">
        <f t="shared" si="4"/>
        <v>rtdc.l.rtdc.4016:itc</v>
      </c>
      <c r="G187" s="8">
        <f t="shared" si="5"/>
        <v>42679.851736111108</v>
      </c>
    </row>
    <row r="188" spans="1:7" x14ac:dyDescent="0.25">
      <c r="A188" s="8">
        <v>42679.863217592596</v>
      </c>
      <c r="B188" s="21" t="s">
        <v>277</v>
      </c>
      <c r="C188" s="21" t="s">
        <v>440</v>
      </c>
      <c r="D188" s="21">
        <v>1820000</v>
      </c>
      <c r="E188" s="21" t="s">
        <v>332</v>
      </c>
      <c r="F188" s="21" t="str">
        <f t="shared" si="4"/>
        <v>rtdc.l.rtdc.4004:itc</v>
      </c>
      <c r="G188" s="8">
        <f t="shared" si="5"/>
        <v>42679.863217592596</v>
      </c>
    </row>
    <row r="189" spans="1:7" x14ac:dyDescent="0.25">
      <c r="A189" s="8">
        <v>42679.869641203702</v>
      </c>
      <c r="B189" s="21" t="s">
        <v>249</v>
      </c>
      <c r="C189" s="21" t="s">
        <v>608</v>
      </c>
      <c r="D189" s="21">
        <v>1300000</v>
      </c>
      <c r="E189" s="21" t="s">
        <v>113</v>
      </c>
      <c r="F189" s="21" t="str">
        <f t="shared" si="4"/>
        <v>rtdc.l.rtdc.4014:itc</v>
      </c>
      <c r="G189" s="8">
        <f t="shared" si="5"/>
        <v>42679.869641203702</v>
      </c>
    </row>
    <row r="190" spans="1:7" x14ac:dyDescent="0.25">
      <c r="A190" s="8">
        <v>42679.872233796297</v>
      </c>
      <c r="B190" s="21" t="s">
        <v>325</v>
      </c>
      <c r="C190" s="21" t="s">
        <v>609</v>
      </c>
      <c r="D190" s="21">
        <v>1800000</v>
      </c>
      <c r="E190" s="21" t="s">
        <v>262</v>
      </c>
      <c r="F190" s="21" t="str">
        <f t="shared" si="4"/>
        <v>rtdc.l.rtdc.4054:itc</v>
      </c>
      <c r="G190" s="8">
        <f t="shared" si="5"/>
        <v>42679.872233796297</v>
      </c>
    </row>
    <row r="191" spans="1:7" x14ac:dyDescent="0.25">
      <c r="A191" s="8">
        <v>42679.884108796294</v>
      </c>
      <c r="B191" s="21" t="s">
        <v>323</v>
      </c>
      <c r="C191" s="21" t="s">
        <v>610</v>
      </c>
      <c r="D191" s="21">
        <v>1810000</v>
      </c>
      <c r="E191" s="21" t="s">
        <v>587</v>
      </c>
      <c r="F191" s="21" t="str">
        <f t="shared" si="4"/>
        <v>rtdc.l.rtdc.4025:itc</v>
      </c>
      <c r="G191" s="8">
        <f t="shared" si="5"/>
        <v>42679.884108796294</v>
      </c>
    </row>
    <row r="192" spans="1:7" x14ac:dyDescent="0.25">
      <c r="A192" s="8">
        <v>42679.887245370373</v>
      </c>
      <c r="B192" s="21" t="s">
        <v>268</v>
      </c>
      <c r="C192" s="21" t="s">
        <v>611</v>
      </c>
      <c r="D192" s="21">
        <v>1820000</v>
      </c>
      <c r="E192" s="21" t="s">
        <v>332</v>
      </c>
      <c r="F192" s="21" t="str">
        <f t="shared" si="4"/>
        <v>rtdc.l.rtdc.4003:itc</v>
      </c>
      <c r="G192" s="8">
        <f t="shared" si="5"/>
        <v>42679.887245370373</v>
      </c>
    </row>
    <row r="193" spans="1:7" x14ac:dyDescent="0.25">
      <c r="A193" s="8">
        <v>42679.8906712963</v>
      </c>
      <c r="B193" s="21" t="s">
        <v>352</v>
      </c>
      <c r="C193" s="21" t="s">
        <v>612</v>
      </c>
      <c r="D193" s="21">
        <v>2000000</v>
      </c>
      <c r="E193" s="21" t="s">
        <v>291</v>
      </c>
      <c r="F193" s="21" t="str">
        <f t="shared" si="4"/>
        <v>rtdc.l.rtdc.4015:itc</v>
      </c>
      <c r="G193" s="8">
        <f t="shared" si="5"/>
        <v>42679.8906712963</v>
      </c>
    </row>
    <row r="194" spans="1:7" x14ac:dyDescent="0.25">
      <c r="A194" s="8">
        <v>42679.902268518519</v>
      </c>
      <c r="B194" s="21" t="s">
        <v>277</v>
      </c>
      <c r="C194" s="21" t="s">
        <v>611</v>
      </c>
      <c r="D194" s="21">
        <v>1820000</v>
      </c>
      <c r="E194" s="21" t="s">
        <v>332</v>
      </c>
      <c r="F194" s="21" t="str">
        <f t="shared" ref="F194:F235" si="6">B194</f>
        <v>rtdc.l.rtdc.4004:itc</v>
      </c>
      <c r="G194" s="8">
        <f t="shared" ref="G194:G235" si="7">A194</f>
        <v>42679.902268518519</v>
      </c>
    </row>
    <row r="195" spans="1:7" x14ac:dyDescent="0.25">
      <c r="A195" s="8">
        <v>42679.90283564815</v>
      </c>
      <c r="B195" s="21" t="s">
        <v>277</v>
      </c>
      <c r="C195" s="21" t="s">
        <v>441</v>
      </c>
      <c r="D195" s="21">
        <v>1820000</v>
      </c>
      <c r="E195" s="21" t="s">
        <v>332</v>
      </c>
      <c r="F195" s="21" t="str">
        <f t="shared" si="6"/>
        <v>rtdc.l.rtdc.4004:itc</v>
      </c>
      <c r="G195" s="8">
        <f t="shared" si="7"/>
        <v>42679.90283564815</v>
      </c>
    </row>
    <row r="196" spans="1:7" x14ac:dyDescent="0.25">
      <c r="A196" s="8">
        <v>42679.911550925928</v>
      </c>
      <c r="B196" s="21" t="s">
        <v>248</v>
      </c>
      <c r="C196" s="21" t="s">
        <v>613</v>
      </c>
      <c r="D196" s="21">
        <v>1300000</v>
      </c>
      <c r="E196" s="21" t="s">
        <v>113</v>
      </c>
      <c r="F196" s="21" t="str">
        <f t="shared" si="6"/>
        <v>rtdc.l.rtdc.4013:itc</v>
      </c>
      <c r="G196" s="8">
        <f t="shared" si="7"/>
        <v>42679.911550925928</v>
      </c>
    </row>
    <row r="197" spans="1:7" x14ac:dyDescent="0.25">
      <c r="A197" s="8">
        <v>42679.915925925925</v>
      </c>
      <c r="B197" s="21" t="s">
        <v>328</v>
      </c>
      <c r="C197" s="21" t="s">
        <v>614</v>
      </c>
      <c r="D197" s="21">
        <v>1800000</v>
      </c>
      <c r="E197" s="21" t="s">
        <v>262</v>
      </c>
      <c r="F197" s="21" t="str">
        <f t="shared" si="6"/>
        <v>rtdc.l.rtdc.4053:itc</v>
      </c>
      <c r="G197" s="8">
        <f t="shared" si="7"/>
        <v>42679.915925925925</v>
      </c>
    </row>
    <row r="198" spans="1:7" x14ac:dyDescent="0.25">
      <c r="A198" s="8">
        <v>42679.923194444447</v>
      </c>
      <c r="B198" s="21" t="s">
        <v>268</v>
      </c>
      <c r="C198" s="21" t="s">
        <v>615</v>
      </c>
      <c r="D198" s="21">
        <v>1820000</v>
      </c>
      <c r="E198" s="21" t="s">
        <v>332</v>
      </c>
      <c r="F198" s="21" t="str">
        <f t="shared" si="6"/>
        <v>rtdc.l.rtdc.4003:itc</v>
      </c>
      <c r="G198" s="8">
        <f t="shared" si="7"/>
        <v>42679.923194444447</v>
      </c>
    </row>
    <row r="199" spans="1:7" x14ac:dyDescent="0.25">
      <c r="A199" s="8">
        <v>42679.923483796294</v>
      </c>
      <c r="B199" s="21" t="s">
        <v>329</v>
      </c>
      <c r="C199" s="21" t="s">
        <v>616</v>
      </c>
      <c r="D199" s="21">
        <v>1810000</v>
      </c>
      <c r="E199" s="21" t="s">
        <v>587</v>
      </c>
      <c r="F199" s="21" t="str">
        <f t="shared" si="6"/>
        <v>rtdc.l.rtdc.4026:itc</v>
      </c>
      <c r="G199" s="8">
        <f t="shared" si="7"/>
        <v>42679.923483796294</v>
      </c>
    </row>
    <row r="200" spans="1:7" x14ac:dyDescent="0.25">
      <c r="A200" s="8">
        <v>42679.933159722219</v>
      </c>
      <c r="B200" s="21" t="s">
        <v>356</v>
      </c>
      <c r="C200" s="21" t="s">
        <v>617</v>
      </c>
      <c r="D200" s="21">
        <v>2000000</v>
      </c>
      <c r="E200" s="21" t="s">
        <v>291</v>
      </c>
      <c r="F200" s="21" t="str">
        <f t="shared" si="6"/>
        <v>rtdc.l.rtdc.4016:itc</v>
      </c>
      <c r="G200" s="8">
        <f t="shared" si="7"/>
        <v>42679.933159722219</v>
      </c>
    </row>
    <row r="201" spans="1:7" x14ac:dyDescent="0.25">
      <c r="A201" s="8">
        <v>42679.951990740738</v>
      </c>
      <c r="B201" s="21" t="s">
        <v>249</v>
      </c>
      <c r="C201" s="21" t="s">
        <v>618</v>
      </c>
      <c r="D201" s="21">
        <v>1300000</v>
      </c>
      <c r="E201" s="21" t="s">
        <v>113</v>
      </c>
      <c r="F201" s="21" t="str">
        <f t="shared" si="6"/>
        <v>rtdc.l.rtdc.4014:itc</v>
      </c>
      <c r="G201" s="8">
        <f t="shared" si="7"/>
        <v>42679.951990740738</v>
      </c>
    </row>
    <row r="202" spans="1:7" x14ac:dyDescent="0.25">
      <c r="A202" s="27">
        <v>42679.953460648147</v>
      </c>
      <c r="B202" s="21" t="s">
        <v>325</v>
      </c>
      <c r="C202" s="21" t="s">
        <v>619</v>
      </c>
      <c r="D202" s="21">
        <v>1800000</v>
      </c>
      <c r="E202" s="21" t="s">
        <v>262</v>
      </c>
      <c r="F202" s="21" t="str">
        <f t="shared" si="6"/>
        <v>rtdc.l.rtdc.4054:itc</v>
      </c>
      <c r="G202" s="8">
        <f t="shared" si="7"/>
        <v>42679.953460648147</v>
      </c>
    </row>
    <row r="203" spans="1:7" x14ac:dyDescent="0.25">
      <c r="A203" s="8">
        <v>42679.964201388888</v>
      </c>
      <c r="B203" s="21" t="s">
        <v>323</v>
      </c>
      <c r="C203" s="21" t="s">
        <v>620</v>
      </c>
      <c r="D203" s="21">
        <v>1810000</v>
      </c>
      <c r="E203" s="21" t="s">
        <v>587</v>
      </c>
      <c r="F203" s="21" t="str">
        <f t="shared" si="6"/>
        <v>rtdc.l.rtdc.4025:itc</v>
      </c>
      <c r="G203" s="8">
        <f t="shared" si="7"/>
        <v>42679.964201388888</v>
      </c>
    </row>
    <row r="204" spans="1:7" x14ac:dyDescent="0.25">
      <c r="A204" s="8">
        <v>42679.97315972222</v>
      </c>
      <c r="B204" s="21" t="s">
        <v>352</v>
      </c>
      <c r="C204" s="21" t="s">
        <v>442</v>
      </c>
      <c r="D204" s="21">
        <v>2000000</v>
      </c>
      <c r="E204" s="21" t="s">
        <v>291</v>
      </c>
      <c r="F204" s="21" t="str">
        <f t="shared" si="6"/>
        <v>rtdc.l.rtdc.4015:itc</v>
      </c>
      <c r="G204" s="8">
        <f t="shared" si="7"/>
        <v>42679.97315972222</v>
      </c>
    </row>
    <row r="205" spans="1:7" x14ac:dyDescent="0.25">
      <c r="A205" s="8">
        <v>42679.993391203701</v>
      </c>
      <c r="B205" s="21" t="s">
        <v>248</v>
      </c>
      <c r="C205" s="21" t="s">
        <v>621</v>
      </c>
      <c r="D205" s="21">
        <v>1300000</v>
      </c>
      <c r="E205" s="21" t="s">
        <v>113</v>
      </c>
      <c r="F205" s="21" t="str">
        <f t="shared" si="6"/>
        <v>rtdc.l.rtdc.4013:itc</v>
      </c>
      <c r="G205" s="8">
        <f t="shared" si="7"/>
        <v>42679.993391203701</v>
      </c>
    </row>
    <row r="206" spans="1:7" x14ac:dyDescent="0.25">
      <c r="A206" s="8">
        <v>42680.000023148146</v>
      </c>
      <c r="B206" s="21" t="s">
        <v>328</v>
      </c>
      <c r="C206" s="21" t="s">
        <v>622</v>
      </c>
      <c r="D206" s="21">
        <v>1800000</v>
      </c>
      <c r="E206" s="21" t="s">
        <v>262</v>
      </c>
      <c r="F206" s="21" t="str">
        <f t="shared" si="6"/>
        <v>rtdc.l.rtdc.4053:itc</v>
      </c>
      <c r="G206" s="8">
        <f t="shared" si="7"/>
        <v>42680.000023148146</v>
      </c>
    </row>
    <row r="207" spans="1:7" x14ac:dyDescent="0.25">
      <c r="A207" s="8">
        <v>42680.015115740738</v>
      </c>
      <c r="B207" s="21" t="s">
        <v>329</v>
      </c>
      <c r="C207" s="21" t="s">
        <v>623</v>
      </c>
      <c r="D207" s="21">
        <v>1810000</v>
      </c>
      <c r="E207" s="21" t="s">
        <v>587</v>
      </c>
      <c r="F207" s="21" t="str">
        <f t="shared" si="6"/>
        <v>rtdc.l.rtdc.4026:itc</v>
      </c>
      <c r="G207" s="8">
        <f t="shared" si="7"/>
        <v>42680.015115740738</v>
      </c>
    </row>
    <row r="208" spans="1:7" x14ac:dyDescent="0.25">
      <c r="A208" s="8">
        <v>42680.017280092594</v>
      </c>
      <c r="B208" s="21" t="s">
        <v>356</v>
      </c>
      <c r="C208" s="21" t="s">
        <v>624</v>
      </c>
      <c r="D208" s="21">
        <v>2000000</v>
      </c>
      <c r="E208" s="21" t="s">
        <v>291</v>
      </c>
      <c r="F208" s="21" t="str">
        <f t="shared" si="6"/>
        <v>rtdc.l.rtdc.4016:itc</v>
      </c>
      <c r="G208" s="8">
        <f t="shared" si="7"/>
        <v>42680.017280092594</v>
      </c>
    </row>
    <row r="209" spans="1:7" x14ac:dyDescent="0.25">
      <c r="A209" s="8">
        <v>42680.035254629627</v>
      </c>
      <c r="B209" s="21" t="s">
        <v>325</v>
      </c>
      <c r="C209" s="21" t="s">
        <v>625</v>
      </c>
      <c r="D209" s="21">
        <v>1800000</v>
      </c>
      <c r="E209" s="21" t="s">
        <v>262</v>
      </c>
      <c r="F209" s="21" t="str">
        <f t="shared" si="6"/>
        <v>rtdc.l.rtdc.4054:itc</v>
      </c>
      <c r="G209" s="8">
        <f t="shared" si="7"/>
        <v>42680.035254629627</v>
      </c>
    </row>
    <row r="210" spans="1:7" x14ac:dyDescent="0.25">
      <c r="A210" s="8">
        <v>42680.038900462961</v>
      </c>
      <c r="B210" s="21" t="s">
        <v>249</v>
      </c>
      <c r="C210" s="21" t="s">
        <v>626</v>
      </c>
      <c r="D210" s="21">
        <v>1300000</v>
      </c>
      <c r="E210" s="21" t="s">
        <v>113</v>
      </c>
      <c r="F210" s="21" t="str">
        <f t="shared" si="6"/>
        <v>rtdc.l.rtdc.4014:itc</v>
      </c>
      <c r="G210" s="8">
        <f t="shared" si="7"/>
        <v>42680.038900462961</v>
      </c>
    </row>
    <row r="211" spans="1:7" x14ac:dyDescent="0.25">
      <c r="A211" s="8">
        <v>42680.050659722219</v>
      </c>
      <c r="B211" s="21" t="s">
        <v>323</v>
      </c>
      <c r="C211" s="21" t="s">
        <v>627</v>
      </c>
      <c r="D211" s="21">
        <v>2230000</v>
      </c>
      <c r="E211" s="21" t="s">
        <v>628</v>
      </c>
      <c r="F211" s="21" t="str">
        <f t="shared" si="6"/>
        <v>rtdc.l.rtdc.4025:itc</v>
      </c>
      <c r="G211" s="8">
        <f t="shared" si="7"/>
        <v>42680.050659722219</v>
      </c>
    </row>
    <row r="212" spans="1:7" x14ac:dyDescent="0.25">
      <c r="A212" s="8">
        <v>42680.053796296299</v>
      </c>
      <c r="B212" s="21" t="s">
        <v>352</v>
      </c>
      <c r="C212" s="21" t="s">
        <v>629</v>
      </c>
      <c r="D212" s="21">
        <v>2000000</v>
      </c>
      <c r="E212" s="21" t="s">
        <v>291</v>
      </c>
      <c r="F212" s="21" t="str">
        <f t="shared" si="6"/>
        <v>rtdc.l.rtdc.4015:itc</v>
      </c>
      <c r="G212" s="8">
        <f t="shared" si="7"/>
        <v>42680.053796296299</v>
      </c>
    </row>
    <row r="213" spans="1:7" x14ac:dyDescent="0.25">
      <c r="A213" s="8">
        <v>42680.076643518521</v>
      </c>
      <c r="B213" s="21" t="s">
        <v>248</v>
      </c>
      <c r="C213" s="21" t="s">
        <v>630</v>
      </c>
      <c r="D213" s="21">
        <v>1300000</v>
      </c>
      <c r="E213" s="21" t="s">
        <v>113</v>
      </c>
      <c r="F213" s="21" t="str">
        <f t="shared" si="6"/>
        <v>rtdc.l.rtdc.4013:itc</v>
      </c>
      <c r="G213" s="8">
        <f t="shared" si="7"/>
        <v>42680.076643518521</v>
      </c>
    </row>
    <row r="214" spans="1:7" x14ac:dyDescent="0.25">
      <c r="A214" s="8">
        <v>42680.080740740741</v>
      </c>
      <c r="B214" s="21" t="s">
        <v>328</v>
      </c>
      <c r="C214" s="21" t="s">
        <v>631</v>
      </c>
      <c r="D214" s="21">
        <v>2260000</v>
      </c>
      <c r="E214" s="21" t="s">
        <v>632</v>
      </c>
      <c r="F214" s="21" t="str">
        <f t="shared" si="6"/>
        <v>rtdc.l.rtdc.4053:itc</v>
      </c>
      <c r="G214" s="8">
        <f t="shared" si="7"/>
        <v>42680.080740740741</v>
      </c>
    </row>
    <row r="215" spans="1:7" x14ac:dyDescent="0.25">
      <c r="A215" s="8">
        <v>42680.045937499999</v>
      </c>
      <c r="B215" s="21" t="s">
        <v>356</v>
      </c>
      <c r="C215" s="21" t="s">
        <v>633</v>
      </c>
      <c r="D215" s="21">
        <v>2000000</v>
      </c>
      <c r="E215" s="21" t="s">
        <v>291</v>
      </c>
      <c r="F215" s="21" t="str">
        <f t="shared" si="6"/>
        <v>rtdc.l.rtdc.4016:itc</v>
      </c>
      <c r="G215" s="8">
        <f t="shared" si="7"/>
        <v>42680.045937499999</v>
      </c>
    </row>
    <row r="216" spans="1:7" x14ac:dyDescent="0.25">
      <c r="A216" s="8">
        <v>42680.050613425927</v>
      </c>
      <c r="B216" s="21" t="s">
        <v>329</v>
      </c>
      <c r="C216" s="21" t="s">
        <v>634</v>
      </c>
      <c r="D216" s="21">
        <v>2230000</v>
      </c>
      <c r="E216" s="21" t="s">
        <v>628</v>
      </c>
      <c r="F216" s="21" t="str">
        <f t="shared" si="6"/>
        <v>rtdc.l.rtdc.4026:itc</v>
      </c>
      <c r="G216" s="8">
        <f t="shared" si="7"/>
        <v>42680.050613425927</v>
      </c>
    </row>
    <row r="217" spans="1:7" x14ac:dyDescent="0.25">
      <c r="A217" s="8">
        <v>42677.909641203703</v>
      </c>
      <c r="B217" s="21" t="s">
        <v>275</v>
      </c>
      <c r="C217" s="21" t="s">
        <v>359</v>
      </c>
      <c r="D217" s="21">
        <v>2430000</v>
      </c>
      <c r="E217" s="21" t="s">
        <v>278</v>
      </c>
      <c r="F217" s="21" t="str">
        <f t="shared" si="6"/>
        <v>rtdc.l.rtdc.4032:itc</v>
      </c>
      <c r="G217" s="8">
        <f t="shared" si="7"/>
        <v>42677.909641203703</v>
      </c>
    </row>
    <row r="218" spans="1:7" x14ac:dyDescent="0.25">
      <c r="A218" s="8">
        <v>42677.911215277774</v>
      </c>
      <c r="B218" s="21" t="s">
        <v>235</v>
      </c>
      <c r="C218" s="21" t="s">
        <v>360</v>
      </c>
      <c r="D218" s="21">
        <v>110000</v>
      </c>
      <c r="E218" s="21" t="s">
        <v>361</v>
      </c>
      <c r="F218" s="21" t="str">
        <f t="shared" si="6"/>
        <v>rtdc.l.rtdc.4002:itc</v>
      </c>
      <c r="G218" s="8">
        <f t="shared" si="7"/>
        <v>42677.911215277774</v>
      </c>
    </row>
    <row r="219" spans="1:7" x14ac:dyDescent="0.25">
      <c r="A219" s="8">
        <v>42677.913842592592</v>
      </c>
      <c r="B219" s="21" t="s">
        <v>356</v>
      </c>
      <c r="C219" s="21" t="s">
        <v>362</v>
      </c>
      <c r="D219" s="21">
        <v>1300000</v>
      </c>
      <c r="E219" s="21" t="s">
        <v>113</v>
      </c>
      <c r="F219" s="21" t="str">
        <f t="shared" si="6"/>
        <v>rtdc.l.rtdc.4016:itc</v>
      </c>
      <c r="G219" s="8">
        <f t="shared" si="7"/>
        <v>42677.913842592592</v>
      </c>
    </row>
    <row r="220" spans="1:7" x14ac:dyDescent="0.25">
      <c r="A220" s="8">
        <v>42677.914942129632</v>
      </c>
      <c r="B220" s="21" t="s">
        <v>328</v>
      </c>
      <c r="C220" s="21" t="s">
        <v>353</v>
      </c>
      <c r="D220" s="21">
        <v>2610000</v>
      </c>
      <c r="E220" s="21" t="s">
        <v>333</v>
      </c>
      <c r="F220" s="21" t="str">
        <f t="shared" si="6"/>
        <v>rtdc.l.rtdc.4053:itc</v>
      </c>
      <c r="G220" s="8">
        <f t="shared" si="7"/>
        <v>42677.914942129632</v>
      </c>
    </row>
    <row r="221" spans="1:7" x14ac:dyDescent="0.25">
      <c r="A221" s="8">
        <v>42677.923576388886</v>
      </c>
      <c r="B221" s="21" t="s">
        <v>248</v>
      </c>
      <c r="C221" s="21" t="s">
        <v>363</v>
      </c>
      <c r="D221" s="21">
        <v>2250000</v>
      </c>
      <c r="E221" s="21" t="s">
        <v>267</v>
      </c>
      <c r="F221" s="21" t="str">
        <f t="shared" si="6"/>
        <v>rtdc.l.rtdc.4013:itc</v>
      </c>
      <c r="G221" s="8">
        <f t="shared" si="7"/>
        <v>42677.923576388886</v>
      </c>
    </row>
    <row r="222" spans="1:7" x14ac:dyDescent="0.25">
      <c r="A222" s="8">
        <v>42677.924525462964</v>
      </c>
      <c r="B222" s="21" t="s">
        <v>323</v>
      </c>
      <c r="C222" s="21" t="s">
        <v>364</v>
      </c>
      <c r="D222" s="21">
        <v>2000000</v>
      </c>
      <c r="E222" s="21" t="s">
        <v>291</v>
      </c>
      <c r="F222" s="21" t="str">
        <f t="shared" si="6"/>
        <v>rtdc.l.rtdc.4025:itc</v>
      </c>
      <c r="G222" s="8">
        <f t="shared" si="7"/>
        <v>42677.924525462964</v>
      </c>
    </row>
    <row r="223" spans="1:7" x14ac:dyDescent="0.25">
      <c r="A223" s="8">
        <v>42677.944212962961</v>
      </c>
      <c r="B223" s="21" t="s">
        <v>325</v>
      </c>
      <c r="C223" s="21" t="s">
        <v>354</v>
      </c>
      <c r="D223" s="21">
        <v>2610000</v>
      </c>
      <c r="E223" s="21" t="s">
        <v>333</v>
      </c>
      <c r="F223" s="21" t="str">
        <f t="shared" si="6"/>
        <v>rtdc.l.rtdc.4054:itc</v>
      </c>
      <c r="G223" s="8">
        <f t="shared" si="7"/>
        <v>42677.944212962961</v>
      </c>
    </row>
    <row r="224" spans="1:7" x14ac:dyDescent="0.25">
      <c r="A224" s="8">
        <v>42677.95239583333</v>
      </c>
      <c r="B224" t="s">
        <v>321</v>
      </c>
      <c r="C224" t="s">
        <v>365</v>
      </c>
      <c r="D224">
        <v>2430000</v>
      </c>
      <c r="E224" t="s">
        <v>278</v>
      </c>
      <c r="F224" s="21" t="str">
        <f t="shared" si="6"/>
        <v>rtdc.l.rtdc.4031:itc</v>
      </c>
      <c r="G224" s="8">
        <f t="shared" si="7"/>
        <v>42677.95239583333</v>
      </c>
    </row>
    <row r="225" spans="1:7" x14ac:dyDescent="0.25">
      <c r="A225" s="8">
        <v>42677.952743055554</v>
      </c>
      <c r="B225" t="s">
        <v>352</v>
      </c>
      <c r="C225" t="s">
        <v>366</v>
      </c>
      <c r="D225">
        <v>1300000</v>
      </c>
      <c r="E225" t="s">
        <v>113</v>
      </c>
      <c r="F225" s="21" t="str">
        <f t="shared" si="6"/>
        <v>rtdc.l.rtdc.4015:itc</v>
      </c>
      <c r="G225" s="8">
        <f t="shared" si="7"/>
        <v>42677.952743055554</v>
      </c>
    </row>
    <row r="226" spans="1:7" x14ac:dyDescent="0.25">
      <c r="A226" s="8">
        <v>42677.966261574074</v>
      </c>
      <c r="B226" t="s">
        <v>329</v>
      </c>
      <c r="C226" t="s">
        <v>355</v>
      </c>
      <c r="D226">
        <v>2000000</v>
      </c>
      <c r="E226" t="s">
        <v>291</v>
      </c>
      <c r="F226" s="21" t="str">
        <f t="shared" si="6"/>
        <v>rtdc.l.rtdc.4026:itc</v>
      </c>
      <c r="G226" s="8">
        <f t="shared" si="7"/>
        <v>42677.966261574074</v>
      </c>
    </row>
    <row r="227" spans="1:7" x14ac:dyDescent="0.25">
      <c r="A227" s="8">
        <v>42677.973078703704</v>
      </c>
      <c r="B227" t="s">
        <v>249</v>
      </c>
      <c r="C227" t="s">
        <v>367</v>
      </c>
      <c r="D227">
        <v>2250000</v>
      </c>
      <c r="E227" t="s">
        <v>267</v>
      </c>
      <c r="F227" s="21" t="str">
        <f t="shared" si="6"/>
        <v>rtdc.l.rtdc.4014:itc</v>
      </c>
      <c r="G227" s="8">
        <f t="shared" si="7"/>
        <v>42677.973078703704</v>
      </c>
    </row>
    <row r="228" spans="1:7" x14ac:dyDescent="0.25">
      <c r="A228" s="8">
        <v>42677.992789351854</v>
      </c>
      <c r="B228" t="s">
        <v>275</v>
      </c>
      <c r="C228" t="s">
        <v>368</v>
      </c>
      <c r="D228">
        <v>2430000</v>
      </c>
      <c r="E228" t="s">
        <v>278</v>
      </c>
      <c r="F228" s="21" t="str">
        <f t="shared" si="6"/>
        <v>rtdc.l.rtdc.4032:itc</v>
      </c>
      <c r="G228" s="8">
        <f t="shared" si="7"/>
        <v>42677.992789351854</v>
      </c>
    </row>
    <row r="229" spans="1:7" x14ac:dyDescent="0.25">
      <c r="A229" s="8">
        <v>42677.99659722222</v>
      </c>
      <c r="B229" t="s">
        <v>356</v>
      </c>
      <c r="C229" t="s">
        <v>357</v>
      </c>
      <c r="D229">
        <v>1300000</v>
      </c>
      <c r="E229" t="s">
        <v>113</v>
      </c>
      <c r="F229" s="21" t="str">
        <f t="shared" si="6"/>
        <v>rtdc.l.rtdc.4016:itc</v>
      </c>
      <c r="G229" s="8">
        <f t="shared" si="7"/>
        <v>42677.99659722222</v>
      </c>
    </row>
    <row r="230" spans="1:7" x14ac:dyDescent="0.25">
      <c r="A230" s="8">
        <v>42678.008750000001</v>
      </c>
      <c r="B230" t="s">
        <v>323</v>
      </c>
      <c r="C230" t="s">
        <v>369</v>
      </c>
      <c r="D230">
        <v>2000000</v>
      </c>
      <c r="E230" t="s">
        <v>291</v>
      </c>
      <c r="F230" s="21" t="str">
        <f t="shared" si="6"/>
        <v>rtdc.l.rtdc.4025:itc</v>
      </c>
      <c r="G230" s="8">
        <f t="shared" si="7"/>
        <v>42678.008750000001</v>
      </c>
    </row>
    <row r="231" spans="1:7" x14ac:dyDescent="0.25">
      <c r="A231" s="8">
        <v>42678.015081018515</v>
      </c>
      <c r="B231" t="s">
        <v>248</v>
      </c>
      <c r="C231" t="s">
        <v>370</v>
      </c>
      <c r="D231">
        <v>2250000</v>
      </c>
      <c r="E231" t="s">
        <v>267</v>
      </c>
      <c r="F231" s="21" t="str">
        <f t="shared" si="6"/>
        <v>rtdc.l.rtdc.4013:itc</v>
      </c>
      <c r="G231" s="8">
        <f t="shared" si="7"/>
        <v>42678.015081018515</v>
      </c>
    </row>
    <row r="232" spans="1:7" x14ac:dyDescent="0.25">
      <c r="A232" s="8">
        <v>42678.028634259259</v>
      </c>
      <c r="B232" t="s">
        <v>321</v>
      </c>
      <c r="C232" t="s">
        <v>371</v>
      </c>
      <c r="D232">
        <v>2430000</v>
      </c>
      <c r="E232" t="s">
        <v>278</v>
      </c>
      <c r="F232" s="21" t="str">
        <f t="shared" si="6"/>
        <v>rtdc.l.rtdc.4031:itc</v>
      </c>
      <c r="G232" s="8">
        <f t="shared" si="7"/>
        <v>42678.028634259259</v>
      </c>
    </row>
    <row r="233" spans="1:7" x14ac:dyDescent="0.25">
      <c r="A233" s="8">
        <v>42678.030243055553</v>
      </c>
      <c r="B233" t="s">
        <v>321</v>
      </c>
      <c r="C233" t="s">
        <v>371</v>
      </c>
      <c r="D233">
        <v>2430000</v>
      </c>
      <c r="E233" t="s">
        <v>278</v>
      </c>
      <c r="F233" s="21" t="str">
        <f t="shared" si="6"/>
        <v>rtdc.l.rtdc.4031:itc</v>
      </c>
      <c r="G233" s="8">
        <f t="shared" si="7"/>
        <v>42678.030243055553</v>
      </c>
    </row>
    <row r="234" spans="1:7" x14ac:dyDescent="0.25">
      <c r="A234" s="8">
        <v>42678.034791666665</v>
      </c>
      <c r="B234" t="s">
        <v>352</v>
      </c>
      <c r="C234" t="s">
        <v>372</v>
      </c>
      <c r="D234">
        <v>1300000</v>
      </c>
      <c r="E234" t="s">
        <v>113</v>
      </c>
      <c r="F234" s="21" t="str">
        <f t="shared" si="6"/>
        <v>rtdc.l.rtdc.4015:itc</v>
      </c>
      <c r="G234" s="8">
        <f t="shared" si="7"/>
        <v>42678.034791666665</v>
      </c>
    </row>
    <row r="235" spans="1:7" x14ac:dyDescent="0.25">
      <c r="A235" s="8">
        <v>42678.047881944447</v>
      </c>
      <c r="B235" t="s">
        <v>249</v>
      </c>
      <c r="C235" t="s">
        <v>373</v>
      </c>
      <c r="D235">
        <v>2250000</v>
      </c>
      <c r="E235" t="s">
        <v>267</v>
      </c>
      <c r="F235" s="21" t="str">
        <f t="shared" si="6"/>
        <v>rtdc.l.rtdc.4014:itc</v>
      </c>
      <c r="G235" s="8">
        <f t="shared" si="7"/>
        <v>42678.047881944447</v>
      </c>
    </row>
    <row r="236" spans="1:7" x14ac:dyDescent="0.25">
      <c r="A236" s="8">
        <v>42678.048449074071</v>
      </c>
      <c r="B236" t="s">
        <v>249</v>
      </c>
      <c r="C236" t="s">
        <v>373</v>
      </c>
      <c r="D236">
        <v>2250000</v>
      </c>
      <c r="E236" t="s">
        <v>267</v>
      </c>
      <c r="F236" s="21" t="str">
        <f t="shared" ref="F236:F265" si="8">B236</f>
        <v>rtdc.l.rtdc.4014:itc</v>
      </c>
      <c r="G236" s="8">
        <f t="shared" ref="G236:G265" si="9">A236</f>
        <v>42678.048449074071</v>
      </c>
    </row>
    <row r="237" spans="1:7" x14ac:dyDescent="0.25">
      <c r="A237" s="8">
        <v>42678.049733796295</v>
      </c>
      <c r="B237" t="s">
        <v>249</v>
      </c>
      <c r="C237" t="s">
        <v>373</v>
      </c>
      <c r="D237">
        <v>2250000</v>
      </c>
      <c r="E237" t="s">
        <v>267</v>
      </c>
      <c r="F237" s="21" t="str">
        <f t="shared" si="8"/>
        <v>rtdc.l.rtdc.4014:itc</v>
      </c>
      <c r="G237" s="8">
        <f t="shared" si="9"/>
        <v>42678.049733796295</v>
      </c>
    </row>
    <row r="238" spans="1:7" x14ac:dyDescent="0.25">
      <c r="A238" s="8">
        <v>42678.055555555555</v>
      </c>
      <c r="B238" t="s">
        <v>329</v>
      </c>
      <c r="C238" t="s">
        <v>374</v>
      </c>
      <c r="D238">
        <v>2000000</v>
      </c>
      <c r="E238" t="s">
        <v>291</v>
      </c>
      <c r="F238" s="21" t="str">
        <f t="shared" si="8"/>
        <v>rtdc.l.rtdc.4026:itc</v>
      </c>
      <c r="G238" s="8">
        <f t="shared" si="9"/>
        <v>42678.055555555555</v>
      </c>
    </row>
    <row r="239" spans="1:7" x14ac:dyDescent="0.25">
      <c r="A239" s="8">
        <v>42678.066863425927</v>
      </c>
      <c r="B239" t="s">
        <v>356</v>
      </c>
      <c r="C239" t="s">
        <v>375</v>
      </c>
      <c r="D239">
        <v>1300000</v>
      </c>
      <c r="E239" t="s">
        <v>113</v>
      </c>
      <c r="F239" s="21" t="str">
        <f t="shared" si="8"/>
        <v>rtdc.l.rtdc.4016:itc</v>
      </c>
      <c r="G239" s="8">
        <f t="shared" si="9"/>
        <v>42678.066863425927</v>
      </c>
    </row>
    <row r="240" spans="1:7" x14ac:dyDescent="0.25">
      <c r="A240" s="8">
        <v>42678.087708333333</v>
      </c>
      <c r="B240" t="s">
        <v>323</v>
      </c>
      <c r="C240" t="s">
        <v>376</v>
      </c>
      <c r="D240">
        <v>2000000</v>
      </c>
      <c r="E240" t="s">
        <v>291</v>
      </c>
      <c r="F240" s="21" t="str">
        <f t="shared" si="8"/>
        <v>rtdc.l.rtdc.4025:itc</v>
      </c>
      <c r="G240" s="8">
        <f t="shared" si="9"/>
        <v>42678.087708333333</v>
      </c>
    </row>
    <row r="241" spans="1:7" x14ac:dyDescent="0.25">
      <c r="A241" s="8">
        <v>42677.05505787037</v>
      </c>
      <c r="B241" t="s">
        <v>288</v>
      </c>
      <c r="C241" t="s">
        <v>326</v>
      </c>
      <c r="D241">
        <v>2250000</v>
      </c>
      <c r="E241" t="s">
        <v>267</v>
      </c>
      <c r="F241" s="21" t="str">
        <f t="shared" si="8"/>
        <v>rtdc.l.rtdc.4008:itc</v>
      </c>
      <c r="G241" s="8">
        <f t="shared" si="9"/>
        <v>42677.05505787037</v>
      </c>
    </row>
    <row r="242" spans="1:7" x14ac:dyDescent="0.25">
      <c r="A242" s="8">
        <v>42677.066481481481</v>
      </c>
      <c r="B242" t="s">
        <v>244</v>
      </c>
      <c r="C242" t="s">
        <v>334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191</v>
      </c>
      <c r="C243" t="s">
        <v>335</v>
      </c>
      <c r="D243">
        <v>2250000</v>
      </c>
      <c r="E243" t="s">
        <v>267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234</v>
      </c>
      <c r="C244" t="s">
        <v>293</v>
      </c>
      <c r="D244">
        <v>2430000</v>
      </c>
      <c r="E244" t="s">
        <v>278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268</v>
      </c>
      <c r="C245" t="s">
        <v>292</v>
      </c>
      <c r="D245">
        <v>2000000</v>
      </c>
      <c r="E245" t="s">
        <v>291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225</v>
      </c>
      <c r="C246" t="s">
        <v>294</v>
      </c>
      <c r="D246">
        <v>2250000</v>
      </c>
      <c r="E246" t="s">
        <v>267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243</v>
      </c>
      <c r="C247" t="s">
        <v>295</v>
      </c>
      <c r="D247">
        <v>1800000</v>
      </c>
      <c r="E247" t="s">
        <v>262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277</v>
      </c>
      <c r="C248" t="s">
        <v>296</v>
      </c>
      <c r="D248">
        <v>2000000</v>
      </c>
      <c r="E248" t="s">
        <v>291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287</v>
      </c>
      <c r="C249" t="s">
        <v>297</v>
      </c>
      <c r="D249">
        <v>2480000</v>
      </c>
      <c r="E249" t="s">
        <v>279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250</v>
      </c>
      <c r="C250" t="s">
        <v>298</v>
      </c>
      <c r="D250">
        <v>2430000</v>
      </c>
      <c r="E250" t="s">
        <v>278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224</v>
      </c>
      <c r="C251" t="s">
        <v>299</v>
      </c>
      <c r="D251">
        <v>2250000</v>
      </c>
      <c r="E251" t="s">
        <v>267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274</v>
      </c>
      <c r="C252" t="s">
        <v>300</v>
      </c>
      <c r="D252">
        <v>1800000</v>
      </c>
      <c r="E252" t="s">
        <v>262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290</v>
      </c>
      <c r="C253" t="s">
        <v>301</v>
      </c>
      <c r="D253">
        <v>2480000</v>
      </c>
      <c r="E253" t="s">
        <v>279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234</v>
      </c>
      <c r="C254" t="s">
        <v>302</v>
      </c>
      <c r="D254">
        <v>2430000</v>
      </c>
      <c r="E254" t="s">
        <v>278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225</v>
      </c>
      <c r="C255" t="s">
        <v>303</v>
      </c>
      <c r="D255">
        <v>2250000</v>
      </c>
      <c r="E255" t="s">
        <v>267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243</v>
      </c>
      <c r="C256" t="s">
        <v>304</v>
      </c>
      <c r="D256">
        <v>1800000</v>
      </c>
      <c r="E256" t="s">
        <v>262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250</v>
      </c>
      <c r="C257" t="s">
        <v>305</v>
      </c>
      <c r="D257">
        <v>2430000</v>
      </c>
      <c r="E257" t="s">
        <v>278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287</v>
      </c>
      <c r="C258" t="s">
        <v>306</v>
      </c>
      <c r="D258">
        <v>2480000</v>
      </c>
      <c r="E258" t="s">
        <v>279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224</v>
      </c>
      <c r="C259" t="s">
        <v>289</v>
      </c>
      <c r="D259">
        <v>2250000</v>
      </c>
      <c r="E259" t="s">
        <v>267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274</v>
      </c>
      <c r="C260" t="s">
        <v>307</v>
      </c>
      <c r="D260">
        <v>1800000</v>
      </c>
      <c r="E260" t="s">
        <v>262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290</v>
      </c>
      <c r="C261" t="s">
        <v>308</v>
      </c>
      <c r="D261">
        <v>2480000</v>
      </c>
      <c r="E261" t="s">
        <v>279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243</v>
      </c>
      <c r="C262" t="s">
        <v>309</v>
      </c>
      <c r="D262">
        <v>1800000</v>
      </c>
      <c r="E262" t="s">
        <v>262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188</v>
      </c>
      <c r="C263" t="s">
        <v>193</v>
      </c>
      <c r="D263">
        <v>1480000</v>
      </c>
      <c r="E263" t="s">
        <v>186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190</v>
      </c>
      <c r="C264" t="s">
        <v>194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192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192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192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192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192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189</v>
      </c>
      <c r="C270" t="s">
        <v>195</v>
      </c>
      <c r="D270">
        <v>1480000</v>
      </c>
      <c r="E270" t="s">
        <v>186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192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192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192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635</v>
      </c>
      <c r="K1" s="178" t="s">
        <v>168</v>
      </c>
      <c r="L1" s="178" t="s">
        <v>166</v>
      </c>
      <c r="M1" s="178" t="s">
        <v>161</v>
      </c>
      <c r="N1" s="178" t="s">
        <v>171</v>
      </c>
      <c r="O1" s="178" t="s">
        <v>165</v>
      </c>
      <c r="P1" s="178" t="s">
        <v>172</v>
      </c>
      <c r="Q1" s="178" t="s">
        <v>169</v>
      </c>
    </row>
    <row r="2" spans="1:17" x14ac:dyDescent="0.25">
      <c r="A2" s="169">
        <v>48.53</v>
      </c>
      <c r="B2" s="169">
        <v>0.54</v>
      </c>
      <c r="C2" s="169">
        <v>30.16</v>
      </c>
      <c r="D2" s="8">
        <v>42679</v>
      </c>
      <c r="E2" s="169">
        <v>0.49</v>
      </c>
      <c r="F2" s="169" t="s">
        <v>251</v>
      </c>
      <c r="G2" s="169">
        <v>251.5</v>
      </c>
      <c r="H2" s="169">
        <v>0</v>
      </c>
      <c r="I2" s="169">
        <v>0</v>
      </c>
      <c r="J2" s="169"/>
      <c r="K2" s="169">
        <v>1022.08</v>
      </c>
      <c r="L2" s="169" t="s">
        <v>252</v>
      </c>
      <c r="M2" s="169">
        <v>48.53</v>
      </c>
      <c r="N2" s="169">
        <v>1478325600</v>
      </c>
      <c r="O2" s="169">
        <v>7.44</v>
      </c>
      <c r="P2" s="169">
        <v>232</v>
      </c>
      <c r="Q2" s="169">
        <v>2.89</v>
      </c>
    </row>
    <row r="3" spans="1:17" x14ac:dyDescent="0.25">
      <c r="A3" s="169">
        <v>46.22</v>
      </c>
      <c r="B3" s="169">
        <v>0.53</v>
      </c>
      <c r="C3" s="169">
        <v>29.26</v>
      </c>
      <c r="D3" s="8">
        <v>42679.041666666664</v>
      </c>
      <c r="E3" s="169">
        <v>0.51</v>
      </c>
      <c r="F3" s="169" t="s">
        <v>251</v>
      </c>
      <c r="G3" s="169">
        <v>251.64</v>
      </c>
      <c r="H3" s="169">
        <v>0</v>
      </c>
      <c r="I3" s="169">
        <v>0</v>
      </c>
      <c r="J3" s="169"/>
      <c r="K3" s="169">
        <v>1022.03</v>
      </c>
      <c r="L3" s="169" t="s">
        <v>252</v>
      </c>
      <c r="M3" s="169">
        <v>46.22</v>
      </c>
      <c r="N3" s="169">
        <v>1478329200</v>
      </c>
      <c r="O3" s="169">
        <v>7.95</v>
      </c>
      <c r="P3" s="169">
        <v>229</v>
      </c>
      <c r="Q3" s="169">
        <v>2.92</v>
      </c>
    </row>
    <row r="4" spans="1:17" x14ac:dyDescent="0.25">
      <c r="A4" s="169">
        <v>45.08</v>
      </c>
      <c r="B4" s="169">
        <v>0.54</v>
      </c>
      <c r="C4" s="169">
        <v>29.73</v>
      </c>
      <c r="D4" s="8">
        <v>42679.083333333336</v>
      </c>
      <c r="E4" s="169">
        <v>0.55000000000000004</v>
      </c>
      <c r="F4" s="169" t="s">
        <v>251</v>
      </c>
      <c r="G4" s="169">
        <v>251.77</v>
      </c>
      <c r="H4" s="169">
        <v>0</v>
      </c>
      <c r="I4" s="169">
        <v>0</v>
      </c>
      <c r="J4" s="169"/>
      <c r="K4" s="169">
        <v>1021.96</v>
      </c>
      <c r="L4" s="169" t="s">
        <v>252</v>
      </c>
      <c r="M4" s="169">
        <v>45.08</v>
      </c>
      <c r="N4" s="169">
        <v>1478332800</v>
      </c>
      <c r="O4" s="169">
        <v>7.57</v>
      </c>
      <c r="P4" s="169">
        <v>253</v>
      </c>
      <c r="Q4" s="169">
        <v>2.99</v>
      </c>
    </row>
    <row r="5" spans="1:17" x14ac:dyDescent="0.25">
      <c r="A5" s="169">
        <v>43.55</v>
      </c>
      <c r="B5" s="169">
        <v>0.57999999999999996</v>
      </c>
      <c r="C5" s="169">
        <v>29.77</v>
      </c>
      <c r="D5" s="8">
        <v>42679.125</v>
      </c>
      <c r="E5" s="169">
        <v>0.57999999999999996</v>
      </c>
      <c r="F5" s="169" t="s">
        <v>251</v>
      </c>
      <c r="G5" s="169">
        <v>251.9</v>
      </c>
      <c r="H5" s="169">
        <v>0</v>
      </c>
      <c r="I5" s="169">
        <v>0</v>
      </c>
      <c r="J5" s="169"/>
      <c r="K5" s="169">
        <v>1021.87</v>
      </c>
      <c r="L5" s="169" t="s">
        <v>252</v>
      </c>
      <c r="M5" s="169">
        <v>43.55</v>
      </c>
      <c r="N5" s="169">
        <v>1478336400</v>
      </c>
      <c r="O5" s="169">
        <v>6.95</v>
      </c>
      <c r="P5" s="169">
        <v>253</v>
      </c>
      <c r="Q5" s="169">
        <v>2.86</v>
      </c>
    </row>
    <row r="6" spans="1:17" x14ac:dyDescent="0.25">
      <c r="A6" s="169">
        <v>41.79</v>
      </c>
      <c r="B6" s="169">
        <v>0.57999999999999996</v>
      </c>
      <c r="C6" s="169">
        <v>28.17</v>
      </c>
      <c r="D6" s="8">
        <v>42679.166666666664</v>
      </c>
      <c r="E6" s="169">
        <v>0.57999999999999996</v>
      </c>
      <c r="F6" s="169" t="s">
        <v>251</v>
      </c>
      <c r="G6" s="169">
        <v>251.59</v>
      </c>
      <c r="H6" s="169">
        <v>0</v>
      </c>
      <c r="I6" s="169">
        <v>0</v>
      </c>
      <c r="J6" s="169"/>
      <c r="K6" s="169">
        <v>1021.76</v>
      </c>
      <c r="L6" s="169" t="s">
        <v>252</v>
      </c>
      <c r="M6" s="169">
        <v>41.79</v>
      </c>
      <c r="N6" s="169">
        <v>1478340000</v>
      </c>
      <c r="O6" s="169">
        <v>6.54</v>
      </c>
      <c r="P6" s="169">
        <v>256</v>
      </c>
      <c r="Q6" s="169">
        <v>2.64</v>
      </c>
    </row>
    <row r="7" spans="1:17" x14ac:dyDescent="0.25">
      <c r="A7" s="169">
        <v>41.06</v>
      </c>
      <c r="B7" s="169">
        <v>0.59</v>
      </c>
      <c r="C7" s="169">
        <v>29.01</v>
      </c>
      <c r="D7" s="8">
        <v>42679.208333333336</v>
      </c>
      <c r="E7" s="169">
        <v>0.62</v>
      </c>
      <c r="F7" s="169" t="s">
        <v>251</v>
      </c>
      <c r="G7" s="169">
        <v>251.08</v>
      </c>
      <c r="H7" s="169">
        <v>0</v>
      </c>
      <c r="I7" s="169">
        <v>0</v>
      </c>
      <c r="J7" s="169"/>
      <c r="K7" s="169">
        <v>1021.63</v>
      </c>
      <c r="L7" s="169" t="s">
        <v>252</v>
      </c>
      <c r="M7" s="169">
        <v>41.06</v>
      </c>
      <c r="N7" s="169">
        <v>1478343600</v>
      </c>
      <c r="O7" s="169">
        <v>6.9</v>
      </c>
      <c r="P7" s="169">
        <v>221</v>
      </c>
      <c r="Q7" s="169">
        <v>2.14</v>
      </c>
    </row>
    <row r="8" spans="1:17" x14ac:dyDescent="0.25">
      <c r="A8" s="169">
        <v>41.37</v>
      </c>
      <c r="B8" s="169">
        <v>0.61</v>
      </c>
      <c r="C8" s="169">
        <v>29</v>
      </c>
      <c r="D8" s="8">
        <v>42679.25</v>
      </c>
      <c r="E8" s="169">
        <v>0.61</v>
      </c>
      <c r="F8" s="169" t="s">
        <v>251</v>
      </c>
      <c r="G8" s="169">
        <v>250.62</v>
      </c>
      <c r="H8" s="169">
        <v>0</v>
      </c>
      <c r="I8" s="169">
        <v>0</v>
      </c>
      <c r="J8" s="169"/>
      <c r="K8" s="169">
        <v>1021.45</v>
      </c>
      <c r="L8" s="169" t="s">
        <v>636</v>
      </c>
      <c r="M8" s="169">
        <v>41.37</v>
      </c>
      <c r="N8" s="169">
        <v>1478347200</v>
      </c>
      <c r="O8" s="169">
        <v>7.14</v>
      </c>
      <c r="P8" s="169">
        <v>212</v>
      </c>
      <c r="Q8" s="169">
        <v>1.78</v>
      </c>
    </row>
    <row r="9" spans="1:17" x14ac:dyDescent="0.25">
      <c r="A9" s="169">
        <v>40.57</v>
      </c>
      <c r="B9" s="169">
        <v>0.63</v>
      </c>
      <c r="C9" s="169">
        <v>28.37</v>
      </c>
      <c r="D9" s="8">
        <v>42679.291666666664</v>
      </c>
      <c r="E9" s="169">
        <v>0.61</v>
      </c>
      <c r="F9" s="169" t="s">
        <v>251</v>
      </c>
      <c r="G9" s="169">
        <v>250.17</v>
      </c>
      <c r="H9" s="169">
        <v>0</v>
      </c>
      <c r="I9" s="169">
        <v>0</v>
      </c>
      <c r="J9" s="169"/>
      <c r="K9" s="169">
        <v>1021.25</v>
      </c>
      <c r="L9" s="169" t="s">
        <v>636</v>
      </c>
      <c r="M9" s="169">
        <v>40.57</v>
      </c>
      <c r="N9" s="169">
        <v>1478350800</v>
      </c>
      <c r="O9" s="169">
        <v>5.94</v>
      </c>
      <c r="P9" s="169">
        <v>230</v>
      </c>
      <c r="Q9" s="169">
        <v>2.5299999999999998</v>
      </c>
    </row>
    <row r="10" spans="1:17" x14ac:dyDescent="0.25">
      <c r="A10" s="169">
        <v>40.5</v>
      </c>
      <c r="B10" s="169">
        <v>0.6</v>
      </c>
      <c r="C10" s="169">
        <v>28.23</v>
      </c>
      <c r="D10" s="8">
        <v>42679.333333333336</v>
      </c>
      <c r="E10" s="169">
        <v>0.61</v>
      </c>
      <c r="F10" s="169" t="s">
        <v>253</v>
      </c>
      <c r="G10" s="169">
        <v>249.76</v>
      </c>
      <c r="H10" s="169">
        <v>0</v>
      </c>
      <c r="I10" s="169">
        <v>0</v>
      </c>
      <c r="J10" s="169"/>
      <c r="K10" s="169">
        <v>1020.99</v>
      </c>
      <c r="L10" s="169" t="s">
        <v>636</v>
      </c>
      <c r="M10" s="169">
        <v>40.5</v>
      </c>
      <c r="N10" s="169">
        <v>1478354400</v>
      </c>
      <c r="O10" s="169">
        <v>5.27</v>
      </c>
      <c r="P10" s="169">
        <v>208</v>
      </c>
      <c r="Q10" s="169">
        <v>1.23</v>
      </c>
    </row>
    <row r="11" spans="1:17" x14ac:dyDescent="0.25">
      <c r="A11" s="169">
        <v>43.7</v>
      </c>
      <c r="B11" s="169">
        <v>0.55000000000000004</v>
      </c>
      <c r="C11" s="169">
        <v>30.89</v>
      </c>
      <c r="D11" s="8">
        <v>42679.375</v>
      </c>
      <c r="E11" s="169">
        <v>0.6</v>
      </c>
      <c r="F11" s="169" t="s">
        <v>253</v>
      </c>
      <c r="G11" s="169">
        <v>249.74</v>
      </c>
      <c r="H11" s="169">
        <v>0</v>
      </c>
      <c r="I11" s="169">
        <v>0</v>
      </c>
      <c r="J11" s="169"/>
      <c r="K11" s="169">
        <v>1020.52</v>
      </c>
      <c r="L11" s="169" t="s">
        <v>252</v>
      </c>
      <c r="M11" s="169">
        <v>43.7</v>
      </c>
      <c r="N11" s="169">
        <v>1478358000</v>
      </c>
      <c r="O11" s="169">
        <v>5.03</v>
      </c>
      <c r="P11" s="169">
        <v>205</v>
      </c>
      <c r="Q11" s="169">
        <v>1.1599999999999999</v>
      </c>
    </row>
    <row r="12" spans="1:17" x14ac:dyDescent="0.25">
      <c r="A12" s="169">
        <v>49.49</v>
      </c>
      <c r="B12" s="169">
        <v>0.53</v>
      </c>
      <c r="C12" s="169">
        <v>33.74</v>
      </c>
      <c r="D12" s="8">
        <v>42679.416666666664</v>
      </c>
      <c r="E12" s="169">
        <v>0.54</v>
      </c>
      <c r="F12" s="169" t="s">
        <v>253</v>
      </c>
      <c r="G12" s="169">
        <v>250.39</v>
      </c>
      <c r="H12" s="169">
        <v>0</v>
      </c>
      <c r="I12" s="169">
        <v>0</v>
      </c>
      <c r="J12" s="169"/>
      <c r="K12" s="169">
        <v>1019.84</v>
      </c>
      <c r="L12" s="169" t="s">
        <v>252</v>
      </c>
      <c r="M12" s="169">
        <v>49.49</v>
      </c>
      <c r="N12" s="169">
        <v>1478361600</v>
      </c>
      <c r="O12" s="169">
        <v>4.8</v>
      </c>
      <c r="P12" s="169">
        <v>236</v>
      </c>
      <c r="Q12" s="169">
        <v>2.1</v>
      </c>
    </row>
    <row r="13" spans="1:17" x14ac:dyDescent="0.25">
      <c r="A13" s="169">
        <v>54.37</v>
      </c>
      <c r="B13" s="169">
        <v>0.56000000000000005</v>
      </c>
      <c r="C13" s="169">
        <v>35.590000000000003</v>
      </c>
      <c r="D13" s="8">
        <v>42679.458333333336</v>
      </c>
      <c r="E13" s="169">
        <v>0.49</v>
      </c>
      <c r="F13" s="169" t="s">
        <v>253</v>
      </c>
      <c r="G13" s="169">
        <v>251.42</v>
      </c>
      <c r="H13" s="169">
        <v>0</v>
      </c>
      <c r="I13" s="169">
        <v>0</v>
      </c>
      <c r="J13" s="169"/>
      <c r="K13" s="169">
        <v>1018.92</v>
      </c>
      <c r="L13" s="169" t="s">
        <v>252</v>
      </c>
      <c r="M13" s="169">
        <v>54.37</v>
      </c>
      <c r="N13" s="169">
        <v>1478365200</v>
      </c>
      <c r="O13" s="169">
        <v>4.7699999999999996</v>
      </c>
      <c r="P13" s="169">
        <v>214</v>
      </c>
      <c r="Q13" s="169">
        <v>1.56</v>
      </c>
    </row>
    <row r="14" spans="1:17" x14ac:dyDescent="0.25">
      <c r="A14" s="169">
        <v>58.61</v>
      </c>
      <c r="B14" s="169">
        <v>0.62</v>
      </c>
      <c r="C14" s="169">
        <v>33.44</v>
      </c>
      <c r="D14" s="8">
        <v>42679.5</v>
      </c>
      <c r="E14" s="169">
        <v>0.39</v>
      </c>
      <c r="F14" s="169" t="s">
        <v>253</v>
      </c>
      <c r="G14" s="169">
        <v>252.31</v>
      </c>
      <c r="H14" s="169">
        <v>4.8999999999999998E-3</v>
      </c>
      <c r="I14" s="169">
        <v>0.21</v>
      </c>
      <c r="J14" s="169" t="s">
        <v>637</v>
      </c>
      <c r="K14" s="169">
        <v>1017.95</v>
      </c>
      <c r="L14" s="169" t="s">
        <v>636</v>
      </c>
      <c r="M14" s="169">
        <v>58.61</v>
      </c>
      <c r="N14" s="169">
        <v>1478368800</v>
      </c>
      <c r="O14" s="169">
        <v>4.78</v>
      </c>
      <c r="P14" s="169">
        <v>195</v>
      </c>
      <c r="Q14" s="169">
        <v>1.37</v>
      </c>
    </row>
    <row r="15" spans="1:17" x14ac:dyDescent="0.25">
      <c r="A15" s="169">
        <v>61.97</v>
      </c>
      <c r="B15" s="169">
        <v>0.55000000000000004</v>
      </c>
      <c r="C15" s="169">
        <v>32.01</v>
      </c>
      <c r="D15" s="8">
        <v>42679.541666666664</v>
      </c>
      <c r="E15" s="169">
        <v>0.32</v>
      </c>
      <c r="F15" s="169" t="s">
        <v>253</v>
      </c>
      <c r="G15" s="169">
        <v>252.78</v>
      </c>
      <c r="H15" s="169">
        <v>3.3999999999999998E-3</v>
      </c>
      <c r="I15" s="169">
        <v>0.12</v>
      </c>
      <c r="J15" s="169" t="s">
        <v>637</v>
      </c>
      <c r="K15" s="169">
        <v>1016.77</v>
      </c>
      <c r="L15" s="169" t="s">
        <v>252</v>
      </c>
      <c r="M15" s="169">
        <v>61.97</v>
      </c>
      <c r="N15" s="169">
        <v>1478372400</v>
      </c>
      <c r="O15" s="169">
        <v>4.8</v>
      </c>
      <c r="P15" s="169">
        <v>212</v>
      </c>
      <c r="Q15" s="169">
        <v>1.57</v>
      </c>
    </row>
    <row r="16" spans="1:17" x14ac:dyDescent="0.25">
      <c r="A16" s="169">
        <v>64.569999999999993</v>
      </c>
      <c r="B16" s="169">
        <v>0.41</v>
      </c>
      <c r="C16" s="169">
        <v>33.68</v>
      </c>
      <c r="D16" s="8">
        <v>42679.583333333336</v>
      </c>
      <c r="E16" s="169">
        <v>0.32</v>
      </c>
      <c r="F16" s="169" t="s">
        <v>253</v>
      </c>
      <c r="G16" s="169">
        <v>253.1</v>
      </c>
      <c r="H16" s="169">
        <v>0</v>
      </c>
      <c r="I16" s="169">
        <v>0</v>
      </c>
      <c r="J16" s="169"/>
      <c r="K16" s="169">
        <v>1015.45</v>
      </c>
      <c r="L16" s="169" t="s">
        <v>252</v>
      </c>
      <c r="M16" s="169">
        <v>64.569999999999993</v>
      </c>
      <c r="N16" s="169">
        <v>1478376000</v>
      </c>
      <c r="O16" s="169">
        <v>4.79</v>
      </c>
      <c r="P16" s="169">
        <v>266</v>
      </c>
      <c r="Q16" s="169">
        <v>1.24</v>
      </c>
    </row>
    <row r="17" spans="1:17" x14ac:dyDescent="0.25">
      <c r="A17" s="169">
        <v>64.17</v>
      </c>
      <c r="B17" s="169">
        <v>0.3</v>
      </c>
      <c r="C17" s="169">
        <v>36.880000000000003</v>
      </c>
      <c r="D17" s="8">
        <v>42679.625</v>
      </c>
      <c r="E17" s="169">
        <v>0.36</v>
      </c>
      <c r="F17" s="169" t="s">
        <v>253</v>
      </c>
      <c r="G17" s="169">
        <v>253.61</v>
      </c>
      <c r="H17" s="169">
        <v>1.6000000000000001E-3</v>
      </c>
      <c r="I17" s="169">
        <v>0.03</v>
      </c>
      <c r="J17" s="169" t="s">
        <v>637</v>
      </c>
      <c r="K17" s="169">
        <v>1014.48</v>
      </c>
      <c r="L17" s="169" t="s">
        <v>252</v>
      </c>
      <c r="M17" s="169">
        <v>64.17</v>
      </c>
      <c r="N17" s="169">
        <v>1478379600</v>
      </c>
      <c r="O17" s="169">
        <v>4.8899999999999997</v>
      </c>
      <c r="P17" s="169">
        <v>265</v>
      </c>
      <c r="Q17" s="169">
        <v>0.83</v>
      </c>
    </row>
    <row r="18" spans="1:17" x14ac:dyDescent="0.25">
      <c r="A18" s="169">
        <v>64.81</v>
      </c>
      <c r="B18" s="169">
        <v>0.34</v>
      </c>
      <c r="C18" s="169">
        <v>38.44</v>
      </c>
      <c r="D18" s="8">
        <v>42679.666666666664</v>
      </c>
      <c r="E18" s="169">
        <v>0.38</v>
      </c>
      <c r="F18" s="169" t="s">
        <v>253</v>
      </c>
      <c r="G18" s="169">
        <v>254.57</v>
      </c>
      <c r="H18" s="169">
        <v>2.0999999999999999E-3</v>
      </c>
      <c r="I18" s="169">
        <v>0.06</v>
      </c>
      <c r="J18" s="169" t="s">
        <v>637</v>
      </c>
      <c r="K18" s="169">
        <v>1014.26</v>
      </c>
      <c r="L18" s="169" t="s">
        <v>252</v>
      </c>
      <c r="M18" s="169">
        <v>64.81</v>
      </c>
      <c r="N18" s="169">
        <v>1478383200</v>
      </c>
      <c r="O18" s="169">
        <v>4.87</v>
      </c>
      <c r="P18" s="169">
        <v>340</v>
      </c>
      <c r="Q18" s="169">
        <v>1.1299999999999999</v>
      </c>
    </row>
    <row r="19" spans="1:17" x14ac:dyDescent="0.25">
      <c r="A19" s="169">
        <v>63.85</v>
      </c>
      <c r="B19" s="169">
        <v>0.41</v>
      </c>
      <c r="C19" s="169">
        <v>37.43</v>
      </c>
      <c r="D19" s="8">
        <v>42679.708333333336</v>
      </c>
      <c r="E19" s="169">
        <v>0.38</v>
      </c>
      <c r="F19" s="169" t="s">
        <v>253</v>
      </c>
      <c r="G19" s="169">
        <v>255.71</v>
      </c>
      <c r="H19" s="169">
        <v>1.6999999999999999E-3</v>
      </c>
      <c r="I19" s="169">
        <v>0.04</v>
      </c>
      <c r="J19" s="169" t="s">
        <v>637</v>
      </c>
      <c r="K19" s="169">
        <v>1014.37</v>
      </c>
      <c r="L19" s="169" t="s">
        <v>252</v>
      </c>
      <c r="M19" s="169">
        <v>63.85</v>
      </c>
      <c r="N19" s="169">
        <v>1478386800</v>
      </c>
      <c r="O19" s="169">
        <v>5.03</v>
      </c>
      <c r="P19" s="169">
        <v>10</v>
      </c>
      <c r="Q19" s="169">
        <v>1.33</v>
      </c>
    </row>
    <row r="20" spans="1:17" x14ac:dyDescent="0.25">
      <c r="A20" s="169">
        <v>61.38</v>
      </c>
      <c r="B20" s="169">
        <v>0.4</v>
      </c>
      <c r="C20" s="169">
        <v>36.22</v>
      </c>
      <c r="D20" s="8">
        <v>42679.75</v>
      </c>
      <c r="E20" s="169">
        <v>0.39</v>
      </c>
      <c r="F20" s="169" t="s">
        <v>251</v>
      </c>
      <c r="G20" s="169">
        <v>256.60000000000002</v>
      </c>
      <c r="H20" s="169">
        <v>0</v>
      </c>
      <c r="I20" s="169">
        <v>0</v>
      </c>
      <c r="J20" s="169"/>
      <c r="K20" s="169">
        <v>1014.57</v>
      </c>
      <c r="L20" s="169" t="s">
        <v>252</v>
      </c>
      <c r="M20" s="169">
        <v>61.38</v>
      </c>
      <c r="N20" s="169">
        <v>1478390400</v>
      </c>
      <c r="O20" s="169">
        <v>5.35</v>
      </c>
      <c r="P20" s="169">
        <v>12</v>
      </c>
      <c r="Q20" s="169">
        <v>1.55</v>
      </c>
    </row>
    <row r="21" spans="1:17" x14ac:dyDescent="0.25">
      <c r="A21" s="169">
        <v>58.16</v>
      </c>
      <c r="B21" s="169">
        <v>0.38</v>
      </c>
      <c r="C21" s="169">
        <v>38.72</v>
      </c>
      <c r="D21" s="8">
        <v>42679.791666666664</v>
      </c>
      <c r="E21" s="169">
        <v>0.48</v>
      </c>
      <c r="F21" s="169" t="s">
        <v>251</v>
      </c>
      <c r="G21" s="169">
        <v>257.04000000000002</v>
      </c>
      <c r="H21" s="169">
        <v>0</v>
      </c>
      <c r="I21" s="169">
        <v>0</v>
      </c>
      <c r="J21" s="169"/>
      <c r="K21" s="169">
        <v>1014.78</v>
      </c>
      <c r="L21" s="169" t="s">
        <v>252</v>
      </c>
      <c r="M21" s="169">
        <v>58.16</v>
      </c>
      <c r="N21" s="169">
        <v>1478394000</v>
      </c>
      <c r="O21" s="169">
        <v>5.92</v>
      </c>
      <c r="P21" s="169">
        <v>330</v>
      </c>
      <c r="Q21" s="169">
        <v>1.46</v>
      </c>
    </row>
    <row r="22" spans="1:17" x14ac:dyDescent="0.25">
      <c r="A22" s="169">
        <v>55.24</v>
      </c>
      <c r="B22" s="169">
        <v>0.25</v>
      </c>
      <c r="C22" s="169">
        <v>38.06</v>
      </c>
      <c r="D22" s="8">
        <v>42679.833333333336</v>
      </c>
      <c r="E22" s="169">
        <v>0.52</v>
      </c>
      <c r="F22" s="169" t="s">
        <v>251</v>
      </c>
      <c r="G22" s="169">
        <v>257.20999999999998</v>
      </c>
      <c r="H22" s="169">
        <v>0</v>
      </c>
      <c r="I22" s="169">
        <v>0</v>
      </c>
      <c r="J22" s="169"/>
      <c r="K22" s="169">
        <v>1015.16</v>
      </c>
      <c r="L22" s="169" t="s">
        <v>252</v>
      </c>
      <c r="M22" s="169">
        <v>55.24</v>
      </c>
      <c r="N22" s="169">
        <v>1478397600</v>
      </c>
      <c r="O22" s="169">
        <v>6.83</v>
      </c>
      <c r="P22" s="169">
        <v>250</v>
      </c>
      <c r="Q22" s="169">
        <v>0.2</v>
      </c>
    </row>
    <row r="23" spans="1:17" x14ac:dyDescent="0.25">
      <c r="A23" s="169">
        <v>52.42</v>
      </c>
      <c r="B23" s="169">
        <v>0.13</v>
      </c>
      <c r="C23" s="169">
        <v>38.76</v>
      </c>
      <c r="D23" s="8">
        <v>42679.875</v>
      </c>
      <c r="E23" s="169">
        <v>0.6</v>
      </c>
      <c r="F23" s="169" t="s">
        <v>269</v>
      </c>
      <c r="G23" s="169">
        <v>257.31</v>
      </c>
      <c r="H23" s="169">
        <v>0</v>
      </c>
      <c r="I23" s="169">
        <v>0</v>
      </c>
      <c r="J23" s="169"/>
      <c r="K23" s="169">
        <v>1015.48</v>
      </c>
      <c r="L23" s="169" t="s">
        <v>270</v>
      </c>
      <c r="M23" s="169">
        <v>52.42</v>
      </c>
      <c r="N23" s="169">
        <v>1478401200</v>
      </c>
      <c r="O23" s="169">
        <v>7.47</v>
      </c>
      <c r="P23" s="169">
        <v>247</v>
      </c>
      <c r="Q23" s="169">
        <v>2.48</v>
      </c>
    </row>
    <row r="24" spans="1:17" x14ac:dyDescent="0.25">
      <c r="A24" s="169">
        <v>50.2</v>
      </c>
      <c r="B24" s="169">
        <v>0.12</v>
      </c>
      <c r="C24" s="169">
        <v>37.840000000000003</v>
      </c>
      <c r="D24" s="8">
        <v>42679.916666666664</v>
      </c>
      <c r="E24" s="169">
        <v>0.62</v>
      </c>
      <c r="F24" s="169" t="s">
        <v>269</v>
      </c>
      <c r="G24" s="169">
        <v>257.39999999999998</v>
      </c>
      <c r="H24" s="169">
        <v>0</v>
      </c>
      <c r="I24" s="169">
        <v>0</v>
      </c>
      <c r="J24" s="169"/>
      <c r="K24" s="169">
        <v>1015.58</v>
      </c>
      <c r="L24" s="169" t="s">
        <v>270</v>
      </c>
      <c r="M24" s="169">
        <v>50.2</v>
      </c>
      <c r="N24" s="169">
        <v>1478404800</v>
      </c>
      <c r="O24" s="169">
        <v>6.38</v>
      </c>
      <c r="P24" s="169">
        <v>230</v>
      </c>
      <c r="Q24" s="169">
        <v>2.08</v>
      </c>
    </row>
    <row r="25" spans="1:17" x14ac:dyDescent="0.25">
      <c r="A25" s="169">
        <v>47.64</v>
      </c>
      <c r="B25" s="169">
        <v>0.15</v>
      </c>
      <c r="C25" s="169">
        <v>36.89</v>
      </c>
      <c r="D25" s="8">
        <v>42679.958333333336</v>
      </c>
      <c r="E25" s="169">
        <v>0.66</v>
      </c>
      <c r="F25" s="169" t="s">
        <v>269</v>
      </c>
      <c r="G25" s="169">
        <v>257.42</v>
      </c>
      <c r="H25" s="169">
        <v>0</v>
      </c>
      <c r="I25" s="169">
        <v>0</v>
      </c>
      <c r="J25" s="169"/>
      <c r="K25" s="169">
        <v>1015.55</v>
      </c>
      <c r="L25" s="169" t="s">
        <v>270</v>
      </c>
      <c r="M25" s="169">
        <v>47.64</v>
      </c>
      <c r="N25" s="169">
        <v>1478408400</v>
      </c>
      <c r="O25" s="169">
        <v>6.46</v>
      </c>
      <c r="P25" s="169">
        <v>210</v>
      </c>
      <c r="Q25" s="169">
        <v>1.88</v>
      </c>
    </row>
    <row r="26" spans="1:17" x14ac:dyDescent="0.25">
      <c r="A26" s="169">
        <v>47.33</v>
      </c>
      <c r="B26" s="169">
        <v>0.18</v>
      </c>
      <c r="C26" s="169">
        <v>37.799999999999997</v>
      </c>
      <c r="D26" s="8">
        <v>42680</v>
      </c>
      <c r="E26" s="169">
        <v>0.68</v>
      </c>
      <c r="F26" s="169" t="s">
        <v>269</v>
      </c>
      <c r="G26" s="169">
        <v>257.26</v>
      </c>
      <c r="H26" s="169">
        <v>0</v>
      </c>
      <c r="I26" s="169">
        <v>0</v>
      </c>
      <c r="J26" s="169"/>
      <c r="K26" s="169">
        <v>1015.55</v>
      </c>
      <c r="L26" s="169" t="s">
        <v>270</v>
      </c>
      <c r="M26" s="169">
        <v>47.95</v>
      </c>
      <c r="N26" s="169">
        <v>1478412000</v>
      </c>
      <c r="O26" s="169">
        <v>6.9</v>
      </c>
      <c r="P26" s="169">
        <v>217</v>
      </c>
      <c r="Q26" s="169">
        <v>3.02</v>
      </c>
    </row>
    <row r="27" spans="1:17" x14ac:dyDescent="0.25">
      <c r="A27" s="169">
        <v>46.68</v>
      </c>
      <c r="B27" s="169">
        <v>0.34</v>
      </c>
      <c r="C27" s="169">
        <v>37.22</v>
      </c>
      <c r="D27" s="8">
        <v>42680.041666666664</v>
      </c>
      <c r="E27" s="169">
        <v>0.69</v>
      </c>
      <c r="F27" s="169" t="s">
        <v>251</v>
      </c>
      <c r="G27" s="169">
        <v>256.74</v>
      </c>
      <c r="H27" s="169">
        <v>0</v>
      </c>
      <c r="I27" s="169">
        <v>0</v>
      </c>
      <c r="J27" s="169"/>
      <c r="K27" s="169">
        <v>1015.73</v>
      </c>
      <c r="L27" s="169" t="s">
        <v>252</v>
      </c>
      <c r="M27" s="169">
        <v>46.68</v>
      </c>
      <c r="N27" s="169">
        <v>1478415600</v>
      </c>
      <c r="O27" s="169">
        <v>6.02</v>
      </c>
      <c r="P27" s="169">
        <v>242</v>
      </c>
      <c r="Q27" s="169">
        <v>2.7</v>
      </c>
    </row>
    <row r="28" spans="1:17" x14ac:dyDescent="0.25">
      <c r="A28" s="169">
        <v>44.97</v>
      </c>
      <c r="B28" s="169">
        <v>0.21</v>
      </c>
      <c r="C28" s="169">
        <v>36.44</v>
      </c>
      <c r="D28" s="8">
        <v>42680.041666666664</v>
      </c>
      <c r="E28" s="169">
        <v>0.72</v>
      </c>
      <c r="F28" s="169" t="s">
        <v>269</v>
      </c>
      <c r="G28" s="169">
        <v>256.23</v>
      </c>
      <c r="H28" s="169">
        <v>0</v>
      </c>
      <c r="I28" s="169">
        <v>0</v>
      </c>
      <c r="J28" s="169"/>
      <c r="K28" s="169">
        <v>1015.88</v>
      </c>
      <c r="L28" s="169" t="s">
        <v>270</v>
      </c>
      <c r="M28" s="169">
        <v>44.97</v>
      </c>
      <c r="N28" s="169">
        <v>1478419200</v>
      </c>
      <c r="O28" s="169">
        <v>9.51</v>
      </c>
      <c r="P28" s="169">
        <v>236</v>
      </c>
      <c r="Q28" s="169">
        <v>2.71</v>
      </c>
    </row>
    <row r="29" spans="1:17" x14ac:dyDescent="0.25">
      <c r="A29" s="169">
        <v>44.27</v>
      </c>
      <c r="B29" s="169">
        <v>0.23</v>
      </c>
      <c r="C29" s="169">
        <v>36.090000000000003</v>
      </c>
      <c r="D29" s="8">
        <v>42680.083333333336</v>
      </c>
      <c r="E29" s="169">
        <v>0.73</v>
      </c>
      <c r="F29" s="169" t="s">
        <v>269</v>
      </c>
      <c r="G29" s="169">
        <v>255.71</v>
      </c>
      <c r="H29" s="169">
        <v>0</v>
      </c>
      <c r="I29" s="169">
        <v>0</v>
      </c>
      <c r="J29" s="169"/>
      <c r="K29" s="169">
        <v>1016.02</v>
      </c>
      <c r="L29" s="169" t="s">
        <v>270</v>
      </c>
      <c r="M29" s="169">
        <v>44.27</v>
      </c>
      <c r="N29" s="169">
        <v>1478422800</v>
      </c>
      <c r="O29" s="169">
        <v>5.1100000000000003</v>
      </c>
      <c r="P29" s="169">
        <v>233</v>
      </c>
      <c r="Q29" s="169">
        <v>2.56</v>
      </c>
    </row>
    <row r="31" spans="1:17" x14ac:dyDescent="0.25">
      <c r="A31" s="136" t="s">
        <v>220</v>
      </c>
    </row>
    <row r="33" spans="1:1" x14ac:dyDescent="0.25">
      <c r="A33" s="136" t="s">
        <v>196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42679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222</v>
      </c>
      <c r="J17" s="33"/>
      <c r="K17" s="34"/>
      <c r="L17" s="34"/>
    </row>
    <row r="18" spans="3:13" x14ac:dyDescent="0.25">
      <c r="C18" t="s">
        <v>759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760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761</v>
      </c>
      <c r="J20" t="s">
        <v>87</v>
      </c>
      <c r="M20" s="68" t="s">
        <v>780</v>
      </c>
    </row>
    <row r="21" spans="3:13" x14ac:dyDescent="0.25">
      <c r="C21" t="s">
        <v>762</v>
      </c>
      <c r="J21" s="21" t="s">
        <v>90</v>
      </c>
      <c r="K21" s="21" t="s">
        <v>91</v>
      </c>
      <c r="M21" s="68" t="s">
        <v>187</v>
      </c>
    </row>
    <row r="22" spans="3:13" x14ac:dyDescent="0.25">
      <c r="C22" t="s">
        <v>763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764</v>
      </c>
      <c r="J23" s="29" t="s">
        <v>95</v>
      </c>
      <c r="K23" s="21"/>
      <c r="M23" s="69">
        <v>-6</v>
      </c>
    </row>
    <row r="24" spans="3:13" x14ac:dyDescent="0.25">
      <c r="C24" t="s">
        <v>765</v>
      </c>
      <c r="J24" s="21" t="s">
        <v>108</v>
      </c>
      <c r="K24" s="21"/>
      <c r="M24" s="68" t="s">
        <v>110</v>
      </c>
    </row>
    <row r="25" spans="3:13" x14ac:dyDescent="0.25">
      <c r="C25" t="s">
        <v>766</v>
      </c>
      <c r="J25" t="s">
        <v>151</v>
      </c>
      <c r="M25" s="68" t="b">
        <v>1</v>
      </c>
    </row>
    <row r="26" spans="3:13" x14ac:dyDescent="0.25">
      <c r="C26" t="s">
        <v>767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C:\Users\stu\Documents\GitHub\eaglep3-reporting\EC\2016-11-05-refined-times.txt</v>
      </c>
    </row>
    <row r="27" spans="3:13" x14ac:dyDescent="0.25">
      <c r="C27" t="s">
        <v>768</v>
      </c>
      <c r="J27" t="s">
        <v>197</v>
      </c>
      <c r="M27" s="68" t="str">
        <f>"C:\Users\stu\Documents\GitHub\eaglep3-reporting\EC\"&amp;TEXT(A2,"YYYY-MM-DD")&amp;"-Enforcements.txt"</f>
        <v>C:\Users\stu\Documents\GitHub\eaglep3-reporting\EC\2016-11-05-Enforcements.txt</v>
      </c>
    </row>
    <row r="28" spans="3:13" x14ac:dyDescent="0.25">
      <c r="J28" t="s">
        <v>198</v>
      </c>
      <c r="M28" s="106" t="str">
        <f>"C:\Users\stu\Documents\GitHub\eaglep3-reporting\EC\"&amp;TEXT(A2,"YYYY-MM-DD")&amp;"-Runs-Refined.txt"</f>
        <v>C:\Users\stu\Documents\GitHub\eaglep3-reporting\EC\2016-11-05-Runs-Refined.txt</v>
      </c>
    </row>
    <row r="29" spans="3:13" x14ac:dyDescent="0.25">
      <c r="J29" t="s">
        <v>199</v>
      </c>
      <c r="M29" s="106" t="str">
        <f>"C:\Users\stu\Documents\GitHub\eaglep3-reporting\EC\"&amp;TEXT(A2,"YYYY-MM-DD")&amp;"-Trips.txt"</f>
        <v>C:\Users\stu\Documents\GitHub\eaglep3-reporting\EC\2016-11-05-Trips.txt</v>
      </c>
    </row>
    <row r="30" spans="3:13" x14ac:dyDescent="0.25">
      <c r="J30" t="s">
        <v>200</v>
      </c>
      <c r="M30" s="106" t="str">
        <f>"C:\Users\stu\Documents\GitHub\eaglep3-reporting\EC\"&amp;TEXT(A2,"YYYY-MM-DD")&amp;"-Weather.txt"</f>
        <v>C:\Users\stu\Documents\GitHub\eaglep3-reporting\EC\2016-11-05-Weather.txt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286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2016-11-07T18:52:08Z</dcterms:modified>
</cp:coreProperties>
</file>