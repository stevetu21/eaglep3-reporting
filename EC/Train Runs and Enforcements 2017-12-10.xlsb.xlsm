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Runs'!$A$12:$AG$507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5" i="1" l="1"/>
  <c r="X196" i="1"/>
  <c r="X197" i="1"/>
  <c r="X198" i="1"/>
  <c r="X199" i="1"/>
  <c r="P198" i="1"/>
  <c r="K198" i="1"/>
  <c r="L198" i="1"/>
  <c r="M198" i="1"/>
  <c r="V198" i="1"/>
  <c r="AA198" i="1"/>
  <c r="AB198" i="1"/>
  <c r="AC198" i="1"/>
  <c r="AD198" i="1"/>
  <c r="T198" i="1" s="1"/>
  <c r="AE198" i="1"/>
  <c r="AF198" i="1"/>
  <c r="AH198" i="1"/>
  <c r="AM198" i="1"/>
  <c r="AN198" i="1"/>
  <c r="AO198" i="1"/>
  <c r="P196" i="1"/>
  <c r="X157" i="1"/>
  <c r="X158" i="1"/>
  <c r="X159" i="1"/>
  <c r="X160" i="1"/>
  <c r="X161" i="1"/>
  <c r="K158" i="1"/>
  <c r="L158" i="1"/>
  <c r="M158" i="1"/>
  <c r="N158" i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50" i="1"/>
  <c r="X151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P142" i="1"/>
  <c r="X127" i="1"/>
  <c r="X128" i="1"/>
  <c r="K126" i="1"/>
  <c r="L126" i="1"/>
  <c r="M126" i="1"/>
  <c r="N126" i="1"/>
  <c r="V126" i="1"/>
  <c r="AA126" i="1"/>
  <c r="AB126" i="1"/>
  <c r="AC126" i="1"/>
  <c r="AD126" i="1"/>
  <c r="T126" i="1" s="1"/>
  <c r="AE126" i="1"/>
  <c r="AF126" i="1"/>
  <c r="AH126" i="1"/>
  <c r="AM126" i="1"/>
  <c r="AN126" i="1"/>
  <c r="AO126" i="1"/>
  <c r="K125" i="1"/>
  <c r="L125" i="1"/>
  <c r="M125" i="1"/>
  <c r="N125" i="1"/>
  <c r="V125" i="1"/>
  <c r="AA125" i="1"/>
  <c r="AB125" i="1"/>
  <c r="AC125" i="1"/>
  <c r="AD125" i="1"/>
  <c r="T125" i="1" s="1"/>
  <c r="AE125" i="1"/>
  <c r="AF125" i="1"/>
  <c r="AH125" i="1"/>
  <c r="AM125" i="1"/>
  <c r="AN125" i="1"/>
  <c r="AO125" i="1"/>
  <c r="P123" i="1"/>
  <c r="X49" i="1"/>
  <c r="X50" i="1"/>
  <c r="P6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S14" i="3" s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AO20" i="1"/>
  <c r="K21" i="1"/>
  <c r="L21" i="1"/>
  <c r="M21" i="1"/>
  <c r="N21" i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X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AO34" i="1"/>
  <c r="K35" i="1"/>
  <c r="L35" i="1"/>
  <c r="M35" i="1"/>
  <c r="N35" i="1" s="1"/>
  <c r="V35" i="1"/>
  <c r="S19" i="3" s="1"/>
  <c r="Y35" i="1"/>
  <c r="Z35" i="1"/>
  <c r="AB35" i="1"/>
  <c r="AC35" i="1"/>
  <c r="AD35" i="1"/>
  <c r="AE35" i="1"/>
  <c r="R19" i="3" s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X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R18" i="3" s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P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17" i="3" s="1"/>
  <c r="Y51" i="1"/>
  <c r="AA51" i="1" s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X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S20" i="3" s="1"/>
  <c r="Y57" i="1"/>
  <c r="Z57" i="1"/>
  <c r="AB57" i="1"/>
  <c r="AC57" i="1"/>
  <c r="AD57" i="1"/>
  <c r="T57" i="1" s="1"/>
  <c r="AE57" i="1"/>
  <c r="R20" i="3" s="1"/>
  <c r="AF57" i="1"/>
  <c r="AH57" i="1"/>
  <c r="AM57" i="1"/>
  <c r="AN57" i="1"/>
  <c r="AO57" i="1"/>
  <c r="K58" i="1"/>
  <c r="L58" i="1"/>
  <c r="M58" i="1"/>
  <c r="N58" i="1" s="1"/>
  <c r="V58" i="1"/>
  <c r="S22" i="3" s="1"/>
  <c r="Y58" i="1"/>
  <c r="Z58" i="1"/>
  <c r="AB58" i="1"/>
  <c r="AC58" i="1"/>
  <c r="AD58" i="1"/>
  <c r="X58" i="1" s="1"/>
  <c r="AE58" i="1"/>
  <c r="R22" i="3" s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S7" i="3" s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V63" i="1"/>
  <c r="X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T76" i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AO76" i="1"/>
  <c r="K77" i="1"/>
  <c r="L77" i="1"/>
  <c r="M77" i="1"/>
  <c r="N77" i="1" s="1"/>
  <c r="T77" i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AO77" i="1"/>
  <c r="K78" i="1"/>
  <c r="L78" i="1"/>
  <c r="M78" i="1"/>
  <c r="N78" i="1" s="1"/>
  <c r="T78" i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AO78" i="1"/>
  <c r="K79" i="1"/>
  <c r="L79" i="1"/>
  <c r="M79" i="1"/>
  <c r="N79" i="1" s="1"/>
  <c r="T79" i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AO79" i="1"/>
  <c r="K80" i="1"/>
  <c r="L80" i="1"/>
  <c r="M80" i="1"/>
  <c r="N80" i="1" s="1"/>
  <c r="T80" i="1"/>
  <c r="V80" i="1"/>
  <c r="Y80" i="1"/>
  <c r="Z80" i="1"/>
  <c r="AB80" i="1"/>
  <c r="AC80" i="1"/>
  <c r="AD80" i="1"/>
  <c r="X80" i="1" s="1"/>
  <c r="AE80" i="1"/>
  <c r="AF80" i="1"/>
  <c r="AH80" i="1"/>
  <c r="AM80" i="1"/>
  <c r="AN80" i="1"/>
  <c r="AO80" i="1"/>
  <c r="K81" i="1"/>
  <c r="L81" i="1"/>
  <c r="M81" i="1"/>
  <c r="N81" i="1" s="1"/>
  <c r="T81" i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AO81" i="1"/>
  <c r="K82" i="1"/>
  <c r="L82" i="1"/>
  <c r="M82" i="1"/>
  <c r="N82" i="1" s="1"/>
  <c r="T82" i="1"/>
  <c r="V82" i="1"/>
  <c r="Y82" i="1"/>
  <c r="Z82" i="1"/>
  <c r="AB82" i="1"/>
  <c r="AC82" i="1"/>
  <c r="AD82" i="1"/>
  <c r="X82" i="1" s="1"/>
  <c r="AE82" i="1"/>
  <c r="AF82" i="1"/>
  <c r="AH82" i="1"/>
  <c r="AM82" i="1"/>
  <c r="AN82" i="1"/>
  <c r="AO82" i="1"/>
  <c r="K83" i="1"/>
  <c r="L83" i="1"/>
  <c r="M83" i="1"/>
  <c r="N83" i="1" s="1"/>
  <c r="T83" i="1"/>
  <c r="V83" i="1"/>
  <c r="Y83" i="1"/>
  <c r="Z83" i="1"/>
  <c r="AB83" i="1"/>
  <c r="AC83" i="1"/>
  <c r="AD83" i="1"/>
  <c r="X83" i="1" s="1"/>
  <c r="AE83" i="1"/>
  <c r="AF83" i="1"/>
  <c r="AH83" i="1"/>
  <c r="AM83" i="1"/>
  <c r="AN83" i="1"/>
  <c r="AO83" i="1"/>
  <c r="K84" i="1"/>
  <c r="L84" i="1"/>
  <c r="M84" i="1"/>
  <c r="N84" i="1" s="1"/>
  <c r="T84" i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AO84" i="1"/>
  <c r="K85" i="1"/>
  <c r="L85" i="1"/>
  <c r="M85" i="1"/>
  <c r="N85" i="1" s="1"/>
  <c r="T85" i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AO85" i="1"/>
  <c r="K86" i="1"/>
  <c r="L86" i="1"/>
  <c r="M86" i="1"/>
  <c r="N86" i="1" s="1"/>
  <c r="T86" i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AO86" i="1"/>
  <c r="K87" i="1"/>
  <c r="L87" i="1"/>
  <c r="M87" i="1"/>
  <c r="N87" i="1" s="1"/>
  <c r="T87" i="1"/>
  <c r="V87" i="1"/>
  <c r="Y87" i="1"/>
  <c r="Z87" i="1"/>
  <c r="AB87" i="1"/>
  <c r="AC87" i="1"/>
  <c r="AD87" i="1"/>
  <c r="X87" i="1" s="1"/>
  <c r="AE87" i="1"/>
  <c r="AF87" i="1"/>
  <c r="AH87" i="1"/>
  <c r="AM87" i="1"/>
  <c r="AN87" i="1"/>
  <c r="AO87" i="1"/>
  <c r="K88" i="1"/>
  <c r="L88" i="1"/>
  <c r="M88" i="1"/>
  <c r="N88" i="1" s="1"/>
  <c r="T88" i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T89" i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AO89" i="1"/>
  <c r="K90" i="1"/>
  <c r="L90" i="1"/>
  <c r="M90" i="1"/>
  <c r="N90" i="1" s="1"/>
  <c r="T90" i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4" i="1"/>
  <c r="AM94" i="1"/>
  <c r="AN94" i="1"/>
  <c r="AO9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5" i="1"/>
  <c r="AM95" i="1"/>
  <c r="AN95" i="1"/>
  <c r="AO9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6" i="1"/>
  <c r="AM96" i="1"/>
  <c r="AN96" i="1"/>
  <c r="AO9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7" i="1"/>
  <c r="AM97" i="1"/>
  <c r="AN97" i="1"/>
  <c r="AO9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98" i="1"/>
  <c r="AM98" i="1"/>
  <c r="AN98" i="1"/>
  <c r="AO9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99" i="1"/>
  <c r="AM99" i="1"/>
  <c r="AN99" i="1"/>
  <c r="AO9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0" i="1"/>
  <c r="AM100" i="1"/>
  <c r="AN100" i="1"/>
  <c r="AO100" i="1"/>
  <c r="K170" i="1"/>
  <c r="L170" i="1"/>
  <c r="M170" i="1"/>
  <c r="N170" i="1" s="1"/>
  <c r="V170" i="1"/>
  <c r="S24" i="3" s="1"/>
  <c r="Y170" i="1"/>
  <c r="Z170" i="1"/>
  <c r="AB170" i="1"/>
  <c r="AC170" i="1"/>
  <c r="AD170" i="1"/>
  <c r="AE170" i="1"/>
  <c r="R24" i="3" s="1"/>
  <c r="AF170" i="1"/>
  <c r="AH101" i="1"/>
  <c r="AM101" i="1"/>
  <c r="AN101" i="1"/>
  <c r="AO10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2" i="1"/>
  <c r="AM102" i="1"/>
  <c r="AN102" i="1"/>
  <c r="AO10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3" i="1"/>
  <c r="AM103" i="1"/>
  <c r="AN103" i="1"/>
  <c r="AO103" i="1"/>
  <c r="K94" i="1"/>
  <c r="L94" i="1"/>
  <c r="M94" i="1"/>
  <c r="N94" i="1" s="1"/>
  <c r="V94" i="1"/>
  <c r="S11" i="3" s="1"/>
  <c r="Y94" i="1"/>
  <c r="Z94" i="1"/>
  <c r="AB94" i="1"/>
  <c r="AC94" i="1"/>
  <c r="AD94" i="1"/>
  <c r="AE94" i="1"/>
  <c r="AF94" i="1"/>
  <c r="AH104" i="1"/>
  <c r="AM104" i="1"/>
  <c r="AN104" i="1"/>
  <c r="AO104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05" i="1"/>
  <c r="AM105" i="1"/>
  <c r="AN105" i="1"/>
  <c r="AO1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6" i="1"/>
  <c r="AM106" i="1"/>
  <c r="AN106" i="1"/>
  <c r="AO10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7" i="1"/>
  <c r="AM107" i="1"/>
  <c r="AN107" i="1"/>
  <c r="AO107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08" i="1"/>
  <c r="AM108" i="1"/>
  <c r="AN108" i="1"/>
  <c r="AO108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09" i="1"/>
  <c r="AM109" i="1"/>
  <c r="AN109" i="1"/>
  <c r="AO10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0" i="1"/>
  <c r="AM110" i="1"/>
  <c r="AN110" i="1"/>
  <c r="AO11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1" i="1"/>
  <c r="AM111" i="1"/>
  <c r="AN111" i="1"/>
  <c r="AO111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2" i="1"/>
  <c r="AM112" i="1"/>
  <c r="AN112" i="1"/>
  <c r="AO11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3" i="1"/>
  <c r="AM113" i="1"/>
  <c r="AN113" i="1"/>
  <c r="AO113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4" i="1"/>
  <c r="AM114" i="1"/>
  <c r="AN114" i="1"/>
  <c r="AO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AO11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6" i="1"/>
  <c r="AM116" i="1"/>
  <c r="AN116" i="1"/>
  <c r="AO11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7" i="1"/>
  <c r="AM117" i="1"/>
  <c r="AN117" i="1"/>
  <c r="AO117" i="1"/>
  <c r="K185" i="1"/>
  <c r="L185" i="1"/>
  <c r="M185" i="1"/>
  <c r="N185" i="1" s="1"/>
  <c r="V185" i="1"/>
  <c r="S26" i="3" s="1"/>
  <c r="Y185" i="1"/>
  <c r="Z185" i="1"/>
  <c r="AB185" i="1"/>
  <c r="AC185" i="1"/>
  <c r="AD185" i="1"/>
  <c r="AE185" i="1"/>
  <c r="R26" i="3" s="1"/>
  <c r="AF185" i="1"/>
  <c r="AH118" i="1"/>
  <c r="AM118" i="1"/>
  <c r="AN118" i="1"/>
  <c r="AO118" i="1"/>
  <c r="K186" i="1"/>
  <c r="L186" i="1"/>
  <c r="M186" i="1"/>
  <c r="N186" i="1" s="1"/>
  <c r="V186" i="1"/>
  <c r="S25" i="3" s="1"/>
  <c r="Y186" i="1"/>
  <c r="Z186" i="1"/>
  <c r="AB186" i="1"/>
  <c r="AC186" i="1"/>
  <c r="AD186" i="1"/>
  <c r="T186" i="1" s="1"/>
  <c r="AE186" i="1"/>
  <c r="R25" i="3" s="1"/>
  <c r="AF186" i="1"/>
  <c r="AH119" i="1"/>
  <c r="AM119" i="1"/>
  <c r="AN119" i="1"/>
  <c r="AO119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0" i="1"/>
  <c r="AM120" i="1"/>
  <c r="AN120" i="1"/>
  <c r="AO12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1" i="1"/>
  <c r="AM121" i="1"/>
  <c r="AN121" i="1"/>
  <c r="AO12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2" i="1"/>
  <c r="AM122" i="1"/>
  <c r="AN122" i="1"/>
  <c r="AO12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3" i="1"/>
  <c r="AM123" i="1"/>
  <c r="AN123" i="1"/>
  <c r="AO1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4" i="1"/>
  <c r="AM124" i="1"/>
  <c r="AN124" i="1"/>
  <c r="AO12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7" i="1"/>
  <c r="AM127" i="1"/>
  <c r="AN127" i="1"/>
  <c r="AO127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8" i="1"/>
  <c r="AM128" i="1"/>
  <c r="AN128" i="1"/>
  <c r="AO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9" i="1"/>
  <c r="AM129" i="1"/>
  <c r="AN129" i="1"/>
  <c r="AO12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0" i="1"/>
  <c r="AM130" i="1"/>
  <c r="AN130" i="1"/>
  <c r="AO13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1" i="1"/>
  <c r="AM131" i="1"/>
  <c r="AN131" i="1"/>
  <c r="AO131" i="1"/>
  <c r="K196" i="1"/>
  <c r="L196" i="1"/>
  <c r="M196" i="1"/>
  <c r="V196" i="1"/>
  <c r="AB196" i="1"/>
  <c r="AC196" i="1"/>
  <c r="AD196" i="1"/>
  <c r="AE196" i="1"/>
  <c r="AF196" i="1"/>
  <c r="AH132" i="1"/>
  <c r="AM132" i="1"/>
  <c r="AN132" i="1"/>
  <c r="AO132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33" i="1"/>
  <c r="AM133" i="1"/>
  <c r="AN133" i="1"/>
  <c r="AO133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4" i="1"/>
  <c r="AM134" i="1"/>
  <c r="AN134" i="1"/>
  <c r="AO134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5" i="1"/>
  <c r="AM135" i="1"/>
  <c r="AN135" i="1"/>
  <c r="AO135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6" i="1"/>
  <c r="AM136" i="1"/>
  <c r="AN136" i="1"/>
  <c r="AO136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9" i="1"/>
  <c r="AM139" i="1"/>
  <c r="AN139" i="1"/>
  <c r="AO139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0" i="1"/>
  <c r="AM140" i="1"/>
  <c r="AN140" i="1"/>
  <c r="AO140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41" i="1"/>
  <c r="AM141" i="1"/>
  <c r="AN141" i="1"/>
  <c r="AO141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42" i="1"/>
  <c r="AM142" i="1"/>
  <c r="AN142" i="1"/>
  <c r="AO142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43" i="1"/>
  <c r="AM143" i="1"/>
  <c r="AN143" i="1"/>
  <c r="AO14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4" i="1"/>
  <c r="AM144" i="1"/>
  <c r="AN144" i="1"/>
  <c r="AO14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45" i="1"/>
  <c r="AM145" i="1"/>
  <c r="AN145" i="1"/>
  <c r="AO14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47" i="1"/>
  <c r="AM147" i="1"/>
  <c r="AN147" i="1"/>
  <c r="AO147" i="1"/>
  <c r="K108" i="1"/>
  <c r="L108" i="1"/>
  <c r="M108" i="1"/>
  <c r="N108" i="1" s="1"/>
  <c r="T108" i="1"/>
  <c r="V108" i="1"/>
  <c r="Y108" i="1"/>
  <c r="AA108" i="1" s="1"/>
  <c r="Z108" i="1"/>
  <c r="AB108" i="1"/>
  <c r="AC108" i="1"/>
  <c r="AD108" i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50" i="1"/>
  <c r="AM150" i="1"/>
  <c r="AN150" i="1"/>
  <c r="AO150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1" i="1"/>
  <c r="AM151" i="1"/>
  <c r="AN151" i="1"/>
  <c r="AO151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52" i="1"/>
  <c r="AM152" i="1"/>
  <c r="AN152" i="1"/>
  <c r="AO152" i="1"/>
  <c r="K112" i="1"/>
  <c r="L112" i="1"/>
  <c r="M112" i="1"/>
  <c r="N112" i="1" s="1"/>
  <c r="V112" i="1"/>
  <c r="S23" i="3" s="1"/>
  <c r="Y112" i="1"/>
  <c r="Z112" i="1"/>
  <c r="AA112" i="1" s="1"/>
  <c r="AB112" i="1"/>
  <c r="AC112" i="1"/>
  <c r="AD112" i="1"/>
  <c r="AE112" i="1"/>
  <c r="R23" i="3" s="1"/>
  <c r="AF112" i="1"/>
  <c r="AH153" i="1"/>
  <c r="AM153" i="1"/>
  <c r="AN153" i="1"/>
  <c r="AO153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4" i="1"/>
  <c r="AM154" i="1"/>
  <c r="AN154" i="1"/>
  <c r="AO154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55" i="1"/>
  <c r="AM155" i="1"/>
  <c r="AN155" i="1"/>
  <c r="AO155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6" i="1"/>
  <c r="AM156" i="1"/>
  <c r="AN156" i="1"/>
  <c r="AO156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57" i="1"/>
  <c r="AM157" i="1"/>
  <c r="AN157" i="1"/>
  <c r="AO157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59" i="1"/>
  <c r="AM159" i="1"/>
  <c r="AN159" i="1"/>
  <c r="AO159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AH160" i="1"/>
  <c r="AM160" i="1"/>
  <c r="AN160" i="1"/>
  <c r="AO160" i="1"/>
  <c r="K119" i="1"/>
  <c r="L119" i="1"/>
  <c r="M119" i="1"/>
  <c r="N119" i="1"/>
  <c r="V119" i="1"/>
  <c r="Y119" i="1"/>
  <c r="AA119" i="1" s="1"/>
  <c r="Z119" i="1"/>
  <c r="AB119" i="1"/>
  <c r="AC119" i="1"/>
  <c r="AD119" i="1"/>
  <c r="T119" i="1" s="1"/>
  <c r="AE119" i="1"/>
  <c r="AF119" i="1"/>
  <c r="AH161" i="1"/>
  <c r="AM161" i="1"/>
  <c r="AN161" i="1"/>
  <c r="AO161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62" i="1"/>
  <c r="AM162" i="1"/>
  <c r="AN162" i="1"/>
  <c r="AO162" i="1"/>
  <c r="K121" i="1"/>
  <c r="L121" i="1"/>
  <c r="M121" i="1"/>
  <c r="N121" i="1" s="1"/>
  <c r="V121" i="1"/>
  <c r="S9" i="3" s="1"/>
  <c r="Y121" i="1"/>
  <c r="Z121" i="1"/>
  <c r="AB121" i="1"/>
  <c r="AC121" i="1"/>
  <c r="AD121" i="1"/>
  <c r="AE121" i="1"/>
  <c r="R9" i="3" s="1"/>
  <c r="AF121" i="1"/>
  <c r="AH163" i="1"/>
  <c r="AM163" i="1"/>
  <c r="AN163" i="1"/>
  <c r="AO163" i="1"/>
  <c r="K122" i="1"/>
  <c r="L122" i="1"/>
  <c r="M122" i="1"/>
  <c r="V122" i="1"/>
  <c r="S15" i="3" s="1"/>
  <c r="Y122" i="1"/>
  <c r="Z122" i="1"/>
  <c r="AA122" i="1" s="1"/>
  <c r="AB122" i="1"/>
  <c r="AC122" i="1"/>
  <c r="AD122" i="1"/>
  <c r="AE122" i="1"/>
  <c r="R15" i="3" s="1"/>
  <c r="AF122" i="1"/>
  <c r="AH164" i="1"/>
  <c r="AM164" i="1"/>
  <c r="AN164" i="1"/>
  <c r="AO164" i="1"/>
  <c r="K123" i="1"/>
  <c r="L123" i="1"/>
  <c r="M123" i="1"/>
  <c r="V123" i="1"/>
  <c r="Y123" i="1"/>
  <c r="Z123" i="1"/>
  <c r="AB123" i="1"/>
  <c r="AC123" i="1"/>
  <c r="AD123" i="1"/>
  <c r="AE123" i="1"/>
  <c r="AF123" i="1"/>
  <c r="AH165" i="1"/>
  <c r="AM165" i="1"/>
  <c r="AN165" i="1"/>
  <c r="AO165" i="1"/>
  <c r="K124" i="1"/>
  <c r="L124" i="1"/>
  <c r="M124" i="1"/>
  <c r="N124" i="1" s="1"/>
  <c r="V124" i="1"/>
  <c r="S13" i="3" s="1"/>
  <c r="Y124" i="1"/>
  <c r="AA124" i="1" s="1"/>
  <c r="Z124" i="1"/>
  <c r="AB124" i="1"/>
  <c r="AC124" i="1"/>
  <c r="AD124" i="1"/>
  <c r="T124" i="1" s="1"/>
  <c r="AE124" i="1"/>
  <c r="R13" i="3" s="1"/>
  <c r="AF124" i="1"/>
  <c r="AH166" i="1"/>
  <c r="AM166" i="1"/>
  <c r="AN166" i="1"/>
  <c r="AO166" i="1"/>
  <c r="K127" i="1"/>
  <c r="L127" i="1"/>
  <c r="M127" i="1"/>
  <c r="N127" i="1"/>
  <c r="V127" i="1"/>
  <c r="Y127" i="1"/>
  <c r="Z127" i="1"/>
  <c r="AB127" i="1"/>
  <c r="AC127" i="1"/>
  <c r="AD127" i="1"/>
  <c r="AE127" i="1"/>
  <c r="AF127" i="1"/>
  <c r="AH167" i="1"/>
  <c r="AM167" i="1"/>
  <c r="AN167" i="1"/>
  <c r="AO167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68" i="1"/>
  <c r="AM168" i="1"/>
  <c r="AN168" i="1"/>
  <c r="AO168" i="1"/>
  <c r="K129" i="1"/>
  <c r="L129" i="1"/>
  <c r="M129" i="1"/>
  <c r="N129" i="1"/>
  <c r="V129" i="1"/>
  <c r="Y129" i="1"/>
  <c r="Z129" i="1"/>
  <c r="AB129" i="1"/>
  <c r="AC129" i="1"/>
  <c r="AD129" i="1"/>
  <c r="T129" i="1" s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70" i="1"/>
  <c r="AM170" i="1"/>
  <c r="AN170" i="1"/>
  <c r="AO17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71" i="1"/>
  <c r="AM171" i="1"/>
  <c r="AN171" i="1"/>
  <c r="AO171" i="1"/>
  <c r="K132" i="1"/>
  <c r="L132" i="1"/>
  <c r="M132" i="1"/>
  <c r="N132" i="1"/>
  <c r="V132" i="1"/>
  <c r="S12" i="3" s="1"/>
  <c r="Y132" i="1"/>
  <c r="Z132" i="1"/>
  <c r="AB132" i="1"/>
  <c r="AC132" i="1"/>
  <c r="AD132" i="1"/>
  <c r="AE132" i="1"/>
  <c r="R12" i="3" s="1"/>
  <c r="AF132" i="1"/>
  <c r="AH172" i="1"/>
  <c r="AM172" i="1"/>
  <c r="AN172" i="1"/>
  <c r="AO172" i="1"/>
  <c r="K133" i="1"/>
  <c r="L133" i="1"/>
  <c r="M133" i="1"/>
  <c r="N133" i="1"/>
  <c r="V133" i="1"/>
  <c r="Y133" i="1"/>
  <c r="Z133" i="1"/>
  <c r="AB133" i="1"/>
  <c r="AC133" i="1"/>
  <c r="AD133" i="1"/>
  <c r="T133" i="1" s="1"/>
  <c r="AE133" i="1"/>
  <c r="AF133" i="1"/>
  <c r="AH173" i="1"/>
  <c r="AM173" i="1"/>
  <c r="AN173" i="1"/>
  <c r="AO173" i="1"/>
  <c r="K134" i="1"/>
  <c r="L134" i="1"/>
  <c r="M134" i="1"/>
  <c r="N134" i="1" s="1"/>
  <c r="T134" i="1"/>
  <c r="V134" i="1"/>
  <c r="Y134" i="1"/>
  <c r="Z134" i="1"/>
  <c r="AB134" i="1"/>
  <c r="AC134" i="1"/>
  <c r="AD134" i="1"/>
  <c r="AE134" i="1"/>
  <c r="AF134" i="1"/>
  <c r="AH174" i="1"/>
  <c r="AM174" i="1"/>
  <c r="AN174" i="1"/>
  <c r="AO174" i="1"/>
  <c r="K135" i="1"/>
  <c r="L135" i="1"/>
  <c r="M135" i="1"/>
  <c r="N135" i="1"/>
  <c r="V135" i="1"/>
  <c r="Y135" i="1"/>
  <c r="Z135" i="1"/>
  <c r="AB135" i="1"/>
  <c r="AC135" i="1"/>
  <c r="AD135" i="1"/>
  <c r="X135" i="1" s="1"/>
  <c r="AE135" i="1"/>
  <c r="AF135" i="1"/>
  <c r="AH175" i="1"/>
  <c r="AM175" i="1"/>
  <c r="AN175" i="1"/>
  <c r="AO175" i="1"/>
  <c r="K136" i="1"/>
  <c r="L136" i="1"/>
  <c r="M136" i="1"/>
  <c r="N136" i="1"/>
  <c r="V136" i="1"/>
  <c r="Y136" i="1"/>
  <c r="Z136" i="1"/>
  <c r="AB136" i="1"/>
  <c r="AC136" i="1"/>
  <c r="AD136" i="1"/>
  <c r="X136" i="1" s="1"/>
  <c r="AE136" i="1"/>
  <c r="AF136" i="1"/>
  <c r="AH176" i="1"/>
  <c r="AM176" i="1"/>
  <c r="AN176" i="1"/>
  <c r="AO176" i="1"/>
  <c r="K137" i="1"/>
  <c r="L137" i="1"/>
  <c r="M137" i="1"/>
  <c r="N137" i="1"/>
  <c r="V137" i="1"/>
  <c r="Y137" i="1"/>
  <c r="Z137" i="1"/>
  <c r="AB137" i="1"/>
  <c r="AC137" i="1"/>
  <c r="AD137" i="1"/>
  <c r="T137" i="1" s="1"/>
  <c r="AE137" i="1"/>
  <c r="AF137" i="1"/>
  <c r="AH177" i="1"/>
  <c r="AM177" i="1"/>
  <c r="AN177" i="1"/>
  <c r="AO177" i="1"/>
  <c r="K138" i="1"/>
  <c r="L138" i="1"/>
  <c r="M138" i="1"/>
  <c r="N138" i="1" s="1"/>
  <c r="V138" i="1"/>
  <c r="Y138" i="1"/>
  <c r="Z138" i="1"/>
  <c r="AA138" i="1" s="1"/>
  <c r="AB138" i="1"/>
  <c r="AC138" i="1"/>
  <c r="AD138" i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9" i="1"/>
  <c r="AM179" i="1"/>
  <c r="AN179" i="1"/>
  <c r="AO17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80" i="1"/>
  <c r="AM180" i="1"/>
  <c r="AN180" i="1"/>
  <c r="AO180" i="1"/>
  <c r="K141" i="1"/>
  <c r="L141" i="1"/>
  <c r="M141" i="1"/>
  <c r="N141" i="1" s="1"/>
  <c r="T141" i="1"/>
  <c r="V141" i="1"/>
  <c r="Y141" i="1"/>
  <c r="Z141" i="1"/>
  <c r="AB141" i="1"/>
  <c r="AC141" i="1"/>
  <c r="AD141" i="1"/>
  <c r="AE141" i="1"/>
  <c r="AF141" i="1"/>
  <c r="AH181" i="1"/>
  <c r="AM181" i="1"/>
  <c r="AN181" i="1"/>
  <c r="AO181" i="1"/>
  <c r="K142" i="1"/>
  <c r="L142" i="1"/>
  <c r="M142" i="1"/>
  <c r="T142" i="1"/>
  <c r="V142" i="1"/>
  <c r="Y142" i="1"/>
  <c r="Z142" i="1"/>
  <c r="AB142" i="1"/>
  <c r="AC142" i="1"/>
  <c r="AD142" i="1"/>
  <c r="AE142" i="1"/>
  <c r="AF142" i="1"/>
  <c r="AH182" i="1"/>
  <c r="AM182" i="1"/>
  <c r="AN182" i="1"/>
  <c r="AO18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3" i="1"/>
  <c r="AM183" i="1"/>
  <c r="AN183" i="1"/>
  <c r="AO18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4" i="1"/>
  <c r="AM184" i="1"/>
  <c r="AN184" i="1"/>
  <c r="AO18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5" i="1"/>
  <c r="AM185" i="1"/>
  <c r="AN185" i="1"/>
  <c r="AO185" i="1"/>
  <c r="K146" i="1"/>
  <c r="L146" i="1"/>
  <c r="M146" i="1"/>
  <c r="N146" i="1" s="1"/>
  <c r="V146" i="1"/>
  <c r="Y146" i="1"/>
  <c r="Z146" i="1"/>
  <c r="AA146" i="1" s="1"/>
  <c r="AB146" i="1"/>
  <c r="AC146" i="1"/>
  <c r="AD146" i="1"/>
  <c r="X146" i="1" s="1"/>
  <c r="AE146" i="1"/>
  <c r="AF146" i="1"/>
  <c r="AH186" i="1"/>
  <c r="AM186" i="1"/>
  <c r="AN186" i="1"/>
  <c r="AO186" i="1"/>
  <c r="K147" i="1"/>
  <c r="L147" i="1"/>
  <c r="M147" i="1"/>
  <c r="N147" i="1" s="1"/>
  <c r="V147" i="1"/>
  <c r="Y147" i="1"/>
  <c r="AA147" i="1" s="1"/>
  <c r="Z147" i="1"/>
  <c r="AB147" i="1"/>
  <c r="AC147" i="1"/>
  <c r="AD147" i="1"/>
  <c r="X147" i="1" s="1"/>
  <c r="AE147" i="1"/>
  <c r="AF147" i="1"/>
  <c r="AH187" i="1"/>
  <c r="AM187" i="1"/>
  <c r="AN187" i="1"/>
  <c r="AO187" i="1"/>
  <c r="K148" i="1"/>
  <c r="L148" i="1"/>
  <c r="M148" i="1"/>
  <c r="N148" i="1" s="1"/>
  <c r="V148" i="1"/>
  <c r="S10" i="3" s="1"/>
  <c r="Y148" i="1"/>
  <c r="Z148" i="1"/>
  <c r="AB148" i="1"/>
  <c r="AC148" i="1"/>
  <c r="AD148" i="1"/>
  <c r="AE148" i="1"/>
  <c r="R10" i="3" s="1"/>
  <c r="AF148" i="1"/>
  <c r="AH188" i="1"/>
  <c r="AM188" i="1"/>
  <c r="AN188" i="1"/>
  <c r="AO188" i="1"/>
  <c r="K150" i="1"/>
  <c r="L150" i="1"/>
  <c r="M150" i="1"/>
  <c r="N150" i="1"/>
  <c r="V150" i="1"/>
  <c r="Y150" i="1"/>
  <c r="Z150" i="1"/>
  <c r="AB150" i="1"/>
  <c r="AC150" i="1"/>
  <c r="AD150" i="1"/>
  <c r="AE150" i="1"/>
  <c r="AF150" i="1"/>
  <c r="AH189" i="1"/>
  <c r="AM189" i="1"/>
  <c r="AN189" i="1"/>
  <c r="AO189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92" i="1"/>
  <c r="AM192" i="1"/>
  <c r="AN192" i="1"/>
  <c r="AO19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3" i="1"/>
  <c r="AM193" i="1"/>
  <c r="AN193" i="1"/>
  <c r="AO193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94" i="1"/>
  <c r="AM194" i="1"/>
  <c r="AN194" i="1"/>
  <c r="AO194" i="1"/>
  <c r="K156" i="1"/>
  <c r="L156" i="1"/>
  <c r="M156" i="1"/>
  <c r="N156" i="1" s="1"/>
  <c r="V156" i="1"/>
  <c r="S8" i="3" s="1"/>
  <c r="Y156" i="1"/>
  <c r="Z156" i="1"/>
  <c r="AB156" i="1"/>
  <c r="AC156" i="1"/>
  <c r="AD156" i="1"/>
  <c r="T156" i="1" s="1"/>
  <c r="AE156" i="1"/>
  <c r="R8" i="3" s="1"/>
  <c r="AF156" i="1"/>
  <c r="AH195" i="1"/>
  <c r="AM195" i="1"/>
  <c r="AN195" i="1"/>
  <c r="AO195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6" i="1"/>
  <c r="AM196" i="1"/>
  <c r="AN196" i="1"/>
  <c r="AO19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7" i="1"/>
  <c r="AM197" i="1"/>
  <c r="AN197" i="1"/>
  <c r="AO197" i="1"/>
  <c r="K160" i="1"/>
  <c r="L160" i="1"/>
  <c r="M160" i="1"/>
  <c r="N160" i="1" s="1"/>
  <c r="T160" i="1"/>
  <c r="V160" i="1"/>
  <c r="Y160" i="1"/>
  <c r="Z160" i="1"/>
  <c r="AB160" i="1"/>
  <c r="AC160" i="1"/>
  <c r="AD160" i="1"/>
  <c r="AE160" i="1"/>
  <c r="AF160" i="1"/>
  <c r="AH199" i="1"/>
  <c r="AM199" i="1"/>
  <c r="AN199" i="1"/>
  <c r="AO19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0" i="1"/>
  <c r="AM200" i="1"/>
  <c r="AN200" i="1"/>
  <c r="AO200" i="1"/>
  <c r="K162" i="1"/>
  <c r="L162" i="1"/>
  <c r="M162" i="1"/>
  <c r="N162" i="1"/>
  <c r="V162" i="1"/>
  <c r="Y162" i="1"/>
  <c r="Z162" i="1"/>
  <c r="AB162" i="1"/>
  <c r="AC162" i="1"/>
  <c r="AD162" i="1"/>
  <c r="T162" i="1" s="1"/>
  <c r="AE162" i="1"/>
  <c r="AF162" i="1"/>
  <c r="AH201" i="1"/>
  <c r="AM201" i="1"/>
  <c r="AN201" i="1"/>
  <c r="AO201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02" i="1"/>
  <c r="AM202" i="1"/>
  <c r="AN202" i="1"/>
  <c r="AO202" i="1"/>
  <c r="K200" i="1"/>
  <c r="L200" i="1"/>
  <c r="M200" i="1"/>
  <c r="N200" i="1" s="1"/>
  <c r="V200" i="1"/>
  <c r="S27" i="3" s="1"/>
  <c r="Y200" i="1"/>
  <c r="Z200" i="1"/>
  <c r="AA200" i="1" s="1"/>
  <c r="AB200" i="1"/>
  <c r="AC200" i="1"/>
  <c r="AD200" i="1"/>
  <c r="X200" i="1" s="1"/>
  <c r="AE200" i="1"/>
  <c r="R27" i="3" s="1"/>
  <c r="AF200" i="1"/>
  <c r="AH203" i="1"/>
  <c r="AM203" i="1"/>
  <c r="AN203" i="1"/>
  <c r="AO203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04" i="1"/>
  <c r="AM204" i="1"/>
  <c r="AN204" i="1"/>
  <c r="AO204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05" i="1"/>
  <c r="AM205" i="1"/>
  <c r="AN205" i="1"/>
  <c r="AO205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06" i="1"/>
  <c r="AM206" i="1"/>
  <c r="AN206" i="1"/>
  <c r="AO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AO207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08" i="1"/>
  <c r="AM208" i="1"/>
  <c r="AN208" i="1"/>
  <c r="AO20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09" i="1"/>
  <c r="AM209" i="1"/>
  <c r="AN209" i="1"/>
  <c r="AO20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0" i="1"/>
  <c r="AM210" i="1"/>
  <c r="AN210" i="1"/>
  <c r="AO210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11" i="1"/>
  <c r="AM211" i="1"/>
  <c r="AN211" i="1"/>
  <c r="AO21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2" i="1"/>
  <c r="AM212" i="1"/>
  <c r="AN212" i="1"/>
  <c r="AO212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213" i="1"/>
  <c r="AM213" i="1"/>
  <c r="AN213" i="1"/>
  <c r="AO21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/>
  <c r="V218" i="1"/>
  <c r="X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X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A221" i="1" s="1"/>
  <c r="AB221" i="1"/>
  <c r="AC221" i="1"/>
  <c r="AD221" i="1"/>
  <c r="X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A222" i="1" s="1"/>
  <c r="AB222" i="1"/>
  <c r="AC222" i="1"/>
  <c r="AD222" i="1"/>
  <c r="X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Y224" i="1"/>
  <c r="Z224" i="1"/>
  <c r="AB224" i="1"/>
  <c r="AC224" i="1"/>
  <c r="AD224" i="1"/>
  <c r="X224" i="1" s="1"/>
  <c r="AE224" i="1"/>
  <c r="AF224" i="1"/>
  <c r="AH224" i="1"/>
  <c r="AM224" i="1"/>
  <c r="AN224" i="1"/>
  <c r="AO224" i="1"/>
  <c r="M14" i="3"/>
  <c r="R14" i="3"/>
  <c r="U14" i="3"/>
  <c r="T14" i="3" s="1"/>
  <c r="V14" i="3"/>
  <c r="X14" i="3"/>
  <c r="M19" i="3"/>
  <c r="U19" i="3"/>
  <c r="AD19" i="3" s="1"/>
  <c r="V19" i="3"/>
  <c r="AE19" i="3" s="1"/>
  <c r="X19" i="3"/>
  <c r="M18" i="3"/>
  <c r="S18" i="3"/>
  <c r="U18" i="3"/>
  <c r="AC18" i="3" s="1"/>
  <c r="V18" i="3"/>
  <c r="X18" i="3"/>
  <c r="M16" i="3"/>
  <c r="R16" i="3"/>
  <c r="S16" i="3"/>
  <c r="U16" i="3"/>
  <c r="AC16" i="3" s="1"/>
  <c r="V16" i="3"/>
  <c r="X16" i="3"/>
  <c r="M17" i="3"/>
  <c r="R17" i="3"/>
  <c r="U17" i="3"/>
  <c r="T17" i="3" s="1"/>
  <c r="V17" i="3"/>
  <c r="X17" i="3"/>
  <c r="M21" i="3"/>
  <c r="R21" i="3"/>
  <c r="S21" i="3"/>
  <c r="U21" i="3"/>
  <c r="V21" i="3"/>
  <c r="X21" i="3"/>
  <c r="M24" i="3"/>
  <c r="U24" i="3"/>
  <c r="AC24" i="3" s="1"/>
  <c r="V24" i="3"/>
  <c r="X24" i="3"/>
  <c r="M20" i="3"/>
  <c r="U20" i="3"/>
  <c r="T20" i="3" s="1"/>
  <c r="V20" i="3"/>
  <c r="X20" i="3"/>
  <c r="M22" i="3"/>
  <c r="U22" i="3"/>
  <c r="V22" i="3"/>
  <c r="X22" i="3"/>
  <c r="M7" i="3"/>
  <c r="R7" i="3"/>
  <c r="U7" i="3"/>
  <c r="AC7" i="3" s="1"/>
  <c r="V7" i="3"/>
  <c r="X7" i="3"/>
  <c r="M11" i="3"/>
  <c r="R11" i="3"/>
  <c r="U11" i="3"/>
  <c r="AC11" i="3" s="1"/>
  <c r="V11" i="3"/>
  <c r="X11" i="3"/>
  <c r="M23" i="3"/>
  <c r="U23" i="3"/>
  <c r="AD23" i="3" s="1"/>
  <c r="V23" i="3"/>
  <c r="X23" i="3"/>
  <c r="M26" i="3"/>
  <c r="U26" i="3"/>
  <c r="AC26" i="3" s="1"/>
  <c r="V26" i="3"/>
  <c r="X26" i="3"/>
  <c r="M15" i="3"/>
  <c r="U15" i="3"/>
  <c r="AC15" i="3" s="1"/>
  <c r="V15" i="3"/>
  <c r="X15" i="3"/>
  <c r="M25" i="3"/>
  <c r="U25" i="3"/>
  <c r="T25" i="3" s="1"/>
  <c r="V25" i="3"/>
  <c r="X25" i="3"/>
  <c r="M9" i="3"/>
  <c r="U9" i="3"/>
  <c r="AC9" i="3" s="1"/>
  <c r="V9" i="3"/>
  <c r="X9" i="3"/>
  <c r="M13" i="3"/>
  <c r="U13" i="3"/>
  <c r="T13" i="3" s="1"/>
  <c r="V13" i="3"/>
  <c r="X13" i="3"/>
  <c r="M12" i="3"/>
  <c r="U12" i="3"/>
  <c r="AC12" i="3" s="1"/>
  <c r="V12" i="3"/>
  <c r="X12" i="3"/>
  <c r="M10" i="3"/>
  <c r="U10" i="3"/>
  <c r="V10" i="3"/>
  <c r="X10" i="3"/>
  <c r="M8" i="3"/>
  <c r="U8" i="3"/>
  <c r="AC8" i="3" s="1"/>
  <c r="V8" i="3"/>
  <c r="X8" i="3"/>
  <c r="M27" i="3"/>
  <c r="U27" i="3"/>
  <c r="V27" i="3"/>
  <c r="X27" i="3"/>
  <c r="AG198" i="1"/>
  <c r="AG125" i="1"/>
  <c r="AG26" i="1"/>
  <c r="AG42" i="1"/>
  <c r="AG57" i="1"/>
  <c r="AG72" i="1"/>
  <c r="AG88" i="1"/>
  <c r="AG173" i="1"/>
  <c r="AG188" i="1"/>
  <c r="AG102" i="1"/>
  <c r="AG115" i="1"/>
  <c r="AG133" i="1"/>
  <c r="AG150" i="1"/>
  <c r="AG203" i="1"/>
  <c r="AG222" i="1"/>
  <c r="AG20" i="1"/>
  <c r="AG36" i="1"/>
  <c r="AG51" i="1"/>
  <c r="AG66" i="1"/>
  <c r="AG82" i="1"/>
  <c r="AG37" i="1"/>
  <c r="AG67" i="1"/>
  <c r="AG165" i="1"/>
  <c r="AG185" i="1"/>
  <c r="AG212" i="1"/>
  <c r="AG122" i="1"/>
  <c r="AG146" i="1"/>
  <c r="AG205" i="1"/>
  <c r="AG196" i="1"/>
  <c r="AG131" i="1"/>
  <c r="AG206" i="1"/>
  <c r="AG71" i="1"/>
  <c r="AG187" i="1"/>
  <c r="AG138" i="1"/>
  <c r="AG134" i="1"/>
  <c r="AG31" i="1"/>
  <c r="AG62" i="1"/>
  <c r="AG92" i="1"/>
  <c r="AG182" i="1"/>
  <c r="AG108" i="1"/>
  <c r="AG201" i="1"/>
  <c r="AG91" i="1"/>
  <c r="AG95" i="1"/>
  <c r="AG127" i="1"/>
  <c r="AG121" i="1"/>
  <c r="AG132" i="1"/>
  <c r="AG139" i="1"/>
  <c r="AG27" i="1"/>
  <c r="AG58" i="1"/>
  <c r="AG89" i="1"/>
  <c r="AG179" i="1"/>
  <c r="AG97" i="1"/>
  <c r="AG128" i="1"/>
  <c r="W22" i="3"/>
  <c r="W17" i="3"/>
  <c r="W24" i="3"/>
  <c r="W25" i="3"/>
  <c r="W7" i="3"/>
  <c r="AG158" i="1"/>
  <c r="AG14" i="1"/>
  <c r="AG30" i="1"/>
  <c r="AG46" i="1"/>
  <c r="AG61" i="1"/>
  <c r="AG76" i="1"/>
  <c r="AG93" i="1"/>
  <c r="AG177" i="1"/>
  <c r="AG192" i="1"/>
  <c r="AG214" i="1"/>
  <c r="AG119" i="1"/>
  <c r="AG137" i="1"/>
  <c r="AG154" i="1"/>
  <c r="AG207" i="1"/>
  <c r="AG15" i="1"/>
  <c r="AG24" i="1"/>
  <c r="AG40" i="1"/>
  <c r="AG55" i="1"/>
  <c r="AG70" i="1"/>
  <c r="AG86" i="1"/>
  <c r="AG45" i="1"/>
  <c r="AG75" i="1"/>
  <c r="AG171" i="1"/>
  <c r="AG190" i="1"/>
  <c r="AG106" i="1"/>
  <c r="AG130" i="1"/>
  <c r="AG152" i="1"/>
  <c r="AG210" i="1"/>
  <c r="AG213" i="1"/>
  <c r="AG142" i="1"/>
  <c r="AG215" i="1"/>
  <c r="AG87" i="1"/>
  <c r="AG197" i="1"/>
  <c r="AG155" i="1"/>
  <c r="AG151" i="1"/>
  <c r="AG39" i="1"/>
  <c r="AG69" i="1"/>
  <c r="AG167" i="1"/>
  <c r="AG186" i="1"/>
  <c r="AG118" i="1"/>
  <c r="AG220" i="1"/>
  <c r="AG79" i="1"/>
  <c r="AG96" i="1"/>
  <c r="AG143" i="1"/>
  <c r="AG156" i="1"/>
  <c r="AG148" i="1"/>
  <c r="AG162" i="1"/>
  <c r="AG35" i="1"/>
  <c r="AG65" i="1"/>
  <c r="AG164" i="1"/>
  <c r="AG183" i="1"/>
  <c r="AG103" i="1"/>
  <c r="AG144" i="1"/>
  <c r="W10" i="3"/>
  <c r="W13" i="3"/>
  <c r="W12" i="3"/>
  <c r="W21" i="3"/>
  <c r="W8" i="3"/>
  <c r="AG149" i="1"/>
  <c r="AG18" i="1"/>
  <c r="AG34" i="1"/>
  <c r="AG49" i="1"/>
  <c r="AG64" i="1"/>
  <c r="AG80" i="1"/>
  <c r="AG166" i="1"/>
  <c r="AG181" i="1"/>
  <c r="AG195" i="1"/>
  <c r="AG107" i="1"/>
  <c r="AG123" i="1"/>
  <c r="AG53" i="1"/>
  <c r="AG184" i="1"/>
  <c r="AG141" i="1"/>
  <c r="AG211" i="1"/>
  <c r="AG28" i="1"/>
  <c r="AG59" i="1"/>
  <c r="AG19" i="1"/>
  <c r="AG83" i="1"/>
  <c r="AG194" i="1"/>
  <c r="AG135" i="1"/>
  <c r="AG219" i="1"/>
  <c r="AG153" i="1"/>
  <c r="AG168" i="1"/>
  <c r="AG208" i="1"/>
  <c r="AG47" i="1"/>
  <c r="AG172" i="1"/>
  <c r="AG136" i="1"/>
  <c r="AG163" i="1"/>
  <c r="AG161" i="1"/>
  <c r="AG202" i="1"/>
  <c r="AG43" i="1"/>
  <c r="AG169" i="1"/>
  <c r="AG105" i="1"/>
  <c r="W18" i="3"/>
  <c r="W20" i="3"/>
  <c r="W14" i="3"/>
  <c r="AG126" i="1"/>
  <c r="AG68" i="1"/>
  <c r="AG98" i="1"/>
  <c r="AG145" i="1"/>
  <c r="AG218" i="1"/>
  <c r="AG32" i="1"/>
  <c r="AG63" i="1"/>
  <c r="AG29" i="1"/>
  <c r="AG90" i="1"/>
  <c r="AG99" i="1"/>
  <c r="AG140" i="1"/>
  <c r="AG224" i="1"/>
  <c r="AG160" i="1"/>
  <c r="AG178" i="1"/>
  <c r="AG221" i="1"/>
  <c r="AG54" i="1"/>
  <c r="AG176" i="1"/>
  <c r="AG147" i="1"/>
  <c r="AG94" i="1"/>
  <c r="AG216" i="1"/>
  <c r="AG116" i="1"/>
  <c r="AG50" i="1"/>
  <c r="AG174" i="1"/>
  <c r="AG110" i="1"/>
  <c r="W15" i="3"/>
  <c r="W26" i="3"/>
  <c r="W27" i="3"/>
  <c r="AG22" i="1"/>
  <c r="AG84" i="1"/>
  <c r="AG111" i="1"/>
  <c r="AG159" i="1"/>
  <c r="AG23" i="1"/>
  <c r="AG44" i="1"/>
  <c r="AG74" i="1"/>
  <c r="AG52" i="1"/>
  <c r="AG175" i="1"/>
  <c r="AG112" i="1"/>
  <c r="AG157" i="1"/>
  <c r="AG113" i="1"/>
  <c r="AG33" i="1"/>
  <c r="AG109" i="1"/>
  <c r="AG204" i="1"/>
  <c r="AG77" i="1"/>
  <c r="AG191" i="1"/>
  <c r="AG25" i="1"/>
  <c r="AG104" i="1"/>
  <c r="AG217" i="1"/>
  <c r="AG223" i="1"/>
  <c r="AG73" i="1"/>
  <c r="AG189" i="1"/>
  <c r="AG209" i="1"/>
  <c r="W23" i="3"/>
  <c r="W19" i="3"/>
  <c r="AG38" i="1"/>
  <c r="AG170" i="1"/>
  <c r="AG129" i="1"/>
  <c r="AG199" i="1"/>
  <c r="AG16" i="1"/>
  <c r="AG48" i="1"/>
  <c r="AG78" i="1"/>
  <c r="AG60" i="1"/>
  <c r="AG180" i="1"/>
  <c r="AG117" i="1"/>
  <c r="AG200" i="1"/>
  <c r="AG124" i="1"/>
  <c r="AG56" i="1"/>
  <c r="AG120" i="1"/>
  <c r="AG21" i="1"/>
  <c r="AG85" i="1"/>
  <c r="AG100" i="1"/>
  <c r="AG41" i="1"/>
  <c r="AG114" i="1"/>
  <c r="AG101" i="1"/>
  <c r="AG17" i="1"/>
  <c r="AG81" i="1"/>
  <c r="AG193" i="1"/>
  <c r="W9" i="3"/>
  <c r="W16" i="3"/>
  <c r="W11" i="3"/>
  <c r="AI198" i="1" l="1"/>
  <c r="U198" i="1"/>
  <c r="S198" i="1" s="1"/>
  <c r="W198" i="1"/>
  <c r="AI158" i="1"/>
  <c r="U158" i="1"/>
  <c r="S158" i="1" s="1"/>
  <c r="W158" i="1"/>
  <c r="AI149" i="1"/>
  <c r="U149" i="1"/>
  <c r="S149" i="1" s="1"/>
  <c r="W149" i="1"/>
  <c r="X149" i="1"/>
  <c r="U126" i="1"/>
  <c r="S126" i="1" s="1"/>
  <c r="AI126" i="1"/>
  <c r="W126" i="1"/>
  <c r="X126" i="1"/>
  <c r="AI125" i="1"/>
  <c r="U125" i="1"/>
  <c r="S125" i="1" s="1"/>
  <c r="W125" i="1"/>
  <c r="X125" i="1"/>
  <c r="AC20" i="3"/>
  <c r="AD20" i="3"/>
  <c r="AE24" i="3"/>
  <c r="AC14" i="3"/>
  <c r="AA224" i="1"/>
  <c r="X215" i="1"/>
  <c r="AA211" i="1"/>
  <c r="X203" i="1"/>
  <c r="T200" i="1"/>
  <c r="AA155" i="1"/>
  <c r="AA148" i="1"/>
  <c r="AA145" i="1"/>
  <c r="AA139" i="1"/>
  <c r="X138" i="1"/>
  <c r="AA123" i="1"/>
  <c r="AA113" i="1"/>
  <c r="X112" i="1"/>
  <c r="AA105" i="1"/>
  <c r="AA212" i="1"/>
  <c r="X103" i="1"/>
  <c r="AA100" i="1"/>
  <c r="X99" i="1"/>
  <c r="AA197" i="1"/>
  <c r="AA193" i="1"/>
  <c r="X96" i="1"/>
  <c r="AA190" i="1"/>
  <c r="X189" i="1"/>
  <c r="AA186" i="1"/>
  <c r="X185" i="1"/>
  <c r="AA95" i="1"/>
  <c r="X182" i="1"/>
  <c r="X178" i="1"/>
  <c r="X174" i="1"/>
  <c r="X171" i="1"/>
  <c r="X167" i="1"/>
  <c r="AA61" i="1"/>
  <c r="AA55" i="1"/>
  <c r="AA47" i="1"/>
  <c r="AA32" i="1"/>
  <c r="AA22" i="1"/>
  <c r="AD21" i="3"/>
  <c r="AE14" i="3"/>
  <c r="T18" i="3"/>
  <c r="T219" i="1"/>
  <c r="T215" i="1"/>
  <c r="AA208" i="1"/>
  <c r="AA202" i="1"/>
  <c r="AA159" i="1"/>
  <c r="T150" i="1"/>
  <c r="AA144" i="1"/>
  <c r="AA141" i="1"/>
  <c r="AA136" i="1"/>
  <c r="AA135" i="1"/>
  <c r="AA133" i="1"/>
  <c r="AA131" i="1"/>
  <c r="X130" i="1"/>
  <c r="AA121" i="1"/>
  <c r="X120" i="1"/>
  <c r="AA120" i="1"/>
  <c r="AA107" i="1"/>
  <c r="AA214" i="1"/>
  <c r="X213" i="1"/>
  <c r="AA102" i="1"/>
  <c r="X101" i="1"/>
  <c r="AA98" i="1"/>
  <c r="X97" i="1"/>
  <c r="AA195" i="1"/>
  <c r="X194" i="1"/>
  <c r="AA192" i="1"/>
  <c r="X191" i="1"/>
  <c r="AA188" i="1"/>
  <c r="X187" i="1"/>
  <c r="AA184" i="1"/>
  <c r="X183" i="1"/>
  <c r="AA181" i="1"/>
  <c r="X180" i="1"/>
  <c r="X176" i="1"/>
  <c r="X94" i="1"/>
  <c r="X169" i="1"/>
  <c r="X165" i="1"/>
  <c r="X72" i="1"/>
  <c r="X68" i="1"/>
  <c r="X64" i="1"/>
  <c r="X62" i="1"/>
  <c r="X61" i="1"/>
  <c r="AA56" i="1"/>
  <c r="AA54" i="1"/>
  <c r="X52" i="1"/>
  <c r="AA36" i="1"/>
  <c r="AA30" i="1"/>
  <c r="X16" i="1"/>
  <c r="X15" i="1"/>
  <c r="X209" i="1"/>
  <c r="AA207" i="1"/>
  <c r="AA204" i="1"/>
  <c r="X156" i="1"/>
  <c r="AA154" i="1"/>
  <c r="AA137" i="1"/>
  <c r="AA129" i="1"/>
  <c r="W129" i="1" s="1"/>
  <c r="AA128" i="1"/>
  <c r="AA118" i="1"/>
  <c r="AA117" i="1"/>
  <c r="T112" i="1"/>
  <c r="U112" i="1" s="1"/>
  <c r="S112" i="1" s="1"/>
  <c r="X109" i="1"/>
  <c r="X104" i="1"/>
  <c r="AA104" i="1"/>
  <c r="AA103" i="1"/>
  <c r="W103" i="1" s="1"/>
  <c r="AA99" i="1"/>
  <c r="AA196" i="1"/>
  <c r="AA96" i="1"/>
  <c r="AA189" i="1"/>
  <c r="W189" i="1" s="1"/>
  <c r="AA185" i="1"/>
  <c r="AA182" i="1"/>
  <c r="X48" i="1"/>
  <c r="AA28" i="1"/>
  <c r="W28" i="1" s="1"/>
  <c r="AA27" i="1"/>
  <c r="AA26" i="1"/>
  <c r="AA223" i="1"/>
  <c r="X207" i="1"/>
  <c r="X154" i="1"/>
  <c r="AA151" i="1"/>
  <c r="AA150" i="1"/>
  <c r="X139" i="1"/>
  <c r="X137" i="1"/>
  <c r="AA134" i="1"/>
  <c r="X133" i="1"/>
  <c r="X131" i="1"/>
  <c r="X129" i="1"/>
  <c r="X74" i="1"/>
  <c r="X70" i="1"/>
  <c r="X66" i="1"/>
  <c r="AA59" i="1"/>
  <c r="AA57" i="1"/>
  <c r="X56" i="1"/>
  <c r="X51" i="1"/>
  <c r="X46" i="1"/>
  <c r="AA42" i="1"/>
  <c r="AA40" i="1"/>
  <c r="AA39" i="1"/>
  <c r="AA37" i="1"/>
  <c r="X18" i="1"/>
  <c r="AA16" i="1"/>
  <c r="T16" i="1"/>
  <c r="T224" i="1"/>
  <c r="X220" i="1"/>
  <c r="AA218" i="1"/>
  <c r="AA217" i="1"/>
  <c r="AA216" i="1"/>
  <c r="AA215" i="1"/>
  <c r="X211" i="1"/>
  <c r="AA210" i="1"/>
  <c r="W210" i="1" s="1"/>
  <c r="AA209" i="1"/>
  <c r="T208" i="1"/>
  <c r="X201" i="1"/>
  <c r="AA199" i="1"/>
  <c r="W199" i="1" s="1"/>
  <c r="AA162" i="1"/>
  <c r="AA161" i="1"/>
  <c r="AA160" i="1"/>
  <c r="AA157" i="1"/>
  <c r="AA156" i="1"/>
  <c r="T155" i="1"/>
  <c r="X145" i="1"/>
  <c r="AA142" i="1"/>
  <c r="X141" i="1"/>
  <c r="AA132" i="1"/>
  <c r="X121" i="1"/>
  <c r="AA115" i="1"/>
  <c r="AA110" i="1"/>
  <c r="AA109" i="1"/>
  <c r="T105" i="1"/>
  <c r="T104" i="1"/>
  <c r="AA213" i="1"/>
  <c r="AA101" i="1"/>
  <c r="AA97" i="1"/>
  <c r="AA194" i="1"/>
  <c r="AA191" i="1"/>
  <c r="AA187" i="1"/>
  <c r="AA183" i="1"/>
  <c r="AA180" i="1"/>
  <c r="AA62" i="1"/>
  <c r="AA49" i="1"/>
  <c r="AA48" i="1"/>
  <c r="X32" i="1"/>
  <c r="X28" i="1"/>
  <c r="AA23" i="1"/>
  <c r="AA14" i="1"/>
  <c r="T120" i="1"/>
  <c r="T117" i="1"/>
  <c r="X55" i="1"/>
  <c r="AA53" i="1"/>
  <c r="AA50" i="1"/>
  <c r="AA45" i="1"/>
  <c r="AA18" i="1"/>
  <c r="T222" i="1"/>
  <c r="U222" i="1" s="1"/>
  <c r="S222" i="1" s="1"/>
  <c r="T211" i="1"/>
  <c r="T203" i="1"/>
  <c r="T159" i="1"/>
  <c r="X152" i="1"/>
  <c r="X148" i="1"/>
  <c r="T148" i="1"/>
  <c r="T147" i="1"/>
  <c r="T135" i="1"/>
  <c r="X114" i="1"/>
  <c r="T114" i="1"/>
  <c r="X217" i="1"/>
  <c r="X216" i="1"/>
  <c r="X206" i="1"/>
  <c r="X205" i="1"/>
  <c r="X162" i="1"/>
  <c r="X153" i="1"/>
  <c r="T146" i="1"/>
  <c r="X143" i="1"/>
  <c r="X140" i="1"/>
  <c r="T140" i="1"/>
  <c r="AA127" i="1"/>
  <c r="T127" i="1"/>
  <c r="X123" i="1"/>
  <c r="T123" i="1"/>
  <c r="T121" i="1"/>
  <c r="X118" i="1"/>
  <c r="T118" i="1"/>
  <c r="X119" i="1"/>
  <c r="X113" i="1"/>
  <c r="X223" i="1"/>
  <c r="T221" i="1"/>
  <c r="U221" i="1" s="1"/>
  <c r="S221" i="1" s="1"/>
  <c r="T210" i="1"/>
  <c r="X204" i="1"/>
  <c r="T202" i="1"/>
  <c r="T157" i="1"/>
  <c r="AA152" i="1"/>
  <c r="X144" i="1"/>
  <c r="T138" i="1"/>
  <c r="U138" i="1" s="1"/>
  <c r="S138" i="1" s="1"/>
  <c r="T136" i="1"/>
  <c r="X132" i="1"/>
  <c r="T132" i="1"/>
  <c r="X122" i="1"/>
  <c r="T122" i="1"/>
  <c r="X106" i="1"/>
  <c r="T106" i="1"/>
  <c r="AA143" i="1"/>
  <c r="T130" i="1"/>
  <c r="T128" i="1"/>
  <c r="X115" i="1"/>
  <c r="X110" i="1"/>
  <c r="T110" i="1"/>
  <c r="X111" i="1"/>
  <c r="X59" i="1"/>
  <c r="AA58" i="1"/>
  <c r="T115" i="1"/>
  <c r="T107" i="1"/>
  <c r="X177" i="1"/>
  <c r="X170" i="1"/>
  <c r="X166" i="1"/>
  <c r="X93" i="1"/>
  <c r="AA60" i="1"/>
  <c r="X44" i="1"/>
  <c r="AA43" i="1"/>
  <c r="T36" i="1"/>
  <c r="AA31" i="1"/>
  <c r="X26" i="1"/>
  <c r="AA25" i="1"/>
  <c r="AA24" i="1"/>
  <c r="X163" i="1"/>
  <c r="T20" i="1"/>
  <c r="AA15" i="1"/>
  <c r="X142" i="1"/>
  <c r="X134" i="1"/>
  <c r="X124" i="1"/>
  <c r="X116" i="1"/>
  <c r="X108" i="1"/>
  <c r="X179" i="1"/>
  <c r="X175" i="1"/>
  <c r="X172" i="1"/>
  <c r="X168" i="1"/>
  <c r="X164" i="1"/>
  <c r="AA91" i="1"/>
  <c r="X75" i="1"/>
  <c r="X71" i="1"/>
  <c r="X67" i="1"/>
  <c r="X47" i="1"/>
  <c r="AA41" i="1"/>
  <c r="AA35" i="1"/>
  <c r="AA29" i="1"/>
  <c r="AA21" i="1"/>
  <c r="AA20" i="1"/>
  <c r="U224" i="1"/>
  <c r="S224" i="1" s="1"/>
  <c r="AI224" i="1"/>
  <c r="U223" i="1"/>
  <c r="S223" i="1" s="1"/>
  <c r="AI223" i="1"/>
  <c r="AI222" i="1"/>
  <c r="AI221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U216" i="1"/>
  <c r="S216" i="1" s="1"/>
  <c r="AI216" i="1"/>
  <c r="U215" i="1"/>
  <c r="S215" i="1" s="1"/>
  <c r="AI215" i="1"/>
  <c r="U211" i="1"/>
  <c r="S211" i="1" s="1"/>
  <c r="AI214" i="1"/>
  <c r="U210" i="1"/>
  <c r="S210" i="1" s="1"/>
  <c r="AI213" i="1"/>
  <c r="U209" i="1"/>
  <c r="S209" i="1" s="1"/>
  <c r="AI212" i="1"/>
  <c r="U208" i="1"/>
  <c r="S208" i="1" s="1"/>
  <c r="AI211" i="1"/>
  <c r="U207" i="1"/>
  <c r="S207" i="1" s="1"/>
  <c r="AI210" i="1"/>
  <c r="U206" i="1"/>
  <c r="S206" i="1" s="1"/>
  <c r="AI209" i="1"/>
  <c r="U205" i="1"/>
  <c r="S205" i="1" s="1"/>
  <c r="AI208" i="1"/>
  <c r="U204" i="1"/>
  <c r="S204" i="1" s="1"/>
  <c r="AI207" i="1"/>
  <c r="U203" i="1"/>
  <c r="S203" i="1" s="1"/>
  <c r="AI206" i="1"/>
  <c r="U202" i="1"/>
  <c r="S202" i="1" s="1"/>
  <c r="AI205" i="1"/>
  <c r="U201" i="1"/>
  <c r="S201" i="1" s="1"/>
  <c r="AI204" i="1"/>
  <c r="U200" i="1"/>
  <c r="S200" i="1" s="1"/>
  <c r="AI203" i="1"/>
  <c r="U199" i="1"/>
  <c r="S199" i="1" s="1"/>
  <c r="AI202" i="1"/>
  <c r="U162" i="1"/>
  <c r="S162" i="1" s="1"/>
  <c r="AI201" i="1"/>
  <c r="U161" i="1"/>
  <c r="S161" i="1" s="1"/>
  <c r="AI200" i="1"/>
  <c r="U160" i="1"/>
  <c r="S160" i="1" s="1"/>
  <c r="AI199" i="1"/>
  <c r="U159" i="1"/>
  <c r="S159" i="1" s="1"/>
  <c r="AI197" i="1"/>
  <c r="U157" i="1"/>
  <c r="S157" i="1" s="1"/>
  <c r="AI196" i="1"/>
  <c r="U156" i="1"/>
  <c r="S156" i="1" s="1"/>
  <c r="AI195" i="1"/>
  <c r="U155" i="1"/>
  <c r="S155" i="1" s="1"/>
  <c r="AI194" i="1"/>
  <c r="U154" i="1"/>
  <c r="S154" i="1" s="1"/>
  <c r="AI193" i="1"/>
  <c r="U153" i="1"/>
  <c r="S153" i="1" s="1"/>
  <c r="AI192" i="1"/>
  <c r="U152" i="1"/>
  <c r="S152" i="1" s="1"/>
  <c r="AI191" i="1"/>
  <c r="U151" i="1"/>
  <c r="S151" i="1" s="1"/>
  <c r="AI190" i="1"/>
  <c r="U150" i="1"/>
  <c r="S150" i="1" s="1"/>
  <c r="AI189" i="1"/>
  <c r="U148" i="1"/>
  <c r="S148" i="1" s="1"/>
  <c r="AI188" i="1"/>
  <c r="U147" i="1"/>
  <c r="S147" i="1" s="1"/>
  <c r="AI187" i="1"/>
  <c r="U146" i="1"/>
  <c r="S146" i="1" s="1"/>
  <c r="AI186" i="1"/>
  <c r="U145" i="1"/>
  <c r="S145" i="1" s="1"/>
  <c r="AI185" i="1"/>
  <c r="U144" i="1"/>
  <c r="S144" i="1" s="1"/>
  <c r="AI184" i="1"/>
  <c r="U143" i="1"/>
  <c r="S143" i="1" s="1"/>
  <c r="AI183" i="1"/>
  <c r="U142" i="1"/>
  <c r="S142" i="1" s="1"/>
  <c r="AI182" i="1"/>
  <c r="U141" i="1"/>
  <c r="S141" i="1" s="1"/>
  <c r="AI181" i="1"/>
  <c r="U140" i="1"/>
  <c r="S140" i="1" s="1"/>
  <c r="AI180" i="1"/>
  <c r="U139" i="1"/>
  <c r="S139" i="1" s="1"/>
  <c r="AI179" i="1"/>
  <c r="AI178" i="1"/>
  <c r="U137" i="1"/>
  <c r="S137" i="1" s="1"/>
  <c r="AI177" i="1"/>
  <c r="U136" i="1"/>
  <c r="S136" i="1" s="1"/>
  <c r="AI176" i="1"/>
  <c r="U135" i="1"/>
  <c r="S135" i="1" s="1"/>
  <c r="AI175" i="1"/>
  <c r="U134" i="1"/>
  <c r="S134" i="1" s="1"/>
  <c r="AI174" i="1"/>
  <c r="U133" i="1"/>
  <c r="S133" i="1" s="1"/>
  <c r="AI173" i="1"/>
  <c r="U132" i="1"/>
  <c r="S132" i="1" s="1"/>
  <c r="AI172" i="1"/>
  <c r="U131" i="1"/>
  <c r="S131" i="1" s="1"/>
  <c r="AI171" i="1"/>
  <c r="U130" i="1"/>
  <c r="S130" i="1" s="1"/>
  <c r="AI170" i="1"/>
  <c r="U129" i="1"/>
  <c r="S129" i="1" s="1"/>
  <c r="AI169" i="1"/>
  <c r="U128" i="1"/>
  <c r="S128" i="1" s="1"/>
  <c r="AI168" i="1"/>
  <c r="U127" i="1"/>
  <c r="S127" i="1" s="1"/>
  <c r="AI167" i="1"/>
  <c r="U124" i="1"/>
  <c r="S124" i="1" s="1"/>
  <c r="AI166" i="1"/>
  <c r="U123" i="1"/>
  <c r="S123" i="1" s="1"/>
  <c r="AI165" i="1"/>
  <c r="U122" i="1"/>
  <c r="AI164" i="1"/>
  <c r="U121" i="1"/>
  <c r="S121" i="1" s="1"/>
  <c r="AI163" i="1"/>
  <c r="U120" i="1"/>
  <c r="S120" i="1" s="1"/>
  <c r="AI162" i="1"/>
  <c r="U119" i="1"/>
  <c r="S119" i="1" s="1"/>
  <c r="AI161" i="1"/>
  <c r="U118" i="1"/>
  <c r="S118" i="1" s="1"/>
  <c r="AI160" i="1"/>
  <c r="U117" i="1"/>
  <c r="S117" i="1" s="1"/>
  <c r="AI159" i="1"/>
  <c r="U116" i="1"/>
  <c r="S116" i="1" s="1"/>
  <c r="AI157" i="1"/>
  <c r="U115" i="1"/>
  <c r="S115" i="1" s="1"/>
  <c r="AI156" i="1"/>
  <c r="U114" i="1"/>
  <c r="S114" i="1" s="1"/>
  <c r="AI155" i="1"/>
  <c r="U113" i="1"/>
  <c r="S113" i="1" s="1"/>
  <c r="AI154" i="1"/>
  <c r="AI153" i="1"/>
  <c r="U111" i="1"/>
  <c r="S111" i="1" s="1"/>
  <c r="AI152" i="1"/>
  <c r="U110" i="1"/>
  <c r="S110" i="1" s="1"/>
  <c r="AI151" i="1"/>
  <c r="U109" i="1"/>
  <c r="S109" i="1" s="1"/>
  <c r="AI150" i="1"/>
  <c r="U108" i="1"/>
  <c r="S108" i="1" s="1"/>
  <c r="AI148" i="1"/>
  <c r="U107" i="1"/>
  <c r="S107" i="1" s="1"/>
  <c r="AI147" i="1"/>
  <c r="U106" i="1"/>
  <c r="S106" i="1" s="1"/>
  <c r="AI146" i="1"/>
  <c r="U105" i="1"/>
  <c r="S105" i="1" s="1"/>
  <c r="AI145" i="1"/>
  <c r="U104" i="1"/>
  <c r="S104" i="1" s="1"/>
  <c r="AI144" i="1"/>
  <c r="AI143" i="1"/>
  <c r="U214" i="1"/>
  <c r="S214" i="1" s="1"/>
  <c r="AI142" i="1"/>
  <c r="AI141" i="1"/>
  <c r="U212" i="1"/>
  <c r="S212" i="1" s="1"/>
  <c r="AI140" i="1"/>
  <c r="AI139" i="1"/>
  <c r="U102" i="1"/>
  <c r="S102" i="1" s="1"/>
  <c r="AI138" i="1"/>
  <c r="AI137" i="1"/>
  <c r="U100" i="1"/>
  <c r="S100" i="1" s="1"/>
  <c r="AI136" i="1"/>
  <c r="AI135" i="1"/>
  <c r="U98" i="1"/>
  <c r="S98" i="1" s="1"/>
  <c r="AI134" i="1"/>
  <c r="AI133" i="1"/>
  <c r="U197" i="1"/>
  <c r="S197" i="1" s="1"/>
  <c r="AI132" i="1"/>
  <c r="AI131" i="1"/>
  <c r="U195" i="1"/>
  <c r="S195" i="1" s="1"/>
  <c r="AI130" i="1"/>
  <c r="AI129" i="1"/>
  <c r="U193" i="1"/>
  <c r="S193" i="1" s="1"/>
  <c r="AI128" i="1"/>
  <c r="AI127" i="1"/>
  <c r="U192" i="1"/>
  <c r="S192" i="1" s="1"/>
  <c r="AI124" i="1"/>
  <c r="AI123" i="1"/>
  <c r="U190" i="1"/>
  <c r="S190" i="1" s="1"/>
  <c r="AI122" i="1"/>
  <c r="AI121" i="1"/>
  <c r="U188" i="1"/>
  <c r="S188" i="1" s="1"/>
  <c r="AI120" i="1"/>
  <c r="AI119" i="1"/>
  <c r="U186" i="1"/>
  <c r="S186" i="1" s="1"/>
  <c r="AI118" i="1"/>
  <c r="AI117" i="1"/>
  <c r="U184" i="1"/>
  <c r="S184" i="1" s="1"/>
  <c r="AI116" i="1"/>
  <c r="AI115" i="1"/>
  <c r="U95" i="1"/>
  <c r="S95" i="1" s="1"/>
  <c r="AI114" i="1"/>
  <c r="AI113" i="1"/>
  <c r="U181" i="1"/>
  <c r="S181" i="1" s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U92" i="1"/>
  <c r="S92" i="1" s="1"/>
  <c r="AI92" i="1"/>
  <c r="AI90" i="1"/>
  <c r="U90" i="1"/>
  <c r="S90" i="1" s="1"/>
  <c r="AI89" i="1"/>
  <c r="U89" i="1"/>
  <c r="S89" i="1" s="1"/>
  <c r="AI88" i="1"/>
  <c r="U88" i="1"/>
  <c r="S88" i="1" s="1"/>
  <c r="AI87" i="1"/>
  <c r="U87" i="1"/>
  <c r="S87" i="1" s="1"/>
  <c r="AI86" i="1"/>
  <c r="U86" i="1"/>
  <c r="S86" i="1" s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AI77" i="1"/>
  <c r="U77" i="1"/>
  <c r="S77" i="1" s="1"/>
  <c r="AI76" i="1"/>
  <c r="U76" i="1"/>
  <c r="S76" i="1" s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91" i="1"/>
  <c r="U63" i="1"/>
  <c r="AI63" i="1"/>
  <c r="AI62" i="1"/>
  <c r="U61" i="1"/>
  <c r="S61" i="1" s="1"/>
  <c r="AI61" i="1"/>
  <c r="AI60" i="1"/>
  <c r="W60" i="1"/>
  <c r="U59" i="1"/>
  <c r="S59" i="1" s="1"/>
  <c r="AI59" i="1"/>
  <c r="AI58" i="1"/>
  <c r="U57" i="1"/>
  <c r="S57" i="1" s="1"/>
  <c r="AI57" i="1"/>
  <c r="U56" i="1"/>
  <c r="S56" i="1" s="1"/>
  <c r="AI56" i="1"/>
  <c r="U55" i="1"/>
  <c r="S55" i="1" s="1"/>
  <c r="AI55" i="1"/>
  <c r="AI54" i="1"/>
  <c r="U53" i="1"/>
  <c r="S53" i="1" s="1"/>
  <c r="AI53" i="1"/>
  <c r="AI52" i="1"/>
  <c r="U51" i="1"/>
  <c r="S51" i="1" s="1"/>
  <c r="AI51" i="1"/>
  <c r="AI50" i="1"/>
  <c r="U49" i="1"/>
  <c r="S49" i="1" s="1"/>
  <c r="AI49" i="1"/>
  <c r="U48" i="1"/>
  <c r="S48" i="1" s="1"/>
  <c r="AI48" i="1"/>
  <c r="AI47" i="1"/>
  <c r="U46" i="1"/>
  <c r="S46" i="1" s="1"/>
  <c r="AI46" i="1"/>
  <c r="AI45" i="1"/>
  <c r="U44" i="1"/>
  <c r="S44" i="1" s="1"/>
  <c r="AI44" i="1"/>
  <c r="AI43" i="1"/>
  <c r="U42" i="1"/>
  <c r="S42" i="1" s="1"/>
  <c r="AI42" i="1"/>
  <c r="AI41" i="1"/>
  <c r="U40" i="1"/>
  <c r="S40" i="1" s="1"/>
  <c r="AI40" i="1"/>
  <c r="AI39" i="1"/>
  <c r="U38" i="1"/>
  <c r="S38" i="1" s="1"/>
  <c r="AI38" i="1"/>
  <c r="AI37" i="1"/>
  <c r="U36" i="1"/>
  <c r="S36" i="1" s="1"/>
  <c r="AI36" i="1"/>
  <c r="AI35" i="1"/>
  <c r="U34" i="1"/>
  <c r="S34" i="1" s="1"/>
  <c r="AI34" i="1"/>
  <c r="AI33" i="1"/>
  <c r="U32" i="1"/>
  <c r="S32" i="1" s="1"/>
  <c r="AI32" i="1"/>
  <c r="AI31" i="1"/>
  <c r="U30" i="1"/>
  <c r="S30" i="1" s="1"/>
  <c r="AI30" i="1"/>
  <c r="AI29" i="1"/>
  <c r="U28" i="1"/>
  <c r="S28" i="1" s="1"/>
  <c r="AI28" i="1"/>
  <c r="AI27" i="1"/>
  <c r="U26" i="1"/>
  <c r="S26" i="1" s="1"/>
  <c r="AI26" i="1"/>
  <c r="AI25" i="1"/>
  <c r="U24" i="1"/>
  <c r="S24" i="1" s="1"/>
  <c r="AI24" i="1"/>
  <c r="AI23" i="1"/>
  <c r="AI22" i="1"/>
  <c r="U22" i="1"/>
  <c r="S22" i="1" s="1"/>
  <c r="AI21" i="1"/>
  <c r="AI20" i="1"/>
  <c r="U20" i="1"/>
  <c r="S20" i="1" s="1"/>
  <c r="AI19" i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17" i="1"/>
  <c r="W221" i="1"/>
  <c r="W205" i="1"/>
  <c r="W202" i="1"/>
  <c r="W161" i="1"/>
  <c r="W148" i="1"/>
  <c r="W143" i="1"/>
  <c r="W132" i="1"/>
  <c r="W127" i="1"/>
  <c r="W122" i="1"/>
  <c r="W117" i="1"/>
  <c r="W106" i="1"/>
  <c r="W222" i="1"/>
  <c r="W219" i="1"/>
  <c r="W211" i="1"/>
  <c r="W208" i="1"/>
  <c r="W203" i="1"/>
  <c r="W200" i="1"/>
  <c r="W159" i="1"/>
  <c r="W155" i="1"/>
  <c r="W150" i="1"/>
  <c r="W146" i="1"/>
  <c r="W141" i="1"/>
  <c r="W138" i="1"/>
  <c r="W133" i="1"/>
  <c r="W130" i="1"/>
  <c r="W123" i="1"/>
  <c r="W120" i="1"/>
  <c r="W115" i="1"/>
  <c r="W112" i="1"/>
  <c r="W107" i="1"/>
  <c r="W104" i="1"/>
  <c r="W209" i="1"/>
  <c r="W153" i="1"/>
  <c r="W144" i="1"/>
  <c r="W139" i="1"/>
  <c r="W136" i="1"/>
  <c r="W128" i="1"/>
  <c r="W121" i="1"/>
  <c r="W118" i="1"/>
  <c r="W113" i="1"/>
  <c r="W110" i="1"/>
  <c r="W105" i="1"/>
  <c r="W59" i="1"/>
  <c r="W223" i="1"/>
  <c r="W218" i="1"/>
  <c r="W215" i="1"/>
  <c r="W207" i="1"/>
  <c r="W204" i="1"/>
  <c r="W160" i="1"/>
  <c r="W154" i="1"/>
  <c r="W151" i="1"/>
  <c r="W145" i="1"/>
  <c r="W142" i="1"/>
  <c r="W137" i="1"/>
  <c r="W134" i="1"/>
  <c r="W124" i="1"/>
  <c r="W119" i="1"/>
  <c r="W116" i="1"/>
  <c r="W111" i="1"/>
  <c r="W108" i="1"/>
  <c r="W44" i="1"/>
  <c r="W220" i="1"/>
  <c r="W206" i="1"/>
  <c r="W201" i="1"/>
  <c r="W162" i="1"/>
  <c r="W156" i="1"/>
  <c r="W147" i="1"/>
  <c r="W131" i="1"/>
  <c r="W224" i="1"/>
  <c r="W216" i="1"/>
  <c r="W157" i="1"/>
  <c r="W152" i="1"/>
  <c r="W140" i="1"/>
  <c r="W135" i="1"/>
  <c r="W114" i="1"/>
  <c r="W109" i="1"/>
  <c r="X91" i="1"/>
  <c r="T91" i="1"/>
  <c r="U91" i="1" s="1"/>
  <c r="S91" i="1" s="1"/>
  <c r="X214" i="1"/>
  <c r="W213" i="1"/>
  <c r="T213" i="1"/>
  <c r="U213" i="1" s="1"/>
  <c r="S213" i="1" s="1"/>
  <c r="X212" i="1"/>
  <c r="T103" i="1"/>
  <c r="U103" i="1" s="1"/>
  <c r="S103" i="1" s="1"/>
  <c r="X102" i="1"/>
  <c r="W101" i="1"/>
  <c r="T101" i="1"/>
  <c r="U101" i="1" s="1"/>
  <c r="S101" i="1" s="1"/>
  <c r="X100" i="1"/>
  <c r="W99" i="1"/>
  <c r="T99" i="1"/>
  <c r="U99" i="1" s="1"/>
  <c r="S99" i="1" s="1"/>
  <c r="X98" i="1"/>
  <c r="W97" i="1"/>
  <c r="T97" i="1"/>
  <c r="U97" i="1" s="1"/>
  <c r="S97" i="1" s="1"/>
  <c r="W196" i="1"/>
  <c r="T196" i="1"/>
  <c r="U196" i="1" s="1"/>
  <c r="S196" i="1" s="1"/>
  <c r="W194" i="1"/>
  <c r="T194" i="1"/>
  <c r="U194" i="1" s="1"/>
  <c r="S194" i="1" s="1"/>
  <c r="X193" i="1"/>
  <c r="W96" i="1"/>
  <c r="T96" i="1"/>
  <c r="U96" i="1" s="1"/>
  <c r="S96" i="1" s="1"/>
  <c r="X192" i="1"/>
  <c r="W191" i="1"/>
  <c r="T191" i="1"/>
  <c r="U191" i="1" s="1"/>
  <c r="S191" i="1" s="1"/>
  <c r="X190" i="1"/>
  <c r="T189" i="1"/>
  <c r="U189" i="1" s="1"/>
  <c r="S189" i="1" s="1"/>
  <c r="X188" i="1"/>
  <c r="W187" i="1"/>
  <c r="T187" i="1"/>
  <c r="U187" i="1" s="1"/>
  <c r="S187" i="1" s="1"/>
  <c r="X186" i="1"/>
  <c r="W185" i="1"/>
  <c r="T185" i="1"/>
  <c r="U185" i="1" s="1"/>
  <c r="S185" i="1" s="1"/>
  <c r="X184" i="1"/>
  <c r="W183" i="1"/>
  <c r="T183" i="1"/>
  <c r="U183" i="1" s="1"/>
  <c r="S183" i="1" s="1"/>
  <c r="X95" i="1"/>
  <c r="W182" i="1"/>
  <c r="T182" i="1"/>
  <c r="U182" i="1" s="1"/>
  <c r="S182" i="1" s="1"/>
  <c r="X181" i="1"/>
  <c r="W180" i="1"/>
  <c r="T180" i="1"/>
  <c r="U180" i="1" s="1"/>
  <c r="S180" i="1" s="1"/>
  <c r="W58" i="1"/>
  <c r="W57" i="1"/>
  <c r="W45" i="1"/>
  <c r="W43" i="1"/>
  <c r="W42" i="1"/>
  <c r="T179" i="1"/>
  <c r="U179" i="1" s="1"/>
  <c r="S179" i="1" s="1"/>
  <c r="T178" i="1"/>
  <c r="U178" i="1" s="1"/>
  <c r="S178" i="1" s="1"/>
  <c r="T177" i="1"/>
  <c r="U177" i="1" s="1"/>
  <c r="S177" i="1" s="1"/>
  <c r="T176" i="1"/>
  <c r="U176" i="1" s="1"/>
  <c r="S176" i="1" s="1"/>
  <c r="T175" i="1"/>
  <c r="U175" i="1" s="1"/>
  <c r="S175" i="1" s="1"/>
  <c r="T174" i="1"/>
  <c r="U174" i="1" s="1"/>
  <c r="S174" i="1" s="1"/>
  <c r="T173" i="1"/>
  <c r="U173" i="1" s="1"/>
  <c r="S173" i="1" s="1"/>
  <c r="T94" i="1"/>
  <c r="U94" i="1" s="1"/>
  <c r="S94" i="1" s="1"/>
  <c r="T172" i="1"/>
  <c r="U172" i="1" s="1"/>
  <c r="S172" i="1" s="1"/>
  <c r="T171" i="1"/>
  <c r="U171" i="1" s="1"/>
  <c r="S171" i="1" s="1"/>
  <c r="T170" i="1"/>
  <c r="U170" i="1" s="1"/>
  <c r="S170" i="1" s="1"/>
  <c r="T169" i="1"/>
  <c r="U169" i="1" s="1"/>
  <c r="S169" i="1" s="1"/>
  <c r="T168" i="1"/>
  <c r="U168" i="1" s="1"/>
  <c r="S168" i="1" s="1"/>
  <c r="T167" i="1"/>
  <c r="U167" i="1" s="1"/>
  <c r="S167" i="1" s="1"/>
  <c r="T166" i="1"/>
  <c r="U166" i="1" s="1"/>
  <c r="S166" i="1" s="1"/>
  <c r="W63" i="1"/>
  <c r="W61" i="1"/>
  <c r="W48" i="1"/>
  <c r="W46" i="1"/>
  <c r="W27" i="1"/>
  <c r="W26" i="1"/>
  <c r="W214" i="1"/>
  <c r="W212" i="1"/>
  <c r="W102" i="1"/>
  <c r="W100" i="1"/>
  <c r="W98" i="1"/>
  <c r="W197" i="1"/>
  <c r="W195" i="1"/>
  <c r="W193" i="1"/>
  <c r="W192" i="1"/>
  <c r="W190" i="1"/>
  <c r="W188" i="1"/>
  <c r="W186" i="1"/>
  <c r="W184" i="1"/>
  <c r="W95" i="1"/>
  <c r="W181" i="1"/>
  <c r="W52" i="1"/>
  <c r="W51" i="1"/>
  <c r="T164" i="1"/>
  <c r="U164" i="1" s="1"/>
  <c r="S164" i="1" s="1"/>
  <c r="W55" i="1"/>
  <c r="W53" i="1"/>
  <c r="W50" i="1"/>
  <c r="W49" i="1"/>
  <c r="X41" i="1"/>
  <c r="T41" i="1"/>
  <c r="U41" i="1" s="1"/>
  <c r="S41" i="1" s="1"/>
  <c r="X29" i="1"/>
  <c r="T29" i="1"/>
  <c r="U29" i="1" s="1"/>
  <c r="S29" i="1" s="1"/>
  <c r="X30" i="1"/>
  <c r="T21" i="1"/>
  <c r="U21" i="1" s="1"/>
  <c r="S21" i="1" s="1"/>
  <c r="X21" i="1"/>
  <c r="T165" i="1"/>
  <c r="U165" i="1" s="1"/>
  <c r="S165" i="1" s="1"/>
  <c r="T163" i="1"/>
  <c r="U163" i="1" s="1"/>
  <c r="S163" i="1" s="1"/>
  <c r="T93" i="1"/>
  <c r="U93" i="1" s="1"/>
  <c r="S93" i="1" s="1"/>
  <c r="X92" i="1"/>
  <c r="W91" i="1"/>
  <c r="T75" i="1"/>
  <c r="U75" i="1" s="1"/>
  <c r="S75" i="1" s="1"/>
  <c r="T74" i="1"/>
  <c r="U74" i="1" s="1"/>
  <c r="S74" i="1" s="1"/>
  <c r="T73" i="1"/>
  <c r="U73" i="1" s="1"/>
  <c r="S73" i="1" s="1"/>
  <c r="T72" i="1"/>
  <c r="U72" i="1" s="1"/>
  <c r="S72" i="1" s="1"/>
  <c r="T71" i="1"/>
  <c r="U71" i="1" s="1"/>
  <c r="S71" i="1" s="1"/>
  <c r="T70" i="1"/>
  <c r="U70" i="1" s="1"/>
  <c r="S70" i="1" s="1"/>
  <c r="T69" i="1"/>
  <c r="U69" i="1" s="1"/>
  <c r="S69" i="1" s="1"/>
  <c r="T68" i="1"/>
  <c r="U68" i="1" s="1"/>
  <c r="S68" i="1" s="1"/>
  <c r="T67" i="1"/>
  <c r="U67" i="1" s="1"/>
  <c r="S67" i="1" s="1"/>
  <c r="T66" i="1"/>
  <c r="U66" i="1" s="1"/>
  <c r="S66" i="1" s="1"/>
  <c r="T65" i="1"/>
  <c r="U65" i="1" s="1"/>
  <c r="S65" i="1" s="1"/>
  <c r="T64" i="1"/>
  <c r="U64" i="1" s="1"/>
  <c r="S64" i="1" s="1"/>
  <c r="W62" i="1"/>
  <c r="X57" i="1"/>
  <c r="W47" i="1"/>
  <c r="X42" i="1"/>
  <c r="W35" i="1"/>
  <c r="W34" i="1"/>
  <c r="AA179" i="1"/>
  <c r="W179" i="1" s="1"/>
  <c r="AA178" i="1"/>
  <c r="W178" i="1" s="1"/>
  <c r="AA177" i="1"/>
  <c r="W177" i="1" s="1"/>
  <c r="AA176" i="1"/>
  <c r="W176" i="1" s="1"/>
  <c r="AA175" i="1"/>
  <c r="W175" i="1" s="1"/>
  <c r="AA174" i="1"/>
  <c r="W174" i="1" s="1"/>
  <c r="AA173" i="1"/>
  <c r="W173" i="1" s="1"/>
  <c r="AA94" i="1"/>
  <c r="W94" i="1" s="1"/>
  <c r="AA172" i="1"/>
  <c r="W172" i="1" s="1"/>
  <c r="AA171" i="1"/>
  <c r="W171" i="1" s="1"/>
  <c r="AA170" i="1"/>
  <c r="W170" i="1" s="1"/>
  <c r="AA169" i="1"/>
  <c r="W169" i="1" s="1"/>
  <c r="AA168" i="1"/>
  <c r="W168" i="1" s="1"/>
  <c r="AA167" i="1"/>
  <c r="W167" i="1" s="1"/>
  <c r="AA166" i="1"/>
  <c r="W166" i="1" s="1"/>
  <c r="AA165" i="1"/>
  <c r="W165" i="1" s="1"/>
  <c r="AA164" i="1"/>
  <c r="W164" i="1" s="1"/>
  <c r="AA163" i="1"/>
  <c r="W163" i="1" s="1"/>
  <c r="AA93" i="1"/>
  <c r="W93" i="1" s="1"/>
  <c r="AA92" i="1"/>
  <c r="W92" i="1" s="1"/>
  <c r="W56" i="1"/>
  <c r="W54" i="1"/>
  <c r="W41" i="1"/>
  <c r="X37" i="1"/>
  <c r="T37" i="1"/>
  <c r="U37" i="1" s="1"/>
  <c r="S37" i="1" s="1"/>
  <c r="X38" i="1"/>
  <c r="T62" i="1"/>
  <c r="U62" i="1" s="1"/>
  <c r="S62" i="1" s="1"/>
  <c r="T54" i="1"/>
  <c r="U54" i="1" s="1"/>
  <c r="S54" i="1" s="1"/>
  <c r="T47" i="1"/>
  <c r="U47" i="1" s="1"/>
  <c r="S47" i="1" s="1"/>
  <c r="W40" i="1"/>
  <c r="X35" i="1"/>
  <c r="T35" i="1"/>
  <c r="U35" i="1" s="1"/>
  <c r="S35" i="1" s="1"/>
  <c r="W33" i="1"/>
  <c r="W32" i="1"/>
  <c r="X27" i="1"/>
  <c r="T27" i="1"/>
  <c r="U27" i="1" s="1"/>
  <c r="S27" i="1" s="1"/>
  <c r="W25" i="1"/>
  <c r="T19" i="1"/>
  <c r="U19" i="1" s="1"/>
  <c r="S19" i="1" s="1"/>
  <c r="X19" i="1"/>
  <c r="T60" i="1"/>
  <c r="U60" i="1" s="1"/>
  <c r="S60" i="1" s="1"/>
  <c r="T52" i="1"/>
  <c r="U52" i="1" s="1"/>
  <c r="S52" i="1" s="1"/>
  <c r="T45" i="1"/>
  <c r="U45" i="1" s="1"/>
  <c r="S45" i="1" s="1"/>
  <c r="W39" i="1"/>
  <c r="W38" i="1"/>
  <c r="X33" i="1"/>
  <c r="T33" i="1"/>
  <c r="U33" i="1" s="1"/>
  <c r="S33" i="1" s="1"/>
  <c r="W31" i="1"/>
  <c r="W30" i="1"/>
  <c r="X25" i="1"/>
  <c r="T25" i="1"/>
  <c r="U25" i="1" s="1"/>
  <c r="S25" i="1" s="1"/>
  <c r="X24" i="1"/>
  <c r="AA90" i="1"/>
  <c r="W90" i="1" s="1"/>
  <c r="AA89" i="1"/>
  <c r="W89" i="1" s="1"/>
  <c r="AA88" i="1"/>
  <c r="W88" i="1" s="1"/>
  <c r="AA87" i="1"/>
  <c r="W87" i="1" s="1"/>
  <c r="AA86" i="1"/>
  <c r="W86" i="1" s="1"/>
  <c r="AA85" i="1"/>
  <c r="W85" i="1" s="1"/>
  <c r="AA84" i="1"/>
  <c r="W84" i="1" s="1"/>
  <c r="AA83" i="1"/>
  <c r="W83" i="1" s="1"/>
  <c r="AA82" i="1"/>
  <c r="W82" i="1" s="1"/>
  <c r="AA81" i="1"/>
  <c r="W81" i="1" s="1"/>
  <c r="AA80" i="1"/>
  <c r="W80" i="1" s="1"/>
  <c r="AA79" i="1"/>
  <c r="W79" i="1" s="1"/>
  <c r="AA78" i="1"/>
  <c r="W78" i="1" s="1"/>
  <c r="AA77" i="1"/>
  <c r="W77" i="1" s="1"/>
  <c r="AA76" i="1"/>
  <c r="W76" i="1" s="1"/>
  <c r="AA75" i="1"/>
  <c r="W75" i="1" s="1"/>
  <c r="AA74" i="1"/>
  <c r="W74" i="1" s="1"/>
  <c r="AA73" i="1"/>
  <c r="W73" i="1" s="1"/>
  <c r="AA72" i="1"/>
  <c r="W72" i="1" s="1"/>
  <c r="AA71" i="1"/>
  <c r="W71" i="1" s="1"/>
  <c r="AA70" i="1"/>
  <c r="W70" i="1" s="1"/>
  <c r="AA69" i="1"/>
  <c r="W69" i="1" s="1"/>
  <c r="AA68" i="1"/>
  <c r="W68" i="1" s="1"/>
  <c r="AA67" i="1"/>
  <c r="W67" i="1" s="1"/>
  <c r="AA66" i="1"/>
  <c r="W66" i="1" s="1"/>
  <c r="AA65" i="1"/>
  <c r="W65" i="1" s="1"/>
  <c r="AA64" i="1"/>
  <c r="W64" i="1" s="1"/>
  <c r="T58" i="1"/>
  <c r="U58" i="1" s="1"/>
  <c r="S58" i="1" s="1"/>
  <c r="T50" i="1"/>
  <c r="U50" i="1" s="1"/>
  <c r="S50" i="1" s="1"/>
  <c r="T43" i="1"/>
  <c r="U43" i="1" s="1"/>
  <c r="S43" i="1" s="1"/>
  <c r="X39" i="1"/>
  <c r="T39" i="1"/>
  <c r="U39" i="1" s="1"/>
  <c r="S39" i="1" s="1"/>
  <c r="W37" i="1"/>
  <c r="W36" i="1"/>
  <c r="X31" i="1"/>
  <c r="T31" i="1"/>
  <c r="U31" i="1" s="1"/>
  <c r="S31" i="1" s="1"/>
  <c r="W29" i="1"/>
  <c r="T23" i="1"/>
  <c r="U23" i="1" s="1"/>
  <c r="S23" i="1" s="1"/>
  <c r="X23" i="1"/>
  <c r="X22" i="1"/>
  <c r="W24" i="1"/>
  <c r="W22" i="1"/>
  <c r="W20" i="1"/>
  <c r="W18" i="1"/>
  <c r="W16" i="1"/>
  <c r="W14" i="1"/>
  <c r="W23" i="1"/>
  <c r="W21" i="1"/>
  <c r="W19" i="1"/>
  <c r="W17" i="1"/>
  <c r="W15" i="1"/>
  <c r="AC13" i="3"/>
  <c r="AE27" i="3"/>
  <c r="T8" i="3"/>
  <c r="AD26" i="3"/>
  <c r="AE22" i="3"/>
  <c r="AD17" i="3"/>
  <c r="AD16" i="3"/>
  <c r="T12" i="3"/>
  <c r="T11" i="3"/>
  <c r="AE15" i="3"/>
  <c r="AE11" i="3"/>
  <c r="AD15" i="3"/>
  <c r="AD13" i="3"/>
  <c r="AE25" i="3"/>
  <c r="AC25" i="3"/>
  <c r="T26" i="3"/>
  <c r="T24" i="3"/>
  <c r="AD12" i="3"/>
  <c r="AD11" i="3"/>
  <c r="T16" i="3"/>
  <c r="AD9" i="3"/>
  <c r="AE10" i="3"/>
  <c r="AD8" i="3"/>
  <c r="AD27" i="3"/>
  <c r="AE26" i="3"/>
  <c r="AD25" i="3"/>
  <c r="T9" i="3"/>
  <c r="T15" i="3"/>
  <c r="AE18" i="3"/>
  <c r="T7" i="3"/>
  <c r="AC17" i="3"/>
  <c r="Y13" i="3"/>
  <c r="Y25" i="3"/>
  <c r="Y20" i="3"/>
  <c r="Y17" i="3"/>
  <c r="Y14" i="3"/>
  <c r="Y15" i="3"/>
  <c r="Y8" i="3"/>
  <c r="Y12" i="3"/>
  <c r="Y26" i="3"/>
  <c r="Y7" i="3"/>
  <c r="Y24" i="3"/>
  <c r="Y18" i="3"/>
  <c r="Y9" i="3"/>
  <c r="Y11" i="3"/>
  <c r="Y16" i="3"/>
  <c r="Y10" i="3"/>
  <c r="Y23" i="3"/>
  <c r="Y22" i="3"/>
  <c r="Y21" i="3"/>
  <c r="Y19" i="3"/>
  <c r="AC10" i="3"/>
  <c r="AC23" i="3"/>
  <c r="AC22" i="3"/>
  <c r="AC21" i="3"/>
  <c r="AC19" i="3"/>
  <c r="T10" i="3"/>
  <c r="AD24" i="3"/>
  <c r="AE23" i="3"/>
  <c r="AD22" i="3"/>
  <c r="AE21" i="3"/>
  <c r="T23" i="3"/>
  <c r="AD18" i="3"/>
  <c r="AE17" i="3"/>
  <c r="T22" i="3"/>
  <c r="AD14" i="3"/>
  <c r="AE13" i="3"/>
  <c r="T21" i="3"/>
  <c r="AD10" i="3"/>
  <c r="AE9" i="3"/>
  <c r="T19" i="3"/>
  <c r="AE20" i="3"/>
  <c r="AE16" i="3"/>
  <c r="AE12" i="3"/>
  <c r="AE8" i="3"/>
  <c r="AC27" i="3"/>
  <c r="Y27" i="3"/>
  <c r="T27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N8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14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19" i="3" s="1"/>
  <c r="G45" i="4"/>
  <c r="G46" i="4"/>
  <c r="G47" i="4"/>
  <c r="G48" i="4"/>
  <c r="G49" i="4"/>
  <c r="G50" i="4"/>
  <c r="G51" i="4"/>
  <c r="G52" i="4"/>
  <c r="G53" i="4"/>
  <c r="N18" i="3" s="1"/>
  <c r="G54" i="4"/>
  <c r="N16" i="3" s="1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24" i="3" s="1"/>
  <c r="G72" i="4"/>
  <c r="N20" i="3" s="1"/>
  <c r="G73" i="4"/>
  <c r="G74" i="4"/>
  <c r="G75" i="4"/>
  <c r="G76" i="4"/>
  <c r="G77" i="4"/>
  <c r="G78" i="4"/>
  <c r="G79" i="4"/>
  <c r="G80" i="4"/>
  <c r="G81" i="4"/>
  <c r="G82" i="4"/>
  <c r="G83" i="4"/>
  <c r="N22" i="3" s="1"/>
  <c r="G84" i="4"/>
  <c r="G85" i="4"/>
  <c r="G86" i="4"/>
  <c r="G87" i="4"/>
  <c r="G88" i="4"/>
  <c r="N7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27" i="3" s="1"/>
  <c r="G118" i="4"/>
  <c r="G119" i="4"/>
  <c r="N11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23" i="3" s="1"/>
  <c r="G143" i="4"/>
  <c r="G144" i="4"/>
  <c r="G145" i="4"/>
  <c r="G146" i="4"/>
  <c r="N26" i="3" s="1"/>
  <c r="G147" i="4"/>
  <c r="G148" i="4"/>
  <c r="G149" i="4"/>
  <c r="G150" i="4"/>
  <c r="G151" i="4"/>
  <c r="G152" i="4"/>
  <c r="G153" i="4"/>
  <c r="G154" i="4"/>
  <c r="N25" i="3" s="1"/>
  <c r="G155" i="4"/>
  <c r="N15" i="3" s="1"/>
  <c r="G156" i="4"/>
  <c r="G157" i="4"/>
  <c r="G158" i="4"/>
  <c r="G159" i="4"/>
  <c r="G160" i="4"/>
  <c r="G161" i="4"/>
  <c r="G162" i="4"/>
  <c r="G163" i="4"/>
  <c r="G164" i="4"/>
  <c r="G165" i="4"/>
  <c r="N9" i="3" s="1"/>
  <c r="G166" i="4"/>
  <c r="G167" i="4"/>
  <c r="G168" i="4"/>
  <c r="G169" i="4"/>
  <c r="G170" i="4"/>
  <c r="N13" i="3" s="1"/>
  <c r="G171" i="4"/>
  <c r="G172" i="4"/>
  <c r="G173" i="4"/>
  <c r="G174" i="4"/>
  <c r="G175" i="4"/>
  <c r="G176" i="4"/>
  <c r="G177" i="4"/>
  <c r="G178" i="4"/>
  <c r="G179" i="4"/>
  <c r="G180" i="4"/>
  <c r="G181" i="4"/>
  <c r="N12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10" i="3" s="1"/>
  <c r="G215" i="4"/>
  <c r="G216" i="4"/>
  <c r="G217" i="4"/>
  <c r="G218" i="4"/>
  <c r="G219" i="4"/>
  <c r="G220" i="4"/>
  <c r="G221" i="4"/>
  <c r="G222" i="4"/>
  <c r="G223" i="4"/>
  <c r="G2" i="4"/>
  <c r="N21" i="3" l="1"/>
  <c r="N1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<sst xmlns="http://schemas.openxmlformats.org/spreadsheetml/2006/main" count="2723" uniqueCount="1071">
  <si>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</si>
  <si>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</si>
  <si>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</si>
  <si>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</si>
  <si>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</si>
  <si>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</si>
  <si>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</si>
  <si>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</si>
  <si>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</si>
  <si>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</si>
  <si>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</si>
  <si>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</si>
  <si>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</si>
  <si>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</si>
  <si>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</si>
  <si>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</si>
  <si>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</si>
  <si>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</si>
  <si>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</si>
  <si>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</si>
  <si>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</si>
  <si>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</si>
  <si>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</si>
  <si>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</si>
  <si>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</si>
  <si>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</si>
  <si>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</si>
  <si>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</si>
  <si>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</si>
  <si>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</si>
  <si>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</si>
  <si>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</si>
  <si>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</si>
  <si>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</si>
  <si>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</si>
  <si>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</si>
  <si>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</si>
  <si>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</si>
  <si>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</si>
  <si>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</si>
  <si>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</si>
  <si>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</si>
  <si>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</si>
  <si>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</si>
  <si>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</si>
  <si>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</si>
  <si>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</si>
  <si>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</si>
  <si>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</si>
  <si>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</si>
  <si>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</si>
  <si>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</si>
  <si>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</si>
  <si>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</si>
  <si>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</si>
  <si>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</si>
  <si>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</si>
  <si>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</si>
  <si>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</si>
  <si>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</si>
  <si>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</si>
  <si>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</si>
  <si>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</si>
  <si>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</si>
  <si>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</si>
  <si>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</si>
  <si>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</si>
  <si>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</si>
  <si>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</si>
  <si>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</si>
  <si>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</si>
  <si>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</si>
  <si>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</si>
  <si>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</si>
  <si>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</si>
  <si>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</si>
  <si>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</si>
  <si>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</si>
  <si>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</si>
  <si>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</si>
  <si>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</si>
  <si>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</si>
  <si>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</si>
  <si>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</si>
  <si>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</si>
  <si>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</si>
  <si>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</si>
  <si>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</si>
  <si>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</si>
  <si>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</si>
  <si>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</si>
  <si>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</si>
  <si>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</si>
  <si>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</si>
  <si>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</si>
  <si>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</si>
  <si>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</si>
  <si>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</si>
  <si>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</si>
  <si>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</si>
  <si>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</si>
  <si>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</si>
  <si>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</si>
  <si>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</si>
  <si>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</si>
  <si>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</si>
  <si>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</si>
  <si>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</si>
  <si>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</si>
  <si>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</si>
  <si>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</si>
  <si>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</si>
  <si>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</si>
  <si>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</si>
  <si>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</si>
  <si>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</si>
  <si>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</si>
  <si>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</si>
  <si>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</si>
  <si>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</si>
  <si>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</si>
  <si>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</si>
  <si>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</si>
  <si>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</si>
  <si>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</si>
  <si>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</si>
  <si>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</si>
  <si>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</si>
  <si>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</si>
  <si>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</si>
  <si>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</si>
  <si>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</si>
  <si>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</si>
  <si>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</si>
  <si>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</si>
  <si>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</si>
  <si>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</si>
  <si>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</si>
  <si>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</si>
  <si>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</si>
  <si>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</si>
  <si>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</si>
  <si>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</si>
  <si>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</si>
  <si>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</si>
  <si>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</si>
  <si>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</si>
  <si>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</si>
  <si>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</si>
  <si>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</si>
  <si>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</si>
  <si>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</si>
  <si>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</si>
  <si>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</si>
  <si>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</si>
  <si>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</si>
  <si>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</si>
  <si>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</si>
  <si>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</si>
  <si>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</si>
  <si>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</si>
  <si>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</si>
  <si>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</si>
  <si>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</si>
  <si>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</si>
  <si>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</si>
  <si>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</si>
  <si>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</si>
  <si>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</si>
  <si>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</si>
  <si>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</si>
  <si>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</si>
  <si>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</si>
  <si>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</si>
  <si>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</si>
  <si>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</si>
  <si>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</si>
  <si>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</si>
  <si>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</si>
  <si>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</si>
  <si>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</si>
  <si>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</si>
  <si>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</si>
  <si>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</si>
  <si>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</si>
  <si>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</si>
  <si>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</si>
  <si>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</si>
  <si>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</si>
  <si>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</si>
  <si>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</si>
  <si>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</si>
  <si>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</si>
  <si>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</si>
  <si>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</si>
  <si>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</si>
  <si>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</si>
  <si>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</si>
  <si>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</si>
  <si>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</si>
  <si>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</si>
  <si>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</si>
  <si>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</si>
  <si>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</si>
  <si>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</si>
  <si>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</si>
  <si>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</si>
  <si>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</si>
  <si>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</si>
  <si>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</si>
  <si>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</si>
  <si>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</si>
  <si>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</si>
  <si>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</si>
  <si>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</si>
  <si>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</si>
  <si>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</si>
  <si>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</si>
  <si>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</si>
  <si>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</si>
  <si>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</si>
  <si>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</si>
  <si>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</si>
  <si>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</si>
  <si>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</si>
  <si>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</si>
  <si>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</si>
  <si>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</si>
  <si>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</si>
  <si>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</si>
  <si>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</si>
  <si>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</si>
  <si>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</si>
  <si>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</si>
  <si>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</si>
  <si>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</si>
  <si>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</si>
  <si>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</si>
  <si>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</si>
  <si>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</si>
  <si>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</si>
  <si>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</si>
  <si>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</si>
  <si>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</si>
  <si>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</si>
  <si>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</si>
  <si>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</si>
  <si>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</si>
  <si>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</si>
  <si>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</si>
  <si>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</si>
  <si>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</si>
  <si>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</si>
  <si>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</si>
  <si>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</si>
  <si>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</si>
  <si>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</si>
  <si>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</si>
  <si>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</si>
  <si>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</si>
  <si>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</si>
  <si>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</si>
  <si>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</si>
  <si>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</si>
  <si>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</si>
  <si>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</si>
  <si>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</si>
  <si>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</si>
  <si>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</si>
  <si>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</si>
  <si>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</si>
  <si>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</si>
  <si>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</si>
  <si>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</si>
  <si>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</si>
  <si>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</si>
  <si>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</si>
  <si>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</si>
  <si>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</si>
  <si>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</si>
  <si>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</si>
  <si>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</si>
  <si>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</si>
  <si>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</si>
  <si>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</si>
  <si>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</si>
  <si>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</si>
  <si>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</si>
  <si>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</si>
  <si>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</si>
  <si>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</si>
  <si>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</si>
  <si>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</si>
  <si>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</si>
  <si>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</si>
  <si>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</si>
  <si>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</si>
  <si>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</si>
  <si>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</si>
  <si>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</si>
  <si>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</si>
  <si>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</si>
  <si>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</si>
  <si>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</si>
  <si>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</si>
  <si>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</si>
  <si>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</si>
  <si>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</si>
  <si>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</si>
  <si>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</si>
  <si>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</si>
  <si>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</si>
  <si>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</si>
  <si>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</si>
  <si>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</si>
  <si>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</si>
  <si>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</si>
  <si>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</si>
  <si>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</si>
  <si>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</si>
  <si>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</si>
  <si>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</si>
  <si>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</si>
  <si>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</si>
  <si>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</si>
  <si>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</si>
  <si>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</si>
  <si>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</si>
  <si>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</si>
  <si>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</si>
  <si>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</si>
  <si>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</si>
  <si>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</si>
  <si>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</si>
  <si>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</si>
  <si>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</si>
  <si>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</si>
  <si>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</si>
  <si>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</si>
  <si>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</si>
  <si>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</si>
  <si>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</si>
  <si>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</si>
  <si>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</si>
  <si>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</si>
  <si>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</si>
  <si>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</si>
  <si>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</si>
  <si>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</si>
  <si>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</si>
  <si>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</si>
  <si>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</si>
  <si>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</si>
  <si>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</si>
  <si>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</si>
  <si>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</si>
  <si>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</si>
  <si>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</si>
  <si>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</si>
  <si>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</si>
  <si>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</si>
  <si>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</si>
  <si>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</si>
  <si>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</si>
  <si>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</si>
  <si>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</si>
  <si>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</si>
  <si>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</si>
  <si>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</si>
  <si>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</si>
  <si>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</si>
  <si>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</si>
  <si>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</si>
  <si>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</si>
  <si>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</si>
  <si>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</si>
  <si>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</si>
  <si>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</si>
  <si>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</si>
  <si>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</si>
  <si>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</si>
  <si>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</si>
  <si>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</si>
  <si>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</si>
  <si>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</si>
  <si>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</si>
  <si>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</si>
  <si>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</si>
  <si>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</si>
  <si>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</si>
  <si>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</si>
  <si>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</si>
  <si>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</si>
  <si>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</si>
  <si>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</si>
  <si>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</si>
  <si>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</si>
  <si>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</si>
  <si>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</si>
  <si>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</si>
  <si>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</si>
  <si>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</si>
  <si>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</si>
  <si>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</si>
  <si>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</si>
  <si>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</si>
  <si>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</si>
  <si>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</si>
  <si>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</si>
  <si>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</si>
  <si>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</si>
  <si>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</si>
  <si>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</si>
  <si>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</si>
  <si>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</si>
  <si>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</si>
  <si>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</si>
  <si>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</si>
  <si>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</si>
  <si>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</si>
  <si>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</si>
  <si>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</si>
  <si>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</si>
  <si>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</si>
  <si>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</si>
  <si>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</si>
  <si>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</si>
  <si>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</si>
  <si>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</si>
  <si>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</si>
  <si>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</si>
  <si>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</si>
  <si>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</si>
  <si>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</si>
  <si>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</si>
  <si>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</si>
  <si>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</si>
  <si>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</si>
  <si>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</si>
  <si>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</si>
  <si>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</si>
  <si>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</si>
  <si>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</si>
  <si>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</si>
  <si>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</si>
  <si>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204:537</t>
  </si>
  <si>
    <t>rtdc.l.rtdc.4049:itc</t>
  </si>
  <si>
    <t>rtdc.l.rtdc.4050:itc</t>
  </si>
  <si>
    <t>AUSTIN</t>
  </si>
  <si>
    <t>204:528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</si>
  <si>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</si>
  <si>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</si>
  <si>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</si>
  <si>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</si>
  <si>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</si>
  <si>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</si>
  <si>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</si>
  <si>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</si>
  <si>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</si>
  <si>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</si>
  <si>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</si>
  <si>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</si>
  <si>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</si>
  <si>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</si>
  <si>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</si>
  <si>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</si>
  <si>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</si>
  <si>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</si>
  <si>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</si>
  <si>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</si>
  <si>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204:524</t>
  </si>
  <si>
    <t>ELBAUM</t>
  </si>
  <si>
    <t>MIKE</t>
  </si>
  <si>
    <t>204:502</t>
  </si>
  <si>
    <t>204:522</t>
  </si>
  <si>
    <t>204:497</t>
  </si>
  <si>
    <t>204:232921</t>
  </si>
  <si>
    <t>204:211</t>
  </si>
  <si>
    <t>204:196</t>
  </si>
  <si>
    <t>204:212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</si>
  <si>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</si>
  <si>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</si>
  <si>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</si>
  <si>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</si>
  <si>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</si>
  <si>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</si>
  <si>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</si>
  <si>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</si>
  <si>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</si>
  <si>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204:203</t>
  </si>
  <si>
    <t>204:515</t>
  </si>
  <si>
    <t>204:240</t>
  </si>
  <si>
    <t>rtdc.l.rtdc.4056:itc</t>
  </si>
  <si>
    <t>rtdc.l.rtdc.4054:itc</t>
  </si>
  <si>
    <t>rtdc.l.rtdc.4053:itc</t>
  </si>
  <si>
    <t>204:509</t>
  </si>
  <si>
    <t>204:232942</t>
  </si>
  <si>
    <t>rtdc.l.rtdc.4014:itc</t>
  </si>
  <si>
    <t>rtdc.l.rtdc.4013:itc</t>
  </si>
  <si>
    <t>311-21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</si>
  <si>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</si>
  <si>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</si>
  <si>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</si>
  <si>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</si>
  <si>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</si>
  <si>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</si>
  <si>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</si>
  <si>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</si>
  <si>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204:546</t>
  </si>
  <si>
    <t>204:225</t>
  </si>
  <si>
    <t>204:233264</t>
  </si>
  <si>
    <t>rtdc.l.rtdc.4023:itc</t>
  </si>
  <si>
    <t>rtdc.l.rtdc.4015:itc</t>
  </si>
  <si>
    <t>rtdc.l.rtdc.4001:itc</t>
  </si>
  <si>
    <t>rtdc.l.rtdc.4006:itc</t>
  </si>
  <si>
    <t>rtdc.l.rtdc.4016:itc</t>
  </si>
  <si>
    <t>240-22</t>
  </si>
  <si>
    <t>rtdc.l.rtdc.4002:itc</t>
  </si>
  <si>
    <t>rtdc.l.rtdc.4005:itc</t>
  </si>
  <si>
    <t>rtdc.l.rtdc.4024:itc</t>
  </si>
  <si>
    <t>HUFFSMITH</t>
  </si>
  <si>
    <t>MONTY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</si>
  <si>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</si>
  <si>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</si>
  <si>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</si>
  <si>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</si>
  <si>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</si>
  <si>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</si>
  <si>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</si>
  <si>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</si>
  <si>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</si>
  <si>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</si>
  <si>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204:489</t>
  </si>
  <si>
    <t>204:233268</t>
  </si>
  <si>
    <t>204:233230</t>
  </si>
  <si>
    <t>204:265</t>
  </si>
  <si>
    <t>rtdc.l.rtdc.4032:itc</t>
  </si>
  <si>
    <t>rtdc.l.rtdc.4031:itc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</si>
  <si>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</si>
  <si>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</si>
  <si>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</si>
  <si>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</si>
  <si>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</si>
  <si>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</si>
  <si>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</si>
  <si>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</si>
  <si>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204:442</t>
  </si>
  <si>
    <t>204:233270</t>
  </si>
  <si>
    <t>204:191</t>
  </si>
  <si>
    <t>204:477</t>
  </si>
  <si>
    <t>204:232943</t>
  </si>
  <si>
    <t>204:520</t>
  </si>
  <si>
    <t>204:233253</t>
  </si>
  <si>
    <t>300:58975</t>
  </si>
  <si>
    <t>204:233247</t>
  </si>
  <si>
    <t>204:557</t>
  </si>
  <si>
    <t>204:232919</t>
  </si>
  <si>
    <t>204:233291</t>
  </si>
  <si>
    <t>204:189</t>
  </si>
  <si>
    <t>rtdc.l.rtdc.4009:itc</t>
  </si>
  <si>
    <t>LESTER</t>
  </si>
  <si>
    <t>GEBRETEKLE</t>
  </si>
  <si>
    <t>DAGNEW</t>
  </si>
  <si>
    <t>MACDONALD</t>
  </si>
  <si>
    <t>THOMAS</t>
  </si>
  <si>
    <t>LAMAR</t>
  </si>
  <si>
    <t>NEKESHA</t>
  </si>
  <si>
    <t>HOLCOMB</t>
  </si>
  <si>
    <t>KAMDEN</t>
  </si>
  <si>
    <t>BIRENBAUM</t>
  </si>
  <si>
    <t>DELGADO</t>
  </si>
  <si>
    <t>DIANAH</t>
  </si>
  <si>
    <t>204:506</t>
  </si>
  <si>
    <t>204:233297</t>
  </si>
  <si>
    <t>204:233232</t>
  </si>
  <si>
    <t>204:209</t>
  </si>
  <si>
    <t>204:201</t>
  </si>
  <si>
    <t>204:185</t>
  </si>
  <si>
    <t>204:269</t>
  </si>
  <si>
    <t>204:480</t>
  </si>
  <si>
    <t>204:218</t>
  </si>
  <si>
    <t>204:500</t>
  </si>
  <si>
    <t>204:458</t>
  </si>
  <si>
    <t>204:233236</t>
  </si>
  <si>
    <t>204:233243</t>
  </si>
  <si>
    <t>204:511</t>
  </si>
  <si>
    <t>204:233255</t>
  </si>
  <si>
    <t>204:232925</t>
  </si>
  <si>
    <t>204:233249</t>
  </si>
  <si>
    <t>204:233259</t>
  </si>
  <si>
    <t>204:508</t>
  </si>
  <si>
    <t>204:232932</t>
  </si>
  <si>
    <t>204:542</t>
  </si>
  <si>
    <t>TRACK WARRANT AUTHORITY</t>
  </si>
  <si>
    <t>Form based authority (4)</t>
  </si>
  <si>
    <t>rtdc.l.rtdc.4033:itc</t>
  </si>
  <si>
    <t>rtdc.l.rtdc.4034:itc</t>
  </si>
  <si>
    <t>rtdc.l.rtdc.4044:itc</t>
  </si>
  <si>
    <t>rtdc.l.rtdc.4043:itc</t>
  </si>
  <si>
    <t>PAGE</t>
  </si>
  <si>
    <t>MARCUS</t>
  </si>
  <si>
    <t>rtdc.l.rtdc.4058:itc</t>
  </si>
  <si>
    <t>rtdc.l.rtdc.4057:itc</t>
  </si>
  <si>
    <t>GONZALEZ</t>
  </si>
  <si>
    <t>ARMANDO</t>
  </si>
  <si>
    <t>precipType</t>
  </si>
  <si>
    <t>rain</t>
  </si>
  <si>
    <t>204:232940</t>
  </si>
  <si>
    <t>204:200</t>
  </si>
  <si>
    <t>204:232967</t>
  </si>
  <si>
    <t>204:232950</t>
  </si>
  <si>
    <t>204:491</t>
  </si>
  <si>
    <t>204:233309</t>
  </si>
  <si>
    <t>204:519</t>
  </si>
  <si>
    <t>204:232962</t>
  </si>
  <si>
    <t>204:233234</t>
  </si>
  <si>
    <t>204:233246</t>
  </si>
  <si>
    <t>204:205</t>
  </si>
  <si>
    <t>204:233257</t>
  </si>
  <si>
    <t>204:254</t>
  </si>
  <si>
    <t>204:232978</t>
  </si>
  <si>
    <t>204:498</t>
  </si>
  <si>
    <t>204:232983</t>
  </si>
  <si>
    <t>204:233285</t>
  </si>
  <si>
    <t>204:238</t>
  </si>
  <si>
    <t>204:220</t>
  </si>
  <si>
    <t>204:233322</t>
  </si>
  <si>
    <t>204:232</t>
  </si>
  <si>
    <t>204:227</t>
  </si>
  <si>
    <t>204:531</t>
  </si>
  <si>
    <t>300:58685</t>
  </si>
  <si>
    <t>300:58670</t>
  </si>
  <si>
    <t>204:455</t>
  </si>
  <si>
    <t>204:164</t>
  </si>
  <si>
    <t>204:166</t>
  </si>
  <si>
    <t>204:466</t>
  </si>
  <si>
    <t>300:58961</t>
  </si>
  <si>
    <t>204:216</t>
  </si>
  <si>
    <t>300:58647</t>
  </si>
  <si>
    <t>204:171</t>
  </si>
  <si>
    <t>204:448</t>
  </si>
  <si>
    <t>204:151</t>
  </si>
  <si>
    <t>204:433</t>
  </si>
  <si>
    <t>204:149</t>
  </si>
  <si>
    <t>204:460</t>
  </si>
  <si>
    <t>204:451</t>
  </si>
  <si>
    <t>204:233274</t>
  </si>
  <si>
    <t>204:194</t>
  </si>
  <si>
    <t>204:233223</t>
  </si>
  <si>
    <t>204:232909</t>
  </si>
  <si>
    <t>204:232886</t>
  </si>
  <si>
    <t>204:232905</t>
  </si>
  <si>
    <t>204:251</t>
  </si>
  <si>
    <t>204:529</t>
  </si>
  <si>
    <t>204:562</t>
  </si>
  <si>
    <t>204:539</t>
  </si>
  <si>
    <t>204:232936</t>
  </si>
  <si>
    <t>204:526</t>
  </si>
  <si>
    <t>300:23310</t>
  </si>
  <si>
    <t>300:23304</t>
  </si>
  <si>
    <t>204:1158</t>
  </si>
  <si>
    <t>Onboard en route failure</t>
  </si>
  <si>
    <t>245-09</t>
  </si>
  <si>
    <t>Early Arrival</t>
  </si>
  <si>
    <t>rtdc.l.rtdc.4063:itc</t>
  </si>
  <si>
    <t>rtdc.l.rtdc.4064:itc</t>
  </si>
  <si>
    <t>DAVIS</t>
  </si>
  <si>
    <t>rtdc.l.rtdc.4065:itc</t>
  </si>
  <si>
    <t>307-09</t>
  </si>
  <si>
    <t>244-09</t>
  </si>
  <si>
    <t>309-09</t>
  </si>
  <si>
    <t>246-09</t>
  </si>
  <si>
    <t>311-09</t>
  </si>
  <si>
    <t>300-10</t>
  </si>
  <si>
    <t>204:232957</t>
  </si>
  <si>
    <t>204:181</t>
  </si>
  <si>
    <t>204:232981</t>
  </si>
  <si>
    <t>204:486</t>
  </si>
  <si>
    <t>204:233310</t>
  </si>
  <si>
    <t>204:198</t>
  </si>
  <si>
    <t>204:517</t>
  </si>
  <si>
    <t>204:232970</t>
  </si>
  <si>
    <t>204:233305</t>
  </si>
  <si>
    <t>204:232982</t>
  </si>
  <si>
    <t>204:464</t>
  </si>
  <si>
    <t>204:233321</t>
  </si>
  <si>
    <t>204:232993</t>
  </si>
  <si>
    <t>204:147</t>
  </si>
  <si>
    <t>204:234</t>
  </si>
  <si>
    <t>204:233289</t>
  </si>
  <si>
    <t>204:187</t>
  </si>
  <si>
    <t>204:457</t>
  </si>
  <si>
    <t>204:440</t>
  </si>
  <si>
    <t>204:1162</t>
  </si>
  <si>
    <t>204:232994</t>
  </si>
  <si>
    <t>204:462</t>
  </si>
  <si>
    <t>204:233287</t>
  </si>
  <si>
    <t>204:221</t>
  </si>
  <si>
    <t>204:176</t>
  </si>
  <si>
    <t>204:232969</t>
  </si>
  <si>
    <t>204:178</t>
  </si>
  <si>
    <t>204:174</t>
  </si>
  <si>
    <t>204:233302</t>
  </si>
  <si>
    <t>204:232977</t>
  </si>
  <si>
    <t>204:233263</t>
  </si>
  <si>
    <t>204:232934</t>
  </si>
  <si>
    <t>300:58675</t>
  </si>
  <si>
    <t>204:453</t>
  </si>
  <si>
    <t>300:58660</t>
  </si>
  <si>
    <t>300:58630</t>
  </si>
  <si>
    <t>300:58658</t>
  </si>
  <si>
    <t>300:58973</t>
  </si>
  <si>
    <t>204:144</t>
  </si>
  <si>
    <t>300:58982</t>
  </si>
  <si>
    <t>204:446</t>
  </si>
  <si>
    <t>300:58965</t>
  </si>
  <si>
    <t>204:232908</t>
  </si>
  <si>
    <t>204:233286</t>
  </si>
  <si>
    <t>300:58990</t>
  </si>
  <si>
    <t>204:232961</t>
  </si>
  <si>
    <t>204:1165</t>
  </si>
  <si>
    <t>204:233314</t>
  </si>
  <si>
    <t>204:232965</t>
  </si>
  <si>
    <t>204:577</t>
  </si>
  <si>
    <t>204:232975</t>
  </si>
  <si>
    <t>204:232955</t>
  </si>
  <si>
    <t>204:584</t>
  </si>
  <si>
    <t>300:23302</t>
  </si>
  <si>
    <t>204:488</t>
  </si>
  <si>
    <t>start /low /b %USERPROFILE%\Documents\GitHub\eaglep3\Utilities\DownloadLogsFromS3.py --loco 4029 --day 2017-12-10</t>
  </si>
  <si>
    <t>302-10</t>
  </si>
  <si>
    <t>104-10</t>
  </si>
  <si>
    <t>123-10</t>
  </si>
  <si>
    <t>129-10</t>
  </si>
  <si>
    <t>131-10</t>
  </si>
  <si>
    <t>139-10</t>
  </si>
  <si>
    <t>1807-10</t>
  </si>
  <si>
    <t>145-10</t>
  </si>
  <si>
    <t>146-10</t>
  </si>
  <si>
    <t>150-10</t>
  </si>
  <si>
    <t>181-10</t>
  </si>
  <si>
    <t>189-10</t>
  </si>
  <si>
    <t>199-10</t>
  </si>
  <si>
    <t>rtdc.l.rtdc.4041:itc</t>
  </si>
  <si>
    <t>1822-10</t>
  </si>
  <si>
    <t>209-10</t>
  </si>
  <si>
    <t>1823-10</t>
  </si>
  <si>
    <t>1824-10</t>
  </si>
  <si>
    <t>208-10</t>
  </si>
  <si>
    <t>210-10</t>
  </si>
  <si>
    <t>1827-10</t>
  </si>
  <si>
    <t>218-10</t>
  </si>
  <si>
    <t>1832-10</t>
  </si>
  <si>
    <t>1834-10</t>
  </si>
  <si>
    <t>234-10</t>
  </si>
  <si>
    <t>242-10</t>
  </si>
  <si>
    <t>244-10</t>
  </si>
  <si>
    <t>313-09</t>
  </si>
  <si>
    <t>51-10</t>
  </si>
  <si>
    <t>101-10</t>
  </si>
  <si>
    <t>52-10</t>
  </si>
  <si>
    <t>103-10</t>
  </si>
  <si>
    <t>304-10</t>
  </si>
  <si>
    <t>105-10</t>
  </si>
  <si>
    <t>306-10</t>
  </si>
  <si>
    <t>102-10</t>
  </si>
  <si>
    <t>107-10</t>
  </si>
  <si>
    <t>109-10</t>
  </si>
  <si>
    <t>1909-10</t>
  </si>
  <si>
    <t>106-10</t>
  </si>
  <si>
    <t>111-10</t>
  </si>
  <si>
    <t>113-10</t>
  </si>
  <si>
    <t>108-10</t>
  </si>
  <si>
    <t>110-10</t>
  </si>
  <si>
    <t>1901-10</t>
  </si>
  <si>
    <t>312-10</t>
  </si>
  <si>
    <t>115-10</t>
  </si>
  <si>
    <t>1800-10</t>
  </si>
  <si>
    <t>117-10</t>
  </si>
  <si>
    <t>114-10</t>
  </si>
  <si>
    <t>112-10</t>
  </si>
  <si>
    <t>119-10</t>
  </si>
  <si>
    <t>1801-10</t>
  </si>
  <si>
    <t>121-10</t>
  </si>
  <si>
    <t>116-10</t>
  </si>
  <si>
    <t>1802-10</t>
  </si>
  <si>
    <t>118-10</t>
  </si>
  <si>
    <t>125-10</t>
  </si>
  <si>
    <t>120-10</t>
  </si>
  <si>
    <t>127-10</t>
  </si>
  <si>
    <t>122-10</t>
  </si>
  <si>
    <t>1803-10</t>
  </si>
  <si>
    <t>124-10</t>
  </si>
  <si>
    <t>1804-10</t>
  </si>
  <si>
    <t>133-10</t>
  </si>
  <si>
    <t>126-10</t>
  </si>
  <si>
    <t>128-10</t>
  </si>
  <si>
    <t>135-10</t>
  </si>
  <si>
    <t>130-10</t>
  </si>
  <si>
    <t>1805-10</t>
  </si>
  <si>
    <t>137-10</t>
  </si>
  <si>
    <t>132-10</t>
  </si>
  <si>
    <t>134-10</t>
  </si>
  <si>
    <t>1806-10</t>
  </si>
  <si>
    <t>141-10</t>
  </si>
  <si>
    <t>136-10</t>
  </si>
  <si>
    <t>138-10</t>
  </si>
  <si>
    <t>143-10</t>
  </si>
  <si>
    <t>147-10</t>
  </si>
  <si>
    <t>140-10</t>
  </si>
  <si>
    <t>1808-10</t>
  </si>
  <si>
    <t>142-10</t>
  </si>
  <si>
    <t>149-10</t>
  </si>
  <si>
    <t>144-10</t>
  </si>
  <si>
    <t>151-10</t>
  </si>
  <si>
    <t>1809-10</t>
  </si>
  <si>
    <t>153-10</t>
  </si>
  <si>
    <t>148-10</t>
  </si>
  <si>
    <t>155-10</t>
  </si>
  <si>
    <t>1810-10</t>
  </si>
  <si>
    <t>152-10</t>
  </si>
  <si>
    <t>157-10</t>
  </si>
  <si>
    <t>STEWART</t>
  </si>
  <si>
    <t>159-10</t>
  </si>
  <si>
    <t>1811-10</t>
  </si>
  <si>
    <t>154-10</t>
  </si>
  <si>
    <t>161-10</t>
  </si>
  <si>
    <t>156-10</t>
  </si>
  <si>
    <t>163-10</t>
  </si>
  <si>
    <t>1812-10</t>
  </si>
  <si>
    <t>165-10</t>
  </si>
  <si>
    <t>160-10</t>
  </si>
  <si>
    <t>158-10</t>
  </si>
  <si>
    <t>167-10</t>
  </si>
  <si>
    <t>1813-10</t>
  </si>
  <si>
    <t>169-10</t>
  </si>
  <si>
    <t>162-10</t>
  </si>
  <si>
    <t>164-10</t>
  </si>
  <si>
    <t>171-10</t>
  </si>
  <si>
    <t>1814-10</t>
  </si>
  <si>
    <t>166-10</t>
  </si>
  <si>
    <t>173-10</t>
  </si>
  <si>
    <t>168-10</t>
  </si>
  <si>
    <t>175-10</t>
  </si>
  <si>
    <t>170-10</t>
  </si>
  <si>
    <t>177-10</t>
  </si>
  <si>
    <t>1815-10</t>
  </si>
  <si>
    <t>172-10</t>
  </si>
  <si>
    <t>179-10</t>
  </si>
  <si>
    <t>174-10</t>
  </si>
  <si>
    <t>1816-10</t>
  </si>
  <si>
    <t>183-10</t>
  </si>
  <si>
    <t>176-10</t>
  </si>
  <si>
    <t>178-10</t>
  </si>
  <si>
    <t>1817-10</t>
  </si>
  <si>
    <t>185-10</t>
  </si>
  <si>
    <t>180-10</t>
  </si>
  <si>
    <t>187-10</t>
  </si>
  <si>
    <t>1818-10</t>
  </si>
  <si>
    <t>182-10</t>
  </si>
  <si>
    <t>184-10</t>
  </si>
  <si>
    <t>191-10</t>
  </si>
  <si>
    <t>1819-10</t>
  </si>
  <si>
    <t>186-10</t>
  </si>
  <si>
    <t>193-10</t>
  </si>
  <si>
    <t>188-10</t>
  </si>
  <si>
    <t>195-10</t>
  </si>
  <si>
    <t>1820-10</t>
  </si>
  <si>
    <t>197-10</t>
  </si>
  <si>
    <t>192-10</t>
  </si>
  <si>
    <t>190-10</t>
  </si>
  <si>
    <t>194-10</t>
  </si>
  <si>
    <t>1821-10</t>
  </si>
  <si>
    <t>201-10</t>
  </si>
  <si>
    <t>196-10</t>
  </si>
  <si>
    <t>203-10</t>
  </si>
  <si>
    <t>198-10</t>
  </si>
  <si>
    <t>75-10</t>
  </si>
  <si>
    <t>ROMERO</t>
  </si>
  <si>
    <t>CHAD</t>
  </si>
  <si>
    <t>205-10</t>
  </si>
  <si>
    <t>200-10</t>
  </si>
  <si>
    <t>207-10</t>
  </si>
  <si>
    <t>202-10</t>
  </si>
  <si>
    <t>rtdc.l.rtdc.4066:itc</t>
  </si>
  <si>
    <t>77-10</t>
  </si>
  <si>
    <t>204-10</t>
  </si>
  <si>
    <t>206-10</t>
  </si>
  <si>
    <t>211-10</t>
  </si>
  <si>
    <t>68-10</t>
  </si>
  <si>
    <t>213-10</t>
  </si>
  <si>
    <t>215-10</t>
  </si>
  <si>
    <t>1825-10</t>
  </si>
  <si>
    <t>217-10</t>
  </si>
  <si>
    <t>212-10</t>
  </si>
  <si>
    <t>219-10</t>
  </si>
  <si>
    <t>1826-10</t>
  </si>
  <si>
    <t>214-10</t>
  </si>
  <si>
    <t>295-10</t>
  </si>
  <si>
    <t>216-10</t>
  </si>
  <si>
    <t>221-10</t>
  </si>
  <si>
    <t>297-10</t>
  </si>
  <si>
    <t>220-10</t>
  </si>
  <si>
    <t>223-10</t>
  </si>
  <si>
    <t>1828-10</t>
  </si>
  <si>
    <t>296-10</t>
  </si>
  <si>
    <t>305-10</t>
  </si>
  <si>
    <t>222-10</t>
  </si>
  <si>
    <t>225-10</t>
  </si>
  <si>
    <t>1829-10</t>
  </si>
  <si>
    <t>298-10</t>
  </si>
  <si>
    <t>301-10</t>
  </si>
  <si>
    <t>227-10</t>
  </si>
  <si>
    <t>224-10</t>
  </si>
  <si>
    <t>1830-10</t>
  </si>
  <si>
    <t>229-10</t>
  </si>
  <si>
    <t>226-10</t>
  </si>
  <si>
    <t>303-10</t>
  </si>
  <si>
    <t>1831-10</t>
  </si>
  <si>
    <t>228-10</t>
  </si>
  <si>
    <t>231-10</t>
  </si>
  <si>
    <t>233-10</t>
  </si>
  <si>
    <t>88-10</t>
  </si>
  <si>
    <t>230-10</t>
  </si>
  <si>
    <t>1833-10</t>
  </si>
  <si>
    <t>232-10</t>
  </si>
  <si>
    <t>235-10</t>
  </si>
  <si>
    <t>237-10</t>
  </si>
  <si>
    <t>239-10</t>
  </si>
  <si>
    <t>1835-10</t>
  </si>
  <si>
    <t>236-10</t>
  </si>
  <si>
    <t>1902-10</t>
  </si>
  <si>
    <t>241-10</t>
  </si>
  <si>
    <t>238-10</t>
  </si>
  <si>
    <t>243-10</t>
  </si>
  <si>
    <t>240-10</t>
  </si>
  <si>
    <t>313-10</t>
  </si>
  <si>
    <t>307-10</t>
  </si>
  <si>
    <t>309-10</t>
  </si>
  <si>
    <t>311-10</t>
  </si>
  <si>
    <t>300-11</t>
  </si>
  <si>
    <t>204:752</t>
  </si>
  <si>
    <t>204:1477</t>
  </si>
  <si>
    <t>204:233272</t>
  </si>
  <si>
    <t>204:136</t>
  </si>
  <si>
    <t>204:232998</t>
  </si>
  <si>
    <t>204:233299</t>
  </si>
  <si>
    <t>204:183</t>
  </si>
  <si>
    <t>204:233334</t>
  </si>
  <si>
    <t>204:233015</t>
  </si>
  <si>
    <t>204:429</t>
  </si>
  <si>
    <t>204:232984</t>
  </si>
  <si>
    <t>204:127</t>
  </si>
  <si>
    <t>204:232951</t>
  </si>
  <si>
    <t>204:180</t>
  </si>
  <si>
    <t>204:127863</t>
  </si>
  <si>
    <t>204:143</t>
  </si>
  <si>
    <t>204:232979</t>
  </si>
  <si>
    <t>204:233136</t>
  </si>
  <si>
    <t>204:233323</t>
  </si>
  <si>
    <t>204:232991</t>
  </si>
  <si>
    <t>204:233280</t>
  </si>
  <si>
    <t>204:233261</t>
  </si>
  <si>
    <t>204:422</t>
  </si>
  <si>
    <t>204:233278</t>
  </si>
  <si>
    <t>204:232987</t>
  </si>
  <si>
    <t>204:125</t>
  </si>
  <si>
    <t>204:19125</t>
  </si>
  <si>
    <t>204:232976</t>
  </si>
  <si>
    <t>204:150</t>
  </si>
  <si>
    <t>204:233225</t>
  </si>
  <si>
    <t>204:243</t>
  </si>
  <si>
    <t>204:232949</t>
  </si>
  <si>
    <t>204:233307</t>
  </si>
  <si>
    <t>204:232947</t>
  </si>
  <si>
    <t>204:549</t>
  </si>
  <si>
    <t>204:232929</t>
  </si>
  <si>
    <t>204:236</t>
  </si>
  <si>
    <t>204:161</t>
  </si>
  <si>
    <t>204:233283</t>
  </si>
  <si>
    <t>300:58598</t>
  </si>
  <si>
    <t>204:162</t>
  </si>
  <si>
    <t>300:58905</t>
  </si>
  <si>
    <t>300:58589</t>
  </si>
  <si>
    <t>300:58894</t>
  </si>
  <si>
    <t>204:479</t>
  </si>
  <si>
    <t>204:153</t>
  </si>
  <si>
    <t>300:58937</t>
  </si>
  <si>
    <t>300:58916</t>
  </si>
  <si>
    <t>300:58611</t>
  </si>
  <si>
    <t>300:58909</t>
  </si>
  <si>
    <t>300:58594</t>
  </si>
  <si>
    <t>300:58922</t>
  </si>
  <si>
    <t>300:58602</t>
  </si>
  <si>
    <t>204:186</t>
  </si>
  <si>
    <t>204:84</t>
  </si>
  <si>
    <t>204:388</t>
  </si>
  <si>
    <t>300:58662</t>
  </si>
  <si>
    <t>204:374</t>
  </si>
  <si>
    <t>204:93</t>
  </si>
  <si>
    <t>300:58672</t>
  </si>
  <si>
    <t>204:66</t>
  </si>
  <si>
    <t>204:385</t>
  </si>
  <si>
    <t>300:58988</t>
  </si>
  <si>
    <t>204:88</t>
  </si>
  <si>
    <t>204:399</t>
  </si>
  <si>
    <t>300:59005</t>
  </si>
  <si>
    <t>204:126</t>
  </si>
  <si>
    <t>204:413</t>
  </si>
  <si>
    <t>204:111</t>
  </si>
  <si>
    <t>204:403</t>
  </si>
  <si>
    <t>204:77</t>
  </si>
  <si>
    <t>204:2088</t>
  </si>
  <si>
    <t>300:58681</t>
  </si>
  <si>
    <t>204:122</t>
  </si>
  <si>
    <t>204:232986</t>
  </si>
  <si>
    <t>300:30529</t>
  </si>
  <si>
    <t>300:58920</t>
  </si>
  <si>
    <t>300:28782</t>
  </si>
  <si>
    <t>300:23601</t>
  </si>
  <si>
    <t>204:233281</t>
  </si>
  <si>
    <t>204:274</t>
  </si>
  <si>
    <t>204:962</t>
  </si>
  <si>
    <t>204:582</t>
  </si>
  <si>
    <t>204:252</t>
  </si>
  <si>
    <t>204:1537</t>
  </si>
  <si>
    <t>204:19140</t>
  </si>
  <si>
    <t>204:232946</t>
  </si>
  <si>
    <t>204:273</t>
  </si>
  <si>
    <t>204:579</t>
  </si>
  <si>
    <t>204:568</t>
  </si>
  <si>
    <t>204:573</t>
  </si>
  <si>
    <t>204:233311</t>
  </si>
  <si>
    <t>204:991</t>
  </si>
  <si>
    <t>204:233359</t>
  </si>
  <si>
    <t>204:233049</t>
  </si>
  <si>
    <t>300:23593</t>
  </si>
  <si>
    <t>300:16975</t>
  </si>
  <si>
    <t>300:14073</t>
  </si>
  <si>
    <t>300:31006</t>
  </si>
  <si>
    <t>300:22100</t>
  </si>
  <si>
    <t>300:22308</t>
  </si>
  <si>
    <t>204:3401</t>
  </si>
  <si>
    <t>204:1182</t>
  </si>
  <si>
    <t>300:5357</t>
  </si>
  <si>
    <t>300:5082</t>
  </si>
  <si>
    <t>300:23580</t>
  </si>
  <si>
    <t>204:1139</t>
  </si>
  <si>
    <t>204:1475</t>
  </si>
  <si>
    <t>204:1281</t>
  </si>
  <si>
    <t>204:3435</t>
  </si>
  <si>
    <t>204:3082</t>
  </si>
  <si>
    <t>204:3656</t>
  </si>
  <si>
    <t>start /low /b %USERPROFILE%\Documents\GitHub\eaglep3\Utilities\DownloadLogsFromS3.py --loco 4032 --day 2017-12-10</t>
  </si>
  <si>
    <t>start /low /b %USERPROFILE%\Documents\GitHub\eaglep3\Utilities\DownloadLogsFromS3.py --loco 4064 --day 2017-12-10</t>
  </si>
  <si>
    <t>start /low /b %USERPROFILE%\Documents\GitHub\eaglep3\Utilities\DownloadLogsFromS3.py --loco 4011 --day 2017-12-11</t>
  </si>
  <si>
    <t>start /low /b %USERPROFILE%\Documents\GitHub\eaglep3\Utilities\DownloadLogsFromS3.py --loco 4031 --day 2017-12-11</t>
  </si>
  <si>
    <t>start /low /b %USERPROFILE%\Documents\GitHub\eaglep3\Utilities\DownloadLogsFromS3.py --loco 4063 --day 2017-12-11</t>
  </si>
  <si>
    <t>start /low /b %USERPROFILE%\Documents\GitHub\eaglep3\Utilities\DownloadLogsFromS3.py --loco 4023 --day 2017-12-10</t>
  </si>
  <si>
    <t>start /low /b %USERPROFILE%\Documents\GitHub\eaglep3\Utilities\DownloadLogsFromS3.py --loco 4064 --day 2017-12-11</t>
  </si>
  <si>
    <t>start /low /b %USERPROFILE%\Documents\GitHub\eaglep3\Utilities\DownloadLogsFromS3.py --loco 4018 --day 2017-12-10</t>
  </si>
  <si>
    <t>start /low /b %USERPROFILE%\Documents\GitHub\eaglep3\Utilities\DownloadLogsFromS3.py --loco 4024 --day 2017-12-10</t>
  </si>
  <si>
    <t>start /low /b %USERPROFILE%\Documents\GitHub\eaglep3\Utilities\DownloadLogsFromS3.py --loco 4017 --day 2017-12-10</t>
  </si>
  <si>
    <t>start /low /b %USERPROFILE%\Documents\GitHub\eaglep3\Utilities\DownloadLogsFromS3.py --loco 4042 --day 2017-12-10</t>
  </si>
  <si>
    <t>start /low /b %USERPROFILE%\Documents\GitHub\eaglep3\Utilities\DownloadLogsFromS3.py --loco 4042 --day 2017-12-11</t>
  </si>
  <si>
    <t>start /low /b %USERPROFILE%\Documents\GitHub\eaglep3\Utilities\DownloadLogsFromS3.py --loco 4041 --day 2017-12-10</t>
  </si>
  <si>
    <t>start /low /b %USERPROFILE%\Documents\GitHub\eaglep3\Utilities\DownloadLogsFromS3.py --loco 4029 --day 2017-12-11</t>
  </si>
  <si>
    <t>start /low /b %USERPROFILE%\Documents\GitHub\eaglep3\Utilities\DownloadLogsFromS3.py --loco 4057 --day 2017-12-11</t>
  </si>
  <si>
    <t>RTDC4041</t>
  </si>
  <si>
    <t>Observed banner without braking</t>
  </si>
  <si>
    <t>Observed unhealthy xing banner at Chambers due to station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</si>
</sst>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12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43079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43079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148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COUNTIFS($N$13:$N$9555,"&gt;0",$AG$13:$AG$9555,I1)</f>
        <v>144</v>
      </c>
      <c r="K5" s="39"/>
      <c r="L5" s="171"/>
      <c r="M5" s="40">
        <f>AVERAGEIFS($N$13:$N$9555,$AG$13:$AG$9555,I1)</f>
        <v>36.64768518472556</v>
      </c>
      <c r="N5" s="38">
        <f t="array" ref="N5">MIN(IF($AG$13:$AG$9555=I1,IF(ISNUMBER($N$13:$N$9555),IF($N$13:$N$9555&gt;0,$N$13:$N$9555))))</f>
        <v>33.633333337493241</v>
      </c>
      <c r="O5" s="3">
        <f t="array" ref="O5">MAX(IF($AG$13:$AG$9555=I1,IF(ISNUMBER($N$13:$N$9555),IF($N$13:$N$9555&gt;0,$N$13:$N$9555))))</f>
        <v>42.000000000698492</v>
      </c>
      <c r="P5" s="2"/>
      <c r="R5" s="162" t="s">
        <v>17</v>
      </c>
      <c r="S5" s="206">
        <f>COUNTIFS($N$13:$N$9555,"&gt;0",$AG$13:$AG$9555,R1)</f>
        <v>34</v>
      </c>
      <c r="T5" s="171"/>
      <c r="U5" s="194"/>
      <c r="V5" s="210">
        <f>AVERAGEIFS($N$13:$N$9555,$AG$13:$AG$9555,R1)</f>
        <v>13.623039216344136</v>
      </c>
      <c r="W5" s="211">
        <f t="array" ref="W5">MIN(IF($AG$13:$AG$9555=R1,IF(ISNUMBER($N$13:$N$9555),IF($N$13:$N$9555&gt;0,$N$13:$N$9555))))</f>
        <v>11.466666675405577</v>
      </c>
      <c r="X5" s="199">
        <f t="array" ref="X5">MAX(IF($AG$13:$AG$9555=R1,IF(ISNUMBER($N$13:$N$9555),IF($N$13:$N$9555&gt;0,$N$13:$N$9555))))</f>
        <v>19.516666660783812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COUNT($O$13:$O$313)</f>
        <v>0</v>
      </c>
      <c r="K6" s="39"/>
      <c r="L6" s="171"/>
      <c r="M6" s="40">
        <f>IFERROR(AVERAGE($O$13:$O$313),0)</f>
        <v>0</v>
      </c>
      <c r="N6" s="38">
        <f>MIN($O$13:$O$313)</f>
        <v>0</v>
      </c>
      <c r="O6" s="3">
        <f>MAX($O$13:$O$313)</f>
        <v>0</v>
      </c>
      <c r="P6" s="2"/>
      <c r="R6" s="163" t="s">
        <v>43</v>
      </c>
      <c r="S6" s="206">
        <f>COUNT($O$13:$O$313)</f>
        <v>0</v>
      </c>
      <c r="T6" s="171"/>
      <c r="U6" s="194"/>
      <c r="V6" s="210">
        <f>IFERROR(AVERAGE($O$13:$O$313),0)</f>
        <v>0</v>
      </c>
      <c r="W6" s="211">
        <f>MIN($O$13:$O$313)</f>
        <v>0</v>
      </c>
      <c r="X6" s="199">
        <f>MAX($O$13:$O$313)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COUNTIFS($P$13:$P$9555,"&gt;0",$AG$13:$AG$9555,I1)</f>
        <v>4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COUNTIFS($P$13:$P$9555,"&gt;0",$AG$13:$AG$9555,R1)</f>
        <v>2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36.64768518472556</v>
      </c>
      <c r="N8" s="38">
        <f>N5</f>
        <v>33.633333337493241</v>
      </c>
      <c r="O8" s="3">
        <f>O5</f>
        <v>42.000000000698492</v>
      </c>
      <c r="P8" s="2"/>
      <c r="R8" s="162" t="s">
        <v>16</v>
      </c>
      <c r="S8" s="206">
        <f>S5</f>
        <v>34</v>
      </c>
      <c r="T8" s="171"/>
      <c r="U8" s="194"/>
      <c r="V8" s="210">
        <f>V5</f>
        <v>13.623039216344136</v>
      </c>
      <c r="W8" s="211">
        <f>W5</f>
        <v>11.466666675405577</v>
      </c>
      <c r="X8" s="199">
        <f>X5</f>
        <v>19.516666660783812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0.97297297297297303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0.94444444444444442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- 2017-12-10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AVERAGE(S13:S129)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759</v>
      </c>
      <c r="B13" s="7">
        <v>4064</v>
      </c>
      <c r="C13" s="21" t="s">
        <v>192</v>
      </c>
      <c r="D13" s="21" t="s">
        <v>941</v>
      </c>
      <c r="E13" s="13">
        <v>43079.136365740742</v>
      </c>
      <c r="F13" s="13">
        <v>43079.13821759259</v>
      </c>
      <c r="G13" s="7">
        <v>65</v>
      </c>
      <c r="H13" s="21" t="s">
        <v>545</v>
      </c>
      <c r="I13" s="13">
        <v>43079.162361111114</v>
      </c>
      <c r="J13" s="7">
        <v>0</v>
      </c>
      <c r="K13" s="89" t="str">
        <f t="shared" ref="K13:K76" si="0">IF(ISEVEN(B13),(B13-1)&amp;"/"&amp;B13,B13&amp;"/"&amp;(B13+1))</f>
        <v>4063/4064</v>
      </c>
      <c r="L13" s="184" t="str">
        <f>VLOOKUP(A13,'Trips&amp;Operators'!$C$1:$G$99911,5,FALSE)</f>
        <v>THOMPSON LESTER</v>
      </c>
      <c r="M13" s="6">
        <f t="shared" ref="M13:M76" si="1">I13-F13</f>
        <v>2.4143518523487728E-2</v>
      </c>
      <c r="N13" s="7">
        <f t="shared" ref="N13:N47" si="2">24*60*SUM($M13:$M13)</f>
        <v>34.766666673822328</v>
      </c>
      <c r="O13" s="7"/>
      <c r="P13" s="7"/>
      <c r="Q13" s="22"/>
      <c r="R13" s="166"/>
      <c r="S13" s="249">
        <f t="shared" ref="S13:S44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-10T02:16:22-0700',mode:absolute,to:'2017-12-10T04:53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203" t="str">
        <f>IF(AA13&lt;VLOOKUP(AG13,Variables!$AC$3:$AD$8,2,FALSE),"Y","N")</f>
        <v>N</v>
      </c>
      <c r="X13" s="203" t="e">
        <f t="shared" ref="X13:X48" si="6">VALUE(LEFT(AD13,4))-VALUE(LEFT(AD12,4))</f>
        <v>#VALUE!</v>
      </c>
      <c r="Y13" s="203">
        <f t="shared" ref="Y13:Y44" si="7">RIGHT(D13,LEN(D13)-4)/10000</f>
        <v>7.5200000000000003E-2</v>
      </c>
      <c r="Z13" s="203">
        <f t="shared" ref="Z13:Z44" si="8">RIGHT(H13,LEN(H13)-4)/10000</f>
        <v>23.3276</v>
      </c>
      <c r="AA13" s="203">
        <f t="shared" ref="AA13:AA76" si="9">ABS(Z13-Y13)</f>
        <v>23.252400000000002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/stypes="app*4064*20171210*"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4064 --swversion DE.1.0.9.0 --startMP 204:752 --initTime 2017-12-10T03:16:22 --startdatetime 2017-12-10T03:19:02 --delay 65 --endMP 204:233276 --enddatetime 2017-12-10T03:53:48 --enforcementcount 0 &gt;&gt;%USERPROFILE%\Documents\GitHub\eaglep3-reporting\EC\2017-12-10-refined-times.txt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{"issue":{"subject":"","project_id":79,"tracker_id":40,"status_id":1,"priority_id":2,"assigned_to_id":338,"start_date":"2017-12-10","description":"","custom_fields":[{"id":1,"name":"Subdivision","value":"EC"},{"id":4,"name":"Milepost","value":"23.3276"},{"id":17,"name":"Train ID","value":"101-10"},{"id":16,"name":"Locomotive ID","value":"4064"},{"id":130,"name":"Impact","value":""},{"id":150,"name":"Time of Event (Mountain Time)","value":"03:53:48"},{"id":151,"name":"Denver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4064 --day 2017-12-10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-10T02:16:22-0700',mode:absolute,to:'2017-12-10T04:53:48-0700'))&amp;_a=(columns:!('Message%20ID',Summary),filters:!(),index:'emp_*',interval:auto,query:(query_string:(analyze_wildcard:!t,query:'%22rtdc.l.rtdc.4064%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765</v>
      </c>
      <c r="B14" s="225">
        <v>4063</v>
      </c>
      <c r="C14" s="227" t="s">
        <v>192</v>
      </c>
      <c r="D14" s="227" t="s">
        <v>719</v>
      </c>
      <c r="E14" s="226">
        <v>43079.173981481479</v>
      </c>
      <c r="F14" s="226">
        <v>43079.175486111111</v>
      </c>
      <c r="G14" s="225">
        <v>68</v>
      </c>
      <c r="H14" s="227" t="s">
        <v>576</v>
      </c>
      <c r="I14" s="226">
        <v>43079.201863425929</v>
      </c>
      <c r="J14" s="225">
        <v>0</v>
      </c>
      <c r="K14" s="237" t="str">
        <f t="shared" si="0"/>
        <v>4063/4064</v>
      </c>
      <c r="L14" s="245" t="str">
        <f>VLOOKUP(A14,'Trips&amp;Operators'!$C$1:$G$99911,5,FALSE)</f>
        <v>THOMPSON LESTER</v>
      </c>
      <c r="M14" s="224">
        <f t="shared" si="1"/>
        <v>2.6377314818091691E-2</v>
      </c>
      <c r="N14" s="225">
        <f t="shared" si="2"/>
        <v>37.983333338052034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-10T03:10:32-0700',mode:absolute,to:'2017-12-10T05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23.296099999999999</v>
      </c>
      <c r="Z14" s="247">
        <f t="shared" si="8"/>
        <v>2.01E-2</v>
      </c>
      <c r="AA14" s="247">
        <f t="shared" si="9"/>
        <v>23.276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4" s="234" t="str">
        <f t="shared" si="12"/>
        <v>"C:\Program Files (x86)\AstroGrep\AstroGrep.exe" /e /r /s /spath="%USERPROFILE%\AppData\Local\Temp\OnboardLogs" /stypes="app*4063*20171210*"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4063 --swversion DE.1.0.9.0 --startMP 204:232961 --initTime 2017-12-10T04:10:32 --startdatetime 2017-12-10T04:12:42 --delay 68 --endMP 204:201 --enddatetime 2017-12-10T04:50:41 --enforcementcount 0 &gt;&gt;%USERPROFILE%\Documents\GitHub\eaglep3-reporting\EC\2017-12-10-refined-times.txt</v>
      </c>
      <c r="AI14" s="238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{"issue":{"subject":"","project_id":79,"tracker_id":40,"status_id":1,"priority_id":2,"assigned_to_id":338,"start_date":"2017-12-10","description":"","custom_fields":[{"id":1,"name":"Subdivision","value":"EC"},{"id":4,"name":"Milepost","value":"0.0201"},{"id":17,"name":"Train ID","value":"102-10"},{"id":16,"name":"Locomotive ID","value":"4063"},{"id":130,"name":"Impact","value":""},{"id":150,"name":"Time of Event (Mountain Time)","value":"04:50:41"},{"id":151,"name":"Denver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6" si="21">"start /low /b "&amp;dls3logs&amp;" --loco "&amp;B14&amp;" --day "&amp;TEXT(F14,"YYYY-MM-DD")</f>
        <v>start /low /b %USERPROFILE%\Documents\GitHub\eaglep3\Utilities\DownloadLogsFromS3.py --loco 4063 --day 2017-12-10</v>
      </c>
      <c r="AN14" s="241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-10T03:10:32-0700',mode:absolute,to:'2017-12-10T05:50:41-0700'))&amp;_a=(columns:!('Message%20ID',Summary),filters:!(),index:'emp_*',interval:auto,query:(query_string:(analyze_wildcard:!t,query:'%22rtdc.l.rtdc.4063%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761</v>
      </c>
      <c r="B15" s="225">
        <v>4024</v>
      </c>
      <c r="C15" s="227" t="s">
        <v>192</v>
      </c>
      <c r="D15" s="227" t="s">
        <v>581</v>
      </c>
      <c r="E15" s="226">
        <v>43079.150046296294</v>
      </c>
      <c r="F15" s="226">
        <v>43079.156423611108</v>
      </c>
      <c r="G15" s="225">
        <v>61</v>
      </c>
      <c r="H15" s="227" t="s">
        <v>682</v>
      </c>
      <c r="I15" s="226">
        <v>43079.180983796294</v>
      </c>
      <c r="J15" s="225">
        <v>0</v>
      </c>
      <c r="K15" s="237" t="str">
        <f t="shared" si="0"/>
        <v>4023/4024</v>
      </c>
      <c r="L15" s="245" t="str">
        <f>VLOOKUP(A15,'Trips&amp;Operators'!$C$1:$G$99911,5,FALSE)</f>
        <v>MAELZER KURT</v>
      </c>
      <c r="M15" s="224">
        <f t="shared" si="1"/>
        <v>2.4560185185691807E-2</v>
      </c>
      <c r="N15" s="225">
        <f t="shared" si="2"/>
        <v>35.366666667396203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-10T02:36:04-0700',mode:absolute,to:'2017-12-10T05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0.05</v>
      </c>
      <c r="Z15" s="247">
        <f t="shared" si="8"/>
        <v>23.330500000000001</v>
      </c>
      <c r="AA15" s="247">
        <f t="shared" si="9"/>
        <v>23.2805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5" s="234" t="str">
        <f t="shared" si="12"/>
        <v>"C:\Program Files (x86)\AstroGrep\AstroGrep.exe" /e /r /s /spath="%USERPROFILE%\AppData\Local\Temp\OnboardLogs" /stypes="app*4024*20171210*"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103-10 --locoid 4024 --swversion DE.1.0.9.0 --startMP 204:500 --initTime 2017-12-10T03:36:04 --startdatetime 2017-12-10T03:45:15 --delay 61 --endMP 204:233305 --enddatetime 2017-12-10T04:20:37 --enforcementcount 0 &gt;&gt;%USERPROFILE%\Documents\GitHub\eaglep3-reporting\EC\2017-12-10-refined-times.txt</v>
      </c>
      <c r="AI1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{"issue":{"subject":"","project_id":79,"tracker_id":40,"status_id":1,"priority_id":2,"assigned_to_id":338,"start_date":"2017-12-10","description":"","custom_fields":[{"id":1,"name":"Subdivision","value":"EC"},{"id":4,"name":"Milepost","value":"23.3305"},{"id":17,"name":"Train ID","value":"103-10"},{"id":16,"name":"Locomotive ID","value":"4024"},{"id":130,"name":"Impact","value":""},{"id":150,"name":"Time of Event (Mountain Time)","value":"04:20:37"},{"id":151,"name":"Denver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4024 --day 2017-12-10</v>
      </c>
      <c r="AN1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-10T02:36:04-0700',mode:absolute,to:'2017-12-10T05:20:37-0700'))&amp;_a=(columns:!('Message%20ID',Summary),filters:!(),index:'emp_*',interval:auto,query:(query_string:(analyze_wildcard:!t,query:'%22rtdc.l.rtdc.4024%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731</v>
      </c>
      <c r="B16" s="225">
        <v>4023</v>
      </c>
      <c r="C16" s="227" t="s">
        <v>192</v>
      </c>
      <c r="D16" s="227" t="s">
        <v>683</v>
      </c>
      <c r="E16" s="226">
        <v>43079.191041666665</v>
      </c>
      <c r="F16" s="226">
        <v>43079.196018518516</v>
      </c>
      <c r="G16" s="225">
        <v>57</v>
      </c>
      <c r="H16" s="227" t="s">
        <v>558</v>
      </c>
      <c r="I16" s="226">
        <v>43079.223136574074</v>
      </c>
      <c r="J16" s="225">
        <v>0</v>
      </c>
      <c r="K16" s="237" t="str">
        <f t="shared" si="0"/>
        <v>4023/4024</v>
      </c>
      <c r="L16" s="245" t="str">
        <f>VLOOKUP(A16,'Trips&amp;Operators'!$C$1:$G$99911,5,FALSE)</f>
        <v>MAELZER KURT</v>
      </c>
      <c r="M16" s="224">
        <f t="shared" si="1"/>
        <v>2.7118055557366461E-2</v>
      </c>
      <c r="N16" s="225">
        <f t="shared" si="2"/>
        <v>39.050000002607703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-10T03:35:06-0700',mode:absolute,to:'2017-12-10T06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23.298200000000001</v>
      </c>
      <c r="Z16" s="247">
        <f t="shared" si="8"/>
        <v>1.89E-2</v>
      </c>
      <c r="AA16" s="247">
        <f t="shared" si="9"/>
        <v>23.279300000000003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6" s="234" t="str">
        <f t="shared" si="12"/>
        <v>"C:\Program Files (x86)\AstroGrep\AstroGrep.exe" /e /r /s /spath="%USERPROFILE%\AppData\Local\Temp\OnboardLogs" /stypes="app*4023*20171210*"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104-10 --locoid 4023 --swversion DE.1.0.9.0 --startMP 204:232982 --initTime 2017-12-10T04:35:06 --startdatetime 2017-12-10T04:42:16 --delay 57 --endMP 204:189 --enddatetime 2017-12-10T05:21:19 --enforcementcount 0 &gt;&gt;%USERPROFILE%\Documents\GitHub\eaglep3-reporting\EC\2017-12-10-refined-times.txt</v>
      </c>
      <c r="AI1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{"issue":{"subject":"","project_id":79,"tracker_id":40,"status_id":1,"priority_id":2,"assigned_to_id":338,"start_date":"2017-12-10","description":"","custom_fields":[{"id":1,"name":"Subdivision","value":"EC"},{"id":4,"name":"Milepost","value":"0.0189"},{"id":17,"name":"Train ID","value":"104-10"},{"id":16,"name":"Locomotive ID","value":"4023"},{"id":130,"name":"Impact","value":""},{"id":150,"name":"Time of Event (Mountain Time)","value":"05:21:19"},{"id":151,"name":"Denver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4023 --day 2017-12-10</v>
      </c>
      <c r="AN1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-10T03:35:06-0700',mode:absolute,to:'2017-12-10T06:21:19-0700'))&amp;_a=(columns:!('Message%20ID',Summary),filters:!(),index:'emp_*',interval:auto,query:(query_string:(analyze_wildcard:!t,query:'%22rtdc.l.rtdc.4023%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763</v>
      </c>
      <c r="B17" s="225">
        <v>4012</v>
      </c>
      <c r="C17" s="227" t="s">
        <v>192</v>
      </c>
      <c r="D17" s="227" t="s">
        <v>942</v>
      </c>
      <c r="E17" s="226">
        <v>43079.167916666665</v>
      </c>
      <c r="F17" s="226">
        <v>43079.17765046296</v>
      </c>
      <c r="G17" s="225">
        <v>49</v>
      </c>
      <c r="H17" s="227" t="s">
        <v>943</v>
      </c>
      <c r="I17" s="226">
        <v>43079.201956018522</v>
      </c>
      <c r="J17" s="225">
        <v>0</v>
      </c>
      <c r="K17" s="237" t="str">
        <f t="shared" si="0"/>
        <v>4011/4012</v>
      </c>
      <c r="L17" s="245" t="str">
        <f>VLOOKUP(A17,'Trips&amp;Operators'!$C$1:$G$99911,5,FALSE)</f>
        <v>HUFFSMITH MONTY</v>
      </c>
      <c r="M17" s="224">
        <f t="shared" si="1"/>
        <v>2.4305555562023073E-2</v>
      </c>
      <c r="N17" s="225">
        <f t="shared" si="2"/>
        <v>35.000000009313226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-10T03:01:48-0700',mode:absolute,to:'2017-12-10T05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0.1477</v>
      </c>
      <c r="Z17" s="247">
        <f t="shared" si="8"/>
        <v>23.327200000000001</v>
      </c>
      <c r="AA17" s="247">
        <f t="shared" si="9"/>
        <v>23.179500000000001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7" s="234" t="str">
        <f t="shared" si="12"/>
        <v>"C:\Program Files (x86)\AstroGrep\AstroGrep.exe" /e /r /s /spath="%USERPROFILE%\AppData\Local\Temp\OnboardLogs" /stypes="app*4012*20171210*"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105-10 --locoid 4012 --swversion DE.1.0.9.0 --startMP 204:1477 --initTime 2017-12-10T04:01:48 --startdatetime 2017-12-10T04:15:49 --delay 49 --endMP 204:233272 --enddatetime 2017-12-10T04:50:49 --enforcementcount 0 &gt;&gt;%USERPROFILE%\Documents\GitHub\eaglep3-reporting\EC\2017-12-10-refined-times.txt</v>
      </c>
      <c r="AI1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{"issue":{"subject":"","project_id":79,"tracker_id":40,"status_id":1,"priority_id":2,"assigned_to_id":338,"start_date":"2017-12-10","description":"","custom_fields":[{"id":1,"name":"Subdivision","value":"EC"},{"id":4,"name":"Milepost","value":"23.3272"},{"id":17,"name":"Train ID","value":"105-10"},{"id":16,"name":"Locomotive ID","value":"4012"},{"id":130,"name":"Impact","value":""},{"id":150,"name":"Time of Event (Mountain Time)","value":"04:50:49"},{"id":151,"name":"Denver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4012 --day 2017-12-10</v>
      </c>
      <c r="AN1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-10T03:01:48-0700',mode:absolute,to:'2017-12-10T05:50:49-0700'))&amp;_a=(columns:!('Message%20ID',Summary),filters:!(),index:'emp_*',interval:auto,query:(query_string:(analyze_wildcard:!t,query:'%22rtdc.l.rtdc.4012%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769</v>
      </c>
      <c r="B18" s="225">
        <v>4011</v>
      </c>
      <c r="C18" s="227" t="s">
        <v>192</v>
      </c>
      <c r="D18" s="227" t="s">
        <v>699</v>
      </c>
      <c r="E18" s="226">
        <v>43079.204143518517</v>
      </c>
      <c r="F18" s="226">
        <v>43079.216851851852</v>
      </c>
      <c r="G18" s="225">
        <v>54</v>
      </c>
      <c r="H18" s="227" t="s">
        <v>944</v>
      </c>
      <c r="I18" s="226">
        <v>43079.243483796294</v>
      </c>
      <c r="J18" s="225">
        <v>0</v>
      </c>
      <c r="K18" s="237" t="str">
        <f t="shared" si="0"/>
        <v>4011/4012</v>
      </c>
      <c r="L18" s="245" t="str">
        <f>VLOOKUP(A18,'Trips&amp;Operators'!$C$1:$G$99911,5,FALSE)</f>
        <v>HUFFSMITH MONTY</v>
      </c>
      <c r="M18" s="224">
        <f t="shared" si="1"/>
        <v>2.6631944441760425E-2</v>
      </c>
      <c r="N18" s="225">
        <f t="shared" si="2"/>
        <v>38.349999996135011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-10T03:53:58-0700',mode:absolute,to:'2017-12-10T06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23.296900000000001</v>
      </c>
      <c r="Z18" s="247">
        <f t="shared" si="8"/>
        <v>1.3599999999999999E-2</v>
      </c>
      <c r="AA18" s="247">
        <f t="shared" si="9"/>
        <v>23.283300000000001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8" s="234" t="str">
        <f t="shared" si="12"/>
        <v>"C:\Program Files (x86)\AstroGrep\AstroGrep.exe" /e /r /s /spath="%USERPROFILE%\AppData\Local\Temp\OnboardLogs" /stypes="app*4011*20171210*"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106-10 --locoid 4011 --swversion DE.1.0.9.0 --startMP 204:232969 --initTime 2017-12-10T04:53:58 --startdatetime 2017-12-10T05:12:16 --delay 54 --endMP 204:136 --enddatetime 2017-12-10T05:50:37 --enforcementcount 0 &gt;&gt;%USERPROFILE%\Documents\GitHub\eaglep3-reporting\EC\2017-12-10-refined-times.txt</v>
      </c>
      <c r="AI1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{"issue":{"subject":"","project_id":79,"tracker_id":40,"status_id":1,"priority_id":2,"assigned_to_id":338,"start_date":"2017-12-10","description":"","custom_fields":[{"id":1,"name":"Subdivision","value":"EC"},{"id":4,"name":"Milepost","value":"0.0136"},{"id":17,"name":"Train ID","value":"106-10"},{"id":16,"name":"Locomotive ID","value":"4011"},{"id":130,"name":"Impact","value":""},{"id":150,"name":"Time of Event (Mountain Time)","value":"05:50:37"},{"id":151,"name":"Denver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4011 --day 2017-12-10</v>
      </c>
      <c r="AN1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-10T03:53:58-0700',mode:absolute,to:'2017-12-10T06:50:37-0700'))&amp;_a=(columns:!('Message%20ID',Summary),filters:!(),index:'emp_*',interval:auto,query:(query_string:(analyze_wildcard:!t,query:'%22rtdc.l.rtdc.4011%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766</v>
      </c>
      <c r="B19" s="225">
        <v>4030</v>
      </c>
      <c r="C19" s="227" t="s">
        <v>192</v>
      </c>
      <c r="D19" s="227" t="s">
        <v>582</v>
      </c>
      <c r="E19" s="226">
        <v>43079.188576388886</v>
      </c>
      <c r="F19" s="226">
        <v>43079.190312500003</v>
      </c>
      <c r="G19" s="225">
        <v>63</v>
      </c>
      <c r="H19" s="227" t="s">
        <v>685</v>
      </c>
      <c r="I19" s="226">
        <v>43079.214791666665</v>
      </c>
      <c r="J19" s="225">
        <v>0</v>
      </c>
      <c r="K19" s="237" t="str">
        <f t="shared" si="0"/>
        <v>4029/4030</v>
      </c>
      <c r="L19" s="245" t="str">
        <f>VLOOKUP(A19,'Trips&amp;Operators'!$C$1:$G$99911,5,FALSE)</f>
        <v>DELGADO DIANAH</v>
      </c>
      <c r="M19" s="224">
        <f t="shared" si="1"/>
        <v>2.4479166662786156E-2</v>
      </c>
      <c r="N19" s="225">
        <f t="shared" si="2"/>
        <v>35.249999994412065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-10T03:31:33-0700',mode:absolute,to:'2017-12-10T06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4.58E-2</v>
      </c>
      <c r="Z19" s="247">
        <f t="shared" si="8"/>
        <v>23.332100000000001</v>
      </c>
      <c r="AA19" s="247">
        <f t="shared" si="9"/>
        <v>23.286300000000001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9" s="234" t="str">
        <f t="shared" si="12"/>
        <v>"C:\Program Files (x86)\AstroGrep\AstroGrep.exe" /e /r /s /spath="%USERPROFILE%\AppData\Local\Temp\OnboardLogs" /stypes="app*4030*20171210*"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107-10 --locoid 4030 --swversion DE.1.0.9.0 --startMP 204:458 --initTime 2017-12-10T04:31:33 --startdatetime 2017-12-10T04:34:03 --delay 63 --endMP 204:233321 --enddatetime 2017-12-10T05:09:18 --enforcementcount 0 &gt;&gt;%USERPROFILE%\Documents\GitHub\eaglep3-reporting\EC\2017-12-10-refined-times.txt</v>
      </c>
      <c r="AI1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{"issue":{"subject":"","project_id":79,"tracker_id":40,"status_id":1,"priority_id":2,"assigned_to_id":338,"start_date":"2017-12-10","description":"","custom_fields":[{"id":1,"name":"Subdivision","value":"EC"},{"id":4,"name":"Milepost","value":"23.3321"},{"id":17,"name":"Train ID","value":"107-10"},{"id":16,"name":"Locomotive ID","value":"4030"},{"id":130,"name":"Impact","value":""},{"id":150,"name":"Time of Event (Mountain Time)","value":"05:09:18"},{"id":151,"name":"Denver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4030 --day 2017-12-10</v>
      </c>
      <c r="AN1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-10T03:31:33-0700',mode:absolute,to:'2017-12-10T06:09:18-0700'))&amp;_a=(columns:!('Message%20ID',Summary),filters:!(),index:'emp_*',interval:auto,query:(query_string:(analyze_wildcard:!t,query:'%22rtdc.l.rtdc.4030%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772</v>
      </c>
      <c r="B20" s="225">
        <v>4029</v>
      </c>
      <c r="C20" s="227" t="s">
        <v>192</v>
      </c>
      <c r="D20" s="227" t="s">
        <v>945</v>
      </c>
      <c r="E20" s="226">
        <v>43079.215879629628</v>
      </c>
      <c r="F20" s="226">
        <v>43079.227268518516</v>
      </c>
      <c r="G20" s="225">
        <v>74</v>
      </c>
      <c r="H20" s="227" t="s">
        <v>944</v>
      </c>
      <c r="I20" s="226">
        <v>43079.252638888887</v>
      </c>
      <c r="J20" s="225">
        <v>0</v>
      </c>
      <c r="K20" s="237" t="str">
        <f t="shared" si="0"/>
        <v>4029/4030</v>
      </c>
      <c r="L20" s="245" t="str">
        <f>VLOOKUP(A20,'Trips&amp;Operators'!$C$1:$G$99911,5,FALSE)</f>
        <v>DELGADO DIANAH</v>
      </c>
      <c r="M20" s="224">
        <f t="shared" si="1"/>
        <v>2.5370370371092577E-2</v>
      </c>
      <c r="N20" s="225">
        <f t="shared" si="2"/>
        <v>36.53333333437331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-10T04:10:52-0700',mode:absolute,to:'2017-12-10T07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23.299800000000001</v>
      </c>
      <c r="Z20" s="247">
        <f t="shared" si="8"/>
        <v>1.3599999999999999E-2</v>
      </c>
      <c r="AA20" s="247">
        <f t="shared" si="9"/>
        <v>23.286200000000001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20" s="234" t="str">
        <f t="shared" si="12"/>
        <v>"C:\Program Files (x86)\AstroGrep\AstroGrep.exe" /e /r /s /spath="%USERPROFILE%\AppData\Local\Temp\OnboardLogs" /stypes="app*4029*20171210*"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108-10 --locoid 4029 --swversion DE.1.0.9.0 --startMP 204:232998 --initTime 2017-12-10T05:10:52 --startdatetime 2017-12-10T05:27:16 --delay 74 --endMP 204:136 --enddatetime 2017-12-10T06:03:48 --enforcementcount 0 &gt;&gt;%USERPROFILE%\Documents\GitHub\eaglep3-reporting\EC\2017-12-10-refined-times.txt</v>
      </c>
      <c r="AI2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{"issue":{"subject":"","project_id":79,"tracker_id":40,"status_id":1,"priority_id":2,"assigned_to_id":338,"start_date":"2017-12-10","description":"","custom_fields":[{"id":1,"name":"Subdivision","value":"EC"},{"id":4,"name":"Milepost","value":"0.0136"},{"id":17,"name":"Train ID","value":"108-10"},{"id":16,"name":"Locomotive ID","value":"4029"},{"id":130,"name":"Impact","value":""},{"id":150,"name":"Time of Event (Mountain Time)","value":"06:03:48"},{"id":151,"name":"Denver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4029 --day 2017-12-10</v>
      </c>
      <c r="AN2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-10T04:10:52-0700',mode:absolute,to:'2017-12-10T07:03:48-0700'))&amp;_a=(columns:!('Message%20ID',Summary),filters:!(),index:'emp_*',interval:auto,query:(query_string:(analyze_wildcard:!t,query:'%22rtdc.l.rtdc.4029%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767</v>
      </c>
      <c r="B21" s="225">
        <v>4032</v>
      </c>
      <c r="C21" s="227" t="s">
        <v>192</v>
      </c>
      <c r="D21" s="227" t="s">
        <v>549</v>
      </c>
      <c r="E21" s="226">
        <v>43079.195219907408</v>
      </c>
      <c r="F21" s="226">
        <v>43079.198171296295</v>
      </c>
      <c r="G21" s="225">
        <v>81</v>
      </c>
      <c r="H21" s="227" t="s">
        <v>946</v>
      </c>
      <c r="I21" s="226">
        <v>43079.221956018519</v>
      </c>
      <c r="J21" s="225">
        <v>0</v>
      </c>
      <c r="K21" s="237" t="str">
        <f t="shared" si="0"/>
        <v>4031/4032</v>
      </c>
      <c r="L21" s="245" t="str">
        <f>VLOOKUP(A21,'Trips&amp;Operators'!$C$1:$G$99911,5,FALSE)</f>
        <v>GEBRETEKLE DAGNEW</v>
      </c>
      <c r="M21" s="224">
        <f t="shared" si="1"/>
        <v>2.3784722223354038E-2</v>
      </c>
      <c r="N21" s="225">
        <f t="shared" si="2"/>
        <v>34.250000001629815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-10T03:41:07-0700',mode:absolute,to:'2017-12-10T06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4.7699999999999999E-2</v>
      </c>
      <c r="Z21" s="247">
        <f t="shared" si="8"/>
        <v>23.329899999999999</v>
      </c>
      <c r="AA21" s="247">
        <f t="shared" si="9"/>
        <v>23.2822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21" s="234" t="str">
        <f t="shared" si="12"/>
        <v>"C:\Program Files (x86)\AstroGrep\AstroGrep.exe" /e /r /s /spath="%USERPROFILE%\AppData\Local\Temp\OnboardLogs" /stypes="app*4032*20171210*"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109-10 --locoid 4032 --swversion DE.1.0.9.0 --startMP 204:477 --initTime 2017-12-10T04:41:07 --startdatetime 2017-12-10T04:45:22 --delay 81 --endMP 204:233299 --enddatetime 2017-12-10T05:19:37 --enforcementcount 0 &gt;&gt;%USERPROFILE%\Documents\GitHub\eaglep3-reporting\EC\2017-12-10-refined-times.txt</v>
      </c>
      <c r="AI2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{"issue":{"subject":"","project_id":79,"tracker_id":40,"status_id":1,"priority_id":2,"assigned_to_id":338,"start_date":"2017-12-10","description":"","custom_fields":[{"id":1,"name":"Subdivision","value":"EC"},{"id":4,"name":"Milepost","value":"23.3299"},{"id":17,"name":"Train ID","value":"109-10"},{"id":16,"name":"Locomotive ID","value":"4032"},{"id":130,"name":"Impact","value":""},{"id":150,"name":"Time of Event (Mountain Time)","value":"05:19:37"},{"id":151,"name":"Denver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4032 --day 2017-12-10</v>
      </c>
      <c r="AN2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-10T03:41:07-0700',mode:absolute,to:'2017-12-10T06:19:37-0700'))&amp;_a=(columns:!('Message%20ID',Summary),filters:!(),index:'emp_*',interval:auto,query:(query_string:(analyze_wildcard:!t,query:'%22rtdc.l.rtdc.4032%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773</v>
      </c>
      <c r="B22" s="225">
        <v>4031</v>
      </c>
      <c r="C22" s="227" t="s">
        <v>192</v>
      </c>
      <c r="D22" s="227" t="s">
        <v>724</v>
      </c>
      <c r="E22" s="226">
        <v>43079.223402777781</v>
      </c>
      <c r="F22" s="226">
        <v>43079.237766203703</v>
      </c>
      <c r="G22" s="225">
        <v>68</v>
      </c>
      <c r="H22" s="227" t="s">
        <v>947</v>
      </c>
      <c r="I22" s="226">
        <v>43079.263240740744</v>
      </c>
      <c r="J22" s="225">
        <v>0</v>
      </c>
      <c r="K22" s="237" t="str">
        <f t="shared" si="0"/>
        <v>4031/4032</v>
      </c>
      <c r="L22" s="245" t="str">
        <f>VLOOKUP(A22,'Trips&amp;Operators'!$C$1:$G$99911,5,FALSE)</f>
        <v>GEBRETEKLE DAGNEW</v>
      </c>
      <c r="M22" s="224">
        <f t="shared" si="1"/>
        <v>2.5474537040281575E-2</v>
      </c>
      <c r="N22" s="225">
        <f t="shared" si="2"/>
        <v>36.683333338005468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-10T04:21:42-0700',mode:absolute,to:'2017-12-10T07:19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23.297499999999999</v>
      </c>
      <c r="Z22" s="247">
        <f t="shared" si="8"/>
        <v>1.83E-2</v>
      </c>
      <c r="AA22" s="247">
        <f t="shared" si="9"/>
        <v>23.279199999999999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22" s="234" t="str">
        <f t="shared" si="12"/>
        <v>"C:\Program Files (x86)\AstroGrep\AstroGrep.exe" /e /r /s /spath="%USERPROFILE%\AppData\Local\Temp\OnboardLogs" /stypes="app*4031*20171210*"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110-10 --locoid 4031 --swversion DE.1.0.9.0 --startMP 204:232975 --initTime 2017-12-10T05:21:42 --startdatetime 2017-12-10T05:42:23 --delay 68 --endMP 204:183 --enddatetime 2017-12-10T06:19:04 --enforcementcount 0 &gt;&gt;%USERPROFILE%\Documents\GitHub\eaglep3-reporting\EC\2017-12-10-refined-times.txt</v>
      </c>
      <c r="AI2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{"issue":{"subject":"","project_id":79,"tracker_id":40,"status_id":1,"priority_id":2,"assigned_to_id":338,"start_date":"2017-12-10","description":"","custom_fields":[{"id":1,"name":"Subdivision","value":"EC"},{"id":4,"name":"Milepost","value":"0.0183"},{"id":17,"name":"Train ID","value":"110-10"},{"id":16,"name":"Locomotive ID","value":"4031"},{"id":130,"name":"Impact","value":""},{"id":150,"name":"Time of Event (Mountain Time)","value":"06:19:04"},{"id":151,"name":"Denver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4031 --day 2017-12-10</v>
      </c>
      <c r="AN2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-10T04:21:42-0700',mode:absolute,to:'2017-12-10T07:19:04-0700'))&amp;_a=(columns:!('Message%20ID',Summary),filters:!(),index:'emp_*',interval:auto,query:(query_string:(analyze_wildcard:!t,query:'%22rtdc.l.rtdc.4031%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770</v>
      </c>
      <c r="B23" s="225">
        <v>4064</v>
      </c>
      <c r="C23" s="227" t="s">
        <v>192</v>
      </c>
      <c r="D23" s="227" t="s">
        <v>490</v>
      </c>
      <c r="E23" s="226">
        <v>43079.206273148149</v>
      </c>
      <c r="F23" s="226">
        <v>43079.208541666667</v>
      </c>
      <c r="G23" s="225">
        <v>49</v>
      </c>
      <c r="H23" s="227" t="s">
        <v>948</v>
      </c>
      <c r="I23" s="226">
        <v>43079.234780092593</v>
      </c>
      <c r="J23" s="225">
        <v>0</v>
      </c>
      <c r="K23" s="237" t="str">
        <f t="shared" si="0"/>
        <v>4063/4064</v>
      </c>
      <c r="L23" s="245" t="str">
        <f>VLOOKUP(A23,'Trips&amp;Operators'!$C$1:$G$99911,5,FALSE)</f>
        <v>THOMPSON LESTER</v>
      </c>
      <c r="M23" s="224">
        <f t="shared" si="1"/>
        <v>2.6238425925839692E-2</v>
      </c>
      <c r="N23" s="225">
        <f t="shared" si="2"/>
        <v>37.783333333209157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-10T03:57:02-0700',mode:absolute,to:'2017-12-10T06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5.1499999999999997E-2</v>
      </c>
      <c r="Z23" s="247">
        <f t="shared" si="8"/>
        <v>23.333400000000001</v>
      </c>
      <c r="AA23" s="247">
        <f t="shared" si="9"/>
        <v>23.2819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23" s="234" t="str">
        <f t="shared" si="12"/>
        <v>"C:\Program Files (x86)\AstroGrep\AstroGrep.exe" /e /r /s /spath="%USERPROFILE%\AppData\Local\Temp\OnboardLogs" /stypes="app*4064*20171210*"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111-10 --locoid 4064 --swversion DE.1.0.9.0 --startMP 204:515 --initTime 2017-12-10T04:57:02 --startdatetime 2017-12-10T05:00:18 --delay 49 --endMP 204:233334 --enddatetime 2017-12-10T05:38:05 --enforcementcount 0 &gt;&gt;%USERPROFILE%\Documents\GitHub\eaglep3-reporting\EC\2017-12-10-refined-times.txt</v>
      </c>
      <c r="AI2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{"issue":{"subject":"","project_id":79,"tracker_id":40,"status_id":1,"priority_id":2,"assigned_to_id":338,"start_date":"2017-12-10","description":"","custom_fields":[{"id":1,"name":"Subdivision","value":"EC"},{"id":4,"name":"Milepost","value":"23.3334"},{"id":17,"name":"Train ID","value":"111-10"},{"id":16,"name":"Locomotive ID","value":"4064"},{"id":130,"name":"Impact","value":""},{"id":150,"name":"Time of Event (Mountain Time)","value":"05:38:05"},{"id":151,"name":"Denver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4064 --day 2017-12-10</v>
      </c>
      <c r="AN2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-10T03:57:02-0700',mode:absolute,to:'2017-12-10T06:38:05-0700'))&amp;_a=(columns:!('Message%20ID',Summary),filters:!(),index:'emp_*',interval:auto,query:(query_string:(analyze_wildcard:!t,query:'%22rtdc.l.rtdc.4064%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780</v>
      </c>
      <c r="B24" s="225">
        <v>4063</v>
      </c>
      <c r="C24" s="227" t="s">
        <v>192</v>
      </c>
      <c r="D24" s="227" t="s">
        <v>949</v>
      </c>
      <c r="E24" s="226">
        <v>43079.246030092596</v>
      </c>
      <c r="F24" s="226">
        <v>43079.248379629629</v>
      </c>
      <c r="G24" s="225">
        <v>56</v>
      </c>
      <c r="H24" s="227" t="s">
        <v>477</v>
      </c>
      <c r="I24" s="226">
        <v>43079.27480324074</v>
      </c>
      <c r="J24" s="225">
        <v>0</v>
      </c>
      <c r="K24" s="237" t="str">
        <f t="shared" si="0"/>
        <v>4063/4064</v>
      </c>
      <c r="L24" s="245" t="str">
        <f>VLOOKUP(A24,'Trips&amp;Operators'!$C$1:$G$99911,5,FALSE)</f>
        <v>THOMPSON LESTER</v>
      </c>
      <c r="M24" s="224">
        <f t="shared" si="1"/>
        <v>2.6423611110658385E-2</v>
      </c>
      <c r="N24" s="225">
        <f t="shared" si="2"/>
        <v>38.049999999348074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-10T04:54:17-0700',mode:absolute,to:'2017-12-10T07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23.301500000000001</v>
      </c>
      <c r="Z24" s="247">
        <f t="shared" si="8"/>
        <v>2.1100000000000001E-2</v>
      </c>
      <c r="AA24" s="247">
        <f t="shared" si="9"/>
        <v>23.2804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24" s="234" t="str">
        <f t="shared" si="12"/>
        <v>"C:\Program Files (x86)\AstroGrep\AstroGrep.exe" /e /r /s /spath="%USERPROFILE%\AppData\Local\Temp\OnboardLogs" /stypes="app*4063*20171210*"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112-10 --locoid 4063 --swversion DE.1.0.9.0 --startMP 204:233015 --initTime 2017-12-10T05:54:17 --startdatetime 2017-12-10T05:57:40 --delay 56 --endMP 204:211 --enddatetime 2017-12-10T06:35:43 --enforcementcount 0 &gt;&gt;%USERPROFILE%\Documents\GitHub\eaglep3-reporting\EC\2017-12-10-refined-times.txt</v>
      </c>
      <c r="AI2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{"issue":{"subject":"","project_id":79,"tracker_id":40,"status_id":1,"priority_id":2,"assigned_to_id":338,"start_date":"2017-12-10","description":"","custom_fields":[{"id":1,"name":"Subdivision","value":"EC"},{"id":4,"name":"Milepost","value":"0.0211"},{"id":17,"name":"Train ID","value":"112-10"},{"id":16,"name":"Locomotive ID","value":"4063"},{"id":130,"name":"Impact","value":""},{"id":150,"name":"Time of Event (Mountain Time)","value":"06:35:43"},{"id":151,"name":"Denver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4063 --day 2017-12-10</v>
      </c>
      <c r="AN2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-10T04:54:17-0700',mode:absolute,to:'2017-12-10T07:35:43-0700'))&amp;_a=(columns:!('Message%20ID',Summary),filters:!(),index:'emp_*',interval:auto,query:(query_string:(analyze_wildcard:!t,query:'%22rtdc.l.rtdc.4063%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771</v>
      </c>
      <c r="B25" s="225">
        <v>4034</v>
      </c>
      <c r="C25" s="227" t="s">
        <v>192</v>
      </c>
      <c r="D25" s="227" t="s">
        <v>445</v>
      </c>
      <c r="E25" s="226">
        <v>43079.214016203703</v>
      </c>
      <c r="F25" s="226">
        <v>43079.218946759262</v>
      </c>
      <c r="G25" s="225">
        <v>121</v>
      </c>
      <c r="H25" s="227" t="s">
        <v>589</v>
      </c>
      <c r="I25" s="226">
        <v>43079.24391203704</v>
      </c>
      <c r="J25" s="225">
        <v>0</v>
      </c>
      <c r="K25" s="237" t="str">
        <f t="shared" si="0"/>
        <v>4033/4034</v>
      </c>
      <c r="L25" s="245" t="str">
        <f>VLOOKUP(A25,'Trips&amp;Operators'!$C$1:$G$99911,5,FALSE)</f>
        <v>WILLIAMS DONTE</v>
      </c>
      <c r="M25" s="224">
        <f t="shared" si="1"/>
        <v>2.4965277778392192E-2</v>
      </c>
      <c r="N25" s="225">
        <f t="shared" si="2"/>
        <v>35.950000000884756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-10T04:08:11-0700',mode:absolute,to:'2017-12-10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5.3699999999999998E-2</v>
      </c>
      <c r="Z25" s="247">
        <f t="shared" si="8"/>
        <v>23.325900000000001</v>
      </c>
      <c r="AA25" s="247">
        <f t="shared" si="9"/>
        <v>23.272200000000002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25" s="234" t="str">
        <f t="shared" si="12"/>
        <v>"C:\Program Files (x86)\AstroGrep\AstroGrep.exe" /e /r /s /spath="%USERPROFILE%\AppData\Local\Temp\OnboardLogs" /stypes="app*4034*20171210*"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113-10 --locoid 4034 --swversion DE.1.0.9.0 --startMP 204:537 --initTime 2017-12-10T05:08:11 --startdatetime 2017-12-10T05:15:17 --delay 121 --endMP 204:233259 --enddatetime 2017-12-10T05:51:14 --enforcementcount 0 &gt;&gt;%USERPROFILE%\Documents\GitHub\eaglep3-reporting\EC\2017-12-10-refined-times.txt</v>
      </c>
      <c r="AI2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{"issue":{"subject":"","project_id":79,"tracker_id":40,"status_id":1,"priority_id":2,"assigned_to_id":338,"start_date":"2017-12-10","description":"","custom_fields":[{"id":1,"name":"Subdivision","value":"EC"},{"id":4,"name":"Milepost","value":"23.3259"},{"id":17,"name":"Train ID","value":"113-10"},{"id":16,"name":"Locomotive ID","value":"4034"},{"id":130,"name":"Impact","value":""},{"id":150,"name":"Time of Event (Mountain Time)","value":"05:51:14"},{"id":151,"name":"Denver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4034 --day 2017-12-10</v>
      </c>
      <c r="AN2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-10T04:08:11-0700',mode:absolute,to:'2017-12-10T06:51:14-0700'))&amp;_a=(columns:!('Message%20ID',Summary),filters:!(),index:'emp_*',interval:auto,query:(query_string:(analyze_wildcard:!t,query:'%22rtdc.l.rtdc.4034%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779</v>
      </c>
      <c r="B26" s="225">
        <v>4033</v>
      </c>
      <c r="C26" s="227" t="s">
        <v>192</v>
      </c>
      <c r="D26" s="227" t="s">
        <v>705</v>
      </c>
      <c r="E26" s="226">
        <v>43079.245729166665</v>
      </c>
      <c r="F26" s="226">
        <v>43079.258634259262</v>
      </c>
      <c r="G26" s="225">
        <v>52</v>
      </c>
      <c r="H26" s="227" t="s">
        <v>576</v>
      </c>
      <c r="I26" s="226">
        <v>43079.285312499997</v>
      </c>
      <c r="J26" s="225">
        <v>0</v>
      </c>
      <c r="K26" s="237" t="str">
        <f t="shared" si="0"/>
        <v>4033/4034</v>
      </c>
      <c r="L26" s="245" t="str">
        <f>VLOOKUP(A26,'Trips&amp;Operators'!$C$1:$G$99911,5,FALSE)</f>
        <v>WILLIAMS DONTE</v>
      </c>
      <c r="M26" s="224">
        <f t="shared" si="1"/>
        <v>2.6678240734327119E-2</v>
      </c>
      <c r="N26" s="225">
        <f t="shared" si="2"/>
        <v>38.416666657431051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-10T04:53:51-0700',mode:absolute,to:'2017-12-10T07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23.293399999999998</v>
      </c>
      <c r="Z26" s="247">
        <f t="shared" si="8"/>
        <v>2.01E-2</v>
      </c>
      <c r="AA26" s="247">
        <f t="shared" si="9"/>
        <v>23.273299999999999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26" s="234" t="str">
        <f t="shared" si="12"/>
        <v>"C:\Program Files (x86)\AstroGrep\AstroGrep.exe" /e /r /s /spath="%USERPROFILE%\AppData\Local\Temp\OnboardLogs" /stypes="app*4033*20171210*"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114-10 --locoid 4033 --swversion DE.1.0.9.0 --startMP 204:232934 --initTime 2017-12-10T05:53:51 --startdatetime 2017-12-10T06:12:26 --delay 52 --endMP 204:201 --enddatetime 2017-12-10T06:50:51 --enforcementcount 0 &gt;&gt;%USERPROFILE%\Documents\GitHub\eaglep3-reporting\EC\2017-12-10-refined-times.txt</v>
      </c>
      <c r="AI2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{"issue":{"subject":"","project_id":79,"tracker_id":40,"status_id":1,"priority_id":2,"assigned_to_id":338,"start_date":"2017-12-10","description":"","custom_fields":[{"id":1,"name":"Subdivision","value":"EC"},{"id":4,"name":"Milepost","value":"0.0201"},{"id":17,"name":"Train ID","value":"114-10"},{"id":16,"name":"Locomotive ID","value":"4033"},{"id":130,"name":"Impact","value":""},{"id":150,"name":"Time of Event (Mountain Time)","value":"06:50:51"},{"id":151,"name":"Denver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4033 --day 2017-12-10</v>
      </c>
      <c r="AN2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-10T04:53:51-0700',mode:absolute,to:'2017-12-10T07:50:51-0700'))&amp;_a=(columns:!('Message%20ID',Summary),filters:!(),index:'emp_*',interval:auto,query:(query_string:(analyze_wildcard:!t,query:'%22rtdc.l.rtdc.4033%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776</v>
      </c>
      <c r="B27" s="225">
        <v>4024</v>
      </c>
      <c r="C27" s="227" t="s">
        <v>192</v>
      </c>
      <c r="D27" s="227" t="s">
        <v>473</v>
      </c>
      <c r="E27" s="226">
        <v>43079.227893518517</v>
      </c>
      <c r="F27" s="226">
        <v>43079.229375000003</v>
      </c>
      <c r="G27" s="225">
        <v>43</v>
      </c>
      <c r="H27" s="227" t="s">
        <v>721</v>
      </c>
      <c r="I27" s="226">
        <v>43079.254895833335</v>
      </c>
      <c r="J27" s="225">
        <v>0</v>
      </c>
      <c r="K27" s="237" t="str">
        <f t="shared" si="0"/>
        <v>4023/4024</v>
      </c>
      <c r="L27" s="245" t="str">
        <f>VLOOKUP(A27,'Trips&amp;Operators'!$C$1:$G$99911,5,FALSE)</f>
        <v>MAELZER KURT</v>
      </c>
      <c r="M27" s="224">
        <f t="shared" si="1"/>
        <v>2.5520833332848269E-2</v>
      </c>
      <c r="N27" s="225">
        <f t="shared" si="2"/>
        <v>36.749999999301508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-10T04:28:10-0700',mode:absolute,to:'2017-12-10T07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5.0200000000000002E-2</v>
      </c>
      <c r="Z27" s="247">
        <f t="shared" si="8"/>
        <v>23.331399999999999</v>
      </c>
      <c r="AA27" s="247">
        <f t="shared" si="9"/>
        <v>23.281199999999998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27" s="234" t="str">
        <f t="shared" si="12"/>
        <v>"C:\Program Files (x86)\AstroGrep\AstroGrep.exe" /e /r /s /spath="%USERPROFILE%\AppData\Local\Temp\OnboardLogs" /stypes="app*4024*20171210*"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115-10 --locoid 4024 --swversion DE.1.0.9.0 --startMP 204:502 --initTime 2017-12-10T05:28:10 --startdatetime 2017-12-10T05:30:18 --delay 43 --endMP 204:233314 --enddatetime 2017-12-10T06:07:03 --enforcementcount 0 &gt;&gt;%USERPROFILE%\Documents\GitHub\eaglep3-reporting\EC\2017-12-10-refined-times.txt</v>
      </c>
      <c r="AI2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{"issue":{"subject":"","project_id":79,"tracker_id":40,"status_id":1,"priority_id":2,"assigned_to_id":338,"start_date":"2017-12-10","description":"","custom_fields":[{"id":1,"name":"Subdivision","value":"EC"},{"id":4,"name":"Milepost","value":"23.3314"},{"id":17,"name":"Train ID","value":"115-10"},{"id":16,"name":"Locomotive ID","value":"4024"},{"id":130,"name":"Impact","value":""},{"id":150,"name":"Time of Event (Mountain Time)","value":"06:07:03"},{"id":151,"name":"Denver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4024 --day 2017-12-10</v>
      </c>
      <c r="AN2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-10T04:28:10-0700',mode:absolute,to:'2017-12-10T07:07:03-0700'))&amp;_a=(columns:!('Message%20ID',Summary),filters:!(),index:'emp_*',interval:auto,query:(query_string:(analyze_wildcard:!t,query:'%22rtdc.l.rtdc.4024%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784</v>
      </c>
      <c r="B28" s="225">
        <v>4023</v>
      </c>
      <c r="C28" s="227" t="s">
        <v>192</v>
      </c>
      <c r="D28" s="227" t="s">
        <v>945</v>
      </c>
      <c r="E28" s="226">
        <v>43079.264050925929</v>
      </c>
      <c r="F28" s="226">
        <v>43079.268946759257</v>
      </c>
      <c r="G28" s="225">
        <v>44</v>
      </c>
      <c r="H28" s="227" t="s">
        <v>701</v>
      </c>
      <c r="I28" s="226">
        <v>43079.294791666667</v>
      </c>
      <c r="J28" s="225">
        <v>0</v>
      </c>
      <c r="K28" s="237" t="str">
        <f t="shared" si="0"/>
        <v>4023/4024</v>
      </c>
      <c r="L28" s="245" t="str">
        <f>VLOOKUP(A28,'Trips&amp;Operators'!$C$1:$G$99911,5,FALSE)</f>
        <v>MAELZER KURT</v>
      </c>
      <c r="M28" s="224">
        <f t="shared" si="1"/>
        <v>2.584490740991896E-2</v>
      </c>
      <c r="N28" s="225">
        <f t="shared" si="2"/>
        <v>37.216666670283303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-10T05:20:14-0700',mode:absolute,to:'2017-12-10T08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23.299800000000001</v>
      </c>
      <c r="Z28" s="247">
        <f t="shared" si="8"/>
        <v>1.7399999999999999E-2</v>
      </c>
      <c r="AA28" s="247">
        <f t="shared" si="9"/>
        <v>23.282400000000003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28" s="234" t="str">
        <f t="shared" si="12"/>
        <v>"C:\Program Files (x86)\AstroGrep\AstroGrep.exe" /e /r /s /spath="%USERPROFILE%\AppData\Local\Temp\OnboardLogs" /stypes="app*4023*20171210*"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116-10 --locoid 4023 --swversion DE.1.0.9.0 --startMP 204:232998 --initTime 2017-12-10T06:20:14 --startdatetime 2017-12-10T06:27:17 --delay 44 --endMP 204:174 --enddatetime 2017-12-10T07:04:30 --enforcementcount 0 &gt;&gt;%USERPROFILE%\Documents\GitHub\eaglep3-reporting\EC\2017-12-10-refined-times.txt</v>
      </c>
      <c r="AI2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{"issue":{"subject":"","project_id":79,"tracker_id":40,"status_id":1,"priority_id":2,"assigned_to_id":338,"start_date":"2017-12-10","description":"","custom_fields":[{"id":1,"name":"Subdivision","value":"EC"},{"id":4,"name":"Milepost","value":"0.0174"},{"id":17,"name":"Train ID","value":"116-10"},{"id":16,"name":"Locomotive ID","value":"4023"},{"id":130,"name":"Impact","value":""},{"id":150,"name":"Time of Event (Mountain Time)","value":"07:04:30"},{"id":151,"name":"Denver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4023 --day 2017-12-10</v>
      </c>
      <c r="AN2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-10T05:20:14-0700',mode:absolute,to:'2017-12-10T08:04:30-0700'))&amp;_a=(columns:!('Message%20ID',Summary),filters:!(),index:'emp_*',interval:auto,query:(query_string:(analyze_wildcard:!t,query:'%22rtdc.l.rtdc.4023%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778</v>
      </c>
      <c r="B29" s="225">
        <v>4018</v>
      </c>
      <c r="C29" s="227" t="s">
        <v>192</v>
      </c>
      <c r="D29" s="227" t="s">
        <v>684</v>
      </c>
      <c r="E29" s="226">
        <v>43079.234664351854</v>
      </c>
      <c r="F29" s="226">
        <v>43079.239756944444</v>
      </c>
      <c r="G29" s="225">
        <v>70</v>
      </c>
      <c r="H29" s="227" t="s">
        <v>689</v>
      </c>
      <c r="I29" s="226">
        <v>43079.263680555552</v>
      </c>
      <c r="J29" s="225">
        <v>0</v>
      </c>
      <c r="K29" s="237" t="str">
        <f t="shared" si="0"/>
        <v>4017/4018</v>
      </c>
      <c r="L29" s="245" t="str">
        <f>VLOOKUP(A29,'Trips&amp;Operators'!$C$1:$G$99911,5,FALSE)</f>
        <v>LAMAR NEKESHA</v>
      </c>
      <c r="M29" s="224">
        <f t="shared" si="1"/>
        <v>2.3923611108330078E-2</v>
      </c>
      <c r="N29" s="225">
        <f t="shared" si="2"/>
        <v>34.449999995995313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-10T04:37:55-0700',mode:absolute,to:'2017-12-10T07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4.6399999999999997E-2</v>
      </c>
      <c r="Z29" s="247">
        <f t="shared" si="8"/>
        <v>23.328900000000001</v>
      </c>
      <c r="AA29" s="247">
        <f t="shared" si="9"/>
        <v>23.282500000000002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29" s="234" t="str">
        <f t="shared" si="12"/>
        <v>"C:\Program Files (x86)\AstroGrep\AstroGrep.exe" /e /r /s /spath="%USERPROFILE%\AppData\Local\Temp\OnboardLogs" /stypes="app*4018*20171210*"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117-10 --locoid 4018 --swversion DE.1.0.9.0 --startMP 204:464 --initTime 2017-12-10T05:37:55 --startdatetime 2017-12-10T05:45:15 --delay 70 --endMP 204:233289 --enddatetime 2017-12-10T06:19:42 --enforcementcount 0 &gt;&gt;%USERPROFILE%\Documents\GitHub\eaglep3-reporting\EC\2017-12-10-refined-times.txt</v>
      </c>
      <c r="AI2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{"issue":{"subject":"","project_id":79,"tracker_id":40,"status_id":1,"priority_id":2,"assigned_to_id":338,"start_date":"2017-12-10","description":"","custom_fields":[{"id":1,"name":"Subdivision","value":"EC"},{"id":4,"name":"Milepost","value":"23.3289"},{"id":17,"name":"Train ID","value":"117-10"},{"id":16,"name":"Locomotive ID","value":"4018"},{"id":130,"name":"Impact","value":""},{"id":150,"name":"Time of Event (Mountain Time)","value":"06:19:42"},{"id":151,"name":"Denver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4018 --day 2017-12-10</v>
      </c>
      <c r="AN2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-10T04:37:55-0700',mode:absolute,to:'2017-12-10T07:19:42-0700'))&amp;_a=(columns:!('Message%20ID',Summary),filters:!(),index:'emp_*',interval:auto,query:(query_string:(analyze_wildcard:!t,query:'%22rtdc.l.rtdc.4018%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786</v>
      </c>
      <c r="B30" s="225">
        <v>4017</v>
      </c>
      <c r="C30" s="227" t="s">
        <v>192</v>
      </c>
      <c r="D30" s="227" t="s">
        <v>699</v>
      </c>
      <c r="E30" s="226">
        <v>43079.27747685185</v>
      </c>
      <c r="F30" s="226">
        <v>43079.279374999998</v>
      </c>
      <c r="G30" s="225">
        <v>86</v>
      </c>
      <c r="H30" s="227" t="s">
        <v>443</v>
      </c>
      <c r="I30" s="226">
        <v>43079.305300925924</v>
      </c>
      <c r="J30" s="225">
        <v>0</v>
      </c>
      <c r="K30" s="237" t="str">
        <f t="shared" si="0"/>
        <v>4017/4018</v>
      </c>
      <c r="L30" s="245" t="str">
        <f>VLOOKUP(A30,'Trips&amp;Operators'!$C$1:$G$99911,5,FALSE)</f>
        <v>LAMAR NEKESHA</v>
      </c>
      <c r="M30" s="224">
        <f t="shared" si="1"/>
        <v>2.5925925925548654E-2</v>
      </c>
      <c r="N30" s="225">
        <f t="shared" si="2"/>
        <v>37.333333332790062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-10T05:39:34-0700',mode:absolute,to:'2017-12-10T08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23.296900000000001</v>
      </c>
      <c r="Z30" s="247">
        <f t="shared" si="8"/>
        <v>2.07E-2</v>
      </c>
      <c r="AA30" s="247">
        <f t="shared" si="9"/>
        <v>23.276199999999999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30" s="234" t="str">
        <f t="shared" si="12"/>
        <v>"C:\Program Files (x86)\AstroGrep\AstroGrep.exe" /e /r /s /spath="%USERPROFILE%\AppData\Local\Temp\OnboardLogs" /stypes="app*4017*20171210*"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118-10 --locoid 4017 --swversion DE.1.0.9.0 --startMP 204:232969 --initTime 2017-12-10T06:39:34 --startdatetime 2017-12-10T06:42:18 --delay 86 --endMP 204:207 --enddatetime 2017-12-10T07:19:38 --enforcementcount 0 &gt;&gt;%USERPROFILE%\Documents\GitHub\eaglep3-reporting\EC\2017-12-10-refined-times.txt</v>
      </c>
      <c r="AI3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{"issue":{"subject":"","project_id":79,"tracker_id":40,"status_id":1,"priority_id":2,"assigned_to_id":338,"start_date":"2017-12-10","description":"","custom_fields":[{"id":1,"name":"Subdivision","value":"EC"},{"id":4,"name":"Milepost","value":"0.0207"},{"id":17,"name":"Train ID","value":"118-10"},{"id":16,"name":"Locomotive ID","value":"4017"},{"id":130,"name":"Impact","value":""},{"id":150,"name":"Time of Event (Mountain Time)","value":"07:19:38"},{"id":151,"name":"Denver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4017 --day 2017-12-10</v>
      </c>
      <c r="AN3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-10T05:39:34-0700',mode:absolute,to:'2017-12-10T08:19:38-0700'))&amp;_a=(columns:!('Message%20ID',Summary),filters:!(),index:'emp_*',interval:auto,query:(query_string:(analyze_wildcard:!t,query:'%22rtdc.l.rtdc.4017%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781</v>
      </c>
      <c r="B31" s="225">
        <v>4012</v>
      </c>
      <c r="C31" s="227" t="s">
        <v>192</v>
      </c>
      <c r="D31" s="227" t="s">
        <v>692</v>
      </c>
      <c r="E31" s="226">
        <v>43079.245879629627</v>
      </c>
      <c r="F31" s="226">
        <v>43079.2502662037</v>
      </c>
      <c r="G31" s="225">
        <v>76</v>
      </c>
      <c r="H31" s="227" t="s">
        <v>574</v>
      </c>
      <c r="I31" s="226">
        <v>43079.274768518517</v>
      </c>
      <c r="J31" s="225">
        <v>0</v>
      </c>
      <c r="K31" s="237" t="str">
        <f t="shared" si="0"/>
        <v>4011/4012</v>
      </c>
      <c r="L31" s="245" t="str">
        <f>VLOOKUP(A31,'Trips&amp;Operators'!$C$1:$G$99911,5,FALSE)</f>
        <v>LOPES KIMBERLY</v>
      </c>
      <c r="M31" s="224">
        <f t="shared" si="1"/>
        <v>2.4502314816345461E-2</v>
      </c>
      <c r="N31" s="225">
        <f t="shared" si="2"/>
        <v>35.283333335537463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-10T04:54:04-0700',mode:absolute,to:'2017-12-10T07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4.3999999999999997E-2</v>
      </c>
      <c r="Z31" s="247">
        <f t="shared" si="8"/>
        <v>23.3232</v>
      </c>
      <c r="AA31" s="247">
        <f t="shared" si="9"/>
        <v>23.279199999999999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31" s="234" t="str">
        <f t="shared" si="12"/>
        <v>"C:\Program Files (x86)\AstroGrep\AstroGrep.exe" /e /r /s /spath="%USERPROFILE%\AppData\Local\Temp\OnboardLogs" /stypes="app*4012*20171210*"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119-10 --locoid 4012 --swversion DE.1.0.9.0 --startMP 204:440 --initTime 2017-12-10T05:54:04 --startdatetime 2017-12-10T06:00:23 --delay 76 --endMP 204:233232 --enddatetime 2017-12-10T06:35:40 --enforcementcount 0 &gt;&gt;%USERPROFILE%\Documents\GitHub\eaglep3-reporting\EC\2017-12-10-refined-times.txt</v>
      </c>
      <c r="AI3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{"issue":{"subject":"","project_id":79,"tracker_id":40,"status_id":1,"priority_id":2,"assigned_to_id":338,"start_date":"2017-12-10","description":"","custom_fields":[{"id":1,"name":"Subdivision","value":"EC"},{"id":4,"name":"Milepost","value":"23.3232"},{"id":17,"name":"Train ID","value":"119-10"},{"id":16,"name":"Locomotive ID","value":"4012"},{"id":130,"name":"Impact","value":""},{"id":150,"name":"Time of Event (Mountain Time)","value":"06:35:40"},{"id":151,"name":"Denver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4012 --day 2017-12-10</v>
      </c>
      <c r="AN3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-10T04:54:04-0700',mode:absolute,to:'2017-12-10T07:35:40-0700'))&amp;_a=(columns:!('Message%20ID',Summary),filters:!(),index:'emp_*',interval:auto,query:(query_string:(analyze_wildcard:!t,query:'%22rtdc.l.rtdc.4012%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788</v>
      </c>
      <c r="B32" s="225">
        <v>4011</v>
      </c>
      <c r="C32" s="227" t="s">
        <v>192</v>
      </c>
      <c r="D32" s="227" t="s">
        <v>587</v>
      </c>
      <c r="E32" s="226">
        <v>43079.286006944443</v>
      </c>
      <c r="F32" s="226">
        <v>43079.289756944447</v>
      </c>
      <c r="G32" s="225">
        <v>76</v>
      </c>
      <c r="H32" s="227" t="s">
        <v>627</v>
      </c>
      <c r="I32" s="226">
        <v>43079.314953703702</v>
      </c>
      <c r="J32" s="225">
        <v>0</v>
      </c>
      <c r="K32" s="237" t="str">
        <f t="shared" si="0"/>
        <v>4011/4012</v>
      </c>
      <c r="L32" s="245" t="str">
        <f>VLOOKUP(A32,'Trips&amp;Operators'!$C$1:$G$99911,5,FALSE)</f>
        <v>LOPES KIMBERLY</v>
      </c>
      <c r="M32" s="224">
        <f t="shared" si="1"/>
        <v>2.5196759255777579E-2</v>
      </c>
      <c r="N32" s="225">
        <f t="shared" si="2"/>
        <v>36.283333328319713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-10T05:51:51-0700',mode:absolute,to:'2017-12-10T08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23.2925</v>
      </c>
      <c r="Z32" s="247">
        <f t="shared" si="8"/>
        <v>2.3199999999999998E-2</v>
      </c>
      <c r="AA32" s="247">
        <f t="shared" si="9"/>
        <v>23.269300000000001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32" s="234" t="str">
        <f t="shared" si="12"/>
        <v>"C:\Program Files (x86)\AstroGrep\AstroGrep.exe" /e /r /s /spath="%USERPROFILE%\AppData\Local\Temp\OnboardLogs" /stypes="app*4011*20171210*"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120-10 --locoid 4011 --swversion DE.1.0.9.0 --startMP 204:232925 --initTime 2017-12-10T06:51:51 --startdatetime 2017-12-10T06:57:15 --delay 76 --endMP 204:232 --enddatetime 2017-12-10T07:33:32 --enforcementcount 0 &gt;&gt;%USERPROFILE%\Documents\GitHub\eaglep3-reporting\EC\2017-12-10-refined-times.txt</v>
      </c>
      <c r="AI3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{"issue":{"subject":"","project_id":79,"tracker_id":40,"status_id":1,"priority_id":2,"assigned_to_id":338,"start_date":"2017-12-10","description":"","custom_fields":[{"id":1,"name":"Subdivision","value":"EC"},{"id":4,"name":"Milepost","value":"0.0232"},{"id":17,"name":"Train ID","value":"120-10"},{"id":16,"name":"Locomotive ID","value":"4011"},{"id":130,"name":"Impact","value":""},{"id":150,"name":"Time of Event (Mountain Time)","value":"07:33:32"},{"id":151,"name":"Denver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4011 --day 2017-12-10</v>
      </c>
      <c r="AN3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-10T05:51:51-0700',mode:absolute,to:'2017-12-10T08:33:32-0700'))&amp;_a=(columns:!('Message%20ID',Summary),filters:!(),index:'emp_*',interval:auto,query:(query_string:(analyze_wildcard:!t,query:'%22rtdc.l.rtdc.4011%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783</v>
      </c>
      <c r="B33" s="225">
        <v>4030</v>
      </c>
      <c r="C33" s="227" t="s">
        <v>192</v>
      </c>
      <c r="D33" s="227" t="s">
        <v>950</v>
      </c>
      <c r="E33" s="226">
        <v>43079.25608796296</v>
      </c>
      <c r="F33" s="226">
        <v>43079.260625000003</v>
      </c>
      <c r="G33" s="225">
        <v>74</v>
      </c>
      <c r="H33" s="227" t="s">
        <v>612</v>
      </c>
      <c r="I33" s="226">
        <v>43079.28429398148</v>
      </c>
      <c r="J33" s="225">
        <v>0</v>
      </c>
      <c r="K33" s="237" t="str">
        <f t="shared" si="0"/>
        <v>4029/4030</v>
      </c>
      <c r="L33" s="245" t="str">
        <f>VLOOKUP(A33,'Trips&amp;Operators'!$C$1:$G$99911,5,FALSE)</f>
        <v>DELGADO DIANAH</v>
      </c>
      <c r="M33" s="224">
        <f t="shared" si="1"/>
        <v>2.3668981477385387E-2</v>
      </c>
      <c r="N33" s="225">
        <f t="shared" si="2"/>
        <v>34.083333327434957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-10T05:08:46-0700',mode:absolute,to:'2017-12-10T07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4.2900000000000001E-2</v>
      </c>
      <c r="Z33" s="247">
        <f t="shared" si="8"/>
        <v>23.3309</v>
      </c>
      <c r="AA33" s="247">
        <f t="shared" si="9"/>
        <v>23.288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33" s="234" t="str">
        <f t="shared" si="12"/>
        <v>"C:\Program Files (x86)\AstroGrep\AstroGrep.exe" /e /r /s /spath="%USERPROFILE%\AppData\Local\Temp\OnboardLogs" /stypes="app*4030*20171210*"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121-10 --locoid 4030 --swversion DE.1.0.9.0 --startMP 204:429 --initTime 2017-12-10T06:08:46 --startdatetime 2017-12-10T06:15:18 --delay 74 --endMP 204:233309 --enddatetime 2017-12-10T06:49:23 --enforcementcount 0 &gt;&gt;%USERPROFILE%\Documents\GitHub\eaglep3-reporting\EC\2017-12-10-refined-times.txt</v>
      </c>
      <c r="AI3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{"issue":{"subject":"","project_id":79,"tracker_id":40,"status_id":1,"priority_id":2,"assigned_to_id":338,"start_date":"2017-12-10","description":"","custom_fields":[{"id":1,"name":"Subdivision","value":"EC"},{"id":4,"name":"Milepost","value":"23.3309"},{"id":17,"name":"Train ID","value":"121-10"},{"id":16,"name":"Locomotive ID","value":"4030"},{"id":130,"name":"Impact","value":""},{"id":150,"name":"Time of Event (Mountain Time)","value":"06:49:23"},{"id":151,"name":"Denver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4030 --day 2017-12-10</v>
      </c>
      <c r="AN3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-10T05:08:46-0700',mode:absolute,to:'2017-12-10T07:49:23-0700'))&amp;_a=(columns:!('Message%20ID',Summary),filters:!(),index:'emp_*',interval:auto,query:(query_string:(analyze_wildcard:!t,query:'%22rtdc.l.rtdc.4030%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790</v>
      </c>
      <c r="B34" s="225">
        <v>4029</v>
      </c>
      <c r="C34" s="227" t="s">
        <v>192</v>
      </c>
      <c r="D34" s="227" t="s">
        <v>951</v>
      </c>
      <c r="E34" s="226">
        <v>43079.291168981479</v>
      </c>
      <c r="F34" s="226">
        <v>43079.300208333334</v>
      </c>
      <c r="G34" s="225">
        <v>52</v>
      </c>
      <c r="H34" s="227" t="s">
        <v>952</v>
      </c>
      <c r="I34" s="226">
        <v>43079.325787037036</v>
      </c>
      <c r="J34" s="225">
        <v>0</v>
      </c>
      <c r="K34" s="237" t="str">
        <f t="shared" si="0"/>
        <v>4029/4030</v>
      </c>
      <c r="L34" s="245" t="str">
        <f>VLOOKUP(A34,'Trips&amp;Operators'!$C$1:$G$99911,5,FALSE)</f>
        <v>DELGADO DIANAH</v>
      </c>
      <c r="M34" s="224">
        <f t="shared" si="1"/>
        <v>2.5578703702194616E-2</v>
      </c>
      <c r="N34" s="225">
        <f t="shared" si="2"/>
        <v>36.833333331160247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-10T05:59:17-0700',mode:absolute,to:'2017-12-10T08:49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23.298400000000001</v>
      </c>
      <c r="Z34" s="247">
        <f t="shared" si="8"/>
        <v>1.2699999999999999E-2</v>
      </c>
      <c r="AA34" s="247">
        <f t="shared" si="9"/>
        <v>23.285700000000002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34" s="234" t="str">
        <f t="shared" si="12"/>
        <v>"C:\Program Files (x86)\AstroGrep\AstroGrep.exe" /e /r /s /spath="%USERPROFILE%\AppData\Local\Temp\OnboardLogs" /stypes="app*4029*20171210*"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122-10 --locoid 4029 --swversion DE.1.0.9.0 --startMP 204:232984 --initTime 2017-12-10T06:59:17 --startdatetime 2017-12-10T07:12:18 --delay 52 --endMP 204:127 --enddatetime 2017-12-10T07:49:08 --enforcementcount 0 &gt;&gt;%USERPROFILE%\Documents\GitHub\eaglep3-reporting\EC\2017-12-10-refined-times.txt</v>
      </c>
      <c r="AI3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{"issue":{"subject":"","project_id":79,"tracker_id":40,"status_id":1,"priority_id":2,"assigned_to_id":338,"start_date":"2017-12-10","description":"","custom_fields":[{"id":1,"name":"Subdivision","value":"EC"},{"id":4,"name":"Milepost","value":"0.0127"},{"id":17,"name":"Train ID","value":"122-10"},{"id":16,"name":"Locomotive ID","value":"4029"},{"id":130,"name":"Impact","value":""},{"id":150,"name":"Time of Event (Mountain Time)","value":"07:49:08"},{"id":151,"name":"Denver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4029 --day 2017-12-10</v>
      </c>
      <c r="AN3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-10T05:59:17-0700',mode:absolute,to:'2017-12-10T08:49:08-0700'))&amp;_a=(columns:!('Message%20ID',Summary),filters:!(),index:'emp_*',interval:auto,query:(query_string:(analyze_wildcard:!t,query:'%22rtdc.l.rtdc.4029%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732</v>
      </c>
      <c r="B35" s="225">
        <v>4032</v>
      </c>
      <c r="C35" s="227" t="s">
        <v>192</v>
      </c>
      <c r="D35" s="227" t="s">
        <v>695</v>
      </c>
      <c r="E35" s="226">
        <v>43079.265393518515</v>
      </c>
      <c r="F35" s="226">
        <v>43079.271921296298</v>
      </c>
      <c r="G35" s="225">
        <v>67</v>
      </c>
      <c r="H35" s="227" t="s">
        <v>943</v>
      </c>
      <c r="I35" s="226">
        <v>43079.296111111114</v>
      </c>
      <c r="J35" s="225">
        <v>0</v>
      </c>
      <c r="K35" s="237" t="str">
        <f t="shared" si="0"/>
        <v>4031/4032</v>
      </c>
      <c r="L35" s="245" t="str">
        <f>VLOOKUP(A35,'Trips&amp;Operators'!$C$1:$G$99911,5,FALSE)</f>
        <v>GEBRETEKLE DAGNEW</v>
      </c>
      <c r="M35" s="224">
        <f t="shared" si="1"/>
        <v>2.4189814816054422E-2</v>
      </c>
      <c r="N35" s="225">
        <f t="shared" si="2"/>
        <v>34.833333335118368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-10T05:22:10-0700',mode:absolute,to:'2017-12-10T08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4.6199999999999998E-2</v>
      </c>
      <c r="Z35" s="247">
        <f t="shared" si="8"/>
        <v>23.327200000000001</v>
      </c>
      <c r="AA35" s="247">
        <f t="shared" si="9"/>
        <v>23.281000000000002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35" s="234" t="str">
        <f t="shared" si="12"/>
        <v>"C:\Program Files (x86)\AstroGrep\AstroGrep.exe" /e /r /s /spath="%USERPROFILE%\AppData\Local\Temp\OnboardLogs" /stypes="app*4032*20171210*"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123-10 --locoid 4032 --swversion DE.1.0.9.0 --startMP 204:462 --initTime 2017-12-10T06:22:10 --startdatetime 2017-12-10T06:31:34 --delay 67 --endMP 204:233272 --enddatetime 2017-12-10T07:06:24 --enforcementcount 0 &gt;&gt;%USERPROFILE%\Documents\GitHub\eaglep3-reporting\EC\2017-12-10-refined-times.txt</v>
      </c>
      <c r="AI3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{"issue":{"subject":"","project_id":79,"tracker_id":40,"status_id":1,"priority_id":2,"assigned_to_id":338,"start_date":"2017-12-10","description":"","custom_fields":[{"id":1,"name":"Subdivision","value":"EC"},{"id":4,"name":"Milepost","value":"23.3272"},{"id":17,"name":"Train ID","value":"123-10"},{"id":16,"name":"Locomotive ID","value":"4032"},{"id":130,"name":"Impact","value":""},{"id":150,"name":"Time of Event (Mountain Time)","value":"07:06:24"},{"id":151,"name":"Denver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4032 --day 2017-12-10</v>
      </c>
      <c r="AN3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-10T05:22:10-0700',mode:absolute,to:'2017-12-10T08:06:24-0700'))&amp;_a=(columns:!('Message%20ID',Summary),filters:!(),index:'emp_*',interval:auto,query:(query_string:(analyze_wildcard:!t,query:'%22rtdc.l.rtdc.4032%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792</v>
      </c>
      <c r="B36" s="225">
        <v>4031</v>
      </c>
      <c r="C36" s="227" t="s">
        <v>192</v>
      </c>
      <c r="D36" s="227" t="s">
        <v>953</v>
      </c>
      <c r="E36" s="226">
        <v>43079.297337962962</v>
      </c>
      <c r="F36" s="226">
        <v>43079.310613425929</v>
      </c>
      <c r="G36" s="225">
        <v>48</v>
      </c>
      <c r="H36" s="227" t="s">
        <v>687</v>
      </c>
      <c r="I36" s="226">
        <v>43079.335740740738</v>
      </c>
      <c r="J36" s="225">
        <v>0</v>
      </c>
      <c r="K36" s="237" t="str">
        <f t="shared" si="0"/>
        <v>4031/4032</v>
      </c>
      <c r="L36" s="245" t="str">
        <f>VLOOKUP(A36,'Trips&amp;Operators'!$C$1:$G$99911,5,FALSE)</f>
        <v>GEBRETEKLE DAGNEW</v>
      </c>
      <c r="M36" s="224">
        <f t="shared" si="1"/>
        <v>2.512731480965158E-2</v>
      </c>
      <c r="N36" s="225">
        <f t="shared" si="2"/>
        <v>36.183333325898275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-10T06:08:10-0700',mode:absolute,to:'2017-12-10T09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23.295100000000001</v>
      </c>
      <c r="Z36" s="247">
        <f t="shared" si="8"/>
        <v>1.47E-2</v>
      </c>
      <c r="AA36" s="247">
        <f t="shared" si="9"/>
        <v>23.2804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36" s="234" t="str">
        <f t="shared" si="12"/>
        <v>"C:\Program Files (x86)\AstroGrep\AstroGrep.exe" /e /r /s /spath="%USERPROFILE%\AppData\Local\Temp\OnboardLogs" /stypes="app*4031*20171210*"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124-10 --locoid 4031 --swversion DE.1.0.9.0 --startMP 204:232951 --initTime 2017-12-10T07:08:10 --startdatetime 2017-12-10T07:27:17 --delay 48 --endMP 204:147 --enddatetime 2017-12-10T08:03:28 --enforcementcount 0 &gt;&gt;%USERPROFILE%\Documents\GitHub\eaglep3-reporting\EC\2017-12-10-refined-times.txt</v>
      </c>
      <c r="AI3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{"issue":{"subject":"","project_id":79,"tracker_id":40,"status_id":1,"priority_id":2,"assigned_to_id":338,"start_date":"2017-12-10","description":"","custom_fields":[{"id":1,"name":"Subdivision","value":"EC"},{"id":4,"name":"Milepost","value":"0.0147"},{"id":17,"name":"Train ID","value":"124-10"},{"id":16,"name":"Locomotive ID","value":"4031"},{"id":130,"name":"Impact","value":""},{"id":150,"name":"Time of Event (Mountain Time)","value":"08:03:28"},{"id":151,"name":"Denver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4031 --day 2017-12-10</v>
      </c>
      <c r="AN3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-10T06:08:10-0700',mode:absolute,to:'2017-12-10T09:03:28-0700'))&amp;_a=(columns:!('Message%20ID',Summary),filters:!(),index:'emp_*',interval:auto,query:(query_string:(analyze_wildcard:!t,query:'%22rtdc.l.rtdc.4031%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787</v>
      </c>
      <c r="B37" s="225">
        <v>4064</v>
      </c>
      <c r="C37" s="227" t="s">
        <v>192</v>
      </c>
      <c r="D37" s="227" t="s">
        <v>653</v>
      </c>
      <c r="E37" s="226">
        <v>43079.279421296298</v>
      </c>
      <c r="F37" s="226">
        <v>43079.281458333331</v>
      </c>
      <c r="G37" s="225">
        <v>54</v>
      </c>
      <c r="H37" s="227" t="s">
        <v>573</v>
      </c>
      <c r="I37" s="226">
        <v>43079.306018518517</v>
      </c>
      <c r="J37" s="225">
        <v>0</v>
      </c>
      <c r="K37" s="237" t="str">
        <f t="shared" si="0"/>
        <v>4063/4064</v>
      </c>
      <c r="L37" s="245" t="str">
        <f>VLOOKUP(A37,'Trips&amp;Operators'!$C$1:$G$99911,5,FALSE)</f>
        <v>THOMPSON LESTER</v>
      </c>
      <c r="M37" s="224">
        <f t="shared" si="1"/>
        <v>2.4560185185691807E-2</v>
      </c>
      <c r="N37" s="225">
        <f t="shared" si="2"/>
        <v>35.366666667396203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-10T05:42:22-0700',mode:absolute,to:'2017-12-10T08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5.2900000000000003E-2</v>
      </c>
      <c r="Z37" s="247">
        <f t="shared" si="8"/>
        <v>23.329699999999999</v>
      </c>
      <c r="AA37" s="247">
        <f t="shared" si="9"/>
        <v>23.276799999999998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37" s="234" t="str">
        <f t="shared" si="12"/>
        <v>"C:\Program Files (x86)\AstroGrep\AstroGrep.exe" /e /r /s /spath="%USERPROFILE%\AppData\Local\Temp\OnboardLogs" /stypes="app*4064*20171210*"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125-10 --locoid 4064 --swversion DE.1.0.9.0 --startMP 204:529 --initTime 2017-12-10T06:42:22 --startdatetime 2017-12-10T06:45:18 --delay 54 --endMP 204:233297 --enddatetime 2017-12-10T07:20:40 --enforcementcount 0 &gt;&gt;%USERPROFILE%\Documents\GitHub\eaglep3-reporting\EC\2017-12-10-refined-times.txt</v>
      </c>
      <c r="AI3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{"issue":{"subject":"","project_id":79,"tracker_id":40,"status_id":1,"priority_id":2,"assigned_to_id":338,"start_date":"2017-12-10","description":"","custom_fields":[{"id":1,"name":"Subdivision","value":"EC"},{"id":4,"name":"Milepost","value":"23.3297"},{"id":17,"name":"Train ID","value":"125-10"},{"id":16,"name":"Locomotive ID","value":"4064"},{"id":130,"name":"Impact","value":""},{"id":150,"name":"Time of Event (Mountain Time)","value":"07:20:40"},{"id":151,"name":"Denver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4064 --day 2017-12-10</v>
      </c>
      <c r="AN3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-10T05:42:22-0700',mode:absolute,to:'2017-12-10T08:20:40-0700'))&amp;_a=(columns:!('Message%20ID',Summary),filters:!(),index:'emp_*',interval:auto,query:(query_string:(analyze_wildcard:!t,query:'%22rtdc.l.rtdc.4064%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795</v>
      </c>
      <c r="B38" s="225">
        <v>4063</v>
      </c>
      <c r="C38" s="227" t="s">
        <v>192</v>
      </c>
      <c r="D38" s="227" t="s">
        <v>694</v>
      </c>
      <c r="E38" s="226">
        <v>43079.319548611114</v>
      </c>
      <c r="F38" s="226">
        <v>43079.321064814816</v>
      </c>
      <c r="G38" s="225">
        <v>50</v>
      </c>
      <c r="H38" s="227" t="s">
        <v>954</v>
      </c>
      <c r="I38" s="226">
        <v>43079.347638888888</v>
      </c>
      <c r="J38" s="225">
        <v>0</v>
      </c>
      <c r="K38" s="237" t="str">
        <f t="shared" si="0"/>
        <v>4063/4064</v>
      </c>
      <c r="L38" s="245" t="str">
        <f>VLOOKUP(A38,'Trips&amp;Operators'!$C$1:$G$99911,5,FALSE)</f>
        <v>THOMPSON LESTER</v>
      </c>
      <c r="M38" s="224">
        <f t="shared" si="1"/>
        <v>2.6574074072414078E-2</v>
      </c>
      <c r="N38" s="225">
        <f t="shared" si="2"/>
        <v>38.266666664276272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-10T06:40:09-0700',mode:absolute,to:'2017-12-10T09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23.299399999999999</v>
      </c>
      <c r="Z38" s="247">
        <f t="shared" si="8"/>
        <v>1.7999999999999999E-2</v>
      </c>
      <c r="AA38" s="247">
        <f t="shared" si="9"/>
        <v>23.281399999999998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38" s="234" t="str">
        <f t="shared" si="12"/>
        <v>"C:\Program Files (x86)\AstroGrep\AstroGrep.exe" /e /r /s /spath="%USERPROFILE%\AppData\Local\Temp\OnboardLogs" /stypes="app*4063*20171210*"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126-10 --locoid 4063 --swversion DE.1.0.9.0 --startMP 204:232994 --initTime 2017-12-10T07:40:09 --startdatetime 2017-12-10T07:42:20 --delay 50 --endMP 204:180 --enddatetime 2017-12-10T08:20:36 --enforcementcount 0 &gt;&gt;%USERPROFILE%\Documents\GitHub\eaglep3-reporting\EC\2017-12-10-refined-times.txt</v>
      </c>
      <c r="AI3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{"issue":{"subject":"","project_id":79,"tracker_id":40,"status_id":1,"priority_id":2,"assigned_to_id":338,"start_date":"2017-12-10","description":"","custom_fields":[{"id":1,"name":"Subdivision","value":"EC"},{"id":4,"name":"Milepost","value":"0.018"},{"id":17,"name":"Train ID","value":"126-10"},{"id":16,"name":"Locomotive ID","value":"4063"},{"id":130,"name":"Impact","value":""},{"id":150,"name":"Time of Event (Mountain Time)","value":"08:20:36"},{"id":151,"name":"Denver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4063 --day 2017-12-10</v>
      </c>
      <c r="AN3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-10T06:40:09-0700',mode:absolute,to:'2017-12-10T09:20:36-0700'))&amp;_a=(columns:!('Message%20ID',Summary),filters:!(),index:'emp_*',interval:auto,query:(query_string:(analyze_wildcard:!t,query:'%22rtdc.l.rtdc.4063%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789</v>
      </c>
      <c r="B39" s="225">
        <v>4034</v>
      </c>
      <c r="C39" s="227" t="s">
        <v>192</v>
      </c>
      <c r="D39" s="227" t="s">
        <v>531</v>
      </c>
      <c r="E39" s="226">
        <v>43079.286689814813</v>
      </c>
      <c r="F39" s="226">
        <v>43079.291909722226</v>
      </c>
      <c r="G39" s="225">
        <v>69</v>
      </c>
      <c r="H39" s="227" t="s">
        <v>616</v>
      </c>
      <c r="I39" s="226">
        <v>43079.317118055558</v>
      </c>
      <c r="J39" s="225">
        <v>0</v>
      </c>
      <c r="K39" s="237" t="str">
        <f t="shared" si="0"/>
        <v>4033/4034</v>
      </c>
      <c r="L39" s="245" t="str">
        <f>VLOOKUP(A39,'Trips&amp;Operators'!$C$1:$G$99911,5,FALSE)</f>
        <v>WILLIAMS DONTE</v>
      </c>
      <c r="M39" s="224">
        <f t="shared" si="1"/>
        <v>2.5208333332557231E-2</v>
      </c>
      <c r="N39" s="225">
        <f t="shared" si="2"/>
        <v>36.299999998882413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-10T05:52:50-0700',mode:absolute,to:'2017-12-10T08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5.1299999999999998E-2</v>
      </c>
      <c r="Z39" s="247">
        <f t="shared" si="8"/>
        <v>23.3246</v>
      </c>
      <c r="AA39" s="247">
        <f t="shared" si="9"/>
        <v>23.273299999999999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39" s="234" t="str">
        <f t="shared" si="12"/>
        <v>"C:\Program Files (x86)\AstroGrep\AstroGrep.exe" /e /r /s /spath="%USERPROFILE%\AppData\Local\Temp\OnboardLogs" /stypes="app*4034*20171210*"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127-10 --locoid 4034 --swversion DE.1.0.9.0 --startMP 204:513 --initTime 2017-12-10T06:52:50 --startdatetime 2017-12-10T07:00:21 --delay 69 --endMP 204:233246 --enddatetime 2017-12-10T07:36:39 --enforcementcount 0 &gt;&gt;%USERPROFILE%\Documents\GitHub\eaglep3-reporting\EC\2017-12-10-refined-times.txt</v>
      </c>
      <c r="AI3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{"issue":{"subject":"","project_id":79,"tracker_id":40,"status_id":1,"priority_id":2,"assigned_to_id":338,"start_date":"2017-12-10","description":"","custom_fields":[{"id":1,"name":"Subdivision","value":"EC"},{"id":4,"name":"Milepost","value":"23.3246"},{"id":17,"name":"Train ID","value":"127-10"},{"id":16,"name":"Locomotive ID","value":"4034"},{"id":130,"name":"Impact","value":""},{"id":150,"name":"Time of Event (Mountain Time)","value":"07:36:39"},{"id":151,"name":"Denver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4034 --day 2017-12-10</v>
      </c>
      <c r="AN3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-10T05:52:50-0700',mode:absolute,to:'2017-12-10T08:36:39-0700'))&amp;_a=(columns:!('Message%20ID',Summary),filters:!(),index:'emp_*',interval:auto,query:(query_string:(analyze_wildcard:!t,query:'%22rtdc.l.rtdc.4034%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796</v>
      </c>
      <c r="B40" s="225">
        <v>4033</v>
      </c>
      <c r="C40" s="227" t="s">
        <v>192</v>
      </c>
      <c r="D40" s="227" t="s">
        <v>587</v>
      </c>
      <c r="E40" s="226">
        <v>43079.324641203704</v>
      </c>
      <c r="F40" s="226">
        <v>43079.331446759257</v>
      </c>
      <c r="G40" s="225">
        <v>57</v>
      </c>
      <c r="H40" s="227" t="s">
        <v>608</v>
      </c>
      <c r="I40" s="226">
        <v>43079.357407407406</v>
      </c>
      <c r="J40" s="225">
        <v>0</v>
      </c>
      <c r="K40" s="237" t="str">
        <f t="shared" si="0"/>
        <v>4033/4034</v>
      </c>
      <c r="L40" s="245" t="str">
        <f>VLOOKUP(A40,'Trips&amp;Operators'!$C$1:$G$99911,5,FALSE)</f>
        <v>WILLIAMS DONTE</v>
      </c>
      <c r="M40" s="224">
        <f t="shared" si="1"/>
        <v>2.5960648148611654E-2</v>
      </c>
      <c r="N40" s="225">
        <f t="shared" si="2"/>
        <v>37.383333334000781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-10T06:47:29-0700',mode:absolute,to:'2017-12-10T09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23.2925</v>
      </c>
      <c r="Z40" s="247">
        <f t="shared" si="8"/>
        <v>0.02</v>
      </c>
      <c r="AA40" s="247">
        <f t="shared" si="9"/>
        <v>23.272500000000001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40" s="234" t="str">
        <f t="shared" si="12"/>
        <v>"C:\Program Files (x86)\AstroGrep\AstroGrep.exe" /e /r /s /spath="%USERPROFILE%\AppData\Local\Temp\OnboardLogs" /stypes="app*4033*20171210*"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128-10 --locoid 4033 --swversion DE.1.0.9.0 --startMP 204:232925 --initTime 2017-12-10T07:47:29 --startdatetime 2017-12-10T07:57:17 --delay 57 --endMP 204:200 --enddatetime 2017-12-10T08:34:40 --enforcementcount 0 &gt;&gt;%USERPROFILE%\Documents\GitHub\eaglep3-reporting\EC\2017-12-10-refined-times.txt</v>
      </c>
      <c r="AI4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{"issue":{"subject":"","project_id":79,"tracker_id":40,"status_id":1,"priority_id":2,"assigned_to_id":338,"start_date":"2017-12-10","description":"","custom_fields":[{"id":1,"name":"Subdivision","value":"EC"},{"id":4,"name":"Milepost","value":"0.02"},{"id":17,"name":"Train ID","value":"128-10"},{"id":16,"name":"Locomotive ID","value":"4033"},{"id":130,"name":"Impact","value":""},{"id":150,"name":"Time of Event (Mountain Time)","value":"08:34:40"},{"id":151,"name":"Denver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4033 --day 2017-12-10</v>
      </c>
      <c r="AN4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-10T06:47:29-0700',mode:absolute,to:'2017-12-10T09:34:40-0700'))&amp;_a=(columns:!('Message%20ID',Summary),filters:!(),index:'emp_*',interval:auto,query:(query_string:(analyze_wildcard:!t,query:'%22rtdc.l.rtdc.4033%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733</v>
      </c>
      <c r="B41" s="225">
        <v>4024</v>
      </c>
      <c r="C41" s="227" t="s">
        <v>192</v>
      </c>
      <c r="D41" s="227" t="s">
        <v>445</v>
      </c>
      <c r="E41" s="226">
        <v>43079.298750000002</v>
      </c>
      <c r="F41" s="226">
        <v>43079.302256944444</v>
      </c>
      <c r="G41" s="225">
        <v>49</v>
      </c>
      <c r="H41" s="227" t="s">
        <v>626</v>
      </c>
      <c r="I41" s="226">
        <v>43079.327118055553</v>
      </c>
      <c r="J41" s="225">
        <v>0</v>
      </c>
      <c r="K41" s="237" t="str">
        <f t="shared" si="0"/>
        <v>4023/4024</v>
      </c>
      <c r="L41" s="245" t="str">
        <f>VLOOKUP(A41,'Trips&amp;Operators'!$C$1:$G$99911,5,FALSE)</f>
        <v>MAELZER KURT</v>
      </c>
      <c r="M41" s="224">
        <f t="shared" si="1"/>
        <v>2.4861111109203193E-2</v>
      </c>
      <c r="N41" s="225">
        <f t="shared" si="2"/>
        <v>35.799999997252598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-10T06:10:12-0700',mode:absolute,to:'2017-12-10T08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5.3699999999999998E-2</v>
      </c>
      <c r="Z41" s="247">
        <f t="shared" si="8"/>
        <v>23.3322</v>
      </c>
      <c r="AA41" s="247">
        <f t="shared" si="9"/>
        <v>23.278500000000001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41" s="234" t="str">
        <f t="shared" si="12"/>
        <v>"C:\Program Files (x86)\AstroGrep\AstroGrep.exe" /e /r /s /spath="%USERPROFILE%\AppData\Local\Temp\OnboardLogs" /stypes="app*4024*20171210*"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129-10 --locoid 4024 --swversion DE.1.0.9.0 --startMP 204:537 --initTime 2017-12-10T07:10:12 --startdatetime 2017-12-10T07:15:15 --delay 49 --endMP 204:233322 --enddatetime 2017-12-10T07:51:03 --enforcementcount 0 &gt;&gt;%USERPROFILE%\Documents\GitHub\eaglep3-reporting\EC\2017-12-10-refined-times.txt</v>
      </c>
      <c r="AI4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{"issue":{"subject":"","project_id":79,"tracker_id":40,"status_id":1,"priority_id":2,"assigned_to_id":338,"start_date":"2017-12-10","description":"","custom_fields":[{"id":1,"name":"Subdivision","value":"EC"},{"id":4,"name":"Milepost","value":"23.3322"},{"id":17,"name":"Train ID","value":"129-10"},{"id":16,"name":"Locomotive ID","value":"4024"},{"id":130,"name":"Impact","value":""},{"id":150,"name":"Time of Event (Mountain Time)","value":"07:51:03"},{"id":151,"name":"Denver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4024 --day 2017-12-10</v>
      </c>
      <c r="AN4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-10T06:10:12-0700',mode:absolute,to:'2017-12-10T08:51:03-0700'))&amp;_a=(columns:!('Message%20ID',Summary),filters:!(),index:'emp_*',interval:auto,query:(query_string:(analyze_wildcard:!t,query:'%22rtdc.l.rtdc.4024%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798</v>
      </c>
      <c r="B42" s="225">
        <v>4023</v>
      </c>
      <c r="C42" s="227" t="s">
        <v>192</v>
      </c>
      <c r="D42" s="227" t="s">
        <v>683</v>
      </c>
      <c r="E42" s="226">
        <v>43079.331678240742</v>
      </c>
      <c r="F42" s="226">
        <v>43079.341909722221</v>
      </c>
      <c r="G42" s="225">
        <v>79</v>
      </c>
      <c r="H42" s="227" t="s">
        <v>577</v>
      </c>
      <c r="I42" s="226">
        <v>43079.368090277778</v>
      </c>
      <c r="J42" s="225">
        <v>0</v>
      </c>
      <c r="K42" s="237" t="str">
        <f t="shared" si="0"/>
        <v>4023/4024</v>
      </c>
      <c r="L42" s="245" t="str">
        <f>VLOOKUP(A42,'Trips&amp;Operators'!$C$1:$G$99911,5,FALSE)</f>
        <v>MAELZER KURT</v>
      </c>
      <c r="M42" s="224">
        <f t="shared" si="1"/>
        <v>2.6180555556493346E-2</v>
      </c>
      <c r="N42" s="225">
        <f t="shared" si="2"/>
        <v>37.700000001350418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-10T06:57:37-0700',mode:absolute,to:'2017-12-10T09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23.298200000000001</v>
      </c>
      <c r="Z42" s="247">
        <f t="shared" si="8"/>
        <v>1.8499999999999999E-2</v>
      </c>
      <c r="AA42" s="247">
        <f t="shared" si="9"/>
        <v>23.279700000000002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42" s="234" t="str">
        <f t="shared" si="12"/>
        <v>"C:\Program Files (x86)\AstroGrep\AstroGrep.exe" /e /r /s /spath="%USERPROFILE%\AppData\Local\Temp\OnboardLogs" /stypes="app*4023*20171210*"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130-10 --locoid 4023 --swversion DE.1.0.9.0 --startMP 204:232982 --initTime 2017-12-10T07:57:37 --startdatetime 2017-12-10T08:12:21 --delay 79 --endMP 204:185 --enddatetime 2017-12-10T08:50:03 --enforcementcount 0 &gt;&gt;%USERPROFILE%\Documents\GitHub\eaglep3-reporting\EC\2017-12-10-refined-times.txt</v>
      </c>
      <c r="AI4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{"issue":{"subject":"","project_id":79,"tracker_id":40,"status_id":1,"priority_id":2,"assigned_to_id":338,"start_date":"2017-12-10","description":"","custom_fields":[{"id":1,"name":"Subdivision","value":"EC"},{"id":4,"name":"Milepost","value":"0.0185"},{"id":17,"name":"Train ID","value":"130-10"},{"id":16,"name":"Locomotive ID","value":"4023"},{"id":130,"name":"Impact","value":""},{"id":150,"name":"Time of Event (Mountain Time)","value":"08:50:03"},{"id":151,"name":"Denver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4023 --day 2017-12-10</v>
      </c>
      <c r="AN4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-10T06:57:37-0700',mode:absolute,to:'2017-12-10T09:50:03-0700'))&amp;_a=(columns:!('Message%20ID',Summary),filters:!(),index:'emp_*',interval:auto,query:(query_string:(analyze_wildcard:!t,query:'%22rtdc.l.rtdc.4023%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734</v>
      </c>
      <c r="B43" s="225">
        <v>4018</v>
      </c>
      <c r="C43" s="227" t="s">
        <v>192</v>
      </c>
      <c r="D43" s="227" t="s">
        <v>590</v>
      </c>
      <c r="E43" s="226">
        <v>43079.306747685187</v>
      </c>
      <c r="F43" s="226">
        <v>43079.312650462962</v>
      </c>
      <c r="G43" s="225">
        <v>68</v>
      </c>
      <c r="H43" s="227" t="s">
        <v>702</v>
      </c>
      <c r="I43" s="226">
        <v>43079.337951388887</v>
      </c>
      <c r="J43" s="225">
        <v>0</v>
      </c>
      <c r="K43" s="237" t="str">
        <f t="shared" si="0"/>
        <v>4017/4018</v>
      </c>
      <c r="L43" s="245" t="str">
        <f>VLOOKUP(A43,'Trips&amp;Operators'!$C$1:$G$99911,5,FALSE)</f>
        <v>PAGE MARCUS</v>
      </c>
      <c r="M43" s="224">
        <f t="shared" si="1"/>
        <v>2.5300925924966577E-2</v>
      </c>
      <c r="N43" s="225">
        <f t="shared" si="2"/>
        <v>36.433333331951872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-10T06:21:43-0700',mode:absolute,to:'2017-12-10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5.0799999999999998E-2</v>
      </c>
      <c r="Z43" s="247">
        <f t="shared" si="8"/>
        <v>23.330200000000001</v>
      </c>
      <c r="AA43" s="247">
        <f t="shared" si="9"/>
        <v>23.279400000000003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43" s="234" t="str">
        <f t="shared" si="12"/>
        <v>"C:\Program Files (x86)\AstroGrep\AstroGrep.exe" /e /r /s /spath="%USERPROFILE%\AppData\Local\Temp\OnboardLogs" /stypes="app*4018*20171210*"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131-10 --locoid 4018 --swversion DE.1.0.9.0 --startMP 204:508 --initTime 2017-12-10T07:21:43 --startdatetime 2017-12-10T07:30:13 --delay 68 --endMP 204:233302 --enddatetime 2017-12-10T08:06:39 --enforcementcount 0 &gt;&gt;%USERPROFILE%\Documents\GitHub\eaglep3-reporting\EC\2017-12-10-refined-times.txt</v>
      </c>
      <c r="AI4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{"issue":{"subject":"","project_id":79,"tracker_id":40,"status_id":1,"priority_id":2,"assigned_to_id":338,"start_date":"2017-12-10","description":"","custom_fields":[{"id":1,"name":"Subdivision","value":"EC"},{"id":4,"name":"Milepost","value":"23.3302"},{"id":17,"name":"Train ID","value":"131-10"},{"id":16,"name":"Locomotive ID","value":"4018"},{"id":130,"name":"Impact","value":""},{"id":150,"name":"Time of Event (Mountain Time)","value":"08:06:39"},{"id":151,"name":"Denver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4018 --day 2017-12-10</v>
      </c>
      <c r="AN4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-10T06:21:43-0700',mode:absolute,to:'2017-12-10T09:06:39-0700'))&amp;_a=(columns:!('Message%20ID',Summary),filters:!(),index:'emp_*',interval:auto,query:(query_string:(analyze_wildcard:!t,query:'%22rtdc.l.rtdc.4018%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801</v>
      </c>
      <c r="B44" s="225">
        <v>4017</v>
      </c>
      <c r="C44" s="227" t="s">
        <v>192</v>
      </c>
      <c r="D44" s="227" t="s">
        <v>676</v>
      </c>
      <c r="E44" s="226">
        <v>43079.339166666665</v>
      </c>
      <c r="F44" s="226">
        <v>43079.352233796293</v>
      </c>
      <c r="G44" s="225">
        <v>59</v>
      </c>
      <c r="H44" s="227" t="s">
        <v>489</v>
      </c>
      <c r="I44" s="226">
        <v>43079.377372685187</v>
      </c>
      <c r="J44" s="225">
        <v>0</v>
      </c>
      <c r="K44" s="237" t="str">
        <f t="shared" si="0"/>
        <v>4017/4018</v>
      </c>
      <c r="L44" s="245" t="str">
        <f>VLOOKUP(A44,'Trips&amp;Operators'!$C$1:$G$99911,5,FALSE)</f>
        <v>PAGE MARCUS</v>
      </c>
      <c r="M44" s="224">
        <f t="shared" si="1"/>
        <v>2.513888889370719E-2</v>
      </c>
      <c r="N44" s="225">
        <f t="shared" si="2"/>
        <v>36.200000006938353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-10T07:08:24-0700',mode:absolute,to:'2017-12-10T10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23.298100000000002</v>
      </c>
      <c r="Z44" s="247">
        <f t="shared" si="8"/>
        <v>2.0299999999999999E-2</v>
      </c>
      <c r="AA44" s="247">
        <f t="shared" si="9"/>
        <v>23.277800000000003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44" s="234" t="str">
        <f t="shared" si="12"/>
        <v>"C:\Program Files (x86)\AstroGrep\AstroGrep.exe" /e /r /s /spath="%USERPROFILE%\AppData\Local\Temp\OnboardLogs" /stypes="app*4017*20171210*"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132-10 --locoid 4017 --swversion DE.1.0.9.0 --startMP 204:232981 --initTime 2017-12-10T08:08:24 --startdatetime 2017-12-10T08:27:13 --delay 59 --endMP 204:203 --enddatetime 2017-12-10T09:03:25 --enforcementcount 0 &gt;&gt;%USERPROFILE%\Documents\GitHub\eaglep3-reporting\EC\2017-12-10-refined-times.txt</v>
      </c>
      <c r="AI4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{"issue":{"subject":"","project_id":79,"tracker_id":40,"status_id":1,"priority_id":2,"assigned_to_id":338,"start_date":"2017-12-10","description":"","custom_fields":[{"id":1,"name":"Subdivision","value":"EC"},{"id":4,"name":"Milepost","value":"0.0203"},{"id":17,"name":"Train ID","value":"132-10"},{"id":16,"name":"Locomotive ID","value":"4017"},{"id":130,"name":"Impact","value":""},{"id":150,"name":"Time of Event (Mountain Time)","value":"09:03:25"},{"id":151,"name":"Denver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4017 --day 2017-12-10</v>
      </c>
      <c r="AN4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-10T07:08:24-0700',mode:absolute,to:'2017-12-10T10:03:25-0700'))&amp;_a=(columns:!('Message%20ID',Summary),filters:!(),index:'emp_*',interval:auto,query:(query_string:(analyze_wildcard:!t,query:'%22rtdc.l.rtdc.4017%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794</v>
      </c>
      <c r="B45" s="225">
        <v>4012</v>
      </c>
      <c r="C45" s="227" t="s">
        <v>192</v>
      </c>
      <c r="D45" s="227" t="s">
        <v>585</v>
      </c>
      <c r="E45" s="226">
        <v>43079.317650462966</v>
      </c>
      <c r="F45" s="226">
        <v>43079.323194444441</v>
      </c>
      <c r="G45" s="225">
        <v>66</v>
      </c>
      <c r="H45" s="227" t="s">
        <v>646</v>
      </c>
      <c r="I45" s="226">
        <v>43079.346851851849</v>
      </c>
      <c r="J45" s="225">
        <v>0</v>
      </c>
      <c r="K45" s="237" t="str">
        <f t="shared" si="0"/>
        <v>4011/4012</v>
      </c>
      <c r="L45" s="245" t="str">
        <f>VLOOKUP(A45,'Trips&amp;Operators'!$C$1:$G$99911,5,FALSE)</f>
        <v>LOPES KIMBERLY</v>
      </c>
      <c r="M45" s="224">
        <f t="shared" si="1"/>
        <v>2.3657407407881692E-2</v>
      </c>
      <c r="N45" s="225">
        <f t="shared" si="2"/>
        <v>34.066666667349637</v>
      </c>
      <c r="O45" s="225"/>
      <c r="P45" s="225"/>
      <c r="Q45" s="228"/>
      <c r="R45" s="242"/>
      <c r="S45" s="249">
        <f t="shared" ref="S45:S62" si="24">1/IF(AG45="EC",12,1)*SUM(U45:U45)</f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-10T06:37:25-0700',mode:absolute,to:'2017-12-10T09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247" t="str">
        <f>IF(AA45&lt;VLOOKUP(AG45,Variables!$AC$3:$AD$8,2,FALSE),"Y","N")</f>
        <v>N</v>
      </c>
      <c r="X45" s="247">
        <f t="shared" si="6"/>
        <v>1</v>
      </c>
      <c r="Y45" s="247">
        <f t="shared" ref="Y45:Y76" si="25">RIGHT(D45,LEN(D45)-4)/10000</f>
        <v>5.11E-2</v>
      </c>
      <c r="Z45" s="247">
        <f t="shared" ref="Z45:Z76" si="26">RIGHT(H45,LEN(H45)-4)/10000</f>
        <v>23.327400000000001</v>
      </c>
      <c r="AA45" s="247">
        <f t="shared" si="9"/>
        <v>23.276299999999999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45" s="234" t="str">
        <f t="shared" si="12"/>
        <v>"C:\Program Files (x86)\AstroGrep\AstroGrep.exe" /e /r /s /spath="%USERPROFILE%\AppData\Local\Temp\OnboardLogs" /stypes="app*4012*20171210*"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133-10 --locoid 4012 --swversion DE.1.0.9.0 --startMP 204:511 --initTime 2017-12-10T07:37:25 --startdatetime 2017-12-10T07:45:24 --delay 66 --endMP 204:233274 --enddatetime 2017-12-10T08:19:28 --enforcementcount 0 &gt;&gt;%USERPROFILE%\Documents\GitHub\eaglep3-reporting\EC\2017-12-10-refined-times.txt</v>
      </c>
      <c r="AI4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{"issue":{"subject":"","project_id":79,"tracker_id":40,"status_id":1,"priority_id":2,"assigned_to_id":338,"start_date":"2017-12-10","description":"","custom_fields":[{"id":1,"name":"Subdivision","value":"EC"},{"id":4,"name":"Milepost","value":"23.3274"},{"id":17,"name":"Train ID","value":"133-10"},{"id":16,"name":"Locomotive ID","value":"4012"},{"id":130,"name":"Impact","value":""},{"id":150,"name":"Time of Event (Mountain Time)","value":"08:19:28"},{"id":151,"name":"Denver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4012 --day 2017-12-10</v>
      </c>
      <c r="AN4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-10T06:37:25-0700',mode:absolute,to:'2017-12-10T09:19:28-0700'))&amp;_a=(columns:!('Message%20ID',Summary),filters:!(),index:'emp_*',interval:auto,query:(query_string:(analyze_wildcard:!t,query:'%22rtdc.l.rtdc.4012%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802</v>
      </c>
      <c r="B46" s="225">
        <v>4011</v>
      </c>
      <c r="C46" s="227" t="s">
        <v>192</v>
      </c>
      <c r="D46" s="227" t="s">
        <v>496</v>
      </c>
      <c r="E46" s="226">
        <v>43079.347731481481</v>
      </c>
      <c r="F46" s="226">
        <v>43079.362662037034</v>
      </c>
      <c r="G46" s="225">
        <v>50</v>
      </c>
      <c r="H46" s="227" t="s">
        <v>477</v>
      </c>
      <c r="I46" s="226">
        <v>43079.388958333337</v>
      </c>
      <c r="J46" s="225">
        <v>0</v>
      </c>
      <c r="K46" s="237" t="str">
        <f t="shared" si="0"/>
        <v>4011/4012</v>
      </c>
      <c r="L46" s="245" t="str">
        <f>VLOOKUP(A46,'Trips&amp;Operators'!$C$1:$G$99911,5,FALSE)</f>
        <v>LOPES KIMBERLY</v>
      </c>
      <c r="M46" s="224">
        <f t="shared" si="1"/>
        <v>2.6296296302461997E-2</v>
      </c>
      <c r="N46" s="225">
        <f t="shared" si="2"/>
        <v>37.866666675545275</v>
      </c>
      <c r="O46" s="225"/>
      <c r="P46" s="225"/>
      <c r="Q46" s="228"/>
      <c r="R46" s="242"/>
      <c r="S46" s="249">
        <f t="shared" si="24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-10T07:20:44-0700',mode:absolute,to:'2017-12-10T10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247" t="str">
        <f>IF(AA46&lt;VLOOKUP(AG46,Variables!$AC$3:$AD$8,2,FALSE),"Y","N")</f>
        <v>N</v>
      </c>
      <c r="X46" s="247">
        <f t="shared" si="6"/>
        <v>1</v>
      </c>
      <c r="Y46" s="247">
        <f t="shared" si="25"/>
        <v>23.2942</v>
      </c>
      <c r="Z46" s="247">
        <f t="shared" si="26"/>
        <v>2.1100000000000001E-2</v>
      </c>
      <c r="AA46" s="247">
        <f t="shared" si="9"/>
        <v>23.273099999999999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46" s="234" t="str">
        <f t="shared" si="12"/>
        <v>"C:\Program Files (x86)\AstroGrep\AstroGrep.exe" /e /r /s /spath="%USERPROFILE%\AppData\Local\Temp\OnboardLogs" /stypes="app*4011*20171210*"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134-10 --locoid 4011 --swversion DE.1.0.9.0 --startMP 204:232942 --initTime 2017-12-10T08:20:44 --startdatetime 2017-12-10T08:42:14 --delay 50 --endMP 204:211 --enddatetime 2017-12-10T09:20:06 --enforcementcount 0 &gt;&gt;%USERPROFILE%\Documents\GitHub\eaglep3-reporting\EC\2017-12-10-refined-times.txt</v>
      </c>
      <c r="AI4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{"issue":{"subject":"","project_id":79,"tracker_id":40,"status_id":1,"priority_id":2,"assigned_to_id":338,"start_date":"2017-12-10","description":"","custom_fields":[{"id":1,"name":"Subdivision","value":"EC"},{"id":4,"name":"Milepost","value":"0.0211"},{"id":17,"name":"Train ID","value":"134-10"},{"id":16,"name":"Locomotive ID","value":"4011"},{"id":130,"name":"Impact","value":""},{"id":150,"name":"Time of Event (Mountain Time)","value":"09:20:06"},{"id":151,"name":"Denver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4011 --day 2017-12-10</v>
      </c>
      <c r="AN4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-10T07:20:44-0700',mode:absolute,to:'2017-12-10T10:20:06-0700'))&amp;_a=(columns:!('Message%20ID',Summary),filters:!(),index:'emp_*',interval:auto,query:(query_string:(analyze_wildcard:!t,query:'%22rtdc.l.rtdc.4011%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797</v>
      </c>
      <c r="B47" s="225">
        <v>4030</v>
      </c>
      <c r="C47" s="227" t="s">
        <v>192</v>
      </c>
      <c r="D47" s="227" t="s">
        <v>642</v>
      </c>
      <c r="E47" s="226">
        <v>43079.3283912037</v>
      </c>
      <c r="F47" s="226">
        <v>43079.333564814813</v>
      </c>
      <c r="G47" s="225">
        <v>53</v>
      </c>
      <c r="H47" s="227" t="s">
        <v>678</v>
      </c>
      <c r="I47" s="226">
        <v>43079.357812499999</v>
      </c>
      <c r="J47" s="225">
        <v>0</v>
      </c>
      <c r="K47" s="237" t="str">
        <f t="shared" si="0"/>
        <v>4029/4030</v>
      </c>
      <c r="L47" s="245" t="str">
        <f>VLOOKUP(A47,'Trips&amp;Operators'!$C$1:$G$99911,5,FALSE)</f>
        <v>DELGADO DIANAH</v>
      </c>
      <c r="M47" s="224">
        <f t="shared" si="1"/>
        <v>2.4247685185400769E-2</v>
      </c>
      <c r="N47" s="225">
        <f t="shared" si="2"/>
        <v>34.916666666977108</v>
      </c>
      <c r="O47" s="225"/>
      <c r="P47" s="225"/>
      <c r="Q47" s="228"/>
      <c r="R47" s="242"/>
      <c r="S47" s="249">
        <f t="shared" si="24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-10T06:52:53-0700',mode:absolute,to:'2017-12-10T09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247" t="str">
        <f>IF(AA47&lt;VLOOKUP(AG47,Variables!$AC$3:$AD$8,2,FALSE),"Y","N")</f>
        <v>N</v>
      </c>
      <c r="X47" s="247">
        <f t="shared" si="6"/>
        <v>1</v>
      </c>
      <c r="Y47" s="247">
        <f t="shared" si="25"/>
        <v>4.3299999999999998E-2</v>
      </c>
      <c r="Z47" s="247">
        <f t="shared" si="26"/>
        <v>23.331</v>
      </c>
      <c r="AA47" s="247">
        <f t="shared" si="9"/>
        <v>23.287700000000001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47" s="234" t="str">
        <f t="shared" si="12"/>
        <v>"C:\Program Files (x86)\AstroGrep\AstroGrep.exe" /e /r /s /spath="%USERPROFILE%\AppData\Local\Temp\OnboardLogs" /stypes="app*4030*20171210*"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135-10 --locoid 4030 --swversion DE.1.0.9.0 --startMP 204:433 --initTime 2017-12-10T07:52:53 --startdatetime 2017-12-10T08:00:20 --delay 53 --endMP 204:233310 --enddatetime 2017-12-10T08:35:15 --enforcementcount 0 &gt;&gt;%USERPROFILE%\Documents\GitHub\eaglep3-reporting\EC\2017-12-10-refined-times.txt</v>
      </c>
      <c r="AI4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{"issue":{"subject":"","project_id":79,"tracker_id":40,"status_id":1,"priority_id":2,"assigned_to_id":338,"start_date":"2017-12-10","description":"","custom_fields":[{"id":1,"name":"Subdivision","value":"EC"},{"id":4,"name":"Milepost","value":"23.331"},{"id":17,"name":"Train ID","value":"135-10"},{"id":16,"name":"Locomotive ID","value":"4030"},{"id":130,"name":"Impact","value":""},{"id":150,"name":"Time of Event (Mountain Time)","value":"08:35:15"},{"id":151,"name":"Denver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4030 --day 2017-12-10</v>
      </c>
      <c r="AN4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-10T06:52:53-0700',mode:absolute,to:'2017-12-10T09:35:15-0700'))&amp;_a=(columns:!('Message%20ID',Summary),filters:!(),index:'emp_*',interval:auto,query:(query_string:(analyze_wildcard:!t,query:'%22rtdc.l.rtdc.4030%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805</v>
      </c>
      <c r="B48" s="225">
        <v>4029</v>
      </c>
      <c r="C48" s="227" t="s">
        <v>192</v>
      </c>
      <c r="D48" s="227" t="s">
        <v>955</v>
      </c>
      <c r="E48" s="226">
        <v>43079.362916666665</v>
      </c>
      <c r="F48" s="226">
        <v>43079.385185185187</v>
      </c>
      <c r="G48" s="225">
        <v>52</v>
      </c>
      <c r="H48" s="227" t="s">
        <v>956</v>
      </c>
      <c r="I48" s="226">
        <v>43079.401446759257</v>
      </c>
      <c r="J48" s="225">
        <v>0</v>
      </c>
      <c r="K48" s="237" t="str">
        <f t="shared" si="0"/>
        <v>4029/4030</v>
      </c>
      <c r="L48" s="245" t="str">
        <f>VLOOKUP(A48,'Trips&amp;Operators'!$C$1:$G$99911,5,FALSE)</f>
        <v>DELGADO DIANAH</v>
      </c>
      <c r="M48" s="224">
        <f t="shared" si="1"/>
        <v>1.6261574070085771E-2</v>
      </c>
      <c r="N48" s="225"/>
      <c r="O48" s="225"/>
      <c r="P48" s="225">
        <f>24*60*SUM($M48:$M48)</f>
        <v>23.416666660923511</v>
      </c>
      <c r="Q48" s="228"/>
      <c r="R48" s="242" t="s">
        <v>661</v>
      </c>
      <c r="S48" s="249">
        <f t="shared" si="24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-10T07:42:36-0700',mode:absolute,to:'2017-12-10T10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247" t="str">
        <f>IF(AA48&lt;VLOOKUP(AG48,Variables!$AC$3:$AD$8,2,FALSE),"Y","N")</f>
        <v>Y</v>
      </c>
      <c r="X48" s="247">
        <f t="shared" si="6"/>
        <v>1</v>
      </c>
      <c r="Y48" s="247">
        <f t="shared" si="25"/>
        <v>12.786300000000001</v>
      </c>
      <c r="Z48" s="247">
        <f t="shared" si="26"/>
        <v>1.43E-2</v>
      </c>
      <c r="AA48" s="247">
        <f t="shared" si="9"/>
        <v>12.772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48" s="234" t="str">
        <f t="shared" si="12"/>
        <v>"C:\Program Files (x86)\AstroGrep\AstroGrep.exe" /e /r /s /spath="%USERPROFILE%\AppData\Local\Temp\OnboardLogs" /stypes="app*4029*20171210*"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136-10 --locoid 4029 --swversion DE.1.0.9.0 --startMP 204:127863 --initTime 2017-12-10T08:42:36 --startdatetime 2017-12-10T09:14:40 --delay 52 --endMP 204:143 --enddatetime 2017-12-10T09:38:05 --enforcementcount 0 &gt;&gt;%USERPROFILE%\Documents\GitHub\eaglep3-reporting\EC\2017-12-10-refined-times.txt</v>
      </c>
      <c r="AI48" s="238" t="str">
        <f t="shared" si="20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failure","project_id":79,"tracker_id":40,"status_id":1,"priority_id":2,"assigned_to_id":338,"start_date":"2017-12-10","description":"","custom_fields":[{"id":1,"name":"Subdivision","value":"EC"},{"id":4,"name":"Milepost","value":"0.0143"},{"id":17,"name":"Train ID","value":"136-10"},{"id":16,"name":"Locomotive ID","value":"4029"},{"id":130,"name":"Impact","value":""},{"id":150,"name":"Time of Event (Mountain Time)","value":"09:38:05"},{"id":151,"name":"Denver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4029 --day 2017-12-10</v>
      </c>
      <c r="AN48" s="241" t="str">
        <f t="shared" si="22"/>
        <v>echo {"issue":{"subject":"Onboard en route failure","project_id":30,"tracker_id":4,"status_id":1,"priority_id":1,"assigned_to_id":10,"start_date":"2017-12-10","description":"","custom_fields":[{"id":30,"name":"Category","value":"Issue"},{"id":3,"name":"Functional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-10T07:42:36-0700',mode:absolute,to:'2017-12-10T10:38:05-0700'))&amp;_a=(columns:!('Message%20ID',Summary),filters:!(),index:'emp_*',interval:auto,query:(query_string:(analyze_wildcard:!t,query:'%22rtdc.l.rtdc.4029%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800</v>
      </c>
      <c r="B49" s="225">
        <v>4032</v>
      </c>
      <c r="C49" s="227" t="s">
        <v>192</v>
      </c>
      <c r="D49" s="227" t="s">
        <v>546</v>
      </c>
      <c r="E49" s="226">
        <v>43079.337951388887</v>
      </c>
      <c r="F49" s="226">
        <v>43079.343935185185</v>
      </c>
      <c r="G49" s="225">
        <v>66</v>
      </c>
      <c r="H49" s="227" t="s">
        <v>573</v>
      </c>
      <c r="I49" s="226">
        <v>43079.367743055554</v>
      </c>
      <c r="J49" s="225">
        <v>0</v>
      </c>
      <c r="K49" s="237" t="str">
        <f t="shared" si="0"/>
        <v>4031/4032</v>
      </c>
      <c r="L49" s="245" t="str">
        <f>VLOOKUP(A49,'Trips&amp;Operators'!$C$1:$G$99911,5,FALSE)</f>
        <v>GEBRETEKLE DAGNEW</v>
      </c>
      <c r="M49" s="224">
        <f t="shared" si="1"/>
        <v>2.3807870369637385E-2</v>
      </c>
      <c r="N49" s="225">
        <f t="shared" ref="N49:N62" si="27">24*60*SUM($M49:$M49)</f>
        <v>34.283333332277834</v>
      </c>
      <c r="O49" s="225"/>
      <c r="P49" s="225"/>
      <c r="Q49" s="228"/>
      <c r="R49" s="242"/>
      <c r="S49" s="249">
        <f t="shared" si="24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-10T07:06:39-0700',mode:absolute,to:'2017-12-10T09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247" t="str">
        <f>IF(AA49&lt;VLOOKUP(AG49,Variables!$AC$3:$AD$8,2,FALSE),"Y","N")</f>
        <v>N</v>
      </c>
      <c r="X49" s="247">
        <f t="shared" ref="X49:X50" si="28">VALUE(LEFT(AD49,4))-VALUE(LEFT(AD48,4))</f>
        <v>1</v>
      </c>
      <c r="Y49" s="247">
        <f t="shared" si="25"/>
        <v>4.4200000000000003E-2</v>
      </c>
      <c r="Z49" s="247">
        <f t="shared" si="26"/>
        <v>23.329699999999999</v>
      </c>
      <c r="AA49" s="247">
        <f t="shared" si="9"/>
        <v>23.285499999999999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49" s="234" t="str">
        <f t="shared" si="12"/>
        <v>"C:\Program Files (x86)\AstroGrep\AstroGrep.exe" /e /r /s /spath="%USERPROFILE%\AppData\Local\Temp\OnboardLogs" /stypes="app*4032*20171210*"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137-10 --locoid 4032 --swversion DE.1.0.9.0 --startMP 204:442 --initTime 2017-12-10T08:06:39 --startdatetime 2017-12-10T08:15:16 --delay 66 --endMP 204:233297 --enddatetime 2017-12-10T08:49:33 --enforcementcount 0 &gt;&gt;%USERPROFILE%\Documents\GitHub\eaglep3-reporting\EC\2017-12-10-refined-times.txt</v>
      </c>
      <c r="AI4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{"issue":{"subject":"","project_id":79,"tracker_id":40,"status_id":1,"priority_id":2,"assigned_to_id":338,"start_date":"2017-12-10","description":"","custom_fields":[{"id":1,"name":"Subdivision","value":"EC"},{"id":4,"name":"Milepost","value":"23.3297"},{"id":17,"name":"Train ID","value":"137-10"},{"id":16,"name":"Locomotive ID","value":"4032"},{"id":130,"name":"Impact","value":""},{"id":150,"name":"Time of Event (Mountain Time)","value":"08:49:33"},{"id":151,"name":"Denver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4032 --day 2017-12-10</v>
      </c>
      <c r="AN4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-10T07:06:39-0700',mode:absolute,to:'2017-12-10T09:49:33-0700'))&amp;_a=(columns:!('Message%20ID',Summary),filters:!(),index:'emp_*',interval:auto,query:(query_string:(analyze_wildcard:!t,query:'%22rtdc.l.rtdc.4032%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806</v>
      </c>
      <c r="B50" s="225">
        <v>4031</v>
      </c>
      <c r="C50" s="227" t="s">
        <v>192</v>
      </c>
      <c r="D50" s="227" t="s">
        <v>620</v>
      </c>
      <c r="E50" s="226">
        <v>43079.368993055556</v>
      </c>
      <c r="F50" s="226">
        <v>43079.383518518516</v>
      </c>
      <c r="G50" s="225">
        <v>51</v>
      </c>
      <c r="H50" s="227" t="s">
        <v>488</v>
      </c>
      <c r="I50" s="226">
        <v>43079.408900462964</v>
      </c>
      <c r="J50" s="225">
        <v>0</v>
      </c>
      <c r="K50" s="237" t="str">
        <f t="shared" si="0"/>
        <v>4031/4032</v>
      </c>
      <c r="L50" s="245" t="str">
        <f>VLOOKUP(A50,'Trips&amp;Operators'!$C$1:$G$99911,5,FALSE)</f>
        <v>GEBRETEKLE DAGNEW</v>
      </c>
      <c r="M50" s="224">
        <f t="shared" si="1"/>
        <v>2.5381944447872229E-2</v>
      </c>
      <c r="N50" s="225">
        <f t="shared" si="27"/>
        <v>36.55000000493601</v>
      </c>
      <c r="O50" s="225"/>
      <c r="P50" s="225"/>
      <c r="Q50" s="228"/>
      <c r="R50" s="242"/>
      <c r="S50" s="249">
        <f t="shared" si="24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-10T07:51:21-0700',mode:absolute,to:'2017-12-10T10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247" t="str">
        <f>IF(AA50&lt;VLOOKUP(AG50,Variables!$AC$3:$AD$8,2,FALSE),"Y","N")</f>
        <v>N</v>
      </c>
      <c r="X50" s="247">
        <f t="shared" si="28"/>
        <v>1</v>
      </c>
      <c r="Y50" s="247">
        <f t="shared" si="25"/>
        <v>23.297799999999999</v>
      </c>
      <c r="Z50" s="247">
        <f t="shared" si="26"/>
        <v>1.54E-2</v>
      </c>
      <c r="AA50" s="247">
        <f t="shared" si="9"/>
        <v>23.282399999999999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50" s="234" t="str">
        <f t="shared" si="12"/>
        <v>"C:\Program Files (x86)\AstroGrep\AstroGrep.exe" /e /r /s /spath="%USERPROFILE%\AppData\Local\Temp\OnboardLogs" /stypes="app*4031*20171210*"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138-10 --locoid 4031 --swversion DE.1.0.9.0 --startMP 204:232978 --initTime 2017-12-10T08:51:21 --startdatetime 2017-12-10T09:12:16 --delay 51 --endMP 204:154 --enddatetime 2017-12-10T09:48:49 --enforcementcount 0 &gt;&gt;%USERPROFILE%\Documents\GitHub\eaglep3-reporting\EC\2017-12-10-refined-times.txt</v>
      </c>
      <c r="AI5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{"issue":{"subject":"","project_id":79,"tracker_id":40,"status_id":1,"priority_id":2,"assigned_to_id":338,"start_date":"2017-12-10","description":"","custom_fields":[{"id":1,"name":"Subdivision","value":"EC"},{"id":4,"name":"Milepost","value":"0.0154"},{"id":17,"name":"Train ID","value":"138-10"},{"id":16,"name":"Locomotive ID","value":"4031"},{"id":130,"name":"Impact","value":""},{"id":150,"name":"Time of Event (Mountain Time)","value":"09:48:49"},{"id":151,"name":"Denver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4031 --day 2017-12-10</v>
      </c>
      <c r="AN5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-10T07:51:21-0700',mode:absolute,to:'2017-12-10T10:48:49-0700'))&amp;_a=(columns:!('Message%20ID',Summary),filters:!(),index:'emp_*',interval:auto,query:(query_string:(analyze_wildcard:!t,query:'%22rtdc.l.rtdc.4031%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735</v>
      </c>
      <c r="B51" s="225">
        <v>4064</v>
      </c>
      <c r="C51" s="227" t="s">
        <v>192</v>
      </c>
      <c r="D51" s="227" t="s">
        <v>728</v>
      </c>
      <c r="E51" s="226">
        <v>43079.352337962962</v>
      </c>
      <c r="F51" s="226">
        <v>43079.354421296295</v>
      </c>
      <c r="G51" s="225">
        <v>49</v>
      </c>
      <c r="H51" s="227" t="s">
        <v>721</v>
      </c>
      <c r="I51" s="226">
        <v>43079.382523148146</v>
      </c>
      <c r="J51" s="225">
        <v>0</v>
      </c>
      <c r="K51" s="237" t="str">
        <f t="shared" si="0"/>
        <v>4063/4064</v>
      </c>
      <c r="L51" s="245" t="str">
        <f>VLOOKUP(A51,'Trips&amp;Operators'!$C$1:$G$99911,5,FALSE)</f>
        <v>THOMPSON LESTER</v>
      </c>
      <c r="M51" s="224">
        <f t="shared" si="1"/>
        <v>2.810185185080627E-2</v>
      </c>
      <c r="N51" s="225">
        <f t="shared" si="27"/>
        <v>40.466666665161029</v>
      </c>
      <c r="O51" s="225"/>
      <c r="P51" s="225"/>
      <c r="Q51" s="228"/>
      <c r="R51" s="242"/>
      <c r="S51" s="249">
        <f t="shared" si="24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-10T07:27:22-0700',mode:absolute,to:'2017-12-10T10:10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1" s="247" t="str">
        <f>IF(AA51&lt;VLOOKUP(AG51,Variables!$AC$3:$AD$8,2,FALSE),"Y","N")</f>
        <v>N</v>
      </c>
      <c r="X51" s="247">
        <f t="shared" ref="X51:X82" si="29">VALUE(LEFT(AD51,4))-VALUE(LEFT(AD50,4))</f>
        <v>1</v>
      </c>
      <c r="Y51" s="247">
        <f t="shared" si="25"/>
        <v>4.8800000000000003E-2</v>
      </c>
      <c r="Z51" s="247">
        <f t="shared" si="26"/>
        <v>23.331399999999999</v>
      </c>
      <c r="AA51" s="247">
        <f t="shared" si="9"/>
        <v>23.282599999999999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51" s="234" t="str">
        <f t="shared" si="12"/>
        <v>"C:\Program Files (x86)\AstroGrep\AstroGrep.exe" /e /r /s /spath="%USERPROFILE%\AppData\Local\Temp\OnboardLogs" /stypes="app*4064*20171210*"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139-10 --locoid 4064 --swversion DE.1.0.9.0 --startMP 204:488 --initTime 2017-12-10T08:27:22 --startdatetime 2017-12-10T08:30:22 --delay 49 --endMP 204:233314 --enddatetime 2017-12-10T09:10:50 --enforcementcount 0 &gt;&gt;%USERPROFILE%\Documents\GitHub\eaglep3-reporting\EC\2017-12-10-refined-times.txt</v>
      </c>
      <c r="AI5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{"issue":{"subject":"","project_id":79,"tracker_id":40,"status_id":1,"priority_id":2,"assigned_to_id":338,"start_date":"2017-12-10","description":"","custom_fields":[{"id":1,"name":"Subdivision","value":"EC"},{"id":4,"name":"Milepost","value":"23.3314"},{"id":17,"name":"Train ID","value":"139-10"},{"id":16,"name":"Locomotive ID","value":"4064"},{"id":130,"name":"Impact","value":""},{"id":150,"name":"Time of Event (Mountain Time)","value":"09:10:50"},{"id":151,"name":"Denver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4064 --day 2017-12-10</v>
      </c>
      <c r="AN5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-10T07:27:22-0700',mode:absolute,to:'2017-12-10T10:10:50-0700'))&amp;_a=(columns:!('Message%20ID',Summary),filters:!(),index:'emp_*',interval:auto,query:(query_string:(analyze_wildcard:!t,query:'%22rtdc.l.rtdc.4064%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809</v>
      </c>
      <c r="B52" s="225">
        <v>4063</v>
      </c>
      <c r="C52" s="227" t="s">
        <v>192</v>
      </c>
      <c r="D52" s="227" t="s">
        <v>957</v>
      </c>
      <c r="E52" s="226">
        <v>43079.39271990741</v>
      </c>
      <c r="F52" s="226">
        <v>43079.394155092596</v>
      </c>
      <c r="G52" s="225">
        <v>47</v>
      </c>
      <c r="H52" s="227" t="s">
        <v>509</v>
      </c>
      <c r="I52" s="226">
        <v>43079.420335648145</v>
      </c>
      <c r="J52" s="225">
        <v>0</v>
      </c>
      <c r="K52" s="237" t="str">
        <f t="shared" si="0"/>
        <v>4063/4064</v>
      </c>
      <c r="L52" s="245" t="str">
        <f>VLOOKUP(A52,'Trips&amp;Operators'!$C$1:$G$99911,5,FALSE)</f>
        <v>THOMPSON LESTER</v>
      </c>
      <c r="M52" s="224">
        <f t="shared" si="1"/>
        <v>2.6180555549217388E-2</v>
      </c>
      <c r="N52" s="225">
        <f t="shared" si="27"/>
        <v>37.699999990873039</v>
      </c>
      <c r="O52" s="225"/>
      <c r="P52" s="225"/>
      <c r="Q52" s="228"/>
      <c r="R52" s="242"/>
      <c r="S52" s="249">
        <f t="shared" si="24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-10T08:25:31-0700',mode:absolute,to:'2017-12-10T11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2" s="247" t="str">
        <f>IF(AA52&lt;VLOOKUP(AG52,Variables!$AC$3:$AD$8,2,FALSE),"Y","N")</f>
        <v>N</v>
      </c>
      <c r="X52" s="247">
        <f t="shared" si="29"/>
        <v>1</v>
      </c>
      <c r="Y52" s="247">
        <f t="shared" si="25"/>
        <v>23.297899999999998</v>
      </c>
      <c r="Z52" s="247">
        <f t="shared" si="26"/>
        <v>2.2499999999999999E-2</v>
      </c>
      <c r="AA52" s="247">
        <f t="shared" si="9"/>
        <v>23.275399999999998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52" s="234" t="str">
        <f t="shared" si="12"/>
        <v>"C:\Program Files (x86)\AstroGrep\AstroGrep.exe" /e /r /s /spath="%USERPROFILE%\AppData\Local\Temp\OnboardLogs" /stypes="app*4063*20171210*"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140-10 --locoid 4063 --swversion DE.1.0.9.0 --startMP 204:232979 --initTime 2017-12-10T09:25:31 --startdatetime 2017-12-10T09:27:35 --delay 47 --endMP 204:225 --enddatetime 2017-12-10T10:05:17 --enforcementcount 0 &gt;&gt;%USERPROFILE%\Documents\GitHub\eaglep3-reporting\EC\2017-12-10-refined-times.txt</v>
      </c>
      <c r="AI5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{"issue":{"subject":"","project_id":79,"tracker_id":40,"status_id":1,"priority_id":2,"assigned_to_id":338,"start_date":"2017-12-10","description":"","custom_fields":[{"id":1,"name":"Subdivision","value":"EC"},{"id":4,"name":"Milepost","value":"0.0225"},{"id":17,"name":"Train ID","value":"140-10"},{"id":16,"name":"Locomotive ID","value":"4063"},{"id":130,"name":"Impact","value":""},{"id":150,"name":"Time of Event (Mountain Time)","value":"10:05:17"},{"id":151,"name":"Denver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4063 --day 2017-12-10</v>
      </c>
      <c r="AN5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-10T08:25:31-0700',mode:absolute,to:'2017-12-10T11:05:17-0700'))&amp;_a=(columns:!('Message%20ID',Summary),filters:!(),index:'emp_*',interval:auto,query:(query_string:(analyze_wildcard:!t,query:'%22rtdc.l.rtdc.4063%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804</v>
      </c>
      <c r="B53" s="225">
        <v>4034</v>
      </c>
      <c r="C53" s="227" t="s">
        <v>192</v>
      </c>
      <c r="D53" s="227" t="s">
        <v>551</v>
      </c>
      <c r="E53" s="226">
        <v>43079.359629629631</v>
      </c>
      <c r="F53" s="226">
        <v>43079.364849537036</v>
      </c>
      <c r="G53" s="225">
        <v>97</v>
      </c>
      <c r="H53" s="227" t="s">
        <v>958</v>
      </c>
      <c r="I53" s="226">
        <v>43079.389166666668</v>
      </c>
      <c r="J53" s="225">
        <v>0</v>
      </c>
      <c r="K53" s="237" t="str">
        <f t="shared" si="0"/>
        <v>4033/4034</v>
      </c>
      <c r="L53" s="245" t="str">
        <f>VLOOKUP(A53,'Trips&amp;Operators'!$C$1:$G$99911,5,FALSE)</f>
        <v>WILLIAMS DONTE</v>
      </c>
      <c r="M53" s="224">
        <f t="shared" si="1"/>
        <v>2.4317129631526768E-2</v>
      </c>
      <c r="N53" s="225">
        <f t="shared" si="27"/>
        <v>35.016666669398546</v>
      </c>
      <c r="O53" s="225"/>
      <c r="P53" s="225"/>
      <c r="Q53" s="228"/>
      <c r="R53" s="242"/>
      <c r="S53" s="249">
        <f t="shared" si="24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-10T07:37:52-0700',mode:absolute,to:'2017-12-10T10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3" s="247" t="str">
        <f>IF(AA53&lt;VLOOKUP(AG53,Variables!$AC$3:$AD$8,2,FALSE),"Y","N")</f>
        <v>N</v>
      </c>
      <c r="X53" s="247">
        <f t="shared" si="29"/>
        <v>1</v>
      </c>
      <c r="Y53" s="247">
        <f t="shared" si="25"/>
        <v>5.1999999999999998E-2</v>
      </c>
      <c r="Z53" s="247">
        <f t="shared" si="26"/>
        <v>23.313600000000001</v>
      </c>
      <c r="AA53" s="247">
        <f t="shared" si="9"/>
        <v>23.261600000000001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53" s="234" t="str">
        <f t="shared" si="12"/>
        <v>"C:\Program Files (x86)\AstroGrep\AstroGrep.exe" /e /r /s /spath="%USERPROFILE%\AppData\Local\Temp\OnboardLogs" /stypes="app*4034*20171210*"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141-10 --locoid 4034 --swversion DE.1.0.9.0 --startMP 204:520 --initTime 2017-12-10T08:37:52 --startdatetime 2017-12-10T08:45:23 --delay 97 --endMP 204:233136 --enddatetime 2017-12-10T09:20:24 --enforcementcount 0 &gt;&gt;%USERPROFILE%\Documents\GitHub\eaglep3-reporting\EC\2017-12-10-refined-times.txt</v>
      </c>
      <c r="AI5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{"issue":{"subject":"","project_id":79,"tracker_id":40,"status_id":1,"priority_id":2,"assigned_to_id":338,"start_date":"2017-12-10","description":"","custom_fields":[{"id":1,"name":"Subdivision","value":"EC"},{"id":4,"name":"Milepost","value":"23.3136"},{"id":17,"name":"Train ID","value":"141-10"},{"id":16,"name":"Locomotive ID","value":"4034"},{"id":130,"name":"Impact","value":""},{"id":150,"name":"Time of Event (Mountain Time)","value":"09:20:24"},{"id":151,"name":"Denver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4034 --day 2017-12-10</v>
      </c>
      <c r="AN5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-10T07:37:52-0700',mode:absolute,to:'2017-12-10T10:20:24-0700'))&amp;_a=(columns:!('Message%20ID',Summary),filters:!(),index:'emp_*',interval:auto,query:(query_string:(analyze_wildcard:!t,query:'%22rtdc.l.rtdc.4034%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811</v>
      </c>
      <c r="B54" s="225">
        <v>4033</v>
      </c>
      <c r="C54" s="227" t="s">
        <v>192</v>
      </c>
      <c r="D54" s="227" t="s">
        <v>650</v>
      </c>
      <c r="E54" s="226">
        <v>43079.399884259263</v>
      </c>
      <c r="F54" s="226">
        <v>43079.404386574075</v>
      </c>
      <c r="G54" s="225">
        <v>96</v>
      </c>
      <c r="H54" s="227" t="s">
        <v>647</v>
      </c>
      <c r="I54" s="226">
        <v>43079.430520833332</v>
      </c>
      <c r="J54" s="225">
        <v>0</v>
      </c>
      <c r="K54" s="237" t="str">
        <f t="shared" si="0"/>
        <v>4033/4034</v>
      </c>
      <c r="L54" s="245" t="str">
        <f>VLOOKUP(A54,'Trips&amp;Operators'!$C$1:$G$99911,5,FALSE)</f>
        <v>WILLIAMS DONTE</v>
      </c>
      <c r="M54" s="224">
        <f t="shared" si="1"/>
        <v>2.6134259256650694E-2</v>
      </c>
      <c r="N54" s="225">
        <f t="shared" si="27"/>
        <v>37.633333329576999</v>
      </c>
      <c r="O54" s="225"/>
      <c r="P54" s="225"/>
      <c r="Q54" s="228"/>
      <c r="R54" s="242"/>
      <c r="S54" s="249">
        <f t="shared" si="24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-10T08:35:50-0700',mode:absolute,to:'2017-12-10T11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4" s="247" t="str">
        <f>IF(AA54&lt;VLOOKUP(AG54,Variables!$AC$3:$AD$8,2,FALSE),"Y","N")</f>
        <v>N</v>
      </c>
      <c r="X54" s="247">
        <f t="shared" si="29"/>
        <v>1</v>
      </c>
      <c r="Y54" s="247">
        <f t="shared" si="25"/>
        <v>23.288599999999999</v>
      </c>
      <c r="Z54" s="247">
        <f t="shared" si="26"/>
        <v>1.9400000000000001E-2</v>
      </c>
      <c r="AA54" s="247">
        <f t="shared" si="9"/>
        <v>23.269199999999998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54" s="234" t="str">
        <f t="shared" si="12"/>
        <v>"C:\Program Files (x86)\AstroGrep\AstroGrep.exe" /e /r /s /spath="%USERPROFILE%\AppData\Local\Temp\OnboardLogs" /stypes="app*4033*20171210*"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142-10 --locoid 4033 --swversion DE.1.0.9.0 --startMP 204:232886 --initTime 2017-12-10T09:35:50 --startdatetime 2017-12-10T09:42:19 --delay 96 --endMP 204:194 --enddatetime 2017-12-10T10:19:57 --enforcementcount 0 &gt;&gt;%USERPROFILE%\Documents\GitHub\eaglep3-reporting\EC\2017-12-10-refined-times.txt</v>
      </c>
      <c r="AI5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{"issue":{"subject":"","project_id":79,"tracker_id":40,"status_id":1,"priority_id":2,"assigned_to_id":338,"start_date":"2017-12-10","description":"","custom_fields":[{"id":1,"name":"Subdivision","value":"EC"},{"id":4,"name":"Milepost","value":"0.0194"},{"id":17,"name":"Train ID","value":"142-10"},{"id":16,"name":"Locomotive ID","value":"4033"},{"id":130,"name":"Impact","value":""},{"id":150,"name":"Time of Event (Mountain Time)","value":"10:19:57"},{"id":151,"name":"Denver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4033 --day 2017-12-10</v>
      </c>
      <c r="AN5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-10T08:35:50-0700',mode:absolute,to:'2017-12-10T11:19:57-0700'))&amp;_a=(columns:!('Message%20ID',Summary),filters:!(),index:'emp_*',interval:auto,query:(query_string:(analyze_wildcard:!t,query:'%22rtdc.l.rtdc.4033%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807</v>
      </c>
      <c r="B55" s="225">
        <v>4024</v>
      </c>
      <c r="C55" s="227" t="s">
        <v>192</v>
      </c>
      <c r="D55" s="227" t="s">
        <v>572</v>
      </c>
      <c r="E55" s="226">
        <v>43079.370057870372</v>
      </c>
      <c r="F55" s="226">
        <v>43079.375173611108</v>
      </c>
      <c r="G55" s="225">
        <v>57</v>
      </c>
      <c r="H55" s="227" t="s">
        <v>959</v>
      </c>
      <c r="I55" s="226">
        <v>43079.400138888886</v>
      </c>
      <c r="J55" s="225">
        <v>0</v>
      </c>
      <c r="K55" s="237" t="str">
        <f t="shared" si="0"/>
        <v>4023/4024</v>
      </c>
      <c r="L55" s="245" t="str">
        <f>VLOOKUP(A55,'Trips&amp;Operators'!$C$1:$G$99911,5,FALSE)</f>
        <v>MAELZER KURT</v>
      </c>
      <c r="M55" s="224">
        <f t="shared" si="1"/>
        <v>2.4965277778392192E-2</v>
      </c>
      <c r="N55" s="225">
        <f t="shared" si="27"/>
        <v>35.950000000884756</v>
      </c>
      <c r="O55" s="225"/>
      <c r="P55" s="225"/>
      <c r="Q55" s="228"/>
      <c r="R55" s="242"/>
      <c r="S55" s="249">
        <f t="shared" si="24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-10T07:52:53-0700',mode:absolute,to:'2017-12-10T10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5" s="247" t="str">
        <f>IF(AA55&lt;VLOOKUP(AG55,Variables!$AC$3:$AD$8,2,FALSE),"Y","N")</f>
        <v>N</v>
      </c>
      <c r="X55" s="247">
        <f t="shared" si="29"/>
        <v>1</v>
      </c>
      <c r="Y55" s="247">
        <f t="shared" si="25"/>
        <v>5.0599999999999999E-2</v>
      </c>
      <c r="Z55" s="247">
        <f t="shared" si="26"/>
        <v>23.3323</v>
      </c>
      <c r="AA55" s="247">
        <f t="shared" si="9"/>
        <v>23.281700000000001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55" s="234" t="str">
        <f t="shared" si="12"/>
        <v>"C:\Program Files (x86)\AstroGrep\AstroGrep.exe" /e /r /s /spath="%USERPROFILE%\AppData\Local\Temp\OnboardLogs" /stypes="app*4024*20171210*"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143-10 --locoid 4024 --swversion DE.1.0.9.0 --startMP 204:506 --initTime 2017-12-10T08:52:53 --startdatetime 2017-12-10T09:00:15 --delay 57 --endMP 204:233323 --enddatetime 2017-12-10T09:36:12 --enforcementcount 0 &gt;&gt;%USERPROFILE%\Documents\GitHub\eaglep3-reporting\EC\2017-12-10-refined-times.txt</v>
      </c>
      <c r="AI5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{"issue":{"subject":"","project_id":79,"tracker_id":40,"status_id":1,"priority_id":2,"assigned_to_id":338,"start_date":"2017-12-10","description":"","custom_fields":[{"id":1,"name":"Subdivision","value":"EC"},{"id":4,"name":"Milepost","value":"23.3323"},{"id":17,"name":"Train ID","value":"143-10"},{"id":16,"name":"Locomotive ID","value":"4024"},{"id":130,"name":"Impact","value":""},{"id":150,"name":"Time of Event (Mountain Time)","value":"09:36:12"},{"id":151,"name":"Denver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4024 --day 2017-12-10</v>
      </c>
      <c r="AN5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-10T07:52:53-0700',mode:absolute,to:'2017-12-10T10:36:12-0700'))&amp;_a=(columns:!('Message%20ID',Summary),filters:!(),index:'emp_*',interval:auto,query:(query_string:(analyze_wildcard:!t,query:'%22rtdc.l.rtdc.4024%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813</v>
      </c>
      <c r="B56" s="225">
        <v>4023</v>
      </c>
      <c r="C56" s="227" t="s">
        <v>192</v>
      </c>
      <c r="D56" s="227" t="s">
        <v>960</v>
      </c>
      <c r="E56" s="226">
        <v>43079.406319444446</v>
      </c>
      <c r="F56" s="226">
        <v>43079.414780092593</v>
      </c>
      <c r="G56" s="225">
        <v>53</v>
      </c>
      <c r="H56" s="227" t="s">
        <v>675</v>
      </c>
      <c r="I56" s="226">
        <v>43079.441307870373</v>
      </c>
      <c r="J56" s="225">
        <v>0</v>
      </c>
      <c r="K56" s="237" t="str">
        <f t="shared" si="0"/>
        <v>4023/4024</v>
      </c>
      <c r="L56" s="245" t="str">
        <f>VLOOKUP(A56,'Trips&amp;Operators'!$C$1:$G$99911,5,FALSE)</f>
        <v>MAELZER KURT</v>
      </c>
      <c r="M56" s="224">
        <f t="shared" si="1"/>
        <v>2.6527777779847383E-2</v>
      </c>
      <c r="N56" s="225">
        <f t="shared" si="27"/>
        <v>38.200000002980232</v>
      </c>
      <c r="O56" s="225"/>
      <c r="P56" s="225"/>
      <c r="Q56" s="228"/>
      <c r="R56" s="242"/>
      <c r="S56" s="249">
        <f t="shared" si="24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-10T08:45:06-0700',mode:absolute,to:'2017-12-10T11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6" s="247" t="str">
        <f>IF(AA56&lt;VLOOKUP(AG56,Variables!$AC$3:$AD$8,2,FALSE),"Y","N")</f>
        <v>N</v>
      </c>
      <c r="X56" s="247">
        <f t="shared" si="29"/>
        <v>1</v>
      </c>
      <c r="Y56" s="247">
        <f t="shared" si="25"/>
        <v>23.299099999999999</v>
      </c>
      <c r="Z56" s="247">
        <f t="shared" si="26"/>
        <v>1.8100000000000002E-2</v>
      </c>
      <c r="AA56" s="247">
        <f t="shared" si="9"/>
        <v>23.280999999999999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56" s="234" t="str">
        <f t="shared" si="12"/>
        <v>"C:\Program Files (x86)\AstroGrep\AstroGrep.exe" /e /r /s /spath="%USERPROFILE%\AppData\Local\Temp\OnboardLogs" /stypes="app*4023*20171210*"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144-10 --locoid 4023 --swversion DE.1.0.9.0 --startMP 204:232991 --initTime 2017-12-10T09:45:06 --startdatetime 2017-12-10T09:57:17 --delay 53 --endMP 204:181 --enddatetime 2017-12-10T10:35:29 --enforcementcount 0 &gt;&gt;%USERPROFILE%\Documents\GitHub\eaglep3-reporting\EC\2017-12-10-refined-times.txt</v>
      </c>
      <c r="AI5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{"issue":{"subject":"","project_id":79,"tracker_id":40,"status_id":1,"priority_id":2,"assigned_to_id":338,"start_date":"2017-12-10","description":"","custom_fields":[{"id":1,"name":"Subdivision","value":"EC"},{"id":4,"name":"Milepost","value":"0.0181"},{"id":17,"name":"Train ID","value":"144-10"},{"id":16,"name":"Locomotive ID","value":"4023"},{"id":130,"name":"Impact","value":""},{"id":150,"name":"Time of Event (Mountain Time)","value":"10:35:29"},{"id":151,"name":"Denver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4023 --day 2017-12-10</v>
      </c>
      <c r="AN5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-10T08:45:06-0700',mode:absolute,to:'2017-12-10T11:35:29-0700'))&amp;_a=(columns:!('Message%20ID',Summary),filters:!(),index:'emp_*',interval:auto,query:(query_string:(analyze_wildcard:!t,query:'%22rtdc.l.rtdc.4023%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737</v>
      </c>
      <c r="B57" s="225">
        <v>4018</v>
      </c>
      <c r="C57" s="227" t="s">
        <v>192</v>
      </c>
      <c r="D57" s="227" t="s">
        <v>451</v>
      </c>
      <c r="E57" s="226">
        <v>43079.380243055559</v>
      </c>
      <c r="F57" s="226">
        <v>43079.385752314818</v>
      </c>
      <c r="G57" s="225">
        <v>76</v>
      </c>
      <c r="H57" s="227" t="s">
        <v>961</v>
      </c>
      <c r="I57" s="226">
        <v>43079.410162037035</v>
      </c>
      <c r="J57" s="225">
        <v>0</v>
      </c>
      <c r="K57" s="237" t="str">
        <f t="shared" si="0"/>
        <v>4017/4018</v>
      </c>
      <c r="L57" s="245" t="str">
        <f>VLOOKUP(A57,'Trips&amp;Operators'!$C$1:$G$99911,5,FALSE)</f>
        <v>LAMAR NEKESHA</v>
      </c>
      <c r="M57" s="224">
        <f t="shared" si="1"/>
        <v>2.4409722216660157E-2</v>
      </c>
      <c r="N57" s="225">
        <f t="shared" si="27"/>
        <v>35.149999991990626</v>
      </c>
      <c r="O57" s="225"/>
      <c r="P57" s="225"/>
      <c r="Q57" s="228"/>
      <c r="R57" s="242"/>
      <c r="S57" s="249">
        <f t="shared" si="24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-10T08:07:33-0700',mode:absolute,to:'2017-12-10T10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247" t="str">
        <f>IF(AA57&lt;VLOOKUP(AG57,Variables!$AC$3:$AD$8,2,FALSE),"Y","N")</f>
        <v>N</v>
      </c>
      <c r="X57" s="247">
        <f t="shared" si="29"/>
        <v>1</v>
      </c>
      <c r="Y57" s="247">
        <f t="shared" si="25"/>
        <v>5.33E-2</v>
      </c>
      <c r="Z57" s="247">
        <f t="shared" si="26"/>
        <v>23.327999999999999</v>
      </c>
      <c r="AA57" s="247">
        <f t="shared" si="9"/>
        <v>23.274699999999999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57" s="234" t="str">
        <f t="shared" si="12"/>
        <v>"C:\Program Files (x86)\AstroGrep\AstroGrep.exe" /e /r /s /spath="%USERPROFILE%\AppData\Local\Temp\OnboardLogs" /stypes="app*4018*20171210*"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145-10 --locoid 4018 --swversion DE.1.0.9.0 --startMP 204:533 --initTime 2017-12-10T09:07:33 --startdatetime 2017-12-10T09:15:29 --delay 76 --endMP 204:233280 --enddatetime 2017-12-10T09:50:38 --enforcementcount 0 &gt;&gt;%USERPROFILE%\Documents\GitHub\eaglep3-reporting\EC\2017-12-10-refined-times.txt</v>
      </c>
      <c r="AI5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{"issue":{"subject":"","project_id":79,"tracker_id":40,"status_id":1,"priority_id":2,"assigned_to_id":338,"start_date":"2017-12-10","description":"","custom_fields":[{"id":1,"name":"Subdivision","value":"EC"},{"id":4,"name":"Milepost","value":"23.328"},{"id":17,"name":"Train ID","value":"145-10"},{"id":16,"name":"Locomotive ID","value":"4018"},{"id":130,"name":"Impact","value":""},{"id":150,"name":"Time of Event (Mountain Time)","value":"09:50:38"},{"id":151,"name":"Denver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4018 --day 2017-12-10</v>
      </c>
      <c r="AN5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-10T08:07:33-0700',mode:absolute,to:'2017-12-10T10:50:38-0700'))&amp;_a=(columns:!('Message%20ID',Summary),filters:!(),index:'emp_*',interval:auto,query:(query_string:(analyze_wildcard:!t,query:'%22rtdc.l.rtdc.4018%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738</v>
      </c>
      <c r="B58" s="225">
        <v>4017</v>
      </c>
      <c r="C58" s="227" t="s">
        <v>192</v>
      </c>
      <c r="D58" s="227" t="s">
        <v>722</v>
      </c>
      <c r="E58" s="226">
        <v>43079.422337962962</v>
      </c>
      <c r="F58" s="226">
        <v>43079.425196759257</v>
      </c>
      <c r="G58" s="225">
        <v>61</v>
      </c>
      <c r="H58" s="227" t="s">
        <v>558</v>
      </c>
      <c r="I58" s="226">
        <v>43079.451331018521</v>
      </c>
      <c r="J58" s="225">
        <v>0</v>
      </c>
      <c r="K58" s="237" t="str">
        <f t="shared" si="0"/>
        <v>4017/4018</v>
      </c>
      <c r="L58" s="245" t="str">
        <f>VLOOKUP(A58,'Trips&amp;Operators'!$C$1:$G$99911,5,FALSE)</f>
        <v>LAMAR NEKESHA</v>
      </c>
      <c r="M58" s="224">
        <f t="shared" si="1"/>
        <v>2.6134259263926651E-2</v>
      </c>
      <c r="N58" s="225">
        <f t="shared" si="27"/>
        <v>37.633333340054378</v>
      </c>
      <c r="O58" s="225"/>
      <c r="P58" s="225"/>
      <c r="Q58" s="228"/>
      <c r="R58" s="242"/>
      <c r="S58" s="249">
        <f t="shared" si="24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-10T09:08:10-0700',mode:absolute,to:'2017-12-10T11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247" t="str">
        <f>IF(AA58&lt;VLOOKUP(AG58,Variables!$AC$3:$AD$8,2,FALSE),"Y","N")</f>
        <v>N</v>
      </c>
      <c r="X58" s="247">
        <f t="shared" si="29"/>
        <v>1</v>
      </c>
      <c r="Y58" s="247">
        <f t="shared" si="25"/>
        <v>23.296500000000002</v>
      </c>
      <c r="Z58" s="247">
        <f t="shared" si="26"/>
        <v>1.89E-2</v>
      </c>
      <c r="AA58" s="247">
        <f t="shared" si="9"/>
        <v>23.277600000000003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58" s="234" t="str">
        <f t="shared" si="12"/>
        <v>"C:\Program Files (x86)\AstroGrep\AstroGrep.exe" /e /r /s /spath="%USERPROFILE%\AppData\Local\Temp\OnboardLogs" /stypes="app*4017*20171210*"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146-10 --locoid 4017 --swversion DE.1.0.9.0 --startMP 204:232965 --initTime 2017-12-10T10:08:10 --startdatetime 2017-12-10T10:12:17 --delay 61 --endMP 204:189 --enddatetime 2017-12-10T10:49:55 --enforcementcount 0 &gt;&gt;%USERPROFILE%\Documents\GitHub\eaglep3-reporting\EC\2017-12-10-refined-times.txt</v>
      </c>
      <c r="AI5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{"issue":{"subject":"","project_id":79,"tracker_id":40,"status_id":1,"priority_id":2,"assigned_to_id":338,"start_date":"2017-12-10","description":"","custom_fields":[{"id":1,"name":"Subdivision","value":"EC"},{"id":4,"name":"Milepost","value":"0.0189"},{"id":17,"name":"Train ID","value":"146-10"},{"id":16,"name":"Locomotive ID","value":"4017"},{"id":130,"name":"Impact","value":""},{"id":150,"name":"Time of Event (Mountain Time)","value":"10:49:55"},{"id":151,"name":"Denver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4017 --day 2017-12-10</v>
      </c>
      <c r="AN5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-10T09:08:10-0700',mode:absolute,to:'2017-12-10T11:49:55-0700'))&amp;_a=(columns:!('Message%20ID',Summary),filters:!(),index:'emp_*',interval:auto,query:(query_string:(analyze_wildcard:!t,query:'%22rtdc.l.rtdc.4017%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808</v>
      </c>
      <c r="B59" s="225">
        <v>4012</v>
      </c>
      <c r="C59" s="227" t="s">
        <v>192</v>
      </c>
      <c r="D59" s="227" t="s">
        <v>470</v>
      </c>
      <c r="E59" s="226">
        <v>43079.390763888892</v>
      </c>
      <c r="F59" s="226">
        <v>43079.395983796298</v>
      </c>
      <c r="G59" s="225">
        <v>59</v>
      </c>
      <c r="H59" s="227" t="s">
        <v>962</v>
      </c>
      <c r="I59" s="226">
        <v>43079.420648148145</v>
      </c>
      <c r="J59" s="225">
        <v>0</v>
      </c>
      <c r="K59" s="237" t="str">
        <f t="shared" si="0"/>
        <v>4011/4012</v>
      </c>
      <c r="L59" s="245" t="str">
        <f>VLOOKUP(A59,'Trips&amp;Operators'!$C$1:$G$99911,5,FALSE)</f>
        <v>LOPES KIMBERLY</v>
      </c>
      <c r="M59" s="224">
        <f t="shared" si="1"/>
        <v>2.4664351847604848E-2</v>
      </c>
      <c r="N59" s="225">
        <f t="shared" si="27"/>
        <v>35.516666660550982</v>
      </c>
      <c r="O59" s="225"/>
      <c r="P59" s="225"/>
      <c r="Q59" s="228"/>
      <c r="R59" s="242"/>
      <c r="S59" s="249">
        <f t="shared" si="24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-10T08:22:42-0700',mode:absolute,to:'2017-12-10T11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247" t="str">
        <f>IF(AA59&lt;VLOOKUP(AG59,Variables!$AC$3:$AD$8,2,FALSE),"Y","N")</f>
        <v>N</v>
      </c>
      <c r="X59" s="247">
        <f t="shared" si="29"/>
        <v>1</v>
      </c>
      <c r="Y59" s="247">
        <f t="shared" si="25"/>
        <v>5.2400000000000002E-2</v>
      </c>
      <c r="Z59" s="247">
        <f t="shared" si="26"/>
        <v>23.3261</v>
      </c>
      <c r="AA59" s="247">
        <f t="shared" si="9"/>
        <v>23.273700000000002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59" s="234" t="str">
        <f t="shared" si="12"/>
        <v>"C:\Program Files (x86)\AstroGrep\AstroGrep.exe" /e /r /s /spath="%USERPROFILE%\AppData\Local\Temp\OnboardLogs" /stypes="app*4012*20171210*"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147-10 --locoid 4012 --swversion DE.1.0.9.0 --startMP 204:524 --initTime 2017-12-10T09:22:42 --startdatetime 2017-12-10T09:30:13 --delay 59 --endMP 204:233261 --enddatetime 2017-12-10T10:05:44 --enforcementcount 0 &gt;&gt;%USERPROFILE%\Documents\GitHub\eaglep3-reporting\EC\2017-12-10-refined-times.txt</v>
      </c>
      <c r="AI5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{"issue":{"subject":"","project_id":79,"tracker_id":40,"status_id":1,"priority_id":2,"assigned_to_id":338,"start_date":"2017-12-10","description":"","custom_fields":[{"id":1,"name":"Subdivision","value":"EC"},{"id":4,"name":"Milepost","value":"23.3261"},{"id":17,"name":"Train ID","value":"147-10"},{"id":16,"name":"Locomotive ID","value":"4012"},{"id":130,"name":"Impact","value":""},{"id":150,"name":"Time of Event (Mountain Time)","value":"10:05:44"},{"id":151,"name":"Denver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4012 --day 2017-12-10</v>
      </c>
      <c r="AN5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-10T08:22:42-0700',mode:absolute,to:'2017-12-10T11:05:44-0700'))&amp;_a=(columns:!('Message%20ID',Summary),filters:!(),index:'emp_*',interval:auto,query:(query_string:(analyze_wildcard:!t,query:'%22rtdc.l.rtdc.4012%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817</v>
      </c>
      <c r="B60" s="225">
        <v>4011</v>
      </c>
      <c r="C60" s="227" t="s">
        <v>192</v>
      </c>
      <c r="D60" s="227" t="s">
        <v>607</v>
      </c>
      <c r="E60" s="226">
        <v>43079.429340277777</v>
      </c>
      <c r="F60" s="226">
        <v>43079.435613425929</v>
      </c>
      <c r="G60" s="225">
        <v>97</v>
      </c>
      <c r="H60" s="227" t="s">
        <v>580</v>
      </c>
      <c r="I60" s="226">
        <v>43079.461145833331</v>
      </c>
      <c r="J60" s="225">
        <v>0</v>
      </c>
      <c r="K60" s="237" t="str">
        <f t="shared" si="0"/>
        <v>4011/4012</v>
      </c>
      <c r="L60" s="245" t="str">
        <f>VLOOKUP(A60,'Trips&amp;Operators'!$C$1:$G$99911,5,FALSE)</f>
        <v>LOPES KIMBERLY</v>
      </c>
      <c r="M60" s="224">
        <f t="shared" si="1"/>
        <v>2.5532407402351964E-2</v>
      </c>
      <c r="N60" s="225">
        <f t="shared" si="27"/>
        <v>36.766666659386829</v>
      </c>
      <c r="O60" s="225"/>
      <c r="P60" s="225"/>
      <c r="Q60" s="228"/>
      <c r="R60" s="242"/>
      <c r="S60" s="249">
        <f t="shared" si="24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-10T09:18:15-0700',mode:absolute,to:'2017-12-10T12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247" t="str">
        <f>IF(AA60&lt;VLOOKUP(AG60,Variables!$AC$3:$AD$8,2,FALSE),"Y","N")</f>
        <v>N</v>
      </c>
      <c r="X60" s="247">
        <f t="shared" si="29"/>
        <v>1</v>
      </c>
      <c r="Y60" s="247">
        <f t="shared" si="25"/>
        <v>23.294</v>
      </c>
      <c r="Z60" s="247">
        <f t="shared" si="26"/>
        <v>2.18E-2</v>
      </c>
      <c r="AA60" s="247">
        <f t="shared" si="9"/>
        <v>23.272200000000002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60" s="234" t="str">
        <f t="shared" si="12"/>
        <v>"C:\Program Files (x86)\AstroGrep\AstroGrep.exe" /e /r /s /spath="%USERPROFILE%\AppData\Local\Temp\OnboardLogs" /stypes="app*4011*20171210*"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148-10 --locoid 4011 --swversion DE.1.0.9.0 --startMP 204:232940 --initTime 2017-12-10T10:18:15 --startdatetime 2017-12-10T10:27:17 --delay 97 --endMP 204:218 --enddatetime 2017-12-10T11:04:03 --enforcementcount 0 &gt;&gt;%USERPROFILE%\Documents\GitHub\eaglep3-reporting\EC\2017-12-10-refined-times.txt</v>
      </c>
      <c r="AI6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{"issue":{"subject":"","project_id":79,"tracker_id":40,"status_id":1,"priority_id":2,"assigned_to_id":338,"start_date":"2017-12-10","description":"","custom_fields":[{"id":1,"name":"Subdivision","value":"EC"},{"id":4,"name":"Milepost","value":"0.0218"},{"id":17,"name":"Train ID","value":"148-10"},{"id":16,"name":"Locomotive ID","value":"4011"},{"id":130,"name":"Impact","value":""},{"id":150,"name":"Time of Event (Mountain Time)","value":"11:04:03"},{"id":151,"name":"Denver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4011 --day 2017-12-10</v>
      </c>
      <c r="AN6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-10T09:18:15-0700',mode:absolute,to:'2017-12-10T12:04:03-0700'))&amp;_a=(columns:!('Message%20ID',Summary),filters:!(),index:'emp_*',interval:auto,query:(query_string:(analyze_wildcard:!t,query:'%22rtdc.l.rtdc.4011%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812</v>
      </c>
      <c r="B61" s="225">
        <v>4030</v>
      </c>
      <c r="C61" s="227" t="s">
        <v>192</v>
      </c>
      <c r="D61" s="227" t="s">
        <v>963</v>
      </c>
      <c r="E61" s="226">
        <v>43079.40253472222</v>
      </c>
      <c r="F61" s="226">
        <v>43079.406435185185</v>
      </c>
      <c r="G61" s="225">
        <v>56</v>
      </c>
      <c r="H61" s="227" t="s">
        <v>964</v>
      </c>
      <c r="I61" s="226">
        <v>43079.430243055554</v>
      </c>
      <c r="J61" s="225">
        <v>0</v>
      </c>
      <c r="K61" s="237" t="str">
        <f t="shared" si="0"/>
        <v>4029/4030</v>
      </c>
      <c r="L61" s="245" t="str">
        <f>VLOOKUP(A61,'Trips&amp;Operators'!$C$1:$G$99911,5,FALSE)</f>
        <v>DELGADO DIANAH</v>
      </c>
      <c r="M61" s="224">
        <f t="shared" si="1"/>
        <v>2.3807870369637385E-2</v>
      </c>
      <c r="N61" s="225">
        <f t="shared" si="27"/>
        <v>34.283333332277834</v>
      </c>
      <c r="O61" s="225"/>
      <c r="P61" s="225"/>
      <c r="Q61" s="228"/>
      <c r="R61" s="242"/>
      <c r="S61" s="249">
        <f t="shared" si="24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-10T08:39:39-0700',mode:absolute,to:'2017-12-10T11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247" t="str">
        <f>IF(AA61&lt;VLOOKUP(AG61,Variables!$AC$3:$AD$8,2,FALSE),"Y","N")</f>
        <v>N</v>
      </c>
      <c r="X61" s="247">
        <f t="shared" si="29"/>
        <v>1</v>
      </c>
      <c r="Y61" s="247">
        <f t="shared" si="25"/>
        <v>4.2200000000000001E-2</v>
      </c>
      <c r="Z61" s="247">
        <f t="shared" si="26"/>
        <v>23.3278</v>
      </c>
      <c r="AA61" s="247">
        <f t="shared" si="9"/>
        <v>23.285599999999999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61" s="234" t="str">
        <f t="shared" si="12"/>
        <v>"C:\Program Files (x86)\AstroGrep\AstroGrep.exe" /e /r /s /spath="%USERPROFILE%\AppData\Local\Temp\OnboardLogs" /stypes="app*4030*20171210*"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149-10 --locoid 4030 --swversion DE.1.0.9.0 --startMP 204:422 --initTime 2017-12-10T09:39:39 --startdatetime 2017-12-10T09:45:16 --delay 56 --endMP 204:233278 --enddatetime 2017-12-10T10:19:33 --enforcementcount 0 &gt;&gt;%USERPROFILE%\Documents\GitHub\eaglep3-reporting\EC\2017-12-10-refined-times.txt</v>
      </c>
      <c r="AI6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{"issue":{"subject":"","project_id":79,"tracker_id":40,"status_id":1,"priority_id":2,"assigned_to_id":338,"start_date":"2017-12-10","description":"","custom_fields":[{"id":1,"name":"Subdivision","value":"EC"},{"id":4,"name":"Milepost","value":"23.3278"},{"id":17,"name":"Train ID","value":"149-10"},{"id":16,"name":"Locomotive ID","value":"4030"},{"id":130,"name":"Impact","value":""},{"id":150,"name":"Time of Event (Mountain Time)","value":"10:19:33"},{"id":151,"name":"Denver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4030 --day 2017-12-10</v>
      </c>
      <c r="AN6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-10T08:39:39-0700',mode:absolute,to:'2017-12-10T11:19:33-0700'))&amp;_a=(columns:!('Message%20ID',Summary),filters:!(),index:'emp_*',interval:auto,query:(query_string:(analyze_wildcard:!t,query:'%22rtdc.l.rtdc.4030%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739</v>
      </c>
      <c r="B62" s="225">
        <v>4029</v>
      </c>
      <c r="C62" s="227" t="s">
        <v>192</v>
      </c>
      <c r="D62" s="227" t="s">
        <v>965</v>
      </c>
      <c r="E62" s="226">
        <v>43079.437754629631</v>
      </c>
      <c r="F62" s="226">
        <v>43079.44599537037</v>
      </c>
      <c r="G62" s="225">
        <v>174</v>
      </c>
      <c r="H62" s="227" t="s">
        <v>966</v>
      </c>
      <c r="I62" s="226">
        <v>43079.472013888888</v>
      </c>
      <c r="J62" s="225">
        <v>0</v>
      </c>
      <c r="K62" s="237" t="str">
        <f t="shared" si="0"/>
        <v>4029/4030</v>
      </c>
      <c r="L62" s="245" t="str">
        <f>VLOOKUP(A62,'Trips&amp;Operators'!$C$1:$G$99911,5,FALSE)</f>
        <v>DELGADO DIANAH</v>
      </c>
      <c r="M62" s="224">
        <f t="shared" si="1"/>
        <v>2.6018518517958E-2</v>
      </c>
      <c r="N62" s="225">
        <f t="shared" si="27"/>
        <v>37.46666666585952</v>
      </c>
      <c r="O62" s="225"/>
      <c r="P62" s="225"/>
      <c r="Q62" s="228"/>
      <c r="R62" s="242"/>
      <c r="S62" s="249">
        <f t="shared" si="24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-10T09:30:22-0700',mode:absolute,to:'2017-12-10T12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2" s="247" t="str">
        <f>IF(AA62&lt;VLOOKUP(AG62,Variables!$AC$3:$AD$8,2,FALSE),"Y","N")</f>
        <v>N</v>
      </c>
      <c r="X62" s="247">
        <f t="shared" si="29"/>
        <v>1</v>
      </c>
      <c r="Y62" s="247">
        <f t="shared" si="25"/>
        <v>23.2987</v>
      </c>
      <c r="Z62" s="247">
        <f t="shared" si="26"/>
        <v>1.2500000000000001E-2</v>
      </c>
      <c r="AA62" s="247">
        <f t="shared" si="9"/>
        <v>23.286200000000001</v>
      </c>
      <c r="AB62" s="233" t="str">
        <f>VLOOKUP(A62,Enforcements!$C$7:$K$9,8,0)</f>
        <v>Bulletin (2)</v>
      </c>
      <c r="AC62" s="232" t="str">
        <f>VLOOKUP(A62,Enforcements!$C$7:$E$9,3,0)</f>
        <v>GRADE CROSSING</v>
      </c>
      <c r="AD62" s="243">
        <f t="shared" si="10"/>
        <v>150</v>
      </c>
      <c r="AE62" s="235" t="str">
        <f t="shared" si="11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62" s="234" t="str">
        <f t="shared" si="12"/>
        <v>"C:\Program Files (x86)\AstroGrep\AstroGrep.exe" /e /r /s /spath="%USERPROFILE%\AppData\Local\Temp\OnboardLogs" /stypes="app*4029*20171210*"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150-10 --locoid 4029 --swversion DE.1.0.9.0 --startMP 204:232987 --initTime 2017-12-10T10:30:22 --startdatetime 2017-12-10T10:42:14 --delay 174 --endMP 204:125 --enddatetime 2017-12-10T11:19:42 --enforcementcount 0 &gt;&gt;%USERPROFILE%\Documents\GitHub\eaglep3-reporting\EC\2017-12-10-refined-times.txt</v>
      </c>
      <c r="AI6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{"issue":{"subject":"","project_id":79,"tracker_id":40,"status_id":1,"priority_id":2,"assigned_to_id":338,"start_date":"2017-12-10","description":"","custom_fields":[{"id":1,"name":"Subdivision","value":"EC"},{"id":4,"name":"Milepost","value":"0.0125"},{"id":17,"name":"Train ID","value":"150-10"},{"id":16,"name":"Locomotive ID","value":"4029"},{"id":130,"name":"Impact","value":""},{"id":150,"name":"Time of Event (Mountain Time)","value":"11:19:42"},{"id":151,"name":"Denver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4029 --day 2017-12-10</v>
      </c>
      <c r="AN6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-10T09:30:22-0700',mode:absolute,to:'2017-12-10T12:19:42-0700'))&amp;_a=(columns:!('Message%20ID',Summary),filters:!(),index:'emp_*',interval:auto,query:(query_string:(analyze_wildcard:!t,query:'%22rtdc.l.rtdc.4029%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814</v>
      </c>
      <c r="B63" s="225">
        <v>4032</v>
      </c>
      <c r="C63" s="227" t="s">
        <v>192</v>
      </c>
      <c r="D63" s="227" t="s">
        <v>707</v>
      </c>
      <c r="E63" s="226">
        <v>43079.41064814815</v>
      </c>
      <c r="F63" s="226">
        <v>43079.421574074076</v>
      </c>
      <c r="G63" s="225">
        <v>51</v>
      </c>
      <c r="H63" s="227" t="s">
        <v>707</v>
      </c>
      <c r="I63" s="226">
        <v>43079.442418981482</v>
      </c>
      <c r="J63" s="225">
        <v>0</v>
      </c>
      <c r="K63" s="237" t="str">
        <f t="shared" si="0"/>
        <v>4031/4032</v>
      </c>
      <c r="L63" s="245" t="str">
        <f>VLOOKUP(A63,'Trips&amp;Operators'!$C$1:$G$99911,5,FALSE)</f>
        <v>GEBRETEKLE DAGNEW</v>
      </c>
      <c r="M63" s="224">
        <f t="shared" si="1"/>
        <v>2.0844907405262347E-2</v>
      </c>
      <c r="N63" s="225"/>
      <c r="O63" s="225"/>
      <c r="P63" s="225"/>
      <c r="Q63" s="228"/>
      <c r="R63" s="242"/>
      <c r="S63" s="249"/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-10T08:51:20-0700',mode:absolute,to:'2017-12-10T11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247" t="str">
        <f>IF(AA63&lt;VLOOKUP(AG63,Variables!$AC$3:$AD$8,2,FALSE),"Y","N")</f>
        <v>Y</v>
      </c>
      <c r="X63" s="247">
        <f t="shared" si="29"/>
        <v>1</v>
      </c>
      <c r="Y63" s="247">
        <f t="shared" si="25"/>
        <v>4.53E-2</v>
      </c>
      <c r="Z63" s="247">
        <f t="shared" si="26"/>
        <v>4.53E-2</v>
      </c>
      <c r="AA63" s="247">
        <f t="shared" si="9"/>
        <v>0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63" s="234" t="str">
        <f t="shared" si="12"/>
        <v>"C:\Program Files (x86)\AstroGrep\AstroGrep.exe" /e /r /s /spath="%USERPROFILE%\AppData\Local\Temp\OnboardLogs" /stypes="app*4032*20171210*"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151-10 --locoid 4032 --swversion DE.1.0.9.0 --startMP 204:453 --initTime 2017-12-10T09:51:20 --startdatetime 2017-12-10T10:07:04 --delay 51 --endMP 204:453 --enddatetime 2017-12-10T10:37:05 --enforcementcount 0 &gt;&gt;%USERPROFILE%\Documents\GitHub\eaglep3-reporting\EC\2017-12-10-refined-times.txt</v>
      </c>
      <c r="AI6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{"issue":{"subject":"","project_id":79,"tracker_id":40,"status_id":1,"priority_id":2,"assigned_to_id":338,"start_date":"2017-12-10","description":"","custom_fields":[{"id":1,"name":"Subdivision","value":"EC"},{"id":4,"name":"Milepost","value":"0.0453"},{"id":17,"name":"Train ID","value":"151-10"},{"id":16,"name":"Locomotive ID","value":"4032"},{"id":130,"name":"Impact","value":""},{"id":150,"name":"Time of Event (Mountain Time)","value":"10:37:05"},{"id":151,"name":"Denver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4032 --day 2017-12-10</v>
      </c>
      <c r="AN6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-10T08:51:20-0700',mode:absolute,to:'2017-12-10T11:37:05-0700'))&amp;_a=(columns:!('Message%20ID',Summary),filters:!(),index:'emp_*',interval:auto,query:(query_string:(analyze_wildcard:!t,query:'%22rtdc.l.rtdc.4032%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814</v>
      </c>
      <c r="B64" s="225">
        <v>4032</v>
      </c>
      <c r="C64" s="227" t="s">
        <v>192</v>
      </c>
      <c r="D64" s="227" t="s">
        <v>967</v>
      </c>
      <c r="E64" s="226">
        <v>43079.419768518521</v>
      </c>
      <c r="F64" s="226">
        <v>43079.421574074076</v>
      </c>
      <c r="G64" s="225">
        <v>105</v>
      </c>
      <c r="H64" s="227" t="s">
        <v>696</v>
      </c>
      <c r="I64" s="226">
        <v>43079.442418981482</v>
      </c>
      <c r="J64" s="225">
        <v>0</v>
      </c>
      <c r="K64" s="237" t="str">
        <f t="shared" si="0"/>
        <v>4031/4032</v>
      </c>
      <c r="L64" s="245" t="str">
        <f>VLOOKUP(A64,'Trips&amp;Operators'!$C$1:$G$99911,5,FALSE)</f>
        <v>GEBRETEKLE DAGNEW</v>
      </c>
      <c r="M64" s="224">
        <f t="shared" si="1"/>
        <v>2.0844907405262347E-2</v>
      </c>
      <c r="N64" s="225"/>
      <c r="O64" s="225"/>
      <c r="P64" s="225">
        <f>24*60*SUM($M64:$M64)</f>
        <v>30.01666666357778</v>
      </c>
      <c r="Q64" s="228"/>
      <c r="R64" s="242" t="s">
        <v>661</v>
      </c>
      <c r="S64" s="249">
        <f t="shared" ref="S64:S95" si="30">1/IF(AG64="EC",12,1)*SUM(U64:U64)</f>
        <v>1</v>
      </c>
      <c r="T64" s="242" t="str">
        <f t="shared" si="4"/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-10T09:04:28-0700',mode:absolute,to:'2017-12-10T11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247" t="str">
        <f>IF(AA64&lt;VLOOKUP(AG64,Variables!$AC$3:$AD$8,2,FALSE),"Y","N")</f>
        <v>Y</v>
      </c>
      <c r="X64" s="247">
        <f t="shared" si="29"/>
        <v>0</v>
      </c>
      <c r="Y64" s="247">
        <f t="shared" si="25"/>
        <v>1.9125000000000001</v>
      </c>
      <c r="Z64" s="247">
        <f t="shared" si="26"/>
        <v>23.328700000000001</v>
      </c>
      <c r="AA64" s="247">
        <f t="shared" si="9"/>
        <v>21.4162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151</v>
      </c>
      <c r="AE64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64" s="234" t="str">
        <f t="shared" si="12"/>
        <v>"C:\Program Files (x86)\AstroGrep\AstroGrep.exe" /e /r /s /spath="%USERPROFILE%\AppData\Local\Temp\OnboardLogs" /stypes="app*4032*20171210*" /stext=" 17:.+((SYSTEM_STATE.+slice.+state.+changed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151-10 --locoid 4032 --swversion DE.1.0.9.0 --startMP 204:19125 --initTime 2017-12-10T10:04:28 --startdatetime 2017-12-10T10:07:04 --delay 105 --endMP 204:233287 --enddatetime 2017-12-10T10:37:05 --enforcementcount 0 &gt;&gt;%USERPROFILE%\Documents\GitHub\eaglep3-reporting\EC\2017-12-10-refined-times.txt</v>
      </c>
      <c r="AI64" s="238" t="str">
        <f t="shared" si="20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failure","project_id":79,"tracker_id":40,"status_id":1,"priority_id":2,"assigned_to_id":338,"start_date":"2017-12-10","description":"","custom_fields":[{"id":1,"name":"Subdivision","value":"EC"},{"id":4,"name":"Milepost","value":"23.3287"},{"id":17,"name":"Train ID","value":"151-10"},{"id":16,"name":"Locomotive ID","value":"4032"},{"id":130,"name":"Impact","value":""},{"id":150,"name":"Time of Event (Mountain Time)","value":"10:37:05"},{"id":151,"name":"Denver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4032 --day 2017-12-10</v>
      </c>
      <c r="AN64" s="241" t="str">
        <f t="shared" si="22"/>
        <v>echo {"issue":{"subject":"Onboard en route failure","project_id":30,"tracker_id":4,"status_id":1,"priority_id":1,"assigned_to_id":10,"start_date":"2017-12-10","description":"","custom_fields":[{"id":30,"name":"Category","value":"Issue"},{"id":3,"name":"Functional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-10T09:04:28-0700',mode:absolute,to:'2017-12-10T11:37:05-0700'))&amp;_a=(columns:!('Message%20ID',Summary),filters:!(),index:'emp_*',interval:auto,query:(query_string:(analyze_wildcard:!t,query:'%22rtdc.l.rtdc.4032%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820</v>
      </c>
      <c r="B65" s="225">
        <v>4031</v>
      </c>
      <c r="C65" s="227" t="s">
        <v>192</v>
      </c>
      <c r="D65" s="227" t="s">
        <v>968</v>
      </c>
      <c r="E65" s="226">
        <v>43079.444247685184</v>
      </c>
      <c r="F65" s="226">
        <v>43079.456458333334</v>
      </c>
      <c r="G65" s="225">
        <v>53</v>
      </c>
      <c r="H65" s="227" t="s">
        <v>969</v>
      </c>
      <c r="I65" s="226">
        <v>43079.48165509259</v>
      </c>
      <c r="J65" s="225">
        <v>0</v>
      </c>
      <c r="K65" s="237" t="str">
        <f t="shared" si="0"/>
        <v>4031/4032</v>
      </c>
      <c r="L65" s="245" t="str">
        <f>VLOOKUP(A65,'Trips&amp;Operators'!$C$1:$G$99911,5,FALSE)</f>
        <v>GEBRETEKLE DAGNEW</v>
      </c>
      <c r="M65" s="224">
        <f t="shared" si="1"/>
        <v>2.5196759255777579E-2</v>
      </c>
      <c r="N65" s="225">
        <f t="shared" ref="N65:N96" si="31">24*60*SUM($M65:$M65)</f>
        <v>36.283333328319713</v>
      </c>
      <c r="O65" s="225"/>
      <c r="P65" s="225"/>
      <c r="Q65" s="228"/>
      <c r="R65" s="242"/>
      <c r="S65" s="249">
        <f t="shared" si="30"/>
        <v>1</v>
      </c>
      <c r="T65" s="242" t="str">
        <f t="shared" si="4"/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-10T09:39:43-0700',mode:absolute,to:'2017-12-10T12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247" t="str">
        <f>IF(AA65&lt;VLOOKUP(AG65,Variables!$AC$3:$AD$8,2,FALSE),"Y","N")</f>
        <v>N</v>
      </c>
      <c r="X65" s="247">
        <f t="shared" si="29"/>
        <v>1</v>
      </c>
      <c r="Y65" s="247">
        <f t="shared" si="25"/>
        <v>23.297599999999999</v>
      </c>
      <c r="Z65" s="247">
        <f t="shared" si="26"/>
        <v>1.4999999999999999E-2</v>
      </c>
      <c r="AA65" s="247">
        <f t="shared" si="9"/>
        <v>23.282599999999999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152</v>
      </c>
      <c r="AE65" s="235" t="str">
        <f t="shared" si="11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65" s="234" t="str">
        <f t="shared" si="12"/>
        <v>"C:\Program Files (x86)\AstroGrep\AstroGrep.exe" /e /r /s /spath="%USERPROFILE%\AppData\Local\Temp\OnboardLogs" /stypes="app*4031*20171210*" /stext=" 18:.+((SYSTEM_STATE.+slice.+state.+changed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152-10 --locoid 4031 --swversion DE.1.0.9.0 --startMP 204:232976 --initTime 2017-12-10T10:39:43 --startdatetime 2017-12-10T10:57:18 --delay 53 --endMP 204:150 --enddatetime 2017-12-10T11:33:35 --enforcementcount 0 &gt;&gt;%USERPROFILE%\Documents\GitHub\eaglep3-reporting\EC\2017-12-10-refined-times.txt</v>
      </c>
      <c r="AI6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{"issue":{"subject":"","project_id":79,"tracker_id":40,"status_id":1,"priority_id":2,"assigned_to_id":338,"start_date":"2017-12-10","description":"","custom_fields":[{"id":1,"name":"Subdivision","value":"EC"},{"id":4,"name":"Milepost","value":"0.015"},{"id":17,"name":"Train ID","value":"152-10"},{"id":16,"name":"Locomotive ID","value":"4031"},{"id":130,"name":"Impact","value":""},{"id":150,"name":"Time of Event (Mountain Time)","value":"11:33:35"},{"id":151,"name":"Denver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4031 --day 2017-12-10</v>
      </c>
      <c r="AN6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-10T09:39:43-0700',mode:absolute,to:'2017-12-10T12:33:35-0700'))&amp;_a=(columns:!('Message%20ID',Summary),filters:!(),index:'emp_*',interval:auto,query:(query_string:(analyze_wildcard:!t,query:'%22rtdc.l.rtdc.4031%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816</v>
      </c>
      <c r="B66" s="225">
        <v>4064</v>
      </c>
      <c r="C66" s="227" t="s">
        <v>192</v>
      </c>
      <c r="D66" s="227" t="s">
        <v>653</v>
      </c>
      <c r="E66" s="226">
        <v>43079.423217592594</v>
      </c>
      <c r="F66" s="226">
        <v>43079.427268518521</v>
      </c>
      <c r="G66" s="225">
        <v>66</v>
      </c>
      <c r="H66" s="227" t="s">
        <v>704</v>
      </c>
      <c r="I66" s="226">
        <v>43079.452118055553</v>
      </c>
      <c r="J66" s="225">
        <v>0</v>
      </c>
      <c r="K66" s="237" t="str">
        <f t="shared" si="0"/>
        <v>4063/4064</v>
      </c>
      <c r="L66" s="245" t="str">
        <f>VLOOKUP(A66,'Trips&amp;Operators'!$C$1:$G$99911,5,FALSE)</f>
        <v>BADERTSCHER DIANE</v>
      </c>
      <c r="M66" s="224">
        <f t="shared" si="1"/>
        <v>2.4849537032423541E-2</v>
      </c>
      <c r="N66" s="225">
        <f t="shared" si="31"/>
        <v>35.783333326689899</v>
      </c>
      <c r="O66" s="225"/>
      <c r="P66" s="225"/>
      <c r="Q66" s="228"/>
      <c r="R66" s="242"/>
      <c r="S66" s="249">
        <f t="shared" si="30"/>
        <v>1</v>
      </c>
      <c r="T66" s="242" t="str">
        <f t="shared" si="4"/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-10T09:09:26-0700',mode:absolute,to:'2017-12-10T11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6" s="247" t="str">
        <f>IF(AA66&lt;VLOOKUP(AG66,Variables!$AC$3:$AD$8,2,FALSE),"Y","N")</f>
        <v>N</v>
      </c>
      <c r="X66" s="247">
        <f t="shared" si="29"/>
        <v>1</v>
      </c>
      <c r="Y66" s="247">
        <f t="shared" si="25"/>
        <v>5.2900000000000003E-2</v>
      </c>
      <c r="Z66" s="247">
        <f t="shared" si="26"/>
        <v>23.3263</v>
      </c>
      <c r="AA66" s="247">
        <f t="shared" si="9"/>
        <v>23.273399999999999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153</v>
      </c>
      <c r="AE66" s="235" t="str">
        <f t="shared" si="11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66" s="234" t="str">
        <f t="shared" si="12"/>
        <v>"C:\Program Files (x86)\AstroGrep\AstroGrep.exe" /e /r /s /spath="%USERPROFILE%\AppData\Local\Temp\OnboardLogs" /stypes="app*4064*20171210*" /stext=" 17:.+((SYSTEM_STATE.+slice.+state.+changed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153-10 --locoid 4064 --swversion DE.1.0.9.0 --startMP 204:529 --initTime 2017-12-10T10:09:26 --startdatetime 2017-12-10T10:15:16 --delay 66 --endMP 204:233263 --enddatetime 2017-12-10T10:51:03 --enforcementcount 0 &gt;&gt;%USERPROFILE%\Documents\GitHub\eaglep3-reporting\EC\2017-12-10-refined-times.txt</v>
      </c>
      <c r="AI6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{"issue":{"subject":"","project_id":79,"tracker_id":40,"status_id":1,"priority_id":2,"assigned_to_id":338,"start_date":"2017-12-10","description":"","custom_fields":[{"id":1,"name":"Subdivision","value":"EC"},{"id":4,"name":"Milepost","value":"23.3263"},{"id":17,"name":"Train ID","value":"153-10"},{"id":16,"name":"Locomotive ID","value":"4064"},{"id":130,"name":"Impact","value":""},{"id":150,"name":"Time of Event (Mountain Time)","value":"10:51:03"},{"id":151,"name":"Denver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4064 --day 2017-12-10</v>
      </c>
      <c r="AN6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-10T09:09:26-0700',mode:absolute,to:'2017-12-10T11:51:03-0700'))&amp;_a=(columns:!('Message%20ID',Summary),filters:!(),index:'emp_*',interval:auto,query:(query_string:(analyze_wildcard:!t,query:'%22rtdc.l.rtdc.4064%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825</v>
      </c>
      <c r="B67" s="225">
        <v>4063</v>
      </c>
      <c r="C67" s="227" t="s">
        <v>192</v>
      </c>
      <c r="D67" s="227" t="s">
        <v>705</v>
      </c>
      <c r="E67" s="226">
        <v>43079.463472222225</v>
      </c>
      <c r="F67" s="226">
        <v>43079.466840277775</v>
      </c>
      <c r="G67" s="225">
        <v>85</v>
      </c>
      <c r="H67" s="227" t="s">
        <v>443</v>
      </c>
      <c r="I67" s="226">
        <v>43079.494930555556</v>
      </c>
      <c r="J67" s="225">
        <v>0</v>
      </c>
      <c r="K67" s="237" t="str">
        <f t="shared" si="0"/>
        <v>4063/4064</v>
      </c>
      <c r="L67" s="245" t="str">
        <f>VLOOKUP(A67,'Trips&amp;Operators'!$C$1:$G$99911,5,FALSE)</f>
        <v>BADERTSCHER DIANE</v>
      </c>
      <c r="M67" s="224">
        <f t="shared" si="1"/>
        <v>2.8090277781302575E-2</v>
      </c>
      <c r="N67" s="225">
        <f t="shared" si="31"/>
        <v>40.450000005075708</v>
      </c>
      <c r="O67" s="225"/>
      <c r="P67" s="225"/>
      <c r="Q67" s="228"/>
      <c r="R67" s="242"/>
      <c r="S67" s="249">
        <f t="shared" si="30"/>
        <v>1</v>
      </c>
      <c r="T67" s="242" t="str">
        <f t="shared" si="4"/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-10T10:07:24-0700',mode:absolute,to:'2017-12-10T12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7" s="247" t="str">
        <f>IF(AA67&lt;VLOOKUP(AG67,Variables!$AC$3:$AD$8,2,FALSE),"Y","N")</f>
        <v>N</v>
      </c>
      <c r="X67" s="247">
        <f t="shared" si="29"/>
        <v>1</v>
      </c>
      <c r="Y67" s="247">
        <f t="shared" si="25"/>
        <v>23.293399999999998</v>
      </c>
      <c r="Z67" s="247">
        <f t="shared" si="26"/>
        <v>2.07E-2</v>
      </c>
      <c r="AA67" s="247">
        <f t="shared" si="9"/>
        <v>23.272699999999997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154</v>
      </c>
      <c r="AE67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67" s="234" t="str">
        <f t="shared" si="12"/>
        <v>"C:\Program Files (x86)\AstroGrep\AstroGrep.exe" /e /r /s /spath="%USERPROFILE%\AppData\Local\Temp\OnboardLogs" /stypes="app*4063*20171210*"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154-10 --locoid 4063 --swversion DE.1.0.9.0 --startMP 204:232934 --initTime 2017-12-10T11:07:24 --startdatetime 2017-12-10T11:12:15 --delay 85 --endMP 204:207 --enddatetime 2017-12-10T11:52:42 --enforcementcount 0 &gt;&gt;%USERPROFILE%\Documents\GitHub\eaglep3-reporting\EC\2017-12-10-refined-times.txt</v>
      </c>
      <c r="AI6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{"issue":{"subject":"","project_id":79,"tracker_id":40,"status_id":1,"priority_id":2,"assigned_to_id":338,"start_date":"2017-12-10","description":"","custom_fields":[{"id":1,"name":"Subdivision","value":"EC"},{"id":4,"name":"Milepost","value":"0.0207"},{"id":17,"name":"Train ID","value":"154-10"},{"id":16,"name":"Locomotive ID","value":"4063"},{"id":130,"name":"Impact","value":""},{"id":150,"name":"Time of Event (Mountain Time)","value":"11:52:42"},{"id":151,"name":"Denver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4063 --day 2017-12-10</v>
      </c>
      <c r="AN6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-10T10:07:24-0700',mode:absolute,to:'2017-12-10T12:52:42-0700'))&amp;_a=(columns:!('Message%20ID',Summary),filters:!(),index:'emp_*',interval:auto,query:(query_string:(analyze_wildcard:!t,query:'%22rtdc.l.rtdc.4063%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818</v>
      </c>
      <c r="B68" s="225">
        <v>4034</v>
      </c>
      <c r="C68" s="227" t="s">
        <v>192</v>
      </c>
      <c r="D68" s="227" t="s">
        <v>621</v>
      </c>
      <c r="E68" s="226">
        <v>43079.43273148148</v>
      </c>
      <c r="F68" s="226">
        <v>43079.4377662037</v>
      </c>
      <c r="G68" s="225">
        <v>58</v>
      </c>
      <c r="H68" s="227" t="s">
        <v>970</v>
      </c>
      <c r="I68" s="226">
        <v>43079.462951388887</v>
      </c>
      <c r="J68" s="225">
        <v>0</v>
      </c>
      <c r="K68" s="237" t="str">
        <f t="shared" si="0"/>
        <v>4033/4034</v>
      </c>
      <c r="L68" s="245" t="str">
        <f>VLOOKUP(A68,'Trips&amp;Operators'!$C$1:$G$99911,5,FALSE)</f>
        <v>WILLIAMS DONTE</v>
      </c>
      <c r="M68" s="224">
        <f t="shared" si="1"/>
        <v>2.5185185186273884E-2</v>
      </c>
      <c r="N68" s="225">
        <f t="shared" si="31"/>
        <v>36.266666668234393</v>
      </c>
      <c r="O68" s="225"/>
      <c r="P68" s="225"/>
      <c r="Q68" s="228"/>
      <c r="R68" s="242"/>
      <c r="S68" s="249">
        <f t="shared" si="30"/>
        <v>1</v>
      </c>
      <c r="T68" s="242" t="str">
        <f t="shared" si="4"/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-10T09:23:08-0700',mode:absolute,to:'2017-12-10T12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8" s="247" t="str">
        <f>IF(AA68&lt;VLOOKUP(AG68,Variables!$AC$3:$AD$8,2,FALSE),"Y","N")</f>
        <v>N</v>
      </c>
      <c r="X68" s="247">
        <f t="shared" si="29"/>
        <v>1</v>
      </c>
      <c r="Y68" s="247">
        <f t="shared" si="25"/>
        <v>4.9799999999999997E-2</v>
      </c>
      <c r="Z68" s="247">
        <f t="shared" si="26"/>
        <v>23.322500000000002</v>
      </c>
      <c r="AA68" s="247">
        <f t="shared" si="9"/>
        <v>23.2727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155</v>
      </c>
      <c r="AE68" s="235" t="str">
        <f t="shared" si="1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68" s="234" t="str">
        <f t="shared" si="12"/>
        <v>"C:\Program Files (x86)\AstroGrep\AstroGrep.exe" /e /r /s /spath="%USERPROFILE%\AppData\Local\Temp\OnboardLogs" /stypes="app*4034*20171210*" /stext=" 18:.+((SYSTEM_STATE.+slice.+state.+changed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155-10 --locoid 4034 --swversion DE.1.0.9.0 --startMP 204:498 --initTime 2017-12-10T10:23:08 --startdatetime 2017-12-10T10:30:23 --delay 58 --endMP 204:233225 --enddatetime 2017-12-10T11:06:39 --enforcementcount 0 &gt;&gt;%USERPROFILE%\Documents\GitHub\eaglep3-reporting\EC\2017-12-10-refined-times.txt</v>
      </c>
      <c r="AI6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{"issue":{"subject":"","project_id":79,"tracker_id":40,"status_id":1,"priority_id":2,"assigned_to_id":338,"start_date":"2017-12-10","description":"","custom_fields":[{"id":1,"name":"Subdivision","value":"EC"},{"id":4,"name":"Milepost","value":"23.3225"},{"id":17,"name":"Train ID","value":"155-10"},{"id":16,"name":"Locomotive ID","value":"4034"},{"id":130,"name":"Impact","value":""},{"id":150,"name":"Time of Event (Mountain Time)","value":"11:06:39"},{"id":151,"name":"Denver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4034 --day 2017-12-10</v>
      </c>
      <c r="AN6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-10T09:23:08-0700',mode:absolute,to:'2017-12-10T12:06:39-0700'))&amp;_a=(columns:!('Message%20ID',Summary),filters:!(),index:'emp_*',interval:auto,query:(query_string:(analyze_wildcard:!t,query:'%22rtdc.l.rtdc.4034%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827</v>
      </c>
      <c r="B69" s="225">
        <v>4033</v>
      </c>
      <c r="C69" s="227" t="s">
        <v>192</v>
      </c>
      <c r="D69" s="227" t="s">
        <v>716</v>
      </c>
      <c r="E69" s="226">
        <v>43079.472939814812</v>
      </c>
      <c r="F69" s="226">
        <v>43079.477361111109</v>
      </c>
      <c r="G69" s="225">
        <v>71</v>
      </c>
      <c r="H69" s="227" t="s">
        <v>971</v>
      </c>
      <c r="I69" s="226">
        <v>43079.503692129627</v>
      </c>
      <c r="J69" s="225">
        <v>0</v>
      </c>
      <c r="K69" s="237" t="str">
        <f t="shared" si="0"/>
        <v>4033/4034</v>
      </c>
      <c r="L69" s="245" t="str">
        <f>VLOOKUP(A69,'Trips&amp;Operators'!$C$1:$G$99911,5,FALSE)</f>
        <v>WILLIAMS DONTE</v>
      </c>
      <c r="M69" s="224">
        <f t="shared" si="1"/>
        <v>2.6331018518249039E-2</v>
      </c>
      <c r="N69" s="225">
        <f t="shared" si="31"/>
        <v>37.916666666278616</v>
      </c>
      <c r="O69" s="225"/>
      <c r="P69" s="225"/>
      <c r="Q69" s="228"/>
      <c r="R69" s="242"/>
      <c r="S69" s="249">
        <f t="shared" si="30"/>
        <v>1</v>
      </c>
      <c r="T69" s="242" t="str">
        <f t="shared" si="4"/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-10T10:21:02-0700',mode:absolute,to:'2017-12-10T13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9" s="247" t="str">
        <f>IF(AA69&lt;VLOOKUP(AG69,Variables!$AC$3:$AD$8,2,FALSE),"Y","N")</f>
        <v>N</v>
      </c>
      <c r="X69" s="247">
        <f t="shared" si="29"/>
        <v>1</v>
      </c>
      <c r="Y69" s="247">
        <f t="shared" si="25"/>
        <v>23.290800000000001</v>
      </c>
      <c r="Z69" s="247">
        <f t="shared" si="26"/>
        <v>2.4299999999999999E-2</v>
      </c>
      <c r="AA69" s="247">
        <f t="shared" si="9"/>
        <v>23.266500000000001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156</v>
      </c>
      <c r="AE69" s="235" t="str">
        <f t="shared" si="1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69" s="234" t="str">
        <f t="shared" si="12"/>
        <v>"C:\Program Files (x86)\AstroGrep\AstroGrep.exe" /e /r /s /spath="%USERPROFILE%\AppData\Local\Temp\OnboardLogs" /stypes="app*4033*20171210*" /stext=" 19:.+((SYSTEM_STATE.+slice.+state.+changed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156-10 --locoid 4033 --swversion DE.1.0.9.0 --startMP 204:232908 --initTime 2017-12-10T11:21:02 --startdatetime 2017-12-10T11:27:24 --delay 71 --endMP 204:243 --enddatetime 2017-12-10T12:05:19 --enforcementcount 0 &gt;&gt;%USERPROFILE%\Documents\GitHub\eaglep3-reporting\EC\2017-12-10-refined-times.txt</v>
      </c>
      <c r="AI6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{"issue":{"subject":"","project_id":79,"tracker_id":40,"status_id":1,"priority_id":2,"assigned_to_id":338,"start_date":"2017-12-10","description":"","custom_fields":[{"id":1,"name":"Subdivision","value":"EC"},{"id":4,"name":"Milepost","value":"0.0243"},{"id":17,"name":"Train ID","value":"156-10"},{"id":16,"name":"Locomotive ID","value":"4033"},{"id":130,"name":"Impact","value":""},{"id":150,"name":"Time of Event (Mountain Time)","value":"12:05:19"},{"id":151,"name":"Denver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4033 --day 2017-12-10</v>
      </c>
      <c r="AN6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-10T10:21:02-0700',mode:absolute,to:'2017-12-10T13:05:19-0700'))&amp;_a=(columns:!('Message%20ID',Summary),filters:!(),index:'emp_*',interval:auto,query:(query_string:(analyze_wildcard:!t,query:'%22rtdc.l.rtdc.4033%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821</v>
      </c>
      <c r="B70" s="225">
        <v>4024</v>
      </c>
      <c r="C70" s="227" t="s">
        <v>192</v>
      </c>
      <c r="D70" s="227" t="s">
        <v>611</v>
      </c>
      <c r="E70" s="226">
        <v>43079.443622685183</v>
      </c>
      <c r="F70" s="226">
        <v>43079.448113425926</v>
      </c>
      <c r="G70" s="225">
        <v>116</v>
      </c>
      <c r="H70" s="227" t="s">
        <v>584</v>
      </c>
      <c r="I70" s="226">
        <v>43079.472384259258</v>
      </c>
      <c r="J70" s="225">
        <v>0</v>
      </c>
      <c r="K70" s="237" t="str">
        <f t="shared" si="0"/>
        <v>4023/4024</v>
      </c>
      <c r="L70" s="245" t="str">
        <f>VLOOKUP(A70,'Trips&amp;Operators'!$C$1:$G$99911,5,FALSE)</f>
        <v>STEWART MICHAEL</v>
      </c>
      <c r="M70" s="224">
        <f t="shared" si="1"/>
        <v>2.4270833331684116E-2</v>
      </c>
      <c r="N70" s="225">
        <f t="shared" si="31"/>
        <v>34.949999997625127</v>
      </c>
      <c r="O70" s="225"/>
      <c r="P70" s="225"/>
      <c r="Q70" s="228"/>
      <c r="R70" s="242"/>
      <c r="S70" s="249">
        <f t="shared" si="30"/>
        <v>1</v>
      </c>
      <c r="T70" s="242" t="str">
        <f t="shared" si="4"/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-10T09:38:49-0700',mode:absolute,to:'2017-12-10T12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0" s="247" t="str">
        <f>IF(AA70&lt;VLOOKUP(AG70,Variables!$AC$3:$AD$8,2,FALSE),"Y","N")</f>
        <v>N</v>
      </c>
      <c r="X70" s="247">
        <f t="shared" si="29"/>
        <v>1</v>
      </c>
      <c r="Y70" s="247">
        <f t="shared" si="25"/>
        <v>4.9099999999999998E-2</v>
      </c>
      <c r="Z70" s="247">
        <f t="shared" si="26"/>
        <v>23.324300000000001</v>
      </c>
      <c r="AA70" s="247">
        <f t="shared" si="9"/>
        <v>23.275200000000002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157</v>
      </c>
      <c r="AE70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70" s="234" t="str">
        <f t="shared" si="12"/>
        <v>"C:\Program Files (x86)\AstroGrep\AstroGrep.exe" /e /r /s /spath="%USERPROFILE%\AppData\Local\Temp\OnboardLogs" /stypes="app*4024*20171210*" /stext=" 18:.+((SYSTEM_STATE.+slice.+state.+changed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157-10 --locoid 4024 --swversion DE.1.0.9.0 --startMP 204:491 --initTime 2017-12-10T10:38:49 --startdatetime 2017-12-10T10:45:17 --delay 116 --endMP 204:233243 --enddatetime 2017-12-10T11:20:14 --enforcementcount 0 &gt;&gt;%USERPROFILE%\Documents\GitHub\eaglep3-reporting\EC\2017-12-10-refined-times.txt</v>
      </c>
      <c r="AI7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{"issue":{"subject":"","project_id":79,"tracker_id":40,"status_id":1,"priority_id":2,"assigned_to_id":338,"start_date":"2017-12-10","description":"","custom_fields":[{"id":1,"name":"Subdivision","value":"EC"},{"id":4,"name":"Milepost","value":"23.3243"},{"id":17,"name":"Train ID","value":"157-10"},{"id":16,"name":"Locomotive ID","value":"4024"},{"id":130,"name":"Impact","value":""},{"id":150,"name":"Time of Event (Mountain Time)","value":"11:20:14"},{"id":151,"name":"Denver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4024 --day 2017-12-10</v>
      </c>
      <c r="AN7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-10T09:38:49-0700',mode:absolute,to:'2017-12-10T12:20:14-0700'))&amp;_a=(columns:!('Message%20ID',Summary),filters:!(),index:'emp_*',interval:auto,query:(query_string:(analyze_wildcard:!t,query:'%22rtdc.l.rtdc.4024%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832</v>
      </c>
      <c r="B71" s="225">
        <v>4023</v>
      </c>
      <c r="C71" s="227" t="s">
        <v>192</v>
      </c>
      <c r="D71" s="227" t="s">
        <v>556</v>
      </c>
      <c r="E71" s="226">
        <v>43079.484814814816</v>
      </c>
      <c r="F71" s="226">
        <v>43079.487743055557</v>
      </c>
      <c r="G71" s="225">
        <v>69</v>
      </c>
      <c r="H71" s="227" t="s">
        <v>478</v>
      </c>
      <c r="I71" s="226">
        <v>43079.514687499999</v>
      </c>
      <c r="J71" s="225">
        <v>0</v>
      </c>
      <c r="K71" s="237" t="str">
        <f t="shared" si="0"/>
        <v>4023/4024</v>
      </c>
      <c r="L71" s="245" t="str">
        <f>VLOOKUP(A71,'Trips&amp;Operators'!$C$1:$G$99911,5,FALSE)</f>
        <v>STEWART MICHAEL</v>
      </c>
      <c r="M71" s="224">
        <f t="shared" si="1"/>
        <v>2.6944444442051463E-2</v>
      </c>
      <c r="N71" s="225">
        <f t="shared" si="31"/>
        <v>38.799999996554106</v>
      </c>
      <c r="O71" s="225"/>
      <c r="P71" s="225"/>
      <c r="Q71" s="228"/>
      <c r="R71" s="242"/>
      <c r="S71" s="249">
        <f t="shared" si="30"/>
        <v>1</v>
      </c>
      <c r="T71" s="242" t="str">
        <f t="shared" si="4"/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-10T10:38:08-0700',mode:absolute,to:'2017-12-10T13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1" s="247" t="str">
        <f>IF(AA71&lt;VLOOKUP(AG71,Variables!$AC$3:$AD$8,2,FALSE),"Y","N")</f>
        <v>N</v>
      </c>
      <c r="X71" s="247">
        <f t="shared" si="29"/>
        <v>1</v>
      </c>
      <c r="Y71" s="247">
        <f t="shared" si="25"/>
        <v>23.291899999999998</v>
      </c>
      <c r="Z71" s="247">
        <f t="shared" si="26"/>
        <v>1.9599999999999999E-2</v>
      </c>
      <c r="AA71" s="247">
        <f t="shared" si="9"/>
        <v>23.272299999999998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158</v>
      </c>
      <c r="AE71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71" s="234" t="str">
        <f t="shared" si="12"/>
        <v>"C:\Program Files (x86)\AstroGrep\AstroGrep.exe" /e /r /s /spath="%USERPROFILE%\AppData\Local\Temp\OnboardLogs" /stypes="app*4023*20171210*" /stext=" 19:.+((SYSTEM_STATE.+slice.+state.+changed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158-10 --locoid 4023 --swversion DE.1.0.9.0 --startMP 204:232919 --initTime 2017-12-10T11:38:08 --startdatetime 2017-12-10T11:42:21 --delay 69 --endMP 204:196 --enddatetime 2017-12-10T12:21:09 --enforcementcount 0 &gt;&gt;%USERPROFILE%\Documents\GitHub\eaglep3-reporting\EC\2017-12-10-refined-times.txt</v>
      </c>
      <c r="AI7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{"issue":{"subject":"","project_id":79,"tracker_id":40,"status_id":1,"priority_id":2,"assigned_to_id":338,"start_date":"2017-12-10","description":"","custom_fields":[{"id":1,"name":"Subdivision","value":"EC"},{"id":4,"name":"Milepost","value":"0.0196"},{"id":17,"name":"Train ID","value":"158-10"},{"id":16,"name":"Locomotive ID","value":"4023"},{"id":130,"name":"Impact","value":""},{"id":150,"name":"Time of Event (Mountain Time)","value":"12:21:09"},{"id":151,"name":"Denver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4023 --day 2017-12-10</v>
      </c>
      <c r="AN7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-10T10:38:08-0700',mode:absolute,to:'2017-12-10T13:21:09-0700'))&amp;_a=(columns:!('Message%20ID',Summary),filters:!(),index:'emp_*',interval:auto,query:(query_string:(analyze_wildcard:!t,query:'%22rtdc.l.rtdc.4023%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823</v>
      </c>
      <c r="B72" s="225">
        <v>4018</v>
      </c>
      <c r="C72" s="227" t="s">
        <v>192</v>
      </c>
      <c r="D72" s="227" t="s">
        <v>473</v>
      </c>
      <c r="E72" s="226">
        <v>43079.455277777779</v>
      </c>
      <c r="F72" s="226">
        <v>43079.458506944444</v>
      </c>
      <c r="G72" s="225">
        <v>59</v>
      </c>
      <c r="H72" s="227" t="s">
        <v>646</v>
      </c>
      <c r="I72" s="226">
        <v>43079.483368055553</v>
      </c>
      <c r="J72" s="225">
        <v>0</v>
      </c>
      <c r="K72" s="237" t="str">
        <f t="shared" si="0"/>
        <v>4017/4018</v>
      </c>
      <c r="L72" s="245" t="str">
        <f>VLOOKUP(A72,'Trips&amp;Operators'!$C$1:$G$99911,5,FALSE)</f>
        <v>LAMAR NEKESHA</v>
      </c>
      <c r="M72" s="224">
        <f t="shared" si="1"/>
        <v>2.4861111109203193E-2</v>
      </c>
      <c r="N72" s="225">
        <f t="shared" si="31"/>
        <v>35.799999997252598</v>
      </c>
      <c r="O72" s="225"/>
      <c r="P72" s="225"/>
      <c r="Q72" s="228"/>
      <c r="R72" s="242"/>
      <c r="S72" s="249">
        <f t="shared" si="30"/>
        <v>1</v>
      </c>
      <c r="T72" s="242" t="str">
        <f t="shared" si="4"/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-10T09:55:36-0700',mode:absolute,to:'2017-12-10T12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2" s="247" t="str">
        <f>IF(AA72&lt;VLOOKUP(AG72,Variables!$AC$3:$AD$8,2,FALSE),"Y","N")</f>
        <v>N</v>
      </c>
      <c r="X72" s="247">
        <f t="shared" si="29"/>
        <v>1</v>
      </c>
      <c r="Y72" s="247">
        <f t="shared" si="25"/>
        <v>5.0200000000000002E-2</v>
      </c>
      <c r="Z72" s="247">
        <f t="shared" si="26"/>
        <v>23.327400000000001</v>
      </c>
      <c r="AA72" s="247">
        <f t="shared" si="9"/>
        <v>23.277200000000001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159</v>
      </c>
      <c r="AE72" s="235" t="str">
        <f t="shared" si="11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72" s="234" t="str">
        <f t="shared" si="12"/>
        <v>"C:\Program Files (x86)\AstroGrep\AstroGrep.exe" /e /r /s /spath="%USERPROFILE%\AppData\Local\Temp\OnboardLogs" /stypes="app*4018*20171210*" /stext=" 18:.+((SYSTEM_STATE.+slice.+state.+changed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159-10 --locoid 4018 --swversion DE.1.0.9.0 --startMP 204:502 --initTime 2017-12-10T10:55:36 --startdatetime 2017-12-10T11:00:15 --delay 59 --endMP 204:233274 --enddatetime 2017-12-10T11:36:03 --enforcementcount 0 &gt;&gt;%USERPROFILE%\Documents\GitHub\eaglep3-reporting\EC\2017-12-10-refined-times.txt</v>
      </c>
      <c r="AI7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{"issue":{"subject":"","project_id":79,"tracker_id":40,"status_id":1,"priority_id":2,"assigned_to_id":338,"start_date":"2017-12-10","description":"","custom_fields":[{"id":1,"name":"Subdivision","value":"EC"},{"id":4,"name":"Milepost","value":"23.3274"},{"id":17,"name":"Train ID","value":"159-10"},{"id":16,"name":"Locomotive ID","value":"4018"},{"id":130,"name":"Impact","value":""},{"id":150,"name":"Time of Event (Mountain Time)","value":"11:36:03"},{"id":151,"name":"Denver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4018 --day 2017-12-10</v>
      </c>
      <c r="AN7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-10T09:55:36-0700',mode:absolute,to:'2017-12-10T12:36:03-0700'))&amp;_a=(columns:!('Message%20ID',Summary),filters:!(),index:'emp_*',interval:auto,query:(query_string:(analyze_wildcard:!t,query:'%22rtdc.l.rtdc.4018%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831</v>
      </c>
      <c r="B73" s="225">
        <v>4017</v>
      </c>
      <c r="C73" s="227" t="s">
        <v>192</v>
      </c>
      <c r="D73" s="227" t="s">
        <v>972</v>
      </c>
      <c r="E73" s="226">
        <v>43079.484837962962</v>
      </c>
      <c r="F73" s="226">
        <v>43079.498148148145</v>
      </c>
      <c r="G73" s="225">
        <v>53</v>
      </c>
      <c r="H73" s="227" t="s">
        <v>478</v>
      </c>
      <c r="I73" s="226">
        <v>43079.523796296293</v>
      </c>
      <c r="J73" s="225">
        <v>0</v>
      </c>
      <c r="K73" s="237" t="str">
        <f t="shared" si="0"/>
        <v>4017/4018</v>
      </c>
      <c r="L73" s="245" t="str">
        <f>VLOOKUP(A73,'Trips&amp;Operators'!$C$1:$G$99911,5,FALSE)</f>
        <v>LAMAR NEKESHA</v>
      </c>
      <c r="M73" s="224">
        <f t="shared" si="1"/>
        <v>2.5648148148320615E-2</v>
      </c>
      <c r="N73" s="225">
        <f t="shared" si="31"/>
        <v>36.933333333581686</v>
      </c>
      <c r="O73" s="225"/>
      <c r="P73" s="225"/>
      <c r="Q73" s="228"/>
      <c r="R73" s="242"/>
      <c r="S73" s="249">
        <f t="shared" si="30"/>
        <v>1</v>
      </c>
      <c r="T73" s="242" t="str">
        <f t="shared" si="4"/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-10T10:38:10-0700',mode:absolute,to:'2017-12-10T13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3" s="247" t="str">
        <f>IF(AA73&lt;VLOOKUP(AG73,Variables!$AC$3:$AD$8,2,FALSE),"Y","N")</f>
        <v>N</v>
      </c>
      <c r="X73" s="247">
        <f t="shared" si="29"/>
        <v>1</v>
      </c>
      <c r="Y73" s="247">
        <f t="shared" si="25"/>
        <v>23.294899999999998</v>
      </c>
      <c r="Z73" s="247">
        <f t="shared" si="26"/>
        <v>1.9599999999999999E-2</v>
      </c>
      <c r="AA73" s="247">
        <f t="shared" si="9"/>
        <v>23.275299999999998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160</v>
      </c>
      <c r="AE73" s="235" t="str">
        <f t="shared" si="1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73" s="234" t="str">
        <f t="shared" si="12"/>
        <v>"C:\Program Files (x86)\AstroGrep\AstroGrep.exe" /e /r /s /spath="%USERPROFILE%\AppData\Local\Temp\OnboardLogs" /stypes="app*4017*20171210*" /stext=" 19:.+((SYSTEM_STATE.+slice.+state.+changed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160-10 --locoid 4017 --swversion DE.1.0.9.0 --startMP 204:232949 --initTime 2017-12-10T11:38:10 --startdatetime 2017-12-10T11:57:20 --delay 53 --endMP 204:196 --enddatetime 2017-12-10T12:34:16 --enforcementcount 0 &gt;&gt;%USERPROFILE%\Documents\GitHub\eaglep3-reporting\EC\2017-12-10-refined-times.txt</v>
      </c>
      <c r="AI7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{"issue":{"subject":"","project_id":79,"tracker_id":40,"status_id":1,"priority_id":2,"assigned_to_id":338,"start_date":"2017-12-10","description":"","custom_fields":[{"id":1,"name":"Subdivision","value":"EC"},{"id":4,"name":"Milepost","value":"0.0196"},{"id":17,"name":"Train ID","value":"160-10"},{"id":16,"name":"Locomotive ID","value":"4017"},{"id":130,"name":"Impact","value":""},{"id":150,"name":"Time of Event (Mountain Time)","value":"12:34:16"},{"id":151,"name":"Denver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4017 --day 2017-12-10</v>
      </c>
      <c r="AN7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-10T10:38:10-0700',mode:absolute,to:'2017-12-10T13:34:16-0700'))&amp;_a=(columns:!('Message%20ID',Summary),filters:!(),index:'emp_*',interval:auto,query:(query_string:(analyze_wildcard:!t,query:'%22rtdc.l.rtdc.4017%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826</v>
      </c>
      <c r="B74" s="225">
        <v>4012</v>
      </c>
      <c r="C74" s="227" t="s">
        <v>192</v>
      </c>
      <c r="D74" s="227" t="s">
        <v>590</v>
      </c>
      <c r="E74" s="226">
        <v>43079.464247685188</v>
      </c>
      <c r="F74" s="226">
        <v>43079.469178240739</v>
      </c>
      <c r="G74" s="225">
        <v>127</v>
      </c>
      <c r="H74" s="227" t="s">
        <v>973</v>
      </c>
      <c r="I74" s="226">
        <v>43079.494259259256</v>
      </c>
      <c r="J74" s="225">
        <v>0</v>
      </c>
      <c r="K74" s="237" t="str">
        <f t="shared" si="0"/>
        <v>4011/4012</v>
      </c>
      <c r="L74" s="245" t="str">
        <f>VLOOKUP(A74,'Trips&amp;Operators'!$C$1:$G$99911,5,FALSE)</f>
        <v>DAVIS MICHAEL</v>
      </c>
      <c r="M74" s="224">
        <f t="shared" si="1"/>
        <v>2.5081018517084885E-2</v>
      </c>
      <c r="N74" s="225">
        <f t="shared" si="31"/>
        <v>36.116666664602235</v>
      </c>
      <c r="O74" s="225"/>
      <c r="P74" s="225"/>
      <c r="Q74" s="228"/>
      <c r="R74" s="242"/>
      <c r="S74" s="249">
        <f t="shared" si="30"/>
        <v>1</v>
      </c>
      <c r="T74" s="242" t="str">
        <f t="shared" si="4"/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-10T10:08:31-0700',mode:absolute,to:'2017-12-10T12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247" t="str">
        <f>IF(AA74&lt;VLOOKUP(AG74,Variables!$AC$3:$AD$8,2,FALSE),"Y","N")</f>
        <v>N</v>
      </c>
      <c r="X74" s="247">
        <f t="shared" si="29"/>
        <v>1</v>
      </c>
      <c r="Y74" s="247">
        <f t="shared" si="25"/>
        <v>5.0799999999999998E-2</v>
      </c>
      <c r="Z74" s="247">
        <f t="shared" si="26"/>
        <v>23.3307</v>
      </c>
      <c r="AA74" s="247">
        <f t="shared" si="9"/>
        <v>23.279900000000001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161</v>
      </c>
      <c r="AE74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74" s="234" t="str">
        <f t="shared" si="12"/>
        <v>"C:\Program Files (x86)\AstroGrep\AstroGrep.exe" /e /r /s /spath="%USERPROFILE%\AppData\Local\Temp\OnboardLogs" /stypes="app*4012*20171210*" /stext=" 18:.+((SYSTEM_STATE.+slice.+state.+changed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161-10 --locoid 4012 --swversion DE.1.0.9.0 --startMP 204:508 --initTime 2017-12-10T11:08:31 --startdatetime 2017-12-10T11:15:37 --delay 127 --endMP 204:233307 --enddatetime 2017-12-10T11:51:44 --enforcementcount 0 &gt;&gt;%USERPROFILE%\Documents\GitHub\eaglep3-reporting\EC\2017-12-10-refined-times.txt</v>
      </c>
      <c r="AI7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{"issue":{"subject":"","project_id":79,"tracker_id":40,"status_id":1,"priority_id":2,"assigned_to_id":338,"start_date":"2017-12-10","description":"","custom_fields":[{"id":1,"name":"Subdivision","value":"EC"},{"id":4,"name":"Milepost","value":"23.3307"},{"id":17,"name":"Train ID","value":"161-10"},{"id":16,"name":"Locomotive ID","value":"4012"},{"id":130,"name":"Impact","value":""},{"id":150,"name":"Time of Event (Mountain Time)","value":"11:51:44"},{"id":151,"name":"Denver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4012 --day 2017-12-10</v>
      </c>
      <c r="AN7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-10T10:08:31-0700',mode:absolute,to:'2017-12-10T12:51:44-0700'))&amp;_a=(columns:!('Message%20ID',Summary),filters:!(),index:'emp_*',interval:auto,query:(query_string:(analyze_wildcard:!t,query:'%22rtdc.l.rtdc.4012%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836</v>
      </c>
      <c r="B75" s="225">
        <v>4011</v>
      </c>
      <c r="C75" s="227" t="s">
        <v>192</v>
      </c>
      <c r="D75" s="227" t="s">
        <v>609</v>
      </c>
      <c r="E75" s="226">
        <v>43079.506261574075</v>
      </c>
      <c r="F75" s="226">
        <v>43079.508796296293</v>
      </c>
      <c r="G75" s="225">
        <v>88</v>
      </c>
      <c r="H75" s="227" t="s">
        <v>442</v>
      </c>
      <c r="I75" s="226">
        <v>43079.536793981482</v>
      </c>
      <c r="J75" s="225">
        <v>0</v>
      </c>
      <c r="K75" s="237" t="str">
        <f t="shared" si="0"/>
        <v>4011/4012</v>
      </c>
      <c r="L75" s="245" t="str">
        <f>VLOOKUP(A75,'Trips&amp;Operators'!$C$1:$G$99911,5,FALSE)</f>
        <v>DAVIS MICHAEL</v>
      </c>
      <c r="M75" s="224">
        <f t="shared" si="1"/>
        <v>2.7997685188893229E-2</v>
      </c>
      <c r="N75" s="225">
        <f t="shared" si="31"/>
        <v>40.316666672006249</v>
      </c>
      <c r="O75" s="225"/>
      <c r="P75" s="225"/>
      <c r="Q75" s="228"/>
      <c r="R75" s="242"/>
      <c r="S75" s="249">
        <f t="shared" si="30"/>
        <v>1</v>
      </c>
      <c r="T75" s="242" t="str">
        <f t="shared" si="4"/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-10T11:09:01-0700',mode:absolute,to:'2017-12-10T13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247" t="str">
        <f>IF(AA75&lt;VLOOKUP(AG75,Variables!$AC$3:$AD$8,2,FALSE),"Y","N")</f>
        <v>N</v>
      </c>
      <c r="X75" s="247">
        <f t="shared" si="29"/>
        <v>1</v>
      </c>
      <c r="Y75" s="247">
        <f t="shared" si="25"/>
        <v>23.296700000000001</v>
      </c>
      <c r="Z75" s="247">
        <f t="shared" si="26"/>
        <v>2.1399999999999999E-2</v>
      </c>
      <c r="AA75" s="247">
        <f t="shared" si="9"/>
        <v>23.275300000000001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162</v>
      </c>
      <c r="AE75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75" s="234" t="str">
        <f t="shared" si="12"/>
        <v>"C:\Program Files (x86)\AstroGrep\AstroGrep.exe" /e /r /s /spath="%USERPROFILE%\AppData\Local\Temp\OnboardLogs" /stypes="app*4011*20171210*"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162-10 --locoid 4011 --swversion DE.1.0.9.0 --startMP 204:232967 --initTime 2017-12-10T12:09:01 --startdatetime 2017-12-10T12:12:40 --delay 88 --endMP 204:214 --enddatetime 2017-12-10T12:52:59 --enforcementcount 0 &gt;&gt;%USERPROFILE%\Documents\GitHub\eaglep3-reporting\EC\2017-12-10-refined-times.txt</v>
      </c>
      <c r="AI7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{"issue":{"subject":"","project_id":79,"tracker_id":40,"status_id":1,"priority_id":2,"assigned_to_id":338,"start_date":"2017-12-10","description":"","custom_fields":[{"id":1,"name":"Subdivision","value":"EC"},{"id":4,"name":"Milepost","value":"0.0214"},{"id":17,"name":"Train ID","value":"162-10"},{"id":16,"name":"Locomotive ID","value":"4011"},{"id":130,"name":"Impact","value":""},{"id":150,"name":"Time of Event (Mountain Time)","value":"12:52:59"},{"id":151,"name":"Denver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4011 --day 2017-12-10</v>
      </c>
      <c r="AN7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-10T11:09:01-0700',mode:absolute,to:'2017-12-10T13:52:59-0700'))&amp;_a=(columns:!('Message%20ID',Summary),filters:!(),index:'emp_*',interval:auto,query:(query_string:(analyze_wildcard:!t,query:'%22rtdc.l.rtdc.4011%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828</v>
      </c>
      <c r="B76" s="225">
        <v>4030</v>
      </c>
      <c r="C76" s="227" t="s">
        <v>192</v>
      </c>
      <c r="D76" s="227" t="s">
        <v>642</v>
      </c>
      <c r="E76" s="226">
        <v>43079.473738425928</v>
      </c>
      <c r="F76" s="226">
        <v>43079.47934027778</v>
      </c>
      <c r="G76" s="225">
        <v>156</v>
      </c>
      <c r="H76" s="227" t="s">
        <v>547</v>
      </c>
      <c r="I76" s="226">
        <v>43079.503784722219</v>
      </c>
      <c r="J76" s="225">
        <v>0</v>
      </c>
      <c r="K76" s="237" t="str">
        <f t="shared" si="0"/>
        <v>4029/4030</v>
      </c>
      <c r="L76" s="245" t="str">
        <f>VLOOKUP(A76,'Trips&amp;Operators'!$C$1:$G$99911,5,FALSE)</f>
        <v>SAFIEF AEIMEN</v>
      </c>
      <c r="M76" s="224">
        <f t="shared" si="1"/>
        <v>2.4444444439723156E-2</v>
      </c>
      <c r="N76" s="225">
        <f t="shared" si="31"/>
        <v>35.199999993201345</v>
      </c>
      <c r="O76" s="225"/>
      <c r="P76" s="225"/>
      <c r="Q76" s="228"/>
      <c r="R76" s="242"/>
      <c r="S76" s="249">
        <f t="shared" si="30"/>
        <v>1</v>
      </c>
      <c r="T76" s="242" t="str">
        <f t="shared" si="4"/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-10T10:22:11-0700',mode:absolute,to:'2017-12-10T13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247" t="str">
        <f>IF(AA76&lt;VLOOKUP(AG76,Variables!$AC$3:$AD$8,2,FALSE),"Y","N")</f>
        <v>N</v>
      </c>
      <c r="X76" s="247">
        <f t="shared" si="29"/>
        <v>1</v>
      </c>
      <c r="Y76" s="247">
        <f t="shared" si="25"/>
        <v>4.3299999999999998E-2</v>
      </c>
      <c r="Z76" s="247">
        <f t="shared" si="26"/>
        <v>23.327000000000002</v>
      </c>
      <c r="AA76" s="247">
        <f t="shared" si="9"/>
        <v>23.283700000000003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163</v>
      </c>
      <c r="AE76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76" s="234" t="str">
        <f t="shared" si="12"/>
        <v>"C:\Program Files (x86)\AstroGrep\AstroGrep.exe" /e /r /s /spath="%USERPROFILE%\AppData\Local\Temp\OnboardLogs" /stypes="app*4030*20171210*" /stext=" 19:.+((SYSTEM_STATE.+slice.+state.+changed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163-10 --locoid 4030 --swversion DE.1.0.9.0 --startMP 204:433 --initTime 2017-12-10T11:22:11 --startdatetime 2017-12-10T11:30:15 --delay 156 --endMP 204:233270 --enddatetime 2017-12-10T12:05:27 --enforcementcount 0 &gt;&gt;%USERPROFILE%\Documents\GitHub\eaglep3-reporting\EC\2017-12-10-refined-times.txt</v>
      </c>
      <c r="AI7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{"issue":{"subject":"","project_id":79,"tracker_id":40,"status_id":1,"priority_id":2,"assigned_to_id":338,"start_date":"2017-12-10","description":"","custom_fields":[{"id":1,"name":"Subdivision","value":"EC"},{"id":4,"name":"Milepost","value":"23.327"},{"id":17,"name":"Train ID","value":"163-10"},{"id":16,"name":"Locomotive ID","value":"4030"},{"id":130,"name":"Impact","value":""},{"id":150,"name":"Time of Event (Mountain Time)","value":"12:05:27"},{"id":151,"name":"Denver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4030 --day 2017-12-10</v>
      </c>
      <c r="AN7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-10T10:22:11-0700',mode:absolute,to:'2017-12-10T13:05:27-0700'))&amp;_a=(columns:!('Message%20ID',Summary),filters:!(),index:'emp_*',interval:auto,query:(query_string:(analyze_wildcard:!t,query:'%22rtdc.l.rtdc.4030%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837</v>
      </c>
      <c r="B77" s="225">
        <v>4029</v>
      </c>
      <c r="C77" s="227" t="s">
        <v>192</v>
      </c>
      <c r="D77" s="227" t="s">
        <v>725</v>
      </c>
      <c r="E77" s="226">
        <v>43079.513182870367</v>
      </c>
      <c r="F77" s="226">
        <v>43079.518923611111</v>
      </c>
      <c r="G77" s="225">
        <v>80</v>
      </c>
      <c r="H77" s="227" t="s">
        <v>698</v>
      </c>
      <c r="I77" s="226">
        <v>43079.544895833336</v>
      </c>
      <c r="J77" s="225">
        <v>0</v>
      </c>
      <c r="K77" s="237" t="str">
        <f t="shared" ref="K77:K140" si="32">IF(ISEVEN(B77),(B77-1)&amp;"/"&amp;B77,B77&amp;"/"&amp;(B77+1))</f>
        <v>4029/4030</v>
      </c>
      <c r="L77" s="245" t="str">
        <f>VLOOKUP(A77,'Trips&amp;Operators'!$C$1:$G$99911,5,FALSE)</f>
        <v>SAFIEF AEIMEN</v>
      </c>
      <c r="M77" s="224">
        <f t="shared" ref="M77:M140" si="33">I77-F77</f>
        <v>2.5972222225391306E-2</v>
      </c>
      <c r="N77" s="225">
        <f t="shared" si="31"/>
        <v>37.400000004563481</v>
      </c>
      <c r="O77" s="225"/>
      <c r="P77" s="225"/>
      <c r="Q77" s="228"/>
      <c r="R77" s="242"/>
      <c r="S77" s="249">
        <f t="shared" si="30"/>
        <v>1</v>
      </c>
      <c r="T77" s="242" t="str">
        <f t="shared" ref="T77:T140" si="34"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-10T11:18:59-0700',mode:absolute,to:'2017-12-10T14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7" s="247" t="str">
        <f>IF(AA77&lt;VLOOKUP(AG77,Variables!$AC$3:$AD$8,2,FALSE),"Y","N")</f>
        <v>N</v>
      </c>
      <c r="X77" s="247">
        <f t="shared" si="29"/>
        <v>1</v>
      </c>
      <c r="Y77" s="247">
        <f t="shared" ref="Y77:Y108" si="36">RIGHT(D77,LEN(D77)-4)/10000</f>
        <v>23.295500000000001</v>
      </c>
      <c r="Z77" s="247">
        <f t="shared" ref="Z77:Z108" si="37">RIGHT(H77,LEN(H77)-4)/10000</f>
        <v>1.7600000000000001E-2</v>
      </c>
      <c r="AA77" s="247">
        <f t="shared" ref="AA77:AA140" si="38">ABS(Z77-Y77)</f>
        <v>23.277899999999999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9">VALUE(LEFT(A77,LEN(A77)-3))</f>
        <v>164</v>
      </c>
      <c r="AE77" s="23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77" s="23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/stypes="app*4029*20171210*" /stext=" 20:.+((SYSTEM_STATE.+slice.+state.+changed )|(ment ac)|(multiple cpu faults)|(system.+state.+changed )|(\[timeout)|(PRM\|1\|D)|(kpr)|(kdp)|(train st.+moving)|(\|lc)|(penalty))"</v>
      </c>
      <c r="AG77" s="244" t="str">
        <f t="shared" ref="AG77:AG140" si="42">DetSubdiv(A77)</f>
        <v>EC</v>
      </c>
      <c r="AH77" s="236" t="str">
        <f t="shared" ref="AH77:AH142" si="4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164-10 --locoid 4029 --swversion DE.1.0.9.0 --startMP 204:232955 --initTime 2017-12-10T12:18:59 --startdatetime 2017-12-10T12:27:15 --delay 80 --endMP 204:176 --enddatetime 2017-12-10T13:04:39 --enforcementcount 0 &gt;&gt;%USERPROFILE%\Documents\GitHub\eaglep3-reporting\EC\2017-12-10-refined-times.txt</v>
      </c>
      <c r="AI77" s="238" t="str">
        <f t="shared" ref="AI77:AI142" si="4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{"issue":{"subject":"","project_id":79,"tracker_id":40,"status_id":1,"priority_id":2,"assigned_to_id":338,"start_date":"2017-12-10","description":"","custom_fields":[{"id":1,"name":"Subdivision","value":"EC"},{"id":4,"name":"Milepost","value":"0.0176"},{"id":17,"name":"Train ID","value":"164-10"},{"id":16,"name":"Locomotive ID","value":"4029"},{"id":130,"name":"Impact","value":""},{"id":150,"name":"Time of Event (Mountain Time)","value":"13:04:39"},{"id":151,"name":"Denver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ref="AM77:AM142" si="45">"start /low /b "&amp;dls3logs&amp;" --loco "&amp;B77&amp;" --day "&amp;TEXT(F77,"YYYY-MM-DD")</f>
        <v>start /low /b %USERPROFILE%\Documents\GitHub\eaglep3\Utilities\DownloadLogsFromS3.py --loco 4029 --day 2017-12-10</v>
      </c>
      <c r="AN77" s="241" t="str">
        <f t="shared" ref="AN77:AN142" si="46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ref="AO77:AO142" si="4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-10T11:18:59-0700',mode:absolute,to:'2017-12-10T14:04:39-0700'))&amp;_a=(columns:!('Message%20ID',Summary),filters:!(),index:'emp_*',interval:auto,query:(query_string:(analyze_wildcard:!t,query:'%22rtdc.l.rtdc.4029%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830</v>
      </c>
      <c r="B78" s="225">
        <v>4032</v>
      </c>
      <c r="C78" s="227" t="s">
        <v>192</v>
      </c>
      <c r="D78" s="227" t="s">
        <v>691</v>
      </c>
      <c r="E78" s="226">
        <v>43079.483217592591</v>
      </c>
      <c r="F78" s="226">
        <v>43079.489895833336</v>
      </c>
      <c r="G78" s="225">
        <v>99</v>
      </c>
      <c r="H78" s="227" t="s">
        <v>583</v>
      </c>
      <c r="I78" s="226">
        <v>43079.513715277775</v>
      </c>
      <c r="J78" s="225">
        <v>0</v>
      </c>
      <c r="K78" s="237" t="str">
        <f t="shared" si="32"/>
        <v>4031/4032</v>
      </c>
      <c r="L78" s="245" t="str">
        <f>VLOOKUP(A78,'Trips&amp;Operators'!$C$1:$G$99911,5,FALSE)</f>
        <v>GUZMAN DANNY</v>
      </c>
      <c r="M78" s="224">
        <f t="shared" si="33"/>
        <v>2.381944443914108E-2</v>
      </c>
      <c r="N78" s="225">
        <f t="shared" si="31"/>
        <v>34.299999992363155</v>
      </c>
      <c r="O78" s="225"/>
      <c r="P78" s="225"/>
      <c r="Q78" s="228"/>
      <c r="R78" s="242"/>
      <c r="S78" s="249">
        <f t="shared" si="30"/>
        <v>1</v>
      </c>
      <c r="T78" s="242" t="str">
        <f t="shared" si="34"/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5"/>
        <v>https://d0f6bd738d7f1b3e5a7ca70fe4ff75f0.us-east-1.aws.found.io/app/kibana#/discover/Steve-Slow-Train-Analysis-(2080s-and-2083s)?_g=(refreshInterval:(display:Off,pause:!f,section:0,value:0),time:(from:'2017-12-10T10:35:50-0700',mode:absolute,to:'2017-12-10T13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247" t="str">
        <f>IF(AA78&lt;VLOOKUP(AG78,Variables!$AC$3:$AD$8,2,FALSE),"Y","N")</f>
        <v>N</v>
      </c>
      <c r="X78" s="247">
        <f t="shared" si="29"/>
        <v>1</v>
      </c>
      <c r="Y78" s="247">
        <f t="shared" si="36"/>
        <v>4.5699999999999998E-2</v>
      </c>
      <c r="Z78" s="247">
        <f t="shared" si="37"/>
        <v>23.323599999999999</v>
      </c>
      <c r="AA78" s="247">
        <f t="shared" si="38"/>
        <v>23.277899999999999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9"/>
        <v>165</v>
      </c>
      <c r="AE78" s="235" t="str">
        <f t="shared" si="40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78" s="234" t="str">
        <f t="shared" si="41"/>
        <v>"C:\Program Files (x86)\AstroGrep\AstroGrep.exe" /e /r /s /spath="%USERPROFILE%\AppData\Local\Temp\OnboardLogs" /stypes="app*4032*20171210*" /stext=" 19:.+((SYSTEM_STATE.+slice.+state.+changed )|(ment ac)|(multiple cpu faults)|(system.+state.+changed )|(\[timeout)|(PRM\|1\|D)|(kpr)|(kdp)|(train st.+moving)|(\|lc)|(penalty))"</v>
      </c>
      <c r="AG78" s="244" t="str">
        <f t="shared" si="42"/>
        <v>EC</v>
      </c>
      <c r="AH78" s="236" t="str">
        <f t="shared" si="43"/>
        <v>"%USERPROFILE%\Documents\GitHub\eaglep3\Utilities\RefineRTDCRunTimes.py" --tripid 165-10 --locoid 4032 --swversion DE.1.0.9.0 --startMP 204:457 --initTime 2017-12-10T11:35:50 --startdatetime 2017-12-10T11:45:27 --delay 99 --endMP 204:233236 --enddatetime 2017-12-10T12:19:45 --enforcementcount 0 &gt;&gt;%USERPROFILE%\Documents\GitHub\eaglep3-reporting\EC\2017-12-10-refined-times.txt</v>
      </c>
      <c r="AI7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{"issue":{"subject":"","project_id":79,"tracker_id":40,"status_id":1,"priority_id":2,"assigned_to_id":338,"start_date":"2017-12-10","description":"","custom_fields":[{"id":1,"name":"Subdivision","value":"EC"},{"id":4,"name":"Milepost","value":"23.3236"},{"id":17,"name":"Train ID","value":"165-10"},{"id":16,"name":"Locomotive ID","value":"4032"},{"id":130,"name":"Impact","value":""},{"id":150,"name":"Time of Event (Mountain Time)","value":"12:19:45"},{"id":151,"name":"Denver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45"/>
        <v>start /low /b %USERPROFILE%\Documents\GitHub\eaglep3\Utilities\DownloadLogsFromS3.py --loco 4032 --day 2017-12-10</v>
      </c>
      <c r="AN78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47"/>
        <v>https://d0f6bd738d7f1b3e5a7ca70fe4ff75f0.us-east-1.aws.found.io/app/kibana#/discover/Steve-Slow-Train-Analysis-(2080s-and-2083s)?_g=(refreshInterval:(display:Off,pause:!f,section:0,value:0),time:(from:'2017-12-10T10:35:50-0700',mode:absolute,to:'2017-12-10T13:19:45-0700'))&amp;_a=(columns:!('Message%20ID',Summary),filters:!(),index:'emp_*',interval:auto,query:(query_string:(analyze_wildcard:!t,query:'%22rtdc.l.rtdc.4032%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840</v>
      </c>
      <c r="B79" s="225">
        <v>4031</v>
      </c>
      <c r="C79" s="227" t="s">
        <v>192</v>
      </c>
      <c r="D79" s="227" t="s">
        <v>496</v>
      </c>
      <c r="E79" s="226">
        <v>43079.520011574074</v>
      </c>
      <c r="F79" s="226">
        <v>43079.529340277775</v>
      </c>
      <c r="G79" s="225">
        <v>90</v>
      </c>
      <c r="H79" s="227" t="s">
        <v>652</v>
      </c>
      <c r="I79" s="226">
        <v>43079.555335648147</v>
      </c>
      <c r="J79" s="225">
        <v>0</v>
      </c>
      <c r="K79" s="237" t="str">
        <f t="shared" si="32"/>
        <v>4031/4032</v>
      </c>
      <c r="L79" s="245" t="str">
        <f>VLOOKUP(A79,'Trips&amp;Operators'!$C$1:$G$99911,5,FALSE)</f>
        <v>GUZMAN DANNY</v>
      </c>
      <c r="M79" s="224">
        <f t="shared" si="33"/>
        <v>2.5995370371674653E-2</v>
      </c>
      <c r="N79" s="225">
        <f t="shared" si="31"/>
        <v>37.433333335211501</v>
      </c>
      <c r="O79" s="225"/>
      <c r="P79" s="225"/>
      <c r="Q79" s="228"/>
      <c r="R79" s="242"/>
      <c r="S79" s="249">
        <f t="shared" si="30"/>
        <v>1</v>
      </c>
      <c r="T79" s="242" t="str">
        <f t="shared" si="34"/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5"/>
        <v>https://d0f6bd738d7f1b3e5a7ca70fe4ff75f0.us-east-1.aws.found.io/app/kibana#/discover/Steve-Slow-Train-Analysis-(2080s-and-2083s)?_g=(refreshInterval:(display:Off,pause:!f,section:0,value:0),time:(from:'2017-12-10T11:28:49-0700',mode:absolute,to:'2017-12-10T14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247" t="str">
        <f>IF(AA79&lt;VLOOKUP(AG79,Variables!$AC$3:$AD$8,2,FALSE),"Y","N")</f>
        <v>N</v>
      </c>
      <c r="X79" s="247">
        <f t="shared" si="29"/>
        <v>1</v>
      </c>
      <c r="Y79" s="247">
        <f t="shared" si="36"/>
        <v>23.2942</v>
      </c>
      <c r="Z79" s="247">
        <f t="shared" si="37"/>
        <v>2.5100000000000001E-2</v>
      </c>
      <c r="AA79" s="247">
        <f t="shared" si="38"/>
        <v>23.269100000000002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9"/>
        <v>166</v>
      </c>
      <c r="AE79" s="235" t="str">
        <f t="shared" si="40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79" s="234" t="str">
        <f t="shared" si="41"/>
        <v>"C:\Program Files (x86)\AstroGrep\AstroGrep.exe" /e /r /s /spath="%USERPROFILE%\AppData\Local\Temp\OnboardLogs" /stypes="app*4031*20171210*" /stext=" 20:.+((SYSTEM_STATE.+slice.+state.+changed )|(ment ac)|(multiple cpu faults)|(system.+state.+changed )|(\[timeout)|(PRM\|1\|D)|(kpr)|(kdp)|(train st.+moving)|(\|lc)|(penalty))"</v>
      </c>
      <c r="AG79" s="244" t="str">
        <f t="shared" si="42"/>
        <v>EC</v>
      </c>
      <c r="AH79" s="236" t="str">
        <f t="shared" si="43"/>
        <v>"%USERPROFILE%\Documents\GitHub\eaglep3\Utilities\RefineRTDCRunTimes.py" --tripid 166-10 --locoid 4031 --swversion DE.1.0.9.0 --startMP 204:232942 --initTime 2017-12-10T12:28:49 --startdatetime 2017-12-10T12:42:15 --delay 90 --endMP 204:251 --enddatetime 2017-12-10T13:19:41 --enforcementcount 0 &gt;&gt;%USERPROFILE%\Documents\GitHub\eaglep3-reporting\EC\2017-12-10-refined-times.txt</v>
      </c>
      <c r="AI7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{"issue":{"subject":"","project_id":79,"tracker_id":40,"status_id":1,"priority_id":2,"assigned_to_id":338,"start_date":"2017-12-10","description":"","custom_fields":[{"id":1,"name":"Subdivision","value":"EC"},{"id":4,"name":"Milepost","value":"0.0251"},{"id":17,"name":"Train ID","value":"166-10"},{"id":16,"name":"Locomotive ID","value":"4031"},{"id":130,"name":"Impact","value":""},{"id":150,"name":"Time of Event (Mountain Time)","value":"13:19:41"},{"id":151,"name":"Denver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5"/>
        <v>start /low /b %USERPROFILE%\Documents\GitHub\eaglep3\Utilities\DownloadLogsFromS3.py --loco 4031 --day 2017-12-10</v>
      </c>
      <c r="AN79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7"/>
        <v>https://d0f6bd738d7f1b3e5a7ca70fe4ff75f0.us-east-1.aws.found.io/app/kibana#/discover/Steve-Slow-Train-Analysis-(2080s-and-2083s)?_g=(refreshInterval:(display:Off,pause:!f,section:0,value:0),time:(from:'2017-12-10T11:28:49-0700',mode:absolute,to:'2017-12-10T14:19:41-0700'))&amp;_a=(columns:!('Message%20ID',Summary),filters:!(),index:'emp_*',interval:auto,query:(query_string:(analyze_wildcard:!t,query:'%22rtdc.l.rtdc.4031%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833</v>
      </c>
      <c r="B80" s="225">
        <v>4064</v>
      </c>
      <c r="C80" s="227" t="s">
        <v>192</v>
      </c>
      <c r="D80" s="227" t="s">
        <v>531</v>
      </c>
      <c r="E80" s="226">
        <v>43079.497314814813</v>
      </c>
      <c r="F80" s="226">
        <v>43079.500162037039</v>
      </c>
      <c r="G80" s="225">
        <v>87</v>
      </c>
      <c r="H80" s="227" t="s">
        <v>589</v>
      </c>
      <c r="I80" s="226">
        <v>43079.525925925926</v>
      </c>
      <c r="J80" s="225">
        <v>0</v>
      </c>
      <c r="K80" s="237" t="str">
        <f t="shared" si="32"/>
        <v>4063/4064</v>
      </c>
      <c r="L80" s="245" t="str">
        <f>VLOOKUP(A80,'Trips&amp;Operators'!$C$1:$G$99911,5,FALSE)</f>
        <v>BADERTSCHER DIANE</v>
      </c>
      <c r="M80" s="224">
        <f t="shared" si="33"/>
        <v>2.5763888887013309E-2</v>
      </c>
      <c r="N80" s="225">
        <f t="shared" si="31"/>
        <v>37.099999997299165</v>
      </c>
      <c r="O80" s="225"/>
      <c r="P80" s="225"/>
      <c r="Q80" s="228"/>
      <c r="R80" s="242"/>
      <c r="S80" s="249">
        <f t="shared" si="30"/>
        <v>1</v>
      </c>
      <c r="T80" s="242" t="str">
        <f t="shared" si="34"/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5"/>
        <v>https://d0f6bd738d7f1b3e5a7ca70fe4ff75f0.us-east-1.aws.found.io/app/kibana#/discover/Steve-Slow-Train-Analysis-(2080s-and-2083s)?_g=(refreshInterval:(display:Off,pause:!f,section:0,value:0),time:(from:'2017-12-10T10:56:08-0700',mode:absolute,to:'2017-12-10T13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0" s="247" t="str">
        <f>IF(AA80&lt;VLOOKUP(AG80,Variables!$AC$3:$AD$8,2,FALSE),"Y","N")</f>
        <v>N</v>
      </c>
      <c r="X80" s="247">
        <f t="shared" si="29"/>
        <v>1</v>
      </c>
      <c r="Y80" s="247">
        <f t="shared" si="36"/>
        <v>5.1299999999999998E-2</v>
      </c>
      <c r="Z80" s="247">
        <f t="shared" si="37"/>
        <v>23.325900000000001</v>
      </c>
      <c r="AA80" s="247">
        <f t="shared" si="38"/>
        <v>23.2746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9"/>
        <v>167</v>
      </c>
      <c r="AE80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80" s="234" t="str">
        <f t="shared" si="41"/>
        <v>"C:\Program Files (x86)\AstroGrep\AstroGrep.exe" /e /r /s /spath="%USERPROFILE%\AppData\Local\Temp\OnboardLogs" /stypes="app*4064*20171210*" /stext=" 19:.+((SYSTEM_STATE.+slice.+state.+changed )|(ment ac)|(multiple cpu faults)|(system.+state.+changed )|(\[timeout)|(PRM\|1\|D)|(kpr)|(kdp)|(train st.+moving)|(\|lc)|(penalty))"</v>
      </c>
      <c r="AG80" s="244" t="str">
        <f t="shared" si="42"/>
        <v>EC</v>
      </c>
      <c r="AH80" s="236" t="str">
        <f t="shared" si="43"/>
        <v>"%USERPROFILE%\Documents\GitHub\eaglep3\Utilities\RefineRTDCRunTimes.py" --tripid 167-10 --locoid 4064 --swversion DE.1.0.9.0 --startMP 204:513 --initTime 2017-12-10T11:56:08 --startdatetime 2017-12-10T12:00:14 --delay 87 --endMP 204:233259 --enddatetime 2017-12-10T12:37:20 --enforcementcount 0 &gt;&gt;%USERPROFILE%\Documents\GitHub\eaglep3-reporting\EC\2017-12-10-refined-times.txt</v>
      </c>
      <c r="AI8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{"issue":{"subject":"","project_id":79,"tracker_id":40,"status_id":1,"priority_id":2,"assigned_to_id":338,"start_date":"2017-12-10","description":"","custom_fields":[{"id":1,"name":"Subdivision","value":"EC"},{"id":4,"name":"Milepost","value":"23.3259"},{"id":17,"name":"Train ID","value":"167-10"},{"id":16,"name":"Locomotive ID","value":"4064"},{"id":130,"name":"Impact","value":""},{"id":150,"name":"Time of Event (Mountain Time)","value":"12:37:20"},{"id":151,"name":"Denver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5"/>
        <v>start /low /b %USERPROFILE%\Documents\GitHub\eaglep3\Utilities\DownloadLogsFromS3.py --loco 4064 --day 2017-12-10</v>
      </c>
      <c r="AN80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7"/>
        <v>https://d0f6bd738d7f1b3e5a7ca70fe4ff75f0.us-east-1.aws.found.io/app/kibana#/discover/Steve-Slow-Train-Analysis-(2080s-and-2083s)?_g=(refreshInterval:(display:Off,pause:!f,section:0,value:0),time:(from:'2017-12-10T10:56:08-0700',mode:absolute,to:'2017-12-10T13:37:20-0700'))&amp;_a=(columns:!('Message%20ID',Summary),filters:!(),index:'emp_*',interval:auto,query:(query_string:(analyze_wildcard:!t,query:'%22rtdc.l.rtdc.4064%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842</v>
      </c>
      <c r="B81" s="225">
        <v>4063</v>
      </c>
      <c r="C81" s="227" t="s">
        <v>192</v>
      </c>
      <c r="D81" s="227" t="s">
        <v>974</v>
      </c>
      <c r="E81" s="226">
        <v>43079.535729166666</v>
      </c>
      <c r="F81" s="226">
        <v>43079.539942129632</v>
      </c>
      <c r="G81" s="225">
        <v>63</v>
      </c>
      <c r="H81" s="227" t="s">
        <v>697</v>
      </c>
      <c r="I81" s="226">
        <v>43079.567280092589</v>
      </c>
      <c r="J81" s="225">
        <v>0</v>
      </c>
      <c r="K81" s="237" t="str">
        <f t="shared" si="32"/>
        <v>4063/4064</v>
      </c>
      <c r="L81" s="245" t="str">
        <f>VLOOKUP(A81,'Trips&amp;Operators'!$C$1:$G$99911,5,FALSE)</f>
        <v>BADERTSCHER DIANE</v>
      </c>
      <c r="M81" s="224">
        <f t="shared" si="33"/>
        <v>2.7337962957972195E-2</v>
      </c>
      <c r="N81" s="225">
        <f t="shared" si="31"/>
        <v>39.366666659479961</v>
      </c>
      <c r="O81" s="225"/>
      <c r="P81" s="225"/>
      <c r="Q81" s="228"/>
      <c r="R81" s="242"/>
      <c r="S81" s="249">
        <f t="shared" si="30"/>
        <v>1</v>
      </c>
      <c r="T81" s="242" t="str">
        <f t="shared" si="34"/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5"/>
        <v>https://d0f6bd738d7f1b3e5a7ca70fe4ff75f0.us-east-1.aws.found.io/app/kibana#/discover/Steve-Slow-Train-Analysis-(2080s-and-2083s)?_g=(refreshInterval:(display:Off,pause:!f,section:0,value:0),time:(from:'2017-12-10T11:51:27-0700',mode:absolute,to:'2017-12-10T14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1" s="247" t="str">
        <f>IF(AA81&lt;VLOOKUP(AG81,Variables!$AC$3:$AD$8,2,FALSE),"Y","N")</f>
        <v>N</v>
      </c>
      <c r="X81" s="247">
        <f t="shared" si="29"/>
        <v>1</v>
      </c>
      <c r="Y81" s="247">
        <f t="shared" si="36"/>
        <v>23.294699999999999</v>
      </c>
      <c r="Z81" s="247">
        <f t="shared" si="37"/>
        <v>2.2100000000000002E-2</v>
      </c>
      <c r="AA81" s="247">
        <f t="shared" si="38"/>
        <v>23.272600000000001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9"/>
        <v>168</v>
      </c>
      <c r="AE81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81" s="234" t="str">
        <f t="shared" si="41"/>
        <v>"C:\Program Files (x86)\AstroGrep\AstroGrep.exe" /e /r /s /spath="%USERPROFILE%\AppData\Local\Temp\OnboardLogs" /stypes="app*4063*20171210*" /stext=" 20:.+((SYSTEM_STATE.+slice.+state.+changed )|(ment ac)|(multiple cpu faults)|(system.+state.+changed )|(\[timeout)|(PRM\|1\|D)|(kpr)|(kdp)|(train st.+moving)|(\|lc)|(penalty))"</v>
      </c>
      <c r="AG81" s="244" t="str">
        <f t="shared" si="42"/>
        <v>EC</v>
      </c>
      <c r="AH81" s="236" t="str">
        <f t="shared" si="43"/>
        <v>"%USERPROFILE%\Documents\GitHub\eaglep3\Utilities\RefineRTDCRunTimes.py" --tripid 168-10 --locoid 4063 --swversion DE.1.0.9.0 --startMP 204:232947 --initTime 2017-12-10T12:51:27 --startdatetime 2017-12-10T12:57:31 --delay 63 --endMP 204:221 --enddatetime 2017-12-10T13:36:53 --enforcementcount 0 &gt;&gt;%USERPROFILE%\Documents\GitHub\eaglep3-reporting\EC\2017-12-10-refined-times.txt</v>
      </c>
      <c r="AI8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{"issue":{"subject":"","project_id":79,"tracker_id":40,"status_id":1,"priority_id":2,"assigned_to_id":338,"start_date":"2017-12-10","description":"","custom_fields":[{"id":1,"name":"Subdivision","value":"EC"},{"id":4,"name":"Milepost","value":"0.0221"},{"id":17,"name":"Train ID","value":"168-10"},{"id":16,"name":"Locomotive ID","value":"4063"},{"id":130,"name":"Impact","value":""},{"id":150,"name":"Time of Event (Mountain Time)","value":"13:36:53"},{"id":151,"name":"Denver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5"/>
        <v>start /low /b %USERPROFILE%\Documents\GitHub\eaglep3\Utilities\DownloadLogsFromS3.py --loco 4063 --day 2017-12-10</v>
      </c>
      <c r="AN81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7"/>
        <v>https://d0f6bd738d7f1b3e5a7ca70fe4ff75f0.us-east-1.aws.found.io/app/kibana#/discover/Steve-Slow-Train-Analysis-(2080s-and-2083s)?_g=(refreshInterval:(display:Off,pause:!f,section:0,value:0),time:(from:'2017-12-10T11:51:27-0700',mode:absolute,to:'2017-12-10T14:36:53-0700'))&amp;_a=(columns:!('Message%20ID',Summary),filters:!(),index:'emp_*',interval:auto,query:(query_string:(analyze_wildcard:!t,query:'%22rtdc.l.rtdc.4063%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835</v>
      </c>
      <c r="B82" s="225">
        <v>4034</v>
      </c>
      <c r="C82" s="227" t="s">
        <v>192</v>
      </c>
      <c r="D82" s="227" t="s">
        <v>975</v>
      </c>
      <c r="E82" s="226">
        <v>43079.505995370368</v>
      </c>
      <c r="F82" s="226">
        <v>43079.510821759257</v>
      </c>
      <c r="G82" s="225">
        <v>88</v>
      </c>
      <c r="H82" s="227" t="s">
        <v>615</v>
      </c>
      <c r="I82" s="226">
        <v>43079.534178240741</v>
      </c>
      <c r="J82" s="225">
        <v>0</v>
      </c>
      <c r="K82" s="237" t="str">
        <f t="shared" si="32"/>
        <v>4033/4034</v>
      </c>
      <c r="L82" s="245" t="str">
        <f>VLOOKUP(A82,'Trips&amp;Operators'!$C$1:$G$99911,5,FALSE)</f>
        <v>MCREYNOLDS KYLE</v>
      </c>
      <c r="M82" s="224">
        <f t="shared" si="33"/>
        <v>2.3356481484370306E-2</v>
      </c>
      <c r="N82" s="225">
        <f t="shared" si="31"/>
        <v>33.633333337493241</v>
      </c>
      <c r="O82" s="225"/>
      <c r="P82" s="225"/>
      <c r="Q82" s="228"/>
      <c r="R82" s="242"/>
      <c r="S82" s="249">
        <f t="shared" si="30"/>
        <v>1</v>
      </c>
      <c r="T82" s="242" t="str">
        <f t="shared" si="34"/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5"/>
        <v>https://d0f6bd738d7f1b3e5a7ca70fe4ff75f0.us-east-1.aws.found.io/app/kibana#/discover/Steve-Slow-Train-Analysis-(2080s-and-2083s)?_g=(refreshInterval:(display:Off,pause:!f,section:0,value:0),time:(from:'2017-12-10T11:08:38-0700',mode:absolute,to:'2017-12-10T13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2" s="247" t="str">
        <f>IF(AA82&lt;VLOOKUP(AG82,Variables!$AC$3:$AD$8,2,FALSE),"Y","N")</f>
        <v>N</v>
      </c>
      <c r="X82" s="247">
        <f t="shared" si="29"/>
        <v>1</v>
      </c>
      <c r="Y82" s="247">
        <f t="shared" si="36"/>
        <v>5.4899999999999997E-2</v>
      </c>
      <c r="Z82" s="247">
        <f t="shared" si="37"/>
        <v>23.323399999999999</v>
      </c>
      <c r="AA82" s="247">
        <f t="shared" si="38"/>
        <v>23.2685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9"/>
        <v>169</v>
      </c>
      <c r="AE82" s="235" t="str">
        <f t="shared" si="40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82" s="234" t="str">
        <f t="shared" si="41"/>
        <v>"C:\Program Files (x86)\AstroGrep\AstroGrep.exe" /e /r /s /spath="%USERPROFILE%\AppData\Local\Temp\OnboardLogs" /stypes="app*4034*20171210*" /stext=" 19:.+((SYSTEM_STATE.+slice.+state.+changed )|(ment ac)|(multiple cpu faults)|(system.+state.+changed )|(\[timeout)|(PRM\|1\|D)|(kpr)|(kdp)|(train st.+moving)|(\|lc)|(penalty))"</v>
      </c>
      <c r="AG82" s="244" t="str">
        <f t="shared" si="42"/>
        <v>EC</v>
      </c>
      <c r="AH82" s="236" t="str">
        <f t="shared" si="43"/>
        <v>"%USERPROFILE%\Documents\GitHub\eaglep3\Utilities\RefineRTDCRunTimes.py" --tripid 169-10 --locoid 4034 --swversion DE.1.0.9.0 --startMP 204:549 --initTime 2017-12-10T12:08:38 --startdatetime 2017-12-10T12:15:35 --delay 88 --endMP 204:233234 --enddatetime 2017-12-10T12:49:13 --enforcementcount 0 &gt;&gt;%USERPROFILE%\Documents\GitHub\eaglep3-reporting\EC\2017-12-10-refined-times.txt</v>
      </c>
      <c r="AI8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{"issue":{"subject":"","project_id":79,"tracker_id":40,"status_id":1,"priority_id":2,"assigned_to_id":338,"start_date":"2017-12-10","description":"","custom_fields":[{"id":1,"name":"Subdivision","value":"EC"},{"id":4,"name":"Milepost","value":"23.3234"},{"id":17,"name":"Train ID","value":"169-10"},{"id":16,"name":"Locomotive ID","value":"4034"},{"id":130,"name":"Impact","value":""},{"id":150,"name":"Time of Event (Mountain Time)","value":"12:49:13"},{"id":151,"name":"Denver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5"/>
        <v>start /low /b %USERPROFILE%\Documents\GitHub\eaglep3\Utilities\DownloadLogsFromS3.py --loco 4034 --day 2017-12-10</v>
      </c>
      <c r="AN82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7"/>
        <v>https://d0f6bd738d7f1b3e5a7ca70fe4ff75f0.us-east-1.aws.found.io/app/kibana#/discover/Steve-Slow-Train-Analysis-(2080s-and-2083s)?_g=(refreshInterval:(display:Off,pause:!f,section:0,value:0),time:(from:'2017-12-10T11:08:38-0700',mode:absolute,to:'2017-12-10T13:49:13-0700'))&amp;_a=(columns:!('Message%20ID',Summary),filters:!(),index:'emp_*',interval:auto,query:(query_string:(analyze_wildcard:!t,query:'%22rtdc.l.rtdc.4034%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844</v>
      </c>
      <c r="B83" s="225">
        <v>4033</v>
      </c>
      <c r="C83" s="227" t="s">
        <v>192</v>
      </c>
      <c r="D83" s="227" t="s">
        <v>976</v>
      </c>
      <c r="E83" s="226">
        <v>43079.540578703702</v>
      </c>
      <c r="F83" s="226">
        <v>43079.550208333334</v>
      </c>
      <c r="G83" s="225">
        <v>99</v>
      </c>
      <c r="H83" s="227" t="s">
        <v>443</v>
      </c>
      <c r="I83" s="226">
        <v>43079.575960648152</v>
      </c>
      <c r="J83" s="225">
        <v>0</v>
      </c>
      <c r="K83" s="237" t="str">
        <f t="shared" si="32"/>
        <v>4033/4034</v>
      </c>
      <c r="L83" s="245" t="str">
        <f>VLOOKUP(A83,'Trips&amp;Operators'!$C$1:$G$99911,5,FALSE)</f>
        <v>MCREYNOLDS KYLE</v>
      </c>
      <c r="M83" s="224">
        <f t="shared" si="33"/>
        <v>2.5752314817509614E-2</v>
      </c>
      <c r="N83" s="225">
        <f t="shared" si="31"/>
        <v>37.083333337213844</v>
      </c>
      <c r="O83" s="225"/>
      <c r="P83" s="225"/>
      <c r="Q83" s="228"/>
      <c r="R83" s="242"/>
      <c r="S83" s="249">
        <f t="shared" si="30"/>
        <v>1</v>
      </c>
      <c r="T83" s="242" t="str">
        <f t="shared" si="34"/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5"/>
        <v>https://d0f6bd738d7f1b3e5a7ca70fe4ff75f0.us-east-1.aws.found.io/app/kibana#/discover/Steve-Slow-Train-Analysis-(2080s-and-2083s)?_g=(refreshInterval:(display:Off,pause:!f,section:0,value:0),time:(from:'2017-12-10T11:58:26-0700',mode:absolute,to:'2017-12-10T14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3" s="247" t="str">
        <f>IF(AA83&lt;VLOOKUP(AG83,Variables!$AC$3:$AD$8,2,FALSE),"Y","N")</f>
        <v>N</v>
      </c>
      <c r="X83" s="247">
        <f t="shared" ref="X83:X114" si="48">VALUE(LEFT(AD83,4))-VALUE(LEFT(AD82,4))</f>
        <v>1</v>
      </c>
      <c r="Y83" s="247">
        <f t="shared" si="36"/>
        <v>23.292899999999999</v>
      </c>
      <c r="Z83" s="247">
        <f t="shared" si="37"/>
        <v>2.07E-2</v>
      </c>
      <c r="AA83" s="247">
        <f t="shared" si="38"/>
        <v>23.272199999999998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9"/>
        <v>170</v>
      </c>
      <c r="AE83" s="235" t="str">
        <f t="shared" si="40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83" s="234" t="str">
        <f t="shared" si="41"/>
        <v>"C:\Program Files (x86)\AstroGrep\AstroGrep.exe" /e /r /s /spath="%USERPROFILE%\AppData\Local\Temp\OnboardLogs" /stypes="app*4033*20171210*" /stext=" 20:.+((SYSTEM_STATE.+slice.+state.+changed )|(ment ac)|(multiple cpu faults)|(system.+state.+changed )|(\[timeout)|(PRM\|1\|D)|(kpr)|(kdp)|(train st.+moving)|(\|lc)|(penalty))"</v>
      </c>
      <c r="AG83" s="244" t="str">
        <f t="shared" si="42"/>
        <v>EC</v>
      </c>
      <c r="AH83" s="236" t="str">
        <f t="shared" si="43"/>
        <v>"%USERPROFILE%\Documents\GitHub\eaglep3\Utilities\RefineRTDCRunTimes.py" --tripid 170-10 --locoid 4033 --swversion DE.1.0.9.0 --startMP 204:232929 --initTime 2017-12-10T12:58:26 --startdatetime 2017-12-10T13:12:18 --delay 99 --endMP 204:207 --enddatetime 2017-12-10T13:49:23 --enforcementcount 0 &gt;&gt;%USERPROFILE%\Documents\GitHub\eaglep3-reporting\EC\2017-12-10-refined-times.txt</v>
      </c>
      <c r="AI8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{"issue":{"subject":"","project_id":79,"tracker_id":40,"status_id":1,"priority_id":2,"assigned_to_id":338,"start_date":"2017-12-10","description":"","custom_fields":[{"id":1,"name":"Subdivision","value":"EC"},{"id":4,"name":"Milepost","value":"0.0207"},{"id":17,"name":"Train ID","value":"170-10"},{"id":16,"name":"Locomotive ID","value":"4033"},{"id":130,"name":"Impact","value":""},{"id":150,"name":"Time of Event (Mountain Time)","value":"13:49:23"},{"id":151,"name":"Denver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5"/>
        <v>start /low /b %USERPROFILE%\Documents\GitHub\eaglep3\Utilities\DownloadLogsFromS3.py --loco 4033 --day 2017-12-10</v>
      </c>
      <c r="AN83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7"/>
        <v>https://d0f6bd738d7f1b3e5a7ca70fe4ff75f0.us-east-1.aws.found.io/app/kibana#/discover/Steve-Slow-Train-Analysis-(2080s-and-2083s)?_g=(refreshInterval:(display:Off,pause:!f,section:0,value:0),time:(from:'2017-12-10T11:58:26-0700',mode:absolute,to:'2017-12-10T14:49:23-0700'))&amp;_a=(columns:!('Message%20ID',Summary),filters:!(),index:'emp_*',interval:auto,query:(query_string:(analyze_wildcard:!t,query:'%22rtdc.l.rtdc.4033%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838</v>
      </c>
      <c r="B84" s="225">
        <v>4024</v>
      </c>
      <c r="C84" s="227" t="s">
        <v>192</v>
      </c>
      <c r="D84" s="227" t="s">
        <v>475</v>
      </c>
      <c r="E84" s="226">
        <v>43079.51667824074</v>
      </c>
      <c r="F84" s="226">
        <v>43079.521087962959</v>
      </c>
      <c r="G84" s="225">
        <v>68</v>
      </c>
      <c r="H84" s="227" t="s">
        <v>648</v>
      </c>
      <c r="I84" s="226">
        <v>43079.546111111114</v>
      </c>
      <c r="J84" s="225">
        <v>0</v>
      </c>
      <c r="K84" s="237" t="str">
        <f t="shared" si="32"/>
        <v>4023/4024</v>
      </c>
      <c r="L84" s="245" t="str">
        <f>VLOOKUP(A84,'Trips&amp;Operators'!$C$1:$G$99911,5,FALSE)</f>
        <v>STEWART MICHAEL</v>
      </c>
      <c r="M84" s="224">
        <f t="shared" si="33"/>
        <v>2.5023148155014496E-2</v>
      </c>
      <c r="N84" s="225">
        <f t="shared" si="31"/>
        <v>36.033333343220875</v>
      </c>
      <c r="O84" s="225"/>
      <c r="P84" s="225"/>
      <c r="Q84" s="228"/>
      <c r="R84" s="242"/>
      <c r="S84" s="249">
        <f t="shared" si="30"/>
        <v>1</v>
      </c>
      <c r="T84" s="242" t="str">
        <f t="shared" si="34"/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5"/>
        <v>https://d0f6bd738d7f1b3e5a7ca70fe4ff75f0.us-east-1.aws.found.io/app/kibana#/discover/Steve-Slow-Train-Analysis-(2080s-and-2083s)?_g=(refreshInterval:(display:Off,pause:!f,section:0,value:0),time:(from:'2017-12-10T11:24:01-0700',mode:absolute,to:'2017-12-10T14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4" s="247" t="str">
        <f>IF(AA84&lt;VLOOKUP(AG84,Variables!$AC$3:$AD$8,2,FALSE),"Y","N")</f>
        <v>N</v>
      </c>
      <c r="X84" s="247">
        <f t="shared" si="48"/>
        <v>1</v>
      </c>
      <c r="Y84" s="247">
        <f t="shared" si="36"/>
        <v>4.9700000000000001E-2</v>
      </c>
      <c r="Z84" s="247">
        <f t="shared" si="37"/>
        <v>23.322299999999998</v>
      </c>
      <c r="AA84" s="247">
        <f t="shared" si="38"/>
        <v>23.272599999999997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9"/>
        <v>171</v>
      </c>
      <c r="AE84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84" s="234" t="str">
        <f t="shared" si="41"/>
        <v>"C:\Program Files (x86)\AstroGrep\AstroGrep.exe" /e /r /s /spath="%USERPROFILE%\AppData\Local\Temp\OnboardLogs" /stypes="app*4024*20171210*" /stext=" 20:.+((SYSTEM_STATE.+slice.+state.+changed )|(ment ac)|(multiple cpu faults)|(system.+state.+changed )|(\[timeout)|(PRM\|1\|D)|(kpr)|(kdp)|(train st.+moving)|(\|lc)|(penalty))"</v>
      </c>
      <c r="AG84" s="244" t="str">
        <f t="shared" si="42"/>
        <v>EC</v>
      </c>
      <c r="AH84" s="236" t="str">
        <f t="shared" si="43"/>
        <v>"%USERPROFILE%\Documents\GitHub\eaglep3\Utilities\RefineRTDCRunTimes.py" --tripid 171-10 --locoid 4024 --swversion DE.1.0.9.0 --startMP 204:497 --initTime 2017-12-10T12:24:01 --startdatetime 2017-12-10T12:30:22 --delay 68 --endMP 204:233223 --enddatetime 2017-12-10T13:06:24 --enforcementcount 0 &gt;&gt;%USERPROFILE%\Documents\GitHub\eaglep3-reporting\EC\2017-12-10-refined-times.txt</v>
      </c>
      <c r="AI8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{"issue":{"subject":"","project_id":79,"tracker_id":40,"status_id":1,"priority_id":2,"assigned_to_id":338,"start_date":"2017-12-10","description":"","custom_fields":[{"id":1,"name":"Subdivision","value":"EC"},{"id":4,"name":"Milepost","value":"23.3223"},{"id":17,"name":"Train ID","value":"171-10"},{"id":16,"name":"Locomotive ID","value":"4024"},{"id":130,"name":"Impact","value":""},{"id":150,"name":"Time of Event (Mountain Time)","value":"13:06:24"},{"id":151,"name":"Denver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5"/>
        <v>start /low /b %USERPROFILE%\Documents\GitHub\eaglep3\Utilities\DownloadLogsFromS3.py --loco 4024 --day 2017-12-10</v>
      </c>
      <c r="AN84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7"/>
        <v>https://d0f6bd738d7f1b3e5a7ca70fe4ff75f0.us-east-1.aws.found.io/app/kibana#/discover/Steve-Slow-Train-Analysis-(2080s-and-2083s)?_g=(refreshInterval:(display:Off,pause:!f,section:0,value:0),time:(from:'2017-12-10T11:24:01-0700',mode:absolute,to:'2017-12-10T14:06:24-0700'))&amp;_a=(columns:!('Message%20ID',Summary),filters:!(),index:'emp_*',interval:auto,query:(query_string:(analyze_wildcard:!t,query:'%22rtdc.l.rtdc.4024%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847</v>
      </c>
      <c r="B85" s="225">
        <v>4023</v>
      </c>
      <c r="C85" s="227" t="s">
        <v>192</v>
      </c>
      <c r="D85" s="227" t="s">
        <v>649</v>
      </c>
      <c r="E85" s="226">
        <v>43079.557835648149</v>
      </c>
      <c r="F85" s="226">
        <v>43079.560682870368</v>
      </c>
      <c r="G85" s="225">
        <v>52</v>
      </c>
      <c r="H85" s="227" t="s">
        <v>608</v>
      </c>
      <c r="I85" s="226">
        <v>43079.587361111109</v>
      </c>
      <c r="J85" s="225">
        <v>0</v>
      </c>
      <c r="K85" s="237" t="str">
        <f t="shared" si="32"/>
        <v>4023/4024</v>
      </c>
      <c r="L85" s="245" t="str">
        <f>VLOOKUP(A85,'Trips&amp;Operators'!$C$1:$G$99911,5,FALSE)</f>
        <v>STEWART MICHAEL</v>
      </c>
      <c r="M85" s="224">
        <f t="shared" si="33"/>
        <v>2.6678240741603076E-2</v>
      </c>
      <c r="N85" s="225">
        <f t="shared" si="31"/>
        <v>38.41666666790843</v>
      </c>
      <c r="O85" s="225"/>
      <c r="P85" s="225"/>
      <c r="Q85" s="228"/>
      <c r="R85" s="242"/>
      <c r="S85" s="249">
        <f t="shared" si="30"/>
        <v>1</v>
      </c>
      <c r="T85" s="242" t="str">
        <f t="shared" si="34"/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5"/>
        <v>https://d0f6bd738d7f1b3e5a7ca70fe4ff75f0.us-east-1.aws.found.io/app/kibana#/discover/Steve-Slow-Train-Analysis-(2080s-and-2083s)?_g=(refreshInterval:(display:Off,pause:!f,section:0,value:0),time:(from:'2017-12-10T12:23:17-0700',mode:absolute,to:'2017-12-10T15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5" s="247" t="str">
        <f>IF(AA85&lt;VLOOKUP(AG85,Variables!$AC$3:$AD$8,2,FALSE),"Y","N")</f>
        <v>N</v>
      </c>
      <c r="X85" s="247">
        <f t="shared" si="48"/>
        <v>1</v>
      </c>
      <c r="Y85" s="247">
        <f t="shared" si="36"/>
        <v>23.290900000000001</v>
      </c>
      <c r="Z85" s="247">
        <f t="shared" si="37"/>
        <v>0.02</v>
      </c>
      <c r="AA85" s="247">
        <f t="shared" si="38"/>
        <v>23.270900000000001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9"/>
        <v>172</v>
      </c>
      <c r="AE85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85" s="234" t="str">
        <f t="shared" si="41"/>
        <v>"C:\Program Files (x86)\AstroGrep\AstroGrep.exe" /e /r /s /spath="%USERPROFILE%\AppData\Local\Temp\OnboardLogs" /stypes="app*4023*20171210*" /stext=" 21:.+((SYSTEM_STATE.+slice.+state.+changed )|(ment ac)|(multiple cpu faults)|(system.+state.+changed )|(\[timeout)|(PRM\|1\|D)|(kpr)|(kdp)|(train st.+moving)|(\|lc)|(penalty))"</v>
      </c>
      <c r="AG85" s="244" t="str">
        <f t="shared" si="42"/>
        <v>EC</v>
      </c>
      <c r="AH85" s="236" t="str">
        <f t="shared" si="43"/>
        <v>"%USERPROFILE%\Documents\GitHub\eaglep3\Utilities\RefineRTDCRunTimes.py" --tripid 172-10 --locoid 4023 --swversion DE.1.0.9.0 --startMP 204:232909 --initTime 2017-12-10T13:23:17 --startdatetime 2017-12-10T13:27:23 --delay 52 --endMP 204:200 --enddatetime 2017-12-10T14:05:48 --enforcementcount 0 &gt;&gt;%USERPROFILE%\Documents\GitHub\eaglep3-reporting\EC\2017-12-10-refined-times.txt</v>
      </c>
      <c r="AI85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{"issue":{"subject":"","project_id":79,"tracker_id":40,"status_id":1,"priority_id":2,"assigned_to_id":338,"start_date":"2017-12-10","description":"","custom_fields":[{"id":1,"name":"Subdivision","value":"EC"},{"id":4,"name":"Milepost","value":"0.02"},{"id":17,"name":"Train ID","value":"172-10"},{"id":16,"name":"Locomotive ID","value":"4023"},{"id":130,"name":"Impact","value":""},{"id":150,"name":"Time of Event (Mountain Time)","value":"14:05:48"},{"id":151,"name":"Denver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5"/>
        <v>start /low /b %USERPROFILE%\Documents\GitHub\eaglep3\Utilities\DownloadLogsFromS3.py --loco 4023 --day 2017-12-10</v>
      </c>
      <c r="AN85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7"/>
        <v>https://d0f6bd738d7f1b3e5a7ca70fe4ff75f0.us-east-1.aws.found.io/app/kibana#/discover/Steve-Slow-Train-Analysis-(2080s-and-2083s)?_g=(refreshInterval:(display:Off,pause:!f,section:0,value:0),time:(from:'2017-12-10T12:23:17-0700',mode:absolute,to:'2017-12-10T15:05:48-0700'))&amp;_a=(columns:!('Message%20ID',Summary),filters:!(),index:'emp_*',interval:auto,query:(query_string:(analyze_wildcard:!t,query:'%22rtdc.l.rtdc.4023%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841</v>
      </c>
      <c r="B86" s="225">
        <v>4018</v>
      </c>
      <c r="C86" s="227" t="s">
        <v>192</v>
      </c>
      <c r="D86" s="227" t="s">
        <v>532</v>
      </c>
      <c r="E86" s="226">
        <v>43079.526597222219</v>
      </c>
      <c r="F86" s="226">
        <v>43079.531724537039</v>
      </c>
      <c r="G86" s="225">
        <v>66</v>
      </c>
      <c r="H86" s="227" t="s">
        <v>534</v>
      </c>
      <c r="I86" s="226">
        <v>43079.556030092594</v>
      </c>
      <c r="J86" s="225">
        <v>0</v>
      </c>
      <c r="K86" s="237" t="str">
        <f t="shared" si="32"/>
        <v>4017/4018</v>
      </c>
      <c r="L86" s="245" t="str">
        <f>VLOOKUP(A86,'Trips&amp;Operators'!$C$1:$G$99911,5,FALSE)</f>
        <v>SMITH MICHAEL</v>
      </c>
      <c r="M86" s="224">
        <f t="shared" si="33"/>
        <v>2.4305555554747116E-2</v>
      </c>
      <c r="N86" s="225">
        <f t="shared" si="31"/>
        <v>34.999999998835847</v>
      </c>
      <c r="O86" s="225"/>
      <c r="P86" s="225"/>
      <c r="Q86" s="228"/>
      <c r="R86" s="242"/>
      <c r="S86" s="249">
        <f t="shared" si="30"/>
        <v>1</v>
      </c>
      <c r="T86" s="242" t="str">
        <f t="shared" si="34"/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5"/>
        <v>https://d0f6bd738d7f1b3e5a7ca70fe4ff75f0.us-east-1.aws.found.io/app/kibana#/discover/Steve-Slow-Train-Analysis-(2080s-and-2083s)?_g=(refreshInterval:(display:Off,pause:!f,section:0,value:0),time:(from:'2017-12-10T11:38:18-0700',mode:absolute,to:'2017-12-10T14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6" s="247" t="str">
        <f>IF(AA86&lt;VLOOKUP(AG86,Variables!$AC$3:$AD$8,2,FALSE),"Y","N")</f>
        <v>N</v>
      </c>
      <c r="X86" s="247">
        <f t="shared" si="48"/>
        <v>1</v>
      </c>
      <c r="Y86" s="247">
        <f t="shared" si="36"/>
        <v>4.8899999999999999E-2</v>
      </c>
      <c r="Z86" s="247">
        <f t="shared" si="37"/>
        <v>23.323</v>
      </c>
      <c r="AA86" s="247">
        <f t="shared" si="38"/>
        <v>23.274100000000001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9"/>
        <v>173</v>
      </c>
      <c r="AE86" s="235" t="str">
        <f t="shared" si="40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86" s="234" t="str">
        <f t="shared" si="41"/>
        <v>"C:\Program Files (x86)\AstroGrep\AstroGrep.exe" /e /r /s /spath="%USERPROFILE%\AppData\Local\Temp\OnboardLogs" /stypes="app*4018*20171210*" /stext=" 20:.+((SYSTEM_STATE.+slice.+state.+changed )|(ment ac)|(multiple cpu faults)|(system.+state.+changed )|(\[timeout)|(PRM\|1\|D)|(kpr)|(kdp)|(train st.+moving)|(\|lc)|(penalty))"</v>
      </c>
      <c r="AG86" s="244" t="str">
        <f t="shared" si="42"/>
        <v>EC</v>
      </c>
      <c r="AH86" s="236" t="str">
        <f t="shared" si="43"/>
        <v>"%USERPROFILE%\Documents\GitHub\eaglep3\Utilities\RefineRTDCRunTimes.py" --tripid 173-10 --locoid 4018 --swversion DE.1.0.9.0 --startMP 204:489 --initTime 2017-12-10T12:38:18 --startdatetime 2017-12-10T12:45:41 --delay 66 --endMP 204:233230 --enddatetime 2017-12-10T13:20:41 --enforcementcount 0 &gt;&gt;%USERPROFILE%\Documents\GitHub\eaglep3-reporting\EC\2017-12-10-refined-times.txt</v>
      </c>
      <c r="AI8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{"issue":{"subject":"","project_id":79,"tracker_id":40,"status_id":1,"priority_id":2,"assigned_to_id":338,"start_date":"2017-12-10","description":"","custom_fields":[{"id":1,"name":"Subdivision","value":"EC"},{"id":4,"name":"Milepost","value":"23.323"},{"id":17,"name":"Train ID","value":"173-10"},{"id":16,"name":"Locomotive ID","value":"4018"},{"id":130,"name":"Impact","value":""},{"id":150,"name":"Time of Event (Mountain Time)","value":"13:20:41"},{"id":151,"name":"Denver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5"/>
        <v>start /low /b %USERPROFILE%\Documents\GitHub\eaglep3\Utilities\DownloadLogsFromS3.py --loco 4018 --day 2017-12-10</v>
      </c>
      <c r="AN86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7"/>
        <v>https://d0f6bd738d7f1b3e5a7ca70fe4ff75f0.us-east-1.aws.found.io/app/kibana#/discover/Steve-Slow-Train-Analysis-(2080s-and-2083s)?_g=(refreshInterval:(display:Off,pause:!f,section:0,value:0),time:(from:'2017-12-10T11:38:18-0700',mode:absolute,to:'2017-12-10T14:20:41-0700'))&amp;_a=(columns:!('Message%20ID',Summary),filters:!(),index:'emp_*',interval:auto,query:(query_string:(analyze_wildcard:!t,query:'%22rtdc.l.rtdc.4018%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849</v>
      </c>
      <c r="B87" s="225">
        <v>4017</v>
      </c>
      <c r="C87" s="227" t="s">
        <v>192</v>
      </c>
      <c r="D87" s="227" t="s">
        <v>651</v>
      </c>
      <c r="E87" s="226">
        <v>43079.561805555553</v>
      </c>
      <c r="F87" s="226">
        <v>43079.571087962962</v>
      </c>
      <c r="G87" s="225">
        <v>67</v>
      </c>
      <c r="H87" s="227" t="s">
        <v>442</v>
      </c>
      <c r="I87" s="226">
        <v>43079.597337962965</v>
      </c>
      <c r="J87" s="225">
        <v>0</v>
      </c>
      <c r="K87" s="237" t="str">
        <f t="shared" si="32"/>
        <v>4017/4018</v>
      </c>
      <c r="L87" s="245" t="str">
        <f>VLOOKUP(A87,'Trips&amp;Operators'!$C$1:$G$99911,5,FALSE)</f>
        <v>SMITH MICHAEL</v>
      </c>
      <c r="M87" s="224">
        <f t="shared" si="33"/>
        <v>2.6250000002619345E-2</v>
      </c>
      <c r="N87" s="225">
        <f t="shared" si="31"/>
        <v>37.800000003771856</v>
      </c>
      <c r="O87" s="225"/>
      <c r="P87" s="225"/>
      <c r="Q87" s="228"/>
      <c r="R87" s="242"/>
      <c r="S87" s="249">
        <f t="shared" si="30"/>
        <v>1</v>
      </c>
      <c r="T87" s="242" t="str">
        <f t="shared" si="34"/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5"/>
        <v>https://d0f6bd738d7f1b3e5a7ca70fe4ff75f0.us-east-1.aws.found.io/app/kibana#/discover/Steve-Slow-Train-Analysis-(2080s-and-2083s)?_g=(refreshInterval:(display:Off,pause:!f,section:0,value:0),time:(from:'2017-12-10T12:29:00-0700',mode:absolute,to:'2017-12-10T15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7" s="247" t="str">
        <f>IF(AA87&lt;VLOOKUP(AG87,Variables!$AC$3:$AD$8,2,FALSE),"Y","N")</f>
        <v>N</v>
      </c>
      <c r="X87" s="247">
        <f t="shared" si="48"/>
        <v>1</v>
      </c>
      <c r="Y87" s="247">
        <f t="shared" si="36"/>
        <v>23.290500000000002</v>
      </c>
      <c r="Z87" s="247">
        <f t="shared" si="37"/>
        <v>2.1399999999999999E-2</v>
      </c>
      <c r="AA87" s="247">
        <f t="shared" si="38"/>
        <v>23.269100000000002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9"/>
        <v>174</v>
      </c>
      <c r="AE87" s="235" t="str">
        <f t="shared" si="40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87" s="234" t="str">
        <f t="shared" si="41"/>
        <v>"C:\Program Files (x86)\AstroGrep\AstroGrep.exe" /e /r /s /spath="%USERPROFILE%\AppData\Local\Temp\OnboardLogs" /stypes="app*4017*20171210*" /stext=" 21:.+((SYSTEM_STATE.+slice.+state.+changed )|(ment ac)|(multiple cpu faults)|(system.+state.+changed )|(\[timeout)|(PRM\|1\|D)|(kpr)|(kdp)|(train st.+moving)|(\|lc)|(penalty))"</v>
      </c>
      <c r="AG87" s="244" t="str">
        <f t="shared" si="42"/>
        <v>EC</v>
      </c>
      <c r="AH87" s="236" t="str">
        <f t="shared" si="43"/>
        <v>"%USERPROFILE%\Documents\GitHub\eaglep3\Utilities\RefineRTDCRunTimes.py" --tripid 174-10 --locoid 4017 --swversion DE.1.0.9.0 --startMP 204:232905 --initTime 2017-12-10T13:29:00 --startdatetime 2017-12-10T13:42:22 --delay 67 --endMP 204:214 --enddatetime 2017-12-10T14:20:10 --enforcementcount 0 &gt;&gt;%USERPROFILE%\Documents\GitHub\eaglep3-reporting\EC\2017-12-10-refined-times.txt</v>
      </c>
      <c r="AI8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{"issue":{"subject":"","project_id":79,"tracker_id":40,"status_id":1,"priority_id":2,"assigned_to_id":338,"start_date":"2017-12-10","description":"","custom_fields":[{"id":1,"name":"Subdivision","value":"EC"},{"id":4,"name":"Milepost","value":"0.0214"},{"id":17,"name":"Train ID","value":"174-10"},{"id":16,"name":"Locomotive ID","value":"4017"},{"id":130,"name":"Impact","value":""},{"id":150,"name":"Time of Event (Mountain Time)","value":"14:20:10"},{"id":151,"name":"Denver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5"/>
        <v>start /low /b %USERPROFILE%\Documents\GitHub\eaglep3\Utilities\DownloadLogsFromS3.py --loco 4017 --day 2017-12-10</v>
      </c>
      <c r="AN87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7"/>
        <v>https://d0f6bd738d7f1b3e5a7ca70fe4ff75f0.us-east-1.aws.found.io/app/kibana#/discover/Steve-Slow-Train-Analysis-(2080s-and-2083s)?_g=(refreshInterval:(display:Off,pause:!f,section:0,value:0),time:(from:'2017-12-10T12:29:00-0700',mode:absolute,to:'2017-12-10T15:20:10-0700'))&amp;_a=(columns:!('Message%20ID',Summary),filters:!(),index:'emp_*',interval:auto,query:(query_string:(analyze_wildcard:!t,query:'%22rtdc.l.rtdc.4017%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843</v>
      </c>
      <c r="B88" s="225">
        <v>4012</v>
      </c>
      <c r="C88" s="227" t="s">
        <v>192</v>
      </c>
      <c r="D88" s="227" t="s">
        <v>490</v>
      </c>
      <c r="E88" s="226">
        <v>43079.53979166667</v>
      </c>
      <c r="F88" s="226">
        <v>43079.542013888888</v>
      </c>
      <c r="G88" s="225">
        <v>64</v>
      </c>
      <c r="H88" s="227" t="s">
        <v>702</v>
      </c>
      <c r="I88" s="226">
        <v>43079.567939814813</v>
      </c>
      <c r="J88" s="225">
        <v>0</v>
      </c>
      <c r="K88" s="237" t="str">
        <f t="shared" si="32"/>
        <v>4011/4012</v>
      </c>
      <c r="L88" s="245" t="str">
        <f>VLOOKUP(A88,'Trips&amp;Operators'!$C$1:$G$99911,5,FALSE)</f>
        <v>DAVIS MICHAEL</v>
      </c>
      <c r="M88" s="224">
        <f t="shared" si="33"/>
        <v>2.5925925925548654E-2</v>
      </c>
      <c r="N88" s="225">
        <f t="shared" si="31"/>
        <v>37.333333332790062</v>
      </c>
      <c r="O88" s="225"/>
      <c r="P88" s="225"/>
      <c r="Q88" s="228"/>
      <c r="R88" s="242"/>
      <c r="S88" s="249">
        <f t="shared" si="30"/>
        <v>1</v>
      </c>
      <c r="T88" s="242" t="str">
        <f t="shared" si="34"/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5"/>
        <v>https://d0f6bd738d7f1b3e5a7ca70fe4ff75f0.us-east-1.aws.found.io/app/kibana#/discover/Steve-Slow-Train-Analysis-(2080s-and-2083s)?_g=(refreshInterval:(display:Off,pause:!f,section:0,value:0),time:(from:'2017-12-10T11:57:18-0700',mode:absolute,to:'2017-12-10T14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247" t="str">
        <f>IF(AA88&lt;VLOOKUP(AG88,Variables!$AC$3:$AD$8,2,FALSE),"Y","N")</f>
        <v>N</v>
      </c>
      <c r="X88" s="247">
        <f t="shared" si="48"/>
        <v>1</v>
      </c>
      <c r="Y88" s="247">
        <f t="shared" si="36"/>
        <v>5.1499999999999997E-2</v>
      </c>
      <c r="Z88" s="247">
        <f t="shared" si="37"/>
        <v>23.330200000000001</v>
      </c>
      <c r="AA88" s="247">
        <f t="shared" si="38"/>
        <v>23.278700000000001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9"/>
        <v>175</v>
      </c>
      <c r="AE88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88" s="234" t="str">
        <f t="shared" si="41"/>
        <v>"C:\Program Files (x86)\AstroGrep\AstroGrep.exe" /e /r /s /spath="%USERPROFILE%\AppData\Local\Temp\OnboardLogs" /stypes="app*4012*20171210*" /stext=" 20:.+((SYSTEM_STATE.+slice.+state.+changed )|(ment ac)|(multiple cpu faults)|(system.+state.+changed )|(\[timeout)|(PRM\|1\|D)|(kpr)|(kdp)|(train st.+moving)|(\|lc)|(penalty))"</v>
      </c>
      <c r="AG88" s="244" t="str">
        <f t="shared" si="42"/>
        <v>EC</v>
      </c>
      <c r="AH88" s="236" t="str">
        <f t="shared" si="43"/>
        <v>"%USERPROFILE%\Documents\GitHub\eaglep3\Utilities\RefineRTDCRunTimes.py" --tripid 175-10 --locoid 4012 --swversion DE.1.0.9.0 --startMP 204:515 --initTime 2017-12-10T12:57:18 --startdatetime 2017-12-10T13:00:30 --delay 64 --endMP 204:233302 --enddatetime 2017-12-10T13:37:50 --enforcementcount 0 &gt;&gt;%USERPROFILE%\Documents\GitHub\eaglep3-reporting\EC\2017-12-10-refined-times.txt</v>
      </c>
      <c r="AI8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{"issue":{"subject":"","project_id":79,"tracker_id":40,"status_id":1,"priority_id":2,"assigned_to_id":338,"start_date":"2017-12-10","description":"","custom_fields":[{"id":1,"name":"Subdivision","value":"EC"},{"id":4,"name":"Milepost","value":"23.3302"},{"id":17,"name":"Train ID","value":"175-10"},{"id":16,"name":"Locomotive ID","value":"4012"},{"id":130,"name":"Impact","value":""},{"id":150,"name":"Time of Event (Mountain Time)","value":"13:37:50"},{"id":151,"name":"Denver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5"/>
        <v>start /low /b %USERPROFILE%\Documents\GitHub\eaglep3\Utilities\DownloadLogsFromS3.py --loco 4012 --day 2017-12-10</v>
      </c>
      <c r="AN88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7"/>
        <v>https://d0f6bd738d7f1b3e5a7ca70fe4ff75f0.us-east-1.aws.found.io/app/kibana#/discover/Steve-Slow-Train-Analysis-(2080s-and-2083s)?_g=(refreshInterval:(display:Off,pause:!f,section:0,value:0),time:(from:'2017-12-10T11:57:18-0700',mode:absolute,to:'2017-12-10T14:37:50-0700'))&amp;_a=(columns:!('Message%20ID',Summary),filters:!(),index:'emp_*',interval:auto,query:(query_string:(analyze_wildcard:!t,query:'%22rtdc.l.rtdc.4012%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852</v>
      </c>
      <c r="B89" s="225">
        <v>4011</v>
      </c>
      <c r="C89" s="227" t="s">
        <v>192</v>
      </c>
      <c r="D89" s="227" t="s">
        <v>965</v>
      </c>
      <c r="E89" s="226">
        <v>43079.577986111108</v>
      </c>
      <c r="F89" s="226">
        <v>43079.581643518519</v>
      </c>
      <c r="G89" s="225">
        <v>62</v>
      </c>
      <c r="H89" s="227" t="s">
        <v>977</v>
      </c>
      <c r="I89" s="226">
        <v>43079.609976851854</v>
      </c>
      <c r="J89" s="225">
        <v>0</v>
      </c>
      <c r="K89" s="237" t="str">
        <f t="shared" si="32"/>
        <v>4011/4012</v>
      </c>
      <c r="L89" s="245" t="str">
        <f>VLOOKUP(A89,'Trips&amp;Operators'!$C$1:$G$99911,5,FALSE)</f>
        <v>DAVIS MICHAEL</v>
      </c>
      <c r="M89" s="224">
        <f t="shared" si="33"/>
        <v>2.8333333335467614E-2</v>
      </c>
      <c r="N89" s="225">
        <f t="shared" si="31"/>
        <v>40.800000003073364</v>
      </c>
      <c r="O89" s="225"/>
      <c r="P89" s="225"/>
      <c r="Q89" s="228"/>
      <c r="R89" s="242"/>
      <c r="S89" s="249">
        <f t="shared" si="30"/>
        <v>1</v>
      </c>
      <c r="T89" s="242" t="str">
        <f t="shared" si="34"/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5"/>
        <v>https://d0f6bd738d7f1b3e5a7ca70fe4ff75f0.us-east-1.aws.found.io/app/kibana#/discover/Steve-Slow-Train-Analysis-(2080s-and-2083s)?_g=(refreshInterval:(display:Off,pause:!f,section:0,value:0),time:(from:'2017-12-10T12:52:18-0700',mode:absolute,to:'2017-12-10T15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9" s="247" t="str">
        <f>IF(AA89&lt;VLOOKUP(AG89,Variables!$AC$3:$AD$8,2,FALSE),"Y","N")</f>
        <v>N</v>
      </c>
      <c r="X89" s="247">
        <f t="shared" si="48"/>
        <v>1</v>
      </c>
      <c r="Y89" s="247">
        <f t="shared" si="36"/>
        <v>23.2987</v>
      </c>
      <c r="Z89" s="247">
        <f t="shared" si="37"/>
        <v>2.3599999999999999E-2</v>
      </c>
      <c r="AA89" s="247">
        <f t="shared" si="38"/>
        <v>23.275100000000002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9"/>
        <v>176</v>
      </c>
      <c r="AE89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89" s="234" t="str">
        <f t="shared" si="41"/>
        <v>"C:\Program Files (x86)\AstroGrep\AstroGrep.exe" /e /r /s /spath="%USERPROFILE%\AppData\Local\Temp\OnboardLogs" /stypes="app*4011*20171210*" /stext=" 21:.+((SYSTEM_STATE.+slice.+state.+changed )|(ment ac)|(multiple cpu faults)|(system.+state.+changed )|(\[timeout)|(PRM\|1\|D)|(kpr)|(kdp)|(train st.+moving)|(\|lc)|(penalty))"</v>
      </c>
      <c r="AG89" s="244" t="str">
        <f t="shared" si="42"/>
        <v>EC</v>
      </c>
      <c r="AH89" s="236" t="str">
        <f t="shared" si="43"/>
        <v>"%USERPROFILE%\Documents\GitHub\eaglep3\Utilities\RefineRTDCRunTimes.py" --tripid 176-10 --locoid 4011 --swversion DE.1.0.9.0 --startMP 204:232987 --initTime 2017-12-10T13:52:18 --startdatetime 2017-12-10T13:57:34 --delay 62 --endMP 204:236 --enddatetime 2017-12-10T14:38:22 --enforcementcount 0 &gt;&gt;%USERPROFILE%\Documents\GitHub\eaglep3-reporting\EC\2017-12-10-refined-times.txt</v>
      </c>
      <c r="AI8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{"issue":{"subject":"","project_id":79,"tracker_id":40,"status_id":1,"priority_id":2,"assigned_to_id":338,"start_date":"2017-12-10","description":"","custom_fields":[{"id":1,"name":"Subdivision","value":"EC"},{"id":4,"name":"Milepost","value":"0.0236"},{"id":17,"name":"Train ID","value":"176-10"},{"id":16,"name":"Locomotive ID","value":"4011"},{"id":130,"name":"Impact","value":""},{"id":150,"name":"Time of Event (Mountain Time)","value":"14:38:22"},{"id":151,"name":"Denver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5"/>
        <v>start /low /b %USERPROFILE%\Documents\GitHub\eaglep3\Utilities\DownloadLogsFromS3.py --loco 4011 --day 2017-12-10</v>
      </c>
      <c r="AN89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7"/>
        <v>https://d0f6bd738d7f1b3e5a7ca70fe4ff75f0.us-east-1.aws.found.io/app/kibana#/discover/Steve-Slow-Train-Analysis-(2080s-and-2083s)?_g=(refreshInterval:(display:Off,pause:!f,section:0,value:0),time:(from:'2017-12-10T12:52:18-0700',mode:absolute,to:'2017-12-10T15:38:22-0700'))&amp;_a=(columns:!('Message%20ID',Summary),filters:!(),index:'emp_*',interval:auto,query:(query_string:(analyze_wildcard:!t,query:'%22rtdc.l.rtdc.4011%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845</v>
      </c>
      <c r="B90" s="225">
        <v>4030</v>
      </c>
      <c r="C90" s="227" t="s">
        <v>192</v>
      </c>
      <c r="D90" s="227" t="s">
        <v>611</v>
      </c>
      <c r="E90" s="226">
        <v>43079.546805555554</v>
      </c>
      <c r="F90" s="226">
        <v>43079.552268518521</v>
      </c>
      <c r="G90" s="225">
        <v>74</v>
      </c>
      <c r="H90" s="227" t="s">
        <v>552</v>
      </c>
      <c r="I90" s="226">
        <v>43079.576296296298</v>
      </c>
      <c r="J90" s="225">
        <v>0</v>
      </c>
      <c r="K90" s="237" t="str">
        <f t="shared" si="32"/>
        <v>4029/4030</v>
      </c>
      <c r="L90" s="245" t="str">
        <f>VLOOKUP(A90,'Trips&amp;Operators'!$C$1:$G$99911,5,FALSE)</f>
        <v>SAFIEF AEIMEN</v>
      </c>
      <c r="M90" s="224">
        <f t="shared" si="33"/>
        <v>2.4027777777519077E-2</v>
      </c>
      <c r="N90" s="225">
        <f t="shared" si="31"/>
        <v>34.599999999627471</v>
      </c>
      <c r="O90" s="225"/>
      <c r="P90" s="225"/>
      <c r="Q90" s="228"/>
      <c r="R90" s="242"/>
      <c r="S90" s="249">
        <f t="shared" si="30"/>
        <v>1</v>
      </c>
      <c r="T90" s="242" t="str">
        <f t="shared" si="34"/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5"/>
        <v>https://d0f6bd738d7f1b3e5a7ca70fe4ff75f0.us-east-1.aws.found.io/app/kibana#/discover/Steve-Slow-Train-Analysis-(2080s-and-2083s)?_g=(refreshInterval:(display:Off,pause:!f,section:0,value:0),time:(from:'2017-12-10T12:07:24-0700',mode:absolute,to:'2017-12-10T14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247" t="str">
        <f>IF(AA90&lt;VLOOKUP(AG90,Variables!$AC$3:$AD$8,2,FALSE),"Y","N")</f>
        <v>N</v>
      </c>
      <c r="X90" s="247">
        <f t="shared" si="48"/>
        <v>1</v>
      </c>
      <c r="Y90" s="247">
        <f t="shared" si="36"/>
        <v>4.9099999999999998E-2</v>
      </c>
      <c r="Z90" s="247">
        <f t="shared" si="37"/>
        <v>23.325299999999999</v>
      </c>
      <c r="AA90" s="247">
        <f t="shared" si="38"/>
        <v>23.276199999999999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9"/>
        <v>177</v>
      </c>
      <c r="AE90" s="235" t="str">
        <f t="shared" si="40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90" s="234" t="str">
        <f t="shared" si="41"/>
        <v>"C:\Program Files (x86)\AstroGrep\AstroGrep.exe" /e /r /s /spath="%USERPROFILE%\AppData\Local\Temp\OnboardLogs" /stypes="app*4030*20171210*" /stext=" 20:.+((SYSTEM_STATE.+slice.+state.+changed )|(ment ac)|(multiple cpu faults)|(system.+state.+changed )|(\[timeout)|(PRM\|1\|D)|(kpr)|(kdp)|(train st.+moving)|(\|lc)|(penalty))"</v>
      </c>
      <c r="AG90" s="244" t="str">
        <f t="shared" si="42"/>
        <v>EC</v>
      </c>
      <c r="AH90" s="236" t="str">
        <f t="shared" si="43"/>
        <v>"%USERPROFILE%\Documents\GitHub\eaglep3\Utilities\RefineRTDCRunTimes.py" --tripid 177-10 --locoid 4030 --swversion DE.1.0.9.0 --startMP 204:491 --initTime 2017-12-10T13:07:24 --startdatetime 2017-12-10T13:15:16 --delay 74 --endMP 204:233253 --enddatetime 2017-12-10T13:49:52 --enforcementcount 0 &gt;&gt;%USERPROFILE%\Documents\GitHub\eaglep3-reporting\EC\2017-12-10-refined-times.txt</v>
      </c>
      <c r="AI9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{"issue":{"subject":"","project_id":79,"tracker_id":40,"status_id":1,"priority_id":2,"assigned_to_id":338,"start_date":"2017-12-10","description":"","custom_fields":[{"id":1,"name":"Subdivision","value":"EC"},{"id":4,"name":"Milepost","value":"23.3253"},{"id":17,"name":"Train ID","value":"177-10"},{"id":16,"name":"Locomotive ID","value":"4030"},{"id":130,"name":"Impact","value":""},{"id":150,"name":"Time of Event (Mountain Time)","value":"13:49:52"},{"id":151,"name":"Denver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5"/>
        <v>start /low /b %USERPROFILE%\Documents\GitHub\eaglep3\Utilities\DownloadLogsFromS3.py --loco 4030 --day 2017-12-10</v>
      </c>
      <c r="AN90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7"/>
        <v>https://d0f6bd738d7f1b3e5a7ca70fe4ff75f0.us-east-1.aws.found.io/app/kibana#/discover/Steve-Slow-Train-Analysis-(2080s-and-2083s)?_g=(refreshInterval:(display:Off,pause:!f,section:0,value:0),time:(from:'2017-12-10T12:07:24-0700',mode:absolute,to:'2017-12-10T14:49:52-0700'))&amp;_a=(columns:!('Message%20ID',Summary),filters:!(),index:'emp_*',interval:auto,query:(query_string:(analyze_wildcard:!t,query:'%22rtdc.l.rtdc.4030%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853</v>
      </c>
      <c r="B91" s="225">
        <v>4029</v>
      </c>
      <c r="C91" s="227" t="s">
        <v>192</v>
      </c>
      <c r="D91" s="227" t="s">
        <v>976</v>
      </c>
      <c r="E91" s="226">
        <v>43079.578402777777</v>
      </c>
      <c r="F91" s="226">
        <v>43079.591828703706</v>
      </c>
      <c r="G91" s="225">
        <v>75</v>
      </c>
      <c r="H91" s="227" t="s">
        <v>978</v>
      </c>
      <c r="I91" s="226">
        <v>43079.618067129632</v>
      </c>
      <c r="J91" s="225">
        <v>0</v>
      </c>
      <c r="K91" s="237" t="str">
        <f t="shared" si="32"/>
        <v>4029/4030</v>
      </c>
      <c r="L91" s="245" t="str">
        <f>VLOOKUP(A91,'Trips&amp;Operators'!$C$1:$G$99911,5,FALSE)</f>
        <v>SAFIEF AEIMEN</v>
      </c>
      <c r="M91" s="224">
        <f t="shared" si="33"/>
        <v>2.6238425925839692E-2</v>
      </c>
      <c r="N91" s="225">
        <f t="shared" si="31"/>
        <v>37.783333333209157</v>
      </c>
      <c r="O91" s="225"/>
      <c r="P91" s="225"/>
      <c r="Q91" s="228"/>
      <c r="R91" s="242"/>
      <c r="S91" s="249">
        <f t="shared" si="30"/>
        <v>1</v>
      </c>
      <c r="T91" s="242" t="str">
        <f t="shared" si="34"/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5"/>
        <v>https://d0f6bd738d7f1b3e5a7ca70fe4ff75f0.us-east-1.aws.found.io/app/kibana#/discover/Steve-Slow-Train-Analysis-(2080s-and-2083s)?_g=(refreshInterval:(display:Off,pause:!f,section:0,value:0),time:(from:'2017-12-10T12:52:54-0700',mode:absolute,to:'2017-12-10T15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1" s="247" t="str">
        <f>IF(AA91&lt;VLOOKUP(AG91,Variables!$AC$3:$AD$8,2,FALSE),"Y","N")</f>
        <v>N</v>
      </c>
      <c r="X91" s="247">
        <f t="shared" si="48"/>
        <v>1</v>
      </c>
      <c r="Y91" s="247">
        <f t="shared" si="36"/>
        <v>23.292899999999999</v>
      </c>
      <c r="Z91" s="247">
        <f t="shared" si="37"/>
        <v>1.61E-2</v>
      </c>
      <c r="AA91" s="247">
        <f t="shared" si="38"/>
        <v>23.276799999999998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9"/>
        <v>178</v>
      </c>
      <c r="AE91" s="235" t="str">
        <f t="shared" si="40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91" s="234" t="str">
        <f t="shared" si="41"/>
        <v>"C:\Program Files (x86)\AstroGrep\AstroGrep.exe" /e /r /s /spath="%USERPROFILE%\AppData\Local\Temp\OnboardLogs" /stypes="app*4029*20171210*" /stext=" 21:.+((SYSTEM_STATE.+slice.+state.+changed )|(ment ac)|(multiple cpu faults)|(system.+state.+changed )|(\[timeout)|(PRM\|1\|D)|(kpr)|(kdp)|(train st.+moving)|(\|lc)|(penalty))"</v>
      </c>
      <c r="AG91" s="244" t="str">
        <f t="shared" si="42"/>
        <v>EC</v>
      </c>
      <c r="AH91" s="236" t="str">
        <f t="shared" si="43"/>
        <v>"%USERPROFILE%\Documents\GitHub\eaglep3\Utilities\RefineRTDCRunTimes.py" --tripid 178-10 --locoid 4029 --swversion DE.1.0.9.0 --startMP 204:232929 --initTime 2017-12-10T13:52:54 --startdatetime 2017-12-10T14:12:14 --delay 75 --endMP 204:161 --enddatetime 2017-12-10T14:50:01 --enforcementcount 0 &gt;&gt;%USERPROFILE%\Documents\GitHub\eaglep3-reporting\EC\2017-12-10-refined-times.txt</v>
      </c>
      <c r="AI9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{"issue":{"subject":"","project_id":79,"tracker_id":40,"status_id":1,"priority_id":2,"assigned_to_id":338,"start_date":"2017-12-10","description":"","custom_fields":[{"id":1,"name":"Subdivision","value":"EC"},{"id":4,"name":"Milepost","value":"0.0161"},{"id":17,"name":"Train ID","value":"178-10"},{"id":16,"name":"Locomotive ID","value":"4029"},{"id":130,"name":"Impact","value":""},{"id":150,"name":"Time of Event (Mountain Time)","value":"14:50:01"},{"id":151,"name":"Denver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5"/>
        <v>start /low /b %USERPROFILE%\Documents\GitHub\eaglep3\Utilities\DownloadLogsFromS3.py --loco 4029 --day 2017-12-10</v>
      </c>
      <c r="AN91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7"/>
        <v>https://d0f6bd738d7f1b3e5a7ca70fe4ff75f0.us-east-1.aws.found.io/app/kibana#/discover/Steve-Slow-Train-Analysis-(2080s-and-2083s)?_g=(refreshInterval:(display:Off,pause:!f,section:0,value:0),time:(from:'2017-12-10T12:52:54-0700',mode:absolute,to:'2017-12-10T15:50:01-0700'))&amp;_a=(columns:!('Message%20ID',Summary),filters:!(),index:'emp_*',interval:auto,query:(query_string:(analyze_wildcard:!t,query:'%22rtdc.l.rtdc.4029%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848</v>
      </c>
      <c r="B92" s="225">
        <v>4032</v>
      </c>
      <c r="C92" s="227" t="s">
        <v>192</v>
      </c>
      <c r="D92" s="227" t="s">
        <v>445</v>
      </c>
      <c r="E92" s="226">
        <v>43079.55914351852</v>
      </c>
      <c r="F92" s="226">
        <v>43079.562673611108</v>
      </c>
      <c r="G92" s="225">
        <v>51</v>
      </c>
      <c r="H92" s="227" t="s">
        <v>979</v>
      </c>
      <c r="I92" s="226">
        <v>43079.587453703702</v>
      </c>
      <c r="J92" s="225">
        <v>0</v>
      </c>
      <c r="K92" s="237" t="str">
        <f t="shared" si="32"/>
        <v>4031/4032</v>
      </c>
      <c r="L92" s="245" t="str">
        <f>VLOOKUP(A92,'Trips&amp;Operators'!$C$1:$G$99911,5,FALSE)</f>
        <v>GUZMAN DANNY</v>
      </c>
      <c r="M92" s="224">
        <f t="shared" si="33"/>
        <v>2.4780092593573499E-2</v>
      </c>
      <c r="N92" s="225">
        <f t="shared" si="31"/>
        <v>35.683333334745839</v>
      </c>
      <c r="O92" s="225"/>
      <c r="P92" s="225"/>
      <c r="Q92" s="228"/>
      <c r="R92" s="242"/>
      <c r="S92" s="249">
        <f t="shared" si="30"/>
        <v>1</v>
      </c>
      <c r="T92" s="242" t="str">
        <f t="shared" si="34"/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5"/>
        <v>https://d0f6bd738d7f1b3e5a7ca70fe4ff75f0.us-east-1.aws.found.io/app/kibana#/discover/Steve-Slow-Train-Analysis-(2080s-and-2083s)?_g=(refreshInterval:(display:Off,pause:!f,section:0,value:0),time:(from:'2017-12-10T12:25:10-0700',mode:absolute,to:'2017-12-10T15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247" t="str">
        <f>IF(AA92&lt;VLOOKUP(AG92,Variables!$AC$3:$AD$8,2,FALSE),"Y","N")</f>
        <v>N</v>
      </c>
      <c r="X92" s="247">
        <f t="shared" si="48"/>
        <v>1</v>
      </c>
      <c r="Y92" s="247">
        <f t="shared" si="36"/>
        <v>5.3699999999999998E-2</v>
      </c>
      <c r="Z92" s="247">
        <f t="shared" si="37"/>
        <v>23.328299999999999</v>
      </c>
      <c r="AA92" s="247">
        <f t="shared" si="38"/>
        <v>23.2746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9"/>
        <v>179</v>
      </c>
      <c r="AE92" s="235" t="str">
        <f t="shared" si="40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92" s="234" t="str">
        <f t="shared" si="41"/>
        <v>"C:\Program Files (x86)\AstroGrep\AstroGrep.exe" /e /r /s /spath="%USERPROFILE%\AppData\Local\Temp\OnboardLogs" /stypes="app*4032*20171210*" /stext=" 21:.+((SYSTEM_STATE.+slice.+state.+changed )|(ment ac)|(multiple cpu faults)|(system.+state.+changed )|(\[timeout)|(PRM\|1\|D)|(kpr)|(kdp)|(train st.+moving)|(\|lc)|(penalty))"</v>
      </c>
      <c r="AG92" s="244" t="str">
        <f t="shared" si="42"/>
        <v>EC</v>
      </c>
      <c r="AH92" s="236" t="str">
        <f t="shared" si="43"/>
        <v>"%USERPROFILE%\Documents\GitHub\eaglep3\Utilities\RefineRTDCRunTimes.py" --tripid 179-10 --locoid 4032 --swversion DE.1.0.9.0 --startMP 204:537 --initTime 2017-12-10T13:25:10 --startdatetime 2017-12-10T13:30:15 --delay 51 --endMP 204:233283 --enddatetime 2017-12-10T14:05:56 --enforcementcount 0 &gt;&gt;%USERPROFILE%\Documents\GitHub\eaglep3-reporting\EC\2017-12-10-refined-times.txt</v>
      </c>
      <c r="AI9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{"issue":{"subject":"","project_id":79,"tracker_id":40,"status_id":1,"priority_id":2,"assigned_to_id":338,"start_date":"2017-12-10","description":"","custom_fields":[{"id":1,"name":"Subdivision","value":"EC"},{"id":4,"name":"Milepost","value":"23.3283"},{"id":17,"name":"Train ID","value":"179-10"},{"id":16,"name":"Locomotive ID","value":"4032"},{"id":130,"name":"Impact","value":""},{"id":150,"name":"Time of Event (Mountain Time)","value":"14:05:56"},{"id":151,"name":"Denver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5"/>
        <v>start /low /b %USERPROFILE%\Documents\GitHub\eaglep3\Utilities\DownloadLogsFromS3.py --loco 4032 --day 2017-12-10</v>
      </c>
      <c r="AN92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7"/>
        <v>https://d0f6bd738d7f1b3e5a7ca70fe4ff75f0.us-east-1.aws.found.io/app/kibana#/discover/Steve-Slow-Train-Analysis-(2080s-and-2083s)?_g=(refreshInterval:(display:Off,pause:!f,section:0,value:0),time:(from:'2017-12-10T12:25:10-0700',mode:absolute,to:'2017-12-10T15:05:56-0700'))&amp;_a=(columns:!('Message%20ID',Summary),filters:!(),index:'emp_*',interval:auto,query:(query_string:(analyze_wildcard:!t,query:'%22rtdc.l.rtdc.4032%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856</v>
      </c>
      <c r="B93" s="225">
        <v>4031</v>
      </c>
      <c r="C93" s="227" t="s">
        <v>192</v>
      </c>
      <c r="D93" s="227" t="s">
        <v>681</v>
      </c>
      <c r="E93" s="226">
        <v>43079.589386574073</v>
      </c>
      <c r="F93" s="226">
        <v>43079.602256944447</v>
      </c>
      <c r="G93" s="225">
        <v>52</v>
      </c>
      <c r="H93" s="227" t="s">
        <v>971</v>
      </c>
      <c r="I93" s="226">
        <v>43079.62777777778</v>
      </c>
      <c r="J93" s="225">
        <v>0</v>
      </c>
      <c r="K93" s="237" t="str">
        <f t="shared" si="32"/>
        <v>4031/4032</v>
      </c>
      <c r="L93" s="245" t="str">
        <f>VLOOKUP(A93,'Trips&amp;Operators'!$C$1:$G$99911,5,FALSE)</f>
        <v>GUZMAN DANNY</v>
      </c>
      <c r="M93" s="224">
        <f t="shared" si="33"/>
        <v>2.5520833332848269E-2</v>
      </c>
      <c r="N93" s="225">
        <f t="shared" si="31"/>
        <v>36.749999999301508</v>
      </c>
      <c r="O93" s="225"/>
      <c r="P93" s="225"/>
      <c r="Q93" s="228"/>
      <c r="R93" s="242"/>
      <c r="S93" s="249">
        <f t="shared" si="30"/>
        <v>1</v>
      </c>
      <c r="T93" s="242" t="str">
        <f t="shared" si="34"/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5"/>
        <v>https://d0f6bd738d7f1b3e5a7ca70fe4ff75f0.us-east-1.aws.found.io/app/kibana#/discover/Steve-Slow-Train-Analysis-(2080s-and-2083s)?_g=(refreshInterval:(display:Off,pause:!f,section:0,value:0),time:(from:'2017-12-10T13:08:43-0700',mode:absolute,to:'2017-12-10T16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247" t="str">
        <f>IF(AA93&lt;VLOOKUP(AG93,Variables!$AC$3:$AD$8,2,FALSE),"Y","N")</f>
        <v>N</v>
      </c>
      <c r="X93" s="247">
        <f t="shared" si="48"/>
        <v>1</v>
      </c>
      <c r="Y93" s="247">
        <f t="shared" si="36"/>
        <v>23.297000000000001</v>
      </c>
      <c r="Z93" s="247">
        <f t="shared" si="37"/>
        <v>2.4299999999999999E-2</v>
      </c>
      <c r="AA93" s="247">
        <f t="shared" si="38"/>
        <v>23.2727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9"/>
        <v>180</v>
      </c>
      <c r="AE93" s="235" t="str">
        <f t="shared" si="40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93" s="234" t="str">
        <f t="shared" si="41"/>
        <v>"C:\Program Files (x86)\AstroGrep\AstroGrep.exe" /e /r /s /spath="%USERPROFILE%\AppData\Local\Temp\OnboardLogs" /stypes="app*4031*20171210*" /stext=" 22:.+((SYSTEM_STATE.+slice.+state.+changed )|(ment ac)|(multiple cpu faults)|(system.+state.+changed )|(\[timeout)|(PRM\|1\|D)|(kpr)|(kdp)|(train st.+moving)|(\|lc)|(penalty))"</v>
      </c>
      <c r="AG93" s="244" t="str">
        <f t="shared" si="42"/>
        <v>EC</v>
      </c>
      <c r="AH93" s="236" t="str">
        <f t="shared" si="43"/>
        <v>"%USERPROFILE%\Documents\GitHub\eaglep3\Utilities\RefineRTDCRunTimes.py" --tripid 180-10 --locoid 4031 --swversion DE.1.0.9.0 --startMP 204:232970 --initTime 2017-12-10T14:08:43 --startdatetime 2017-12-10T14:27:15 --delay 52 --endMP 204:243 --enddatetime 2017-12-10T15:04:00 --enforcementcount 0 &gt;&gt;%USERPROFILE%\Documents\GitHub\eaglep3-reporting\EC\2017-12-10-refined-times.txt</v>
      </c>
      <c r="AI9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{"issue":{"subject":"","project_id":79,"tracker_id":40,"status_id":1,"priority_id":2,"assigned_to_id":338,"start_date":"2017-12-10","description":"","custom_fields":[{"id":1,"name":"Subdivision","value":"EC"},{"id":4,"name":"Milepost","value":"0.0243"},{"id":17,"name":"Train ID","value":"180-10"},{"id":16,"name":"Locomotive ID","value":"4031"},{"id":130,"name":"Impact","value":""},{"id":150,"name":"Time of Event (Mountain Time)","value":"15:04:00"},{"id":151,"name":"Denver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5"/>
        <v>start /low /b %USERPROFILE%\Documents\GitHub\eaglep3\Utilities\DownloadLogsFromS3.py --loco 4031 --day 2017-12-10</v>
      </c>
      <c r="AN93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7"/>
        <v>https://d0f6bd738d7f1b3e5a7ca70fe4ff75f0.us-east-1.aws.found.io/app/kibana#/discover/Steve-Slow-Train-Analysis-(2080s-and-2083s)?_g=(refreshInterval:(display:Off,pause:!f,section:0,value:0),time:(from:'2017-12-10T13:08:43-0700',mode:absolute,to:'2017-12-10T16:04:00-0700'))&amp;_a=(columns:!('Message%20ID',Summary),filters:!(),index:'emp_*',interval:auto,query:(query_string:(analyze_wildcard:!t,query:'%22rtdc.l.rtdc.4031%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740</v>
      </c>
      <c r="B94" s="225">
        <v>4064</v>
      </c>
      <c r="C94" s="227" t="s">
        <v>192</v>
      </c>
      <c r="D94" s="227" t="s">
        <v>474</v>
      </c>
      <c r="E94" s="226">
        <v>43079.569409722222</v>
      </c>
      <c r="F94" s="226">
        <v>43079.573078703703</v>
      </c>
      <c r="G94" s="225">
        <v>66</v>
      </c>
      <c r="H94" s="227" t="s">
        <v>533</v>
      </c>
      <c r="I94" s="226">
        <v>43079.599212962959</v>
      </c>
      <c r="J94" s="225">
        <v>0</v>
      </c>
      <c r="K94" s="237" t="str">
        <f t="shared" si="32"/>
        <v>4063/4064</v>
      </c>
      <c r="L94" s="245" t="str">
        <f>VLOOKUP(A94,'Trips&amp;Operators'!$C$1:$G$99911,5,FALSE)</f>
        <v>BADERTSCHER DIANE</v>
      </c>
      <c r="M94" s="224">
        <f t="shared" si="33"/>
        <v>2.6134259256650694E-2</v>
      </c>
      <c r="N94" s="225">
        <f t="shared" si="31"/>
        <v>37.633333329576999</v>
      </c>
      <c r="O94" s="225"/>
      <c r="P94" s="225"/>
      <c r="Q94" s="228"/>
      <c r="R94" s="242"/>
      <c r="S94" s="249">
        <f t="shared" si="30"/>
        <v>1</v>
      </c>
      <c r="T94" s="242" t="str">
        <f t="shared" si="34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5"/>
        <v>https://d0f6bd738d7f1b3e5a7ca70fe4ff75f0.us-east-1.aws.found.io/app/kibana#/discover/Steve-Slow-Train-Analysis-(2080s-and-2083s)?_g=(refreshInterval:(display:Off,pause:!f,section:0,value:0),time:(from:'2017-12-10T12:39:57-0700',mode:absolute,to:'2017-12-10T15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4" s="247" t="str">
        <f>IF(AA94&lt;VLOOKUP(AG94,Variables!$AC$3:$AD$8,2,FALSE),"Y","N")</f>
        <v>N</v>
      </c>
      <c r="X94" s="247">
        <f t="shared" si="48"/>
        <v>1</v>
      </c>
      <c r="Y94" s="247">
        <f t="shared" si="36"/>
        <v>5.2200000000000003E-2</v>
      </c>
      <c r="Z94" s="247">
        <f t="shared" si="37"/>
        <v>23.326799999999999</v>
      </c>
      <c r="AA94" s="247">
        <f t="shared" si="38"/>
        <v>23.2746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9"/>
        <v>181</v>
      </c>
      <c r="AE94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94" s="234" t="str">
        <f t="shared" si="41"/>
        <v>"C:\Program Files (x86)\AstroGrep\AstroGrep.exe" /e /r /s /spath="%USERPROFILE%\AppData\Local\Temp\OnboardLogs" /stypes="app*4064*20171210*" /stext=" 21:.+((SYSTEM_STATE.+slice.+state.+changed )|(ment ac)|(multiple cpu faults)|(system.+state.+changed )|(\[timeout)|(PRM\|1\|D)|(kpr)|(kdp)|(train st.+moving)|(\|lc)|(penalty))"</v>
      </c>
      <c r="AG94" s="244" t="str">
        <f t="shared" si="42"/>
        <v>EC</v>
      </c>
      <c r="AH94" s="236" t="str">
        <f t="shared" si="43"/>
        <v>"%USERPROFILE%\Documents\GitHub\eaglep3\Utilities\RefineRTDCRunTimes.py" --tripid 181-10 --locoid 4064 --swversion DE.1.0.9.0 --startMP 204:522 --initTime 2017-12-10T13:39:57 --startdatetime 2017-12-10T13:45:14 --delay 66 --endMP 204:233268 --enddatetime 2017-12-10T14:22:52 --enforcementcount 0 &gt;&gt;%USERPROFILE%\Documents\GitHub\eaglep3-reporting\EC\2017-12-10-refined-times.txt</v>
      </c>
      <c r="AI9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{"issue":{"subject":"","project_id":79,"tracker_id":40,"status_id":1,"priority_id":2,"assigned_to_id":338,"start_date":"2017-12-10","description":"","custom_fields":[{"id":1,"name":"Subdivision","value":"EC"},{"id":4,"name":"Milepost","value":"23.3268"},{"id":17,"name":"Train ID","value":"181-10"},{"id":16,"name":"Locomotive ID","value":"4064"},{"id":130,"name":"Impact","value":""},{"id":150,"name":"Time of Event (Mountain Time)","value":"14:22:52"},{"id":151,"name":"Denver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5"/>
        <v>start /low /b %USERPROFILE%\Documents\GitHub\eaglep3\Utilities\DownloadLogsFromS3.py --loco 4064 --day 2017-12-10</v>
      </c>
      <c r="AN94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7"/>
        <v>https://d0f6bd738d7f1b3e5a7ca70fe4ff75f0.us-east-1.aws.found.io/app/kibana#/discover/Steve-Slow-Train-Analysis-(2080s-and-2083s)?_g=(refreshInterval:(display:Off,pause:!f,section:0,value:0),time:(from:'2017-12-10T12:39:57-0700',mode:absolute,to:'2017-12-10T15:22:52-0700'))&amp;_a=(columns:!('Message%20ID',Summary),filters:!(),index:'emp_*',interval:auto,query:(query_string:(analyze_wildcard:!t,query:'%22rtdc.l.rtdc.4064%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859</v>
      </c>
      <c r="B95" s="225">
        <v>4063</v>
      </c>
      <c r="C95" s="227" t="s">
        <v>192</v>
      </c>
      <c r="D95" s="227" t="s">
        <v>705</v>
      </c>
      <c r="E95" s="226">
        <v>43079.608773148146</v>
      </c>
      <c r="F95" s="226">
        <v>43079.612662037034</v>
      </c>
      <c r="G95" s="225">
        <v>70</v>
      </c>
      <c r="H95" s="227" t="s">
        <v>575</v>
      </c>
      <c r="I95" s="226">
        <v>43079.640706018516</v>
      </c>
      <c r="J95" s="225">
        <v>0</v>
      </c>
      <c r="K95" s="237" t="str">
        <f t="shared" si="32"/>
        <v>4063/4064</v>
      </c>
      <c r="L95" s="245" t="str">
        <f>VLOOKUP(A95,'Trips&amp;Operators'!$C$1:$G$99911,5,FALSE)</f>
        <v>BADERTSCHER DIANE</v>
      </c>
      <c r="M95" s="224">
        <f t="shared" si="33"/>
        <v>2.8043981481459923E-2</v>
      </c>
      <c r="N95" s="225">
        <f t="shared" si="31"/>
        <v>40.383333333302289</v>
      </c>
      <c r="O95" s="225"/>
      <c r="P95" s="225"/>
      <c r="Q95" s="228"/>
      <c r="R95" s="242"/>
      <c r="S95" s="249">
        <f t="shared" si="30"/>
        <v>1</v>
      </c>
      <c r="T95" s="242" t="str">
        <f t="shared" si="34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5"/>
        <v>https://d0f6bd738d7f1b3e5a7ca70fe4ff75f0.us-east-1.aws.found.io/app/kibana#/discover/Steve-Slow-Train-Analysis-(2080s-and-2083s)?_g=(refreshInterval:(display:Off,pause:!f,section:0,value:0),time:(from:'2017-12-10T13:36:38-0700',mode:absolute,to:'2017-12-10T16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5" s="247" t="str">
        <f>IF(AA95&lt;VLOOKUP(AG95,Variables!$AC$3:$AD$8,2,FALSE),"Y","N")</f>
        <v>N</v>
      </c>
      <c r="X95" s="247">
        <f t="shared" si="48"/>
        <v>1</v>
      </c>
      <c r="Y95" s="247">
        <f t="shared" si="36"/>
        <v>23.293399999999998</v>
      </c>
      <c r="Z95" s="247">
        <f t="shared" si="37"/>
        <v>2.0899999999999998E-2</v>
      </c>
      <c r="AA95" s="247">
        <f t="shared" si="38"/>
        <v>23.272499999999997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9"/>
        <v>182</v>
      </c>
      <c r="AE95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95" s="234" t="str">
        <f t="shared" si="41"/>
        <v>"C:\Program Files (x86)\AstroGrep\AstroGrep.exe" /e /r /s /spath="%USERPROFILE%\AppData\Local\Temp\OnboardLogs" /stypes="app*4063*20171210*" /stext=" 22:.+((SYSTEM_STATE.+slice.+state.+changed )|(ment ac)|(multiple cpu faults)|(system.+state.+changed )|(\[timeout)|(PRM\|1\|D)|(kpr)|(kdp)|(train st.+moving)|(\|lc)|(penalty))"</v>
      </c>
      <c r="AG95" s="244" t="str">
        <f t="shared" si="42"/>
        <v>EC</v>
      </c>
      <c r="AH95" s="236" t="str">
        <f t="shared" si="43"/>
        <v>"%USERPROFILE%\Documents\GitHub\eaglep3\Utilities\RefineRTDCRunTimes.py" --tripid 182-10 --locoid 4063 --swversion DE.1.0.9.0 --startMP 204:232934 --initTime 2017-12-10T14:36:38 --startdatetime 2017-12-10T14:42:14 --delay 70 --endMP 204:209 --enddatetime 2017-12-10T15:22:37 --enforcementcount 0 &gt;&gt;%USERPROFILE%\Documents\GitHub\eaglep3-reporting\EC\2017-12-10-refined-times.txt</v>
      </c>
      <c r="AI95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{"issue":{"subject":"","project_id":79,"tracker_id":40,"status_id":1,"priority_id":2,"assigned_to_id":338,"start_date":"2017-12-10","description":"","custom_fields":[{"id":1,"name":"Subdivision","value":"EC"},{"id":4,"name":"Milepost","value":"0.0209"},{"id":17,"name":"Train ID","value":"182-10"},{"id":16,"name":"Locomotive ID","value":"4063"},{"id":130,"name":"Impact","value":""},{"id":150,"name":"Time of Event (Mountain Time)","value":"15:22:37"},{"id":151,"name":"Denver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5"/>
        <v>start /low /b %USERPROFILE%\Documents\GitHub\eaglep3\Utilities\DownloadLogsFromS3.py --loco 4063 --day 2017-12-10</v>
      </c>
      <c r="AN95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7"/>
        <v>https://d0f6bd738d7f1b3e5a7ca70fe4ff75f0.us-east-1.aws.found.io/app/kibana#/discover/Steve-Slow-Train-Analysis-(2080s-and-2083s)?_g=(refreshInterval:(display:Off,pause:!f,section:0,value:0),time:(from:'2017-12-10T13:36:38-0700',mode:absolute,to:'2017-12-10T16:22:37-0700'))&amp;_a=(columns:!('Message%20ID',Summary),filters:!(),index:'emp_*',interval:auto,query:(query_string:(analyze_wildcard:!t,query:'%22rtdc.l.rtdc.4063%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851</v>
      </c>
      <c r="B96" s="225">
        <v>4034</v>
      </c>
      <c r="C96" s="227" t="s">
        <v>192</v>
      </c>
      <c r="D96" s="227" t="s">
        <v>653</v>
      </c>
      <c r="E96" s="226">
        <v>43079.577569444446</v>
      </c>
      <c r="F96" s="226">
        <v>43079.583483796298</v>
      </c>
      <c r="G96" s="225">
        <v>68</v>
      </c>
      <c r="H96" s="227" t="s">
        <v>586</v>
      </c>
      <c r="I96" s="226">
        <v>43079.608136574076</v>
      </c>
      <c r="J96" s="225">
        <v>0</v>
      </c>
      <c r="K96" s="237" t="str">
        <f t="shared" si="32"/>
        <v>4033/4034</v>
      </c>
      <c r="L96" s="245" t="str">
        <f>VLOOKUP(A96,'Trips&amp;Operators'!$C$1:$G$99911,5,FALSE)</f>
        <v>MCREYNOLDS KYLE</v>
      </c>
      <c r="M96" s="224">
        <f t="shared" si="33"/>
        <v>2.4652777778101154E-2</v>
      </c>
      <c r="N96" s="225">
        <f t="shared" si="31"/>
        <v>35.500000000465661</v>
      </c>
      <c r="O96" s="225"/>
      <c r="P96" s="225"/>
      <c r="Q96" s="228"/>
      <c r="R96" s="242"/>
      <c r="S96" s="249">
        <f t="shared" ref="S96:S121" si="49">1/IF(AG96="EC",12,1)*SUM(U96:U96)</f>
        <v>1</v>
      </c>
      <c r="T96" s="242" t="str">
        <f t="shared" si="34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5"/>
        <v>https://d0f6bd738d7f1b3e5a7ca70fe4ff75f0.us-east-1.aws.found.io/app/kibana#/discover/Steve-Slow-Train-Analysis-(2080s-and-2083s)?_g=(refreshInterval:(display:Off,pause:!f,section:0,value:0),time:(from:'2017-12-10T12:51:42-0700',mode:absolute,to:'2017-12-10T15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6" s="247" t="str">
        <f>IF(AA96&lt;VLOOKUP(AG96,Variables!$AC$3:$AD$8,2,FALSE),"Y","N")</f>
        <v>N</v>
      </c>
      <c r="X96" s="247">
        <f t="shared" si="48"/>
        <v>1</v>
      </c>
      <c r="Y96" s="247">
        <f t="shared" si="36"/>
        <v>5.2900000000000003E-2</v>
      </c>
      <c r="Z96" s="247">
        <f t="shared" si="37"/>
        <v>23.325500000000002</v>
      </c>
      <c r="AA96" s="247">
        <f t="shared" si="38"/>
        <v>23.272600000000001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9"/>
        <v>183</v>
      </c>
      <c r="AE96" s="235" t="str">
        <f t="shared" si="40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96" s="234" t="str">
        <f t="shared" si="41"/>
        <v>"C:\Program Files (x86)\AstroGrep\AstroGrep.exe" /e /r /s /spath="%USERPROFILE%\AppData\Local\Temp\OnboardLogs" /stypes="app*4034*20171210*" /stext=" 21:.+((SYSTEM_STATE.+slice.+state.+changed )|(ment ac)|(multiple cpu faults)|(system.+state.+changed )|(\[timeout)|(PRM\|1\|D)|(kpr)|(kdp)|(train st.+moving)|(\|lc)|(penalty))"</v>
      </c>
      <c r="AG96" s="244" t="str">
        <f t="shared" si="42"/>
        <v>EC</v>
      </c>
      <c r="AH96" s="236" t="str">
        <f t="shared" si="43"/>
        <v>"%USERPROFILE%\Documents\GitHub\eaglep3\Utilities\RefineRTDCRunTimes.py" --tripid 183-10 --locoid 4034 --swversion DE.1.0.9.0 --startMP 204:529 --initTime 2017-12-10T13:51:42 --startdatetime 2017-12-10T14:00:13 --delay 68 --endMP 204:233255 --enddatetime 2017-12-10T14:35:43 --enforcementcount 0 &gt;&gt;%USERPROFILE%\Documents\GitHub\eaglep3-reporting\EC\2017-12-10-refined-times.txt</v>
      </c>
      <c r="AI9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{"issue":{"subject":"","project_id":79,"tracker_id":40,"status_id":1,"priority_id":2,"assigned_to_id":338,"start_date":"2017-12-10","description":"","custom_fields":[{"id":1,"name":"Subdivision","value":"EC"},{"id":4,"name":"Milepost","value":"23.3255"},{"id":17,"name":"Train ID","value":"183-10"},{"id":16,"name":"Locomotive ID","value":"4034"},{"id":130,"name":"Impact","value":""},{"id":150,"name":"Time of Event (Mountain Time)","value":"14:35:43"},{"id":151,"name":"Denver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5"/>
        <v>start /low /b %USERPROFILE%\Documents\GitHub\eaglep3\Utilities\DownloadLogsFromS3.py --loco 4034 --day 2017-12-10</v>
      </c>
      <c r="AN96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7"/>
        <v>https://d0f6bd738d7f1b3e5a7ca70fe4ff75f0.us-east-1.aws.found.io/app/kibana#/discover/Steve-Slow-Train-Analysis-(2080s-and-2083s)?_g=(refreshInterval:(display:Off,pause:!f,section:0,value:0),time:(from:'2017-12-10T12:51:42-0700',mode:absolute,to:'2017-12-10T15:35:43-0700'))&amp;_a=(columns:!('Message%20ID',Summary),filters:!(),index:'emp_*',interval:auto,query:(query_string:(analyze_wildcard:!t,query:'%22rtdc.l.rtdc.4034%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860</v>
      </c>
      <c r="B97" s="225">
        <v>4033</v>
      </c>
      <c r="C97" s="227" t="s">
        <v>192</v>
      </c>
      <c r="D97" s="227" t="s">
        <v>656</v>
      </c>
      <c r="E97" s="226">
        <v>43079.616875</v>
      </c>
      <c r="F97" s="226">
        <v>43079.623067129629</v>
      </c>
      <c r="G97" s="225">
        <v>60</v>
      </c>
      <c r="H97" s="227" t="s">
        <v>491</v>
      </c>
      <c r="I97" s="226">
        <v>43079.650069444448</v>
      </c>
      <c r="J97" s="225">
        <v>0</v>
      </c>
      <c r="K97" s="237" t="str">
        <f t="shared" si="32"/>
        <v>4033/4034</v>
      </c>
      <c r="L97" s="245" t="str">
        <f>VLOOKUP(A97,'Trips&amp;Operators'!$C$1:$G$99911,5,FALSE)</f>
        <v>MCREYNOLDS KYLE</v>
      </c>
      <c r="M97" s="224">
        <f t="shared" si="33"/>
        <v>2.7002314818673767E-2</v>
      </c>
      <c r="N97" s="225">
        <f t="shared" ref="N97:N121" si="50">24*60*SUM($M97:$M97)</f>
        <v>38.883333338890225</v>
      </c>
      <c r="O97" s="225"/>
      <c r="P97" s="225"/>
      <c r="Q97" s="228"/>
      <c r="R97" s="242"/>
      <c r="S97" s="249">
        <f t="shared" si="49"/>
        <v>1</v>
      </c>
      <c r="T97" s="242" t="str">
        <f t="shared" si="34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5"/>
        <v>https://d0f6bd738d7f1b3e5a7ca70fe4ff75f0.us-east-1.aws.found.io/app/kibana#/discover/Steve-Slow-Train-Analysis-(2080s-and-2083s)?_g=(refreshInterval:(display:Off,pause:!f,section:0,value:0),time:(from:'2017-12-10T13:48:18-0700',mode:absolute,to:'2017-12-10T16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247" t="str">
        <f>IF(AA97&lt;VLOOKUP(AG97,Variables!$AC$3:$AD$8,2,FALSE),"Y","N")</f>
        <v>N</v>
      </c>
      <c r="X97" s="247">
        <f t="shared" si="48"/>
        <v>1</v>
      </c>
      <c r="Y97" s="247">
        <f t="shared" si="36"/>
        <v>23.293600000000001</v>
      </c>
      <c r="Z97" s="247">
        <f t="shared" si="37"/>
        <v>2.4E-2</v>
      </c>
      <c r="AA97" s="247">
        <f t="shared" si="38"/>
        <v>23.269600000000001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9"/>
        <v>184</v>
      </c>
      <c r="AE97" s="235" t="str">
        <f t="shared" si="40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97" s="234" t="str">
        <f t="shared" si="41"/>
        <v>"C:\Program Files (x86)\AstroGrep\AstroGrep.exe" /e /r /s /spath="%USERPROFILE%\AppData\Local\Temp\OnboardLogs" /stypes="app*4033*20171210*" /stext=" 22:.+((SYSTEM_STATE.+slice.+state.+changed )|(ment ac)|(multiple cpu faults)|(system.+state.+changed )|(\[timeout)|(PRM\|1\|D)|(kpr)|(kdp)|(train st.+moving)|(\|lc)|(penalty))"</v>
      </c>
      <c r="AG97" s="244" t="str">
        <f t="shared" si="42"/>
        <v>EC</v>
      </c>
      <c r="AH97" s="236" t="str">
        <f t="shared" si="43"/>
        <v>"%USERPROFILE%\Documents\GitHub\eaglep3\Utilities\RefineRTDCRunTimes.py" --tripid 184-10 --locoid 4033 --swversion DE.1.0.9.0 --startMP 204:232936 --initTime 2017-12-10T14:48:18 --startdatetime 2017-12-10T14:57:13 --delay 60 --endMP 204:240 --enddatetime 2017-12-10T15:36:06 --enforcementcount 0 &gt;&gt;%USERPROFILE%\Documents\GitHub\eaglep3-reporting\EC\2017-12-10-refined-times.txt</v>
      </c>
      <c r="AI9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{"issue":{"subject":"","project_id":79,"tracker_id":40,"status_id":1,"priority_id":2,"assigned_to_id":338,"start_date":"2017-12-10","description":"","custom_fields":[{"id":1,"name":"Subdivision","value":"EC"},{"id":4,"name":"Milepost","value":"0.024"},{"id":17,"name":"Train ID","value":"184-10"},{"id":16,"name":"Locomotive ID","value":"4033"},{"id":130,"name":"Impact","value":""},{"id":150,"name":"Time of Event (Mountain Time)","value":"15:36:06"},{"id":151,"name":"Denver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5"/>
        <v>start /low /b %USERPROFILE%\Documents\GitHub\eaglep3\Utilities\DownloadLogsFromS3.py --loco 4033 --day 2017-12-10</v>
      </c>
      <c r="AN97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7"/>
        <v>https://d0f6bd738d7f1b3e5a7ca70fe4ff75f0.us-east-1.aws.found.io/app/kibana#/discover/Steve-Slow-Train-Analysis-(2080s-and-2083s)?_g=(refreshInterval:(display:Off,pause:!f,section:0,value:0),time:(from:'2017-12-10T13:48:18-0700',mode:absolute,to:'2017-12-10T16:36:06-0700'))&amp;_a=(columns:!('Message%20ID',Summary),filters:!(),index:'emp_*',interval:auto,query:(query_string:(analyze_wildcard:!t,query:'%22rtdc.l.rtdc.4033%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855</v>
      </c>
      <c r="B98" s="225">
        <v>4024</v>
      </c>
      <c r="C98" s="227" t="s">
        <v>192</v>
      </c>
      <c r="D98" s="227" t="s">
        <v>590</v>
      </c>
      <c r="E98" s="226">
        <v>43079.589212962965</v>
      </c>
      <c r="F98" s="226">
        <v>43079.5940162037</v>
      </c>
      <c r="G98" s="225">
        <v>63</v>
      </c>
      <c r="H98" s="227" t="s">
        <v>554</v>
      </c>
      <c r="I98" s="226">
        <v>43079.61928240741</v>
      </c>
      <c r="J98" s="225">
        <v>0</v>
      </c>
      <c r="K98" s="237" t="str">
        <f t="shared" si="32"/>
        <v>4023/4024</v>
      </c>
      <c r="L98" s="245" t="str">
        <f>VLOOKUP(A98,'Trips&amp;Operators'!$C$1:$G$99911,5,FALSE)</f>
        <v>STEWART MICHAEL</v>
      </c>
      <c r="M98" s="224">
        <f t="shared" si="33"/>
        <v>2.5266203709179536E-2</v>
      </c>
      <c r="N98" s="225">
        <f t="shared" si="50"/>
        <v>36.383333341218531</v>
      </c>
      <c r="O98" s="225"/>
      <c r="P98" s="225"/>
      <c r="Q98" s="228"/>
      <c r="R98" s="242"/>
      <c r="S98" s="249">
        <f t="shared" si="49"/>
        <v>1</v>
      </c>
      <c r="T98" s="242" t="str">
        <f t="shared" si="34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5"/>
        <v>https://d0f6bd738d7f1b3e5a7ca70fe4ff75f0.us-east-1.aws.found.io/app/kibana#/discover/Steve-Slow-Train-Analysis-(2080s-and-2083s)?_g=(refreshInterval:(display:Off,pause:!f,section:0,value:0),time:(from:'2017-12-10T13:08:28-0700',mode:absolute,to:'2017-12-10T15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8" s="247" t="str">
        <f>IF(AA98&lt;VLOOKUP(AG98,Variables!$AC$3:$AD$8,2,FALSE),"Y","N")</f>
        <v>N</v>
      </c>
      <c r="X98" s="247">
        <f t="shared" si="48"/>
        <v>1</v>
      </c>
      <c r="Y98" s="247">
        <f t="shared" si="36"/>
        <v>5.0799999999999998E-2</v>
      </c>
      <c r="Z98" s="247">
        <f t="shared" si="37"/>
        <v>23.3247</v>
      </c>
      <c r="AA98" s="247">
        <f t="shared" si="38"/>
        <v>23.273900000000001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9"/>
        <v>185</v>
      </c>
      <c r="AE98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98" s="234" t="str">
        <f t="shared" si="41"/>
        <v>"C:\Program Files (x86)\AstroGrep\AstroGrep.exe" /e /r /s /spath="%USERPROFILE%\AppData\Local\Temp\OnboardLogs" /stypes="app*4024*20171210*" /stext=" 21:.+((SYSTEM_STATE.+slice.+state.+changed )|(ment ac)|(multiple cpu faults)|(system.+state.+changed )|(\[timeout)|(PRM\|1\|D)|(kpr)|(kdp)|(train st.+moving)|(\|lc)|(penalty))"</v>
      </c>
      <c r="AG98" s="244" t="str">
        <f t="shared" si="42"/>
        <v>EC</v>
      </c>
      <c r="AH98" s="236" t="str">
        <f t="shared" si="43"/>
        <v>"%USERPROFILE%\Documents\GitHub\eaglep3\Utilities\RefineRTDCRunTimes.py" --tripid 185-10 --locoid 4024 --swversion DE.1.0.9.0 --startMP 204:508 --initTime 2017-12-10T14:08:28 --startdatetime 2017-12-10T14:15:23 --delay 63 --endMP 204:233247 --enddatetime 2017-12-10T14:51:46 --enforcementcount 0 &gt;&gt;%USERPROFILE%\Documents\GitHub\eaglep3-reporting\EC\2017-12-10-refined-times.txt</v>
      </c>
      <c r="AI9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{"issue":{"subject":"","project_id":79,"tracker_id":40,"status_id":1,"priority_id":2,"assigned_to_id":338,"start_date":"2017-12-10","description":"","custom_fields":[{"id":1,"name":"Subdivision","value":"EC"},{"id":4,"name":"Milepost","value":"23.3247"},{"id":17,"name":"Train ID","value":"185-10"},{"id":16,"name":"Locomotive ID","value":"4024"},{"id":130,"name":"Impact","value":""},{"id":150,"name":"Time of Event (Mountain Time)","value":"14:51:46"},{"id":151,"name":"Denver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5"/>
        <v>start /low /b %USERPROFILE%\Documents\GitHub\eaglep3\Utilities\DownloadLogsFromS3.py --loco 4024 --day 2017-12-10</v>
      </c>
      <c r="AN98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7"/>
        <v>https://d0f6bd738d7f1b3e5a7ca70fe4ff75f0.us-east-1.aws.found.io/app/kibana#/discover/Steve-Slow-Train-Analysis-(2080s-and-2083s)?_g=(refreshInterval:(display:Off,pause:!f,section:0,value:0),time:(from:'2017-12-10T13:08:28-0700',mode:absolute,to:'2017-12-10T15:51:46-0700'))&amp;_a=(columns:!('Message%20ID',Summary),filters:!(),index:'emp_*',interval:auto,query:(query_string:(analyze_wildcard:!t,query:'%22rtdc.l.rtdc.4024%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863</v>
      </c>
      <c r="B99" s="225">
        <v>4023</v>
      </c>
      <c r="C99" s="227" t="s">
        <v>192</v>
      </c>
      <c r="D99" s="227" t="s">
        <v>476</v>
      </c>
      <c r="E99" s="226">
        <v>43079.631099537037</v>
      </c>
      <c r="F99" s="226">
        <v>43079.633530092593</v>
      </c>
      <c r="G99" s="225">
        <v>60</v>
      </c>
      <c r="H99" s="227" t="s">
        <v>479</v>
      </c>
      <c r="I99" s="226">
        <v>43079.660671296297</v>
      </c>
      <c r="J99" s="225">
        <v>0</v>
      </c>
      <c r="K99" s="237" t="str">
        <f t="shared" si="32"/>
        <v>4023/4024</v>
      </c>
      <c r="L99" s="245" t="str">
        <f>VLOOKUP(A99,'Trips&amp;Operators'!$C$1:$G$99911,5,FALSE)</f>
        <v>STEWART MICHAEL</v>
      </c>
      <c r="M99" s="224">
        <f t="shared" si="33"/>
        <v>2.7141203703649808E-2</v>
      </c>
      <c r="N99" s="225">
        <f t="shared" si="50"/>
        <v>39.083333333255723</v>
      </c>
      <c r="O99" s="225"/>
      <c r="P99" s="225"/>
      <c r="Q99" s="228"/>
      <c r="R99" s="242"/>
      <c r="S99" s="249">
        <f t="shared" si="49"/>
        <v>1</v>
      </c>
      <c r="T99" s="242" t="str">
        <f t="shared" si="34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5"/>
        <v>https://d0f6bd738d7f1b3e5a7ca70fe4ff75f0.us-east-1.aws.found.io/app/kibana#/discover/Steve-Slow-Train-Analysis-(2080s-and-2083s)?_g=(refreshInterval:(display:Off,pause:!f,section:0,value:0),time:(from:'2017-12-10T14:08:47-0700',mode:absolute,to:'2017-12-10T16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9" s="247" t="str">
        <f>IF(AA99&lt;VLOOKUP(AG99,Variables!$AC$3:$AD$8,2,FALSE),"Y","N")</f>
        <v>N</v>
      </c>
      <c r="X99" s="247">
        <f t="shared" si="48"/>
        <v>1</v>
      </c>
      <c r="Y99" s="247">
        <f t="shared" si="36"/>
        <v>23.292100000000001</v>
      </c>
      <c r="Z99" s="247">
        <f t="shared" si="37"/>
        <v>2.12E-2</v>
      </c>
      <c r="AA99" s="247">
        <f t="shared" si="38"/>
        <v>23.270900000000001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9"/>
        <v>186</v>
      </c>
      <c r="AE99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99" s="234" t="str">
        <f t="shared" si="41"/>
        <v>"C:\Program Files (x86)\AstroGrep\AstroGrep.exe" /e /r /s /spath="%USERPROFILE%\AppData\Local\Temp\OnboardLogs" /stypes="app*4023*20171210*" /stext=" 22:.+((SYSTEM_STATE.+slice.+state.+changed )|(ment ac)|(multiple cpu faults)|(system.+state.+changed )|(\[timeout)|(PRM\|1\|D)|(kpr)|(kdp)|(train st.+moving)|(\|lc)|(penalty))"</v>
      </c>
      <c r="AG99" s="244" t="str">
        <f t="shared" si="42"/>
        <v>EC</v>
      </c>
      <c r="AH99" s="236" t="str">
        <f t="shared" si="43"/>
        <v>"%USERPROFILE%\Documents\GitHub\eaglep3\Utilities\RefineRTDCRunTimes.py" --tripid 186-10 --locoid 4023 --swversion DE.1.0.9.0 --startMP 204:232921 --initTime 2017-12-10T15:08:47 --startdatetime 2017-12-10T15:12:17 --delay 60 --endMP 204:212 --enddatetime 2017-12-10T15:51:22 --enforcementcount 0 &gt;&gt;%USERPROFILE%\Documents\GitHub\eaglep3-reporting\EC\2017-12-10-refined-times.txt</v>
      </c>
      <c r="AI9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{"issue":{"subject":"","project_id":79,"tracker_id":40,"status_id":1,"priority_id":2,"assigned_to_id":338,"start_date":"2017-12-10","description":"","custom_fields":[{"id":1,"name":"Subdivision","value":"EC"},{"id":4,"name":"Milepost","value":"0.0212"},{"id":17,"name":"Train ID","value":"186-10"},{"id":16,"name":"Locomotive ID","value":"4023"},{"id":130,"name":"Impact","value":""},{"id":150,"name":"Time of Event (Mountain Time)","value":"15:51:22"},{"id":151,"name":"Denver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5"/>
        <v>start /low /b %USERPROFILE%\Documents\GitHub\eaglep3\Utilities\DownloadLogsFromS3.py --loco 4023 --day 2017-12-10</v>
      </c>
      <c r="AN99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7"/>
        <v>https://d0f6bd738d7f1b3e5a7ca70fe4ff75f0.us-east-1.aws.found.io/app/kibana#/discover/Steve-Slow-Train-Analysis-(2080s-and-2083s)?_g=(refreshInterval:(display:Off,pause:!f,section:0,value:0),time:(from:'2017-12-10T14:08:47-0700',mode:absolute,to:'2017-12-10T16:51:22-0700'))&amp;_a=(columns:!('Message%20ID',Summary),filters:!(),index:'emp_*',interval:auto,query:(query_string:(analyze_wildcard:!t,query:'%22rtdc.l.rtdc.4023%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857</v>
      </c>
      <c r="B100" s="225">
        <v>4018</v>
      </c>
      <c r="C100" s="227" t="s">
        <v>192</v>
      </c>
      <c r="D100" s="227" t="s">
        <v>445</v>
      </c>
      <c r="E100" s="226">
        <v>43079.59920138889</v>
      </c>
      <c r="F100" s="226">
        <v>43079.604328703703</v>
      </c>
      <c r="G100" s="225">
        <v>60</v>
      </c>
      <c r="H100" s="227" t="s">
        <v>616</v>
      </c>
      <c r="I100" s="226">
        <v>43079.631377314814</v>
      </c>
      <c r="J100" s="225">
        <v>0</v>
      </c>
      <c r="K100" s="237" t="str">
        <f t="shared" si="32"/>
        <v>4017/4018</v>
      </c>
      <c r="L100" s="245" t="str">
        <f>VLOOKUP(A100,'Trips&amp;Operators'!$C$1:$G$99911,5,FALSE)</f>
        <v>SMITH MICHAEL</v>
      </c>
      <c r="M100" s="224">
        <f t="shared" si="33"/>
        <v>2.7048611111240461E-2</v>
      </c>
      <c r="N100" s="225">
        <f t="shared" si="50"/>
        <v>38.950000000186265</v>
      </c>
      <c r="O100" s="225"/>
      <c r="P100" s="225"/>
      <c r="Q100" s="228"/>
      <c r="R100" s="242"/>
      <c r="S100" s="249">
        <f t="shared" si="49"/>
        <v>1</v>
      </c>
      <c r="T100" s="242" t="str">
        <f t="shared" si="34"/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5"/>
        <v>https://d0f6bd738d7f1b3e5a7ca70fe4ff75f0.us-east-1.aws.found.io/app/kibana#/discover/Steve-Slow-Train-Analysis-(2080s-and-2083s)?_g=(refreshInterval:(display:Off,pause:!f,section:0,value:0),time:(from:'2017-12-10T13:22:51-0700',mode:absolute,to:'2017-12-10T16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247" t="str">
        <f>IF(AA100&lt;VLOOKUP(AG100,Variables!$AC$3:$AD$8,2,FALSE),"Y","N")</f>
        <v>N</v>
      </c>
      <c r="X100" s="247">
        <f t="shared" si="48"/>
        <v>1</v>
      </c>
      <c r="Y100" s="247">
        <f t="shared" si="36"/>
        <v>5.3699999999999998E-2</v>
      </c>
      <c r="Z100" s="247">
        <f t="shared" si="37"/>
        <v>23.3246</v>
      </c>
      <c r="AA100" s="247">
        <f t="shared" si="38"/>
        <v>23.270900000000001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9"/>
        <v>187</v>
      </c>
      <c r="AE100" s="235" t="str">
        <f t="shared" si="40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100" s="234" t="str">
        <f t="shared" si="41"/>
        <v>"C:\Program Files (x86)\AstroGrep\AstroGrep.exe" /e /r /s /spath="%USERPROFILE%\AppData\Local\Temp\OnboardLogs" /stypes="app*4018*20171210*" /stext=" 22:.+((SYSTEM_STATE.+slice.+state.+changed )|(ment ac)|(multiple cpu faults)|(system.+state.+changed )|(\[timeout)|(PRM\|1\|D)|(kpr)|(kdp)|(train st.+moving)|(\|lc)|(penalty))"</v>
      </c>
      <c r="AG100" s="244" t="str">
        <f t="shared" si="42"/>
        <v>EC</v>
      </c>
      <c r="AH100" s="236" t="str">
        <f t="shared" si="43"/>
        <v>"%USERPROFILE%\Documents\GitHub\eaglep3\Utilities\RefineRTDCRunTimes.py" --tripid 187-10 --locoid 4018 --swversion DE.1.0.9.0 --startMP 204:537 --initTime 2017-12-10T14:22:51 --startdatetime 2017-12-10T14:30:14 --delay 60 --endMP 204:233246 --enddatetime 2017-12-10T15:09:11 --enforcementcount 0 &gt;&gt;%USERPROFILE%\Documents\GitHub\eaglep3-reporting\EC\2017-12-10-refined-times.txt</v>
      </c>
      <c r="AI10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{"issue":{"subject":"","project_id":79,"tracker_id":40,"status_id":1,"priority_id":2,"assigned_to_id":338,"start_date":"2017-12-10","description":"","custom_fields":[{"id":1,"name":"Subdivision","value":"EC"},{"id":4,"name":"Milepost","value":"23.3246"},{"id":17,"name":"Train ID","value":"187-10"},{"id":16,"name":"Locomotive ID","value":"4018"},{"id":130,"name":"Impact","value":""},{"id":150,"name":"Time of Event (Mountain Time)","value":"15:09:11"},{"id":151,"name":"Denver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5"/>
        <v>start /low /b %USERPROFILE%\Documents\GitHub\eaglep3\Utilities\DownloadLogsFromS3.py --loco 4018 --day 2017-12-10</v>
      </c>
      <c r="AN100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7"/>
        <v>https://d0f6bd738d7f1b3e5a7ca70fe4ff75f0.us-east-1.aws.found.io/app/kibana#/discover/Steve-Slow-Train-Analysis-(2080s-and-2083s)?_g=(refreshInterval:(display:Off,pause:!f,section:0,value:0),time:(from:'2017-12-10T13:22:51-0700',mode:absolute,to:'2017-12-10T16:09:11-0700'))&amp;_a=(columns:!('Message%20ID',Summary),filters:!(),index:'emp_*',interval:auto,query:(query_string:(analyze_wildcard:!t,query:'%22rtdc.l.rtdc.4018%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865</v>
      </c>
      <c r="B101" s="225">
        <v>4017</v>
      </c>
      <c r="C101" s="227" t="s">
        <v>192</v>
      </c>
      <c r="D101" s="227" t="s">
        <v>705</v>
      </c>
      <c r="E101" s="226">
        <v>43079.635405092595</v>
      </c>
      <c r="F101" s="226">
        <v>43079.643969907411</v>
      </c>
      <c r="G101" s="225">
        <v>64</v>
      </c>
      <c r="H101" s="227" t="s">
        <v>608</v>
      </c>
      <c r="I101" s="226">
        <v>43079.669641203705</v>
      </c>
      <c r="J101" s="225">
        <v>0</v>
      </c>
      <c r="K101" s="237" t="str">
        <f t="shared" si="32"/>
        <v>4017/4018</v>
      </c>
      <c r="L101" s="245" t="str">
        <f>VLOOKUP(A101,'Trips&amp;Operators'!$C$1:$G$99911,5,FALSE)</f>
        <v>SMITH MICHAEL</v>
      </c>
      <c r="M101" s="224">
        <f t="shared" si="33"/>
        <v>2.5671296294603962E-2</v>
      </c>
      <c r="N101" s="225">
        <f t="shared" si="50"/>
        <v>36.966666664229706</v>
      </c>
      <c r="O101" s="225"/>
      <c r="P101" s="225"/>
      <c r="Q101" s="228"/>
      <c r="R101" s="242"/>
      <c r="S101" s="249">
        <f t="shared" si="49"/>
        <v>1</v>
      </c>
      <c r="T101" s="242" t="str">
        <f t="shared" si="34"/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5"/>
        <v>https://d0f6bd738d7f1b3e5a7ca70fe4ff75f0.us-east-1.aws.found.io/app/kibana#/discover/Steve-Slow-Train-Analysis-(2080s-and-2083s)?_g=(refreshInterval:(display:Off,pause:!f,section:0,value:0),time:(from:'2017-12-10T14:14:59-0700',mode:absolute,to:'2017-12-10T17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247" t="str">
        <f>IF(AA101&lt;VLOOKUP(AG101,Variables!$AC$3:$AD$8,2,FALSE),"Y","N")</f>
        <v>N</v>
      </c>
      <c r="X101" s="247">
        <f t="shared" si="48"/>
        <v>1</v>
      </c>
      <c r="Y101" s="247">
        <f t="shared" si="36"/>
        <v>23.293399999999998</v>
      </c>
      <c r="Z101" s="247">
        <f t="shared" si="37"/>
        <v>0.02</v>
      </c>
      <c r="AA101" s="247">
        <f t="shared" si="38"/>
        <v>23.273399999999999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9"/>
        <v>188</v>
      </c>
      <c r="AE101" s="235" t="str">
        <f t="shared" si="40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101" s="234" t="str">
        <f t="shared" si="41"/>
        <v>"C:\Program Files (x86)\AstroGrep\AstroGrep.exe" /e /r /s /spath="%USERPROFILE%\AppData\Local\Temp\OnboardLogs" /stypes="app*4017*20171210*" /stext=" 23:.+((SYSTEM_STATE.+slice.+state.+changed )|(ment ac)|(multiple cpu faults)|(system.+state.+changed )|(\[timeout)|(PRM\|1\|D)|(kpr)|(kdp)|(train st.+moving)|(\|lc)|(penalty))"</v>
      </c>
      <c r="AG101" s="244" t="str">
        <f t="shared" si="42"/>
        <v>EC</v>
      </c>
      <c r="AH101" s="236" t="str">
        <f t="shared" si="43"/>
        <v>"%USERPROFILE%\Documents\GitHub\eaglep3\Utilities\RefineRTDCRunTimes.py" --tripid 188-10 --locoid 4017 --swversion DE.1.0.9.0 --startMP 204:232934 --initTime 2017-12-10T15:14:59 --startdatetime 2017-12-10T15:27:19 --delay 64 --endMP 204:200 --enddatetime 2017-12-10T16:04:17 --enforcementcount 0 &gt;&gt;%USERPROFILE%\Documents\GitHub\eaglep3-reporting\EC\2017-12-10-refined-times.txt</v>
      </c>
      <c r="AI10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{"issue":{"subject":"","project_id":79,"tracker_id":40,"status_id":1,"priority_id":2,"assigned_to_id":338,"start_date":"2017-12-10","description":"","custom_fields":[{"id":1,"name":"Subdivision","value":"EC"},{"id":4,"name":"Milepost","value":"0.02"},{"id":17,"name":"Train ID","value":"188-10"},{"id":16,"name":"Locomotive ID","value":"4017"},{"id":130,"name":"Impact","value":""},{"id":150,"name":"Time of Event (Mountain Time)","value":"16:04:17"},{"id":151,"name":"Denver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5"/>
        <v>start /low /b %USERPROFILE%\Documents\GitHub\eaglep3\Utilities\DownloadLogsFromS3.py --loco 4017 --day 2017-12-10</v>
      </c>
      <c r="AN101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7"/>
        <v>https://d0f6bd738d7f1b3e5a7ca70fe4ff75f0.us-east-1.aws.found.io/app/kibana#/discover/Steve-Slow-Train-Analysis-(2080s-and-2083s)?_g=(refreshInterval:(display:Off,pause:!f,section:0,value:0),time:(from:'2017-12-10T14:14:59-0700',mode:absolute,to:'2017-12-10T17:04:17-0700'))&amp;_a=(columns:!('Message%20ID',Summary),filters:!(),index:'emp_*',interval:auto,query:(query_string:(analyze_wildcard:!t,query:'%22rtdc.l.rtdc.4017%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741</v>
      </c>
      <c r="B102" s="225">
        <v>4012</v>
      </c>
      <c r="C102" s="227" t="s">
        <v>192</v>
      </c>
      <c r="D102" s="227" t="s">
        <v>590</v>
      </c>
      <c r="E102" s="226">
        <v>43079.612534722219</v>
      </c>
      <c r="F102" s="226">
        <v>43079.614953703705</v>
      </c>
      <c r="G102" s="225">
        <v>67</v>
      </c>
      <c r="H102" s="227" t="s">
        <v>973</v>
      </c>
      <c r="I102" s="226">
        <v>43079.64166666667</v>
      </c>
      <c r="J102" s="225">
        <v>0</v>
      </c>
      <c r="K102" s="237" t="str">
        <f t="shared" si="32"/>
        <v>4011/4012</v>
      </c>
      <c r="L102" s="245" t="str">
        <f>VLOOKUP(A102,'Trips&amp;Operators'!$C$1:$G$99911,5,FALSE)</f>
        <v>DAVIS MICHAEL</v>
      </c>
      <c r="M102" s="224">
        <f t="shared" si="33"/>
        <v>2.6712962964666076E-2</v>
      </c>
      <c r="N102" s="225">
        <f t="shared" si="50"/>
        <v>38.466666669119149</v>
      </c>
      <c r="O102" s="225"/>
      <c r="P102" s="225"/>
      <c r="Q102" s="228"/>
      <c r="R102" s="242"/>
      <c r="S102" s="249">
        <f t="shared" si="49"/>
        <v>1</v>
      </c>
      <c r="T102" s="242" t="str">
        <f t="shared" si="34"/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5"/>
        <v>https://d0f6bd738d7f1b3e5a7ca70fe4ff75f0.us-east-1.aws.found.io/app/kibana#/discover/Steve-Slow-Train-Analysis-(2080s-and-2083s)?_g=(refreshInterval:(display:Off,pause:!f,section:0,value:0),time:(from:'2017-12-10T13:42:03-0700',mode:absolute,to:'2017-12-10T16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2" s="247" t="str">
        <f>IF(AA102&lt;VLOOKUP(AG102,Variables!$AC$3:$AD$8,2,FALSE),"Y","N")</f>
        <v>N</v>
      </c>
      <c r="X102" s="247">
        <f t="shared" si="48"/>
        <v>1</v>
      </c>
      <c r="Y102" s="247">
        <f t="shared" si="36"/>
        <v>5.0799999999999998E-2</v>
      </c>
      <c r="Z102" s="247">
        <f t="shared" si="37"/>
        <v>23.3307</v>
      </c>
      <c r="AA102" s="247">
        <f t="shared" si="38"/>
        <v>23.279900000000001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9"/>
        <v>189</v>
      </c>
      <c r="AE102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02" s="234" t="str">
        <f t="shared" si="41"/>
        <v>"C:\Program Files (x86)\AstroGrep\AstroGrep.exe" /e /r /s /spath="%USERPROFILE%\AppData\Local\Temp\OnboardLogs" /stypes="app*4012*20171210*" /stext=" 22:.+((SYSTEM_STATE.+slice.+state.+changed )|(ment ac)|(multiple cpu faults)|(system.+state.+changed )|(\[timeout)|(PRM\|1\|D)|(kpr)|(kdp)|(train st.+moving)|(\|lc)|(penalty))"</v>
      </c>
      <c r="AG102" s="244" t="str">
        <f t="shared" si="42"/>
        <v>EC</v>
      </c>
      <c r="AH102" s="236" t="str">
        <f t="shared" si="43"/>
        <v>"%USERPROFILE%\Documents\GitHub\eaglep3\Utilities\RefineRTDCRunTimes.py" --tripid 189-10 --locoid 4012 --swversion DE.1.0.9.0 --startMP 204:508 --initTime 2017-12-10T14:42:03 --startdatetime 2017-12-10T14:45:32 --delay 67 --endMP 204:233307 --enddatetime 2017-12-10T15:24:00 --enforcementcount 0 &gt;&gt;%USERPROFILE%\Documents\GitHub\eaglep3-reporting\EC\2017-12-10-refined-times.txt</v>
      </c>
      <c r="AI10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{"issue":{"subject":"","project_id":79,"tracker_id":40,"status_id":1,"priority_id":2,"assigned_to_id":338,"start_date":"2017-12-10","description":"","custom_fields":[{"id":1,"name":"Subdivision","value":"EC"},{"id":4,"name":"Milepost","value":"23.3307"},{"id":17,"name":"Train ID","value":"189-10"},{"id":16,"name":"Locomotive ID","value":"4012"},{"id":130,"name":"Impact","value":""},{"id":150,"name":"Time of Event (Mountain Time)","value":"15:24:00"},{"id":151,"name":"Denver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5"/>
        <v>start /low /b %USERPROFILE%\Documents\GitHub\eaglep3\Utilities\DownloadLogsFromS3.py --loco 4012 --day 2017-12-10</v>
      </c>
      <c r="AN102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7"/>
        <v>https://d0f6bd738d7f1b3e5a7ca70fe4ff75f0.us-east-1.aws.found.io/app/kibana#/discover/Steve-Slow-Train-Analysis-(2080s-and-2083s)?_g=(refreshInterval:(display:Off,pause:!f,section:0,value:0),time:(from:'2017-12-10T13:42:03-0700',mode:absolute,to:'2017-12-10T16:24:00-0700'))&amp;_a=(columns:!('Message%20ID',Summary),filters:!(),index:'emp_*',interval:auto,query:(query_string:(analyze_wildcard:!t,query:'%22rtdc.l.rtdc.4012%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870</v>
      </c>
      <c r="B103" s="225">
        <v>4011</v>
      </c>
      <c r="C103" s="227" t="s">
        <v>192</v>
      </c>
      <c r="D103" s="227" t="s">
        <v>1015</v>
      </c>
      <c r="E103" s="226">
        <v>43079.652581018519</v>
      </c>
      <c r="F103" s="226">
        <v>43079.654756944445</v>
      </c>
      <c r="G103" s="225">
        <v>69</v>
      </c>
      <c r="H103" s="227" t="s">
        <v>442</v>
      </c>
      <c r="I103" s="226">
        <v>43079.682951388888</v>
      </c>
      <c r="J103" s="225">
        <v>0</v>
      </c>
      <c r="K103" s="237" t="str">
        <f t="shared" si="32"/>
        <v>4011/4012</v>
      </c>
      <c r="L103" s="245" t="str">
        <f>VLOOKUP(A103,'Trips&amp;Operators'!$C$1:$G$99911,5,FALSE)</f>
        <v>DAVIS MICHAEL</v>
      </c>
      <c r="M103" s="224">
        <f t="shared" si="33"/>
        <v>2.8194444443215616E-2</v>
      </c>
      <c r="N103" s="225">
        <f t="shared" si="50"/>
        <v>40.599999998230487</v>
      </c>
      <c r="O103" s="225"/>
      <c r="P103" s="225"/>
      <c r="Q103" s="228"/>
      <c r="R103" s="242"/>
      <c r="S103" s="249">
        <f t="shared" si="49"/>
        <v>1</v>
      </c>
      <c r="T103" s="242" t="str">
        <f t="shared" si="34"/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5"/>
        <v>https://d0f6bd738d7f1b3e5a7ca70fe4ff75f0.us-east-1.aws.found.io/app/kibana#/discover/Steve-Slow-Train-Analysis-(2080s-and-2083s)?_g=(refreshInterval:(display:Off,pause:!f,section:0,value:0),time:(from:'2017-12-10T14:39:43-0700',mode:absolute,to:'2017-12-10T17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3" s="247" t="str">
        <f>IF(AA103&lt;VLOOKUP(AG103,Variables!$AC$3:$AD$8,2,FALSE),"Y","N")</f>
        <v>N</v>
      </c>
      <c r="X103" s="247">
        <f t="shared" si="48"/>
        <v>1</v>
      </c>
      <c r="Y103" s="247">
        <f t="shared" si="36"/>
        <v>23.2986</v>
      </c>
      <c r="Z103" s="247">
        <f t="shared" si="37"/>
        <v>2.1399999999999999E-2</v>
      </c>
      <c r="AA103" s="247">
        <f t="shared" si="38"/>
        <v>23.277200000000001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9"/>
        <v>190</v>
      </c>
      <c r="AE103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03" s="234" t="str">
        <f t="shared" si="41"/>
        <v>"C:\Program Files (x86)\AstroGrep\AstroGrep.exe" /e /r /s /spath="%USERPROFILE%\AppData\Local\Temp\OnboardLogs" /stypes="app*4011*20171210*" /stext=" 23:.+((SYSTEM_STATE.+slice.+state.+changed )|(ment ac)|(multiple cpu faults)|(system.+state.+changed )|(\[timeout)|(PRM\|1\|D)|(kpr)|(kdp)|(train st.+moving)|(\|lc)|(penalty))"</v>
      </c>
      <c r="AG103" s="244" t="str">
        <f t="shared" si="42"/>
        <v>EC</v>
      </c>
      <c r="AH103" s="236" t="str">
        <f t="shared" si="43"/>
        <v>"%USERPROFILE%\Documents\GitHub\eaglep3\Utilities\RefineRTDCRunTimes.py" --tripid 190-10 --locoid 4011 --swversion DE.1.0.9.0 --startMP 204:232986 --initTime 2017-12-10T15:39:43 --startdatetime 2017-12-10T15:42:51 --delay 69 --endMP 204:214 --enddatetime 2017-12-10T16:23:27 --enforcementcount 0 &gt;&gt;%USERPROFILE%\Documents\GitHub\eaglep3-reporting\EC\2017-12-10-refined-times.txt</v>
      </c>
      <c r="AI10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{"issue":{"subject":"","project_id":79,"tracker_id":40,"status_id":1,"priority_id":2,"assigned_to_id":338,"start_date":"2017-12-10","description":"","custom_fields":[{"id":1,"name":"Subdivision","value":"EC"},{"id":4,"name":"Milepost","value":"0.0214"},{"id":17,"name":"Train ID","value":"190-10"},{"id":16,"name":"Locomotive ID","value":"4011"},{"id":130,"name":"Impact","value":""},{"id":150,"name":"Time of Event (Mountain Time)","value":"16:23:27"},{"id":151,"name":"Denver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5"/>
        <v>start /low /b %USERPROFILE%\Documents\GitHub\eaglep3\Utilities\DownloadLogsFromS3.py --loco 4011 --day 2017-12-10</v>
      </c>
      <c r="AN103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7"/>
        <v>https://d0f6bd738d7f1b3e5a7ca70fe4ff75f0.us-east-1.aws.found.io/app/kibana#/discover/Steve-Slow-Train-Analysis-(2080s-and-2083s)?_g=(refreshInterval:(display:Off,pause:!f,section:0,value:0),time:(from:'2017-12-10T14:39:43-0700',mode:absolute,to:'2017-12-10T17:23:27-0700'))&amp;_a=(columns:!('Message%20ID',Summary),filters:!(),index:'emp_*',interval:auto,query:(query_string:(analyze_wildcard:!t,query:'%22rtdc.l.rtdc.4011%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861</v>
      </c>
      <c r="B104" s="225">
        <v>4030</v>
      </c>
      <c r="C104" s="227" t="s">
        <v>192</v>
      </c>
      <c r="D104" s="227" t="s">
        <v>695</v>
      </c>
      <c r="E104" s="226">
        <v>43079.621666666666</v>
      </c>
      <c r="F104" s="226">
        <v>43079.625277777777</v>
      </c>
      <c r="G104" s="225">
        <v>89</v>
      </c>
      <c r="H104" s="227" t="s">
        <v>1020</v>
      </c>
      <c r="I104" s="226">
        <v>43079.649513888886</v>
      </c>
      <c r="J104" s="225">
        <v>0</v>
      </c>
      <c r="K104" s="237" t="str">
        <f t="shared" si="32"/>
        <v>4029/4030</v>
      </c>
      <c r="L104" s="245" t="str">
        <f>VLOOKUP(A104,'Trips&amp;Operators'!$C$1:$G$99911,5,FALSE)</f>
        <v>SAFIEF AEIMEN</v>
      </c>
      <c r="M104" s="224">
        <f t="shared" si="33"/>
        <v>2.4236111108621117E-2</v>
      </c>
      <c r="N104" s="225">
        <f t="shared" si="50"/>
        <v>34.899999996414408</v>
      </c>
      <c r="O104" s="225"/>
      <c r="P104" s="225"/>
      <c r="Q104" s="228"/>
      <c r="R104" s="242"/>
      <c r="S104" s="249">
        <f t="shared" si="49"/>
        <v>1</v>
      </c>
      <c r="T104" s="242" t="str">
        <f t="shared" si="34"/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5"/>
        <v>https://d0f6bd738d7f1b3e5a7ca70fe4ff75f0.us-east-1.aws.found.io/app/kibana#/discover/Steve-Slow-Train-Analysis-(2080s-and-2083s)?_g=(refreshInterval:(display:Off,pause:!f,section:0,value:0),time:(from:'2017-12-10T13:55:12-0700',mode:absolute,to:'2017-12-10T16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247" t="str">
        <f>IF(AA104&lt;VLOOKUP(AG104,Variables!$AC$3:$AD$8,2,FALSE),"Y","N")</f>
        <v>N</v>
      </c>
      <c r="X104" s="247">
        <f t="shared" si="48"/>
        <v>1</v>
      </c>
      <c r="Y104" s="247">
        <f t="shared" si="36"/>
        <v>4.6199999999999998E-2</v>
      </c>
      <c r="Z104" s="247">
        <f t="shared" si="37"/>
        <v>23.328099999999999</v>
      </c>
      <c r="AA104" s="247">
        <f t="shared" si="38"/>
        <v>23.2819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9"/>
        <v>191</v>
      </c>
      <c r="AE104" s="235" t="str">
        <f t="shared" si="40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04" s="234" t="str">
        <f t="shared" si="41"/>
        <v>"C:\Program Files (x86)\AstroGrep\AstroGrep.exe" /e /r /s /spath="%USERPROFILE%\AppData\Local\Temp\OnboardLogs" /stypes="app*4030*20171210*" /stext=" 22:.+((SYSTEM_STATE.+slice.+state.+changed )|(ment ac)|(multiple cpu faults)|(system.+state.+changed )|(\[timeout)|(PRM\|1\|D)|(kpr)|(kdp)|(train st.+moving)|(\|lc)|(penalty))"</v>
      </c>
      <c r="AG104" s="244" t="str">
        <f t="shared" si="42"/>
        <v>EC</v>
      </c>
      <c r="AH104" s="236" t="str">
        <f t="shared" si="43"/>
        <v>"%USERPROFILE%\Documents\GitHub\eaglep3\Utilities\RefineRTDCRunTimes.py" --tripid 191-10 --locoid 4030 --swversion DE.1.0.9.0 --startMP 204:462 --initTime 2017-12-10T14:55:12 --startdatetime 2017-12-10T15:00:24 --delay 89 --endMP 204:233281 --enddatetime 2017-12-10T15:35:18 --enforcementcount 0 &gt;&gt;%USERPROFILE%\Documents\GitHub\eaglep3-reporting\EC\2017-12-10-refined-times.txt</v>
      </c>
      <c r="AI10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{"issue":{"subject":"","project_id":79,"tracker_id":40,"status_id":1,"priority_id":2,"assigned_to_id":338,"start_date":"2017-12-10","description":"","custom_fields":[{"id":1,"name":"Subdivision","value":"EC"},{"id":4,"name":"Milepost","value":"23.3281"},{"id":17,"name":"Train ID","value":"191-10"},{"id":16,"name":"Locomotive ID","value":"4030"},{"id":130,"name":"Impact","value":""},{"id":150,"name":"Time of Event (Mountain Time)","value":"15:35:18"},{"id":151,"name":"Denver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5"/>
        <v>start /low /b %USERPROFILE%\Documents\GitHub\eaglep3\Utilities\DownloadLogsFromS3.py --loco 4030 --day 2017-12-10</v>
      </c>
      <c r="AN104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7"/>
        <v>https://d0f6bd738d7f1b3e5a7ca70fe4ff75f0.us-east-1.aws.found.io/app/kibana#/discover/Steve-Slow-Train-Analysis-(2080s-and-2083s)?_g=(refreshInterval:(display:Off,pause:!f,section:0,value:0),time:(from:'2017-12-10T13:55:12-0700',mode:absolute,to:'2017-12-10T16:35:18-0700'))&amp;_a=(columns:!('Message%20ID',Summary),filters:!(),index:'emp_*',interval:auto,query:(query_string:(analyze_wildcard:!t,query:'%22rtdc.l.rtdc.4030%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869</v>
      </c>
      <c r="B105" s="225">
        <v>4029</v>
      </c>
      <c r="C105" s="227" t="s">
        <v>192</v>
      </c>
      <c r="D105" s="227" t="s">
        <v>974</v>
      </c>
      <c r="E105" s="226">
        <v>43079.651574074072</v>
      </c>
      <c r="F105" s="226">
        <v>43079.664826388886</v>
      </c>
      <c r="G105" s="225">
        <v>76</v>
      </c>
      <c r="H105" s="227" t="s">
        <v>548</v>
      </c>
      <c r="I105" s="226">
        <v>43079.690763888888</v>
      </c>
      <c r="J105" s="225">
        <v>0</v>
      </c>
      <c r="K105" s="237" t="str">
        <f t="shared" si="32"/>
        <v>4029/4030</v>
      </c>
      <c r="L105" s="245" t="str">
        <f>VLOOKUP(A105,'Trips&amp;Operators'!$C$1:$G$99911,5,FALSE)</f>
        <v>SAFIEF AEIMEN</v>
      </c>
      <c r="M105" s="224">
        <f t="shared" si="33"/>
        <v>2.5937500002328306E-2</v>
      </c>
      <c r="N105" s="225">
        <f t="shared" si="50"/>
        <v>37.350000003352761</v>
      </c>
      <c r="O105" s="225"/>
      <c r="P105" s="225"/>
      <c r="Q105" s="228"/>
      <c r="R105" s="242" t="s">
        <v>1070</v>
      </c>
      <c r="S105" s="249">
        <f t="shared" si="49"/>
        <v>1</v>
      </c>
      <c r="T105" s="242" t="str">
        <f t="shared" si="34"/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5"/>
        <v>https://d0f6bd738d7f1b3e5a7ca70fe4ff75f0.us-east-1.aws.found.io/app/kibana#/discover/Steve-Slow-Train-Analysis-(2080s-and-2083s)?_g=(refreshInterval:(display:Off,pause:!f,section:0,value:0),time:(from:'2017-12-10T14:38:16-0700',mode:absolute,to:'2017-12-10T17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247" t="str">
        <f>IF(AA105&lt;VLOOKUP(AG105,Variables!$AC$3:$AD$8,2,FALSE),"Y","N")</f>
        <v>N</v>
      </c>
      <c r="X105" s="247">
        <f t="shared" si="48"/>
        <v>1</v>
      </c>
      <c r="Y105" s="247">
        <f t="shared" si="36"/>
        <v>23.294699999999999</v>
      </c>
      <c r="Z105" s="247">
        <f t="shared" si="37"/>
        <v>1.9099999999999999E-2</v>
      </c>
      <c r="AA105" s="247">
        <f t="shared" si="38"/>
        <v>23.275599999999997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9"/>
        <v>192</v>
      </c>
      <c r="AE105" s="235" t="str">
        <f t="shared" si="40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105" s="234" t="str">
        <f t="shared" si="41"/>
        <v>"C:\Program Files (x86)\AstroGrep\AstroGrep.exe" /e /r /s /spath="%USERPROFILE%\AppData\Local\Temp\OnboardLogs" /stypes="app*4029*20171210*" /stext=" 23:.+((SYSTEM_STATE.+slice.+state.+changed )|(ment ac)|(multiple cpu faults)|(system.+state.+changed )|(\[timeout)|(PRM\|1\|D)|(kpr)|(kdp)|(train st.+moving)|(\|lc)|(penalty))"</v>
      </c>
      <c r="AG105" s="244" t="str">
        <f t="shared" si="42"/>
        <v>EC</v>
      </c>
      <c r="AH105" s="236" t="str">
        <f t="shared" si="43"/>
        <v>"%USERPROFILE%\Documents\GitHub\eaglep3\Utilities\RefineRTDCRunTimes.py" --tripid 192-10 --locoid 4029 --swversion DE.1.0.9.0 --startMP 204:232947 --initTime 2017-12-10T15:38:16 --startdatetime 2017-12-10T15:57:21 --delay 76 --endMP 204:191 --enddatetime 2017-12-10T16:34:42 --enforcementcount 0 &gt;&gt;%USERPROFILE%\Documents\GitHub\eaglep3-reporting\EC\2017-12-10-refined-times.txt</v>
      </c>
      <c r="AI105" s="238" t="str">
        <f t="shared" si="44"/>
        <v>echo {"issue":{"subject":"Observed unhealthy xing banner at Chambers due to station stop","project_id":79,"tracker_id":40,"status_id":1,"priority_id":2,"assigned_to_id":338,"start_date":"2017-12-10","description":"","custom_fields":[{"id":1,"name":"Subdivision","value":"EC"},{"id":4,"name":"Milepost","value":"0.0191"},{"id":17,"name":"Train ID","value":"192-10"},{"id":16,"name":"Locomotive ID","value":"4029"},{"id":130,"name":"Impact","value":""},{"id":150,"name":"Time of Event (Mountain Time)","value":"16:34:42"},{"id":151,"name":"Denver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5"/>
        <v>start /low /b %USERPROFILE%\Documents\GitHub\eaglep3\Utilities\DownloadLogsFromS3.py --loco 4029 --day 2017-12-10</v>
      </c>
      <c r="AN105" s="241" t="str">
        <f t="shared" si="46"/>
        <v>echo {"issue":{"subject":"Observed unhealthy xing banner at Chambers due to station stop","project_id":30,"tracker_id":4,"status_id":1,"priority_id":1,"assigned_to_id":10,"start_date":"2017-12-10","description":"","custom_fields":[{"id":30,"name":"Category","value":"Issue"},{"id":3,"name":"Functional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7"/>
        <v>https://d0f6bd738d7f1b3e5a7ca70fe4ff75f0.us-east-1.aws.found.io/app/kibana#/discover/Steve-Slow-Train-Analysis-(2080s-and-2083s)?_g=(refreshInterval:(display:Off,pause:!f,section:0,value:0),time:(from:'2017-12-10T14:38:16-0700',mode:absolute,to:'2017-12-10T17:34:42-0700'))&amp;_a=(columns:!('Message%20ID',Summary),filters:!(),index:'emp_*',interval:auto,query:(query_string:(analyze_wildcard:!t,query:'%22rtdc.l.rtdc.4029%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864</v>
      </c>
      <c r="B106" s="225">
        <v>4032</v>
      </c>
      <c r="C106" s="227" t="s">
        <v>192</v>
      </c>
      <c r="D106" s="227" t="s">
        <v>508</v>
      </c>
      <c r="E106" s="226">
        <v>43079.631122685183</v>
      </c>
      <c r="F106" s="226">
        <v>43079.635578703703</v>
      </c>
      <c r="G106" s="225">
        <v>67</v>
      </c>
      <c r="H106" s="227" t="s">
        <v>704</v>
      </c>
      <c r="I106" s="226">
        <v>43079.661041666666</v>
      </c>
      <c r="J106" s="225">
        <v>0</v>
      </c>
      <c r="K106" s="237" t="str">
        <f t="shared" si="32"/>
        <v>4031/4032</v>
      </c>
      <c r="L106" s="245" t="str">
        <f>VLOOKUP(A106,'Trips&amp;Operators'!$C$1:$G$99911,5,FALSE)</f>
        <v>GUZMAN DANNY</v>
      </c>
      <c r="M106" s="224">
        <f t="shared" si="33"/>
        <v>2.5462962963501923E-2</v>
      </c>
      <c r="N106" s="225">
        <f t="shared" si="50"/>
        <v>36.666666667442769</v>
      </c>
      <c r="O106" s="225"/>
      <c r="P106" s="225"/>
      <c r="Q106" s="228"/>
      <c r="R106" s="242"/>
      <c r="S106" s="249">
        <f t="shared" si="49"/>
        <v>1</v>
      </c>
      <c r="T106" s="242" t="str">
        <f t="shared" si="34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5"/>
        <v>https://d0f6bd738d7f1b3e5a7ca70fe4ff75f0.us-east-1.aws.found.io/app/kibana#/discover/Steve-Slow-Train-Analysis-(2080s-and-2083s)?_g=(refreshInterval:(display:Off,pause:!f,section:0,value:0),time:(from:'2017-12-10T14:08:49-0700',mode:absolute,to:'2017-12-10T16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247" t="str">
        <f>IF(AA106&lt;VLOOKUP(AG106,Variables!$AC$3:$AD$8,2,FALSE),"Y","N")</f>
        <v>N</v>
      </c>
      <c r="X106" s="247">
        <f t="shared" si="48"/>
        <v>1</v>
      </c>
      <c r="Y106" s="247">
        <f t="shared" si="36"/>
        <v>5.4600000000000003E-2</v>
      </c>
      <c r="Z106" s="247">
        <f t="shared" si="37"/>
        <v>23.3263</v>
      </c>
      <c r="AA106" s="247">
        <f t="shared" si="38"/>
        <v>23.271699999999999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9"/>
        <v>193</v>
      </c>
      <c r="AE106" s="235" t="str">
        <f t="shared" si="40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106" s="234" t="str">
        <f t="shared" si="41"/>
        <v>"C:\Program Files (x86)\AstroGrep\AstroGrep.exe" /e /r /s /spath="%USERPROFILE%\AppData\Local\Temp\OnboardLogs" /stypes="app*4032*20171210*" /stext=" 22:.+((SYSTEM_STATE.+slice.+state.+changed )|(ment ac)|(multiple cpu faults)|(system.+state.+changed )|(\[timeout)|(PRM\|1\|D)|(kpr)|(kdp)|(train st.+moving)|(\|lc)|(penalty))"</v>
      </c>
      <c r="AG106" s="244" t="str">
        <f t="shared" si="42"/>
        <v>EC</v>
      </c>
      <c r="AH106" s="236" t="str">
        <f t="shared" si="43"/>
        <v>"%USERPROFILE%\Documents\GitHub\eaglep3\Utilities\RefineRTDCRunTimes.py" --tripid 193-10 --locoid 4032 --swversion DE.1.0.9.0 --startMP 204:546 --initTime 2017-12-10T15:08:49 --startdatetime 2017-12-10T15:15:14 --delay 67 --endMP 204:233263 --enddatetime 2017-12-10T15:51:54 --enforcementcount 0 &gt;&gt;%USERPROFILE%\Documents\GitHub\eaglep3-reporting\EC\2017-12-10-refined-times.txt</v>
      </c>
      <c r="AI10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{"issue":{"subject":"","project_id":79,"tracker_id":40,"status_id":1,"priority_id":2,"assigned_to_id":338,"start_date":"2017-12-10","description":"","custom_fields":[{"id":1,"name":"Subdivision","value":"EC"},{"id":4,"name":"Milepost","value":"23.3263"},{"id":17,"name":"Train ID","value":"193-10"},{"id":16,"name":"Locomotive ID","value":"4032"},{"id":130,"name":"Impact","value":""},{"id":150,"name":"Time of Event (Mountain Time)","value":"15:51:54"},{"id":151,"name":"Denver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5"/>
        <v>start /low /b %USERPROFILE%\Documents\GitHub\eaglep3\Utilities\DownloadLogsFromS3.py --loco 4032 --day 2017-12-10</v>
      </c>
      <c r="AN106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7"/>
        <v>https://d0f6bd738d7f1b3e5a7ca70fe4ff75f0.us-east-1.aws.found.io/app/kibana#/discover/Steve-Slow-Train-Analysis-(2080s-and-2083s)?_g=(refreshInterval:(display:Off,pause:!f,section:0,value:0),time:(from:'2017-12-10T14:08:49-0700',mode:absolute,to:'2017-12-10T16:51:54-0700'))&amp;_a=(columns:!('Message%20ID',Summary),filters:!(),index:'emp_*',interval:auto,query:(query_string:(analyze_wildcard:!t,query:'%22rtdc.l.rtdc.4032%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871</v>
      </c>
      <c r="B107" s="225">
        <v>4031</v>
      </c>
      <c r="C107" s="227" t="s">
        <v>192</v>
      </c>
      <c r="D107" s="227" t="s">
        <v>610</v>
      </c>
      <c r="E107" s="226">
        <v>43079.662951388891</v>
      </c>
      <c r="F107" s="226">
        <v>43079.675173611111</v>
      </c>
      <c r="G107" s="225">
        <v>58</v>
      </c>
      <c r="H107" s="227" t="s">
        <v>1021</v>
      </c>
      <c r="I107" s="226">
        <v>43079.700532407405</v>
      </c>
      <c r="J107" s="225">
        <v>0</v>
      </c>
      <c r="K107" s="237" t="str">
        <f t="shared" si="32"/>
        <v>4031/4032</v>
      </c>
      <c r="L107" s="245" t="str">
        <f>VLOOKUP(A107,'Trips&amp;Operators'!$C$1:$G$99911,5,FALSE)</f>
        <v>GUZMAN DANNY</v>
      </c>
      <c r="M107" s="224">
        <f t="shared" si="33"/>
        <v>2.5358796294312924E-2</v>
      </c>
      <c r="N107" s="225">
        <f t="shared" si="50"/>
        <v>36.516666663810611</v>
      </c>
      <c r="O107" s="225"/>
      <c r="P107" s="225"/>
      <c r="Q107" s="228"/>
      <c r="R107" s="242"/>
      <c r="S107" s="249">
        <f t="shared" si="49"/>
        <v>1</v>
      </c>
      <c r="T107" s="242" t="str">
        <f t="shared" si="34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5"/>
        <v>https://d0f6bd738d7f1b3e5a7ca70fe4ff75f0.us-east-1.aws.found.io/app/kibana#/discover/Steve-Slow-Train-Analysis-(2080s-and-2083s)?_g=(refreshInterval:(display:Off,pause:!f,section:0,value:0),time:(from:'2017-12-10T14:54:39-0700',mode:absolute,to:'2017-12-10T17:48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247" t="str">
        <f>IF(AA107&lt;VLOOKUP(AG107,Variables!$AC$3:$AD$8,2,FALSE),"Y","N")</f>
        <v>N</v>
      </c>
      <c r="X107" s="247">
        <f t="shared" si="48"/>
        <v>1</v>
      </c>
      <c r="Y107" s="247">
        <f t="shared" si="36"/>
        <v>23.295000000000002</v>
      </c>
      <c r="Z107" s="247">
        <f t="shared" si="37"/>
        <v>2.7400000000000001E-2</v>
      </c>
      <c r="AA107" s="247">
        <f t="shared" si="38"/>
        <v>23.267600000000002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9"/>
        <v>194</v>
      </c>
      <c r="AE107" s="235" t="str">
        <f t="shared" si="40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107" s="234" t="str">
        <f t="shared" si="41"/>
        <v>"C:\Program Files (x86)\AstroGrep\AstroGrep.exe" /e /r /s /spath="%USERPROFILE%\AppData\Local\Temp\OnboardLogs" /stypes="app*4031*20171210*" /stext=" 23:.+((SYSTEM_STATE.+slice.+state.+changed )|(ment ac)|(multiple cpu faults)|(system.+state.+changed )|(\[timeout)|(PRM\|1\|D)|(kpr)|(kdp)|(train st.+moving)|(\|lc)|(penalty))"</v>
      </c>
      <c r="AG107" s="244" t="str">
        <f t="shared" si="42"/>
        <v>EC</v>
      </c>
      <c r="AH107" s="236" t="str">
        <f t="shared" si="43"/>
        <v>"%USERPROFILE%\Documents\GitHub\eaglep3\Utilities\RefineRTDCRunTimes.py" --tripid 194-10 --locoid 4031 --swversion DE.1.0.9.0 --startMP 204:232950 --initTime 2017-12-10T15:54:39 --startdatetime 2017-12-10T16:12:15 --delay 58 --endMP 204:274 --enddatetime 2017-12-10T16:48:46 --enforcementcount 0 &gt;&gt;%USERPROFILE%\Documents\GitHub\eaglep3-reporting\EC\2017-12-10-refined-times.txt</v>
      </c>
      <c r="AI10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{"issue":{"subject":"","project_id":79,"tracker_id":40,"status_id":1,"priority_id":2,"assigned_to_id":338,"start_date":"2017-12-10","description":"","custom_fields":[{"id":1,"name":"Subdivision","value":"EC"},{"id":4,"name":"Milepost","value":"0.0274"},{"id":17,"name":"Train ID","value":"194-10"},{"id":16,"name":"Locomotive ID","value":"4031"},{"id":130,"name":"Impact","value":""},{"id":150,"name":"Time of Event (Mountain Time)","value":"16:48:46"},{"id":151,"name":"Denver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5"/>
        <v>start /low /b %USERPROFILE%\Documents\GitHub\eaglep3\Utilities\DownloadLogsFromS3.py --loco 4031 --day 2017-12-10</v>
      </c>
      <c r="AN107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7"/>
        <v>https://d0f6bd738d7f1b3e5a7ca70fe4ff75f0.us-east-1.aws.found.io/app/kibana#/discover/Steve-Slow-Train-Analysis-(2080s-and-2083s)?_g=(refreshInterval:(display:Off,pause:!f,section:0,value:0),time:(from:'2017-12-10T14:54:39-0700',mode:absolute,to:'2017-12-10T17:48:46-0700'))&amp;_a=(columns:!('Message%20ID',Summary),filters:!(),index:'emp_*',interval:auto,query:(query_string:(analyze_wildcard:!t,query:'%22rtdc.l.rtdc.4031%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866</v>
      </c>
      <c r="B108" s="225">
        <v>4064</v>
      </c>
      <c r="C108" s="227" t="s">
        <v>192</v>
      </c>
      <c r="D108" s="227" t="s">
        <v>495</v>
      </c>
      <c r="E108" s="226">
        <v>43079.64234953704</v>
      </c>
      <c r="F108" s="226">
        <v>43079.645995370367</v>
      </c>
      <c r="G108" s="225">
        <v>62</v>
      </c>
      <c r="H108" s="227" t="s">
        <v>547</v>
      </c>
      <c r="I108" s="226">
        <v>43079.671423611115</v>
      </c>
      <c r="J108" s="225">
        <v>0</v>
      </c>
      <c r="K108" s="237" t="str">
        <f t="shared" si="32"/>
        <v>4063/4064</v>
      </c>
      <c r="L108" s="245" t="str">
        <f>VLOOKUP(A108,'Trips&amp;Operators'!$C$1:$G$99911,5,FALSE)</f>
        <v>BADERTSCHER DIANE</v>
      </c>
      <c r="M108" s="224">
        <f t="shared" si="33"/>
        <v>2.5428240747714881E-2</v>
      </c>
      <c r="N108" s="225">
        <f t="shared" si="50"/>
        <v>36.616666676709428</v>
      </c>
      <c r="O108" s="225"/>
      <c r="P108" s="225"/>
      <c r="Q108" s="228"/>
      <c r="R108" s="242"/>
      <c r="S108" s="249">
        <f t="shared" si="49"/>
        <v>1</v>
      </c>
      <c r="T108" s="242" t="str">
        <f t="shared" si="34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5"/>
        <v>https://d0f6bd738d7f1b3e5a7ca70fe4ff75f0.us-east-1.aws.found.io/app/kibana#/discover/Steve-Slow-Train-Analysis-(2080s-and-2083s)?_g=(refreshInterval:(display:Off,pause:!f,section:0,value:0),time:(from:'2017-12-10T14:24:59-0700',mode:absolute,to:'2017-12-10T17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8" s="247" t="str">
        <f>IF(AA108&lt;VLOOKUP(AG108,Variables!$AC$3:$AD$8,2,FALSE),"Y","N")</f>
        <v>N</v>
      </c>
      <c r="X108" s="247">
        <f t="shared" si="48"/>
        <v>1</v>
      </c>
      <c r="Y108" s="247">
        <f t="shared" si="36"/>
        <v>5.0900000000000001E-2</v>
      </c>
      <c r="Z108" s="247">
        <f t="shared" si="37"/>
        <v>23.327000000000002</v>
      </c>
      <c r="AA108" s="247">
        <f t="shared" si="38"/>
        <v>23.276100000000003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9"/>
        <v>195</v>
      </c>
      <c r="AE108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08" s="234" t="str">
        <f t="shared" si="41"/>
        <v>"C:\Program Files (x86)\AstroGrep\AstroGrep.exe" /e /r /s /spath="%USERPROFILE%\AppData\Local\Temp\OnboardLogs" /stypes="app*4064*20171210*" /stext=" 23:.+((SYSTEM_STATE.+slice.+state.+changed )|(ment ac)|(multiple cpu faults)|(system.+state.+changed )|(\[timeout)|(PRM\|1\|D)|(kpr)|(kdp)|(train st.+moving)|(\|lc)|(penalty))"</v>
      </c>
      <c r="AG108" s="244" t="str">
        <f t="shared" si="42"/>
        <v>EC</v>
      </c>
      <c r="AH108" s="236" t="str">
        <f t="shared" si="43"/>
        <v>"%USERPROFILE%\Documents\GitHub\eaglep3\Utilities\RefineRTDCRunTimes.py" --tripid 195-10 --locoid 4064 --swversion DE.1.0.9.0 --startMP 204:509 --initTime 2017-12-10T15:24:59 --startdatetime 2017-12-10T15:30:14 --delay 62 --endMP 204:233270 --enddatetime 2017-12-10T16:06:51 --enforcementcount 0 &gt;&gt;%USERPROFILE%\Documents\GitHub\eaglep3-reporting\EC\2017-12-10-refined-times.txt</v>
      </c>
      <c r="AI10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{"issue":{"subject":"","project_id":79,"tracker_id":40,"status_id":1,"priority_id":2,"assigned_to_id":338,"start_date":"2017-12-10","description":"","custom_fields":[{"id":1,"name":"Subdivision","value":"EC"},{"id":4,"name":"Milepost","value":"23.327"},{"id":17,"name":"Train ID","value":"195-10"},{"id":16,"name":"Locomotive ID","value":"4064"},{"id":130,"name":"Impact","value":""},{"id":150,"name":"Time of Event (Mountain Time)","value":"16:06:51"},{"id":151,"name":"Denver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5"/>
        <v>start /low /b %USERPROFILE%\Documents\GitHub\eaglep3\Utilities\DownloadLogsFromS3.py --loco 4064 --day 2017-12-10</v>
      </c>
      <c r="AN108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7"/>
        <v>https://d0f6bd738d7f1b3e5a7ca70fe4ff75f0.us-east-1.aws.found.io/app/kibana#/discover/Steve-Slow-Train-Analysis-(2080s-and-2083s)?_g=(refreshInterval:(display:Off,pause:!f,section:0,value:0),time:(from:'2017-12-10T14:24:59-0700',mode:absolute,to:'2017-12-10T17:06:51-0700'))&amp;_a=(columns:!('Message%20ID',Summary),filters:!(),index:'emp_*',interval:auto,query:(query_string:(analyze_wildcard:!t,query:'%22rtdc.l.rtdc.4064%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874</v>
      </c>
      <c r="B109" s="225">
        <v>4063</v>
      </c>
      <c r="C109" s="227" t="s">
        <v>192</v>
      </c>
      <c r="D109" s="227" t="s">
        <v>614</v>
      </c>
      <c r="E109" s="226">
        <v>43079.681261574071</v>
      </c>
      <c r="F109" s="226">
        <v>43079.685636574075</v>
      </c>
      <c r="G109" s="225">
        <v>71</v>
      </c>
      <c r="H109" s="227" t="s">
        <v>617</v>
      </c>
      <c r="I109" s="226">
        <v>43079.712511574071</v>
      </c>
      <c r="J109" s="225">
        <v>0</v>
      </c>
      <c r="K109" s="237" t="str">
        <f t="shared" si="32"/>
        <v>4063/4064</v>
      </c>
      <c r="L109" s="245" t="str">
        <f>VLOOKUP(A109,'Trips&amp;Operators'!$C$1:$G$99911,5,FALSE)</f>
        <v>BADERTSCHER DIANE</v>
      </c>
      <c r="M109" s="224">
        <f t="shared" si="33"/>
        <v>2.6874999995925464E-2</v>
      </c>
      <c r="N109" s="225">
        <f t="shared" si="50"/>
        <v>38.699999994132668</v>
      </c>
      <c r="O109" s="225"/>
      <c r="P109" s="225"/>
      <c r="Q109" s="228"/>
      <c r="R109" s="242"/>
      <c r="S109" s="249">
        <f t="shared" si="49"/>
        <v>1</v>
      </c>
      <c r="T109" s="242" t="str">
        <f t="shared" si="34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5"/>
        <v>https://d0f6bd738d7f1b3e5a7ca70fe4ff75f0.us-east-1.aws.found.io/app/kibana#/discover/Steve-Slow-Train-Analysis-(2080s-and-2083s)?_g=(refreshInterval:(display:Off,pause:!f,section:0,value:0),time:(from:'2017-12-10T15:21:01-0700',mode:absolute,to:'2017-12-10T18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9" s="247" t="str">
        <f>IF(AA109&lt;VLOOKUP(AG109,Variables!$AC$3:$AD$8,2,FALSE),"Y","N")</f>
        <v>N</v>
      </c>
      <c r="X109" s="247">
        <f t="shared" si="48"/>
        <v>1</v>
      </c>
      <c r="Y109" s="247">
        <f t="shared" ref="Y109:Y124" si="51">RIGHT(D109,LEN(D109)-4)/10000</f>
        <v>23.296199999999999</v>
      </c>
      <c r="Z109" s="247">
        <f t="shared" ref="Z109:Z124" si="52">RIGHT(H109,LEN(H109)-4)/10000</f>
        <v>2.0500000000000001E-2</v>
      </c>
      <c r="AA109" s="247">
        <f t="shared" si="38"/>
        <v>23.275700000000001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9"/>
        <v>196</v>
      </c>
      <c r="AE109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09" s="234" t="str">
        <f t="shared" si="41"/>
        <v>"C:\Program Files (x86)\AstroGrep\AstroGrep.exe" /e /r /s /spath="%USERPROFILE%\AppData\Local\Temp\OnboardLogs" /stypes="app*4063*20171211*" /stext=" 00:.+((SYSTEM_STATE.+slice.+state.+changed )|(ment ac)|(multiple cpu faults)|(system.+state.+changed )|(\[timeout)|(PRM\|1\|D)|(kpr)|(kdp)|(train st.+moving)|(\|lc)|(penalty))"</v>
      </c>
      <c r="AG109" s="244" t="str">
        <f t="shared" si="42"/>
        <v>EC</v>
      </c>
      <c r="AH109" s="236" t="str">
        <f t="shared" si="43"/>
        <v>"%USERPROFILE%\Documents\GitHub\eaglep3\Utilities\RefineRTDCRunTimes.py" --tripid 196-10 --locoid 4063 --swversion DE.1.0.9.0 --startMP 204:232962 --initTime 2017-12-10T16:21:01 --startdatetime 2017-12-10T16:27:19 --delay 71 --endMP 204:205 --enddatetime 2017-12-10T17:06:01 --enforcementcount 0 &gt;&gt;%USERPROFILE%\Documents\GitHub\eaglep3-reporting\EC\2017-12-10-refined-times.txt</v>
      </c>
      <c r="AI10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{"issue":{"subject":"","project_id":79,"tracker_id":40,"status_id":1,"priority_id":2,"assigned_to_id":338,"start_date":"2017-12-10","description":"","custom_fields":[{"id":1,"name":"Subdivision","value":"EC"},{"id":4,"name":"Milepost","value":"0.0205"},{"id":17,"name":"Train ID","value":"196-10"},{"id":16,"name":"Locomotive ID","value":"4063"},{"id":130,"name":"Impact","value":""},{"id":150,"name":"Time of Event (Mountain Time)","value":"17:06:01"},{"id":151,"name":"Denver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5"/>
        <v>start /low /b %USERPROFILE%\Documents\GitHub\eaglep3\Utilities\DownloadLogsFromS3.py --loco 4063 --day 2017-12-10</v>
      </c>
      <c r="AN109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7"/>
        <v>https://d0f6bd738d7f1b3e5a7ca70fe4ff75f0.us-east-1.aws.found.io/app/kibana#/discover/Steve-Slow-Train-Analysis-(2080s-and-2083s)?_g=(refreshInterval:(display:Off,pause:!f,section:0,value:0),time:(from:'2017-12-10T15:21:01-0700',mode:absolute,to:'2017-12-10T18:06:01-0700'))&amp;_a=(columns:!('Message%20ID',Summary),filters:!(),index:'emp_*',interval:auto,query:(query_string:(analyze_wildcard:!t,query:'%22rtdc.l.rtdc.4063%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868</v>
      </c>
      <c r="B110" s="225">
        <v>4034</v>
      </c>
      <c r="C110" s="227" t="s">
        <v>192</v>
      </c>
      <c r="D110" s="227" t="s">
        <v>592</v>
      </c>
      <c r="E110" s="226">
        <v>43079.651828703703</v>
      </c>
      <c r="F110" s="226">
        <v>43079.656400462962</v>
      </c>
      <c r="G110" s="225">
        <v>50</v>
      </c>
      <c r="H110" s="227" t="s">
        <v>573</v>
      </c>
      <c r="I110" s="226">
        <v>43079.680972222224</v>
      </c>
      <c r="J110" s="225">
        <v>0</v>
      </c>
      <c r="K110" s="237" t="str">
        <f t="shared" si="32"/>
        <v>4033/4034</v>
      </c>
      <c r="L110" s="245" t="str">
        <f>VLOOKUP(A110,'Trips&amp;Operators'!$C$1:$G$99911,5,FALSE)</f>
        <v>MCREYNOLDS KYLE</v>
      </c>
      <c r="M110" s="224">
        <f t="shared" si="33"/>
        <v>2.457175926247146E-2</v>
      </c>
      <c r="N110" s="225">
        <f t="shared" si="50"/>
        <v>35.383333337958902</v>
      </c>
      <c r="O110" s="225"/>
      <c r="P110" s="225"/>
      <c r="Q110" s="228"/>
      <c r="R110" s="242"/>
      <c r="S110" s="249">
        <f t="shared" si="49"/>
        <v>1</v>
      </c>
      <c r="T110" s="242" t="str">
        <f t="shared" si="34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5"/>
        <v>https://d0f6bd738d7f1b3e5a7ca70fe4ff75f0.us-east-1.aws.found.io/app/kibana#/discover/Steve-Slow-Train-Analysis-(2080s-and-2083s)?_g=(refreshInterval:(display:Off,pause:!f,section:0,value:0),time:(from:'2017-12-10T14:38:38-0700',mode:absolute,to:'2017-12-10T17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0" s="247" t="str">
        <f>IF(AA110&lt;VLOOKUP(AG110,Variables!$AC$3:$AD$8,2,FALSE),"Y","N")</f>
        <v>N</v>
      </c>
      <c r="X110" s="247">
        <f t="shared" si="48"/>
        <v>1</v>
      </c>
      <c r="Y110" s="247">
        <f t="shared" si="51"/>
        <v>5.4199999999999998E-2</v>
      </c>
      <c r="Z110" s="247">
        <f t="shared" si="52"/>
        <v>23.329699999999999</v>
      </c>
      <c r="AA110" s="247">
        <f t="shared" si="38"/>
        <v>23.275499999999997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9"/>
        <v>197</v>
      </c>
      <c r="AE110" s="235" t="str">
        <f t="shared" si="40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110" s="234" t="str">
        <f t="shared" si="41"/>
        <v>"C:\Program Files (x86)\AstroGrep\AstroGrep.exe" /e /r /s /spath="%USERPROFILE%\AppData\Local\Temp\OnboardLogs" /stypes="app*4034*20171210*" /stext=" 23:.+((SYSTEM_STATE.+slice.+state.+changed )|(ment ac)|(multiple cpu faults)|(system.+state.+changed )|(\[timeout)|(PRM\|1\|D)|(kpr)|(kdp)|(train st.+moving)|(\|lc)|(penalty))"</v>
      </c>
      <c r="AG110" s="244" t="str">
        <f t="shared" si="42"/>
        <v>EC</v>
      </c>
      <c r="AH110" s="236" t="str">
        <f t="shared" si="43"/>
        <v>"%USERPROFILE%\Documents\GitHub\eaglep3\Utilities\RefineRTDCRunTimes.py" --tripid 197-10 --locoid 4034 --swversion DE.1.0.9.0 --startMP 204:542 --initTime 2017-12-10T15:38:38 --startdatetime 2017-12-10T15:45:13 --delay 50 --endMP 204:233297 --enddatetime 2017-12-10T16:20:36 --enforcementcount 0 &gt;&gt;%USERPROFILE%\Documents\GitHub\eaglep3-reporting\EC\2017-12-10-refined-times.txt</v>
      </c>
      <c r="AI11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{"issue":{"subject":"","project_id":79,"tracker_id":40,"status_id":1,"priority_id":2,"assigned_to_id":338,"start_date":"2017-12-10","description":"","custom_fields":[{"id":1,"name":"Subdivision","value":"EC"},{"id":4,"name":"Milepost","value":"23.3297"},{"id":17,"name":"Train ID","value":"197-10"},{"id":16,"name":"Locomotive ID","value":"4034"},{"id":130,"name":"Impact","value":""},{"id":150,"name":"Time of Event (Mountain Time)","value":"16:20:36"},{"id":151,"name":"Denver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5"/>
        <v>start /low /b %USERPROFILE%\Documents\GitHub\eaglep3\Utilities\DownloadLogsFromS3.py --loco 4034 --day 2017-12-10</v>
      </c>
      <c r="AN110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7"/>
        <v>https://d0f6bd738d7f1b3e5a7ca70fe4ff75f0.us-east-1.aws.found.io/app/kibana#/discover/Steve-Slow-Train-Analysis-(2080s-and-2083s)?_g=(refreshInterval:(display:Off,pause:!f,section:0,value:0),time:(from:'2017-12-10T14:38:38-0700',mode:absolute,to:'2017-12-10T17:20:36-0700'))&amp;_a=(columns:!('Message%20ID',Summary),filters:!(),index:'emp_*',interval:auto,query:(query_string:(analyze_wildcard:!t,query:'%22rtdc.l.rtdc.4034%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876</v>
      </c>
      <c r="B111" s="225">
        <v>4033</v>
      </c>
      <c r="C111" s="227" t="s">
        <v>192</v>
      </c>
      <c r="D111" s="227" t="s">
        <v>719</v>
      </c>
      <c r="E111" s="226">
        <v>43079.688333333332</v>
      </c>
      <c r="F111" s="226">
        <v>43079.695983796293</v>
      </c>
      <c r="G111" s="225">
        <v>65</v>
      </c>
      <c r="H111" s="227" t="s">
        <v>1022</v>
      </c>
      <c r="I111" s="226">
        <v>43079.72515046296</v>
      </c>
      <c r="J111" s="225">
        <v>0</v>
      </c>
      <c r="K111" s="237" t="str">
        <f t="shared" si="32"/>
        <v>4033/4034</v>
      </c>
      <c r="L111" s="245" t="str">
        <f>VLOOKUP(A111,'Trips&amp;Operators'!$C$1:$G$99911,5,FALSE)</f>
        <v>MCREYNOLDS KYLE</v>
      </c>
      <c r="M111" s="224">
        <f t="shared" si="33"/>
        <v>2.9166666667151731E-2</v>
      </c>
      <c r="N111" s="225">
        <f t="shared" si="50"/>
        <v>42.000000000698492</v>
      </c>
      <c r="O111" s="225"/>
      <c r="P111" s="225"/>
      <c r="Q111" s="228"/>
      <c r="R111" s="242"/>
      <c r="S111" s="249">
        <f t="shared" si="49"/>
        <v>1</v>
      </c>
      <c r="T111" s="242" t="str">
        <f t="shared" si="34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5"/>
        <v>https://d0f6bd738d7f1b3e5a7ca70fe4ff75f0.us-east-1.aws.found.io/app/kibana#/discover/Steve-Slow-Train-Analysis-(2080s-and-2083s)?_g=(refreshInterval:(display:Off,pause:!f,section:0,value:0),time:(from:'2017-12-10T15:31:12-0700',mode:absolute,to:'2017-12-10T18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1" s="247" t="str">
        <f>IF(AA111&lt;VLOOKUP(AG111,Variables!$AC$3:$AD$8,2,FALSE),"Y","N")</f>
        <v>N</v>
      </c>
      <c r="X111" s="247">
        <f t="shared" si="48"/>
        <v>1</v>
      </c>
      <c r="Y111" s="247">
        <f t="shared" si="51"/>
        <v>23.296099999999999</v>
      </c>
      <c r="Z111" s="247">
        <f t="shared" si="52"/>
        <v>9.6199999999999994E-2</v>
      </c>
      <c r="AA111" s="247">
        <f t="shared" si="38"/>
        <v>23.1999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9"/>
        <v>198</v>
      </c>
      <c r="AE111" s="235" t="str">
        <f t="shared" si="40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111" s="234" t="str">
        <f t="shared" si="41"/>
        <v>"C:\Program Files (x86)\AstroGrep\AstroGrep.exe" /e /r /s /spath="%USERPROFILE%\AppData\Local\Temp\OnboardLogs" /stypes="app*4033*20171211*" /stext=" 00:.+((SYSTEM_STATE.+slice.+state.+changed )|(ment ac)|(multiple cpu faults)|(system.+state.+changed )|(\[timeout)|(PRM\|1\|D)|(kpr)|(kdp)|(train st.+moving)|(\|lc)|(penalty))"</v>
      </c>
      <c r="AG111" s="244" t="str">
        <f t="shared" si="42"/>
        <v>EC</v>
      </c>
      <c r="AH111" s="236" t="str">
        <f t="shared" si="43"/>
        <v>"%USERPROFILE%\Documents\GitHub\eaglep3\Utilities\RefineRTDCRunTimes.py" --tripid 198-10 --locoid 4033 --swversion DE.1.0.9.0 --startMP 204:232961 --initTime 2017-12-10T16:31:12 --startdatetime 2017-12-10T16:42:13 --delay 65 --endMP 204:962 --enddatetime 2017-12-10T17:24:13 --enforcementcount 0 &gt;&gt;%USERPROFILE%\Documents\GitHub\eaglep3-reporting\EC\2017-12-10-refined-times.txt</v>
      </c>
      <c r="AI11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{"issue":{"subject":"","project_id":79,"tracker_id":40,"status_id":1,"priority_id":2,"assigned_to_id":338,"start_date":"2017-12-10","description":"","custom_fields":[{"id":1,"name":"Subdivision","value":"EC"},{"id":4,"name":"Milepost","value":"0.0962"},{"id":17,"name":"Train ID","value":"198-10"},{"id":16,"name":"Locomotive ID","value":"4033"},{"id":130,"name":"Impact","value":""},{"id":150,"name":"Time of Event (Mountain Time)","value":"17:24:13"},{"id":151,"name":"Denver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5"/>
        <v>start /low /b %USERPROFILE%\Documents\GitHub\eaglep3\Utilities\DownloadLogsFromS3.py --loco 4033 --day 2017-12-10</v>
      </c>
      <c r="AN111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7"/>
        <v>https://d0f6bd738d7f1b3e5a7ca70fe4ff75f0.us-east-1.aws.found.io/app/kibana#/discover/Steve-Slow-Train-Analysis-(2080s-and-2083s)?_g=(refreshInterval:(display:Off,pause:!f,section:0,value:0),time:(from:'2017-12-10T15:31:12-0700',mode:absolute,to:'2017-12-10T18:24:13-0700'))&amp;_a=(columns:!('Message%20ID',Summary),filters:!(),index:'emp_*',interval:auto,query:(query_string:(analyze_wildcard:!t,query:'%22rtdc.l.rtdc.4033%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742</v>
      </c>
      <c r="B112" s="225">
        <v>4024</v>
      </c>
      <c r="C112" s="227" t="s">
        <v>192</v>
      </c>
      <c r="D112" s="227" t="s">
        <v>680</v>
      </c>
      <c r="E112" s="226">
        <v>43079.663298611114</v>
      </c>
      <c r="F112" s="226">
        <v>43079.666909722226</v>
      </c>
      <c r="G112" s="225">
        <v>61</v>
      </c>
      <c r="H112" s="227" t="s">
        <v>618</v>
      </c>
      <c r="I112" s="226">
        <v>43079.691782407404</v>
      </c>
      <c r="J112" s="225">
        <v>0</v>
      </c>
      <c r="K112" s="237" t="str">
        <f t="shared" si="32"/>
        <v>4023/4024</v>
      </c>
      <c r="L112" s="245" t="str">
        <f>VLOOKUP(A112,'Trips&amp;Operators'!$C$1:$G$99911,5,FALSE)</f>
        <v>STEWART MICHAEL</v>
      </c>
      <c r="M112" s="224">
        <f t="shared" si="33"/>
        <v>2.4872685178706888E-2</v>
      </c>
      <c r="N112" s="225">
        <f t="shared" si="50"/>
        <v>35.816666657337919</v>
      </c>
      <c r="O112" s="225"/>
      <c r="P112" s="225"/>
      <c r="Q112" s="228"/>
      <c r="R112" s="242"/>
      <c r="S112" s="249">
        <f t="shared" si="49"/>
        <v>1</v>
      </c>
      <c r="T112" s="242" t="str">
        <f t="shared" si="34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5"/>
        <v>https://d0f6bd738d7f1b3e5a7ca70fe4ff75f0.us-east-1.aws.found.io/app/kibana#/discover/Steve-Slow-Train-Analysis-(2080s-and-2083s)?_g=(refreshInterval:(display:Off,pause:!f,section:0,value:0),time:(from:'2017-12-10T14:55:09-0700',mode:absolute,to:'2017-12-10T17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2" s="247" t="str">
        <f>IF(AA112&lt;VLOOKUP(AG112,Variables!$AC$3:$AD$8,2,FALSE),"Y","N")</f>
        <v>N</v>
      </c>
      <c r="X112" s="247">
        <f t="shared" si="48"/>
        <v>1</v>
      </c>
      <c r="Y112" s="247">
        <f t="shared" si="51"/>
        <v>5.1700000000000003E-2</v>
      </c>
      <c r="Z112" s="247">
        <f t="shared" si="52"/>
        <v>23.325700000000001</v>
      </c>
      <c r="AA112" s="247">
        <f t="shared" si="38"/>
        <v>23.274000000000001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9"/>
        <v>199</v>
      </c>
      <c r="AE112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12" s="234" t="str">
        <f t="shared" si="41"/>
        <v>"C:\Program Files (x86)\AstroGrep\AstroGrep.exe" /e /r /s /spath="%USERPROFILE%\AppData\Local\Temp\OnboardLogs" /stypes="app*4024*20171210*" /stext=" 23:.+((SYSTEM_STATE.+slice.+state.+changed )|(ment ac)|(multiple cpu faults)|(system.+state.+changed )|(\[timeout)|(PRM\|1\|D)|(kpr)|(kdp)|(train st.+moving)|(\|lc)|(penalty))"</v>
      </c>
      <c r="AG112" s="244" t="str">
        <f t="shared" si="42"/>
        <v>EC</v>
      </c>
      <c r="AH112" s="236" t="str">
        <f t="shared" si="43"/>
        <v>"%USERPROFILE%\Documents\GitHub\eaglep3\Utilities\RefineRTDCRunTimes.py" --tripid 199-10 --locoid 4024 --swversion DE.1.0.9.0 --startMP 204:517 --initTime 2017-12-10T15:55:09 --startdatetime 2017-12-10T16:00:21 --delay 61 --endMP 204:233257 --enddatetime 2017-12-10T16:36:10 --enforcementcount 0 &gt;&gt;%USERPROFILE%\Documents\GitHub\eaglep3-reporting\EC\2017-12-10-refined-times.txt</v>
      </c>
      <c r="AI11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{"issue":{"subject":"","project_id":79,"tracker_id":40,"status_id":1,"priority_id":2,"assigned_to_id":338,"start_date":"2017-12-10","description":"","custom_fields":[{"id":1,"name":"Subdivision","value":"EC"},{"id":4,"name":"Milepost","value":"23.3257"},{"id":17,"name":"Train ID","value":"199-10"},{"id":16,"name":"Locomotive ID","value":"4024"},{"id":130,"name":"Impact","value":""},{"id":150,"name":"Time of Event (Mountain Time)","value":"16:36:10"},{"id":151,"name":"Denver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5"/>
        <v>start /low /b %USERPROFILE%\Documents\GitHub\eaglep3\Utilities\DownloadLogsFromS3.py --loco 4024 --day 2017-12-10</v>
      </c>
      <c r="AN112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7"/>
        <v>https://d0f6bd738d7f1b3e5a7ca70fe4ff75f0.us-east-1.aws.found.io/app/kibana#/discover/Steve-Slow-Train-Analysis-(2080s-and-2083s)?_g=(refreshInterval:(display:Off,pause:!f,section:0,value:0),time:(from:'2017-12-10T14:55:09-0700',mode:absolute,to:'2017-12-10T17:36:10-0700'))&amp;_a=(columns:!('Message%20ID',Summary),filters:!(),index:'emp_*',interval:auto,query:(query_string:(analyze_wildcard:!t,query:'%22rtdc.l.rtdc.4024%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881</v>
      </c>
      <c r="B113" s="225">
        <v>4023</v>
      </c>
      <c r="C113" s="227" t="s">
        <v>192</v>
      </c>
      <c r="D113" s="227" t="s">
        <v>607</v>
      </c>
      <c r="E113" s="226">
        <v>43079.701828703706</v>
      </c>
      <c r="F113" s="226">
        <v>43079.706597222219</v>
      </c>
      <c r="G113" s="225">
        <v>53</v>
      </c>
      <c r="H113" s="227" t="s">
        <v>576</v>
      </c>
      <c r="I113" s="226">
        <v>43079.733483796299</v>
      </c>
      <c r="J113" s="225">
        <v>0</v>
      </c>
      <c r="K113" s="237" t="str">
        <f t="shared" si="32"/>
        <v>4023/4024</v>
      </c>
      <c r="L113" s="245" t="str">
        <f>VLOOKUP(A113,'Trips&amp;Operators'!$C$1:$G$99911,5,FALSE)</f>
        <v>STEWART MICHAEL</v>
      </c>
      <c r="M113" s="224">
        <f t="shared" si="33"/>
        <v>2.6886574079981074E-2</v>
      </c>
      <c r="N113" s="225">
        <f t="shared" si="50"/>
        <v>38.716666675172746</v>
      </c>
      <c r="O113" s="225"/>
      <c r="P113" s="225"/>
      <c r="Q113" s="228"/>
      <c r="R113" s="242"/>
      <c r="S113" s="249">
        <f t="shared" si="49"/>
        <v>1</v>
      </c>
      <c r="T113" s="242" t="str">
        <f t="shared" si="34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5"/>
        <v>https://d0f6bd738d7f1b3e5a7ca70fe4ff75f0.us-east-1.aws.found.io/app/kibana#/discover/Steve-Slow-Train-Analysis-(2080s-and-2083s)?_g=(refreshInterval:(display:Off,pause:!f,section:0,value:0),time:(from:'2017-12-10T15:50:38-0700',mode:absolute,to:'2017-12-10T18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3" s="247" t="str">
        <f>IF(AA113&lt;VLOOKUP(AG113,Variables!$AC$3:$AD$8,2,FALSE),"Y","N")</f>
        <v>N</v>
      </c>
      <c r="X113" s="247">
        <f t="shared" si="48"/>
        <v>1</v>
      </c>
      <c r="Y113" s="247">
        <f t="shared" si="51"/>
        <v>23.294</v>
      </c>
      <c r="Z113" s="247">
        <f t="shared" si="52"/>
        <v>2.01E-2</v>
      </c>
      <c r="AA113" s="247">
        <f t="shared" si="38"/>
        <v>23.273900000000001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9"/>
        <v>200</v>
      </c>
      <c r="AE113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13" s="234" t="str">
        <f t="shared" si="41"/>
        <v>"C:\Program Files (x86)\AstroGrep\AstroGrep.exe" /e /r /s /spath="%USERPROFILE%\AppData\Local\Temp\OnboardLogs" /stypes="app*4023*20171211*" /stext=" 00:.+((SYSTEM_STATE.+slice.+state.+changed )|(ment ac)|(multiple cpu faults)|(system.+state.+changed )|(\[timeout)|(PRM\|1\|D)|(kpr)|(kdp)|(train st.+moving)|(\|lc)|(penalty))"</v>
      </c>
      <c r="AG113" s="244" t="str">
        <f t="shared" si="42"/>
        <v>EC</v>
      </c>
      <c r="AH113" s="236" t="str">
        <f t="shared" si="43"/>
        <v>"%USERPROFILE%\Documents\GitHub\eaglep3\Utilities\RefineRTDCRunTimes.py" --tripid 200-10 --locoid 4023 --swversion DE.1.0.9.0 --startMP 204:232940 --initTime 2017-12-10T16:50:38 --startdatetime 2017-12-10T16:57:30 --delay 53 --endMP 204:201 --enddatetime 2017-12-10T17:36:13 --enforcementcount 0 &gt;&gt;%USERPROFILE%\Documents\GitHub\eaglep3-reporting\EC\2017-12-10-refined-times.txt</v>
      </c>
      <c r="AI11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{"issue":{"subject":"","project_id":79,"tracker_id":40,"status_id":1,"priority_id":2,"assigned_to_id":338,"start_date":"2017-12-10","description":"","custom_fields":[{"id":1,"name":"Subdivision","value":"EC"},{"id":4,"name":"Milepost","value":"0.0201"},{"id":17,"name":"Train ID","value":"200-10"},{"id":16,"name":"Locomotive ID","value":"4023"},{"id":130,"name":"Impact","value":""},{"id":150,"name":"Time of Event (Mountain Time)","value":"17:36:13"},{"id":151,"name":"Denver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5"/>
        <v>start /low /b %USERPROFILE%\Documents\GitHub\eaglep3\Utilities\DownloadLogsFromS3.py --loco 4023 --day 2017-12-10</v>
      </c>
      <c r="AN113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7"/>
        <v>https://d0f6bd738d7f1b3e5a7ca70fe4ff75f0.us-east-1.aws.found.io/app/kibana#/discover/Steve-Slow-Train-Analysis-(2080s-and-2083s)?_g=(refreshInterval:(display:Off,pause:!f,section:0,value:0),time:(from:'2017-12-10T15:50:38-0700',mode:absolute,to:'2017-12-10T18:36:13-0700'))&amp;_a=(columns:!('Message%20ID',Summary),filters:!(),index:'emp_*',interval:auto,query:(query_string:(analyze_wildcard:!t,query:'%22rtdc.l.rtdc.4023%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873</v>
      </c>
      <c r="B114" s="225">
        <v>4018</v>
      </c>
      <c r="C114" s="227" t="s">
        <v>192</v>
      </c>
      <c r="D114" s="227" t="s">
        <v>531</v>
      </c>
      <c r="E114" s="226">
        <v>43079.67386574074</v>
      </c>
      <c r="F114" s="226">
        <v>43079.677442129629</v>
      </c>
      <c r="G114" s="225">
        <v>67</v>
      </c>
      <c r="H114" s="227" t="s">
        <v>704</v>
      </c>
      <c r="I114" s="226">
        <v>43079.702488425923</v>
      </c>
      <c r="J114" s="225">
        <v>0</v>
      </c>
      <c r="K114" s="237" t="str">
        <f t="shared" si="32"/>
        <v>4017/4018</v>
      </c>
      <c r="L114" s="245" t="str">
        <f>VLOOKUP(A114,'Trips&amp;Operators'!$C$1:$G$99911,5,FALSE)</f>
        <v>SMITH MICHAEL</v>
      </c>
      <c r="M114" s="224">
        <f t="shared" si="33"/>
        <v>2.5046296294021886E-2</v>
      </c>
      <c r="N114" s="225">
        <f t="shared" si="50"/>
        <v>36.066666663391516</v>
      </c>
      <c r="O114" s="225"/>
      <c r="P114" s="225"/>
      <c r="Q114" s="228"/>
      <c r="R114" s="242"/>
      <c r="S114" s="249">
        <f t="shared" si="49"/>
        <v>1</v>
      </c>
      <c r="T114" s="242" t="str">
        <f t="shared" si="34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5"/>
        <v>https://d0f6bd738d7f1b3e5a7ca70fe4ff75f0.us-east-1.aws.found.io/app/kibana#/discover/Steve-Slow-Train-Analysis-(2080s-and-2083s)?_g=(refreshInterval:(display:Off,pause:!f,section:0,value:0),time:(from:'2017-12-10T15:10:22-0700',mode:absolute,to:'2017-12-10T17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4" s="247" t="str">
        <f>IF(AA114&lt;VLOOKUP(AG114,Variables!$AC$3:$AD$8,2,FALSE),"Y","N")</f>
        <v>N</v>
      </c>
      <c r="X114" s="247">
        <f t="shared" si="48"/>
        <v>1</v>
      </c>
      <c r="Y114" s="247">
        <f t="shared" si="51"/>
        <v>5.1299999999999998E-2</v>
      </c>
      <c r="Z114" s="247">
        <f t="shared" si="52"/>
        <v>23.3263</v>
      </c>
      <c r="AA114" s="247">
        <f t="shared" si="38"/>
        <v>23.274999999999999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9"/>
        <v>201</v>
      </c>
      <c r="AE114" s="235" t="str">
        <f t="shared" si="40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114" s="234" t="str">
        <f t="shared" si="41"/>
        <v>"C:\Program Files (x86)\AstroGrep\AstroGrep.exe" /e /r /s /spath="%USERPROFILE%\AppData\Local\Temp\OnboardLogs" /stypes="app*4018*20171210*" /stext=" 23:.+((SYSTEM_STATE.+slice.+state.+changed )|(ment ac)|(multiple cpu faults)|(system.+state.+changed )|(\[timeout)|(PRM\|1\|D)|(kpr)|(kdp)|(train st.+moving)|(\|lc)|(penalty))"</v>
      </c>
      <c r="AG114" s="244" t="str">
        <f t="shared" si="42"/>
        <v>EC</v>
      </c>
      <c r="AH114" s="236" t="str">
        <f t="shared" si="43"/>
        <v>"%USERPROFILE%\Documents\GitHub\eaglep3\Utilities\RefineRTDCRunTimes.py" --tripid 201-10 --locoid 4018 --swversion DE.1.0.9.0 --startMP 204:513 --initTime 2017-12-10T16:10:22 --startdatetime 2017-12-10T16:15:31 --delay 67 --endMP 204:233263 --enddatetime 2017-12-10T16:51:35 --enforcementcount 0 &gt;&gt;%USERPROFILE%\Documents\GitHub\eaglep3-reporting\EC\2017-12-10-refined-times.txt</v>
      </c>
      <c r="AI11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{"issue":{"subject":"","project_id":79,"tracker_id":40,"status_id":1,"priority_id":2,"assigned_to_id":338,"start_date":"2017-12-10","description":"","custom_fields":[{"id":1,"name":"Subdivision","value":"EC"},{"id":4,"name":"Milepost","value":"23.3263"},{"id":17,"name":"Train ID","value":"201-10"},{"id":16,"name":"Locomotive ID","value":"4018"},{"id":130,"name":"Impact","value":""},{"id":150,"name":"Time of Event (Mountain Time)","value":"16:51:35"},{"id":151,"name":"Denver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5"/>
        <v>start /low /b %USERPROFILE%\Documents\GitHub\eaglep3\Utilities\DownloadLogsFromS3.py --loco 4018 --day 2017-12-10</v>
      </c>
      <c r="AN114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7"/>
        <v>https://d0f6bd738d7f1b3e5a7ca70fe4ff75f0.us-east-1.aws.found.io/app/kibana#/discover/Steve-Slow-Train-Analysis-(2080s-and-2083s)?_g=(refreshInterval:(display:Off,pause:!f,section:0,value:0),time:(from:'2017-12-10T15:10:22-0700',mode:absolute,to:'2017-12-10T17:51:35-0700'))&amp;_a=(columns:!('Message%20ID',Summary),filters:!(),index:'emp_*',interval:auto,query:(query_string:(analyze_wildcard:!t,query:'%22rtdc.l.rtdc.4018%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883</v>
      </c>
      <c r="B115" s="225">
        <v>4017</v>
      </c>
      <c r="C115" s="227" t="s">
        <v>192</v>
      </c>
      <c r="D115" s="227" t="s">
        <v>607</v>
      </c>
      <c r="E115" s="226">
        <v>43079.70821759259</v>
      </c>
      <c r="F115" s="226">
        <v>43079.716851851852</v>
      </c>
      <c r="G115" s="225">
        <v>71</v>
      </c>
      <c r="H115" s="227" t="s">
        <v>627</v>
      </c>
      <c r="I115" s="226">
        <v>43079.742291666669</v>
      </c>
      <c r="J115" s="225">
        <v>0</v>
      </c>
      <c r="K115" s="237" t="str">
        <f t="shared" si="32"/>
        <v>4017/4018</v>
      </c>
      <c r="L115" s="245" t="str">
        <f>VLOOKUP(A115,'Trips&amp;Operators'!$C$1:$G$99911,5,FALSE)</f>
        <v>SMITH MICHAEL</v>
      </c>
      <c r="M115" s="224">
        <f t="shared" si="33"/>
        <v>2.5439814817218576E-2</v>
      </c>
      <c r="N115" s="225">
        <f t="shared" si="50"/>
        <v>36.633333336794749</v>
      </c>
      <c r="O115" s="225"/>
      <c r="P115" s="225"/>
      <c r="Q115" s="228"/>
      <c r="R115" s="242"/>
      <c r="S115" s="249">
        <f t="shared" si="49"/>
        <v>1</v>
      </c>
      <c r="T115" s="242" t="str">
        <f t="shared" si="34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5"/>
        <v>https://d0f6bd738d7f1b3e5a7ca70fe4ff75f0.us-east-1.aws.found.io/app/kibana#/discover/Steve-Slow-Train-Analysis-(2080s-and-2083s)?_g=(refreshInterval:(display:Off,pause:!f,section:0,value:0),time:(from:'2017-12-10T15:59:50-0700',mode:absolute,to:'2017-12-10T18:48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247" t="str">
        <f>IF(AA115&lt;VLOOKUP(AG115,Variables!$AC$3:$AD$8,2,FALSE),"Y","N")</f>
        <v>N</v>
      </c>
      <c r="X115" s="247">
        <f t="shared" ref="X115:X126" si="53">VALUE(LEFT(AD115,4))-VALUE(LEFT(AD114,4))</f>
        <v>1</v>
      </c>
      <c r="Y115" s="247">
        <f t="shared" si="51"/>
        <v>23.294</v>
      </c>
      <c r="Z115" s="247">
        <f t="shared" si="52"/>
        <v>2.3199999999999998E-2</v>
      </c>
      <c r="AA115" s="247">
        <f t="shared" si="38"/>
        <v>23.270800000000001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9"/>
        <v>202</v>
      </c>
      <c r="AE115" s="235" t="str">
        <f t="shared" si="40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115" s="234" t="str">
        <f t="shared" si="41"/>
        <v>"C:\Program Files (x86)\AstroGrep\AstroGrep.exe" /e /r /s /spath="%USERPROFILE%\AppData\Local\Temp\OnboardLogs" /stypes="app*4017*20171211*" /stext=" 00:.+((SYSTEM_STATE.+slice.+state.+changed )|(ment ac)|(multiple cpu faults)|(system.+state.+changed )|(\[timeout)|(PRM\|1\|D)|(kpr)|(kdp)|(train st.+moving)|(\|lc)|(penalty))"</v>
      </c>
      <c r="AG115" s="244" t="str">
        <f t="shared" si="42"/>
        <v>EC</v>
      </c>
      <c r="AH115" s="236" t="str">
        <f t="shared" si="43"/>
        <v>"%USERPROFILE%\Documents\GitHub\eaglep3\Utilities\RefineRTDCRunTimes.py" --tripid 202-10 --locoid 4017 --swversion DE.1.0.9.0 --startMP 204:232940 --initTime 2017-12-10T16:59:50 --startdatetime 2017-12-10T17:12:16 --delay 71 --endMP 204:232 --enddatetime 2017-12-10T17:48:54 --enforcementcount 0 &gt;&gt;%USERPROFILE%\Documents\GitHub\eaglep3-reporting\EC\2017-12-10-refined-times.txt</v>
      </c>
      <c r="AI115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{"issue":{"subject":"","project_id":79,"tracker_id":40,"status_id":1,"priority_id":2,"assigned_to_id":338,"start_date":"2017-12-10","description":"","custom_fields":[{"id":1,"name":"Subdivision","value":"EC"},{"id":4,"name":"Milepost","value":"0.0232"},{"id":17,"name":"Train ID","value":"202-10"},{"id":16,"name":"Locomotive ID","value":"4017"},{"id":130,"name":"Impact","value":""},{"id":150,"name":"Time of Event (Mountain Time)","value":"17:48:54"},{"id":151,"name":"Denver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5"/>
        <v>start /low /b %USERPROFILE%\Documents\GitHub\eaglep3\Utilities\DownloadLogsFromS3.py --loco 4017 --day 2017-12-10</v>
      </c>
      <c r="AN115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7"/>
        <v>https://d0f6bd738d7f1b3e5a7ca70fe4ff75f0.us-east-1.aws.found.io/app/kibana#/discover/Steve-Slow-Train-Analysis-(2080s-and-2083s)?_g=(refreshInterval:(display:Off,pause:!f,section:0,value:0),time:(from:'2017-12-10T15:59:50-0700',mode:absolute,to:'2017-12-10T18:48:54-0700'))&amp;_a=(columns:!('Message%20ID',Summary),filters:!(),index:'emp_*',interval:auto,query:(query_string:(analyze_wildcard:!t,query:'%22rtdc.l.rtdc.4017%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875</v>
      </c>
      <c r="B116" s="225">
        <v>4012</v>
      </c>
      <c r="C116" s="227" t="s">
        <v>192</v>
      </c>
      <c r="D116" s="227" t="s">
        <v>680</v>
      </c>
      <c r="E116" s="226">
        <v>43079.684965277775</v>
      </c>
      <c r="F116" s="226">
        <v>43079.687916666669</v>
      </c>
      <c r="G116" s="225">
        <v>59</v>
      </c>
      <c r="H116" s="227" t="s">
        <v>702</v>
      </c>
      <c r="I116" s="226">
        <v>43079.713726851849</v>
      </c>
      <c r="J116" s="225">
        <v>0</v>
      </c>
      <c r="K116" s="237" t="str">
        <f t="shared" si="32"/>
        <v>4011/4012</v>
      </c>
      <c r="L116" s="245" t="str">
        <f>VLOOKUP(A116,'Trips&amp;Operators'!$C$1:$G$99911,5,FALSE)</f>
        <v>DAVIS MICHAEL</v>
      </c>
      <c r="M116" s="224">
        <f t="shared" si="33"/>
        <v>2.5810185179580003E-2</v>
      </c>
      <c r="N116" s="225">
        <f t="shared" si="50"/>
        <v>37.166666658595204</v>
      </c>
      <c r="O116" s="225"/>
      <c r="P116" s="225"/>
      <c r="Q116" s="228"/>
      <c r="R116" s="242"/>
      <c r="S116" s="249">
        <f t="shared" si="49"/>
        <v>1</v>
      </c>
      <c r="T116" s="242" t="str">
        <f t="shared" si="34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5"/>
        <v>https://d0f6bd738d7f1b3e5a7ca70fe4ff75f0.us-east-1.aws.found.io/app/kibana#/discover/Steve-Slow-Train-Analysis-(2080s-and-2083s)?_g=(refreshInterval:(display:Off,pause:!f,section:0,value:0),time:(from:'2017-12-10T15:26:21-0700',mode:absolute,to:'2017-12-10T18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247" t="str">
        <f>IF(AA116&lt;VLOOKUP(AG116,Variables!$AC$3:$AD$8,2,FALSE),"Y","N")</f>
        <v>N</v>
      </c>
      <c r="X116" s="247">
        <f t="shared" si="53"/>
        <v>1</v>
      </c>
      <c r="Y116" s="247">
        <f t="shared" si="51"/>
        <v>5.1700000000000003E-2</v>
      </c>
      <c r="Z116" s="247">
        <f t="shared" si="52"/>
        <v>23.330200000000001</v>
      </c>
      <c r="AA116" s="247">
        <f t="shared" si="38"/>
        <v>23.278500000000001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9"/>
        <v>203</v>
      </c>
      <c r="AE116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16" s="234" t="str">
        <f t="shared" si="41"/>
        <v>"C:\Program Files (x86)\AstroGrep\AstroGrep.exe" /e /r /s /spath="%USERPROFILE%\AppData\Local\Temp\OnboardLogs" /stypes="app*4012*20171211*" /stext=" 00:.+((SYSTEM_STATE.+slice.+state.+changed )|(ment ac)|(multiple cpu faults)|(system.+state.+changed )|(\[timeout)|(PRM\|1\|D)|(kpr)|(kdp)|(train st.+moving)|(\|lc)|(penalty))"</v>
      </c>
      <c r="AG116" s="244" t="str">
        <f t="shared" si="42"/>
        <v>EC</v>
      </c>
      <c r="AH116" s="236" t="str">
        <f t="shared" si="43"/>
        <v>"%USERPROFILE%\Documents\GitHub\eaglep3\Utilities\RefineRTDCRunTimes.py" --tripid 203-10 --locoid 4012 --swversion DE.1.0.9.0 --startMP 204:517 --initTime 2017-12-10T16:26:21 --startdatetime 2017-12-10T16:30:36 --delay 59 --endMP 204:233302 --enddatetime 2017-12-10T17:07:46 --enforcementcount 0 &gt;&gt;%USERPROFILE%\Documents\GitHub\eaglep3-reporting\EC\2017-12-10-refined-times.txt</v>
      </c>
      <c r="AI11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{"issue":{"subject":"","project_id":79,"tracker_id":40,"status_id":1,"priority_id":2,"assigned_to_id":338,"start_date":"2017-12-10","description":"","custom_fields":[{"id":1,"name":"Subdivision","value":"EC"},{"id":4,"name":"Milepost","value":"23.3302"},{"id":17,"name":"Train ID","value":"203-10"},{"id":16,"name":"Locomotive ID","value":"4012"},{"id":130,"name":"Impact","value":""},{"id":150,"name":"Time of Event (Mountain Time)","value":"17:07:46"},{"id":151,"name":"Denver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45"/>
        <v>start /low /b %USERPROFILE%\Documents\GitHub\eaglep3\Utilities\DownloadLogsFromS3.py --loco 4012 --day 2017-12-10</v>
      </c>
      <c r="AN116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7"/>
        <v>https://d0f6bd738d7f1b3e5a7ca70fe4ff75f0.us-east-1.aws.found.io/app/kibana#/discover/Steve-Slow-Train-Analysis-(2080s-and-2083s)?_g=(refreshInterval:(display:Off,pause:!f,section:0,value:0),time:(from:'2017-12-10T15:26:21-0700',mode:absolute,to:'2017-12-10T18:07:46-0700'))&amp;_a=(columns:!('Message%20ID',Summary),filters:!(),index:'emp_*',interval:auto,query:(query_string:(analyze_wildcard:!t,query:'%22rtdc.l.rtdc.4012%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886</v>
      </c>
      <c r="B117" s="225">
        <v>4011</v>
      </c>
      <c r="C117" s="227" t="s">
        <v>192</v>
      </c>
      <c r="D117" s="227" t="s">
        <v>686</v>
      </c>
      <c r="E117" s="226">
        <v>43079.724618055552</v>
      </c>
      <c r="F117" s="226">
        <v>43079.727314814816</v>
      </c>
      <c r="G117" s="225">
        <v>52</v>
      </c>
      <c r="H117" s="227" t="s">
        <v>637</v>
      </c>
      <c r="I117" s="226">
        <v>43079.755532407406</v>
      </c>
      <c r="J117" s="225">
        <v>0</v>
      </c>
      <c r="K117" s="237" t="str">
        <f t="shared" si="32"/>
        <v>4011/4012</v>
      </c>
      <c r="L117" s="245" t="str">
        <f>VLOOKUP(A117,'Trips&amp;Operators'!$C$1:$G$99911,5,FALSE)</f>
        <v>DAVIS MICHAEL</v>
      </c>
      <c r="M117" s="224">
        <f t="shared" si="33"/>
        <v>2.8217592589498963E-2</v>
      </c>
      <c r="N117" s="225">
        <f t="shared" si="50"/>
        <v>40.633333328878507</v>
      </c>
      <c r="O117" s="225"/>
      <c r="P117" s="225"/>
      <c r="Q117" s="228"/>
      <c r="R117" s="242"/>
      <c r="S117" s="249">
        <f t="shared" si="49"/>
        <v>1</v>
      </c>
      <c r="T117" s="242" t="str">
        <f t="shared" si="34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5"/>
        <v>https://d0f6bd738d7f1b3e5a7ca70fe4ff75f0.us-east-1.aws.found.io/app/kibana#/discover/Steve-Slow-Train-Analysis-(2080s-and-2083s)?_g=(refreshInterval:(display:Off,pause:!f,section:0,value:0),time:(from:'2017-12-10T16:23:27-0700',mode:absolute,to:'2017-12-10T19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247" t="str">
        <f>IF(AA117&lt;VLOOKUP(AG117,Variables!$AC$3:$AD$8,2,FALSE),"Y","N")</f>
        <v>N</v>
      </c>
      <c r="X117" s="247">
        <f t="shared" si="53"/>
        <v>1</v>
      </c>
      <c r="Y117" s="247">
        <f t="shared" si="51"/>
        <v>23.299299999999999</v>
      </c>
      <c r="Z117" s="247">
        <f t="shared" si="52"/>
        <v>2.1600000000000001E-2</v>
      </c>
      <c r="AA117" s="247">
        <f t="shared" si="38"/>
        <v>23.277699999999999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9"/>
        <v>204</v>
      </c>
      <c r="AE117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17" s="234" t="str">
        <f t="shared" si="41"/>
        <v>"C:\Program Files (x86)\AstroGrep\AstroGrep.exe" /e /r /s /spath="%USERPROFILE%\AppData\Local\Temp\OnboardLogs" /stypes="app*4011*20171211*" /stext=" 01:.+((SYSTEM_STATE.+slice.+state.+changed )|(ment ac)|(multiple cpu faults)|(system.+state.+changed )|(\[timeout)|(PRM\|1\|D)|(kpr)|(kdp)|(train st.+moving)|(\|lc)|(penalty))"</v>
      </c>
      <c r="AG117" s="244" t="str">
        <f t="shared" si="42"/>
        <v>EC</v>
      </c>
      <c r="AH117" s="236" t="str">
        <f t="shared" si="43"/>
        <v>"%USERPROFILE%\Documents\GitHub\eaglep3\Utilities\RefineRTDCRunTimes.py" --tripid 204-10 --locoid 4011 --swversion DE.1.0.9.0 --startMP 204:232993 --initTime 2017-12-10T17:23:27 --startdatetime 2017-12-10T17:27:20 --delay 52 --endMP 204:216 --enddatetime 2017-12-10T18:07:58 --enforcementcount 0 &gt;&gt;%USERPROFILE%\Documents\GitHub\eaglep3-reporting\EC\2017-12-10-refined-times.txt</v>
      </c>
      <c r="AI11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{"issue":{"subject":"","project_id":79,"tracker_id":40,"status_id":1,"priority_id":2,"assigned_to_id":338,"start_date":"2017-12-10","description":"","custom_fields":[{"id":1,"name":"Subdivision","value":"EC"},{"id":4,"name":"Milepost","value":"0.0216"},{"id":17,"name":"Train ID","value":"204-10"},{"id":16,"name":"Locomotive ID","value":"4011"},{"id":130,"name":"Impact","value":""},{"id":150,"name":"Time of Event (Mountain Time)","value":"18:07:58"},{"id":151,"name":"Denver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5"/>
        <v>start /low /b %USERPROFILE%\Documents\GitHub\eaglep3\Utilities\DownloadLogsFromS3.py --loco 4011 --day 2017-12-10</v>
      </c>
      <c r="AN117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7"/>
        <v>https://d0f6bd738d7f1b3e5a7ca70fe4ff75f0.us-east-1.aws.found.io/app/kibana#/discover/Steve-Slow-Train-Analysis-(2080s-and-2083s)?_g=(refreshInterval:(display:Off,pause:!f,section:0,value:0),time:(from:'2017-12-10T16:23:27-0700',mode:absolute,to:'2017-12-10T19:07:58-0700'))&amp;_a=(columns:!('Message%20ID',Summary),filters:!(),index:'emp_*',interval:auto,query:(query_string:(analyze_wildcard:!t,query:'%22rtdc.l.rtdc.4011%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880</v>
      </c>
      <c r="B118" s="225">
        <v>4030</v>
      </c>
      <c r="C118" s="227" t="s">
        <v>192</v>
      </c>
      <c r="D118" s="227" t="s">
        <v>579</v>
      </c>
      <c r="E118" s="226">
        <v>43079.695601851854</v>
      </c>
      <c r="F118" s="226">
        <v>43079.698125000003</v>
      </c>
      <c r="G118" s="225">
        <v>64</v>
      </c>
      <c r="H118" s="227" t="s">
        <v>704</v>
      </c>
      <c r="I118" s="226">
        <v>43079.722928240742</v>
      </c>
      <c r="J118" s="225">
        <v>0</v>
      </c>
      <c r="K118" s="237" t="str">
        <f t="shared" si="32"/>
        <v>4029/4030</v>
      </c>
      <c r="L118" s="245" t="str">
        <f>VLOOKUP(A118,'Trips&amp;Operators'!$C$1:$G$99911,5,FALSE)</f>
        <v>SAFIEF AEIMEN</v>
      </c>
      <c r="M118" s="224">
        <f t="shared" si="33"/>
        <v>2.4803240739856847E-2</v>
      </c>
      <c r="N118" s="225">
        <f t="shared" si="50"/>
        <v>35.716666665393859</v>
      </c>
      <c r="O118" s="225"/>
      <c r="P118" s="225"/>
      <c r="Q118" s="228"/>
      <c r="R118" s="242"/>
      <c r="S118" s="249">
        <f t="shared" si="49"/>
        <v>1</v>
      </c>
      <c r="T118" s="242" t="str">
        <f t="shared" si="34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5"/>
        <v>https://d0f6bd738d7f1b3e5a7ca70fe4ff75f0.us-east-1.aws.found.io/app/kibana#/discover/Steve-Slow-Train-Analysis-(2080s-and-2083s)?_g=(refreshInterval:(display:Off,pause:!f,section:0,value:0),time:(from:'2017-12-10T15:41:40-0700',mode:absolute,to:'2017-12-10T18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247" t="str">
        <f>IF(AA118&lt;VLOOKUP(AG118,Variables!$AC$3:$AD$8,2,FALSE),"Y","N")</f>
        <v>N</v>
      </c>
      <c r="X118" s="247">
        <f t="shared" si="53"/>
        <v>1</v>
      </c>
      <c r="Y118" s="247">
        <f t="shared" si="51"/>
        <v>4.8000000000000001E-2</v>
      </c>
      <c r="Z118" s="247">
        <f t="shared" si="52"/>
        <v>23.3263</v>
      </c>
      <c r="AA118" s="247">
        <f t="shared" si="38"/>
        <v>23.278300000000002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9"/>
        <v>205</v>
      </c>
      <c r="AE118" s="235" t="str">
        <f t="shared" si="40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18" s="234" t="str">
        <f t="shared" si="41"/>
        <v>"C:\Program Files (x86)\AstroGrep\AstroGrep.exe" /e /r /s /spath="%USERPROFILE%\AppData\Local\Temp\OnboardLogs" /stypes="app*4030*20171211*" /stext=" 00:.+((SYSTEM_STATE.+slice.+state.+changed )|(ment ac)|(multiple cpu faults)|(system.+state.+changed )|(\[timeout)|(PRM\|1\|D)|(kpr)|(kdp)|(train st.+moving)|(\|lc)|(penalty))"</v>
      </c>
      <c r="AG118" s="244" t="str">
        <f t="shared" si="42"/>
        <v>EC</v>
      </c>
      <c r="AH118" s="236" t="str">
        <f t="shared" si="43"/>
        <v>"%USERPROFILE%\Documents\GitHub\eaglep3\Utilities\RefineRTDCRunTimes.py" --tripid 205-10 --locoid 4030 --swversion DE.1.0.9.0 --startMP 204:480 --initTime 2017-12-10T16:41:40 --startdatetime 2017-12-10T16:45:18 --delay 64 --endMP 204:233263 --enddatetime 2017-12-10T17:21:01 --enforcementcount 0 &gt;&gt;%USERPROFILE%\Documents\GitHub\eaglep3-reporting\EC\2017-12-10-refined-times.txt</v>
      </c>
      <c r="AI11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{"issue":{"subject":"","project_id":79,"tracker_id":40,"status_id":1,"priority_id":2,"assigned_to_id":338,"start_date":"2017-12-10","description":"","custom_fields":[{"id":1,"name":"Subdivision","value":"EC"},{"id":4,"name":"Milepost","value":"23.3263"},{"id":17,"name":"Train ID","value":"205-10"},{"id":16,"name":"Locomotive ID","value":"4030"},{"id":130,"name":"Impact","value":""},{"id":150,"name":"Time of Event (Mountain Time)","value":"17:21:01"},{"id":151,"name":"Denver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45"/>
        <v>start /low /b %USERPROFILE%\Documents\GitHub\eaglep3\Utilities\DownloadLogsFromS3.py --loco 4030 --day 2017-12-10</v>
      </c>
      <c r="AN118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7"/>
        <v>https://d0f6bd738d7f1b3e5a7ca70fe4ff75f0.us-east-1.aws.found.io/app/kibana#/discover/Steve-Slow-Train-Analysis-(2080s-and-2083s)?_g=(refreshInterval:(display:Off,pause:!f,section:0,value:0),time:(from:'2017-12-10T15:41:40-0700',mode:absolute,to:'2017-12-10T18:21:01-0700'))&amp;_a=(columns:!('Message%20ID',Summary),filters:!(),index:'emp_*',interval:auto,query:(query_string:(analyze_wildcard:!t,query:'%22rtdc.l.rtdc.4030%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887</v>
      </c>
      <c r="B119" s="225">
        <v>4029</v>
      </c>
      <c r="C119" s="227" t="s">
        <v>192</v>
      </c>
      <c r="D119" s="227" t="s">
        <v>591</v>
      </c>
      <c r="E119" s="226">
        <v>43079.727638888886</v>
      </c>
      <c r="F119" s="226">
        <v>43079.73773148148</v>
      </c>
      <c r="G119" s="225">
        <v>112</v>
      </c>
      <c r="H119" s="227" t="s">
        <v>690</v>
      </c>
      <c r="I119" s="226">
        <v>43079.763749999998</v>
      </c>
      <c r="J119" s="225">
        <v>0</v>
      </c>
      <c r="K119" s="237" t="str">
        <f t="shared" si="32"/>
        <v>4029/4030</v>
      </c>
      <c r="L119" s="245" t="str">
        <f>VLOOKUP(A119,'Trips&amp;Operators'!$C$1:$G$99911,5,FALSE)</f>
        <v>SAFIEF AEIMEN</v>
      </c>
      <c r="M119" s="224">
        <f t="shared" si="33"/>
        <v>2.6018518517958E-2</v>
      </c>
      <c r="N119" s="225">
        <f t="shared" si="50"/>
        <v>37.46666666585952</v>
      </c>
      <c r="O119" s="225"/>
      <c r="P119" s="225"/>
      <c r="Q119" s="228"/>
      <c r="R119" s="242"/>
      <c r="S119" s="249">
        <f t="shared" si="49"/>
        <v>1</v>
      </c>
      <c r="T119" s="242" t="str">
        <f t="shared" si="34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5"/>
        <v>https://d0f6bd738d7f1b3e5a7ca70fe4ff75f0.us-east-1.aws.found.io/app/kibana#/discover/Steve-Slow-Train-Analysis-(2080s-and-2083s)?_g=(refreshInterval:(display:Off,pause:!f,section:0,value:0),time:(from:'2017-12-10T16:27:48-0700',mode:absolute,to:'2017-12-10T19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247" t="str">
        <f>IF(AA119&lt;VLOOKUP(AG119,Variables!$AC$3:$AD$8,2,FALSE),"Y","N")</f>
        <v>N</v>
      </c>
      <c r="X119" s="247">
        <f t="shared" si="53"/>
        <v>1</v>
      </c>
      <c r="Y119" s="247">
        <f t="shared" si="51"/>
        <v>23.293199999999999</v>
      </c>
      <c r="Z119" s="247">
        <f t="shared" si="52"/>
        <v>1.8700000000000001E-2</v>
      </c>
      <c r="AA119" s="247">
        <f t="shared" si="38"/>
        <v>23.2745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9"/>
        <v>206</v>
      </c>
      <c r="AE119" s="235" t="str">
        <f t="shared" si="40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119" s="234" t="str">
        <f t="shared" si="41"/>
        <v>"C:\Program Files (x86)\AstroGrep\AstroGrep.exe" /e /r /s /spath="%USERPROFILE%\AppData\Local\Temp\OnboardLogs" /stypes="app*4029*20171211*" /stext=" 01:.+((SYSTEM_STATE.+slice.+state.+changed )|(ment ac)|(multiple cpu faults)|(system.+state.+changed )|(\[timeout)|(PRM\|1\|D)|(kpr)|(kdp)|(train st.+moving)|(\|lc)|(penalty))"</v>
      </c>
      <c r="AG119" s="244" t="str">
        <f t="shared" si="42"/>
        <v>EC</v>
      </c>
      <c r="AH119" s="236" t="str">
        <f t="shared" si="43"/>
        <v>"%USERPROFILE%\Documents\GitHub\eaglep3\Utilities\RefineRTDCRunTimes.py" --tripid 206-10 --locoid 4029 --swversion DE.1.0.9.0 --startMP 204:232932 --initTime 2017-12-10T17:27:48 --startdatetime 2017-12-10T17:42:20 --delay 112 --endMP 204:187 --enddatetime 2017-12-10T18:19:48 --enforcementcount 0 &gt;&gt;%USERPROFILE%\Documents\GitHub\eaglep3-reporting\EC\2017-12-10-refined-times.txt</v>
      </c>
      <c r="AI11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{"issue":{"subject":"","project_id":79,"tracker_id":40,"status_id":1,"priority_id":2,"assigned_to_id":338,"start_date":"2017-12-10","description":"","custom_fields":[{"id":1,"name":"Subdivision","value":"EC"},{"id":4,"name":"Milepost","value":"0.0187"},{"id":17,"name":"Train ID","value":"206-10"},{"id":16,"name":"Locomotive ID","value":"4029"},{"id":130,"name":"Impact","value":""},{"id":150,"name":"Time of Event (Mountain Time)","value":"18:19:48"},{"id":151,"name":"Denver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5"/>
        <v>start /low /b %USERPROFILE%\Documents\GitHub\eaglep3\Utilities\DownloadLogsFromS3.py --loco 4029 --day 2017-12-10</v>
      </c>
      <c r="AN119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7"/>
        <v>https://d0f6bd738d7f1b3e5a7ca70fe4ff75f0.us-east-1.aws.found.io/app/kibana#/discover/Steve-Slow-Train-Analysis-(2080s-and-2083s)?_g=(refreshInterval:(display:Off,pause:!f,section:0,value:0),time:(from:'2017-12-10T16:27:48-0700',mode:absolute,to:'2017-12-10T19:19:48-0700'))&amp;_a=(columns:!('Message%20ID',Summary),filters:!(),index:'emp_*',interval:auto,query:(query_string:(analyze_wildcard:!t,query:'%22rtdc.l.rtdc.4029%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9" t="s">
        <v>882</v>
      </c>
      <c r="B120" s="225">
        <v>4032</v>
      </c>
      <c r="C120" s="227" t="s">
        <v>192</v>
      </c>
      <c r="D120" s="227" t="s">
        <v>1023</v>
      </c>
      <c r="E120" s="226">
        <v>43079.70516203704</v>
      </c>
      <c r="F120" s="226">
        <v>43079.708645833336</v>
      </c>
      <c r="G120" s="225">
        <v>51</v>
      </c>
      <c r="H120" s="227" t="s">
        <v>623</v>
      </c>
      <c r="I120" s="226">
        <v>43079.733773148146</v>
      </c>
      <c r="J120" s="225">
        <v>0</v>
      </c>
      <c r="K120" s="237" t="str">
        <f t="shared" si="32"/>
        <v>4031/4032</v>
      </c>
      <c r="L120" s="245" t="str">
        <f>VLOOKUP(A120,'Trips&amp;Operators'!$C$1:$G$99911,5,FALSE)</f>
        <v>GUZMAN DANNY</v>
      </c>
      <c r="M120" s="224">
        <f t="shared" si="33"/>
        <v>2.512731480965158E-2</v>
      </c>
      <c r="N120" s="225">
        <f t="shared" si="50"/>
        <v>36.183333325898275</v>
      </c>
      <c r="O120" s="225"/>
      <c r="P120" s="225"/>
      <c r="Q120" s="228"/>
      <c r="R120" s="242"/>
      <c r="S120" s="249">
        <f t="shared" si="49"/>
        <v>1</v>
      </c>
      <c r="T120" s="242" t="str">
        <f t="shared" si="34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5"/>
        <v>https://d0f6bd738d7f1b3e5a7ca70fe4ff75f0.us-east-1.aws.found.io/app/kibana#/discover/Steve-Slow-Train-Analysis-(2080s-and-2083s)?_g=(refreshInterval:(display:Off,pause:!f,section:0,value:0),time:(from:'2017-12-10T15:55:26-0700',mode:absolute,to:'2017-12-10T18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247" t="str">
        <f>IF(AA120&lt;VLOOKUP(AG120,Variables!$AC$3:$AD$8,2,FALSE),"Y","N")</f>
        <v>N</v>
      </c>
      <c r="X120" s="247">
        <f t="shared" si="53"/>
        <v>1</v>
      </c>
      <c r="Y120" s="247">
        <f t="shared" si="51"/>
        <v>5.8200000000000002E-2</v>
      </c>
      <c r="Z120" s="247">
        <f t="shared" si="52"/>
        <v>23.328499999999998</v>
      </c>
      <c r="AA120" s="247">
        <f t="shared" si="38"/>
        <v>23.270299999999999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9"/>
        <v>207</v>
      </c>
      <c r="AE120" s="235" t="str">
        <f t="shared" si="40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120" s="234" t="str">
        <f t="shared" si="41"/>
        <v>"C:\Program Files (x86)\AstroGrep\AstroGrep.exe" /e /r /s /spath="%USERPROFILE%\AppData\Local\Temp\OnboardLogs" /stypes="app*4032*20171211*" /stext=" 00:.+((SYSTEM_STATE.+slice.+state.+changed )|(ment ac)|(multiple cpu faults)|(system.+state.+changed )|(\[timeout)|(PRM\|1\|D)|(kpr)|(kdp)|(train st.+moving)|(\|lc)|(penalty))"</v>
      </c>
      <c r="AG120" s="244" t="str">
        <f t="shared" si="42"/>
        <v>EC</v>
      </c>
      <c r="AH120" s="236" t="str">
        <f t="shared" si="43"/>
        <v>"%USERPROFILE%\Documents\GitHub\eaglep3\Utilities\RefineRTDCRunTimes.py" --tripid 207-10 --locoid 4032 --swversion DE.1.0.9.0 --startMP 204:582 --initTime 2017-12-10T16:55:26 --startdatetime 2017-12-10T17:00:27 --delay 51 --endMP 204:233285 --enddatetime 2017-12-10T17:36:38 --enforcementcount 0 &gt;&gt;%USERPROFILE%\Documents\GitHub\eaglep3-reporting\EC\2017-12-10-refined-times.txt</v>
      </c>
      <c r="AI12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{"issue":{"subject":"","project_id":79,"tracker_id":40,"status_id":1,"priority_id":2,"assigned_to_id":338,"start_date":"2017-12-10","description":"","custom_fields":[{"id":1,"name":"Subdivision","value":"EC"},{"id":4,"name":"Milepost","value":"23.3285"},{"id":17,"name":"Train ID","value":"207-10"},{"id":16,"name":"Locomotive ID","value":"4032"},{"id":130,"name":"Impact","value":""},{"id":150,"name":"Time of Event (Mountain Time)","value":"17:36:38"},{"id":151,"name":"Denver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5"/>
        <v>start /low /b %USERPROFILE%\Documents\GitHub\eaglep3\Utilities\DownloadLogsFromS3.py --loco 4032 --day 2017-12-10</v>
      </c>
      <c r="AN120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7"/>
        <v>https://d0f6bd738d7f1b3e5a7ca70fe4ff75f0.us-east-1.aws.found.io/app/kibana#/discover/Steve-Slow-Train-Analysis-(2080s-and-2083s)?_g=(refreshInterval:(display:Off,pause:!f,section:0,value:0),time:(from:'2017-12-10T15:55:26-0700',mode:absolute,to:'2017-12-10T18:36:38-0700'))&amp;_a=(columns:!('Message%20ID',Summary),filters:!(),index:'emp_*',interval:auto,query:(query_string:(analyze_wildcard:!t,query:'%22rtdc.l.rtdc.4032%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748</v>
      </c>
      <c r="B121" s="225">
        <v>4031</v>
      </c>
      <c r="C121" s="227" t="s">
        <v>192</v>
      </c>
      <c r="D121" s="227" t="s">
        <v>725</v>
      </c>
      <c r="E121" s="226">
        <v>43079.735810185186</v>
      </c>
      <c r="F121" s="226">
        <v>43079.748090277775</v>
      </c>
      <c r="G121" s="225">
        <v>50</v>
      </c>
      <c r="H121" s="227" t="s">
        <v>1024</v>
      </c>
      <c r="I121" s="226">
        <v>43079.775196759256</v>
      </c>
      <c r="J121" s="225">
        <v>0</v>
      </c>
      <c r="K121" s="237" t="str">
        <f t="shared" si="32"/>
        <v>4031/4032</v>
      </c>
      <c r="L121" s="245" t="str">
        <f>VLOOKUP(A121,'Trips&amp;Operators'!$C$1:$G$99911,5,FALSE)</f>
        <v>GUZMAN DANNY</v>
      </c>
      <c r="M121" s="224">
        <f t="shared" si="33"/>
        <v>2.7106481480586808E-2</v>
      </c>
      <c r="N121" s="225">
        <f t="shared" si="50"/>
        <v>39.033333332045004</v>
      </c>
      <c r="O121" s="225"/>
      <c r="P121" s="225"/>
      <c r="Q121" s="228"/>
      <c r="R121" s="242"/>
      <c r="S121" s="249">
        <f t="shared" si="49"/>
        <v>1</v>
      </c>
      <c r="T121" s="242" t="str">
        <f t="shared" si="34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5"/>
        <v>https://d0f6bd738d7f1b3e5a7ca70fe4ff75f0.us-east-1.aws.found.io/app/kibana#/discover/Steve-Slow-Train-Analysis-(2080s-and-2083s)?_g=(refreshInterval:(display:Off,pause:!f,section:0,value:0),time:(from:'2017-12-10T16:39:34-0700',mode:absolute,to:'2017-12-10T19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247" t="str">
        <f>IF(AA121&lt;VLOOKUP(AG121,Variables!$AC$3:$AD$8,2,FALSE),"Y","N")</f>
        <v>N</v>
      </c>
      <c r="X121" s="247">
        <f t="shared" si="53"/>
        <v>1</v>
      </c>
      <c r="Y121" s="247">
        <f t="shared" si="51"/>
        <v>23.295500000000001</v>
      </c>
      <c r="Z121" s="247">
        <f t="shared" si="52"/>
        <v>2.52E-2</v>
      </c>
      <c r="AA121" s="247">
        <f t="shared" si="38"/>
        <v>23.270299999999999</v>
      </c>
      <c r="AB121" s="233" t="str">
        <f>VLOOKUP(A121,Enforcements!$C$7:$K$9,8,0)</f>
        <v>Bulletin (2)</v>
      </c>
      <c r="AC121" s="232" t="str">
        <f>VLOOKUP(A121,Enforcements!$C$7:$E$9,3,0)</f>
        <v>GRADE CROSSING</v>
      </c>
      <c r="AD121" s="243">
        <f t="shared" si="39"/>
        <v>208</v>
      </c>
      <c r="AE121" s="235" t="str">
        <f t="shared" si="40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121" s="234" t="str">
        <f t="shared" si="41"/>
        <v>"C:\Program Files (x86)\AstroGrep\AstroGrep.exe" /e /r /s /spath="%USERPROFILE%\AppData\Local\Temp\OnboardLogs" /stypes="app*4031*20171211*" /stext=" 01:.+((SYSTEM_STATE.+slice.+state.+changed )|(ment ac)|(multiple cpu faults)|(system.+state.+changed )|(\[timeout)|(PRM\|1\|D)|(kpr)|(kdp)|(train st.+moving)|(\|lc)|(penalty))"</v>
      </c>
      <c r="AG121" s="244" t="str">
        <f t="shared" si="42"/>
        <v>EC</v>
      </c>
      <c r="AH121" s="236" t="str">
        <f t="shared" si="43"/>
        <v>"%USERPROFILE%\Documents\GitHub\eaglep3\Utilities\RefineRTDCRunTimes.py" --tripid 208-10 --locoid 4031 --swversion DE.1.0.9.0 --startMP 204:232955 --initTime 2017-12-10T17:39:34 --startdatetime 2017-12-10T17:57:15 --delay 50 --endMP 204:252 --enddatetime 2017-12-10T18:36:17 --enforcementcount 0 &gt;&gt;%USERPROFILE%\Documents\GitHub\eaglep3-reporting\EC\2017-12-10-refined-times.txt</v>
      </c>
      <c r="AI12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{"issue":{"subject":"","project_id":79,"tracker_id":40,"status_id":1,"priority_id":2,"assigned_to_id":338,"start_date":"2017-12-10","description":"","custom_fields":[{"id":1,"name":"Subdivision","value":"EC"},{"id":4,"name":"Milepost","value":"0.0252"},{"id":17,"name":"Train ID","value":"208-10"},{"id":16,"name":"Locomotive ID","value":"4031"},{"id":130,"name":"Impact","value":""},{"id":150,"name":"Time of Event (Mountain Time)","value":"18:36:17"},{"id":151,"name":"Denver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5"/>
        <v>start /low /b %USERPROFILE%\Documents\GitHub\eaglep3\Utilities\DownloadLogsFromS3.py --loco 4031 --day 2017-12-10</v>
      </c>
      <c r="AN121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7"/>
        <v>https://d0f6bd738d7f1b3e5a7ca70fe4ff75f0.us-east-1.aws.found.io/app/kibana#/discover/Steve-Slow-Train-Analysis-(2080s-and-2083s)?_g=(refreshInterval:(display:Off,pause:!f,section:0,value:0),time:(from:'2017-12-10T16:39:34-0700',mode:absolute,to:'2017-12-10T19:36:17-0700'))&amp;_a=(columns:!('Message%20ID',Summary),filters:!(),index:'emp_*',interval:auto,query:(query_string:(analyze_wildcard:!t,query:'%22rtdc.l.rtdc.4031%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745</v>
      </c>
      <c r="B122" s="225">
        <v>4064</v>
      </c>
      <c r="C122" s="227" t="s">
        <v>192</v>
      </c>
      <c r="D122" s="227" t="s">
        <v>680</v>
      </c>
      <c r="E122" s="226">
        <v>43079.714236111111</v>
      </c>
      <c r="F122" s="226">
        <v>43079.723553240743</v>
      </c>
      <c r="G122" s="225">
        <v>87</v>
      </c>
      <c r="H122" s="227" t="s">
        <v>1025</v>
      </c>
      <c r="I122" s="226">
        <v>43079.744699074072</v>
      </c>
      <c r="J122" s="225">
        <v>0</v>
      </c>
      <c r="K122" s="237" t="str">
        <f t="shared" si="32"/>
        <v>4063/4064</v>
      </c>
      <c r="L122" s="245" t="str">
        <f>VLOOKUP(A122,'Trips&amp;Operators'!$C$1:$G$99911,5,FALSE)</f>
        <v>STAMBAUGH JAMES</v>
      </c>
      <c r="M122" s="224">
        <f t="shared" si="33"/>
        <v>2.1145833328773733E-2</v>
      </c>
      <c r="N122" s="225"/>
      <c r="O122" s="225"/>
      <c r="P122" s="225"/>
      <c r="Q122" s="228"/>
      <c r="R122" s="242"/>
      <c r="S122" s="249"/>
      <c r="T122" s="242" t="str">
        <f t="shared" si="34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0</v>
      </c>
      <c r="V122" s="248" t="str">
        <f t="shared" si="35"/>
        <v>https://d0f6bd738d7f1b3e5a7ca70fe4ff75f0.us-east-1.aws.found.io/app/kibana#/discover/Steve-Slow-Train-Analysis-(2080s-and-2083s)?_g=(refreshInterval:(display:Off,pause:!f,section:0,value:0),time:(from:'2017-12-10T16:08:30-0700',mode:absolute,to:'2017-12-10T18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2" s="247" t="str">
        <f>IF(AA122&lt;VLOOKUP(AG122,Variables!$AC$3:$AD$8,2,FALSE),"Y","N")</f>
        <v>Y</v>
      </c>
      <c r="X122" s="247">
        <f t="shared" si="53"/>
        <v>1</v>
      </c>
      <c r="Y122" s="247">
        <f t="shared" si="51"/>
        <v>5.1700000000000003E-2</v>
      </c>
      <c r="Z122" s="247">
        <f t="shared" si="52"/>
        <v>0.1537</v>
      </c>
      <c r="AA122" s="247">
        <f t="shared" si="38"/>
        <v>0.10200000000000001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9"/>
        <v>209</v>
      </c>
      <c r="AE122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22" s="234" t="str">
        <f t="shared" si="41"/>
        <v>"C:\Program Files (x86)\AstroGrep\AstroGrep.exe" /e /r /s /spath="%USERPROFILE%\AppData\Local\Temp\OnboardLogs" /stypes="app*4064*20171211*" /stext=" 00:.+((SYSTEM_STATE.+slice.+state.+changed )|(ment ac)|(multiple cpu faults)|(system.+state.+changed )|(\[timeout)|(PRM\|1\|D)|(kpr)|(kdp)|(train st.+moving)|(\|lc)|(penalty))"</v>
      </c>
      <c r="AG122" s="244" t="str">
        <f t="shared" si="42"/>
        <v>EC</v>
      </c>
      <c r="AH122" s="236" t="str">
        <f t="shared" si="43"/>
        <v>"%USERPROFILE%\Documents\GitHub\eaglep3\Utilities\RefineRTDCRunTimes.py" --tripid 209-10 --locoid 4064 --swversion DE.1.0.9.0 --startMP 204:517 --initTime 2017-12-10T17:08:30 --startdatetime 2017-12-10T17:21:55 --delay 87 --endMP 204:1537 --enddatetime 2017-12-10T17:52:22 --enforcementcount 0 &gt;&gt;%USERPROFILE%\Documents\GitHub\eaglep3-reporting\EC\2017-12-10-refined-times.txt</v>
      </c>
      <c r="AI12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{"issue":{"subject":"","project_id":79,"tracker_id":40,"status_id":1,"priority_id":2,"assigned_to_id":338,"start_date":"2017-12-10","description":"","custom_fields":[{"id":1,"name":"Subdivision","value":"EC"},{"id":4,"name":"Milepost","value":"0.1537"},{"id":17,"name":"Train ID","value":"209-10"},{"id":16,"name":"Locomotive ID","value":"4064"},{"id":130,"name":"Impact","value":""},{"id":150,"name":"Time of Event (Mountain Time)","value":"17:52:22"},{"id":151,"name":"Denver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5"/>
        <v>start /low /b %USERPROFILE%\Documents\GitHub\eaglep3\Utilities\DownloadLogsFromS3.py --loco 4064 --day 2017-12-10</v>
      </c>
      <c r="AN122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7"/>
        <v>https://d0f6bd738d7f1b3e5a7ca70fe4ff75f0.us-east-1.aws.found.io/app/kibana#/discover/Steve-Slow-Train-Analysis-(2080s-and-2083s)?_g=(refreshInterval:(display:Off,pause:!f,section:0,value:0),time:(from:'2017-12-10T16:08:30-0700',mode:absolute,to:'2017-12-10T18:52:22-0700'))&amp;_a=(columns:!('Message%20ID',Summary),filters:!(),index:'emp_*',interval:auto,query:(query_string:(analyze_wildcard:!t,query:'%22rtdc.l.rtdc.4064%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29" t="s">
        <v>745</v>
      </c>
      <c r="B123" s="225">
        <v>4064</v>
      </c>
      <c r="C123" s="227" t="s">
        <v>192</v>
      </c>
      <c r="D123" s="227" t="s">
        <v>1026</v>
      </c>
      <c r="E123" s="226">
        <v>43079.722731481481</v>
      </c>
      <c r="F123" s="226">
        <v>43079.723553240743</v>
      </c>
      <c r="G123" s="225">
        <v>39</v>
      </c>
      <c r="H123" s="227" t="s">
        <v>573</v>
      </c>
      <c r="I123" s="226">
        <v>43079.744699074072</v>
      </c>
      <c r="J123" s="225">
        <v>0</v>
      </c>
      <c r="K123" s="237" t="str">
        <f t="shared" si="32"/>
        <v>4063/4064</v>
      </c>
      <c r="L123" s="245" t="str">
        <f>VLOOKUP(A123,'Trips&amp;Operators'!$C$1:$G$99911,5,FALSE)</f>
        <v>STAMBAUGH JAMES</v>
      </c>
      <c r="M123" s="224">
        <f t="shared" si="33"/>
        <v>2.1145833328773733E-2</v>
      </c>
      <c r="N123" s="225"/>
      <c r="O123" s="225"/>
      <c r="P123" s="225">
        <f>24*60*SUM($M123:$M123)</f>
        <v>30.449999993434176</v>
      </c>
      <c r="Q123" s="228"/>
      <c r="R123" s="242" t="s">
        <v>661</v>
      </c>
      <c r="S123" s="249">
        <f t="shared" ref="S123:S154" si="54">1/IF(AG123="EC",12,1)*SUM(U123:U123)</f>
        <v>1</v>
      </c>
      <c r="T123" s="242" t="str">
        <f t="shared" si="34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5"/>
        <v>https://d0f6bd738d7f1b3e5a7ca70fe4ff75f0.us-east-1.aws.found.io/app/kibana#/discover/Steve-Slow-Train-Analysis-(2080s-and-2083s)?_g=(refreshInterval:(display:Off,pause:!f,section:0,value:0),time:(from:'2017-12-10T16:20:44-0700',mode:absolute,to:'2017-12-10T18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3" s="247" t="str">
        <f>IF(AA123&lt;VLOOKUP(AG123,Variables!$AC$3:$AD$8,2,FALSE),"Y","N")</f>
        <v>Y</v>
      </c>
      <c r="X123" s="247">
        <f t="shared" si="53"/>
        <v>0</v>
      </c>
      <c r="Y123" s="247">
        <f t="shared" si="51"/>
        <v>1.9139999999999999</v>
      </c>
      <c r="Z123" s="247">
        <f t="shared" si="52"/>
        <v>23.329699999999999</v>
      </c>
      <c r="AA123" s="247">
        <f t="shared" si="38"/>
        <v>21.415699999999998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9"/>
        <v>209</v>
      </c>
      <c r="AE123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23" s="234" t="str">
        <f t="shared" si="41"/>
        <v>"C:\Program Files (x86)\AstroGrep\AstroGrep.exe" /e /r /s /spath="%USERPROFILE%\AppData\Local\Temp\OnboardLogs" /stypes="app*4064*20171211*" /stext=" 00:.+((SYSTEM_STATE.+slice.+state.+changed )|(ment ac)|(multiple cpu faults)|(system.+state.+changed )|(\[timeout)|(PRM\|1\|D)|(kpr)|(kdp)|(train st.+moving)|(\|lc)|(penalty))"</v>
      </c>
      <c r="AG123" s="244" t="str">
        <f t="shared" si="42"/>
        <v>EC</v>
      </c>
      <c r="AH123" s="236" t="str">
        <f t="shared" si="43"/>
        <v>"%USERPROFILE%\Documents\GitHub\eaglep3\Utilities\RefineRTDCRunTimes.py" --tripid 209-10 --locoid 4064 --swversion DE.1.0.9.0 --startMP 204:19140 --initTime 2017-12-10T17:20:44 --startdatetime 2017-12-10T17:21:55 --delay 39 --endMP 204:233297 --enddatetime 2017-12-10T17:52:22 --enforcementcount 0 &gt;&gt;%USERPROFILE%\Documents\GitHub\eaglep3-reporting\EC\2017-12-10-refined-times.txt</v>
      </c>
      <c r="AI123" s="238" t="str">
        <f t="shared" si="44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failure","project_id":79,"tracker_id":40,"status_id":1,"priority_id":2,"assigned_to_id":338,"start_date":"2017-12-10","description":"","custom_fields":[{"id":1,"name":"Subdivision","value":"EC"},{"id":4,"name":"Milepost","value":"23.3297"},{"id":17,"name":"Train ID","value":"209-10"},{"id":16,"name":"Locomotive ID","value":"4064"},{"id":130,"name":"Impact","value":""},{"id":150,"name":"Time of Event (Mountain Time)","value":"17:52:22"},{"id":151,"name":"Denver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45"/>
        <v>start /low /b %USERPROFILE%\Documents\GitHub\eaglep3\Utilities\DownloadLogsFromS3.py --loco 4064 --day 2017-12-10</v>
      </c>
      <c r="AN123" s="241" t="str">
        <f t="shared" si="46"/>
        <v>echo {"issue":{"subject":"Onboard en route failure","project_id":30,"tracker_id":4,"status_id":1,"priority_id":1,"assigned_to_id":10,"start_date":"2017-12-11","description":"","custom_fields":[{"id":30,"name":"Category","value":"Issue"},{"id":3,"name":"Functional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7"/>
        <v>https://d0f6bd738d7f1b3e5a7ca70fe4ff75f0.us-east-1.aws.found.io/app/kibana#/discover/Steve-Slow-Train-Analysis-(2080s-and-2083s)?_g=(refreshInterval:(display:Off,pause:!f,section:0,value:0),time:(from:'2017-12-10T16:20:44-0700',mode:absolute,to:'2017-12-10T18:52:22-0700'))&amp;_a=(columns:!('Message%20ID',Summary),filters:!(),index:'emp_*',interval:auto,query:(query_string:(analyze_wildcard:!t,query:'%22rtdc.l.rtdc.4064%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749</v>
      </c>
      <c r="B124" s="225">
        <v>4063</v>
      </c>
      <c r="C124" s="227" t="s">
        <v>192</v>
      </c>
      <c r="D124" s="227" t="s">
        <v>620</v>
      </c>
      <c r="E124" s="226">
        <v>43079.753240740742</v>
      </c>
      <c r="F124" s="226">
        <v>43079.758657407408</v>
      </c>
      <c r="G124" s="225">
        <v>60</v>
      </c>
      <c r="H124" s="227" t="s">
        <v>688</v>
      </c>
      <c r="I124" s="226">
        <v>43079.785104166665</v>
      </c>
      <c r="J124" s="225">
        <v>0</v>
      </c>
      <c r="K124" s="237" t="str">
        <f t="shared" si="32"/>
        <v>4063/4064</v>
      </c>
      <c r="L124" s="245" t="str">
        <f>VLOOKUP(A124,'Trips&amp;Operators'!$C$1:$G$99911,5,FALSE)</f>
        <v>STAMBAUGH JAMES</v>
      </c>
      <c r="M124" s="224">
        <f t="shared" si="33"/>
        <v>2.6446759256941732E-2</v>
      </c>
      <c r="N124" s="225">
        <f t="shared" ref="N124:N141" si="55">24*60*SUM($M124:$M124)</f>
        <v>38.083333329996094</v>
      </c>
      <c r="O124" s="225"/>
      <c r="P124" s="225"/>
      <c r="Q124" s="228"/>
      <c r="R124" s="242"/>
      <c r="S124" s="249">
        <f t="shared" si="54"/>
        <v>1</v>
      </c>
      <c r="T124" s="242" t="str">
        <f t="shared" si="34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5"/>
        <v>https://d0f6bd738d7f1b3e5a7ca70fe4ff75f0.us-east-1.aws.found.io/app/kibana#/discover/Steve-Slow-Train-Analysis-(2080s-and-2083s)?_g=(refreshInterval:(display:Off,pause:!f,section:0,value:0),time:(from:'2017-12-10T17:04:40-0700',mode:absolute,to:'2017-12-10T19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4" s="247" t="str">
        <f>IF(AA124&lt;VLOOKUP(AG124,Variables!$AC$3:$AD$8,2,FALSE),"Y","N")</f>
        <v>N</v>
      </c>
      <c r="X124" s="247">
        <f t="shared" si="53"/>
        <v>1</v>
      </c>
      <c r="Y124" s="247">
        <f t="shared" si="51"/>
        <v>23.297799999999999</v>
      </c>
      <c r="Z124" s="247">
        <f t="shared" si="52"/>
        <v>2.3400000000000001E-2</v>
      </c>
      <c r="AA124" s="247">
        <f t="shared" si="38"/>
        <v>23.2744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9"/>
        <v>210</v>
      </c>
      <c r="AE124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24" s="234" t="str">
        <f t="shared" si="41"/>
        <v>"C:\Program Files (x86)\AstroGrep\AstroGrep.exe" /e /r /s /spath="%USERPROFILE%\AppData\Local\Temp\OnboardLogs" /stypes="app*4063*20171211*" /stext=" 01:.+((SYSTEM_STATE.+slice.+state.+changed )|(ment ac)|(multiple cpu faults)|(system.+state.+changed )|(\[timeout)|(PRM\|1\|D)|(kpr)|(kdp)|(train st.+moving)|(\|lc)|(penalty))"</v>
      </c>
      <c r="AG124" s="244" t="str">
        <f t="shared" si="42"/>
        <v>EC</v>
      </c>
      <c r="AH124" s="236" t="str">
        <f t="shared" si="43"/>
        <v>"%USERPROFILE%\Documents\GitHub\eaglep3\Utilities\RefineRTDCRunTimes.py" --tripid 210-10 --locoid 4063 --swversion DE.1.0.9.0 --startMP 204:232978 --initTime 2017-12-10T18:04:40 --startdatetime 2017-12-10T18:12:28 --delay 60 --endMP 204:234 --enddatetime 2017-12-10T18:50:33 --enforcementcount 0 &gt;&gt;%USERPROFILE%\Documents\GitHub\eaglep3-reporting\EC\2017-12-10-refined-times.txt</v>
      </c>
      <c r="AI12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{"issue":{"subject":"","project_id":79,"tracker_id":40,"status_id":1,"priority_id":2,"assigned_to_id":338,"start_date":"2017-12-10","description":"","custom_fields":[{"id":1,"name":"Subdivision","value":"EC"},{"id":4,"name":"Milepost","value":"0.0234"},{"id":17,"name":"Train ID","value":"210-10"},{"id":16,"name":"Locomotive ID","value":"4063"},{"id":130,"name":"Impact","value":""},{"id":150,"name":"Time of Event (Mountain Time)","value":"18:50:33"},{"id":151,"name":"Denver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45"/>
        <v>start /low /b %USERPROFILE%\Documents\GitHub\eaglep3\Utilities\DownloadLogsFromS3.py --loco 4063 --day 2017-12-10</v>
      </c>
      <c r="AN124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7"/>
        <v>https://d0f6bd738d7f1b3e5a7ca70fe4ff75f0.us-east-1.aws.found.io/app/kibana#/discover/Steve-Slow-Train-Analysis-(2080s-and-2083s)?_g=(refreshInterval:(display:Off,pause:!f,section:0,value:0),time:(from:'2017-12-10T17:04:40-0700',mode:absolute,to:'2017-12-10T19:50:33-0700'))&amp;_a=(columns:!('Message%20ID',Summary),filters:!(),index:'emp_*',interval:auto,query:(query_string:(analyze_wildcard:!t,query:'%22rtdc.l.rtdc.4063%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888</v>
      </c>
      <c r="B125" s="225">
        <v>4066</v>
      </c>
      <c r="C125" s="227" t="s">
        <v>192</v>
      </c>
      <c r="D125" s="227" t="s">
        <v>620</v>
      </c>
      <c r="E125" s="226">
        <v>43079.753240740742</v>
      </c>
      <c r="F125" s="226">
        <v>43079.731365740743</v>
      </c>
      <c r="G125" s="225">
        <v>60</v>
      </c>
      <c r="H125" s="227" t="s">
        <v>688</v>
      </c>
      <c r="I125" s="226">
        <v>43079.755532407406</v>
      </c>
      <c r="J125" s="225">
        <v>0</v>
      </c>
      <c r="K125" s="237" t="str">
        <f t="shared" si="32"/>
        <v>4065/4066</v>
      </c>
      <c r="L125" s="245" t="str">
        <f>VLOOKUP(A125,'Trips&amp;Operators'!$C$1:$G$99911,5,FALSE)</f>
        <v>MCREYNOLDS KYLE</v>
      </c>
      <c r="M125" s="224">
        <f t="shared" si="33"/>
        <v>2.4166666662495118E-2</v>
      </c>
      <c r="N125" s="225">
        <f t="shared" si="55"/>
        <v>34.799999993992969</v>
      </c>
      <c r="O125" s="225"/>
      <c r="P125" s="225"/>
      <c r="Q125" s="228"/>
      <c r="R125" s="242"/>
      <c r="S125" s="249">
        <f t="shared" si="54"/>
        <v>1</v>
      </c>
      <c r="T125" s="242" t="str">
        <f t="shared" si="34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5"/>
        <v>https://d0f6bd738d7f1b3e5a7ca70fe4ff75f0.us-east-1.aws.found.io/app/kibana#/discover/Steve-Slow-Train-Analysis-(2080s-and-2083s)?_g=(refreshInterval:(display:Off,pause:!f,section:0,value:0),time:(from:'2017-12-10T17:04:40-0700',mode:absolute,to:'2017-12-10T19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5" s="247" t="str">
        <f>IF(AA125&lt;VLOOKUP(AG125,Variables!$AC$3:$AD$8,2,FALSE),"Y","N")</f>
        <v>N</v>
      </c>
      <c r="X125" s="247">
        <f t="shared" si="53"/>
        <v>1</v>
      </c>
      <c r="Y125" s="247">
        <v>5.8200000000000002E-2</v>
      </c>
      <c r="Z125" s="247">
        <v>23.328499999999998</v>
      </c>
      <c r="AA125" s="247">
        <f t="shared" si="38"/>
        <v>23.270299999999999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9"/>
        <v>211</v>
      </c>
      <c r="AE125" s="235" t="str">
        <f t="shared" si="40"/>
        <v>aws s3 cp s3://rtdc.mdm.uploadarchive.raw/RTDC4066/ "%USERPROFILE%\AppData\Local\Temp\OnboardLogs"\RTDC4066\2017-12-10 --exclude "*" --recursive --include "*20171210*" &amp; "%USERPROFILE%\Documents\GitHub\mrs-test-scripts\Headless Mode &amp; Sideloading\WalkAndUnGZ.bat" "%USERPROFILE%\AppData\Local\Temp\OnboardLogs"\RTDC4066\2017-12-10 &amp; aws s3 cp s3://rtdc.mdm.uploadarchive.raw/RTDC4066/ "%USERPROFILE%\AppData\Local\Temp\OnboardLogs"\RTDC4066\2017-12-11 --exclude "*" --recursive --include "*20171211*" &amp; "%USERPROFILE%\Documents\GitHub\mrs-test-scripts\Headless Mode &amp; Sideloading\WalkAndUnGZ.bat" "%USERPROFILE%\AppData\Local\Temp\OnboardLogs"\RTDC4066\2017-12-11</v>
      </c>
      <c r="AF125" s="234" t="str">
        <f t="shared" si="41"/>
        <v>"C:\Program Files (x86)\AstroGrep\AstroGrep.exe" /e /r /s /spath="%USERPROFILE%\AppData\Local\Temp\OnboardLogs" /stypes="app*4066*20171211*" /stext=" 01:.+((SYSTEM_STATE.+slice.+state.+changed )|(ment ac)|(multiple cpu faults)|(system.+state.+changed )|(\[timeout)|(PRM\|1\|D)|(kpr)|(kdp)|(train st.+moving)|(\|lc)|(penalty))"</v>
      </c>
      <c r="AG125" s="244" t="str">
        <f t="shared" si="42"/>
        <v>EC</v>
      </c>
      <c r="AH125" s="236" t="str">
        <f t="shared" ref="AH125" si="56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211-10 --locoid 4066 --swversion DE.1.0.9.0 --startMP 204:232978 --initTime 2017-12-10T18:04:40 --startdatetime 2017-12-10T17:33:10 --delay 60 --endMP 204:234 --enddatetime 2017-12-10T18:07:58 --enforcementcount 0 &gt;&gt;%USERPROFILE%\Documents\GitHub\eaglep3-reporting\EC\2017-12-10-refined-times.txt</v>
      </c>
      <c r="AI125" s="238" t="str">
        <f t="shared" ref="AI125" si="57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{"issue":{"subject":"","project_id":79,"tracker_id":40,"status_id":1,"priority_id":2,"assigned_to_id":338,"start_date":"2017-12-10","description":"","custom_fields":[{"id":1,"name":"Subdivision","value":"EC"},{"id":4,"name":"Milepost","value":"23.3285"},{"id":17,"name":"Train ID","value":"211-10"},{"id":16,"name":"Locomotive ID","value":"4066"},{"id":130,"name":"Impact","value":""},{"id":150,"name":"Time of Event (Mountain Time)","value":"18:07:58"},{"id":151,"name":"Denver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ref="AM125" si="58">"start /low /b "&amp;dls3logs&amp;" --loco "&amp;B125&amp;" --day "&amp;TEXT(F125,"YYYY-MM-DD")</f>
        <v>start /low /b %USERPROFILE%\Documents\GitHub\eaglep3\Utilities\DownloadLogsFromS3.py --loco 4066 --day 2017-12-10</v>
      </c>
      <c r="AN125" s="241" t="str">
        <f t="shared" ref="AN125" si="59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ref="AO125" si="60"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-10T17:04:40-0700',mode:absolute,to:'2017-12-10T19:07:58-0700'))&amp;_a=(columns:!('Message%20ID',Summary),filters:!(),index:'emp_*',interval:auto,query:(query_string:(analyze_wildcard:!t,query:'%22rtdc.l.rtdc.4066%22')),sort:!(Time.ISO8601,asc))</v>
      </c>
    </row>
    <row r="126" spans="1:91" s="223" customFormat="1" x14ac:dyDescent="0.3">
      <c r="A126" s="229" t="s">
        <v>894</v>
      </c>
      <c r="B126" s="225">
        <v>4065</v>
      </c>
      <c r="C126" s="227" t="s">
        <v>192</v>
      </c>
      <c r="D126" s="227" t="s">
        <v>620</v>
      </c>
      <c r="E126" s="226">
        <v>43079.753240740742</v>
      </c>
      <c r="F126" s="226">
        <v>43079.768900462965</v>
      </c>
      <c r="G126" s="225">
        <v>60</v>
      </c>
      <c r="H126" s="227" t="s">
        <v>688</v>
      </c>
      <c r="I126" s="226">
        <v>43079.794120370374</v>
      </c>
      <c r="J126" s="225">
        <v>0</v>
      </c>
      <c r="K126" s="237" t="str">
        <f t="shared" si="32"/>
        <v>4065/4066</v>
      </c>
      <c r="L126" s="245" t="str">
        <f>VLOOKUP(A126,'Trips&amp;Operators'!$C$1:$G$99911,5,FALSE)</f>
        <v>MCREYNOLDS KYLE</v>
      </c>
      <c r="M126" s="224">
        <f t="shared" si="33"/>
        <v>2.5219907409336884E-2</v>
      </c>
      <c r="N126" s="225">
        <f t="shared" si="55"/>
        <v>36.316666669445112</v>
      </c>
      <c r="O126" s="225"/>
      <c r="P126" s="225"/>
      <c r="Q126" s="228"/>
      <c r="R126" s="242"/>
      <c r="S126" s="249">
        <f t="shared" si="54"/>
        <v>1</v>
      </c>
      <c r="T126" s="242" t="str">
        <f t="shared" si="34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5"/>
        <v>https://d0f6bd738d7f1b3e5a7ca70fe4ff75f0.us-east-1.aws.found.io/app/kibana#/discover/Steve-Slow-Train-Analysis-(2080s-and-2083s)?_g=(refreshInterval:(display:Off,pause:!f,section:0,value:0),time:(from:'2017-12-10T17:04:40-0700',mode:absolute,to:'2017-12-10T20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6" s="247" t="str">
        <f>IF(AA126&lt;VLOOKUP(AG126,Variables!$AC$3:$AD$8,2,FALSE),"Y","N")</f>
        <v>N</v>
      </c>
      <c r="X126" s="247">
        <f t="shared" si="53"/>
        <v>1</v>
      </c>
      <c r="Y126" s="247">
        <v>23.297799999999999</v>
      </c>
      <c r="Z126" s="247">
        <v>2.3400000000000001E-2</v>
      </c>
      <c r="AA126" s="247">
        <f t="shared" si="38"/>
        <v>23.2744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9"/>
        <v>212</v>
      </c>
      <c r="AE126" s="235" t="str">
        <f t="shared" si="40"/>
        <v>aws s3 cp s3://rtdc.mdm.uploadarchive.raw/RTDC4065/ "%USERPROFILE%\AppData\Local\Temp\OnboardLogs"\RTDC4065\2017-12-10 --exclude "*" --recursive --include "*20171210*" &amp; "%USERPROFILE%\Documents\GitHub\mrs-test-scripts\Headless Mode &amp; Sideloading\WalkAndUnGZ.bat" "%USERPROFILE%\AppData\Local\Temp\OnboardLogs"\RTDC4065\2017-12-10 &amp; aws s3 cp s3://rtdc.mdm.uploadarchive.raw/RTDC4065/ "%USERPROFILE%\AppData\Local\Temp\OnboardLogs"\RTDC4065\2017-12-11 --exclude "*" --recursive --include "*20171211*" &amp; "%USERPROFILE%\Documents\GitHub\mrs-test-scripts\Headless Mode &amp; Sideloading\WalkAndUnGZ.bat" "%USERPROFILE%\AppData\Local\Temp\OnboardLogs"\RTDC4065\2017-12-11</v>
      </c>
      <c r="AF126" s="234" t="str">
        <f t="shared" si="41"/>
        <v>"C:\Program Files (x86)\AstroGrep\AstroGrep.exe" /e /r /s /spath="%USERPROFILE%\AppData\Local\Temp\OnboardLogs" /stypes="app*4065*20171211*" /stext=" 02:.+((SYSTEM_STATE.+slice.+state.+changed )|(ment ac)|(multiple cpu faults)|(system.+state.+changed )|(\[timeout)|(PRM\|1\|D)|(kpr)|(kdp)|(train st.+moving)|(\|lc)|(penalty))"</v>
      </c>
      <c r="AG126" s="244" t="str">
        <f t="shared" si="42"/>
        <v>EC</v>
      </c>
      <c r="AH126" s="236" t="str">
        <f t="shared" ref="AH126" si="61"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212-10 --locoid 4065 --swversion DE.1.0.9.0 --startMP 204:232978 --initTime 2017-12-10T18:04:40 --startdatetime 2017-12-10T18:27:13 --delay 60 --endMP 204:234 --enddatetime 2017-12-10T19:03:32 --enforcementcount 0 &gt;&gt;%USERPROFILE%\Documents\GitHub\eaglep3-reporting\EC\2017-12-10-refined-times.txt</v>
      </c>
      <c r="AI126" s="238" t="str">
        <f t="shared" ref="AI126" si="62"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{"issue":{"subject":"","project_id":79,"tracker_id":40,"status_id":1,"priority_id":2,"assigned_to_id":338,"start_date":"2017-12-10","description":"","custom_fields":[{"id":1,"name":"Subdivision","value":"EC"},{"id":4,"name":"Milepost","value":"0.0234"},{"id":17,"name":"Train ID","value":"212-10"},{"id":16,"name":"Locomotive ID","value":"4065"},{"id":130,"name":"Impact","value":""},{"id":150,"name":"Time of Event (Mountain Time)","value":"19:03:32"},{"id":151,"name":"Denver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ref="AM126" si="63">"start /low /b "&amp;dls3logs&amp;" --loco "&amp;B126&amp;" --day "&amp;TEXT(F126,"YYYY-MM-DD")</f>
        <v>start /low /b %USERPROFILE%\Documents\GitHub\eaglep3\Utilities\DownloadLogsFromS3.py --loco 4065 --day 2017-12-10</v>
      </c>
      <c r="AN126" s="241" t="str">
        <f t="shared" ref="AN126" si="64"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ref="AO126" si="65"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-10T17:04:40-0700',mode:absolute,to:'2017-12-10T20:03:32-0700'))&amp;_a=(columns:!('Message%20ID',Summary),filters:!(),index:'emp_*',interval:auto,query:(query_string:(analyze_wildcard:!t,query:'%22rtdc.l.rtdc.4065%22')),sort:!(Time.ISO8601,asc))</v>
      </c>
    </row>
    <row r="127" spans="1:91" s="20" customFormat="1" x14ac:dyDescent="0.3">
      <c r="A127" s="229" t="s">
        <v>890</v>
      </c>
      <c r="B127" s="225">
        <v>4024</v>
      </c>
      <c r="C127" s="227" t="s">
        <v>192</v>
      </c>
      <c r="D127" s="227" t="s">
        <v>585</v>
      </c>
      <c r="E127" s="226">
        <v>43079.736689814818</v>
      </c>
      <c r="F127" s="226">
        <v>43079.739768518521</v>
      </c>
      <c r="G127" s="225">
        <v>132</v>
      </c>
      <c r="H127" s="227" t="s">
        <v>547</v>
      </c>
      <c r="I127" s="226">
        <v>43079.764560185184</v>
      </c>
      <c r="J127" s="225">
        <v>0</v>
      </c>
      <c r="K127" s="237" t="str">
        <f t="shared" si="32"/>
        <v>4023/4024</v>
      </c>
      <c r="L127" s="245" t="str">
        <f>VLOOKUP(A127,'Trips&amp;Operators'!$C$1:$G$99911,5,FALSE)</f>
        <v>LOZA FIDEL</v>
      </c>
      <c r="M127" s="224">
        <f t="shared" si="33"/>
        <v>2.4791666663077194E-2</v>
      </c>
      <c r="N127" s="225">
        <f t="shared" si="55"/>
        <v>35.69999999483116</v>
      </c>
      <c r="O127" s="225"/>
      <c r="P127" s="225"/>
      <c r="Q127" s="228"/>
      <c r="R127" s="242"/>
      <c r="S127" s="249">
        <f t="shared" si="54"/>
        <v>1</v>
      </c>
      <c r="T127" s="242" t="str">
        <f t="shared" si="34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5"/>
        <v>https://d0f6bd738d7f1b3e5a7ca70fe4ff75f0.us-east-1.aws.found.io/app/kibana#/discover/Steve-Slow-Train-Analysis-(2080s-and-2083s)?_g=(refreshInterval:(display:Off,pause:!f,section:0,value:0),time:(from:'2017-12-10T16:40:50-0700',mode:absolute,to:'2017-12-10T19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7" s="247" t="str">
        <f>IF(AA127&lt;VLOOKUP(AG127,Variables!$AC$3:$AD$8,2,FALSE),"Y","N")</f>
        <v>N</v>
      </c>
      <c r="X127" s="247">
        <f t="shared" ref="X127:X128" si="66">VALUE(LEFT(AD127,4))-VALUE(LEFT(AD126,4))</f>
        <v>1</v>
      </c>
      <c r="Y127" s="247">
        <f t="shared" ref="Y127:Y148" si="67">RIGHT(D127,LEN(D127)-4)/10000</f>
        <v>5.11E-2</v>
      </c>
      <c r="Z127" s="247">
        <f t="shared" ref="Z127:Z148" si="68">RIGHT(H127,LEN(H127)-4)/10000</f>
        <v>23.327000000000002</v>
      </c>
      <c r="AA127" s="247">
        <f t="shared" si="38"/>
        <v>23.2759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9"/>
        <v>213</v>
      </c>
      <c r="AE127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27" s="234" t="str">
        <f t="shared" si="41"/>
        <v>"C:\Program Files (x86)\AstroGrep\AstroGrep.exe" /e /r /s /spath="%USERPROFILE%\AppData\Local\Temp\OnboardLogs" /stypes="app*4024*20171211*" /stext=" 01:.+((SYSTEM_STATE.+slice.+state.+changed )|(ment ac)|(multiple cpu faults)|(system.+state.+changed )|(\[timeout)|(PRM\|1\|D)|(kpr)|(kdp)|(train st.+moving)|(\|lc)|(penalty))"</v>
      </c>
      <c r="AG127" s="244" t="str">
        <f t="shared" si="42"/>
        <v>EC</v>
      </c>
      <c r="AH127" s="236" t="str">
        <f t="shared" si="43"/>
        <v>"%USERPROFILE%\Documents\GitHub\eaglep3\Utilities\RefineRTDCRunTimes.py" --tripid 213-10 --locoid 4024 --swversion DE.1.0.9.0 --startMP 204:511 --initTime 2017-12-10T17:40:50 --startdatetime 2017-12-10T17:45:16 --delay 132 --endMP 204:233270 --enddatetime 2017-12-10T18:20:58 --enforcementcount 0 &gt;&gt;%USERPROFILE%\Documents\GitHub\eaglep3-reporting\EC\2017-12-10-refined-times.txt</v>
      </c>
      <c r="AI12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{"issue":{"subject":"","project_id":79,"tracker_id":40,"status_id":1,"priority_id":2,"assigned_to_id":338,"start_date":"2017-12-10","description":"","custom_fields":[{"id":1,"name":"Subdivision","value":"EC"},{"id":4,"name":"Milepost","value":"23.327"},{"id":17,"name":"Train ID","value":"213-10"},{"id":16,"name":"Locomotive ID","value":"4024"},{"id":130,"name":"Impact","value":""},{"id":150,"name":"Time of Event (Mountain Time)","value":"18:20:58"},{"id":151,"name":"Denver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5"/>
        <v>start /low /b %USERPROFILE%\Documents\GitHub\eaglep3\Utilities\DownloadLogsFromS3.py --loco 4024 --day 2017-12-10</v>
      </c>
      <c r="AN127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7"/>
        <v>https://d0f6bd738d7f1b3e5a7ca70fe4ff75f0.us-east-1.aws.found.io/app/kibana#/discover/Steve-Slow-Train-Analysis-(2080s-and-2083s)?_g=(refreshInterval:(display:Off,pause:!f,section:0,value:0),time:(from:'2017-12-10T16:40:50-0700',mode:absolute,to:'2017-12-10T19:20:58-0700'))&amp;_a=(columns:!('Message%20ID',Summary),filters:!(),index:'emp_*',interval:auto,query:(query_string:(analyze_wildcard:!t,query:'%22rtdc.l.rtdc.4024%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897</v>
      </c>
      <c r="B128" s="225">
        <v>4023</v>
      </c>
      <c r="C128" s="227" t="s">
        <v>192</v>
      </c>
      <c r="D128" s="227" t="s">
        <v>1027</v>
      </c>
      <c r="E128" s="226">
        <v>43079.776423611111</v>
      </c>
      <c r="F128" s="226">
        <v>43079.779398148145</v>
      </c>
      <c r="G128" s="225">
        <v>136</v>
      </c>
      <c r="H128" s="227" t="s">
        <v>580</v>
      </c>
      <c r="I128" s="226">
        <v>43079.804525462961</v>
      </c>
      <c r="J128" s="225">
        <v>0</v>
      </c>
      <c r="K128" s="237" t="str">
        <f t="shared" si="32"/>
        <v>4023/4024</v>
      </c>
      <c r="L128" s="245" t="str">
        <f>VLOOKUP(A128,'Trips&amp;Operators'!$C$1:$G$99911,5,FALSE)</f>
        <v>LOZA FIDEL</v>
      </c>
      <c r="M128" s="224">
        <f t="shared" si="33"/>
        <v>2.5127314816927537E-2</v>
      </c>
      <c r="N128" s="225">
        <f t="shared" si="55"/>
        <v>36.183333336375654</v>
      </c>
      <c r="O128" s="225"/>
      <c r="P128" s="225"/>
      <c r="Q128" s="228"/>
      <c r="R128" s="242"/>
      <c r="S128" s="249">
        <f t="shared" si="54"/>
        <v>1</v>
      </c>
      <c r="T128" s="242" t="str">
        <f t="shared" si="34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5"/>
        <v>https://d0f6bd738d7f1b3e5a7ca70fe4ff75f0.us-east-1.aws.found.io/app/kibana#/discover/Steve-Slow-Train-Analysis-(2080s-and-2083s)?_g=(refreshInterval:(display:Off,pause:!f,section:0,value:0),time:(from:'2017-12-10T17:38:03-0700',mode:absolute,to:'2017-12-10T20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8" s="247" t="str">
        <f>IF(AA128&lt;VLOOKUP(AG128,Variables!$AC$3:$AD$8,2,FALSE),"Y","N")</f>
        <v>N</v>
      </c>
      <c r="X128" s="247">
        <f t="shared" si="66"/>
        <v>1</v>
      </c>
      <c r="Y128" s="247">
        <f t="shared" si="67"/>
        <v>23.294599999999999</v>
      </c>
      <c r="Z128" s="247">
        <f t="shared" si="68"/>
        <v>2.18E-2</v>
      </c>
      <c r="AA128" s="247">
        <f t="shared" si="38"/>
        <v>23.2728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9"/>
        <v>214</v>
      </c>
      <c r="AE128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28" s="234" t="str">
        <f t="shared" si="41"/>
        <v>"C:\Program Files (x86)\AstroGrep\AstroGrep.exe" /e /r /s /spath="%USERPROFILE%\AppData\Local\Temp\OnboardLogs" /stypes="app*4023*20171211*" /stext=" 02:.+((SYSTEM_STATE.+slice.+state.+changed )|(ment ac)|(multiple cpu faults)|(system.+state.+changed )|(\[timeout)|(PRM\|1\|D)|(kpr)|(kdp)|(train st.+moving)|(\|lc)|(penalty))"</v>
      </c>
      <c r="AG128" s="244" t="str">
        <f t="shared" si="42"/>
        <v>EC</v>
      </c>
      <c r="AH128" s="236" t="str">
        <f t="shared" si="43"/>
        <v>"%USERPROFILE%\Documents\GitHub\eaglep3\Utilities\RefineRTDCRunTimes.py" --tripid 214-10 --locoid 4023 --swversion DE.1.0.9.0 --startMP 204:232946 --initTime 2017-12-10T18:38:03 --startdatetime 2017-12-10T18:42:20 --delay 136 --endMP 204:218 --enddatetime 2017-12-10T19:18:31 --enforcementcount 0 &gt;&gt;%USERPROFILE%\Documents\GitHub\eaglep3-reporting\EC\2017-12-10-refined-times.txt</v>
      </c>
      <c r="AI12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{"issue":{"subject":"","project_id":79,"tracker_id":40,"status_id":1,"priority_id":2,"assigned_to_id":338,"start_date":"2017-12-10","description":"","custom_fields":[{"id":1,"name":"Subdivision","value":"EC"},{"id":4,"name":"Milepost","value":"0.0218"},{"id":17,"name":"Train ID","value":"214-10"},{"id":16,"name":"Locomotive ID","value":"4023"},{"id":130,"name":"Impact","value":""},{"id":150,"name":"Time of Event (Mountain Time)","value":"19:18:31"},{"id":151,"name":"Denver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5"/>
        <v>start /low /b %USERPROFILE%\Documents\GitHub\eaglep3\Utilities\DownloadLogsFromS3.py --loco 4023 --day 2017-12-10</v>
      </c>
      <c r="AN128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02:18:31"},{"id":29,"name":"Sharepoint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7"/>
        <v>https://d0f6bd738d7f1b3e5a7ca70fe4ff75f0.us-east-1.aws.found.io/app/kibana#/discover/Steve-Slow-Train-Analysis-(2080s-and-2083s)?_g=(refreshInterval:(display:Off,pause:!f,section:0,value:0),time:(from:'2017-12-10T17:38:03-0700',mode:absolute,to:'2017-12-10T20:18:31-0700'))&amp;_a=(columns:!('Message%20ID',Summary),filters:!(),index:'emp_*',interval:auto,query:(query_string:(analyze_wildcard:!t,query:'%22rtdc.l.rtdc.4023%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29" t="s">
        <v>891</v>
      </c>
      <c r="B129" s="225">
        <v>4018</v>
      </c>
      <c r="C129" s="227" t="s">
        <v>192</v>
      </c>
      <c r="D129" s="227" t="s">
        <v>490</v>
      </c>
      <c r="E129" s="226">
        <v>43079.744166666664</v>
      </c>
      <c r="F129" s="226">
        <v>43079.750254629631</v>
      </c>
      <c r="G129" s="225">
        <v>77</v>
      </c>
      <c r="H129" s="227" t="s">
        <v>533</v>
      </c>
      <c r="I129" s="226">
        <v>43079.774930555555</v>
      </c>
      <c r="J129" s="225">
        <v>0</v>
      </c>
      <c r="K129" s="237" t="str">
        <f t="shared" si="32"/>
        <v>4017/4018</v>
      </c>
      <c r="L129" s="245" t="str">
        <f>VLOOKUP(A129,'Trips&amp;Operators'!$C$1:$G$99911,5,FALSE)</f>
        <v>SMITH MICHAEL</v>
      </c>
      <c r="M129" s="224">
        <f t="shared" si="33"/>
        <v>2.4675925924384501E-2</v>
      </c>
      <c r="N129" s="225">
        <f t="shared" si="55"/>
        <v>35.533333331113681</v>
      </c>
      <c r="O129" s="225"/>
      <c r="P129" s="225"/>
      <c r="Q129" s="228"/>
      <c r="R129" s="242"/>
      <c r="S129" s="249">
        <f t="shared" si="54"/>
        <v>1</v>
      </c>
      <c r="T129" s="242" t="str">
        <f t="shared" si="34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5"/>
        <v>https://d0f6bd738d7f1b3e5a7ca70fe4ff75f0.us-east-1.aws.found.io/app/kibana#/discover/Steve-Slow-Train-Analysis-(2080s-and-2083s)?_g=(refreshInterval:(display:Off,pause:!f,section:0,value:0),time:(from:'2017-12-10T16:51:36-0700',mode:absolute,to:'2017-12-10T19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247" t="str">
        <f>IF(AA129&lt;VLOOKUP(AG129,Variables!$AC$3:$AD$8,2,FALSE),"Y","N")</f>
        <v>N</v>
      </c>
      <c r="X129" s="247">
        <f t="shared" ref="X129:X149" si="69">VALUE(LEFT(AD129,4))-VALUE(LEFT(AD128,4))</f>
        <v>1</v>
      </c>
      <c r="Y129" s="247">
        <f t="shared" si="67"/>
        <v>5.1499999999999997E-2</v>
      </c>
      <c r="Z129" s="247">
        <f t="shared" si="68"/>
        <v>23.326799999999999</v>
      </c>
      <c r="AA129" s="247">
        <f t="shared" si="38"/>
        <v>23.275299999999998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9"/>
        <v>215</v>
      </c>
      <c r="AE129" s="235" t="str">
        <f t="shared" si="40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129" s="234" t="str">
        <f t="shared" si="41"/>
        <v>"C:\Program Files (x86)\AstroGrep\AstroGrep.exe" /e /r /s /spath="%USERPROFILE%\AppData\Local\Temp\OnboardLogs" /stypes="app*4018*20171211*" /stext=" 01:.+((SYSTEM_STATE.+slice.+state.+changed )|(ment ac)|(multiple cpu faults)|(system.+state.+changed )|(\[timeout)|(PRM\|1\|D)|(kpr)|(kdp)|(train st.+moving)|(\|lc)|(penalty))"</v>
      </c>
      <c r="AG129" s="244" t="str">
        <f t="shared" si="42"/>
        <v>EC</v>
      </c>
      <c r="AH129" s="236" t="str">
        <f t="shared" si="43"/>
        <v>"%USERPROFILE%\Documents\GitHub\eaglep3\Utilities\RefineRTDCRunTimes.py" --tripid 215-10 --locoid 4018 --swversion DE.1.0.9.0 --startMP 204:515 --initTime 2017-12-10T17:51:36 --startdatetime 2017-12-10T18:00:22 --delay 77 --endMP 204:233268 --enddatetime 2017-12-10T18:35:54 --enforcementcount 0 &gt;&gt;%USERPROFILE%\Documents\GitHub\eaglep3-reporting\EC\2017-12-10-refined-times.txt</v>
      </c>
      <c r="AI12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{"issue":{"subject":"","project_id":79,"tracker_id":40,"status_id":1,"priority_id":2,"assigned_to_id":338,"start_date":"2017-12-10","description":"","custom_fields":[{"id":1,"name":"Subdivision","value":"EC"},{"id":4,"name":"Milepost","value":"23.3268"},{"id":17,"name":"Train ID","value":"215-10"},{"id":16,"name":"Locomotive ID","value":"4018"},{"id":130,"name":"Impact","value":""},{"id":150,"name":"Time of Event (Mountain Time)","value":"18:35:54"},{"id":151,"name":"Denver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5"/>
        <v>start /low /b %USERPROFILE%\Documents\GitHub\eaglep3\Utilities\DownloadLogsFromS3.py --loco 4018 --day 2017-12-10</v>
      </c>
      <c r="AN129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7"/>
        <v>https://d0f6bd738d7f1b3e5a7ca70fe4ff75f0.us-east-1.aws.found.io/app/kibana#/discover/Steve-Slow-Train-Analysis-(2080s-and-2083s)?_g=(refreshInterval:(display:Off,pause:!f,section:0,value:0),time:(from:'2017-12-10T16:51:36-0700',mode:absolute,to:'2017-12-10T19:35:54-0700'))&amp;_a=(columns:!('Message%20ID',Summary),filters:!(),index:'emp_*',interval:auto,query:(query_string:(analyze_wildcard:!t,query:'%22rtdc.l.rtdc.4018%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899</v>
      </c>
      <c r="B130" s="225">
        <v>4017</v>
      </c>
      <c r="C130" s="227" t="s">
        <v>192</v>
      </c>
      <c r="D130" s="227" t="s">
        <v>550</v>
      </c>
      <c r="E130" s="226">
        <v>43079.781064814815</v>
      </c>
      <c r="F130" s="226">
        <v>43079.789756944447</v>
      </c>
      <c r="G130" s="225">
        <v>57</v>
      </c>
      <c r="H130" s="227" t="s">
        <v>697</v>
      </c>
      <c r="I130" s="226">
        <v>43079.815104166664</v>
      </c>
      <c r="J130" s="225">
        <v>0</v>
      </c>
      <c r="K130" s="237" t="str">
        <f t="shared" si="32"/>
        <v>4017/4018</v>
      </c>
      <c r="L130" s="245" t="str">
        <f>VLOOKUP(A130,'Trips&amp;Operators'!$C$1:$G$99911,5,FALSE)</f>
        <v>SMITH MICHAEL</v>
      </c>
      <c r="M130" s="224">
        <f t="shared" si="33"/>
        <v>2.5347222217533272E-2</v>
      </c>
      <c r="N130" s="225">
        <f t="shared" si="55"/>
        <v>36.499999993247911</v>
      </c>
      <c r="O130" s="225"/>
      <c r="P130" s="225"/>
      <c r="Q130" s="228"/>
      <c r="R130" s="242"/>
      <c r="S130" s="249">
        <f t="shared" si="54"/>
        <v>1</v>
      </c>
      <c r="T130" s="242" t="str">
        <f t="shared" si="34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5"/>
        <v>https://d0f6bd738d7f1b3e5a7ca70fe4ff75f0.us-east-1.aws.found.io/app/kibana#/discover/Steve-Slow-Train-Analysis-(2080s-and-2083s)?_g=(refreshInterval:(display:Off,pause:!f,section:0,value:0),time:(from:'2017-12-10T17:44:44-0700',mode:absolute,to:'2017-12-10T20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247" t="str">
        <f>IF(AA130&lt;VLOOKUP(AG130,Variables!$AC$3:$AD$8,2,FALSE),"Y","N")</f>
        <v>N</v>
      </c>
      <c r="X130" s="247">
        <f t="shared" si="69"/>
        <v>1</v>
      </c>
      <c r="Y130" s="247">
        <f t="shared" si="67"/>
        <v>23.2943</v>
      </c>
      <c r="Z130" s="247">
        <f t="shared" si="68"/>
        <v>2.2100000000000002E-2</v>
      </c>
      <c r="AA130" s="247">
        <f t="shared" si="38"/>
        <v>23.272200000000002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9"/>
        <v>216</v>
      </c>
      <c r="AE130" s="235" t="str">
        <f t="shared" si="40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130" s="234" t="str">
        <f t="shared" si="41"/>
        <v>"C:\Program Files (x86)\AstroGrep\AstroGrep.exe" /e /r /s /spath="%USERPROFILE%\AppData\Local\Temp\OnboardLogs" /stypes="app*4017*20171211*" /stext=" 02:.+((SYSTEM_STATE.+slice.+state.+changed )|(ment ac)|(multiple cpu faults)|(system.+state.+changed )|(\[timeout)|(PRM\|1\|D)|(kpr)|(kdp)|(train st.+moving)|(\|lc)|(penalty))"</v>
      </c>
      <c r="AG130" s="244" t="str">
        <f t="shared" si="42"/>
        <v>EC</v>
      </c>
      <c r="AH130" s="236" t="str">
        <f t="shared" si="43"/>
        <v>"%USERPROFILE%\Documents\GitHub\eaglep3\Utilities\RefineRTDCRunTimes.py" --tripid 216-10 --locoid 4017 --swversion DE.1.0.9.0 --startMP 204:232943 --initTime 2017-12-10T18:44:44 --startdatetime 2017-12-10T18:57:15 --delay 57 --endMP 204:221 --enddatetime 2017-12-10T19:33:45 --enforcementcount 0 &gt;&gt;%USERPROFILE%\Documents\GitHub\eaglep3-reporting\EC\2017-12-10-refined-times.txt</v>
      </c>
      <c r="AI13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{"issue":{"subject":"","project_id":79,"tracker_id":40,"status_id":1,"priority_id":2,"assigned_to_id":338,"start_date":"2017-12-10","description":"","custom_fields":[{"id":1,"name":"Subdivision","value":"EC"},{"id":4,"name":"Milepost","value":"0.0221"},{"id":17,"name":"Train ID","value":"216-10"},{"id":16,"name":"Locomotive ID","value":"4017"},{"id":130,"name":"Impact","value":""},{"id":150,"name":"Time of Event (Mountain Time)","value":"19:33:45"},{"id":151,"name":"Denver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5"/>
        <v>start /low /b %USERPROFILE%\Documents\GitHub\eaglep3\Utilities\DownloadLogsFromS3.py --loco 4017 --day 2017-12-10</v>
      </c>
      <c r="AN130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7"/>
        <v>https://d0f6bd738d7f1b3e5a7ca70fe4ff75f0.us-east-1.aws.found.io/app/kibana#/discover/Steve-Slow-Train-Analysis-(2080s-and-2083s)?_g=(refreshInterval:(display:Off,pause:!f,section:0,value:0),time:(from:'2017-12-10T17:44:44-0700',mode:absolute,to:'2017-12-10T20:33:45-0700'))&amp;_a=(columns:!('Message%20ID',Summary),filters:!(),index:'emp_*',interval:auto,query:(query_string:(analyze_wildcard:!t,query:'%22rtdc.l.rtdc.4017%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893</v>
      </c>
      <c r="B131" s="225">
        <v>4012</v>
      </c>
      <c r="C131" s="227" t="s">
        <v>192</v>
      </c>
      <c r="D131" s="227" t="s">
        <v>470</v>
      </c>
      <c r="E131" s="226">
        <v>43079.757245370369</v>
      </c>
      <c r="F131" s="226">
        <v>43079.760555555556</v>
      </c>
      <c r="G131" s="225">
        <v>90</v>
      </c>
      <c r="H131" s="227" t="s">
        <v>510</v>
      </c>
      <c r="I131" s="226">
        <v>43079.785034722219</v>
      </c>
      <c r="J131" s="225">
        <v>0</v>
      </c>
      <c r="K131" s="237" t="str">
        <f t="shared" si="32"/>
        <v>4011/4012</v>
      </c>
      <c r="L131" s="245" t="str">
        <f>VLOOKUP(A131,'Trips&amp;Operators'!$C$1:$G$99911,5,FALSE)</f>
        <v>ELBAUM MIKE</v>
      </c>
      <c r="M131" s="224">
        <f t="shared" si="33"/>
        <v>2.4479166662786156E-2</v>
      </c>
      <c r="N131" s="225">
        <f t="shared" si="55"/>
        <v>35.249999994412065</v>
      </c>
      <c r="O131" s="225"/>
      <c r="P131" s="225"/>
      <c r="Q131" s="228"/>
      <c r="R131" s="242"/>
      <c r="S131" s="249">
        <f t="shared" si="54"/>
        <v>1</v>
      </c>
      <c r="T131" s="242" t="str">
        <f t="shared" si="34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5"/>
        <v>https://d0f6bd738d7f1b3e5a7ca70fe4ff75f0.us-east-1.aws.found.io/app/kibana#/discover/Steve-Slow-Train-Analysis-(2080s-and-2083s)?_g=(refreshInterval:(display:Off,pause:!f,section:0,value:0),time:(from:'2017-12-10T17:10:26-0700',mode:absolute,to:'2017-12-10T19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247" t="str">
        <f>IF(AA131&lt;VLOOKUP(AG131,Variables!$AC$3:$AD$8,2,FALSE),"Y","N")</f>
        <v>N</v>
      </c>
      <c r="X131" s="247">
        <f t="shared" si="69"/>
        <v>1</v>
      </c>
      <c r="Y131" s="247">
        <f t="shared" si="67"/>
        <v>5.2400000000000002E-2</v>
      </c>
      <c r="Z131" s="247">
        <f t="shared" si="68"/>
        <v>23.3264</v>
      </c>
      <c r="AA131" s="247">
        <f t="shared" si="38"/>
        <v>23.274000000000001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9"/>
        <v>217</v>
      </c>
      <c r="AE131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31" s="234" t="str">
        <f t="shared" si="41"/>
        <v>"C:\Program Files (x86)\AstroGrep\AstroGrep.exe" /e /r /s /spath="%USERPROFILE%\AppData\Local\Temp\OnboardLogs" /stypes="app*4012*20171211*" /stext=" 01:.+((SYSTEM_STATE.+slice.+state.+changed )|(ment ac)|(multiple cpu faults)|(system.+state.+changed )|(\[timeout)|(PRM\|1\|D)|(kpr)|(kdp)|(train st.+moving)|(\|lc)|(penalty))"</v>
      </c>
      <c r="AG131" s="244" t="str">
        <f t="shared" si="42"/>
        <v>EC</v>
      </c>
      <c r="AH131" s="236" t="str">
        <f t="shared" si="43"/>
        <v>"%USERPROFILE%\Documents\GitHub\eaglep3\Utilities\RefineRTDCRunTimes.py" --tripid 217-10 --locoid 4012 --swversion DE.1.0.9.0 --startMP 204:524 --initTime 2017-12-10T18:10:26 --startdatetime 2017-12-10T18:15:12 --delay 90 --endMP 204:233264 --enddatetime 2017-12-10T18:50:27 --enforcementcount 0 &gt;&gt;%USERPROFILE%\Documents\GitHub\eaglep3-reporting\EC\2017-12-10-refined-times.txt</v>
      </c>
      <c r="AI13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{"issue":{"subject":"","project_id":79,"tracker_id":40,"status_id":1,"priority_id":2,"assigned_to_id":338,"start_date":"2017-12-10","description":"","custom_fields":[{"id":1,"name":"Subdivision","value":"EC"},{"id":4,"name":"Milepost","value":"23.3264"},{"id":17,"name":"Train ID","value":"217-10"},{"id":16,"name":"Locomotive ID","value":"4012"},{"id":130,"name":"Impact","value":""},{"id":150,"name":"Time of Event (Mountain Time)","value":"18:50:27"},{"id":151,"name":"Denver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45"/>
        <v>start /low /b %USERPROFILE%\Documents\GitHub\eaglep3\Utilities\DownloadLogsFromS3.py --loco 4012 --day 2017-12-10</v>
      </c>
      <c r="AN131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7"/>
        <v>https://d0f6bd738d7f1b3e5a7ca70fe4ff75f0.us-east-1.aws.found.io/app/kibana#/discover/Steve-Slow-Train-Analysis-(2080s-and-2083s)?_g=(refreshInterval:(display:Off,pause:!f,section:0,value:0),time:(from:'2017-12-10T17:10:26-0700',mode:absolute,to:'2017-12-10T19:50:27-0700'))&amp;_a=(columns:!('Message%20ID',Summary),filters:!(),index:'emp_*',interval:auto,query:(query_string:(analyze_wildcard:!t,query:'%22rtdc.l.rtdc.4012%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751</v>
      </c>
      <c r="B132" s="225">
        <v>4011</v>
      </c>
      <c r="C132" s="227" t="s">
        <v>192</v>
      </c>
      <c r="D132" s="227" t="s">
        <v>705</v>
      </c>
      <c r="E132" s="226">
        <v>43079.793599537035</v>
      </c>
      <c r="F132" s="226">
        <v>43079.800196759257</v>
      </c>
      <c r="G132" s="225">
        <v>117</v>
      </c>
      <c r="H132" s="227" t="s">
        <v>1028</v>
      </c>
      <c r="I132" s="226">
        <v>43079.82571759259</v>
      </c>
      <c r="J132" s="225">
        <v>0</v>
      </c>
      <c r="K132" s="237" t="str">
        <f t="shared" si="32"/>
        <v>4011/4012</v>
      </c>
      <c r="L132" s="245" t="str">
        <f>VLOOKUP(A132,'Trips&amp;Operators'!$C$1:$G$99911,5,FALSE)</f>
        <v>ELBAUM MIKE</v>
      </c>
      <c r="M132" s="224">
        <f t="shared" si="33"/>
        <v>2.5520833332848269E-2</v>
      </c>
      <c r="N132" s="225">
        <f t="shared" si="55"/>
        <v>36.749999999301508</v>
      </c>
      <c r="O132" s="225"/>
      <c r="P132" s="225"/>
      <c r="Q132" s="228"/>
      <c r="R132" s="242"/>
      <c r="S132" s="249">
        <f t="shared" si="54"/>
        <v>1</v>
      </c>
      <c r="T132" s="242" t="str">
        <f t="shared" si="34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5"/>
        <v>https://d0f6bd738d7f1b3e5a7ca70fe4ff75f0.us-east-1.aws.found.io/app/kibana#/discover/Steve-Slow-Train-Analysis-(2080s-and-2083s)?_g=(refreshInterval:(display:Off,pause:!f,section:0,value:0),time:(from:'2017-12-10T18:02:47-0700',mode:absolute,to:'2017-12-10T20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247" t="str">
        <f>IF(AA132&lt;VLOOKUP(AG132,Variables!$AC$3:$AD$8,2,FALSE),"Y","N")</f>
        <v>N</v>
      </c>
      <c r="X132" s="247">
        <f t="shared" si="69"/>
        <v>1</v>
      </c>
      <c r="Y132" s="247">
        <f t="shared" si="67"/>
        <v>23.293399999999998</v>
      </c>
      <c r="Z132" s="247">
        <f t="shared" si="68"/>
        <v>2.7300000000000001E-2</v>
      </c>
      <c r="AA132" s="247">
        <f t="shared" si="38"/>
        <v>23.266099999999998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9"/>
        <v>218</v>
      </c>
      <c r="AE132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32" s="234" t="str">
        <f t="shared" si="41"/>
        <v>"C:\Program Files (x86)\AstroGrep\AstroGrep.exe" /e /r /s /spath="%USERPROFILE%\AppData\Local\Temp\OnboardLogs" /stypes="app*4011*20171211*" /stext=" 02:.+((SYSTEM_STATE.+slice.+state.+changed )|(ment ac)|(multiple cpu faults)|(system.+state.+changed )|(\[timeout)|(PRM\|1\|D)|(kpr)|(kdp)|(train st.+moving)|(\|lc)|(penalty))"</v>
      </c>
      <c r="AG132" s="244" t="str">
        <f t="shared" si="42"/>
        <v>EC</v>
      </c>
      <c r="AH132" s="236" t="str">
        <f t="shared" si="43"/>
        <v>"%USERPROFILE%\Documents\GitHub\eaglep3\Utilities\RefineRTDCRunTimes.py" --tripid 218-10 --locoid 4011 --swversion DE.1.0.9.0 --startMP 204:232934 --initTime 2017-12-10T19:02:47 --startdatetime 2017-12-10T19:12:17 --delay 117 --endMP 204:273 --enddatetime 2017-12-10T19:49:02 --enforcementcount 0 &gt;&gt;%USERPROFILE%\Documents\GitHub\eaglep3-reporting\EC\2017-12-10-refined-times.txt</v>
      </c>
      <c r="AI13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{"issue":{"subject":"","project_id":79,"tracker_id":40,"status_id":1,"priority_id":2,"assigned_to_id":338,"start_date":"2017-12-10","description":"","custom_fields":[{"id":1,"name":"Subdivision","value":"EC"},{"id":4,"name":"Milepost","value":"0.0273"},{"id":17,"name":"Train ID","value":"218-10"},{"id":16,"name":"Locomotive ID","value":"4011"},{"id":130,"name":"Impact","value":""},{"id":150,"name":"Time of Event (Mountain Time)","value":"19:49:02"},{"id":151,"name":"Denver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5"/>
        <v>start /low /b %USERPROFILE%\Documents\GitHub\eaglep3\Utilities\DownloadLogsFromS3.py --loco 4011 --day 2017-12-10</v>
      </c>
      <c r="AN132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7"/>
        <v>https://d0f6bd738d7f1b3e5a7ca70fe4ff75f0.us-east-1.aws.found.io/app/kibana#/discover/Steve-Slow-Train-Analysis-(2080s-and-2083s)?_g=(refreshInterval:(display:Off,pause:!f,section:0,value:0),time:(from:'2017-12-10T18:02:47-0700',mode:absolute,to:'2017-12-10T20:49:02-0700'))&amp;_a=(columns:!('Message%20ID',Summary),filters:!(),index:'emp_*',interval:auto,query:(query_string:(analyze_wildcard:!t,query:'%22rtdc.l.rtdc.4011%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895</v>
      </c>
      <c r="B133" s="225">
        <v>4030</v>
      </c>
      <c r="C133" s="227" t="s">
        <v>192</v>
      </c>
      <c r="D133" s="227" t="s">
        <v>549</v>
      </c>
      <c r="E133" s="226">
        <v>43079.765162037038</v>
      </c>
      <c r="F133" s="226">
        <v>43079.771226851852</v>
      </c>
      <c r="G133" s="225">
        <v>72</v>
      </c>
      <c r="H133" s="227" t="s">
        <v>618</v>
      </c>
      <c r="I133" s="226">
        <v>43079.795393518521</v>
      </c>
      <c r="J133" s="225">
        <v>0</v>
      </c>
      <c r="K133" s="237" t="str">
        <f t="shared" si="32"/>
        <v>4029/4030</v>
      </c>
      <c r="L133" s="245" t="str">
        <f>VLOOKUP(A133,'Trips&amp;Operators'!$C$1:$G$99911,5,FALSE)</f>
        <v>RESPASS AARON</v>
      </c>
      <c r="M133" s="224">
        <f t="shared" si="33"/>
        <v>2.4166666669771075E-2</v>
      </c>
      <c r="N133" s="225">
        <f t="shared" si="55"/>
        <v>34.800000004470348</v>
      </c>
      <c r="O133" s="225"/>
      <c r="P133" s="225"/>
      <c r="Q133" s="228"/>
      <c r="R133" s="242"/>
      <c r="S133" s="249">
        <f t="shared" si="54"/>
        <v>1</v>
      </c>
      <c r="T133" s="242" t="str">
        <f t="shared" si="34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5"/>
        <v>https://d0f6bd738d7f1b3e5a7ca70fe4ff75f0.us-east-1.aws.found.io/app/kibana#/discover/Steve-Slow-Train-Analysis-(2080s-and-2083s)?_g=(refreshInterval:(display:Off,pause:!f,section:0,value:0),time:(from:'2017-12-10T17:21:50-0700',mode:absolute,to:'2017-12-10T20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3" s="247" t="str">
        <f>IF(AA133&lt;VLOOKUP(AG133,Variables!$AC$3:$AD$8,2,FALSE),"Y","N")</f>
        <v>N</v>
      </c>
      <c r="X133" s="247">
        <f t="shared" si="69"/>
        <v>1</v>
      </c>
      <c r="Y133" s="247">
        <f t="shared" si="67"/>
        <v>4.7699999999999999E-2</v>
      </c>
      <c r="Z133" s="247">
        <f t="shared" si="68"/>
        <v>23.325700000000001</v>
      </c>
      <c r="AA133" s="247">
        <f t="shared" si="38"/>
        <v>23.278000000000002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9"/>
        <v>219</v>
      </c>
      <c r="AE133" s="235" t="str">
        <f t="shared" si="40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33" s="234" t="str">
        <f t="shared" si="41"/>
        <v>"C:\Program Files (x86)\AstroGrep\AstroGrep.exe" /e /r /s /spath="%USERPROFILE%\AppData\Local\Temp\OnboardLogs" /stypes="app*4030*20171211*" /stext=" 02:.+((SYSTEM_STATE.+slice.+state.+changed )|(ment ac)|(multiple cpu faults)|(system.+state.+changed )|(\[timeout)|(PRM\|1\|D)|(kpr)|(kdp)|(train st.+moving)|(\|lc)|(penalty))"</v>
      </c>
      <c r="AG133" s="244" t="str">
        <f t="shared" si="42"/>
        <v>EC</v>
      </c>
      <c r="AH133" s="236" t="str">
        <f t="shared" si="43"/>
        <v>"%USERPROFILE%\Documents\GitHub\eaglep3\Utilities\RefineRTDCRunTimes.py" --tripid 219-10 --locoid 4030 --swversion DE.1.0.9.0 --startMP 204:477 --initTime 2017-12-10T18:21:50 --startdatetime 2017-12-10T18:30:34 --delay 72 --endMP 204:233257 --enddatetime 2017-12-10T19:05:22 --enforcementcount 0 &gt;&gt;%USERPROFILE%\Documents\GitHub\eaglep3-reporting\EC\2017-12-10-refined-times.txt</v>
      </c>
      <c r="AI13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{"issue":{"subject":"","project_id":79,"tracker_id":40,"status_id":1,"priority_id":2,"assigned_to_id":338,"start_date":"2017-12-10","description":"","custom_fields":[{"id":1,"name":"Subdivision","value":"EC"},{"id":4,"name":"Milepost","value":"23.3257"},{"id":17,"name":"Train ID","value":"219-10"},{"id":16,"name":"Locomotive ID","value":"4030"},{"id":130,"name":"Impact","value":""},{"id":150,"name":"Time of Event (Mountain Time)","value":"19:05:22"},{"id":151,"name":"Denver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45"/>
        <v>start /low /b %USERPROFILE%\Documents\GitHub\eaglep3\Utilities\DownloadLogsFromS3.py --loco 4030 --day 2017-12-10</v>
      </c>
      <c r="AN133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7"/>
        <v>https://d0f6bd738d7f1b3e5a7ca70fe4ff75f0.us-east-1.aws.found.io/app/kibana#/discover/Steve-Slow-Train-Analysis-(2080s-and-2083s)?_g=(refreshInterval:(display:Off,pause:!f,section:0,value:0),time:(from:'2017-12-10T17:21:50-0700',mode:absolute,to:'2017-12-10T20:05:22-0700'))&amp;_a=(columns:!('Message%20ID',Summary),filters:!(),index:'emp_*',interval:auto,query:(query_string:(analyze_wildcard:!t,query:'%22rtdc.l.rtdc.4030%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902</v>
      </c>
      <c r="B134" s="225">
        <v>4029</v>
      </c>
      <c r="C134" s="227" t="s">
        <v>192</v>
      </c>
      <c r="D134" s="227" t="s">
        <v>656</v>
      </c>
      <c r="E134" s="226">
        <v>43079.80704861111</v>
      </c>
      <c r="F134" s="226">
        <v>43079.810578703706</v>
      </c>
      <c r="G134" s="225">
        <v>71</v>
      </c>
      <c r="H134" s="227" t="s">
        <v>578</v>
      </c>
      <c r="I134" s="226">
        <v>43079.835706018515</v>
      </c>
      <c r="J134" s="225">
        <v>0</v>
      </c>
      <c r="K134" s="237" t="str">
        <f t="shared" si="32"/>
        <v>4029/4030</v>
      </c>
      <c r="L134" s="245" t="str">
        <f>VLOOKUP(A134,'Trips&amp;Operators'!$C$1:$G$99911,5,FALSE)</f>
        <v>RESPASS AARON</v>
      </c>
      <c r="M134" s="224">
        <f t="shared" si="33"/>
        <v>2.512731480965158E-2</v>
      </c>
      <c r="N134" s="225">
        <f t="shared" si="55"/>
        <v>36.183333325898275</v>
      </c>
      <c r="O134" s="225"/>
      <c r="P134" s="225"/>
      <c r="Q134" s="228"/>
      <c r="R134" s="242"/>
      <c r="S134" s="249">
        <f t="shared" si="54"/>
        <v>1</v>
      </c>
      <c r="T134" s="242" t="str">
        <f t="shared" si="34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5"/>
        <v>https://d0f6bd738d7f1b3e5a7ca70fe4ff75f0.us-east-1.aws.found.io/app/kibana#/discover/Steve-Slow-Train-Analysis-(2080s-and-2083s)?_g=(refreshInterval:(display:Off,pause:!f,section:0,value:0),time:(from:'2017-12-10T18:22:09-0700',mode:absolute,to:'2017-12-10T21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247" t="str">
        <f>IF(AA134&lt;VLOOKUP(AG134,Variables!$AC$3:$AD$8,2,FALSE),"Y","N")</f>
        <v>N</v>
      </c>
      <c r="X134" s="247">
        <f t="shared" si="69"/>
        <v>1</v>
      </c>
      <c r="Y134" s="247">
        <f t="shared" si="67"/>
        <v>23.293600000000001</v>
      </c>
      <c r="Z134" s="247">
        <f t="shared" si="68"/>
        <v>2.69E-2</v>
      </c>
      <c r="AA134" s="247">
        <f t="shared" si="38"/>
        <v>23.2667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9"/>
        <v>220</v>
      </c>
      <c r="AE134" s="235" t="str">
        <f t="shared" si="40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134" s="234" t="str">
        <f t="shared" si="41"/>
        <v>"C:\Program Files (x86)\AstroGrep\AstroGrep.exe" /e /r /s /spath="%USERPROFILE%\AppData\Local\Temp\OnboardLogs" /stypes="app*4029*20171211*" /stext=" 03:.+((SYSTEM_STATE.+slice.+state.+changed )|(ment ac)|(multiple cpu faults)|(system.+state.+changed )|(\[timeout)|(PRM\|1\|D)|(kpr)|(kdp)|(train st.+moving)|(\|lc)|(penalty))"</v>
      </c>
      <c r="AG134" s="244" t="str">
        <f t="shared" si="42"/>
        <v>EC</v>
      </c>
      <c r="AH134" s="236" t="str">
        <f t="shared" si="43"/>
        <v>"%USERPROFILE%\Documents\GitHub\eaglep3\Utilities\RefineRTDCRunTimes.py" --tripid 220-10 --locoid 4029 --swversion DE.1.0.9.0 --startMP 204:232936 --initTime 2017-12-10T19:22:09 --startdatetime 2017-12-10T19:27:14 --delay 71 --endMP 204:269 --enddatetime 2017-12-10T20:03:25 --enforcementcount 0 &gt;&gt;%USERPROFILE%\Documents\GitHub\eaglep3-reporting\EC\2017-12-10-refined-times.txt</v>
      </c>
      <c r="AI13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{"issue":{"subject":"","project_id":79,"tracker_id":40,"status_id":1,"priority_id":2,"assigned_to_id":338,"start_date":"2017-12-10","description":"","custom_fields":[{"id":1,"name":"Subdivision","value":"EC"},{"id":4,"name":"Milepost","value":"0.0269"},{"id":17,"name":"Train ID","value":"220-10"},{"id":16,"name":"Locomotive ID","value":"4029"},{"id":130,"name":"Impact","value":""},{"id":150,"name":"Time of Event (Mountain Time)","value":"20:03:25"},{"id":151,"name":"Denver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5"/>
        <v>start /low /b %USERPROFILE%\Documents\GitHub\eaglep3\Utilities\DownloadLogsFromS3.py --loco 4029 --day 2017-12-10</v>
      </c>
      <c r="AN134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7"/>
        <v>https://d0f6bd738d7f1b3e5a7ca70fe4ff75f0.us-east-1.aws.found.io/app/kibana#/discover/Steve-Slow-Train-Analysis-(2080s-and-2083s)?_g=(refreshInterval:(display:Off,pause:!f,section:0,value:0),time:(from:'2017-12-10T18:22:09-0700',mode:absolute,to:'2017-12-10T21:03:25-0700'))&amp;_a=(columns:!('Message%20ID',Summary),filters:!(),index:'emp_*',interval:auto,query:(query_string:(analyze_wildcard:!t,query:'%22rtdc.l.rtdc.4029%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900</v>
      </c>
      <c r="B135" s="225">
        <v>4064</v>
      </c>
      <c r="C135" s="227" t="s">
        <v>192</v>
      </c>
      <c r="D135" s="227" t="s">
        <v>613</v>
      </c>
      <c r="E135" s="226">
        <v>43079.789097222223</v>
      </c>
      <c r="F135" s="226">
        <v>43079.792048611111</v>
      </c>
      <c r="G135" s="225">
        <v>55</v>
      </c>
      <c r="H135" s="227" t="s">
        <v>721</v>
      </c>
      <c r="I135" s="226">
        <v>43079.816041666665</v>
      </c>
      <c r="J135" s="225">
        <v>0</v>
      </c>
      <c r="K135" s="237" t="str">
        <f t="shared" si="32"/>
        <v>4063/4064</v>
      </c>
      <c r="L135" s="245" t="str">
        <f>VLOOKUP(A135,'Trips&amp;Operators'!$C$1:$G$99911,5,FALSE)</f>
        <v>STAMBAUGH JAMES</v>
      </c>
      <c r="M135" s="224">
        <f t="shared" si="33"/>
        <v>2.3993055554456078E-2</v>
      </c>
      <c r="N135" s="225">
        <f t="shared" si="55"/>
        <v>34.549999998416752</v>
      </c>
      <c r="O135" s="225"/>
      <c r="P135" s="225"/>
      <c r="Q135" s="228"/>
      <c r="R135" s="242"/>
      <c r="S135" s="249">
        <f t="shared" si="54"/>
        <v>1</v>
      </c>
      <c r="T135" s="242" t="str">
        <f t="shared" si="34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5"/>
        <v>https://d0f6bd738d7f1b3e5a7ca70fe4ff75f0.us-east-1.aws.found.io/app/kibana#/discover/Steve-Slow-Train-Analysis-(2080s-and-2083s)?_g=(refreshInterval:(display:Off,pause:!f,section:0,value:0),time:(from:'2017-12-10T17:56:18-0700',mode:absolute,to:'2017-12-10T20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5" s="247" t="str">
        <f>IF(AA135&lt;VLOOKUP(AG135,Variables!$AC$3:$AD$8,2,FALSE),"Y","N")</f>
        <v>N</v>
      </c>
      <c r="X135" s="247">
        <f t="shared" si="69"/>
        <v>1</v>
      </c>
      <c r="Y135" s="247">
        <f t="shared" si="67"/>
        <v>5.1900000000000002E-2</v>
      </c>
      <c r="Z135" s="247">
        <f t="shared" si="68"/>
        <v>23.331399999999999</v>
      </c>
      <c r="AA135" s="247">
        <f t="shared" si="38"/>
        <v>23.279499999999999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9"/>
        <v>221</v>
      </c>
      <c r="AE135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35" s="234" t="str">
        <f t="shared" si="41"/>
        <v>"C:\Program Files (x86)\AstroGrep\AstroGrep.exe" /e /r /s /spath="%USERPROFILE%\AppData\Local\Temp\OnboardLogs" /stypes="app*4064*20171211*" /stext=" 02:.+((SYSTEM_STATE.+slice.+state.+changed )|(ment ac)|(multiple cpu faults)|(system.+state.+changed )|(\[timeout)|(PRM\|1\|D)|(kpr)|(kdp)|(train st.+moving)|(\|lc)|(penalty))"</v>
      </c>
      <c r="AG135" s="244" t="str">
        <f t="shared" si="42"/>
        <v>EC</v>
      </c>
      <c r="AH135" s="236" t="str">
        <f t="shared" si="43"/>
        <v>"%USERPROFILE%\Documents\GitHub\eaglep3\Utilities\RefineRTDCRunTimes.py" --tripid 221-10 --locoid 4064 --swversion DE.1.0.9.0 --startMP 204:519 --initTime 2017-12-10T18:56:18 --startdatetime 2017-12-10T19:00:33 --delay 55 --endMP 204:233314 --enddatetime 2017-12-10T19:35:06 --enforcementcount 0 &gt;&gt;%USERPROFILE%\Documents\GitHub\eaglep3-reporting\EC\2017-12-10-refined-times.txt</v>
      </c>
      <c r="AI135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{"issue":{"subject":"","project_id":79,"tracker_id":40,"status_id":1,"priority_id":2,"assigned_to_id":338,"start_date":"2017-12-10","description":"","custom_fields":[{"id":1,"name":"Subdivision","value":"EC"},{"id":4,"name":"Milepost","value":"23.3314"},{"id":17,"name":"Train ID","value":"221-10"},{"id":16,"name":"Locomotive ID","value":"4064"},{"id":130,"name":"Impact","value":""},{"id":150,"name":"Time of Event (Mountain Time)","value":"19:35:06"},{"id":151,"name":"Denver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5"/>
        <v>start /low /b %USERPROFILE%\Documents\GitHub\eaglep3\Utilities\DownloadLogsFromS3.py --loco 4064 --day 2017-12-10</v>
      </c>
      <c r="AN135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7"/>
        <v>https://d0f6bd738d7f1b3e5a7ca70fe4ff75f0.us-east-1.aws.found.io/app/kibana#/discover/Steve-Slow-Train-Analysis-(2080s-and-2083s)?_g=(refreshInterval:(display:Off,pause:!f,section:0,value:0),time:(from:'2017-12-10T17:56:18-0700',mode:absolute,to:'2017-12-10T20:35:06-0700'))&amp;_a=(columns:!('Message%20ID',Summary),filters:!(),index:'emp_*',interval:auto,query:(query_string:(analyze_wildcard:!t,query:'%22rtdc.l.rtdc.4064%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907</v>
      </c>
      <c r="B136" s="225">
        <v>4063</v>
      </c>
      <c r="C136" s="227" t="s">
        <v>192</v>
      </c>
      <c r="D136" s="227" t="s">
        <v>622</v>
      </c>
      <c r="E136" s="226">
        <v>43079.824618055558</v>
      </c>
      <c r="F136" s="226">
        <v>43079.831689814811</v>
      </c>
      <c r="G136" s="225">
        <v>67</v>
      </c>
      <c r="H136" s="227" t="s">
        <v>624</v>
      </c>
      <c r="I136" s="226">
        <v>43079.857118055559</v>
      </c>
      <c r="J136" s="225">
        <v>0</v>
      </c>
      <c r="K136" s="237" t="str">
        <f t="shared" si="32"/>
        <v>4063/4064</v>
      </c>
      <c r="L136" s="245" t="str">
        <f>VLOOKUP(A136,'Trips&amp;Operators'!$C$1:$G$99911,5,FALSE)</f>
        <v>STAMBAUGH JAMES</v>
      </c>
      <c r="M136" s="224">
        <f t="shared" si="33"/>
        <v>2.5428240747714881E-2</v>
      </c>
      <c r="N136" s="225">
        <f t="shared" si="55"/>
        <v>36.616666676709428</v>
      </c>
      <c r="O136" s="225"/>
      <c r="P136" s="225"/>
      <c r="Q136" s="228"/>
      <c r="R136" s="242"/>
      <c r="S136" s="249">
        <f t="shared" si="54"/>
        <v>1</v>
      </c>
      <c r="T136" s="242" t="str">
        <f t="shared" si="34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5"/>
        <v>https://d0f6bd738d7f1b3e5a7ca70fe4ff75f0.us-east-1.aws.found.io/app/kibana#/discover/Steve-Slow-Train-Analysis-(2080s-and-2083s)?_g=(refreshInterval:(display:Off,pause:!f,section:0,value:0),time:(from:'2017-12-10T18:47:27-0700',mode:absolute,to:'2017-12-10T21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6" s="247" t="str">
        <f>IF(AA136&lt;VLOOKUP(AG136,Variables!$AC$3:$AD$8,2,FALSE),"Y","N")</f>
        <v>N</v>
      </c>
      <c r="X136" s="247">
        <f t="shared" si="69"/>
        <v>1</v>
      </c>
      <c r="Y136" s="247">
        <f t="shared" si="67"/>
        <v>23.298300000000001</v>
      </c>
      <c r="Z136" s="247">
        <f t="shared" si="68"/>
        <v>2.3800000000000002E-2</v>
      </c>
      <c r="AA136" s="247">
        <f t="shared" si="38"/>
        <v>23.2745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9"/>
        <v>222</v>
      </c>
      <c r="AE136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36" s="234" t="str">
        <f t="shared" si="41"/>
        <v>"C:\Program Files (x86)\AstroGrep\AstroGrep.exe" /e /r /s /spath="%USERPROFILE%\AppData\Local\Temp\OnboardLogs" /stypes="app*4063*20171211*" /stext=" 03:.+((SYSTEM_STATE.+slice.+state.+changed )|(ment ac)|(multiple cpu faults)|(system.+state.+changed )|(\[timeout)|(PRM\|1\|D)|(kpr)|(kdp)|(train st.+moving)|(\|lc)|(penalty))"</v>
      </c>
      <c r="AG136" s="244" t="str">
        <f t="shared" si="42"/>
        <v>EC</v>
      </c>
      <c r="AH136" s="236" t="str">
        <f t="shared" si="43"/>
        <v>"%USERPROFILE%\Documents\GitHub\eaglep3\Utilities\RefineRTDCRunTimes.py" --tripid 222-10 --locoid 4063 --swversion DE.1.0.9.0 --startMP 204:232983 --initTime 2017-12-10T19:47:27 --startdatetime 2017-12-10T19:57:38 --delay 67 --endMP 204:238 --enddatetime 2017-12-10T20:34:15 --enforcementcount 0 &gt;&gt;%USERPROFILE%\Documents\GitHub\eaglep3-reporting\EC\2017-12-10-refined-times.txt</v>
      </c>
      <c r="AI13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{"issue":{"subject":"","project_id":79,"tracker_id":40,"status_id":1,"priority_id":2,"assigned_to_id":338,"start_date":"2017-12-10","description":"","custom_fields":[{"id":1,"name":"Subdivision","value":"EC"},{"id":4,"name":"Milepost","value":"0.0238"},{"id":17,"name":"Train ID","value":"222-10"},{"id":16,"name":"Locomotive ID","value":"4063"},{"id":130,"name":"Impact","value":""},{"id":150,"name":"Time of Event (Mountain Time)","value":"20:34:15"},{"id":151,"name":"Denver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5"/>
        <v>start /low /b %USERPROFILE%\Documents\GitHub\eaglep3\Utilities\DownloadLogsFromS3.py --loco 4063 --day 2017-12-10</v>
      </c>
      <c r="AN136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7"/>
        <v>https://d0f6bd738d7f1b3e5a7ca70fe4ff75f0.us-east-1.aws.found.io/app/kibana#/discover/Steve-Slow-Train-Analysis-(2080s-and-2083s)?_g=(refreshInterval:(display:Off,pause:!f,section:0,value:0),time:(from:'2017-12-10T18:47:27-0700',mode:absolute,to:'2017-12-10T21:34:15-0700'))&amp;_a=(columns:!('Message%20ID',Summary),filters:!(),index:'emp_*',interval:auto,query:(query_string:(analyze_wildcard:!t,query:'%22rtdc.l.rtdc.4063%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903</v>
      </c>
      <c r="B137" s="225">
        <v>4024</v>
      </c>
      <c r="C137" s="227" t="s">
        <v>192</v>
      </c>
      <c r="D137" s="227" t="s">
        <v>655</v>
      </c>
      <c r="E137" s="226">
        <v>43079.807708333334</v>
      </c>
      <c r="F137" s="226">
        <v>43079.812939814816</v>
      </c>
      <c r="G137" s="225">
        <v>92</v>
      </c>
      <c r="H137" s="227" t="s">
        <v>557</v>
      </c>
      <c r="I137" s="226">
        <v>43079.837245370371</v>
      </c>
      <c r="J137" s="225">
        <v>0</v>
      </c>
      <c r="K137" s="237" t="str">
        <f t="shared" si="32"/>
        <v>4023/4024</v>
      </c>
      <c r="L137" s="245" t="str">
        <f>VLOOKUP(A137,'Trips&amp;Operators'!$C$1:$G$99911,5,FALSE)</f>
        <v>LOZA FIDEL</v>
      </c>
      <c r="M137" s="224">
        <f t="shared" si="33"/>
        <v>2.4305555554747116E-2</v>
      </c>
      <c r="N137" s="225">
        <f t="shared" si="55"/>
        <v>34.999999998835847</v>
      </c>
      <c r="O137" s="225"/>
      <c r="P137" s="225"/>
      <c r="Q137" s="228"/>
      <c r="R137" s="242"/>
      <c r="S137" s="249">
        <f t="shared" si="54"/>
        <v>1</v>
      </c>
      <c r="T137" s="242" t="str">
        <f t="shared" si="34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5"/>
        <v>https://d0f6bd738d7f1b3e5a7ca70fe4ff75f0.us-east-1.aws.found.io/app/kibana#/discover/Steve-Slow-Train-Analysis-(2080s-and-2083s)?_g=(refreshInterval:(display:Off,pause:!f,section:0,value:0),time:(from:'2017-12-10T18:23:06-0700',mode:absolute,to:'2017-12-10T21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7" s="247" t="str">
        <f>IF(AA137&lt;VLOOKUP(AG137,Variables!$AC$3:$AD$8,2,FALSE),"Y","N")</f>
        <v>N</v>
      </c>
      <c r="X137" s="247">
        <f t="shared" si="69"/>
        <v>1</v>
      </c>
      <c r="Y137" s="247">
        <f t="shared" si="67"/>
        <v>5.3900000000000003E-2</v>
      </c>
      <c r="Z137" s="247">
        <f t="shared" si="68"/>
        <v>23.3291</v>
      </c>
      <c r="AA137" s="247">
        <f t="shared" si="38"/>
        <v>23.275200000000002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9"/>
        <v>223</v>
      </c>
      <c r="AE137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37" s="234" t="str">
        <f t="shared" si="41"/>
        <v>"C:\Program Files (x86)\AstroGrep\AstroGrep.exe" /e /r /s /spath="%USERPROFILE%\AppData\Local\Temp\OnboardLogs" /stypes="app*4024*20171211*" /stext=" 03:.+((SYSTEM_STATE.+slice.+state.+changed )|(ment ac)|(multiple cpu faults)|(system.+state.+changed )|(\[timeout)|(PRM\|1\|D)|(kpr)|(kdp)|(train st.+moving)|(\|lc)|(penalty))"</v>
      </c>
      <c r="AG137" s="244" t="str">
        <f t="shared" si="42"/>
        <v>EC</v>
      </c>
      <c r="AH137" s="236" t="str">
        <f t="shared" si="43"/>
        <v>"%USERPROFILE%\Documents\GitHub\eaglep3\Utilities\RefineRTDCRunTimes.py" --tripid 223-10 --locoid 4024 --swversion DE.1.0.9.0 --startMP 204:539 --initTime 2017-12-10T19:23:06 --startdatetime 2017-12-10T19:30:38 --delay 92 --endMP 204:233291 --enddatetime 2017-12-10T20:05:38 --enforcementcount 0 &gt;&gt;%USERPROFILE%\Documents\GitHub\eaglep3-reporting\EC\2017-12-10-refined-times.txt</v>
      </c>
      <c r="AI13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{"issue":{"subject":"","project_id":79,"tracker_id":40,"status_id":1,"priority_id":2,"assigned_to_id":338,"start_date":"2017-12-10","description":"","custom_fields":[{"id":1,"name":"Subdivision","value":"EC"},{"id":4,"name":"Milepost","value":"23.3291"},{"id":17,"name":"Train ID","value":"223-10"},{"id":16,"name":"Locomotive ID","value":"4024"},{"id":130,"name":"Impact","value":""},{"id":150,"name":"Time of Event (Mountain Time)","value":"20:05:38"},{"id":151,"name":"Denver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5"/>
        <v>start /low /b %USERPROFILE%\Documents\GitHub\eaglep3\Utilities\DownloadLogsFromS3.py --loco 4024 --day 2017-12-10</v>
      </c>
      <c r="AN137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7"/>
        <v>https://d0f6bd738d7f1b3e5a7ca70fe4ff75f0.us-east-1.aws.found.io/app/kibana#/discover/Steve-Slow-Train-Analysis-(2080s-and-2083s)?_g=(refreshInterval:(display:Off,pause:!f,section:0,value:0),time:(from:'2017-12-10T18:23:06-0700',mode:absolute,to:'2017-12-10T21:05:38-0700'))&amp;_a=(columns:!('Message%20ID',Summary),filters:!(),index:'emp_*',interval:auto,query:(query_string:(analyze_wildcard:!t,query:'%22rtdc.l.rtdc.4024%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913</v>
      </c>
      <c r="B138" s="225">
        <v>4023</v>
      </c>
      <c r="C138" s="227" t="s">
        <v>192</v>
      </c>
      <c r="D138" s="227" t="s">
        <v>968</v>
      </c>
      <c r="E138" s="226">
        <v>43079.851157407407</v>
      </c>
      <c r="F138" s="226">
        <v>43079.85260416667</v>
      </c>
      <c r="G138" s="225">
        <v>54</v>
      </c>
      <c r="H138" s="227" t="s">
        <v>625</v>
      </c>
      <c r="I138" s="226">
        <v>43079.877812500003</v>
      </c>
      <c r="J138" s="225">
        <v>0</v>
      </c>
      <c r="K138" s="237" t="str">
        <f t="shared" si="32"/>
        <v>4023/4024</v>
      </c>
      <c r="L138" s="245" t="str">
        <f>VLOOKUP(A138,'Trips&amp;Operators'!$C$1:$G$99911,5,FALSE)</f>
        <v>LOZA FIDEL</v>
      </c>
      <c r="M138" s="224">
        <f t="shared" si="33"/>
        <v>2.5208333332557231E-2</v>
      </c>
      <c r="N138" s="225">
        <f t="shared" si="55"/>
        <v>36.299999998882413</v>
      </c>
      <c r="O138" s="225"/>
      <c r="P138" s="225"/>
      <c r="Q138" s="228"/>
      <c r="R138" s="242"/>
      <c r="S138" s="249">
        <f t="shared" si="54"/>
        <v>1</v>
      </c>
      <c r="T138" s="242" t="str">
        <f t="shared" si="34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5"/>
        <v>https://d0f6bd738d7f1b3e5a7ca70fe4ff75f0.us-east-1.aws.found.io/app/kibana#/discover/Steve-Slow-Train-Analysis-(2080s-and-2083s)?_g=(refreshInterval:(display:Off,pause:!f,section:0,value:0),time:(from:'2017-12-10T19:25:40-0700',mode:absolute,to:'2017-12-10T22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8" s="247" t="str">
        <f>IF(AA138&lt;VLOOKUP(AG138,Variables!$AC$3:$AD$8,2,FALSE),"Y","N")</f>
        <v>N</v>
      </c>
      <c r="X138" s="247">
        <f t="shared" si="69"/>
        <v>1</v>
      </c>
      <c r="Y138" s="247">
        <f t="shared" si="67"/>
        <v>23.297599999999999</v>
      </c>
      <c r="Z138" s="247">
        <f t="shared" si="68"/>
        <v>2.1999999999999999E-2</v>
      </c>
      <c r="AA138" s="247">
        <f t="shared" si="38"/>
        <v>23.275600000000001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9"/>
        <v>224</v>
      </c>
      <c r="AE138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38" s="234" t="str">
        <f t="shared" si="41"/>
        <v>"C:\Program Files (x86)\AstroGrep\AstroGrep.exe" /e /r /s /spath="%USERPROFILE%\AppData\Local\Temp\OnboardLogs" /stypes="app*4023*20171211*" /stext=" 04:.+((SYSTEM_STATE.+slice.+state.+changed )|(ment ac)|(multiple cpu faults)|(system.+state.+changed )|(\[timeout)|(PRM\|1\|D)|(kpr)|(kdp)|(train st.+moving)|(\|lc)|(penalty))"</v>
      </c>
      <c r="AG138" s="244" t="str">
        <f t="shared" si="42"/>
        <v>EC</v>
      </c>
      <c r="AH138" s="236" t="str">
        <f t="shared" si="43"/>
        <v>"%USERPROFILE%\Documents\GitHub\eaglep3\Utilities\RefineRTDCRunTimes.py" --tripid 224-10 --locoid 4023 --swversion DE.1.0.9.0 --startMP 204:232976 --initTime 2017-12-10T20:25:40 --startdatetime 2017-12-10T20:27:45 --delay 54 --endMP 204:220 --enddatetime 2017-12-10T21:04:03 --enforcementcount 0 &gt;&gt;%USERPROFILE%\Documents\GitHub\eaglep3-reporting\EC\2017-12-10-refined-times.txt</v>
      </c>
      <c r="AI13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{"issue":{"subject":"","project_id":79,"tracker_id":40,"status_id":1,"priority_id":2,"assigned_to_id":338,"start_date":"2017-12-10","description":"","custom_fields":[{"id":1,"name":"Subdivision","value":"EC"},{"id":4,"name":"Milepost","value":"0.022"},{"id":17,"name":"Train ID","value":"224-10"},{"id":16,"name":"Locomotive ID","value":"4023"},{"id":130,"name":"Impact","value":""},{"id":150,"name":"Time of Event (Mountain Time)","value":"21:04:03"},{"id":151,"name":"Denver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5"/>
        <v>start /low /b %USERPROFILE%\Documents\GitHub\eaglep3\Utilities\DownloadLogsFromS3.py --loco 4023 --day 2017-12-10</v>
      </c>
      <c r="AN138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7"/>
        <v>https://d0f6bd738d7f1b3e5a7ca70fe4ff75f0.us-east-1.aws.found.io/app/kibana#/discover/Steve-Slow-Train-Analysis-(2080s-and-2083s)?_g=(refreshInterval:(display:Off,pause:!f,section:0,value:0),time:(from:'2017-12-10T19:25:40-0700',mode:absolute,to:'2017-12-10T22:04:03-0700'))&amp;_a=(columns:!('Message%20ID',Summary),filters:!(),index:'emp_*',interval:auto,query:(query_string:(analyze_wildcard:!t,query:'%22rtdc.l.rtdc.4023%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908</v>
      </c>
      <c r="B139" s="225">
        <v>4012</v>
      </c>
      <c r="C139" s="227" t="s">
        <v>192</v>
      </c>
      <c r="D139" s="227" t="s">
        <v>1029</v>
      </c>
      <c r="E139" s="226">
        <v>43079.829687500001</v>
      </c>
      <c r="F139" s="226">
        <v>43079.833460648151</v>
      </c>
      <c r="G139" s="225">
        <v>52</v>
      </c>
      <c r="H139" s="227" t="s">
        <v>962</v>
      </c>
      <c r="I139" s="226">
        <v>43079.858599537038</v>
      </c>
      <c r="J139" s="225">
        <v>0</v>
      </c>
      <c r="K139" s="237" t="str">
        <f t="shared" si="32"/>
        <v>4011/4012</v>
      </c>
      <c r="L139" s="245" t="str">
        <f>VLOOKUP(A139,'Trips&amp;Operators'!$C$1:$G$99911,5,FALSE)</f>
        <v>ELBAUM MIKE</v>
      </c>
      <c r="M139" s="224">
        <f t="shared" si="33"/>
        <v>2.5138888886431232E-2</v>
      </c>
      <c r="N139" s="225">
        <f t="shared" si="55"/>
        <v>36.199999996460974</v>
      </c>
      <c r="O139" s="225"/>
      <c r="P139" s="225"/>
      <c r="Q139" s="228"/>
      <c r="R139" s="242"/>
      <c r="S139" s="249">
        <f t="shared" si="54"/>
        <v>1</v>
      </c>
      <c r="T139" s="242" t="str">
        <f t="shared" si="34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5"/>
        <v>https://d0f6bd738d7f1b3e5a7ca70fe4ff75f0.us-east-1.aws.found.io/app/kibana#/discover/Steve-Slow-Train-Analysis-(2080s-and-2083s)?_g=(refreshInterval:(display:Off,pause:!f,section:0,value:0),time:(from:'2017-12-10T18:54:45-0700',mode:absolute,to:'2017-12-10T21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9" s="247" t="str">
        <f>IF(AA139&lt;VLOOKUP(AG139,Variables!$AC$3:$AD$8,2,FALSE),"Y","N")</f>
        <v>N</v>
      </c>
      <c r="X139" s="247">
        <f t="shared" si="69"/>
        <v>1</v>
      </c>
      <c r="Y139" s="247">
        <f t="shared" si="67"/>
        <v>5.79E-2</v>
      </c>
      <c r="Z139" s="247">
        <f t="shared" si="68"/>
        <v>23.3261</v>
      </c>
      <c r="AA139" s="247">
        <f t="shared" si="38"/>
        <v>23.2682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9"/>
        <v>225</v>
      </c>
      <c r="AE139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39" s="234" t="str">
        <f t="shared" si="41"/>
        <v>"C:\Program Files (x86)\AstroGrep\AstroGrep.exe" /e /r /s /spath="%USERPROFILE%\AppData\Local\Temp\OnboardLogs" /stypes="app*4012*20171211*" /stext=" 03:.+((SYSTEM_STATE.+slice.+state.+changed )|(ment ac)|(multiple cpu faults)|(system.+state.+changed )|(\[timeout)|(PRM\|1\|D)|(kpr)|(kdp)|(train st.+moving)|(\|lc)|(penalty))"</v>
      </c>
      <c r="AG139" s="244" t="str">
        <f t="shared" si="42"/>
        <v>EC</v>
      </c>
      <c r="AH139" s="236" t="str">
        <f t="shared" si="43"/>
        <v>"%USERPROFILE%\Documents\GitHub\eaglep3\Utilities\RefineRTDCRunTimes.py" --tripid 225-10 --locoid 4012 --swversion DE.1.0.9.0 --startMP 204:579 --initTime 2017-12-10T19:54:45 --startdatetime 2017-12-10T20:00:11 --delay 52 --endMP 204:233261 --enddatetime 2017-12-10T20:36:23 --enforcementcount 0 &gt;&gt;%USERPROFILE%\Documents\GitHub\eaglep3-reporting\EC\2017-12-10-refined-times.txt</v>
      </c>
      <c r="AI13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{"issue":{"subject":"","project_id":79,"tracker_id":40,"status_id":1,"priority_id":2,"assigned_to_id":338,"start_date":"2017-12-10","description":"","custom_fields":[{"id":1,"name":"Subdivision","value":"EC"},{"id":4,"name":"Milepost","value":"23.3261"},{"id":17,"name":"Train ID","value":"225-10"},{"id":16,"name":"Locomotive ID","value":"4012"},{"id":130,"name":"Impact","value":""},{"id":150,"name":"Time of Event (Mountain Time)","value":"20:36:23"},{"id":151,"name":"Denver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45"/>
        <v>start /low /b %USERPROFILE%\Documents\GitHub\eaglep3\Utilities\DownloadLogsFromS3.py --loco 4012 --day 2017-12-10</v>
      </c>
      <c r="AN139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7"/>
        <v>https://d0f6bd738d7f1b3e5a7ca70fe4ff75f0.us-east-1.aws.found.io/app/kibana#/discover/Steve-Slow-Train-Analysis-(2080s-and-2083s)?_g=(refreshInterval:(display:Off,pause:!f,section:0,value:0),time:(from:'2017-12-10T18:54:45-0700',mode:absolute,to:'2017-12-10T21:36:23-0700'))&amp;_a=(columns:!('Message%20ID',Summary),filters:!(),index:'emp_*',interval:auto,query:(query_string:(analyze_wildcard:!t,query:'%22rtdc.l.rtdc.4012%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916</v>
      </c>
      <c r="B140" s="225">
        <v>4011</v>
      </c>
      <c r="C140" s="227" t="s">
        <v>192</v>
      </c>
      <c r="D140" s="227" t="s">
        <v>674</v>
      </c>
      <c r="E140" s="226">
        <v>43079.859930555554</v>
      </c>
      <c r="F140" s="226">
        <v>43079.873067129629</v>
      </c>
      <c r="G140" s="225">
        <v>57</v>
      </c>
      <c r="H140" s="227" t="s">
        <v>619</v>
      </c>
      <c r="I140" s="226">
        <v>43079.898055555554</v>
      </c>
      <c r="J140" s="225">
        <v>0</v>
      </c>
      <c r="K140" s="237" t="str">
        <f t="shared" si="32"/>
        <v>4011/4012</v>
      </c>
      <c r="L140" s="245" t="str">
        <f>VLOOKUP(A140,'Trips&amp;Operators'!$C$1:$G$99911,5,FALSE)</f>
        <v>ELBAUM MIKE</v>
      </c>
      <c r="M140" s="224">
        <f t="shared" si="33"/>
        <v>2.4988425924675539E-2</v>
      </c>
      <c r="N140" s="225">
        <f t="shared" si="55"/>
        <v>35.983333331532776</v>
      </c>
      <c r="O140" s="225"/>
      <c r="P140" s="225"/>
      <c r="Q140" s="228"/>
      <c r="R140" s="242"/>
      <c r="S140" s="249">
        <f t="shared" si="54"/>
        <v>1</v>
      </c>
      <c r="T140" s="242" t="str">
        <f t="shared" si="34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5"/>
        <v>https://d0f6bd738d7f1b3e5a7ca70fe4ff75f0.us-east-1.aws.found.io/app/kibana#/discover/Steve-Slow-Train-Analysis-(2080s-and-2083s)?_g=(refreshInterval:(display:Off,pause:!f,section:0,value:0),time:(from:'2017-12-10T19:38:18-0700',mode:absolute,to:'2017-12-10T22:33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0" s="247" t="str">
        <f>IF(AA140&lt;VLOOKUP(AG140,Variables!$AC$3:$AD$8,2,FALSE),"Y","N")</f>
        <v>N</v>
      </c>
      <c r="X140" s="247">
        <f t="shared" si="69"/>
        <v>1</v>
      </c>
      <c r="Y140" s="247">
        <f t="shared" si="67"/>
        <v>23.2957</v>
      </c>
      <c r="Z140" s="247">
        <f t="shared" si="68"/>
        <v>2.5399999999999999E-2</v>
      </c>
      <c r="AA140" s="247">
        <f t="shared" si="38"/>
        <v>23.270299999999999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9"/>
        <v>226</v>
      </c>
      <c r="AE140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40" s="234" t="str">
        <f t="shared" si="41"/>
        <v>"C:\Program Files (x86)\AstroGrep\AstroGrep.exe" /e /r /s /spath="%USERPROFILE%\AppData\Local\Temp\OnboardLogs" /stypes="app*4011*20171211*" /stext=" 04:.+((SYSTEM_STATE.+slice.+state.+changed )|(ment ac)|(multiple cpu faults)|(system.+state.+changed )|(\[timeout)|(PRM\|1\|D)|(kpr)|(kdp)|(train st.+moving)|(\|lc)|(penalty))"</v>
      </c>
      <c r="AG140" s="244" t="str">
        <f t="shared" si="42"/>
        <v>EC</v>
      </c>
      <c r="AH140" s="236" t="str">
        <f t="shared" si="43"/>
        <v>"%USERPROFILE%\Documents\GitHub\eaglep3\Utilities\RefineRTDCRunTimes.py" --tripid 226-10 --locoid 4011 --swversion DE.1.0.9.0 --startMP 204:232957 --initTime 2017-12-10T20:38:18 --startdatetime 2017-12-10T20:57:13 --delay 57 --endMP 204:254 --enddatetime 2017-12-10T21:33:12 --enforcementcount 0 &gt;&gt;%USERPROFILE%\Documents\GitHub\eaglep3-reporting\EC\2017-12-10-refined-times.txt</v>
      </c>
      <c r="AI14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{"issue":{"subject":"","project_id":79,"tracker_id":40,"status_id":1,"priority_id":2,"assigned_to_id":338,"start_date":"2017-12-10","description":"","custom_fields":[{"id":1,"name":"Subdivision","value":"EC"},{"id":4,"name":"Milepost","value":"0.0254"},{"id":17,"name":"Train ID","value":"226-10"},{"id":16,"name":"Locomotive ID","value":"4011"},{"id":130,"name":"Impact","value":""},{"id":150,"name":"Time of Event (Mountain Time)","value":"21:33:12"},{"id":151,"name":"Denver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5"/>
        <v>start /low /b %USERPROFILE%\Documents\GitHub\eaglep3\Utilities\DownloadLogsFromS3.py --loco 4011 --day 2017-12-10</v>
      </c>
      <c r="AN140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7"/>
        <v>https://d0f6bd738d7f1b3e5a7ca70fe4ff75f0.us-east-1.aws.found.io/app/kibana#/discover/Steve-Slow-Train-Analysis-(2080s-and-2083s)?_g=(refreshInterval:(display:Off,pause:!f,section:0,value:0),time:(from:'2017-12-10T19:38:18-0700',mode:absolute,to:'2017-12-10T22:33:12-0700'))&amp;_a=(columns:!('Message%20ID',Summary),filters:!(),index:'emp_*',interval:auto,query:(query_string:(analyze_wildcard:!t,query:'%22rtdc.l.rtdc.4011%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912</v>
      </c>
      <c r="B141" s="225">
        <v>4030</v>
      </c>
      <c r="C141" s="227" t="s">
        <v>192</v>
      </c>
      <c r="D141" s="227" t="s">
        <v>1030</v>
      </c>
      <c r="E141" s="226">
        <v>43079.849652777775</v>
      </c>
      <c r="F141" s="226">
        <v>43079.854733796295</v>
      </c>
      <c r="G141" s="225">
        <v>112</v>
      </c>
      <c r="H141" s="227" t="s">
        <v>962</v>
      </c>
      <c r="I141" s="226">
        <v>43079.878831018519</v>
      </c>
      <c r="J141" s="225">
        <v>0</v>
      </c>
      <c r="K141" s="237" t="str">
        <f t="shared" ref="K141:K204" si="70">IF(ISEVEN(B141),(B141-1)&amp;"/"&amp;B141,B141&amp;"/"&amp;(B141+1))</f>
        <v>4029/4030</v>
      </c>
      <c r="L141" s="245" t="str">
        <f>VLOOKUP(A141,'Trips&amp;Operators'!$C$1:$G$99911,5,FALSE)</f>
        <v>RESPASS AARON</v>
      </c>
      <c r="M141" s="224">
        <f t="shared" ref="M141:M204" si="71">I141-F141</f>
        <v>2.4097222223645076E-2</v>
      </c>
      <c r="N141" s="225">
        <f t="shared" si="55"/>
        <v>34.70000000204891</v>
      </c>
      <c r="O141" s="225"/>
      <c r="P141" s="225"/>
      <c r="Q141" s="228"/>
      <c r="R141" s="242"/>
      <c r="S141" s="249">
        <f t="shared" si="54"/>
        <v>1</v>
      </c>
      <c r="T141" s="242" t="str">
        <f t="shared" ref="T141:T204" si="72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7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-10T19:23:30-0700',mode:absolute,to:'2017-12-10T22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1" s="247" t="str">
        <f>IF(AA141&lt;VLOOKUP(AG141,Variables!$AC$3:$AD$8,2,FALSE),"Y","N")</f>
        <v>N</v>
      </c>
      <c r="X141" s="247">
        <f t="shared" si="69"/>
        <v>1</v>
      </c>
      <c r="Y141" s="247">
        <f t="shared" si="67"/>
        <v>5.6800000000000003E-2</v>
      </c>
      <c r="Z141" s="247">
        <f t="shared" si="68"/>
        <v>23.3261</v>
      </c>
      <c r="AA141" s="247">
        <f t="shared" ref="AA141:AA204" si="74">ABS(Z141-Y141)</f>
        <v>23.269300000000001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75">VALUE(LEFT(A141,LEN(A141)-3))</f>
        <v>227</v>
      </c>
      <c r="AE141" s="235" t="str">
        <f t="shared" ref="AE141:AE204" si="7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41" s="234" t="str">
        <f t="shared" ref="AF141:AF204" si="7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/stypes="app*4030*20171211*"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78">DetSubdiv(A141)</f>
        <v>EC</v>
      </c>
      <c r="AH141" s="236" t="str">
        <f t="shared" si="43"/>
        <v>"%USERPROFILE%\Documents\GitHub\eaglep3\Utilities\RefineRTDCRunTimes.py" --tripid 227-10 --locoid 4030 --swversion DE.1.0.9.0 --startMP 204:568 --initTime 2017-12-10T20:23:30 --startdatetime 2017-12-10T20:30:49 --delay 112 --endMP 204:233261 --enddatetime 2017-12-10T21:05:31 --enforcementcount 0 &gt;&gt;%USERPROFILE%\Documents\GitHub\eaglep3-reporting\EC\2017-12-10-refined-times.txt</v>
      </c>
      <c r="AI14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{"issue":{"subject":"","project_id":79,"tracker_id":40,"status_id":1,"priority_id":2,"assigned_to_id":338,"start_date":"2017-12-10","description":"","custom_fields":[{"id":1,"name":"Subdivision","value":"EC"},{"id":4,"name":"Milepost","value":"23.3261"},{"id":17,"name":"Train ID","value":"227-10"},{"id":16,"name":"Locomotive ID","value":"4030"},{"id":130,"name":"Impact","value":""},{"id":150,"name":"Time of Event (Mountain Time)","value":"21:05:31"},{"id":151,"name":"Denver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45"/>
        <v>start /low /b %USERPROFILE%\Documents\GitHub\eaglep3\Utilities\DownloadLogsFromS3.py --loco 4030 --day 2017-12-10</v>
      </c>
      <c r="AN141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7"/>
        <v>https://d0f6bd738d7f1b3e5a7ca70fe4ff75f0.us-east-1.aws.found.io/app/kibana#/discover/Steve-Slow-Train-Analysis-(2080s-and-2083s)?_g=(refreshInterval:(display:Off,pause:!f,section:0,value:0),time:(from:'2017-12-10T19:23:30-0700',mode:absolute,to:'2017-12-10T22:05:31-0700'))&amp;_a=(columns:!('Message%20ID',Summary),filters:!(),index:'emp_*',interval:auto,query:(query_string:(analyze_wildcard:!t,query:'%22rtdc.l.rtdc.4030%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919</v>
      </c>
      <c r="B142" s="225">
        <v>4029</v>
      </c>
      <c r="C142" s="227" t="s">
        <v>192</v>
      </c>
      <c r="D142" s="227" t="s">
        <v>591</v>
      </c>
      <c r="E142" s="226">
        <v>43079.890625</v>
      </c>
      <c r="F142" s="226">
        <v>43079.890625</v>
      </c>
      <c r="G142" s="225">
        <v>61</v>
      </c>
      <c r="H142" s="227" t="s">
        <v>591</v>
      </c>
      <c r="I142" s="226">
        <v>43079.892407407409</v>
      </c>
      <c r="J142" s="225">
        <v>0</v>
      </c>
      <c r="K142" s="237" t="str">
        <f t="shared" si="70"/>
        <v>4029/4030</v>
      </c>
      <c r="L142" s="245" t="str">
        <f>VLOOKUP(A142,'Trips&amp;Operators'!$C$1:$G$99911,5,FALSE)</f>
        <v>RESPASS AARON</v>
      </c>
      <c r="M142" s="224">
        <f t="shared" si="71"/>
        <v>1.7824074093368836E-3</v>
      </c>
      <c r="N142" s="225"/>
      <c r="O142" s="225"/>
      <c r="P142" s="225">
        <f>24*60*SUM($M142:$M142)</f>
        <v>2.5666666694451123</v>
      </c>
      <c r="Q142" s="228"/>
      <c r="R142" s="242" t="s">
        <v>661</v>
      </c>
      <c r="S142" s="249">
        <f t="shared" si="54"/>
        <v>0</v>
      </c>
      <c r="T142" s="242" t="str">
        <f t="shared" si="72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248" t="str">
        <f t="shared" si="73"/>
        <v>https://d0f6bd738d7f1b3e5a7ca70fe4ff75f0.us-east-1.aws.found.io/app/kibana#/discover/Steve-Slow-Train-Analysis-(2080s-and-2083s)?_g=(refreshInterval:(display:Off,pause:!f,section:0,value:0),time:(from:'2017-12-10T20:22:30-0700',mode:absolute,to:'2017-12-10T22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247" t="str">
        <f>IF(AA142&lt;VLOOKUP(AG142,Variables!$AC$3:$AD$8,2,FALSE),"Y","N")</f>
        <v>Y</v>
      </c>
      <c r="X142" s="247">
        <f t="shared" si="69"/>
        <v>1</v>
      </c>
      <c r="Y142" s="247">
        <f t="shared" si="67"/>
        <v>23.293199999999999</v>
      </c>
      <c r="Z142" s="247">
        <f t="shared" si="68"/>
        <v>23.293199999999999</v>
      </c>
      <c r="AA142" s="247">
        <f t="shared" si="74"/>
        <v>0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75"/>
        <v>228</v>
      </c>
      <c r="AE142" s="235" t="str">
        <f t="shared" si="76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142" s="234" t="str">
        <f t="shared" si="77"/>
        <v>"C:\Program Files (x86)\AstroGrep\AstroGrep.exe" /e /r /s /spath="%USERPROFILE%\AppData\Local\Temp\OnboardLogs" /stypes="app*4029*20171211*" /stext=" 04:.+((SYSTEM_STATE.+slice.+state.+changed )|(ment ac)|(multiple cpu faults)|(system.+state.+changed )|(\[timeout)|(PRM\|1\|D)|(kpr)|(kdp)|(train st.+moving)|(\|lc)|(penalty))"</v>
      </c>
      <c r="AG142" s="244" t="str">
        <f t="shared" si="78"/>
        <v>EC</v>
      </c>
      <c r="AH142" s="236" t="str">
        <f t="shared" si="43"/>
        <v>"%USERPROFILE%\Documents\GitHub\eaglep3\Utilities\RefineRTDCRunTimes.py" --tripid 228-10 --locoid 4029 --swversion DE.1.0.9.0 --startMP 204:232932 --initTime 2017-12-10T21:22:30 --startdatetime 2017-12-10T21:22:30 --delay 61 --endMP 204:232932 --enddatetime 2017-12-10T21:25:04 --enforcementcount 0 &gt;&gt;%USERPROFILE%\Documents\GitHub\eaglep3-reporting\EC\2017-12-10-refined-times.txt</v>
      </c>
      <c r="AI142" s="238" t="str">
        <f t="shared" si="44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failure","project_id":79,"tracker_id":40,"status_id":1,"priority_id":2,"assigned_to_id":338,"start_date":"2017-12-10","description":"","custom_fields":[{"id":1,"name":"Subdivision","value":"EC"},{"id":4,"name":"Milepost","value":"23.2932"},{"id":17,"name":"Train ID","value":"228-10"},{"id":16,"name":"Locomotive ID","value":"4029"},{"id":130,"name":"Impact","value":""},{"id":150,"name":"Time of Event (Mountain Time)","value":"21:25:04"},{"id":151,"name":"Denver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45"/>
        <v>start /low /b %USERPROFILE%\Documents\GitHub\eaglep3\Utilities\DownloadLogsFromS3.py --loco 4029 --day 2017-12-10</v>
      </c>
      <c r="AN142" s="241" t="str">
        <f t="shared" si="46"/>
        <v>echo {"issue":{"subject":"Onboard en route failure","project_id":30,"tracker_id":4,"status_id":1,"priority_id":1,"assigned_to_id":10,"start_date":"2017-12-11","description":"","custom_fields":[{"id":30,"name":"Category","value":"Issue"},{"id":3,"name":"Functional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47"/>
        <v>https://d0f6bd738d7f1b3e5a7ca70fe4ff75f0.us-east-1.aws.found.io/app/kibana#/discover/Steve-Slow-Train-Analysis-(2080s-and-2083s)?_g=(refreshInterval:(display:Off,pause:!f,section:0,value:0),time:(from:'2017-12-10T20:22:30-0700',mode:absolute,to:'2017-12-10T22:25:04-0700'))&amp;_a=(columns:!('Message%20ID',Summary),filters:!(),index:'emp_*',interval:auto,query:(query_string:(analyze_wildcard:!t,query:'%22rtdc.l.rtdc.4029%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915</v>
      </c>
      <c r="B143" s="225">
        <v>4064</v>
      </c>
      <c r="C143" s="227" t="s">
        <v>192</v>
      </c>
      <c r="D143" s="227" t="s">
        <v>629</v>
      </c>
      <c r="E143" s="226">
        <v>43079.858715277776</v>
      </c>
      <c r="F143" s="226">
        <v>43079.875231481485</v>
      </c>
      <c r="G143" s="225">
        <v>73</v>
      </c>
      <c r="H143" s="227" t="s">
        <v>612</v>
      </c>
      <c r="I143" s="226">
        <v>43079.900104166663</v>
      </c>
      <c r="J143" s="225">
        <v>0</v>
      </c>
      <c r="K143" s="237" t="str">
        <f t="shared" si="70"/>
        <v>4063/4064</v>
      </c>
      <c r="L143" s="245" t="str">
        <f>VLOOKUP(A143,'Trips&amp;Operators'!$C$1:$G$99911,5,FALSE)</f>
        <v>STAMBAUGH JAMES</v>
      </c>
      <c r="M143" s="224">
        <f t="shared" si="71"/>
        <v>2.4872685178706888E-2</v>
      </c>
      <c r="N143" s="225">
        <f t="shared" ref="N143:N174" si="79">24*60*SUM($M143:$M143)</f>
        <v>35.816666657337919</v>
      </c>
      <c r="O143" s="225"/>
      <c r="P143" s="225"/>
      <c r="Q143" s="228"/>
      <c r="R143" s="242"/>
      <c r="S143" s="249">
        <f t="shared" si="54"/>
        <v>1</v>
      </c>
      <c r="T143" s="242" t="str">
        <f t="shared" si="72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73"/>
        <v>https://d0f6bd738d7f1b3e5a7ca70fe4ff75f0.us-east-1.aws.found.io/app/kibana#/discover/Steve-Slow-Train-Analysis-(2080s-and-2083s)?_g=(refreshInterval:(display:Off,pause:!f,section:0,value:0),time:(from:'2017-12-10T19:36:33-0700',mode:absolute,to:'2017-12-10T22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3" s="247" t="str">
        <f>IF(AA143&lt;VLOOKUP(AG143,Variables!$AC$3:$AD$8,2,FALSE),"Y","N")</f>
        <v>N</v>
      </c>
      <c r="X143" s="247">
        <f t="shared" si="69"/>
        <v>1</v>
      </c>
      <c r="Y143" s="247">
        <f t="shared" si="67"/>
        <v>5.3100000000000001E-2</v>
      </c>
      <c r="Z143" s="247">
        <f t="shared" si="68"/>
        <v>23.3309</v>
      </c>
      <c r="AA143" s="247">
        <f t="shared" si="74"/>
        <v>23.277799999999999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75"/>
        <v>229</v>
      </c>
      <c r="AE143" s="235" t="str">
        <f t="shared" si="76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43" s="234" t="str">
        <f t="shared" si="77"/>
        <v>"C:\Program Files (x86)\AstroGrep\AstroGrep.exe" /e /r /s /spath="%USERPROFILE%\AppData\Local\Temp\OnboardLogs" /stypes="app*4064*20171211*" /stext=" 04:.+((SYSTEM_STATE.+slice.+state.+changed )|(ment ac)|(multiple cpu faults)|(system.+state.+changed )|(\[timeout)|(PRM\|1\|D)|(kpr)|(kdp)|(train st.+moving)|(\|lc)|(penalty))"</v>
      </c>
      <c r="AG143" s="244" t="str">
        <f t="shared" si="78"/>
        <v>EC</v>
      </c>
      <c r="AH143" s="236" t="str">
        <f t="shared" ref="AH143:AH209" si="8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229-10 --locoid 4064 --swversion DE.1.0.9.0 --startMP 204:531 --initTime 2017-12-10T20:36:33 --startdatetime 2017-12-10T21:00:20 --delay 73 --endMP 204:233309 --enddatetime 2017-12-10T21:36:09 --enforcementcount 0 &gt;&gt;%USERPROFILE%\Documents\GitHub\eaglep3-reporting\EC\2017-12-10-refined-times.txt</v>
      </c>
      <c r="AI143" s="238" t="str">
        <f t="shared" ref="AI143:AI209" si="8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{"issue":{"subject":"","project_id":79,"tracker_id":40,"status_id":1,"priority_id":2,"assigned_to_id":338,"start_date":"2017-12-10","description":"","custom_fields":[{"id":1,"name":"Subdivision","value":"EC"},{"id":4,"name":"Milepost","value":"23.3309"},{"id":17,"name":"Train ID","value":"229-10"},{"id":16,"name":"Locomotive ID","value":"4064"},{"id":130,"name":"Impact","value":""},{"id":150,"name":"Time of Event (Mountain Time)","value":"21:36:09"},{"id":151,"name":"Denver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ref="AM143:AM209" si="82">"start /low /b "&amp;dls3logs&amp;" --loco "&amp;B143&amp;" --day "&amp;TEXT(F143,"YYYY-MM-DD")</f>
        <v>start /low /b %USERPROFILE%\Documents\GitHub\eaglep3\Utilities\DownloadLogsFromS3.py --loco 4064 --day 2017-12-10</v>
      </c>
      <c r="AN143" s="241" t="str">
        <f t="shared" ref="AN143:AN209" si="8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9" si="8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-10T19:36:33-0700',mode:absolute,to:'2017-12-10T22:36:09-0700'))&amp;_a=(columns:!('Message%20ID',Summary),filters:!(),index:'emp_*',interval:auto,query:(query_string:(analyze_wildcard:!t,query:'%22rtdc.l.rtdc.4064%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923</v>
      </c>
      <c r="B144" s="225">
        <v>4063</v>
      </c>
      <c r="C144" s="227" t="s">
        <v>192</v>
      </c>
      <c r="D144" s="227" t="s">
        <v>703</v>
      </c>
      <c r="E144" s="226">
        <v>43079.910624999997</v>
      </c>
      <c r="F144" s="226">
        <v>43079.914895833332</v>
      </c>
      <c r="G144" s="225">
        <v>77</v>
      </c>
      <c r="H144" s="227" t="s">
        <v>489</v>
      </c>
      <c r="I144" s="226">
        <v>43079.940578703703</v>
      </c>
      <c r="J144" s="225">
        <v>0</v>
      </c>
      <c r="K144" s="237" t="str">
        <f t="shared" si="70"/>
        <v>4063/4064</v>
      </c>
      <c r="L144" s="245" t="str">
        <f>VLOOKUP(A144,'Trips&amp;Operators'!$C$1:$G$99911,5,FALSE)</f>
        <v>STAMBAUGH JAMES</v>
      </c>
      <c r="M144" s="224">
        <f t="shared" si="71"/>
        <v>2.5682870371383615E-2</v>
      </c>
      <c r="N144" s="225">
        <f t="shared" si="79"/>
        <v>36.983333334792405</v>
      </c>
      <c r="O144" s="225"/>
      <c r="P144" s="225"/>
      <c r="Q144" s="228"/>
      <c r="R144" s="242"/>
      <c r="S144" s="249">
        <f t="shared" si="54"/>
        <v>1</v>
      </c>
      <c r="T144" s="242" t="str">
        <f t="shared" si="72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73"/>
        <v>https://d0f6bd738d7f1b3e5a7ca70fe4ff75f0.us-east-1.aws.found.io/app/kibana#/discover/Steve-Slow-Train-Analysis-(2080s-and-2083s)?_g=(refreshInterval:(display:Off,pause:!f,section:0,value:0),time:(from:'2017-12-10T20:51:18-0700',mode:absolute,to:'2017-12-10T23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4" s="247" t="str">
        <f>IF(AA144&lt;VLOOKUP(AG144,Variables!$AC$3:$AD$8,2,FALSE),"Y","N")</f>
        <v>N</v>
      </c>
      <c r="X144" s="247">
        <f t="shared" si="69"/>
        <v>1</v>
      </c>
      <c r="Y144" s="247">
        <f t="shared" si="67"/>
        <v>23.297699999999999</v>
      </c>
      <c r="Z144" s="247">
        <f t="shared" si="68"/>
        <v>2.0299999999999999E-2</v>
      </c>
      <c r="AA144" s="247">
        <f t="shared" si="74"/>
        <v>23.2774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75"/>
        <v>230</v>
      </c>
      <c r="AE144" s="235" t="str">
        <f t="shared" si="76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44" s="234" t="str">
        <f t="shared" si="77"/>
        <v>"C:\Program Files (x86)\AstroGrep\AstroGrep.exe" /e /r /s /spath="%USERPROFILE%\AppData\Local\Temp\OnboardLogs" /stypes="app*4063*20171211*" /stext=" 05:.+((SYSTEM_STATE.+slice.+state.+changed )|(ment ac)|(multiple cpu faults)|(system.+state.+changed )|(\[timeout)|(PRM\|1\|D)|(kpr)|(kdp)|(train st.+moving)|(\|lc)|(penalty))"</v>
      </c>
      <c r="AG144" s="244" t="str">
        <f t="shared" si="78"/>
        <v>EC</v>
      </c>
      <c r="AH144" s="236" t="str">
        <f t="shared" si="80"/>
        <v>"%USERPROFILE%\Documents\GitHub\eaglep3\Utilities\RefineRTDCRunTimes.py" --tripid 230-10 --locoid 4063 --swversion DE.1.0.9.0 --startMP 204:232977 --initTime 2017-12-10T21:51:18 --startdatetime 2017-12-10T21:57:27 --delay 77 --endMP 204:203 --enddatetime 2017-12-10T22:34:26 --enforcementcount 0 &gt;&gt;%USERPROFILE%\Documents\GitHub\eaglep3-reporting\EC\2017-12-10-refined-times.txt</v>
      </c>
      <c r="AI144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{"issue":{"subject":"","project_id":79,"tracker_id":40,"status_id":1,"priority_id":2,"assigned_to_id":338,"start_date":"2017-12-10","description":"","custom_fields":[{"id":1,"name":"Subdivision","value":"EC"},{"id":4,"name":"Milepost","value":"0.0203"},{"id":17,"name":"Train ID","value":"230-10"},{"id":16,"name":"Locomotive ID","value":"4063"},{"id":130,"name":"Impact","value":""},{"id":150,"name":"Time of Event (Mountain Time)","value":"22:34:26"},{"id":151,"name":"Denver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82"/>
        <v>start /low /b %USERPROFILE%\Documents\GitHub\eaglep3\Utilities\DownloadLogsFromS3.py --loco 4063 --day 2017-12-10</v>
      </c>
      <c r="AN144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84"/>
        <v>https://d0f6bd738d7f1b3e5a7ca70fe4ff75f0.us-east-1.aws.found.io/app/kibana#/discover/Steve-Slow-Train-Analysis-(2080s-and-2083s)?_g=(refreshInterval:(display:Off,pause:!f,section:0,value:0),time:(from:'2017-12-10T20:51:18-0700',mode:absolute,to:'2017-12-10T23:34:26-0700'))&amp;_a=(columns:!('Message%20ID',Summary),filters:!(),index:'emp_*',interval:auto,query:(query_string:(analyze_wildcard:!t,query:'%22rtdc.l.rtdc.4063%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920</v>
      </c>
      <c r="B145" s="225">
        <v>4024</v>
      </c>
      <c r="C145" s="227" t="s">
        <v>192</v>
      </c>
      <c r="D145" s="227" t="s">
        <v>657</v>
      </c>
      <c r="E145" s="226">
        <v>43079.891458333332</v>
      </c>
      <c r="F145" s="226">
        <v>43079.89603009259</v>
      </c>
      <c r="G145" s="225">
        <v>61</v>
      </c>
      <c r="H145" s="227" t="s">
        <v>573</v>
      </c>
      <c r="I145" s="226">
        <v>43079.920289351852</v>
      </c>
      <c r="J145" s="225">
        <v>0</v>
      </c>
      <c r="K145" s="237" t="str">
        <f t="shared" si="70"/>
        <v>4023/4024</v>
      </c>
      <c r="L145" s="245" t="str">
        <f>VLOOKUP(A145,'Trips&amp;Operators'!$C$1:$G$99911,5,FALSE)</f>
        <v>LOZA FIDEL</v>
      </c>
      <c r="M145" s="224">
        <f t="shared" si="71"/>
        <v>2.4259259262180422E-2</v>
      </c>
      <c r="N145" s="225">
        <f t="shared" si="79"/>
        <v>34.933333337539807</v>
      </c>
      <c r="O145" s="225"/>
      <c r="P145" s="225"/>
      <c r="Q145" s="228"/>
      <c r="R145" s="242"/>
      <c r="S145" s="249">
        <f t="shared" si="54"/>
        <v>1</v>
      </c>
      <c r="T145" s="242" t="str">
        <f t="shared" si="72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73"/>
        <v>https://d0f6bd738d7f1b3e5a7ca70fe4ff75f0.us-east-1.aws.found.io/app/kibana#/discover/Steve-Slow-Train-Analysis-(2080s-and-2083s)?_g=(refreshInterval:(display:Off,pause:!f,section:0,value:0),time:(from:'2017-12-10T20:23:42-0700',mode:absolute,to:'2017-12-10T23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5" s="247" t="str">
        <f>IF(AA145&lt;VLOOKUP(AG145,Variables!$AC$3:$AD$8,2,FALSE),"Y","N")</f>
        <v>N</v>
      </c>
      <c r="X145" s="247">
        <f t="shared" si="69"/>
        <v>1</v>
      </c>
      <c r="Y145" s="247">
        <f t="shared" si="67"/>
        <v>5.2600000000000001E-2</v>
      </c>
      <c r="Z145" s="247">
        <f t="shared" si="68"/>
        <v>23.329699999999999</v>
      </c>
      <c r="AA145" s="247">
        <f t="shared" si="74"/>
        <v>23.277099999999997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75"/>
        <v>231</v>
      </c>
      <c r="AE145" s="235" t="str">
        <f t="shared" si="76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45" s="234" t="str">
        <f t="shared" si="77"/>
        <v>"C:\Program Files (x86)\AstroGrep\AstroGrep.exe" /e /r /s /spath="%USERPROFILE%\AppData\Local\Temp\OnboardLogs" /stypes="app*4024*20171211*" /stext=" 05:.+((SYSTEM_STATE.+slice.+state.+changed )|(ment ac)|(multiple cpu faults)|(system.+state.+changed )|(\[timeout)|(PRM\|1\|D)|(kpr)|(kdp)|(train st.+moving)|(\|lc)|(penalty))"</v>
      </c>
      <c r="AG145" s="244" t="str">
        <f t="shared" si="78"/>
        <v>EC</v>
      </c>
      <c r="AH145" s="236" t="str">
        <f t="shared" si="80"/>
        <v>"%USERPROFILE%\Documents\GitHub\eaglep3\Utilities\RefineRTDCRunTimes.py" --tripid 231-10 --locoid 4024 --swversion DE.1.0.9.0 --startMP 204:526 --initTime 2017-12-10T21:23:42 --startdatetime 2017-12-10T21:30:17 --delay 61 --endMP 204:233297 --enddatetime 2017-12-10T22:05:13 --enforcementcount 0 &gt;&gt;%USERPROFILE%\Documents\GitHub\eaglep3-reporting\EC\2017-12-10-refined-times.txt</v>
      </c>
      <c r="AI145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{"issue":{"subject":"","project_id":79,"tracker_id":40,"status_id":1,"priority_id":2,"assigned_to_id":338,"start_date":"2017-12-10","description":"","custom_fields":[{"id":1,"name":"Subdivision","value":"EC"},{"id":4,"name":"Milepost","value":"23.3297"},{"id":17,"name":"Train ID","value":"231-10"},{"id":16,"name":"Locomotive ID","value":"4024"},{"id":130,"name":"Impact","value":""},{"id":150,"name":"Time of Event (Mountain Time)","value":"22:05:13"},{"id":151,"name":"Denver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82"/>
        <v>start /low /b %USERPROFILE%\Documents\GitHub\eaglep3\Utilities\DownloadLogsFromS3.py --loco 4024 --day 2017-12-10</v>
      </c>
      <c r="AN145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84"/>
        <v>https://d0f6bd738d7f1b3e5a7ca70fe4ff75f0.us-east-1.aws.found.io/app/kibana#/discover/Steve-Slow-Train-Analysis-(2080s-and-2083s)?_g=(refreshInterval:(display:Off,pause:!f,section:0,value:0),time:(from:'2017-12-10T20:23:42-0700',mode:absolute,to:'2017-12-10T23:05:13-0700'))&amp;_a=(columns:!('Message%20ID',Summary),filters:!(),index:'emp_*',interval:auto,query:(query_string:(analyze_wildcard:!t,query:'%22rtdc.l.rtdc.4024%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925</v>
      </c>
      <c r="B146" s="225">
        <v>4023</v>
      </c>
      <c r="C146" s="227" t="s">
        <v>192</v>
      </c>
      <c r="D146" s="227" t="s">
        <v>676</v>
      </c>
      <c r="E146" s="226">
        <v>43079.931956018518</v>
      </c>
      <c r="F146" s="226">
        <v>43079.935706018521</v>
      </c>
      <c r="G146" s="225">
        <v>73</v>
      </c>
      <c r="H146" s="227" t="s">
        <v>617</v>
      </c>
      <c r="I146" s="226">
        <v>43079.961446759262</v>
      </c>
      <c r="J146" s="225">
        <v>0</v>
      </c>
      <c r="K146" s="237" t="str">
        <f t="shared" si="70"/>
        <v>4023/4024</v>
      </c>
      <c r="L146" s="245" t="str">
        <f>VLOOKUP(A146,'Trips&amp;Operators'!$C$1:$G$99911,5,FALSE)</f>
        <v>LOZA FIDEL</v>
      </c>
      <c r="M146" s="224">
        <f t="shared" si="71"/>
        <v>2.5740740740729962E-2</v>
      </c>
      <c r="N146" s="225">
        <f t="shared" si="79"/>
        <v>37.066666666651145</v>
      </c>
      <c r="O146" s="225"/>
      <c r="P146" s="225"/>
      <c r="Q146" s="228"/>
      <c r="R146" s="242"/>
      <c r="S146" s="249">
        <f t="shared" si="54"/>
        <v>1</v>
      </c>
      <c r="T146" s="242" t="str">
        <f t="shared" si="72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73"/>
        <v>https://d0f6bd738d7f1b3e5a7ca70fe4ff75f0.us-east-1.aws.found.io/app/kibana#/discover/Steve-Slow-Train-Analysis-(2080s-and-2083s)?_g=(refreshInterval:(display:Off,pause:!f,section:0,value:0),time:(from:'2017-12-10T21:22:01-0700',mode:absolute,to:'2017-12-11T00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6" s="247" t="str">
        <f>IF(AA146&lt;VLOOKUP(AG146,Variables!$AC$3:$AD$8,2,FALSE),"Y","N")</f>
        <v>N</v>
      </c>
      <c r="X146" s="247">
        <f t="shared" si="69"/>
        <v>1</v>
      </c>
      <c r="Y146" s="247">
        <f t="shared" si="67"/>
        <v>23.298100000000002</v>
      </c>
      <c r="Z146" s="247">
        <f t="shared" si="68"/>
        <v>2.0500000000000001E-2</v>
      </c>
      <c r="AA146" s="247">
        <f t="shared" si="74"/>
        <v>23.277600000000003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75"/>
        <v>232</v>
      </c>
      <c r="AE146" s="235" t="str">
        <f t="shared" si="76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46" s="234" t="str">
        <f t="shared" si="77"/>
        <v>"C:\Program Files (x86)\AstroGrep\AstroGrep.exe" /e /r /s /spath="%USERPROFILE%\AppData\Local\Temp\OnboardLogs" /stypes="app*4023*20171211*" /stext=" 06:.+((SYSTEM_STATE.+slice.+state.+changed )|(ment ac)|(multiple cpu faults)|(system.+state.+changed )|(\[timeout)|(PRM\|1\|D)|(kpr)|(kdp)|(train st.+moving)|(\|lc)|(penalty))"</v>
      </c>
      <c r="AG146" s="244" t="str">
        <f t="shared" si="78"/>
        <v>EC</v>
      </c>
      <c r="AH146" s="236" t="str">
        <f t="shared" si="80"/>
        <v>"%USERPROFILE%\Documents\GitHub\eaglep3\Utilities\RefineRTDCRunTimes.py" --tripid 232-10 --locoid 4023 --swversion DE.1.0.9.0 --startMP 204:232981 --initTime 2017-12-10T22:22:01 --startdatetime 2017-12-10T22:27:25 --delay 73 --endMP 204:205 --enddatetime 2017-12-10T23:04:29 --enforcementcount 0 &gt;&gt;%USERPROFILE%\Documents\GitHub\eaglep3-reporting\EC\2017-12-10-refined-times.txt</v>
      </c>
      <c r="AI146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{"issue":{"subject":"","project_id":79,"tracker_id":40,"status_id":1,"priority_id":2,"assigned_to_id":338,"start_date":"2017-12-10","description":"","custom_fields":[{"id":1,"name":"Subdivision","value":"EC"},{"id":4,"name":"Milepost","value":"0.0205"},{"id":17,"name":"Train ID","value":"232-10"},{"id":16,"name":"Locomotive ID","value":"4023"},{"id":130,"name":"Impact","value":""},{"id":150,"name":"Time of Event (Mountain Time)","value":"23:04:29"},{"id":151,"name":"Denver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82"/>
        <v>start /low /b %USERPROFILE%\Documents\GitHub\eaglep3\Utilities\DownloadLogsFromS3.py --loco 4023 --day 2017-12-10</v>
      </c>
      <c r="AN146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84"/>
        <v>https://d0f6bd738d7f1b3e5a7ca70fe4ff75f0.us-east-1.aws.found.io/app/kibana#/discover/Steve-Slow-Train-Analysis-(2080s-and-2083s)?_g=(refreshInterval:(display:Off,pause:!f,section:0,value:0),time:(from:'2017-12-10T21:22:01-0700',mode:absolute,to:'2017-12-11T00:04:29-0700'))&amp;_a=(columns:!('Message%20ID',Summary),filters:!(),index:'emp_*',interval:auto,query:(query_string:(analyze_wildcard:!t,query:'%22rtdc.l.rtdc.4023%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921</v>
      </c>
      <c r="B147" s="225">
        <v>4012</v>
      </c>
      <c r="C147" s="227" t="s">
        <v>192</v>
      </c>
      <c r="D147" s="227" t="s">
        <v>654</v>
      </c>
      <c r="E147" s="226">
        <v>43079.899386574078</v>
      </c>
      <c r="F147" s="226">
        <v>43079.916805555556</v>
      </c>
      <c r="G147" s="225">
        <v>54</v>
      </c>
      <c r="H147" s="227" t="s">
        <v>583</v>
      </c>
      <c r="I147" s="226">
        <v>43079.940497685187</v>
      </c>
      <c r="J147" s="225">
        <v>0</v>
      </c>
      <c r="K147" s="237" t="str">
        <f t="shared" si="70"/>
        <v>4011/4012</v>
      </c>
      <c r="L147" s="245" t="str">
        <f>VLOOKUP(A147,'Trips&amp;Operators'!$C$1:$G$99911,5,FALSE)</f>
        <v>ELBAUM MIKE</v>
      </c>
      <c r="M147" s="224">
        <f t="shared" si="71"/>
        <v>2.3692129630944692E-2</v>
      </c>
      <c r="N147" s="225">
        <f t="shared" si="79"/>
        <v>34.116666668560356</v>
      </c>
      <c r="O147" s="225"/>
      <c r="P147" s="225"/>
      <c r="Q147" s="228"/>
      <c r="R147" s="242"/>
      <c r="S147" s="249">
        <f t="shared" si="54"/>
        <v>1</v>
      </c>
      <c r="T147" s="242" t="str">
        <f t="shared" si="72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73"/>
        <v>https://d0f6bd738d7f1b3e5a7ca70fe4ff75f0.us-east-1.aws.found.io/app/kibana#/discover/Steve-Slow-Train-Analysis-(2080s-and-2083s)?_g=(refreshInterval:(display:Off,pause:!f,section:0,value:0),time:(from:'2017-12-10T20:35:07-0700',mode:absolute,to:'2017-12-10T23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7" s="247" t="str">
        <f>IF(AA147&lt;VLOOKUP(AG147,Variables!$AC$3:$AD$8,2,FALSE),"Y","N")</f>
        <v>N</v>
      </c>
      <c r="X147" s="247">
        <f t="shared" si="69"/>
        <v>1</v>
      </c>
      <c r="Y147" s="247">
        <f t="shared" si="67"/>
        <v>5.62E-2</v>
      </c>
      <c r="Z147" s="247">
        <f t="shared" si="68"/>
        <v>23.323599999999999</v>
      </c>
      <c r="AA147" s="247">
        <f t="shared" si="74"/>
        <v>23.267399999999999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75"/>
        <v>233</v>
      </c>
      <c r="AE147" s="235" t="str">
        <f t="shared" si="76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47" s="234" t="str">
        <f t="shared" si="77"/>
        <v>"C:\Program Files (x86)\AstroGrep\AstroGrep.exe" /e /r /s /spath="%USERPROFILE%\AppData\Local\Temp\OnboardLogs" /stypes="app*4012*20171211*" /stext=" 05:.+((SYSTEM_STATE.+slice.+state.+changed )|(ment ac)|(multiple cpu faults)|(system.+state.+changed )|(\[timeout)|(PRM\|1\|D)|(kpr)|(kdp)|(train st.+moving)|(\|lc)|(penalty))"</v>
      </c>
      <c r="AG147" s="244" t="str">
        <f t="shared" si="78"/>
        <v>EC</v>
      </c>
      <c r="AH147" s="236" t="str">
        <f t="shared" si="80"/>
        <v>"%USERPROFILE%\Documents\GitHub\eaglep3\Utilities\RefineRTDCRunTimes.py" --tripid 233-10 --locoid 4012 --swversion DE.1.0.9.0 --startMP 204:562 --initTime 2017-12-10T21:35:07 --startdatetime 2017-12-10T22:00:12 --delay 54 --endMP 204:233236 --enddatetime 2017-12-10T22:34:19 --enforcementcount 0 &gt;&gt;%USERPROFILE%\Documents\GitHub\eaglep3-reporting\EC\2017-12-10-refined-times.txt</v>
      </c>
      <c r="AI147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{"issue":{"subject":"","project_id":79,"tracker_id":40,"status_id":1,"priority_id":2,"assigned_to_id":338,"start_date":"2017-12-10","description":"","custom_fields":[{"id":1,"name":"Subdivision","value":"EC"},{"id":4,"name":"Milepost","value":"23.3236"},{"id":17,"name":"Train ID","value":"233-10"},{"id":16,"name":"Locomotive ID","value":"4012"},{"id":130,"name":"Impact","value":""},{"id":150,"name":"Time of Event (Mountain Time)","value":"22:34:19"},{"id":151,"name":"Denver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82"/>
        <v>start /low /b %USERPROFILE%\Documents\GitHub\eaglep3\Utilities\DownloadLogsFromS3.py --loco 4012 --day 2017-12-10</v>
      </c>
      <c r="AN147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84"/>
        <v>https://d0f6bd738d7f1b3e5a7ca70fe4ff75f0.us-east-1.aws.found.io/app/kibana#/discover/Steve-Slow-Train-Analysis-(2080s-and-2083s)?_g=(refreshInterval:(display:Off,pause:!f,section:0,value:0),time:(from:'2017-12-10T20:35:07-0700',mode:absolute,to:'2017-12-10T23:34:19-0700'))&amp;_a=(columns:!('Message%20ID',Summary),filters:!(),index:'emp_*',interval:auto,query:(query_string:(analyze_wildcard:!t,query:'%22rtdc.l.rtdc.4012%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754</v>
      </c>
      <c r="B148" s="225">
        <v>4011</v>
      </c>
      <c r="C148" s="227" t="s">
        <v>192</v>
      </c>
      <c r="D148" s="227" t="s">
        <v>705</v>
      </c>
      <c r="E148" s="226">
        <v>43079.94226851852</v>
      </c>
      <c r="F148" s="226">
        <v>43079.956400462965</v>
      </c>
      <c r="G148" s="225">
        <v>55</v>
      </c>
      <c r="H148" s="227" t="s">
        <v>1021</v>
      </c>
      <c r="I148" s="226">
        <v>43079.982291666667</v>
      </c>
      <c r="J148" s="225">
        <v>0</v>
      </c>
      <c r="K148" s="237" t="str">
        <f t="shared" si="70"/>
        <v>4011/4012</v>
      </c>
      <c r="L148" s="245" t="str">
        <f>VLOOKUP(A148,'Trips&amp;Operators'!$C$1:$G$99911,5,FALSE)</f>
        <v>ELBAUM MIKE</v>
      </c>
      <c r="M148" s="224">
        <f t="shared" si="71"/>
        <v>2.5891203702485655E-2</v>
      </c>
      <c r="N148" s="225">
        <f t="shared" si="79"/>
        <v>37.283333331579342</v>
      </c>
      <c r="O148" s="225"/>
      <c r="P148" s="225"/>
      <c r="Q148" s="228"/>
      <c r="R148" s="242"/>
      <c r="S148" s="249">
        <f t="shared" si="54"/>
        <v>1</v>
      </c>
      <c r="T148" s="242" t="str">
        <f t="shared" si="72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73"/>
        <v>https://d0f6bd738d7f1b3e5a7ca70fe4ff75f0.us-east-1.aws.found.io/app/kibana#/discover/Steve-Slow-Train-Analysis-(2080s-and-2083s)?_g=(refreshInterval:(display:Off,pause:!f,section:0,value:0),time:(from:'2017-12-10T21:36:52-0700',mode:absolute,to:'2017-12-11T00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8" s="247" t="str">
        <f>IF(AA148&lt;VLOOKUP(AG148,Variables!$AC$3:$AD$8,2,FALSE),"Y","N")</f>
        <v>N</v>
      </c>
      <c r="X148" s="247">
        <f t="shared" si="69"/>
        <v>1</v>
      </c>
      <c r="Y148" s="247">
        <f t="shared" si="67"/>
        <v>23.293399999999998</v>
      </c>
      <c r="Z148" s="247">
        <f t="shared" si="68"/>
        <v>2.7400000000000001E-2</v>
      </c>
      <c r="AA148" s="247">
        <f t="shared" si="74"/>
        <v>23.265999999999998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75"/>
        <v>234</v>
      </c>
      <c r="AE148" s="235" t="str">
        <f t="shared" si="76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48" s="234" t="str">
        <f t="shared" si="77"/>
        <v>"C:\Program Files (x86)\AstroGrep\AstroGrep.exe" /e /r /s /spath="%USERPROFILE%\AppData\Local\Temp\OnboardLogs" /stypes="app*4011*20171211*" /stext=" 06:.+((SYSTEM_STATE.+slice.+state.+changed )|(ment ac)|(multiple cpu faults)|(system.+state.+changed )|(\[timeout)|(PRM\|1\|D)|(kpr)|(kdp)|(train st.+moving)|(\|lc)|(penalty))"</v>
      </c>
      <c r="AG148" s="244" t="str">
        <f t="shared" si="78"/>
        <v>EC</v>
      </c>
      <c r="AH148" s="236" t="str">
        <f t="shared" si="80"/>
        <v>"%USERPROFILE%\Documents\GitHub\eaglep3\Utilities\RefineRTDCRunTimes.py" --tripid 234-10 --locoid 4011 --swversion DE.1.0.9.0 --startMP 204:232934 --initTime 2017-12-10T22:36:52 --startdatetime 2017-12-10T22:57:13 --delay 55 --endMP 204:274 --enddatetime 2017-12-10T23:34:30 --enforcementcount 0 &gt;&gt;%USERPROFILE%\Documents\GitHub\eaglep3-reporting\EC\2017-12-10-refined-times.txt</v>
      </c>
      <c r="AI148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{"issue":{"subject":"","project_id":79,"tracker_id":40,"status_id":1,"priority_id":2,"assigned_to_id":338,"start_date":"2017-12-10","description":"","custom_fields":[{"id":1,"name":"Subdivision","value":"EC"},{"id":4,"name":"Milepost","value":"0.0274"},{"id":17,"name":"Train ID","value":"234-10"},{"id":16,"name":"Locomotive ID","value":"4011"},{"id":130,"name":"Impact","value":""},{"id":150,"name":"Time of Event (Mountain Time)","value":"23:34:30"},{"id":151,"name":"Denver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82"/>
        <v>start /low /b %USERPROFILE%\Documents\GitHub\eaglep3\Utilities\DownloadLogsFromS3.py --loco 4011 --day 2017-12-10</v>
      </c>
      <c r="AN148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84"/>
        <v>https://d0f6bd738d7f1b3e5a7ca70fe4ff75f0.us-east-1.aws.found.io/app/kibana#/discover/Steve-Slow-Train-Analysis-(2080s-and-2083s)?_g=(refreshInterval:(display:Off,pause:!f,section:0,value:0),time:(from:'2017-12-10T21:36:52-0700',mode:absolute,to:'2017-12-11T00:34:30-0700'))&amp;_a=(columns:!('Message%20ID',Summary),filters:!(),index:'emp_*',interval:auto,query:(query_string:(analyze_wildcard:!t,query:'%22rtdc.l.rtdc.4011%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926</v>
      </c>
      <c r="B149" s="225">
        <v>4058</v>
      </c>
      <c r="C149" s="227" t="s">
        <v>192</v>
      </c>
      <c r="D149" s="227" t="s">
        <v>705</v>
      </c>
      <c r="E149" s="226">
        <v>43079.94226851852</v>
      </c>
      <c r="F149" s="226">
        <v>43079.937685185185</v>
      </c>
      <c r="G149" s="225">
        <v>55</v>
      </c>
      <c r="H149" s="227" t="s">
        <v>1021</v>
      </c>
      <c r="I149" s="226">
        <v>43079.963206018518</v>
      </c>
      <c r="J149" s="225">
        <v>0</v>
      </c>
      <c r="K149" s="237" t="str">
        <f t="shared" si="70"/>
        <v>4057/4058</v>
      </c>
      <c r="L149" s="245" t="str">
        <f>VLOOKUP(A149,'Trips&amp;Operators'!$C$1:$G$99911,5,FALSE)</f>
        <v>RESPASS AARON</v>
      </c>
      <c r="M149" s="224">
        <f t="shared" si="71"/>
        <v>2.5520833332848269E-2</v>
      </c>
      <c r="N149" s="225">
        <f t="shared" si="79"/>
        <v>36.749999999301508</v>
      </c>
      <c r="O149" s="225"/>
      <c r="P149" s="225"/>
      <c r="Q149" s="228"/>
      <c r="R149" s="242"/>
      <c r="S149" s="249">
        <f t="shared" si="54"/>
        <v>1</v>
      </c>
      <c r="T149" s="242" t="str">
        <f t="shared" si="72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73"/>
        <v>https://d0f6bd738d7f1b3e5a7ca70fe4ff75f0.us-east-1.aws.found.io/app/kibana#/discover/Steve-Slow-Train-Analysis-(2080s-and-2083s)?_g=(refreshInterval:(display:Off,pause:!f,section:0,value:0),time:(from:'2017-12-10T21:36:52-0700',mode:absolute,to:'2017-12-11T00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9" s="247" t="str">
        <f>IF(AA149&lt;VLOOKUP(AG149,Variables!$AC$3:$AD$8,2,FALSE),"Y","N")</f>
        <v>N</v>
      </c>
      <c r="X149" s="247">
        <f t="shared" si="69"/>
        <v>1</v>
      </c>
      <c r="Y149" s="247">
        <v>5.62E-2</v>
      </c>
      <c r="Z149" s="247">
        <v>23.323599999999999</v>
      </c>
      <c r="AA149" s="247">
        <f t="shared" si="74"/>
        <v>23.267399999999999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75"/>
        <v>235</v>
      </c>
      <c r="AE149" s="235" t="str">
        <f t="shared" si="76"/>
        <v>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 &amp; aws s3 cp s3://rtdc.mdm.uploadarchive.raw/RTDC4058/ "%USERPROFILE%\AppData\Local\Temp\OnboardLogs"\RTDC4058\2017-12-11 --exclude "*" --recursive --include "*20171211*" &amp; "%USERPROFILE%\Documents\GitHub\mrs-test-scripts\Headless Mode &amp; Sideloading\WalkAndUnGZ.bat" "%USERPROFILE%\AppData\Local\Temp\OnboardLogs"\RTDC4058\2017-12-11</v>
      </c>
      <c r="AF149" s="234" t="str">
        <f t="shared" si="77"/>
        <v>"C:\Program Files (x86)\AstroGrep\AstroGrep.exe" /e /r /s /spath="%USERPROFILE%\AppData\Local\Temp\OnboardLogs" /stypes="app*4058*20171211*" /stext=" 06:.+((SYSTEM_STATE.+slice.+state.+changed )|(ment ac)|(multiple cpu faults)|(system.+state.+changed )|(\[timeout)|(PRM\|1\|D)|(kpr)|(kdp)|(train st.+moving)|(\|lc)|(penalty))"</v>
      </c>
      <c r="AG149" s="244" t="str">
        <f t="shared" si="78"/>
        <v>EC</v>
      </c>
      <c r="AH149" s="236" t="str">
        <f t="shared" ref="AH149" si="85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235-10 --locoid 4058 --swversion DE.1.0.9.0 --startMP 204:232934 --initTime 2017-12-10T22:36:52 --startdatetime 2017-12-10T22:30:16 --delay 55 --endMP 204:274 --enddatetime 2017-12-10T23:07:01 --enforcementcount 0 &gt;&gt;%USERPROFILE%\Documents\GitHub\eaglep3-reporting\EC\2017-12-10-refined-times.txt</v>
      </c>
      <c r="AI149" s="238" t="str">
        <f t="shared" ref="AI149" si="86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{"issue":{"subject":"","project_id":79,"tracker_id":40,"status_id":1,"priority_id":2,"assigned_to_id":338,"start_date":"2017-12-10","description":"","custom_fields":[{"id":1,"name":"Subdivision","value":"EC"},{"id":4,"name":"Milepost","value":"23.3236"},{"id":17,"name":"Train ID","value":"235-10"},{"id":16,"name":"Locomotive ID","value":"4058"},{"id":130,"name":"Impact","value":""},{"id":150,"name":"Time of Event (Mountain Time)","value":"23:07:01"},{"id":151,"name":"Denver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" si="87">"start /low /b "&amp;dls3logs&amp;" --loco "&amp;B149&amp;" --day "&amp;TEXT(F149,"YYYY-MM-DD")</f>
        <v>start /low /b %USERPROFILE%\Documents\GitHub\eaglep3\Utilities\DownloadLogsFromS3.py --loco 4058 --day 2017-12-10</v>
      </c>
      <c r="AN149" s="241" t="str">
        <f t="shared" ref="AN149" si="88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" si="89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-10T21:36:52-0700',mode:absolute,to:'2017-12-11T00:07:01-0700'))&amp;_a=(columns:!('Message%20ID',Summary),filters:!(),index:'emp_*',interval:auto,query:(query_string:(analyze_wildcard:!t,query:'%22rtdc.l.rtdc.4058%22')),sort:!(Time.ISO8601,asc))</v>
      </c>
    </row>
    <row r="150" spans="1:91" s="223" customFormat="1" x14ac:dyDescent="0.3">
      <c r="A150" s="229" t="s">
        <v>930</v>
      </c>
      <c r="B150" s="225">
        <v>4057</v>
      </c>
      <c r="C150" s="227" t="s">
        <v>192</v>
      </c>
      <c r="D150" s="227" t="s">
        <v>656</v>
      </c>
      <c r="E150" s="226">
        <v>43079.974988425929</v>
      </c>
      <c r="F150" s="226">
        <v>43079.977256944447</v>
      </c>
      <c r="G150" s="225">
        <v>64</v>
      </c>
      <c r="H150" s="227" t="s">
        <v>535</v>
      </c>
      <c r="I150" s="226">
        <v>43080.003217592595</v>
      </c>
      <c r="J150" s="225">
        <v>0</v>
      </c>
      <c r="K150" s="237" t="str">
        <f t="shared" si="70"/>
        <v>4057/4058</v>
      </c>
      <c r="L150" s="245" t="str">
        <f>VLOOKUP(A150,'Trips&amp;Operators'!$C$1:$G$99911,5,FALSE)</f>
        <v>RESPASS AARON</v>
      </c>
      <c r="M150" s="224">
        <f t="shared" si="71"/>
        <v>2.5960648148611654E-2</v>
      </c>
      <c r="N150" s="225">
        <f t="shared" si="79"/>
        <v>37.383333334000781</v>
      </c>
      <c r="O150" s="225"/>
      <c r="P150" s="225"/>
      <c r="Q150" s="228"/>
      <c r="R150" s="242"/>
      <c r="S150" s="249">
        <f t="shared" si="54"/>
        <v>1</v>
      </c>
      <c r="T150" s="242" t="str">
        <f t="shared" si="72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73"/>
        <v>https://d0f6bd738d7f1b3e5a7ca70fe4ff75f0.us-east-1.aws.found.io/app/kibana#/discover/Steve-Slow-Train-Analysis-(2080s-and-2083s)?_g=(refreshInterval:(display:Off,pause:!f,section:0,value:0),time:(from:'2017-12-10T22:23:59-0700',mode:absolute,to:'2017-12-11T01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0" s="247" t="str">
        <f>IF(AA150&lt;VLOOKUP(AG150,Variables!$AC$3:$AD$8,2,FALSE),"Y","N")</f>
        <v>N</v>
      </c>
      <c r="X150" s="247">
        <f t="shared" ref="X150:X151" si="90">VALUE(LEFT(AD150,4))-VALUE(LEFT(AD149,4))</f>
        <v>1</v>
      </c>
      <c r="Y150" s="247">
        <f t="shared" ref="Y150:Y157" si="91">RIGHT(D150,LEN(D150)-4)/10000</f>
        <v>23.293600000000001</v>
      </c>
      <c r="Z150" s="247">
        <f t="shared" ref="Z150:Z157" si="92">RIGHT(H150,LEN(H150)-4)/10000</f>
        <v>2.6499999999999999E-2</v>
      </c>
      <c r="AA150" s="247">
        <f t="shared" si="74"/>
        <v>23.267100000000003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75"/>
        <v>236</v>
      </c>
      <c r="AE150" s="235" t="str">
        <f t="shared" si="76"/>
        <v>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 &amp; aws s3 cp s3://rtdc.mdm.uploadarchive.raw/RTDC4057/ "%USERPROFILE%\AppData\Local\Temp\OnboardLogs"\RTDC4057\2017-12-11 --exclude "*" --recursive --include "*20171211*" &amp; "%USERPROFILE%\Documents\GitHub\mrs-test-scripts\Headless Mode &amp; Sideloading\WalkAndUnGZ.bat" "%USERPROFILE%\AppData\Local\Temp\OnboardLogs"\RTDC4057\2017-12-11</v>
      </c>
      <c r="AF150" s="234" t="str">
        <f t="shared" si="77"/>
        <v>"C:\Program Files (x86)\AstroGrep\AstroGrep.exe" /e /r /s /spath="%USERPROFILE%\AppData\Local\Temp\OnboardLogs" /stypes="app*4057*20171211*" /stext=" 07:.+((SYSTEM_STATE.+slice.+state.+changed )|(ment ac)|(multiple cpu faults)|(system.+state.+changed )|(\[timeout)|(PRM\|1\|D)|(kpr)|(kdp)|(train st.+moving)|(\|lc)|(penalty))"</v>
      </c>
      <c r="AG150" s="244" t="str">
        <f t="shared" si="78"/>
        <v>EC</v>
      </c>
      <c r="AH150" s="236" t="str">
        <f t="shared" si="80"/>
        <v>"%USERPROFILE%\Documents\GitHub\eaglep3\Utilities\RefineRTDCRunTimes.py" --tripid 236-10 --locoid 4057 --swversion DE.1.0.9.0 --startMP 204:232936 --initTime 2017-12-10T23:23:59 --startdatetime 2017-12-10T23:27:15 --delay 64 --endMP 204:265 --enddatetime 2017-12-11T00:04:38 --enforcementcount 0 &gt;&gt;%USERPROFILE%\Documents\GitHub\eaglep3-reporting\EC\2017-12-10-refined-times.txt</v>
      </c>
      <c r="AI150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{"issue":{"subject":"","project_id":79,"tracker_id":40,"status_id":1,"priority_id":2,"assigned_to_id":338,"start_date":"2017-12-11","description":"","custom_fields":[{"id":1,"name":"Subdivision","value":"EC"},{"id":4,"name":"Milepost","value":"0.0265"},{"id":17,"name":"Train ID","value":"236-10"},{"id":16,"name":"Locomotive ID","value":"4057"},{"id":130,"name":"Impact","value":""},{"id":150,"name":"Time of Event (Mountain Time)","value":"00:04:38"},{"id":151,"name":"Denver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82"/>
        <v>start /low /b %USERPROFILE%\Documents\GitHub\eaglep3\Utilities\DownloadLogsFromS3.py --loco 4057 --day 2017-12-10</v>
      </c>
      <c r="AN150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84"/>
        <v>https://d0f6bd738d7f1b3e5a7ca70fe4ff75f0.us-east-1.aws.found.io/app/kibana#/discover/Steve-Slow-Train-Analysis-(2080s-and-2083s)?_g=(refreshInterval:(display:Off,pause:!f,section:0,value:0),time:(from:'2017-12-10T22:23:59-0700',mode:absolute,to:'2017-12-11T01:04:38-0700'))&amp;_a=(columns:!('Message%20ID',Summary),filters:!(),index:'emp_*',interval:auto,query:(query_string:(analyze_wildcard:!t,query:'%22rtdc.l.rtdc.4057%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927</v>
      </c>
      <c r="B151" s="225">
        <v>4064</v>
      </c>
      <c r="C151" s="227" t="s">
        <v>192</v>
      </c>
      <c r="D151" s="227" t="s">
        <v>449</v>
      </c>
      <c r="E151" s="226">
        <v>43079.943854166668</v>
      </c>
      <c r="F151" s="226">
        <v>43079.958518518521</v>
      </c>
      <c r="G151" s="225">
        <v>60</v>
      </c>
      <c r="H151" s="227" t="s">
        <v>717</v>
      </c>
      <c r="I151" s="226">
        <v>43079.982094907406</v>
      </c>
      <c r="J151" s="225">
        <v>0</v>
      </c>
      <c r="K151" s="237" t="str">
        <f t="shared" si="70"/>
        <v>4063/4064</v>
      </c>
      <c r="L151" s="245" t="str">
        <f>VLOOKUP(A151,'Trips&amp;Operators'!$C$1:$G$99911,5,FALSE)</f>
        <v>STAMBAUGH JAMES</v>
      </c>
      <c r="M151" s="224">
        <f t="shared" si="71"/>
        <v>2.3576388884976041E-2</v>
      </c>
      <c r="N151" s="225">
        <f t="shared" si="79"/>
        <v>33.949999994365498</v>
      </c>
      <c r="O151" s="225"/>
      <c r="P151" s="225"/>
      <c r="Q151" s="228"/>
      <c r="R151" s="242"/>
      <c r="S151" s="249">
        <f t="shared" si="54"/>
        <v>1</v>
      </c>
      <c r="T151" s="242" t="str">
        <f t="shared" si="72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73"/>
        <v>https://d0f6bd738d7f1b3e5a7ca70fe4ff75f0.us-east-1.aws.found.io/app/kibana#/discover/Steve-Slow-Train-Analysis-(2080s-and-2083s)?_g=(refreshInterval:(display:Off,pause:!f,section:0,value:0),time:(from:'2017-12-10T21:39:09-0700',mode:absolute,to:'2017-12-11T00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247" t="str">
        <f>IF(AA151&lt;VLOOKUP(AG151,Variables!$AC$3:$AD$8,2,FALSE),"Y","N")</f>
        <v>N</v>
      </c>
      <c r="X151" s="247">
        <f t="shared" si="90"/>
        <v>1</v>
      </c>
      <c r="Y151" s="247">
        <f t="shared" si="91"/>
        <v>5.28E-2</v>
      </c>
      <c r="Z151" s="247">
        <f t="shared" si="92"/>
        <v>23.328600000000002</v>
      </c>
      <c r="AA151" s="247">
        <f t="shared" si="74"/>
        <v>23.2758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75"/>
        <v>237</v>
      </c>
      <c r="AE151" s="235" t="str">
        <f t="shared" si="76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51" s="234" t="str">
        <f t="shared" si="77"/>
        <v>"C:\Program Files (x86)\AstroGrep\AstroGrep.exe" /e /r /s /spath="%USERPROFILE%\AppData\Local\Temp\OnboardLogs" /stypes="app*4064*20171211*" /stext=" 06:.+((SYSTEM_STATE.+slice.+state.+changed )|(ment ac)|(multiple cpu faults)|(system.+state.+changed )|(\[timeout)|(PRM\|1\|D)|(kpr)|(kdp)|(train st.+moving)|(\|lc)|(penalty))"</v>
      </c>
      <c r="AG151" s="244" t="str">
        <f t="shared" si="78"/>
        <v>EC</v>
      </c>
      <c r="AH151" s="236" t="str">
        <f t="shared" si="80"/>
        <v>"%USERPROFILE%\Documents\GitHub\eaglep3\Utilities\RefineRTDCRunTimes.py" --tripid 237-10 --locoid 4064 --swversion DE.1.0.9.0 --startMP 204:528 --initTime 2017-12-10T22:39:09 --startdatetime 2017-12-10T23:00:16 --delay 60 --endMP 204:233286 --enddatetime 2017-12-10T23:34:13 --enforcementcount 0 &gt;&gt;%USERPROFILE%\Documents\GitHub\eaglep3-reporting\EC\2017-12-10-refined-times.txt</v>
      </c>
      <c r="AI151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{"issue":{"subject":"","project_id":79,"tracker_id":40,"status_id":1,"priority_id":2,"assigned_to_id":338,"start_date":"2017-12-10","description":"","custom_fields":[{"id":1,"name":"Subdivision","value":"EC"},{"id":4,"name":"Milepost","value":"23.3286"},{"id":17,"name":"Train ID","value":"237-10"},{"id":16,"name":"Locomotive ID","value":"4064"},{"id":130,"name":"Impact","value":""},{"id":150,"name":"Time of Event (Mountain Time)","value":"23:34:13"},{"id":151,"name":"Denver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82"/>
        <v>start /low /b %USERPROFILE%\Documents\GitHub\eaglep3\Utilities\DownloadLogsFromS3.py --loco 4064 --day 2017-12-10</v>
      </c>
      <c r="AN151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84"/>
        <v>https://d0f6bd738d7f1b3e5a7ca70fe4ff75f0.us-east-1.aws.found.io/app/kibana#/discover/Steve-Slow-Train-Analysis-(2080s-and-2083s)?_g=(refreshInterval:(display:Off,pause:!f,section:0,value:0),time:(from:'2017-12-10T21:39:09-0700',mode:absolute,to:'2017-12-11T00:34:13-0700'))&amp;_a=(columns:!('Message%20ID',Summary),filters:!(),index:'emp_*',interval:auto,query:(query_string:(analyze_wildcard:!t,query:'%22rtdc.l.rtdc.4064%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933</v>
      </c>
      <c r="B152" s="225">
        <v>4063</v>
      </c>
      <c r="C152" s="227" t="s">
        <v>192</v>
      </c>
      <c r="D152" s="227" t="s">
        <v>609</v>
      </c>
      <c r="E152" s="226">
        <v>43079.995775462965</v>
      </c>
      <c r="F152" s="226">
        <v>43079.998090277775</v>
      </c>
      <c r="G152" s="225">
        <v>60</v>
      </c>
      <c r="H152" s="227" t="s">
        <v>628</v>
      </c>
      <c r="I152" s="226">
        <v>43080.023611111108</v>
      </c>
      <c r="J152" s="225">
        <v>0</v>
      </c>
      <c r="K152" s="237" t="str">
        <f t="shared" si="70"/>
        <v>4063/4064</v>
      </c>
      <c r="L152" s="245" t="str">
        <f>VLOOKUP(A152,'Trips&amp;Operators'!$C$1:$G$99911,5,FALSE)</f>
        <v>STAMBAUGH JAMES</v>
      </c>
      <c r="M152" s="224">
        <f t="shared" si="71"/>
        <v>2.5520833332848269E-2</v>
      </c>
      <c r="N152" s="225">
        <f t="shared" si="79"/>
        <v>36.749999999301508</v>
      </c>
      <c r="O152" s="225"/>
      <c r="P152" s="225"/>
      <c r="Q152" s="228"/>
      <c r="R152" s="242"/>
      <c r="S152" s="249">
        <f t="shared" si="54"/>
        <v>1</v>
      </c>
      <c r="T152" s="242" t="str">
        <f t="shared" si="72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73"/>
        <v>https://d0f6bd738d7f1b3e5a7ca70fe4ff75f0.us-east-1.aws.found.io/app/kibana#/discover/Steve-Slow-Train-Analysis-(2080s-and-2083s)?_g=(refreshInterval:(display:Off,pause:!f,section:0,value:0),time:(from:'2017-12-10T22:53:55-0700',mode:absolute,to:'2017-12-11T01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 t="shared" si="91"/>
        <v>23.296700000000001</v>
      </c>
      <c r="Z152" s="247">
        <f t="shared" si="92"/>
        <v>2.2700000000000001E-2</v>
      </c>
      <c r="AA152" s="247">
        <f t="shared" si="74"/>
        <v>23.274000000000001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75"/>
        <v>238</v>
      </c>
      <c r="AE152" s="235" t="str">
        <f t="shared" si="76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52" s="234" t="str">
        <f t="shared" si="77"/>
        <v>"C:\Program Files (x86)\AstroGrep\AstroGrep.exe" /e /r /s /spath="%USERPROFILE%\AppData\Local\Temp\OnboardLogs" /stypes="app*4063*20171211*" /stext=" 07:.+((SYSTEM_STATE.+slice.+state.+changed )|(ment ac)|(multiple cpu faults)|(system.+state.+changed )|(\[timeout)|(PRM\|1\|D)|(kpr)|(kdp)|(train st.+moving)|(\|lc)|(penalty))"</v>
      </c>
      <c r="AG152" s="244" t="str">
        <f t="shared" si="78"/>
        <v>EC</v>
      </c>
      <c r="AH152" s="236" t="str">
        <f t="shared" si="80"/>
        <v>"%USERPROFILE%\Documents\GitHub\eaglep3\Utilities\RefineRTDCRunTimes.py" --tripid 238-10 --locoid 4063 --swversion DE.1.0.9.0 --startMP 204:232967 --initTime 2017-12-10T23:53:55 --startdatetime 2017-12-10T23:57:15 --delay 60 --endMP 204:227 --enddatetime 2017-12-11T00:34:00 --enforcementcount 0 &gt;&gt;%USERPROFILE%\Documents\GitHub\eaglep3-reporting\EC\2017-12-10-refined-times.txt</v>
      </c>
      <c r="AI152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{"issue":{"subject":"","project_id":79,"tracker_id":40,"status_id":1,"priority_id":2,"assigned_to_id":338,"start_date":"2017-12-11","description":"","custom_fields":[{"id":1,"name":"Subdivision","value":"EC"},{"id":4,"name":"Milepost","value":"0.0227"},{"id":17,"name":"Train ID","value":"238-10"},{"id":16,"name":"Locomotive ID","value":"4063"},{"id":130,"name":"Impact","value":""},{"id":150,"name":"Time of Event (Mountain Time)","value":"00:34:00"},{"id":151,"name":"Denver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82"/>
        <v>start /low /b %USERPROFILE%\Documents\GitHub\eaglep3\Utilities\DownloadLogsFromS3.py --loco 4063 --day 2017-12-10</v>
      </c>
      <c r="AN152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84"/>
        <v>https://d0f6bd738d7f1b3e5a7ca70fe4ff75f0.us-east-1.aws.found.io/app/kibana#/discover/Steve-Slow-Train-Analysis-(2080s-and-2083s)?_g=(refreshInterval:(display:Off,pause:!f,section:0,value:0),time:(from:'2017-12-10T22:53:55-0700',mode:absolute,to:'2017-12-11T01:34:00-0700'))&amp;_a=(columns:!('Message%20ID',Summary),filters:!(),index:'emp_*',interval:auto,query:(query_string:(analyze_wildcard:!t,query:'%22rtdc.l.rtdc.4063%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9" t="s">
        <v>928</v>
      </c>
      <c r="B153" s="225">
        <v>4024</v>
      </c>
      <c r="C153" s="227" t="s">
        <v>192</v>
      </c>
      <c r="D153" s="227" t="s">
        <v>572</v>
      </c>
      <c r="E153" s="226">
        <v>43079.963078703702</v>
      </c>
      <c r="F153" s="226">
        <v>43079.979375000003</v>
      </c>
      <c r="G153" s="225">
        <v>53</v>
      </c>
      <c r="H153" s="227" t="s">
        <v>588</v>
      </c>
      <c r="I153" s="226">
        <v>43080.00309027778</v>
      </c>
      <c r="J153" s="225">
        <v>0</v>
      </c>
      <c r="K153" s="237" t="str">
        <f t="shared" si="70"/>
        <v>4023/4024</v>
      </c>
      <c r="L153" s="245" t="str">
        <f>VLOOKUP(A153,'Trips&amp;Operators'!$C$1:$G$99911,5,FALSE)</f>
        <v>LOZA FIDEL</v>
      </c>
      <c r="M153" s="224">
        <f t="shared" si="71"/>
        <v>2.3715277777228039E-2</v>
      </c>
      <c r="N153" s="225">
        <f t="shared" si="79"/>
        <v>34.149999999208376</v>
      </c>
      <c r="O153" s="225"/>
      <c r="P153" s="225"/>
      <c r="Q153" s="228"/>
      <c r="R153" s="242"/>
      <c r="S153" s="249">
        <f t="shared" si="54"/>
        <v>1</v>
      </c>
      <c r="T153" s="242" t="str">
        <f t="shared" si="72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73"/>
        <v>https://d0f6bd738d7f1b3e5a7ca70fe4ff75f0.us-east-1.aws.found.io/app/kibana#/discover/Steve-Slow-Train-Analysis-(2080s-and-2083s)?_g=(refreshInterval:(display:Off,pause:!f,section:0,value:0),time:(from:'2017-12-10T22:06:50-0700',mode:absolute,to:'2017-12-11T01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 t="shared" si="91"/>
        <v>5.0599999999999999E-2</v>
      </c>
      <c r="Z153" s="247">
        <f t="shared" si="92"/>
        <v>23.3249</v>
      </c>
      <c r="AA153" s="247">
        <f t="shared" si="74"/>
        <v>23.2743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75"/>
        <v>239</v>
      </c>
      <c r="AE153" s="235" t="str">
        <f t="shared" si="76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53" s="234" t="str">
        <f t="shared" si="77"/>
        <v>"C:\Program Files (x86)\AstroGrep\AstroGrep.exe" /e /r /s /spath="%USERPROFILE%\AppData\Local\Temp\OnboardLogs" /stypes="app*4024*20171211*" /stext=" 07:.+((SYSTEM_STATE.+slice.+state.+changed )|(ment ac)|(multiple cpu faults)|(system.+state.+changed )|(\[timeout)|(PRM\|1\|D)|(kpr)|(kdp)|(train st.+moving)|(\|lc)|(penalty))"</v>
      </c>
      <c r="AG153" s="244" t="str">
        <f t="shared" si="78"/>
        <v>EC</v>
      </c>
      <c r="AH153" s="236" t="str">
        <f t="shared" si="80"/>
        <v>"%USERPROFILE%\Documents\GitHub\eaglep3\Utilities\RefineRTDCRunTimes.py" --tripid 239-10 --locoid 4024 --swversion DE.1.0.9.0 --startMP 204:506 --initTime 2017-12-10T23:06:50 --startdatetime 2017-12-10T23:30:18 --delay 53 --endMP 204:233249 --enddatetime 2017-12-11T00:04:27 --enforcementcount 0 &gt;&gt;%USERPROFILE%\Documents\GitHub\eaglep3-reporting\EC\2017-12-10-refined-times.txt</v>
      </c>
      <c r="AI153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{"issue":{"subject":"","project_id":79,"tracker_id":40,"status_id":1,"priority_id":2,"assigned_to_id":338,"start_date":"2017-12-11","description":"","custom_fields":[{"id":1,"name":"Subdivision","value":"EC"},{"id":4,"name":"Milepost","value":"23.3249"},{"id":17,"name":"Train ID","value":"239-10"},{"id":16,"name":"Locomotive ID","value":"4024"},{"id":130,"name":"Impact","value":""},{"id":150,"name":"Time of Event (Mountain Time)","value":"00:04:27"},{"id":151,"name":"Denver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82"/>
        <v>start /low /b %USERPROFILE%\Documents\GitHub\eaglep3\Utilities\DownloadLogsFromS3.py --loco 4024 --day 2017-12-10</v>
      </c>
      <c r="AN153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84"/>
        <v>https://d0f6bd738d7f1b3e5a7ca70fe4ff75f0.us-east-1.aws.found.io/app/kibana#/discover/Steve-Slow-Train-Analysis-(2080s-and-2083s)?_g=(refreshInterval:(display:Off,pause:!f,section:0,value:0),time:(from:'2017-12-10T22:06:50-0700',mode:absolute,to:'2017-12-11T01:04:27-0700'))&amp;_a=(columns:!('Message%20ID',Summary),filters:!(),index:'emp_*',interval:auto,query:(query_string:(analyze_wildcard:!t,query:'%22rtdc.l.rtdc.4024%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9" t="s">
        <v>935</v>
      </c>
      <c r="B154" s="225">
        <v>4023</v>
      </c>
      <c r="C154" s="227" t="s">
        <v>192</v>
      </c>
      <c r="D154" s="227" t="s">
        <v>722</v>
      </c>
      <c r="E154" s="226">
        <v>43080.015185185184</v>
      </c>
      <c r="F154" s="226">
        <v>43080.019166666665</v>
      </c>
      <c r="G154" s="225">
        <v>62</v>
      </c>
      <c r="H154" s="227" t="s">
        <v>697</v>
      </c>
      <c r="I154" s="226">
        <v>43080.044791666667</v>
      </c>
      <c r="J154" s="225">
        <v>0</v>
      </c>
      <c r="K154" s="237" t="str">
        <f t="shared" si="70"/>
        <v>4023/4024</v>
      </c>
      <c r="L154" s="245" t="str">
        <f>VLOOKUP(A154,'Trips&amp;Operators'!$C$1:$G$99911,5,FALSE)</f>
        <v>LOZA FIDEL</v>
      </c>
      <c r="M154" s="224">
        <f t="shared" si="71"/>
        <v>2.5625000002037268E-2</v>
      </c>
      <c r="N154" s="225">
        <f t="shared" si="79"/>
        <v>36.900000002933666</v>
      </c>
      <c r="O154" s="225"/>
      <c r="P154" s="225"/>
      <c r="Q154" s="228"/>
      <c r="R154" s="242"/>
      <c r="S154" s="249">
        <f t="shared" si="54"/>
        <v>1</v>
      </c>
      <c r="T154" s="242" t="str">
        <f t="shared" si="72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73"/>
        <v>https://d0f6bd738d7f1b3e5a7ca70fe4ff75f0.us-east-1.aws.found.io/app/kibana#/discover/Steve-Slow-Train-Analysis-(2080s-and-2083s)?_g=(refreshInterval:(display:Off,pause:!f,section:0,value:0),time:(from:'2017-12-10T23:21:52-0700',mode:absolute,to:'2017-12-11T02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 t="shared" si="91"/>
        <v>23.296500000000002</v>
      </c>
      <c r="Z154" s="247">
        <f t="shared" si="92"/>
        <v>2.2100000000000002E-2</v>
      </c>
      <c r="AA154" s="247">
        <f t="shared" si="74"/>
        <v>23.274400000000004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75"/>
        <v>240</v>
      </c>
      <c r="AE154" s="235" t="str">
        <f t="shared" si="76"/>
        <v>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 &amp; aws s3 cp s3://rtdc.mdm.uploadarchive.raw/RTDC4023/ "%USERPROFILE%\AppData\Local\Temp\OnboardLogs"\RTDC4023\2017-12-12 --exclude "*" --recursive --include "*20171212*" &amp; "%USERPROFILE%\Documents\GitHub\mrs-test-scripts\Headless Mode &amp; Sideloading\WalkAndUnGZ.bat" "%USERPROFILE%\AppData\Local\Temp\OnboardLogs"\RTDC4023\2017-12-12</v>
      </c>
      <c r="AF154" s="234" t="str">
        <f t="shared" si="77"/>
        <v>"C:\Program Files (x86)\AstroGrep\AstroGrep.exe" /e /r /s /spath="%USERPROFILE%\AppData\Local\Temp\OnboardLogs" /stypes="app*4023*20171211*" /stext=" 08:.+((SYSTEM_STATE.+slice.+state.+changed )|(ment ac)|(multiple cpu faults)|(system.+state.+changed )|(\[timeout)|(PRM\|1\|D)|(kpr)|(kdp)|(train st.+moving)|(\|lc)|(penalty))"</v>
      </c>
      <c r="AG154" s="244" t="str">
        <f t="shared" si="78"/>
        <v>EC</v>
      </c>
      <c r="AH154" s="236" t="str">
        <f t="shared" si="80"/>
        <v>"%USERPROFILE%\Documents\GitHub\eaglep3\Utilities\RefineRTDCRunTimes.py" --tripid 240-10 --locoid 4023 --swversion DE.1.0.9.0 --startMP 204:232965 --initTime 2017-12-11T00:21:52 --startdatetime 2017-12-11T00:27:36 --delay 62 --endMP 204:221 --enddatetime 2017-12-11T01:04:30 --enforcementcount 0 &gt;&gt;%USERPROFILE%\Documents\GitHub\eaglep3-reporting\EC\2017-12-10-refined-times.txt</v>
      </c>
      <c r="AI154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{"issue":{"subject":"","project_id":79,"tracker_id":40,"status_id":1,"priority_id":2,"assigned_to_id":338,"start_date":"2017-12-11","description":"","custom_fields":[{"id":1,"name":"Subdivision","value":"EC"},{"id":4,"name":"Milepost","value":"0.0221"},{"id":17,"name":"Train ID","value":"240-10"},{"id":16,"name":"Locomotive ID","value":"4023"},{"id":130,"name":"Impact","value":""},{"id":150,"name":"Time of Event (Mountain Time)","value":"01:04:30"},{"id":151,"name":"Denver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82"/>
        <v>start /low /b %USERPROFILE%\Documents\GitHub\eaglep3\Utilities\DownloadLogsFromS3.py --loco 4023 --day 2017-12-11</v>
      </c>
      <c r="AN154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84"/>
        <v>https://d0f6bd738d7f1b3e5a7ca70fe4ff75f0.us-east-1.aws.found.io/app/kibana#/discover/Steve-Slow-Train-Analysis-(2080s-and-2083s)?_g=(refreshInterval:(display:Off,pause:!f,section:0,value:0),time:(from:'2017-12-10T23:21:52-0700',mode:absolute,to:'2017-12-11T02:04:30-0700'))&amp;_a=(columns:!('Message%20ID',Summary),filters:!(),index:'emp_*',interval:auto,query:(query_string:(analyze_wildcard:!t,query:'%22rtdc.l.rtdc.4023%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932</v>
      </c>
      <c r="B155" s="225">
        <v>4012</v>
      </c>
      <c r="C155" s="227" t="s">
        <v>192</v>
      </c>
      <c r="D155" s="227" t="s">
        <v>1031</v>
      </c>
      <c r="E155" s="226">
        <v>43079.983553240738</v>
      </c>
      <c r="F155" s="226">
        <v>43080.000150462962</v>
      </c>
      <c r="G155" s="225">
        <v>51</v>
      </c>
      <c r="H155" s="227" t="s">
        <v>689</v>
      </c>
      <c r="I155" s="226">
        <v>43080.023923611108</v>
      </c>
      <c r="J155" s="225">
        <v>0</v>
      </c>
      <c r="K155" s="237" t="str">
        <f t="shared" si="70"/>
        <v>4011/4012</v>
      </c>
      <c r="L155" s="245" t="str">
        <f>VLOOKUP(A155,'Trips&amp;Operators'!$C$1:$G$99911,5,FALSE)</f>
        <v>ELBAUM MIKE</v>
      </c>
      <c r="M155" s="224">
        <f t="shared" si="71"/>
        <v>2.3773148146574385E-2</v>
      </c>
      <c r="N155" s="225">
        <f t="shared" si="79"/>
        <v>34.233333331067115</v>
      </c>
      <c r="O155" s="225"/>
      <c r="P155" s="225"/>
      <c r="Q155" s="228"/>
      <c r="R155" s="242"/>
      <c r="S155" s="249">
        <f t="shared" ref="S155:S186" si="93">1/IF(AG155="EC",12,1)*SUM(U155:U155)</f>
        <v>1</v>
      </c>
      <c r="T155" s="242" t="str">
        <f t="shared" si="72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73"/>
        <v>https://d0f6bd738d7f1b3e5a7ca70fe4ff75f0.us-east-1.aws.found.io/app/kibana#/discover/Steve-Slow-Train-Analysis-(2080s-and-2083s)?_g=(refreshInterval:(display:Off,pause:!f,section:0,value:0),time:(from:'2017-12-10T22:36:19-0700',mode:absolute,to:'2017-12-11T01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 t="shared" si="91"/>
        <v>5.7299999999999997E-2</v>
      </c>
      <c r="Z155" s="247">
        <f t="shared" si="92"/>
        <v>23.328900000000001</v>
      </c>
      <c r="AA155" s="247">
        <f t="shared" si="74"/>
        <v>23.271599999999999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75"/>
        <v>241</v>
      </c>
      <c r="AE155" s="235" t="str">
        <f t="shared" si="76"/>
        <v>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 &amp; 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</v>
      </c>
      <c r="AF155" s="234" t="str">
        <f t="shared" si="77"/>
        <v>"C:\Program Files (x86)\AstroGrep\AstroGrep.exe" /e /r /s /spath="%USERPROFILE%\AppData\Local\Temp\OnboardLogs" /stypes="app*4012*20171211*" /stext=" 07:.+((SYSTEM_STATE.+slice.+state.+changed )|(ment ac)|(multiple cpu faults)|(system.+state.+changed )|(\[timeout)|(PRM\|1\|D)|(kpr)|(kdp)|(train st.+moving)|(\|lc)|(penalty))"</v>
      </c>
      <c r="AG155" s="244" t="str">
        <f t="shared" si="78"/>
        <v>EC</v>
      </c>
      <c r="AH155" s="236" t="str">
        <f t="shared" si="80"/>
        <v>"%USERPROFILE%\Documents\GitHub\eaglep3\Utilities\RefineRTDCRunTimes.py" --tripid 241-10 --locoid 4012 --swversion DE.1.0.9.0 --startMP 204:573 --initTime 2017-12-10T23:36:19 --startdatetime 2017-12-11T00:00:13 --delay 51 --endMP 204:233289 --enddatetime 2017-12-11T00:34:27 --enforcementcount 0 &gt;&gt;%USERPROFILE%\Documents\GitHub\eaglep3-reporting\EC\2017-12-10-refined-times.txt</v>
      </c>
      <c r="AI155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{"issue":{"subject":"","project_id":79,"tracker_id":40,"status_id":1,"priority_id":2,"assigned_to_id":338,"start_date":"2017-12-11","description":"","custom_fields":[{"id":1,"name":"Subdivision","value":"EC"},{"id":4,"name":"Milepost","value":"23.3289"},{"id":17,"name":"Train ID","value":"241-10"},{"id":16,"name":"Locomotive ID","value":"4012"},{"id":130,"name":"Impact","value":""},{"id":150,"name":"Time of Event (Mountain Time)","value":"00:34:27"},{"id":151,"name":"Denver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82"/>
        <v>start /low /b %USERPROFILE%\Documents\GitHub\eaglep3\Utilities\DownloadLogsFromS3.py --loco 4012 --day 2017-12-11</v>
      </c>
      <c r="AN155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84"/>
        <v>https://d0f6bd738d7f1b3e5a7ca70fe4ff75f0.us-east-1.aws.found.io/app/kibana#/discover/Steve-Slow-Train-Analysis-(2080s-and-2083s)?_g=(refreshInterval:(display:Off,pause:!f,section:0,value:0),time:(from:'2017-12-10T22:36:19-0700',mode:absolute,to:'2017-12-11T01:34:27-0700'))&amp;_a=(columns:!('Message%20ID',Summary),filters:!(),index:'emp_*',interval:auto,query:(query_string:(analyze_wildcard:!t,query:'%22rtdc.l.rtdc.4012%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755</v>
      </c>
      <c r="B156" s="225">
        <v>4011</v>
      </c>
      <c r="C156" s="227" t="s">
        <v>192</v>
      </c>
      <c r="D156" s="227" t="s">
        <v>674</v>
      </c>
      <c r="E156" s="226">
        <v>43080.025312500002</v>
      </c>
      <c r="F156" s="226">
        <v>43080.039803240739</v>
      </c>
      <c r="G156" s="225">
        <v>68</v>
      </c>
      <c r="H156" s="227" t="s">
        <v>535</v>
      </c>
      <c r="I156" s="226">
        <v>43080.065185185187</v>
      </c>
      <c r="J156" s="225">
        <v>0</v>
      </c>
      <c r="K156" s="237" t="str">
        <f t="shared" si="70"/>
        <v>4011/4012</v>
      </c>
      <c r="L156" s="245" t="str">
        <f>VLOOKUP(A156,'Trips&amp;Operators'!$C$1:$G$99911,5,FALSE)</f>
        <v>ELBAUM MIKE</v>
      </c>
      <c r="M156" s="224">
        <f t="shared" si="71"/>
        <v>2.5381944447872229E-2</v>
      </c>
      <c r="N156" s="225">
        <f t="shared" si="79"/>
        <v>36.55000000493601</v>
      </c>
      <c r="O156" s="225"/>
      <c r="P156" s="225"/>
      <c r="Q156" s="228"/>
      <c r="R156" s="242"/>
      <c r="S156" s="249">
        <f t="shared" si="93"/>
        <v>1</v>
      </c>
      <c r="T156" s="242" t="str">
        <f t="shared" si="72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73"/>
        <v>https://d0f6bd738d7f1b3e5a7ca70fe4ff75f0.us-east-1.aws.found.io/app/kibana#/discover/Steve-Slow-Train-Analysis-(2080s-and-2083s)?_g=(refreshInterval:(display:Off,pause:!f,section:0,value:0),time:(from:'2017-12-10T23:36:27-0700',mode:absolute,to:'2017-12-11T02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 t="shared" si="91"/>
        <v>23.2957</v>
      </c>
      <c r="Z156" s="247">
        <f t="shared" si="92"/>
        <v>2.6499999999999999E-2</v>
      </c>
      <c r="AA156" s="247">
        <f t="shared" si="74"/>
        <v>23.269200000000001</v>
      </c>
      <c r="AB156" s="233" t="str">
        <f>VLOOKUP(A156,Enforcements!$C$7:$K$9,8,0)</f>
        <v>Bulletin (2)</v>
      </c>
      <c r="AC156" s="232" t="str">
        <f>VLOOKUP(A156,Enforcements!$C$7:$E$9,3,0)</f>
        <v>GRADE CROSSING</v>
      </c>
      <c r="AD156" s="243">
        <f t="shared" si="75"/>
        <v>242</v>
      </c>
      <c r="AE156" s="235" t="str">
        <f t="shared" si="76"/>
        <v>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 &amp; 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</v>
      </c>
      <c r="AF156" s="234" t="str">
        <f t="shared" si="77"/>
        <v>"C:\Program Files (x86)\AstroGrep\AstroGrep.exe" /e /r /s /spath="%USERPROFILE%\AppData\Local\Temp\OnboardLogs" /stypes="app*4011*20171211*" /stext=" 08:.+((SYSTEM_STATE.+slice.+state.+changed )|(ment ac)|(multiple cpu faults)|(system.+state.+changed )|(\[timeout)|(PRM\|1\|D)|(kpr)|(kdp)|(train st.+moving)|(\|lc)|(penalty))"</v>
      </c>
      <c r="AG156" s="244" t="str">
        <f t="shared" si="78"/>
        <v>EC</v>
      </c>
      <c r="AH156" s="236" t="str">
        <f t="shared" si="80"/>
        <v>"%USERPROFILE%\Documents\GitHub\eaglep3\Utilities\RefineRTDCRunTimes.py" --tripid 242-10 --locoid 4011 --swversion DE.1.0.9.0 --startMP 204:232957 --initTime 2017-12-11T00:36:27 --startdatetime 2017-12-11T00:57:19 --delay 68 --endMP 204:265 --enddatetime 2017-12-11T01:33:52 --enforcementcount 0 &gt;&gt;%USERPROFILE%\Documents\GitHub\eaglep3-reporting\EC\2017-12-10-refined-times.txt</v>
      </c>
      <c r="AI156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{"issue":{"subject":"","project_id":79,"tracker_id":40,"status_id":1,"priority_id":2,"assigned_to_id":338,"start_date":"2017-12-11","description":"","custom_fields":[{"id":1,"name":"Subdivision","value":"EC"},{"id":4,"name":"Milepost","value":"0.0265"},{"id":17,"name":"Train ID","value":"242-10"},{"id":16,"name":"Locomotive ID","value":"4011"},{"id":130,"name":"Impact","value":""},{"id":150,"name":"Time of Event (Mountain Time)","value":"01:33:52"},{"id":151,"name":"Denver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82"/>
        <v>start /low /b %USERPROFILE%\Documents\GitHub\eaglep3\Utilities\DownloadLogsFromS3.py --loco 4011 --day 2017-12-11</v>
      </c>
      <c r="AN156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84"/>
        <v>https://d0f6bd738d7f1b3e5a7ca70fe4ff75f0.us-east-1.aws.found.io/app/kibana#/discover/Steve-Slow-Train-Analysis-(2080s-and-2083s)?_g=(refreshInterval:(display:Off,pause:!f,section:0,value:0),time:(from:'2017-12-10T23:36:27-0700',mode:absolute,to:'2017-12-11T02:33:52-0700'))&amp;_a=(columns:!('Message%20ID',Summary),filters:!(),index:'emp_*',interval:auto,query:(query_string:(analyze_wildcard:!t,query:'%22rtdc.l.rtdc.4011%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29" t="s">
        <v>934</v>
      </c>
      <c r="B157" s="225">
        <v>4058</v>
      </c>
      <c r="C157" s="227" t="s">
        <v>192</v>
      </c>
      <c r="D157" s="227" t="s">
        <v>723</v>
      </c>
      <c r="E157" s="226">
        <v>43080.010740740741</v>
      </c>
      <c r="F157" s="226">
        <v>43080.021006944444</v>
      </c>
      <c r="G157" s="225">
        <v>54</v>
      </c>
      <c r="H157" s="227" t="s">
        <v>554</v>
      </c>
      <c r="I157" s="226">
        <v>43080.044791666667</v>
      </c>
      <c r="J157" s="225">
        <v>0</v>
      </c>
      <c r="K157" s="237" t="str">
        <f t="shared" si="70"/>
        <v>4057/4058</v>
      </c>
      <c r="L157" s="245" t="str">
        <f>VLOOKUP(A157,'Trips&amp;Operators'!$C$1:$G$99911,5,FALSE)</f>
        <v>RESPASS AARON</v>
      </c>
      <c r="M157" s="224">
        <f t="shared" si="71"/>
        <v>2.3784722223354038E-2</v>
      </c>
      <c r="N157" s="225">
        <f t="shared" si="79"/>
        <v>34.250000001629815</v>
      </c>
      <c r="O157" s="225"/>
      <c r="P157" s="225"/>
      <c r="Q157" s="228"/>
      <c r="R157" s="242"/>
      <c r="S157" s="249">
        <f t="shared" si="93"/>
        <v>1</v>
      </c>
      <c r="T157" s="242" t="str">
        <f t="shared" si="72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73"/>
        <v>https://d0f6bd738d7f1b3e5a7ca70fe4ff75f0.us-east-1.aws.found.io/app/kibana#/discover/Steve-Slow-Train-Analysis-(2080s-and-2083s)?_g=(refreshInterval:(display:Off,pause:!f,section:0,value:0),time:(from:'2017-12-10T23:15:28-0700',mode:absolute,to:'2017-12-11T02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7" s="247" t="str">
        <f>IF(AA157&lt;VLOOKUP(AG157,Variables!$AC$3:$AD$8,2,FALSE),"Y","N")</f>
        <v>N</v>
      </c>
      <c r="X157" s="247">
        <f t="shared" ref="X157:X161" si="94">VALUE(LEFT(AD157,4))-VALUE(LEFT(AD156,4))</f>
        <v>1</v>
      </c>
      <c r="Y157" s="247">
        <f t="shared" si="91"/>
        <v>5.7700000000000001E-2</v>
      </c>
      <c r="Z157" s="247">
        <f t="shared" si="92"/>
        <v>23.3247</v>
      </c>
      <c r="AA157" s="247">
        <f t="shared" si="74"/>
        <v>23.266999999999999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75"/>
        <v>243</v>
      </c>
      <c r="AE157" s="235" t="str">
        <f t="shared" si="76"/>
        <v>aws s3 cp s3://rtdc.mdm.uploadarchive.raw/RTDC4058/ "%USERPROFILE%\AppData\Local\Temp\OnboardLogs"\RTDC4058\2017-12-11 --exclude "*" --recursive --include "*20171211*" &amp; "%USERPROFILE%\Documents\GitHub\mrs-test-scripts\Headless Mode &amp; Sideloading\WalkAndUnGZ.bat" "%USERPROFILE%\AppData\Local\Temp\OnboardLogs"\RTDC4058\2017-12-11 &amp; 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</v>
      </c>
      <c r="AF157" s="234" t="str">
        <f t="shared" si="77"/>
        <v>"C:\Program Files (x86)\AstroGrep\AstroGrep.exe" /e /r /s /spath="%USERPROFILE%\AppData\Local\Temp\OnboardLogs" /stypes="app*4058*20171211*" /stext=" 08:.+((SYSTEM_STATE.+slice.+state.+changed )|(ment ac)|(multiple cpu faults)|(system.+state.+changed )|(\[timeout)|(PRM\|1\|D)|(kpr)|(kdp)|(train st.+moving)|(\|lc)|(penalty))"</v>
      </c>
      <c r="AG157" s="244" t="str">
        <f t="shared" si="78"/>
        <v>EC</v>
      </c>
      <c r="AH157" s="236" t="str">
        <f t="shared" si="80"/>
        <v>"%USERPROFILE%\Documents\GitHub\eaglep3\Utilities\RefineRTDCRunTimes.py" --tripid 243-10 --locoid 4058 --swversion DE.1.0.9.0 --startMP 204:577 --initTime 2017-12-11T00:15:28 --startdatetime 2017-12-11T00:30:15 --delay 54 --endMP 204:233247 --enddatetime 2017-12-11T01:04:30 --enforcementcount 0 &gt;&gt;%USERPROFILE%\Documents\GitHub\eaglep3-reporting\EC\2017-12-10-refined-times.txt</v>
      </c>
      <c r="AI157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{"issue":{"subject":"","project_id":79,"tracker_id":40,"status_id":1,"priority_id":2,"assigned_to_id":338,"start_date":"2017-12-11","description":"","custom_fields":[{"id":1,"name":"Subdivision","value":"EC"},{"id":4,"name":"Milepost","value":"23.3247"},{"id":17,"name":"Train ID","value":"243-10"},{"id":16,"name":"Locomotive ID","value":"4058"},{"id":130,"name":"Impact","value":""},{"id":150,"name":"Time of Event (Mountain Time)","value":"01:04:30"},{"id":151,"name":"Denver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82"/>
        <v>start /low /b %USERPROFILE%\Documents\GitHub\eaglep3\Utilities\DownloadLogsFromS3.py --loco 4058 --day 2017-12-11</v>
      </c>
      <c r="AN157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84"/>
        <v>https://d0f6bd738d7f1b3e5a7ca70fe4ff75f0.us-east-1.aws.found.io/app/kibana#/discover/Steve-Slow-Train-Analysis-(2080s-and-2083s)?_g=(refreshInterval:(display:Off,pause:!f,section:0,value:0),time:(from:'2017-12-10T23:15:28-0700',mode:absolute,to:'2017-12-11T02:04:30-0700'))&amp;_a=(columns:!('Message%20ID',Summary),filters:!(),index:'emp_*',interval:auto,query:(query_string:(analyze_wildcard:!t,query:'%22rtdc.l.rtdc.4058%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756</v>
      </c>
      <c r="B158" s="225">
        <v>4057</v>
      </c>
      <c r="C158" s="227" t="s">
        <v>192</v>
      </c>
      <c r="D158" s="227" t="s">
        <v>723</v>
      </c>
      <c r="E158" s="226">
        <v>43080.010740740741</v>
      </c>
      <c r="F158" s="226">
        <v>43080.060567129629</v>
      </c>
      <c r="G158" s="225">
        <v>54</v>
      </c>
      <c r="H158" s="227" t="s">
        <v>554</v>
      </c>
      <c r="I158" s="226">
        <v>43080.086631944447</v>
      </c>
      <c r="J158" s="225">
        <v>0</v>
      </c>
      <c r="K158" s="237" t="str">
        <f t="shared" si="70"/>
        <v>4057/4058</v>
      </c>
      <c r="L158" s="245" t="str">
        <f>VLOOKUP(A158,'Trips&amp;Operators'!$C$1:$G$99911,5,FALSE)</f>
        <v>RESPASS AARON</v>
      </c>
      <c r="M158" s="224">
        <f t="shared" si="71"/>
        <v>2.6064814817800652E-2</v>
      </c>
      <c r="N158" s="225">
        <f t="shared" si="79"/>
        <v>37.533333337632939</v>
      </c>
      <c r="O158" s="225"/>
      <c r="P158" s="225"/>
      <c r="Q158" s="228"/>
      <c r="R158" s="242"/>
      <c r="S158" s="249">
        <f t="shared" si="93"/>
        <v>1</v>
      </c>
      <c r="T158" s="242" t="str">
        <f t="shared" si="72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73"/>
        <v>https://d0f6bd738d7f1b3e5a7ca70fe4ff75f0.us-east-1.aws.found.io/app/kibana#/discover/Steve-Slow-Train-Analysis-(2080s-and-2083s)?_g=(refreshInterval:(display:Off,pause:!f,section:0,value:0),time:(from:'2017-12-10T23:15:28-0700',mode:absolute,to:'2017-12-11T03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8" s="247" t="str">
        <f>IF(AA158&lt;VLOOKUP(AG158,Variables!$AC$3:$AD$8,2,FALSE),"Y","N")</f>
        <v>N</v>
      </c>
      <c r="X158" s="247">
        <f t="shared" si="94"/>
        <v>1</v>
      </c>
      <c r="Y158" s="247">
        <v>23.273499999999999</v>
      </c>
      <c r="Z158" s="247">
        <v>0.16239999999999999</v>
      </c>
      <c r="AA158" s="247">
        <f t="shared" si="74"/>
        <v>23.111099999999997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75"/>
        <v>244</v>
      </c>
      <c r="AE158" s="235" t="str">
        <f t="shared" si="76"/>
        <v>aws s3 cp s3://rtdc.mdm.uploadarchive.raw/RTDC4057/ "%USERPROFILE%\AppData\Local\Temp\OnboardLogs"\RTDC4057\2017-12-11 --exclude "*" --recursive --include "*20171211*" &amp; "%USERPROFILE%\Documents\GitHub\mrs-test-scripts\Headless Mode &amp; Sideloading\WalkAndUnGZ.bat" "%USERPROFILE%\AppData\Local\Temp\OnboardLogs"\RTDC4057\2017-12-11 &amp; 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</v>
      </c>
      <c r="AF158" s="234" t="str">
        <f t="shared" si="77"/>
        <v>"C:\Program Files (x86)\AstroGrep\AstroGrep.exe" /e /r /s /spath="%USERPROFILE%\AppData\Local\Temp\OnboardLogs" /stypes="app*4057*20171211*" /stext=" 09:.+((SYSTEM_STATE.+slice.+state.+changed )|(ment ac)|(multiple cpu faults)|(system.+state.+changed )|(\[timeout)|(PRM\|1\|D)|(kpr)|(kdp)|(train st.+moving)|(\|lc)|(penalty))"</v>
      </c>
      <c r="AG158" s="244" t="str">
        <f t="shared" si="78"/>
        <v>EC</v>
      </c>
      <c r="AH158" s="236" t="str">
        <f t="shared" ref="AH158" si="95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244-10 --locoid 4057 --swversion DE.1.0.9.0 --startMP 204:577 --initTime 2017-12-11T00:15:28 --startdatetime 2017-12-11T01:27:13 --delay 54 --endMP 204:233247 --enddatetime 2017-12-11T02:04:45 --enforcementcount 0 &gt;&gt;%USERPROFILE%\Documents\GitHub\eaglep3-reporting\EC\2017-12-10-refined-times.txt</v>
      </c>
      <c r="AI158" s="238" t="str">
        <f t="shared" ref="AI158" si="96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{"issue":{"subject":"","project_id":79,"tracker_id":40,"status_id":1,"priority_id":2,"assigned_to_id":338,"start_date":"2017-12-11","description":"","custom_fields":[{"id":1,"name":"Subdivision","value":"EC"},{"id":4,"name":"Milepost","value":"0.1624"},{"id":17,"name":"Train ID","value":"244-10"},{"id":16,"name":"Locomotive ID","value":"4057"},{"id":130,"name":"Impact","value":""},{"id":150,"name":"Time of Event (Mountain Time)","value":"02:04:45"},{"id":151,"name":"Denver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97">"start /low /b "&amp;dls3logs&amp;" --loco "&amp;B158&amp;" --day "&amp;TEXT(F158,"YYYY-MM-DD")</f>
        <v>start /low /b %USERPROFILE%\Documents\GitHub\eaglep3\Utilities\DownloadLogsFromS3.py --loco 4057 --day 2017-12-11</v>
      </c>
      <c r="AN158" s="241" t="str">
        <f t="shared" ref="AN158" si="98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09:04:45"},{"id":29,"name":"Sharepoint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99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-10T23:15:28-0700',mode:absolute,to:'2017-12-11T03:04:45-0700'))&amp;_a=(columns:!('Message%20ID',Summary),filters:!(),index:'emp_*',interval:auto,query:(query_string:(analyze_wildcard:!t,query:'%22rtdc.l.rtdc.4057%22')),sort:!(Time.ISO8601,asc))</v>
      </c>
    </row>
    <row r="159" spans="1:91" s="223" customFormat="1" x14ac:dyDescent="0.3">
      <c r="A159" s="229" t="s">
        <v>898</v>
      </c>
      <c r="B159" s="225">
        <v>4032</v>
      </c>
      <c r="C159" s="227" t="s">
        <v>192</v>
      </c>
      <c r="D159" s="227" t="s">
        <v>555</v>
      </c>
      <c r="E159" s="226">
        <v>43079.779374999998</v>
      </c>
      <c r="F159" s="226">
        <v>43079.781435185185</v>
      </c>
      <c r="G159" s="225">
        <v>94</v>
      </c>
      <c r="H159" s="227" t="s">
        <v>1032</v>
      </c>
      <c r="I159" s="226">
        <v>43079.806759259256</v>
      </c>
      <c r="J159" s="225">
        <v>0</v>
      </c>
      <c r="K159" s="237" t="str">
        <f t="shared" si="70"/>
        <v>4031/4032</v>
      </c>
      <c r="L159" s="245" t="str">
        <f>VLOOKUP(A159,'Trips&amp;Operators'!$C$1:$G$99911,5,FALSE)</f>
        <v>GONZALEZ ARMANDO</v>
      </c>
      <c r="M159" s="224">
        <f t="shared" si="71"/>
        <v>2.5324074071249925E-2</v>
      </c>
      <c r="N159" s="225">
        <f t="shared" si="79"/>
        <v>36.466666662599891</v>
      </c>
      <c r="O159" s="225"/>
      <c r="P159" s="225"/>
      <c r="Q159" s="228"/>
      <c r="R159" s="242"/>
      <c r="S159" s="249">
        <f t="shared" si="93"/>
        <v>1</v>
      </c>
      <c r="T159" s="242" t="str">
        <f t="shared" si="72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 t="shared" si="73"/>
        <v>https://d0f6bd738d7f1b3e5a7ca70fe4ff75f0.us-east-1.aws.found.io/app/kibana#/discover/Steve-Slow-Train-Analysis-(2080s-and-2083s)?_g=(refreshInterval:(display:Off,pause:!f,section:0,value:0),time:(from:'2017-12-10T17:42:18-0700',mode:absolute,to:'2017-12-10T20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247" t="str">
        <f>IF(AA159&lt;VLOOKUP(AG159,Variables!$AC$3:$AD$8,2,FALSE),"Y","N")</f>
        <v>N</v>
      </c>
      <c r="X159" s="247">
        <f t="shared" si="94"/>
        <v>51</v>
      </c>
      <c r="Y159" s="247">
        <f t="shared" ref="Y159:Y195" si="100">RIGHT(D159,LEN(D159)-4)/10000</f>
        <v>5.57E-2</v>
      </c>
      <c r="Z159" s="247">
        <f t="shared" ref="Z159:Z195" si="101">RIGHT(H159,LEN(H159)-4)/10000</f>
        <v>23.331099999999999</v>
      </c>
      <c r="AA159" s="247">
        <f t="shared" si="74"/>
        <v>23.275399999999998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75"/>
        <v>295</v>
      </c>
      <c r="AE159" s="235" t="str">
        <f t="shared" si="76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159" s="234" t="str">
        <f t="shared" si="77"/>
        <v>"C:\Program Files (x86)\AstroGrep\AstroGrep.exe" /e /r /s /spath="%USERPROFILE%\AppData\Local\Temp\OnboardLogs" /stypes="app*4032*20171211*" /stext=" 02:.+((SYSTEM_STATE.+slice.+state.+changed )|(ment ac)|(multiple cpu faults)|(system.+state.+changed )|(\[timeout)|(PRM\|1\|D)|(kpr)|(kdp)|(train st.+moving)|(\|lc)|(penalty))"</v>
      </c>
      <c r="AG159" s="244" t="str">
        <f t="shared" si="78"/>
        <v>EC</v>
      </c>
      <c r="AH159" s="236" t="str">
        <f t="shared" si="80"/>
        <v>"%USERPROFILE%\Documents\GitHub\eaglep3\Utilities\RefineRTDCRunTimes.py" --tripid 295-10 --locoid 4032 --swversion DE.1.0.9.0 --startMP 204:557 --initTime 2017-12-10T18:42:18 --startdatetime 2017-12-10T18:45:16 --delay 94 --endMP 204:233311 --enddatetime 2017-12-10T19:21:44 --enforcementcount 0 &gt;&gt;%USERPROFILE%\Documents\GitHub\eaglep3-reporting\EC\2017-12-10-refined-times.txt</v>
      </c>
      <c r="AI159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{"issue":{"subject":"","project_id":79,"tracker_id":40,"status_id":1,"priority_id":2,"assigned_to_id":338,"start_date":"2017-12-10","description":"","custom_fields":[{"id":1,"name":"Subdivision","value":"EC"},{"id":4,"name":"Milepost","value":"23.3311"},{"id":17,"name":"Train ID","value":"295-10"},{"id":16,"name":"Locomotive ID","value":"4032"},{"id":130,"name":"Impact","value":""},{"id":150,"name":"Time of Event (Mountain Time)","value":"19:21:44"},{"id":151,"name":"Denver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82"/>
        <v>start /low /b %USERPROFILE%\Documents\GitHub\eaglep3\Utilities\DownloadLogsFromS3.py --loco 4032 --day 2017-12-10</v>
      </c>
      <c r="AN159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84"/>
        <v>https://d0f6bd738d7f1b3e5a7ca70fe4ff75f0.us-east-1.aws.found.io/app/kibana#/discover/Steve-Slow-Train-Analysis-(2080s-and-2083s)?_g=(refreshInterval:(display:Off,pause:!f,section:0,value:0),time:(from:'2017-12-10T17:42:18-0700',mode:absolute,to:'2017-12-10T20:21:44-0700'))&amp;_a=(columns:!('Message%20ID',Summary),filters:!(),index:'emp_*',interval:auto,query:(query_string:(analyze_wildcard:!t,query:'%22rtdc.l.rtdc.4032%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905</v>
      </c>
      <c r="B160" s="225">
        <v>4031</v>
      </c>
      <c r="C160" s="227" t="s">
        <v>192</v>
      </c>
      <c r="D160" s="227" t="s">
        <v>724</v>
      </c>
      <c r="E160" s="226">
        <v>43079.816250000003</v>
      </c>
      <c r="F160" s="226">
        <v>43079.821006944447</v>
      </c>
      <c r="G160" s="225">
        <v>73</v>
      </c>
      <c r="H160" s="227" t="s">
        <v>1033</v>
      </c>
      <c r="I160" s="226">
        <v>43079.84615740741</v>
      </c>
      <c r="J160" s="225">
        <v>0</v>
      </c>
      <c r="K160" s="237" t="str">
        <f t="shared" si="70"/>
        <v>4031/4032</v>
      </c>
      <c r="L160" s="245" t="str">
        <f>VLOOKUP(A160,'Trips&amp;Operators'!$C$1:$G$99911,5,FALSE)</f>
        <v>GONZALEZ ARMANDO</v>
      </c>
      <c r="M160" s="224">
        <f t="shared" si="71"/>
        <v>2.5150462963210884E-2</v>
      </c>
      <c r="N160" s="225">
        <f t="shared" si="79"/>
        <v>36.216666667023674</v>
      </c>
      <c r="O160" s="225"/>
      <c r="P160" s="225"/>
      <c r="Q160" s="228"/>
      <c r="R160" s="242"/>
      <c r="S160" s="249">
        <f t="shared" si="93"/>
        <v>1</v>
      </c>
      <c r="T160" s="242" t="str">
        <f t="shared" si="72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8" t="str">
        <f t="shared" si="73"/>
        <v>https://d0f6bd738d7f1b3e5a7ca70fe4ff75f0.us-east-1.aws.found.io/app/kibana#/discover/Steve-Slow-Train-Analysis-(2080s-and-2083s)?_g=(refreshInterval:(display:Off,pause:!f,section:0,value:0),time:(from:'2017-12-10T18:35:24-0700',mode:absolute,to:'2017-12-10T21:18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47" t="str">
        <f>IF(AA160&lt;VLOOKUP(AG160,Variables!$AC$3:$AD$8,2,FALSE),"Y","N")</f>
        <v>N</v>
      </c>
      <c r="X160" s="247">
        <f t="shared" si="94"/>
        <v>1</v>
      </c>
      <c r="Y160" s="247">
        <f t="shared" si="100"/>
        <v>23.297499999999999</v>
      </c>
      <c r="Z160" s="247">
        <f t="shared" si="101"/>
        <v>9.9099999999999994E-2</v>
      </c>
      <c r="AA160" s="247">
        <f t="shared" si="74"/>
        <v>23.198399999999999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75"/>
        <v>296</v>
      </c>
      <c r="AE160" s="235" t="str">
        <f t="shared" si="76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160" s="234" t="str">
        <f t="shared" si="77"/>
        <v>"C:\Program Files (x86)\AstroGrep\AstroGrep.exe" /e /r /s /spath="%USERPROFILE%\AppData\Local\Temp\OnboardLogs" /stypes="app*4031*20171211*" /stext=" 03:.+((SYSTEM_STATE.+slice.+state.+changed )|(ment ac)|(multiple cpu faults)|(system.+state.+changed )|(\[timeout)|(PRM\|1\|D)|(kpr)|(kdp)|(train st.+moving)|(\|lc)|(penalty))"</v>
      </c>
      <c r="AG160" s="244" t="str">
        <f t="shared" si="78"/>
        <v>EC</v>
      </c>
      <c r="AH160" s="236" t="str">
        <f t="shared" si="80"/>
        <v>"%USERPROFILE%\Documents\GitHub\eaglep3\Utilities\RefineRTDCRunTimes.py" --tripid 296-10 --locoid 4031 --swversion DE.1.0.9.0 --startMP 204:232975 --initTime 2017-12-10T19:35:24 --startdatetime 2017-12-10T19:42:15 --delay 73 --endMP 204:991 --enddatetime 2017-12-10T20:18:28 --enforcementcount 0 &gt;&gt;%USERPROFILE%\Documents\GitHub\eaglep3-reporting\EC\2017-12-10-refined-times.txt</v>
      </c>
      <c r="AI160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{"issue":{"subject":"","project_id":79,"tracker_id":40,"status_id":1,"priority_id":2,"assigned_to_id":338,"start_date":"2017-12-10","description":"","custom_fields":[{"id":1,"name":"Subdivision","value":"EC"},{"id":4,"name":"Milepost","value":"0.0991"},{"id":17,"name":"Train ID","value":"296-10"},{"id":16,"name":"Locomotive ID","value":"4031"},{"id":130,"name":"Impact","value":""},{"id":150,"name":"Time of Event (Mountain Time)","value":"20:18:28"},{"id":151,"name":"Denver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82"/>
        <v>start /low /b %USERPROFILE%\Documents\GitHub\eaglep3\Utilities\DownloadLogsFromS3.py --loco 4031 --day 2017-12-10</v>
      </c>
      <c r="AN160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03:18:28"},{"id":29,"name":"Sharepoint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84"/>
        <v>https://d0f6bd738d7f1b3e5a7ca70fe4ff75f0.us-east-1.aws.found.io/app/kibana#/discover/Steve-Slow-Train-Analysis-(2080s-and-2083s)?_g=(refreshInterval:(display:Off,pause:!f,section:0,value:0),time:(from:'2017-12-10T18:35:24-0700',mode:absolute,to:'2017-12-10T21:18:28-0700'))&amp;_a=(columns:!('Message%20ID',Summary),filters:!(),index:'emp_*',interval:auto,query:(query_string:(analyze_wildcard:!t,query:'%22rtdc.l.rtdc.4031%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229" t="s">
        <v>901</v>
      </c>
      <c r="B161" s="225">
        <v>4066</v>
      </c>
      <c r="C161" s="227" t="s">
        <v>192</v>
      </c>
      <c r="D161" s="227" t="s">
        <v>680</v>
      </c>
      <c r="E161" s="226">
        <v>43079.796678240738</v>
      </c>
      <c r="F161" s="226">
        <v>43079.802268518521</v>
      </c>
      <c r="G161" s="225">
        <v>68</v>
      </c>
      <c r="H161" s="227" t="s">
        <v>1034</v>
      </c>
      <c r="I161" s="226">
        <v>43079.827488425923</v>
      </c>
      <c r="J161" s="225">
        <v>0</v>
      </c>
      <c r="K161" s="237" t="str">
        <f t="shared" si="70"/>
        <v>4065/4066</v>
      </c>
      <c r="L161" s="245" t="str">
        <f>VLOOKUP(A161,'Trips&amp;Operators'!$C$1:$G$99911,5,FALSE)</f>
        <v>MAGEE KENYA</v>
      </c>
      <c r="M161" s="224">
        <f t="shared" si="71"/>
        <v>2.5219907402060926E-2</v>
      </c>
      <c r="N161" s="225">
        <f t="shared" si="79"/>
        <v>36.316666658967733</v>
      </c>
      <c r="O161" s="225"/>
      <c r="P161" s="225"/>
      <c r="Q161" s="228"/>
      <c r="R161" s="242"/>
      <c r="S161" s="249">
        <f t="shared" si="93"/>
        <v>1</v>
      </c>
      <c r="T161" s="242" t="str">
        <f t="shared" si="72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48" t="str">
        <f t="shared" si="73"/>
        <v>https://d0f6bd738d7f1b3e5a7ca70fe4ff75f0.us-east-1.aws.found.io/app/kibana#/discover/Steve-Slow-Train-Analysis-(2080s-and-2083s)?_g=(refreshInterval:(display:Off,pause:!f,section:0,value:0),time:(from:'2017-12-10T18:07:13-0700',mode:absolute,to:'2017-12-10T20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1" s="247" t="str">
        <f>IF(AA161&lt;VLOOKUP(AG161,Variables!$AC$3:$AD$8,2,FALSE),"Y","N")</f>
        <v>N</v>
      </c>
      <c r="X161" s="247">
        <f t="shared" si="94"/>
        <v>1</v>
      </c>
      <c r="Y161" s="247">
        <f t="shared" si="100"/>
        <v>5.1700000000000003E-2</v>
      </c>
      <c r="Z161" s="247">
        <f t="shared" si="101"/>
        <v>23.335899999999999</v>
      </c>
      <c r="AA161" s="247">
        <f t="shared" si="74"/>
        <v>23.284199999999998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75"/>
        <v>297</v>
      </c>
      <c r="AE161" s="235" t="str">
        <f t="shared" si="76"/>
        <v>aws s3 cp s3://rtdc.mdm.uploadarchive.raw/RTDC4066/ "%USERPROFILE%\AppData\Local\Temp\OnboardLogs"\RTDC4066\2017-12-10 --exclude "*" --recursive --include "*20171210*" &amp; "%USERPROFILE%\Documents\GitHub\mrs-test-scripts\Headless Mode &amp; Sideloading\WalkAndUnGZ.bat" "%USERPROFILE%\AppData\Local\Temp\OnboardLogs"\RTDC4066\2017-12-10 &amp; aws s3 cp s3://rtdc.mdm.uploadarchive.raw/RTDC4066/ "%USERPROFILE%\AppData\Local\Temp\OnboardLogs"\RTDC4066\2017-12-11 --exclude "*" --recursive --include "*20171211*" &amp; "%USERPROFILE%\Documents\GitHub\mrs-test-scripts\Headless Mode &amp; Sideloading\WalkAndUnGZ.bat" "%USERPROFILE%\AppData\Local\Temp\OnboardLogs"\RTDC4066\2017-12-11</v>
      </c>
      <c r="AF161" s="234" t="str">
        <f t="shared" si="77"/>
        <v>"C:\Program Files (x86)\AstroGrep\AstroGrep.exe" /e /r /s /spath="%USERPROFILE%\AppData\Local\Temp\OnboardLogs" /stypes="app*4066*20171211*" /stext=" 02:.+((SYSTEM_STATE.+slice.+state.+changed )|(ment ac)|(multiple cpu faults)|(system.+state.+changed )|(\[timeout)|(PRM\|1\|D)|(kpr)|(kdp)|(train st.+moving)|(\|lc)|(penalty))"</v>
      </c>
      <c r="AG161" s="244" t="str">
        <f t="shared" si="78"/>
        <v>EC</v>
      </c>
      <c r="AH161" s="236" t="str">
        <f t="shared" si="80"/>
        <v>"%USERPROFILE%\Documents\GitHub\eaglep3\Utilities\RefineRTDCRunTimes.py" --tripid 297-10 --locoid 4066 --swversion DE.1.0.9.0 --startMP 204:517 --initTime 2017-12-10T19:07:13 --startdatetime 2017-12-10T19:15:16 --delay 68 --endMP 204:233359 --enddatetime 2017-12-10T19:51:35 --enforcementcount 0 &gt;&gt;%USERPROFILE%\Documents\GitHub\eaglep3-reporting\EC\2017-12-10-refined-times.txt</v>
      </c>
      <c r="AI161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{"issue":{"subject":"","project_id":79,"tracker_id":40,"status_id":1,"priority_id":2,"assigned_to_id":338,"start_date":"2017-12-10","description":"","custom_fields":[{"id":1,"name":"Subdivision","value":"EC"},{"id":4,"name":"Milepost","value":"23.3359"},{"id":17,"name":"Train ID","value":"297-10"},{"id":16,"name":"Locomotive ID","value":"4066"},{"id":130,"name":"Impact","value":""},{"id":150,"name":"Time of Event (Mountain Time)","value":"19:51:35"},{"id":151,"name":"Denver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82"/>
        <v>start /low /b %USERPROFILE%\Documents\GitHub\eaglep3\Utilities\DownloadLogsFromS3.py --loco 4066 --day 2017-12-10</v>
      </c>
      <c r="AN161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84"/>
        <v>https://d0f6bd738d7f1b3e5a7ca70fe4ff75f0.us-east-1.aws.found.io/app/kibana#/discover/Steve-Slow-Train-Analysis-(2080s-and-2083s)?_g=(refreshInterval:(display:Off,pause:!f,section:0,value:0),time:(from:'2017-12-10T18:07:13-0700',mode:absolute,to:'2017-12-10T20:51:35-0700'))&amp;_a=(columns:!('Message%20ID',Summary),filters:!(),index:'emp_*',interval:auto,query:(query_string:(analyze_wildcard:!t,query:'%22rtdc.l.rtdc.4066%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910</v>
      </c>
      <c r="B162" s="225">
        <v>4065</v>
      </c>
      <c r="C162" s="227" t="s">
        <v>192</v>
      </c>
      <c r="D162" s="227" t="s">
        <v>1035</v>
      </c>
      <c r="E162" s="226">
        <v>43079.838761574072</v>
      </c>
      <c r="F162" s="226">
        <v>43079.841863425929</v>
      </c>
      <c r="G162" s="225">
        <v>70</v>
      </c>
      <c r="H162" s="227" t="s">
        <v>625</v>
      </c>
      <c r="I162" s="226">
        <v>43079.867430555554</v>
      </c>
      <c r="J162" s="225">
        <v>0</v>
      </c>
      <c r="K162" s="237" t="str">
        <f t="shared" si="70"/>
        <v>4065/4066</v>
      </c>
      <c r="L162" s="245" t="str">
        <f>VLOOKUP(A162,'Trips&amp;Operators'!$C$1:$G$99911,5,FALSE)</f>
        <v>MAGEE KENYA</v>
      </c>
      <c r="M162" s="224">
        <f t="shared" si="71"/>
        <v>2.5567129625414964E-2</v>
      </c>
      <c r="N162" s="225">
        <f t="shared" si="79"/>
        <v>36.816666660597548</v>
      </c>
      <c r="O162" s="225"/>
      <c r="P162" s="225"/>
      <c r="Q162" s="228"/>
      <c r="R162" s="242"/>
      <c r="S162" s="249">
        <f t="shared" si="93"/>
        <v>1</v>
      </c>
      <c r="T162" s="242" t="str">
        <f t="shared" si="72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48" t="str">
        <f t="shared" si="73"/>
        <v>https://d0f6bd738d7f1b3e5a7ca70fe4ff75f0.us-east-1.aws.found.io/app/kibana#/discover/Steve-Slow-Train-Analysis-(2080s-and-2083s)?_g=(refreshInterval:(display:Off,pause:!f,section:0,value:0),time:(from:'2017-12-10T19:07:49-0700',mode:absolute,to:'2017-12-10T21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2" s="247" t="str">
        <f>IF(AA162&lt;VLOOKUP(AG162,Variables!$AC$3:$AD$8,2,FALSE),"Y","N")</f>
        <v>N</v>
      </c>
      <c r="X162" s="247">
        <f t="shared" ref="X162:X194" si="102">VALUE(LEFT(AD162,4))-VALUE(LEFT(AD161,4))</f>
        <v>1</v>
      </c>
      <c r="Y162" s="247">
        <f t="shared" si="100"/>
        <v>23.3049</v>
      </c>
      <c r="Z162" s="247">
        <f t="shared" si="101"/>
        <v>2.1999999999999999E-2</v>
      </c>
      <c r="AA162" s="247">
        <f t="shared" si="74"/>
        <v>23.282900000000001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75"/>
        <v>298</v>
      </c>
      <c r="AE162" s="235" t="str">
        <f t="shared" si="76"/>
        <v>aws s3 cp s3://rtdc.mdm.uploadarchive.raw/RTDC4065/ "%USERPROFILE%\AppData\Local\Temp\OnboardLogs"\RTDC4065\2017-12-10 --exclude "*" --recursive --include "*20171210*" &amp; "%USERPROFILE%\Documents\GitHub\mrs-test-scripts\Headless Mode &amp; Sideloading\WalkAndUnGZ.bat" "%USERPROFILE%\AppData\Local\Temp\OnboardLogs"\RTDC4065\2017-12-10 &amp; aws s3 cp s3://rtdc.mdm.uploadarchive.raw/RTDC4065/ "%USERPROFILE%\AppData\Local\Temp\OnboardLogs"\RTDC4065\2017-12-11 --exclude "*" --recursive --include "*20171211*" &amp; "%USERPROFILE%\Documents\GitHub\mrs-test-scripts\Headless Mode &amp; Sideloading\WalkAndUnGZ.bat" "%USERPROFILE%\AppData\Local\Temp\OnboardLogs"\RTDC4065\2017-12-11</v>
      </c>
      <c r="AF162" s="234" t="str">
        <f t="shared" si="77"/>
        <v>"C:\Program Files (x86)\AstroGrep\AstroGrep.exe" /e /r /s /spath="%USERPROFILE%\AppData\Local\Temp\OnboardLogs" /stypes="app*4065*20171211*" /stext=" 03:.+((SYSTEM_STATE.+slice.+state.+changed )|(ment ac)|(multiple cpu faults)|(system.+state.+changed )|(\[timeout)|(PRM\|1\|D)|(kpr)|(kdp)|(train st.+moving)|(\|lc)|(penalty))"</v>
      </c>
      <c r="AG162" s="244" t="str">
        <f t="shared" si="78"/>
        <v>EC</v>
      </c>
      <c r="AH162" s="236" t="str">
        <f t="shared" si="80"/>
        <v>"%USERPROFILE%\Documents\GitHub\eaglep3\Utilities\RefineRTDCRunTimes.py" --tripid 298-10 --locoid 4065 --swversion DE.1.0.9.0 --startMP 204:233049 --initTime 2017-12-10T20:07:49 --startdatetime 2017-12-10T20:12:17 --delay 70 --endMP 204:220 --enddatetime 2017-12-10T20:49:06 --enforcementcount 0 &gt;&gt;%USERPROFILE%\Documents\GitHub\eaglep3-reporting\EC\2017-12-10-refined-times.txt</v>
      </c>
      <c r="AI162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{"issue":{"subject":"","project_id":79,"tracker_id":40,"status_id":1,"priority_id":2,"assigned_to_id":338,"start_date":"2017-12-10","description":"","custom_fields":[{"id":1,"name":"Subdivision","value":"EC"},{"id":4,"name":"Milepost","value":"0.022"},{"id":17,"name":"Train ID","value":"298-10"},{"id":16,"name":"Locomotive ID","value":"4065"},{"id":130,"name":"Impact","value":""},{"id":150,"name":"Time of Event (Mountain Time)","value":"20:49:06"},{"id":151,"name":"Denver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82"/>
        <v>start /low /b %USERPROFILE%\Documents\GitHub\eaglep3\Utilities\DownloadLogsFromS3.py --loco 4065 --day 2017-12-10</v>
      </c>
      <c r="AN162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84"/>
        <v>https://d0f6bd738d7f1b3e5a7ca70fe4ff75f0.us-east-1.aws.found.io/app/kibana#/discover/Steve-Slow-Train-Analysis-(2080s-and-2083s)?_g=(refreshInterval:(display:Off,pause:!f,section:0,value:0),time:(from:'2017-12-10T19:07:49-0700',mode:absolute,to:'2017-12-10T21:49:06-0700'))&amp;_a=(columns:!('Message%20ID',Summary),filters:!(),index:'emp_*',interval:auto,query:(query_string:(analyze_wildcard:!t,query:'%22rtdc.l.rtdc.4065%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777</v>
      </c>
      <c r="B163" s="225">
        <v>4041</v>
      </c>
      <c r="C163" s="227" t="s">
        <v>192</v>
      </c>
      <c r="D163" s="227" t="s">
        <v>980</v>
      </c>
      <c r="E163" s="226">
        <v>43079.234016203707</v>
      </c>
      <c r="F163" s="226">
        <v>43079.235300925924</v>
      </c>
      <c r="G163" s="225">
        <v>55</v>
      </c>
      <c r="H163" s="227" t="s">
        <v>981</v>
      </c>
      <c r="I163" s="226">
        <v>43079.248495370368</v>
      </c>
      <c r="J163" s="225">
        <v>0</v>
      </c>
      <c r="K163" s="237" t="str">
        <f t="shared" si="70"/>
        <v>4041/4042</v>
      </c>
      <c r="L163" s="245" t="str">
        <f>VLOOKUP(A163,'Trips&amp;Operators'!$C$1:$G$99911,5,FALSE)</f>
        <v>MACDONALD THOMAS</v>
      </c>
      <c r="M163" s="224">
        <f t="shared" si="71"/>
        <v>1.3194444443797693E-2</v>
      </c>
      <c r="N163" s="225">
        <f t="shared" si="79"/>
        <v>18.999999999068677</v>
      </c>
      <c r="O163" s="225"/>
      <c r="P163" s="225"/>
      <c r="Q163" s="228"/>
      <c r="R163" s="242"/>
      <c r="S163" s="249">
        <f t="shared" si="93"/>
        <v>1</v>
      </c>
      <c r="T163" s="242" t="str">
        <f t="shared" si="72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73"/>
        <v>https://d0f6bd738d7f1b3e5a7ca70fe4ff75f0.us-east-1.aws.found.io/app/kibana#/discover/Steve-Slow-Train-Analysis-(2080s-and-2083s)?_g=(refreshInterval:(display:Off,pause:!f,section:0,value:0),time:(from:'2017-12-10T04:36:59-0700',mode:absolute,to:'2017-12-10T06:57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3" s="247" t="str">
        <f>IF(AA163&lt;VLOOKUP(AG163,Variables!$AC$3:$AD$8,2,FALSE),"Y","N")</f>
        <v>N</v>
      </c>
      <c r="X163" s="247">
        <f t="shared" si="102"/>
        <v>1502</v>
      </c>
      <c r="Y163" s="247">
        <f t="shared" si="100"/>
        <v>5.8597999999999999</v>
      </c>
      <c r="Z163" s="247">
        <f t="shared" si="101"/>
        <v>1.6199999999999999E-2</v>
      </c>
      <c r="AA163" s="247">
        <f t="shared" si="74"/>
        <v>5.8435999999999995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75"/>
        <v>1800</v>
      </c>
      <c r="AE163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63" s="234" t="str">
        <f t="shared" si="77"/>
        <v>"C:\Program Files (x86)\AstroGrep\AstroGrep.exe" /e /r /s /spath="%USERPROFILE%\AppData\Local\Temp\OnboardLogs" /stypes="app*4041*20171210*" /stext=" 12:.+((SYSTEM_STATE.+slice.+state.+changed )|(ment ac)|(multiple cpu faults)|(system.+state.+changed )|(\[timeout)|(PRM\|1\|D)|(kpr)|(kdp)|(train st.+moving)|(\|lc)|(penalty))"</v>
      </c>
      <c r="AG163" s="244" t="str">
        <f t="shared" si="78"/>
        <v>NW</v>
      </c>
      <c r="AH163" s="236" t="str">
        <f t="shared" si="80"/>
        <v>"%USERPROFILE%\Documents\GitHub\eaglep3\Utilities\RefineRTDCRunTimes.py" --tripid 1800-10 --locoid 4041 --swversion DE.1.0.9.0 --startMP 300:58598 --initTime 2017-12-10T05:36:59 --startdatetime 2017-12-10T05:38:50 --delay 55 --endMP 204:162 --enddatetime 2017-12-10T05:57:50 --enforcementcount 0 &gt;&gt;%USERPROFILE%\Documents\GitHub\eaglep3-reporting\EC\2017-12-10-refined-times.txt</v>
      </c>
      <c r="AI163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{"issue":{"subject":"","project_id":79,"tracker_id":40,"status_id":1,"priority_id":2,"assigned_to_id":338,"start_date":"2017-12-10","description":"","custom_fields":[{"id":1,"name":"Subdivision","value":"NW"},{"id":4,"name":"Milepost","value":"0.0162"},{"id":17,"name":"Train ID","value":"1800-10"},{"id":16,"name":"Locomotive ID","value":"4041"},{"id":130,"name":"Impact","value":""},{"id":150,"name":"Time of Event (Mountain Time)","value":"05:57:50"},{"id":151,"name":"Denver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82"/>
        <v>start /low /b %USERPROFILE%\Documents\GitHub\eaglep3\Utilities\DownloadLogsFromS3.py --loco 4041 --day 2017-12-10</v>
      </c>
      <c r="AN163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12:57:50"},{"id":29,"name":"Sharepoint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84"/>
        <v>https://d0f6bd738d7f1b3e5a7ca70fe4ff75f0.us-east-1.aws.found.io/app/kibana#/discover/Steve-Slow-Train-Analysis-(2080s-and-2083s)?_g=(refreshInterval:(display:Off,pause:!f,section:0,value:0),time:(from:'2017-12-10T04:36:59-0700',mode:absolute,to:'2017-12-10T06:57:50-0700'))&amp;_a=(columns:!('Message%20ID',Summary),filters:!(),index:'emp_*',interval:auto,query:(query_string:(analyze_wildcard:!t,query:'%22rtdc.l.rtdc.4041%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782</v>
      </c>
      <c r="B164" s="225">
        <v>4042</v>
      </c>
      <c r="C164" s="227" t="s">
        <v>192</v>
      </c>
      <c r="D164" s="227" t="s">
        <v>644</v>
      </c>
      <c r="E164" s="226">
        <v>43079.253923611112</v>
      </c>
      <c r="F164" s="226">
        <v>43079.256481481483</v>
      </c>
      <c r="G164" s="225">
        <v>55</v>
      </c>
      <c r="H164" s="227" t="s">
        <v>982</v>
      </c>
      <c r="I164" s="226">
        <v>43079.265601851854</v>
      </c>
      <c r="J164" s="225">
        <v>0</v>
      </c>
      <c r="K164" s="237" t="str">
        <f t="shared" si="70"/>
        <v>4041/4042</v>
      </c>
      <c r="L164" s="245" t="str">
        <f>VLOOKUP(A164,'Trips&amp;Operators'!$C$1:$G$99911,5,FALSE)</f>
        <v>MACDONALD THOMAS</v>
      </c>
      <c r="M164" s="224">
        <f t="shared" si="71"/>
        <v>9.1203703705104999E-3</v>
      </c>
      <c r="N164" s="225">
        <f t="shared" si="79"/>
        <v>13.13333333353512</v>
      </c>
      <c r="O164" s="225"/>
      <c r="P164" s="225"/>
      <c r="Q164" s="228"/>
      <c r="R164" s="242"/>
      <c r="S164" s="249">
        <f t="shared" si="93"/>
        <v>1</v>
      </c>
      <c r="T164" s="242" t="str">
        <f t="shared" si="72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73"/>
        <v>https://d0f6bd738d7f1b3e5a7ca70fe4ff75f0.us-east-1.aws.found.io/app/kibana#/discover/Steve-Slow-Train-Analysis-(2080s-and-2083s)?_g=(refreshInterval:(display:Off,pause:!f,section:0,value:0),time:(from:'2017-12-10T05:05:39-0700',mode:absolute,to:'2017-12-10T07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247" t="str">
        <f>IF(AA164&lt;VLOOKUP(AG164,Variables!$AC$3:$AD$8,2,FALSE),"Y","N")</f>
        <v>N</v>
      </c>
      <c r="X164" s="247">
        <f t="shared" si="102"/>
        <v>1</v>
      </c>
      <c r="Y164" s="247">
        <f t="shared" si="100"/>
        <v>4.5999999999999999E-2</v>
      </c>
      <c r="Z164" s="247">
        <f t="shared" si="101"/>
        <v>5.8905000000000003</v>
      </c>
      <c r="AA164" s="247">
        <f t="shared" si="74"/>
        <v>5.8445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75"/>
        <v>1801</v>
      </c>
      <c r="AE164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64" s="234" t="str">
        <f t="shared" si="77"/>
        <v>"C:\Program Files (x86)\AstroGrep\AstroGrep.exe" /e /r /s /spath="%USERPROFILE%\AppData\Local\Temp\OnboardLogs" /stypes="app*4042*20171210*" /stext=" 13:.+((SYSTEM_STATE.+slice.+state.+changed )|(ment ac)|(multiple cpu faults)|(system.+state.+changed )|(\[timeout)|(PRM\|1\|D)|(kpr)|(kdp)|(train st.+moving)|(\|lc)|(penalty))"</v>
      </c>
      <c r="AG164" s="244" t="str">
        <f t="shared" si="78"/>
        <v>NW</v>
      </c>
      <c r="AH164" s="236" t="str">
        <f t="shared" si="80"/>
        <v>"%USERPROFILE%\Documents\GitHub\eaglep3\Utilities\RefineRTDCRunTimes.py" --tripid 1801-10 --locoid 4042 --swversion DE.1.0.9.0 --startMP 204:460 --initTime 2017-12-10T06:05:39 --startdatetime 2017-12-10T06:09:20 --delay 55 --endMP 300:58905 --enddatetime 2017-12-10T06:22:28 --enforcementcount 0 &gt;&gt;%USERPROFILE%\Documents\GitHub\eaglep3-reporting\EC\2017-12-10-refined-times.txt</v>
      </c>
      <c r="AI164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{"issue":{"subject":"","project_id":79,"tracker_id":40,"status_id":1,"priority_id":2,"assigned_to_id":338,"start_date":"2017-12-10","description":"","custom_fields":[{"id":1,"name":"Subdivision","value":"NW"},{"id":4,"name":"Milepost","value":"5.8905"},{"id":17,"name":"Train ID","value":"1801-10"},{"id":16,"name":"Locomotive ID","value":"4042"},{"id":130,"name":"Impact","value":""},{"id":150,"name":"Time of Event (Mountain Time)","value":"06:22:28"},{"id":151,"name":"Denver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82"/>
        <v>start /low /b %USERPROFILE%\Documents\GitHub\eaglep3\Utilities\DownloadLogsFromS3.py --loco 4042 --day 2017-12-10</v>
      </c>
      <c r="AN164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84"/>
        <v>https://d0f6bd738d7f1b3e5a7ca70fe4ff75f0.us-east-1.aws.found.io/app/kibana#/discover/Steve-Slow-Train-Analysis-(2080s-and-2083s)?_g=(refreshInterval:(display:Off,pause:!f,section:0,value:0),time:(from:'2017-12-10T05:05:39-0700',mode:absolute,to:'2017-12-10T07:22:28-0700'))&amp;_a=(columns:!('Message%20ID',Summary),filters:!(),index:'emp_*',interval:auto,query:(query_string:(analyze_wildcard:!t,query:'%22rtdc.l.rtdc.4042%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785</v>
      </c>
      <c r="B165" s="225">
        <v>4041</v>
      </c>
      <c r="C165" s="227" t="s">
        <v>192</v>
      </c>
      <c r="D165" s="227" t="s">
        <v>983</v>
      </c>
      <c r="E165" s="226">
        <v>43079.266284722224</v>
      </c>
      <c r="F165" s="226">
        <v>43079.279965277776</v>
      </c>
      <c r="G165" s="225">
        <v>48</v>
      </c>
      <c r="H165" s="227" t="s">
        <v>633</v>
      </c>
      <c r="I165" s="226">
        <v>43079.288124999999</v>
      </c>
      <c r="J165" s="225">
        <v>0</v>
      </c>
      <c r="K165" s="237" t="str">
        <f t="shared" si="70"/>
        <v>4041/4042</v>
      </c>
      <c r="L165" s="245" t="str">
        <f>VLOOKUP(A165,'Trips&amp;Operators'!$C$1:$G$99911,5,FALSE)</f>
        <v>MACDONALD THOMAS</v>
      </c>
      <c r="M165" s="224">
        <f t="shared" si="71"/>
        <v>8.1597222233540379E-3</v>
      </c>
      <c r="N165" s="225">
        <f t="shared" si="79"/>
        <v>11.750000001629815</v>
      </c>
      <c r="O165" s="225"/>
      <c r="P165" s="225"/>
      <c r="Q165" s="228"/>
      <c r="R165" s="242"/>
      <c r="S165" s="249">
        <f t="shared" si="93"/>
        <v>1</v>
      </c>
      <c r="T165" s="242" t="str">
        <f t="shared" si="72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73"/>
        <v>https://d0f6bd738d7f1b3e5a7ca70fe4ff75f0.us-east-1.aws.found.io/app/kibana#/discover/Steve-Slow-Train-Analysis-(2080s-and-2083s)?_g=(refreshInterval:(display:Off,pause:!f,section:0,value:0),time:(from:'2017-12-10T05:23:27-0700',mode:absolute,to:'2017-12-10T07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5" s="247" t="str">
        <f>IF(AA165&lt;VLOOKUP(AG165,Variables!$AC$3:$AD$8,2,FALSE),"Y","N")</f>
        <v>N</v>
      </c>
      <c r="X165" s="247">
        <f t="shared" si="102"/>
        <v>1</v>
      </c>
      <c r="Y165" s="247">
        <f t="shared" si="100"/>
        <v>5.8589000000000002</v>
      </c>
      <c r="Z165" s="247">
        <f t="shared" si="101"/>
        <v>1.6400000000000001E-2</v>
      </c>
      <c r="AA165" s="247">
        <f t="shared" si="74"/>
        <v>5.8425000000000002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75"/>
        <v>1802</v>
      </c>
      <c r="AE165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65" s="234" t="str">
        <f t="shared" si="77"/>
        <v>"C:\Program Files (x86)\AstroGrep\AstroGrep.exe" /e /r /s /spath="%USERPROFILE%\AppData\Local\Temp\OnboardLogs" /stypes="app*4041*20171210*" /stext=" 13:.+((SYSTEM_STATE.+slice.+state.+changed )|(ment ac)|(multiple cpu faults)|(system.+state.+changed )|(\[timeout)|(PRM\|1\|D)|(kpr)|(kdp)|(train st.+moving)|(\|lc)|(penalty))"</v>
      </c>
      <c r="AG165" s="244" t="str">
        <f t="shared" si="78"/>
        <v>NW</v>
      </c>
      <c r="AH165" s="236" t="str">
        <f t="shared" si="80"/>
        <v>"%USERPROFILE%\Documents\GitHub\eaglep3\Utilities\RefineRTDCRunTimes.py" --tripid 1802-10 --locoid 4041 --swversion DE.1.0.9.0 --startMP 300:58589 --initTime 2017-12-10T06:23:27 --startdatetime 2017-12-10T06:43:09 --delay 48 --endMP 204:164 --enddatetime 2017-12-10T06:54:54 --enforcementcount 0 &gt;&gt;%USERPROFILE%\Documents\GitHub\eaglep3-reporting\EC\2017-12-10-refined-times.txt</v>
      </c>
      <c r="AI165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{"issue":{"subject":"","project_id":79,"tracker_id":40,"status_id":1,"priority_id":2,"assigned_to_id":338,"start_date":"2017-12-10","description":"","custom_fields":[{"id":1,"name":"Subdivision","value":"NW"},{"id":4,"name":"Milepost","value":"0.0164"},{"id":17,"name":"Train ID","value":"1802-10"},{"id":16,"name":"Locomotive ID","value":"4041"},{"id":130,"name":"Impact","value":""},{"id":150,"name":"Time of Event (Mountain Time)","value":"06:54:54"},{"id":151,"name":"Denver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82"/>
        <v>start /low /b %USERPROFILE%\Documents\GitHub\eaglep3\Utilities\DownloadLogsFromS3.py --loco 4041 --day 2017-12-10</v>
      </c>
      <c r="AN165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84"/>
        <v>https://d0f6bd738d7f1b3e5a7ca70fe4ff75f0.us-east-1.aws.found.io/app/kibana#/discover/Steve-Slow-Train-Analysis-(2080s-and-2083s)?_g=(refreshInterval:(display:Off,pause:!f,section:0,value:0),time:(from:'2017-12-10T05:23:27-0700',mode:absolute,to:'2017-12-10T07:54:54-0700'))&amp;_a=(columns:!('Message%20ID',Summary),filters:!(),index:'emp_*',interval:auto,query:(query_string:(analyze_wildcard:!t,query:'%22rtdc.l.rtdc.4041%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29" t="s">
        <v>791</v>
      </c>
      <c r="B166" s="225">
        <v>4042</v>
      </c>
      <c r="C166" s="227" t="s">
        <v>192</v>
      </c>
      <c r="D166" s="227" t="s">
        <v>677</v>
      </c>
      <c r="E166" s="226">
        <v>43079.295127314814</v>
      </c>
      <c r="F166" s="226">
        <v>43079.298587962963</v>
      </c>
      <c r="G166" s="225">
        <v>90</v>
      </c>
      <c r="H166" s="227" t="s">
        <v>982</v>
      </c>
      <c r="I166" s="226">
        <v>43079.308148148149</v>
      </c>
      <c r="J166" s="225">
        <v>0</v>
      </c>
      <c r="K166" s="237" t="str">
        <f t="shared" si="70"/>
        <v>4041/4042</v>
      </c>
      <c r="L166" s="245" t="str">
        <f>VLOOKUP(A166,'Trips&amp;Operators'!$C$1:$G$99911,5,FALSE)</f>
        <v>MACDONALD THOMAS</v>
      </c>
      <c r="M166" s="224">
        <f t="shared" si="71"/>
        <v>9.560185186273884E-3</v>
      </c>
      <c r="N166" s="225">
        <f t="shared" si="79"/>
        <v>13.766666668234393</v>
      </c>
      <c r="O166" s="225"/>
      <c r="P166" s="225"/>
      <c r="Q166" s="228"/>
      <c r="R166" s="242"/>
      <c r="S166" s="249">
        <f t="shared" si="93"/>
        <v>1</v>
      </c>
      <c r="T166" s="242" t="str">
        <f t="shared" si="72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73"/>
        <v>https://d0f6bd738d7f1b3e5a7ca70fe4ff75f0.us-east-1.aws.found.io/app/kibana#/discover/Steve-Slow-Train-Analysis-(2080s-and-2083s)?_g=(refreshInterval:(display:Off,pause:!f,section:0,value:0),time:(from:'2017-12-10T06:04:59-0700',mode:absolute,to:'2017-12-10T08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6" s="247" t="str">
        <f>IF(AA166&lt;VLOOKUP(AG166,Variables!$AC$3:$AD$8,2,FALSE),"Y","N")</f>
        <v>N</v>
      </c>
      <c r="X166" s="247">
        <f t="shared" si="102"/>
        <v>1</v>
      </c>
      <c r="Y166" s="247">
        <f t="shared" si="100"/>
        <v>4.8599999999999997E-2</v>
      </c>
      <c r="Z166" s="247">
        <f t="shared" si="101"/>
        <v>5.8905000000000003</v>
      </c>
      <c r="AA166" s="247">
        <f t="shared" si="74"/>
        <v>5.8418999999999999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75"/>
        <v>1803</v>
      </c>
      <c r="AE166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66" s="234" t="str">
        <f t="shared" si="77"/>
        <v>"C:\Program Files (x86)\AstroGrep\AstroGrep.exe" /e /r /s /spath="%USERPROFILE%\AppData\Local\Temp\OnboardLogs" /stypes="app*4042*20171210*" /stext=" 14:.+((SYSTEM_STATE.+slice.+state.+changed )|(ment ac)|(multiple cpu faults)|(system.+state.+changed )|(\[timeout)|(PRM\|1\|D)|(kpr)|(kdp)|(train st.+moving)|(\|lc)|(penalty))"</v>
      </c>
      <c r="AG166" s="244" t="str">
        <f t="shared" si="78"/>
        <v>NW</v>
      </c>
      <c r="AH166" s="236" t="str">
        <f t="shared" si="80"/>
        <v>"%USERPROFILE%\Documents\GitHub\eaglep3\Utilities\RefineRTDCRunTimes.py" --tripid 1803-10 --locoid 4042 --swversion DE.1.0.9.0 --startMP 204:486 --initTime 2017-12-10T07:04:59 --startdatetime 2017-12-10T07:09:58 --delay 90 --endMP 300:58905 --enddatetime 2017-12-10T07:23:44 --enforcementcount 0 &gt;&gt;%USERPROFILE%\Documents\GitHub\eaglep3-reporting\EC\2017-12-10-refined-times.txt</v>
      </c>
      <c r="AI166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{"issue":{"subject":"","project_id":79,"tracker_id":40,"status_id":1,"priority_id":2,"assigned_to_id":338,"start_date":"2017-12-10","description":"","custom_fields":[{"id":1,"name":"Subdivision","value":"NW"},{"id":4,"name":"Milepost","value":"5.8905"},{"id":17,"name":"Train ID","value":"1803-10"},{"id":16,"name":"Locomotive ID","value":"4042"},{"id":130,"name":"Impact","value":""},{"id":150,"name":"Time of Event (Mountain Time)","value":"07:23:44"},{"id":151,"name":"Denver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82"/>
        <v>start /low /b %USERPROFILE%\Documents\GitHub\eaglep3\Utilities\DownloadLogsFromS3.py --loco 4042 --day 2017-12-10</v>
      </c>
      <c r="AN166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84"/>
        <v>https://d0f6bd738d7f1b3e5a7ca70fe4ff75f0.us-east-1.aws.found.io/app/kibana#/discover/Steve-Slow-Train-Analysis-(2080s-and-2083s)?_g=(refreshInterval:(display:Off,pause:!f,section:0,value:0),time:(from:'2017-12-10T06:04:59-0700',mode:absolute,to:'2017-12-10T08:23:44-0700'))&amp;_a=(columns:!('Message%20ID',Summary),filters:!(),index:'emp_*',interval:auto,query:(query_string:(analyze_wildcard:!t,query:'%22rtdc.l.rtdc.4042%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793</v>
      </c>
      <c r="B167" s="225">
        <v>4041</v>
      </c>
      <c r="C167" s="227" t="s">
        <v>192</v>
      </c>
      <c r="D167" s="227" t="s">
        <v>983</v>
      </c>
      <c r="E167" s="226">
        <v>43079.308761574073</v>
      </c>
      <c r="F167" s="226">
        <v>43079.321956018517</v>
      </c>
      <c r="G167" s="225">
        <v>60</v>
      </c>
      <c r="H167" s="227" t="s">
        <v>981</v>
      </c>
      <c r="I167" s="226">
        <v>43079.330092592594</v>
      </c>
      <c r="J167" s="225">
        <v>0</v>
      </c>
      <c r="K167" s="237" t="str">
        <f t="shared" si="70"/>
        <v>4041/4042</v>
      </c>
      <c r="L167" s="245" t="str">
        <f>VLOOKUP(A167,'Trips&amp;Operators'!$C$1:$G$99911,5,FALSE)</f>
        <v>MACDONALD THOMAS</v>
      </c>
      <c r="M167" s="224">
        <f t="shared" si="71"/>
        <v>8.1365740770706907E-3</v>
      </c>
      <c r="N167" s="225">
        <f t="shared" si="79"/>
        <v>11.716666670981795</v>
      </c>
      <c r="O167" s="225"/>
      <c r="P167" s="225"/>
      <c r="Q167" s="228"/>
      <c r="R167" s="242"/>
      <c r="S167" s="249">
        <f t="shared" si="93"/>
        <v>1</v>
      </c>
      <c r="T167" s="242" t="str">
        <f t="shared" si="72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73"/>
        <v>https://d0f6bd738d7f1b3e5a7ca70fe4ff75f0.us-east-1.aws.found.io/app/kibana#/discover/Steve-Slow-Train-Analysis-(2080s-and-2083s)?_g=(refreshInterval:(display:Off,pause:!f,section:0,value:0),time:(from:'2017-12-10T06:24:37-0700',mode:absolute,to:'2017-12-10T08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7" s="247" t="str">
        <f>IF(AA167&lt;VLOOKUP(AG167,Variables!$AC$3:$AD$8,2,FALSE),"Y","N")</f>
        <v>N</v>
      </c>
      <c r="X167" s="247">
        <f t="shared" si="102"/>
        <v>1</v>
      </c>
      <c r="Y167" s="247">
        <f t="shared" si="100"/>
        <v>5.8589000000000002</v>
      </c>
      <c r="Z167" s="247">
        <f t="shared" si="101"/>
        <v>1.6199999999999999E-2</v>
      </c>
      <c r="AA167" s="247">
        <f t="shared" si="74"/>
        <v>5.8426999999999998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75"/>
        <v>1804</v>
      </c>
      <c r="AE167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67" s="234" t="str">
        <f t="shared" si="77"/>
        <v>"C:\Program Files (x86)\AstroGrep\AstroGrep.exe" /e /r /s /spath="%USERPROFILE%\AppData\Local\Temp\OnboardLogs" /stypes="app*4041*20171210*" /stext=" 14:.+((SYSTEM_STATE.+slice.+state.+changed )|(ment ac)|(multiple cpu faults)|(system.+state.+changed )|(\[timeout)|(PRM\|1\|D)|(kpr)|(kdp)|(train st.+moving)|(\|lc)|(penalty))"</v>
      </c>
      <c r="AG167" s="244" t="str">
        <f t="shared" si="78"/>
        <v>NW</v>
      </c>
      <c r="AH167" s="236" t="str">
        <f t="shared" si="80"/>
        <v>"%USERPROFILE%\Documents\GitHub\eaglep3\Utilities\RefineRTDCRunTimes.py" --tripid 1804-10 --locoid 4041 --swversion DE.1.0.9.0 --startMP 300:58589 --initTime 2017-12-10T07:24:37 --startdatetime 2017-12-10T07:43:37 --delay 60 --endMP 204:162 --enddatetime 2017-12-10T07:55:20 --enforcementcount 0 &gt;&gt;%USERPROFILE%\Documents\GitHub\eaglep3-reporting\EC\2017-12-10-refined-times.txt</v>
      </c>
      <c r="AI167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{"issue":{"subject":"","project_id":79,"tracker_id":40,"status_id":1,"priority_id":2,"assigned_to_id":338,"start_date":"2017-12-10","description":"","custom_fields":[{"id":1,"name":"Subdivision","value":"NW"},{"id":4,"name":"Milepost","value":"0.0162"},{"id":17,"name":"Train ID","value":"1804-10"},{"id":16,"name":"Locomotive ID","value":"4041"},{"id":130,"name":"Impact","value":""},{"id":150,"name":"Time of Event (Mountain Time)","value":"07:55:20"},{"id":151,"name":"Denver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82"/>
        <v>start /low /b %USERPROFILE%\Documents\GitHub\eaglep3\Utilities\DownloadLogsFromS3.py --loco 4041 --day 2017-12-10</v>
      </c>
      <c r="AN167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84"/>
        <v>https://d0f6bd738d7f1b3e5a7ca70fe4ff75f0.us-east-1.aws.found.io/app/kibana#/discover/Steve-Slow-Train-Analysis-(2080s-and-2083s)?_g=(refreshInterval:(display:Off,pause:!f,section:0,value:0),time:(from:'2017-12-10T06:24:37-0700',mode:absolute,to:'2017-12-10T08:55:20-0700'))&amp;_a=(columns:!('Message%20ID',Summary),filters:!(),index:'emp_*',interval:auto,query:(query_string:(analyze_wildcard:!t,query:'%22rtdc.l.rtdc.4041%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29" t="s">
        <v>799</v>
      </c>
      <c r="B168" s="225">
        <v>4042</v>
      </c>
      <c r="C168" s="227" t="s">
        <v>192</v>
      </c>
      <c r="D168" s="227" t="s">
        <v>714</v>
      </c>
      <c r="E168" s="226">
        <v>43079.337256944447</v>
      </c>
      <c r="F168" s="226">
        <v>43079.339895833335</v>
      </c>
      <c r="G168" s="225">
        <v>62</v>
      </c>
      <c r="H168" s="227" t="s">
        <v>984</v>
      </c>
      <c r="I168" s="226">
        <v>43079.349490740744</v>
      </c>
      <c r="J168" s="225">
        <v>0</v>
      </c>
      <c r="K168" s="237" t="str">
        <f t="shared" si="70"/>
        <v>4041/4042</v>
      </c>
      <c r="L168" s="245" t="str">
        <f>VLOOKUP(A168,'Trips&amp;Operators'!$C$1:$G$99911,5,FALSE)</f>
        <v>MACDONALD THOMAS</v>
      </c>
      <c r="M168" s="224">
        <f t="shared" si="71"/>
        <v>9.5949074093368836E-3</v>
      </c>
      <c r="N168" s="225">
        <f t="shared" si="79"/>
        <v>13.816666669445112</v>
      </c>
      <c r="O168" s="225"/>
      <c r="P168" s="225"/>
      <c r="Q168" s="228"/>
      <c r="R168" s="242"/>
      <c r="S168" s="249">
        <f t="shared" si="93"/>
        <v>1</v>
      </c>
      <c r="T168" s="242" t="str">
        <f t="shared" si="72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73"/>
        <v>https://d0f6bd738d7f1b3e5a7ca70fe4ff75f0.us-east-1.aws.found.io/app/kibana#/discover/Steve-Slow-Train-Analysis-(2080s-and-2083s)?_g=(refreshInterval:(display:Off,pause:!f,section:0,value:0),time:(from:'2017-12-10T07:05:39-0700',mode:absolute,to:'2017-12-10T09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8" s="247" t="str">
        <f>IF(AA168&lt;VLOOKUP(AG168,Variables!$AC$3:$AD$8,2,FALSE),"Y","N")</f>
        <v>N</v>
      </c>
      <c r="X168" s="247">
        <f t="shared" si="102"/>
        <v>1</v>
      </c>
      <c r="Y168" s="247">
        <f t="shared" si="100"/>
        <v>4.4600000000000001E-2</v>
      </c>
      <c r="Z168" s="247">
        <f t="shared" si="101"/>
        <v>5.8894000000000002</v>
      </c>
      <c r="AA168" s="247">
        <f t="shared" si="74"/>
        <v>5.8448000000000002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75"/>
        <v>1805</v>
      </c>
      <c r="AE168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68" s="234" t="str">
        <f t="shared" si="77"/>
        <v>"C:\Program Files (x86)\AstroGrep\AstroGrep.exe" /e /r /s /spath="%USERPROFILE%\AppData\Local\Temp\OnboardLogs" /stypes="app*4042*20171210*" /stext=" 15:.+((SYSTEM_STATE.+slice.+state.+changed )|(ment ac)|(multiple cpu faults)|(system.+state.+changed )|(\[timeout)|(PRM\|1\|D)|(kpr)|(kdp)|(train st.+moving)|(\|lc)|(penalty))"</v>
      </c>
      <c r="AG168" s="244" t="str">
        <f t="shared" si="78"/>
        <v>NW</v>
      </c>
      <c r="AH168" s="236" t="str">
        <f t="shared" si="80"/>
        <v>"%USERPROFILE%\Documents\GitHub\eaglep3\Utilities\RefineRTDCRunTimes.py" --tripid 1805-10 --locoid 4042 --swversion DE.1.0.9.0 --startMP 204:446 --initTime 2017-12-10T08:05:39 --startdatetime 2017-12-10T08:09:27 --delay 62 --endMP 300:58894 --enddatetime 2017-12-10T08:23:16 --enforcementcount 0 &gt;&gt;%USERPROFILE%\Documents\GitHub\eaglep3-reporting\EC\2017-12-10-refined-times.txt</v>
      </c>
      <c r="AI168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{"issue":{"subject":"","project_id":79,"tracker_id":40,"status_id":1,"priority_id":2,"assigned_to_id":338,"start_date":"2017-12-10","description":"","custom_fields":[{"id":1,"name":"Subdivision","value":"NW"},{"id":4,"name":"Milepost","value":"5.8894"},{"id":17,"name":"Train ID","value":"1805-10"},{"id":16,"name":"Locomotive ID","value":"4042"},{"id":130,"name":"Impact","value":""},{"id":150,"name":"Time of Event (Mountain Time)","value":"08:23:16"},{"id":151,"name":"Denver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82"/>
        <v>start /low /b %USERPROFILE%\Documents\GitHub\eaglep3\Utilities\DownloadLogsFromS3.py --loco 4042 --day 2017-12-10</v>
      </c>
      <c r="AN168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84"/>
        <v>https://d0f6bd738d7f1b3e5a7ca70fe4ff75f0.us-east-1.aws.found.io/app/kibana#/discover/Steve-Slow-Train-Analysis-(2080s-and-2083s)?_g=(refreshInterval:(display:Off,pause:!f,section:0,value:0),time:(from:'2017-12-10T07:05:39-0700',mode:absolute,to:'2017-12-10T09:23:16-0700'))&amp;_a=(columns:!('Message%20ID',Summary),filters:!(),index:'emp_*',interval:auto,query:(query_string:(analyze_wildcard:!t,query:'%22rtdc.l.rtdc.4042%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803</v>
      </c>
      <c r="B169" s="225">
        <v>4041</v>
      </c>
      <c r="C169" s="227" t="s">
        <v>192</v>
      </c>
      <c r="D169" s="227" t="s">
        <v>983</v>
      </c>
      <c r="E169" s="226">
        <v>43079.350254629629</v>
      </c>
      <c r="F169" s="226">
        <v>43079.363368055558</v>
      </c>
      <c r="G169" s="225">
        <v>46</v>
      </c>
      <c r="H169" s="227" t="s">
        <v>639</v>
      </c>
      <c r="I169" s="226">
        <v>43079.371435185189</v>
      </c>
      <c r="J169" s="225">
        <v>0</v>
      </c>
      <c r="K169" s="237" t="str">
        <f t="shared" si="70"/>
        <v>4041/4042</v>
      </c>
      <c r="L169" s="245" t="str">
        <f>VLOOKUP(A169,'Trips&amp;Operators'!$C$1:$G$99911,5,FALSE)</f>
        <v>MACDONALD THOMAS</v>
      </c>
      <c r="M169" s="224">
        <f t="shared" si="71"/>
        <v>8.0671296309446916E-3</v>
      </c>
      <c r="N169" s="225">
        <f t="shared" si="79"/>
        <v>11.616666668560356</v>
      </c>
      <c r="O169" s="225"/>
      <c r="P169" s="225"/>
      <c r="Q169" s="228"/>
      <c r="R169" s="242"/>
      <c r="S169" s="249">
        <f t="shared" si="93"/>
        <v>1</v>
      </c>
      <c r="T169" s="242" t="str">
        <f t="shared" si="72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73"/>
        <v>https://d0f6bd738d7f1b3e5a7ca70fe4ff75f0.us-east-1.aws.found.io/app/kibana#/discover/Steve-Slow-Train-Analysis-(2080s-and-2083s)?_g=(refreshInterval:(display:Off,pause:!f,section:0,value:0),time:(from:'2017-12-10T07:24:22-0700',mode:absolute,to:'2017-12-10T09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9" s="247" t="str">
        <f>IF(AA169&lt;VLOOKUP(AG169,Variables!$AC$3:$AD$8,2,FALSE),"Y","N")</f>
        <v>N</v>
      </c>
      <c r="X169" s="247">
        <f t="shared" si="102"/>
        <v>1</v>
      </c>
      <c r="Y169" s="247">
        <f t="shared" si="100"/>
        <v>5.8589000000000002</v>
      </c>
      <c r="Z169" s="247">
        <f t="shared" si="101"/>
        <v>1.7100000000000001E-2</v>
      </c>
      <c r="AA169" s="247">
        <f t="shared" si="74"/>
        <v>5.8418000000000001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75"/>
        <v>1806</v>
      </c>
      <c r="AE169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69" s="234" t="str">
        <f t="shared" si="77"/>
        <v>"C:\Program Files (x86)\AstroGrep\AstroGrep.exe" /e /r /s /spath="%USERPROFILE%\AppData\Local\Temp\OnboardLogs" /stypes="app*4041*20171210*" /stext=" 15:.+((SYSTEM_STATE.+slice.+state.+changed )|(ment ac)|(multiple cpu faults)|(system.+state.+changed )|(\[timeout)|(PRM\|1\|D)|(kpr)|(kdp)|(train st.+moving)|(\|lc)|(penalty))"</v>
      </c>
      <c r="AG169" s="244" t="str">
        <f t="shared" si="78"/>
        <v>NW</v>
      </c>
      <c r="AH169" s="236" t="str">
        <f t="shared" si="80"/>
        <v>"%USERPROFILE%\Documents\GitHub\eaglep3\Utilities\RefineRTDCRunTimes.py" --tripid 1806-10 --locoid 4041 --swversion DE.1.0.9.0 --startMP 300:58589 --initTime 2017-12-10T08:24:22 --startdatetime 2017-12-10T08:43:15 --delay 46 --endMP 204:171 --enddatetime 2017-12-10T08:54:52 --enforcementcount 0 &gt;&gt;%USERPROFILE%\Documents\GitHub\eaglep3-reporting\EC\2017-12-10-refined-times.txt</v>
      </c>
      <c r="AI169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{"issue":{"subject":"","project_id":79,"tracker_id":40,"status_id":1,"priority_id":2,"assigned_to_id":338,"start_date":"2017-12-10","description":"","custom_fields":[{"id":1,"name":"Subdivision","value":"NW"},{"id":4,"name":"Milepost","value":"0.0171"},{"id":17,"name":"Train ID","value":"1806-10"},{"id":16,"name":"Locomotive ID","value":"4041"},{"id":130,"name":"Impact","value":""},{"id":150,"name":"Time of Event (Mountain Time)","value":"08:54:52"},{"id":151,"name":"Denver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82"/>
        <v>start /low /b %USERPROFILE%\Documents\GitHub\eaglep3\Utilities\DownloadLogsFromS3.py --loco 4041 --day 2017-12-10</v>
      </c>
      <c r="AN169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84"/>
        <v>https://d0f6bd738d7f1b3e5a7ca70fe4ff75f0.us-east-1.aws.found.io/app/kibana#/discover/Steve-Slow-Train-Analysis-(2080s-and-2083s)?_g=(refreshInterval:(display:Off,pause:!f,section:0,value:0),time:(from:'2017-12-10T07:24:22-0700',mode:absolute,to:'2017-12-10T09:54:52-0700'))&amp;_a=(columns:!('Message%20ID',Summary),filters:!(),index:'emp_*',interval:auto,query:(query_string:(analyze_wildcard:!t,query:'%22rtdc.l.rtdc.4041%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736</v>
      </c>
      <c r="B170" s="225">
        <v>4042</v>
      </c>
      <c r="C170" s="227" t="s">
        <v>192</v>
      </c>
      <c r="D170" s="227" t="s">
        <v>985</v>
      </c>
      <c r="E170" s="226">
        <v>43079.378553240742</v>
      </c>
      <c r="F170" s="226">
        <v>43079.381631944445</v>
      </c>
      <c r="G170" s="225">
        <v>117</v>
      </c>
      <c r="H170" s="227" t="s">
        <v>636</v>
      </c>
      <c r="I170" s="226">
        <v>43079.39167824074</v>
      </c>
      <c r="J170" s="225">
        <v>0</v>
      </c>
      <c r="K170" s="237" t="str">
        <f t="shared" si="70"/>
        <v>4041/4042</v>
      </c>
      <c r="L170" s="245" t="str">
        <f>VLOOKUP(A170,'Trips&amp;Operators'!$C$1:$G$99911,5,FALSE)</f>
        <v>MACDONALD THOMAS</v>
      </c>
      <c r="M170" s="224">
        <f t="shared" si="71"/>
        <v>1.0046296294603962E-2</v>
      </c>
      <c r="N170" s="225">
        <f t="shared" si="79"/>
        <v>14.466666664229706</v>
      </c>
      <c r="O170" s="225"/>
      <c r="P170" s="225"/>
      <c r="Q170" s="228"/>
      <c r="R170" s="242"/>
      <c r="S170" s="249">
        <f t="shared" si="93"/>
        <v>1</v>
      </c>
      <c r="T170" s="242" t="str">
        <f t="shared" si="72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73"/>
        <v>https://d0f6bd738d7f1b3e5a7ca70fe4ff75f0.us-east-1.aws.found.io/app/kibana#/discover/Steve-Slow-Train-Analysis-(2080s-and-2083s)?_g=(refreshInterval:(display:Off,pause:!f,section:0,value:0),time:(from:'2017-12-10T08:05:07-0700',mode:absolute,to:'2017-12-10T10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0" s="247" t="str">
        <f>IF(AA170&lt;VLOOKUP(AG170,Variables!$AC$3:$AD$8,2,FALSE),"Y","N")</f>
        <v>N</v>
      </c>
      <c r="X170" s="247">
        <f t="shared" si="102"/>
        <v>1</v>
      </c>
      <c r="Y170" s="247">
        <f t="shared" si="100"/>
        <v>4.7899999999999998E-2</v>
      </c>
      <c r="Z170" s="247">
        <f t="shared" si="101"/>
        <v>5.8960999999999997</v>
      </c>
      <c r="AA170" s="247">
        <f t="shared" si="74"/>
        <v>5.8481999999999994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75"/>
        <v>1807</v>
      </c>
      <c r="AE170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0" s="234" t="str">
        <f t="shared" si="77"/>
        <v>"C:\Program Files (x86)\AstroGrep\AstroGrep.exe" /e /r /s /spath="%USERPROFILE%\AppData\Local\Temp\OnboardLogs" /stypes="app*4042*20171210*" /stext=" 16:.+((SYSTEM_STATE.+slice.+state.+changed )|(ment ac)|(multiple cpu faults)|(system.+state.+changed )|(\[timeout)|(PRM\|1\|D)|(kpr)|(kdp)|(train st.+moving)|(\|lc)|(penalty))"</v>
      </c>
      <c r="AG170" s="244" t="str">
        <f t="shared" si="78"/>
        <v>NW</v>
      </c>
      <c r="AH170" s="236" t="str">
        <f t="shared" si="80"/>
        <v>"%USERPROFILE%\Documents\GitHub\eaglep3\Utilities\RefineRTDCRunTimes.py" --tripid 1807-10 --locoid 4042 --swversion DE.1.0.9.0 --startMP 204:479 --initTime 2017-12-10T09:05:07 --startdatetime 2017-12-10T09:09:33 --delay 117 --endMP 300:58961 --enddatetime 2017-12-10T09:24:01 --enforcementcount 0 &gt;&gt;%USERPROFILE%\Documents\GitHub\eaglep3-reporting\EC\2017-12-10-refined-times.txt</v>
      </c>
      <c r="AI170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{"issue":{"subject":"","project_id":79,"tracker_id":40,"status_id":1,"priority_id":2,"assigned_to_id":338,"start_date":"2017-12-10","description":"","custom_fields":[{"id":1,"name":"Subdivision","value":"NW"},{"id":4,"name":"Milepost","value":"5.8961"},{"id":17,"name":"Train ID","value":"1807-10"},{"id":16,"name":"Locomotive ID","value":"4042"},{"id":130,"name":"Impact","value":""},{"id":150,"name":"Time of Event (Mountain Time)","value":"09:24:01"},{"id":151,"name":"Denver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82"/>
        <v>start /low /b %USERPROFILE%\Documents\GitHub\eaglep3\Utilities\DownloadLogsFromS3.py --loco 4042 --day 2017-12-10</v>
      </c>
      <c r="AN170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84"/>
        <v>https://d0f6bd738d7f1b3e5a7ca70fe4ff75f0.us-east-1.aws.found.io/app/kibana#/discover/Steve-Slow-Train-Analysis-(2080s-and-2083s)?_g=(refreshInterval:(display:Off,pause:!f,section:0,value:0),time:(from:'2017-12-10T08:05:07-0700',mode:absolute,to:'2017-12-10T10:24:01-0700'))&amp;_a=(columns:!('Message%20ID',Summary),filters:!(),index:'emp_*',interval:auto,query:(query_string:(analyze_wildcard:!t,query:'%22rtdc.l.rtdc.4042%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810</v>
      </c>
      <c r="B171" s="225">
        <v>4041</v>
      </c>
      <c r="C171" s="227" t="s">
        <v>192</v>
      </c>
      <c r="D171" s="227" t="s">
        <v>638</v>
      </c>
      <c r="E171" s="226">
        <v>43079.39335648148</v>
      </c>
      <c r="F171" s="226">
        <v>43079.40525462963</v>
      </c>
      <c r="G171" s="225">
        <v>50</v>
      </c>
      <c r="H171" s="227" t="s">
        <v>986</v>
      </c>
      <c r="I171" s="226">
        <v>43079.413622685184</v>
      </c>
      <c r="J171" s="225">
        <v>0</v>
      </c>
      <c r="K171" s="237" t="str">
        <f t="shared" si="70"/>
        <v>4041/4042</v>
      </c>
      <c r="L171" s="245" t="str">
        <f>VLOOKUP(A171,'Trips&amp;Operators'!$C$1:$G$99911,5,FALSE)</f>
        <v>MACDONALD THOMAS</v>
      </c>
      <c r="M171" s="224">
        <f t="shared" si="71"/>
        <v>8.3680555544560775E-3</v>
      </c>
      <c r="N171" s="225">
        <f t="shared" si="79"/>
        <v>12.049999998416752</v>
      </c>
      <c r="O171" s="225"/>
      <c r="P171" s="225"/>
      <c r="Q171" s="228"/>
      <c r="R171" s="242"/>
      <c r="S171" s="249">
        <f t="shared" si="93"/>
        <v>1</v>
      </c>
      <c r="T171" s="242" t="str">
        <f t="shared" si="72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73"/>
        <v>https://d0f6bd738d7f1b3e5a7ca70fe4ff75f0.us-east-1.aws.found.io/app/kibana#/discover/Steve-Slow-Train-Analysis-(2080s-and-2083s)?_g=(refreshInterval:(display:Off,pause:!f,section:0,value:0),time:(from:'2017-12-10T08:26:26-0700',mode:absolute,to:'2017-12-10T10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1" s="247" t="str">
        <f>IF(AA171&lt;VLOOKUP(AG171,Variables!$AC$3:$AD$8,2,FALSE),"Y","N")</f>
        <v>N</v>
      </c>
      <c r="X171" s="247">
        <f t="shared" si="102"/>
        <v>1</v>
      </c>
      <c r="Y171" s="247">
        <f t="shared" si="100"/>
        <v>5.8647</v>
      </c>
      <c r="Z171" s="247">
        <f t="shared" si="101"/>
        <v>1.5299999999999999E-2</v>
      </c>
      <c r="AA171" s="247">
        <f t="shared" si="74"/>
        <v>5.8494000000000002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75"/>
        <v>1808</v>
      </c>
      <c r="AE171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1" s="234" t="str">
        <f t="shared" si="77"/>
        <v>"C:\Program Files (x86)\AstroGrep\AstroGrep.exe" /e /r /s /spath="%USERPROFILE%\AppData\Local\Temp\OnboardLogs" /stypes="app*4041*20171210*" /stext=" 16:.+((SYSTEM_STATE.+slice.+state.+changed )|(ment ac)|(multiple cpu faults)|(system.+state.+changed )|(\[timeout)|(PRM\|1\|D)|(kpr)|(kdp)|(train st.+moving)|(\|lc)|(penalty))"</v>
      </c>
      <c r="AG171" s="244" t="str">
        <f t="shared" si="78"/>
        <v>NW</v>
      </c>
      <c r="AH171" s="236" t="str">
        <f t="shared" si="80"/>
        <v>"%USERPROFILE%\Documents\GitHub\eaglep3\Utilities\RefineRTDCRunTimes.py" --tripid 1808-10 --locoid 4041 --swversion DE.1.0.9.0 --startMP 300:58647 --initTime 2017-12-10T09:26:26 --startdatetime 2017-12-10T09:43:34 --delay 50 --endMP 204:153 --enddatetime 2017-12-10T09:55:37 --enforcementcount 0 &gt;&gt;%USERPROFILE%\Documents\GitHub\eaglep3-reporting\EC\2017-12-10-refined-times.txt</v>
      </c>
      <c r="AI171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{"issue":{"subject":"","project_id":79,"tracker_id":40,"status_id":1,"priority_id":2,"assigned_to_id":338,"start_date":"2017-12-10","description":"","custom_fields":[{"id":1,"name":"Subdivision","value":"NW"},{"id":4,"name":"Milepost","value":"0.0153"},{"id":17,"name":"Train ID","value":"1808-10"},{"id":16,"name":"Locomotive ID","value":"4041"},{"id":130,"name":"Impact","value":""},{"id":150,"name":"Time of Event (Mountain Time)","value":"09:55:37"},{"id":151,"name":"Denver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82"/>
        <v>start /low /b %USERPROFILE%\Documents\GitHub\eaglep3\Utilities\DownloadLogsFromS3.py --loco 4041 --day 2017-12-10</v>
      </c>
      <c r="AN171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84"/>
        <v>https://d0f6bd738d7f1b3e5a7ca70fe4ff75f0.us-east-1.aws.found.io/app/kibana#/discover/Steve-Slow-Train-Analysis-(2080s-and-2083s)?_g=(refreshInterval:(display:Off,pause:!f,section:0,value:0),time:(from:'2017-12-10T08:26:26-0700',mode:absolute,to:'2017-12-10T10:55:37-0700'))&amp;_a=(columns:!('Message%20ID',Summary),filters:!(),index:'emp_*',interval:auto,query:(query_string:(analyze_wildcard:!t,query:'%22rtdc.l.rtdc.4041%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29" t="s">
        <v>815</v>
      </c>
      <c r="B172" s="225">
        <v>4042</v>
      </c>
      <c r="C172" s="227" t="s">
        <v>192</v>
      </c>
      <c r="D172" s="227" t="s">
        <v>645</v>
      </c>
      <c r="E172" s="226">
        <v>43079.421331018515</v>
      </c>
      <c r="F172" s="226">
        <v>43079.423483796294</v>
      </c>
      <c r="G172" s="225">
        <v>55</v>
      </c>
      <c r="H172" s="227" t="s">
        <v>987</v>
      </c>
      <c r="I172" s="226">
        <v>43079.43445601852</v>
      </c>
      <c r="J172" s="225">
        <v>0</v>
      </c>
      <c r="K172" s="237" t="str">
        <f t="shared" si="70"/>
        <v>4041/4042</v>
      </c>
      <c r="L172" s="245" t="str">
        <f>VLOOKUP(A172,'Trips&amp;Operators'!$C$1:$G$99911,5,FALSE)</f>
        <v>MACDONALD THOMAS</v>
      </c>
      <c r="M172" s="224">
        <f t="shared" si="71"/>
        <v>1.0972222225973383E-2</v>
      </c>
      <c r="N172" s="225">
        <f t="shared" si="79"/>
        <v>15.800000005401671</v>
      </c>
      <c r="O172" s="225"/>
      <c r="P172" s="225"/>
      <c r="Q172" s="228"/>
      <c r="R172" s="242"/>
      <c r="S172" s="249">
        <f t="shared" si="93"/>
        <v>1</v>
      </c>
      <c r="T172" s="242" t="str">
        <f t="shared" si="72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73"/>
        <v>https://d0f6bd738d7f1b3e5a7ca70fe4ff75f0.us-east-1.aws.found.io/app/kibana#/discover/Steve-Slow-Train-Analysis-(2080s-and-2083s)?_g=(refreshInterval:(display:Off,pause:!f,section:0,value:0),time:(from:'2017-12-10T09:06:43-0700',mode:absolute,to:'2017-12-10T11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2" s="247" t="str">
        <f>IF(AA172&lt;VLOOKUP(AG172,Variables!$AC$3:$AD$8,2,FALSE),"Y","N")</f>
        <v>N</v>
      </c>
      <c r="X172" s="247">
        <f t="shared" si="102"/>
        <v>1</v>
      </c>
      <c r="Y172" s="247">
        <f t="shared" si="100"/>
        <v>4.5100000000000001E-2</v>
      </c>
      <c r="Z172" s="247">
        <f t="shared" si="101"/>
        <v>5.8936999999999999</v>
      </c>
      <c r="AA172" s="247">
        <f t="shared" si="74"/>
        <v>5.8486000000000002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75"/>
        <v>1809</v>
      </c>
      <c r="AE172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2" s="234" t="str">
        <f t="shared" si="77"/>
        <v>"C:\Program Files (x86)\AstroGrep\AstroGrep.exe" /e /r /s /spath="%USERPROFILE%\AppData\Local\Temp\OnboardLogs" /stypes="app*4042*20171210*" /stext=" 17:.+((SYSTEM_STATE.+slice.+state.+changed )|(ment ac)|(multiple cpu faults)|(system.+state.+changed )|(\[timeout)|(PRM\|1\|D)|(kpr)|(kdp)|(train st.+moving)|(\|lc)|(penalty))"</v>
      </c>
      <c r="AG172" s="244" t="str">
        <f t="shared" si="78"/>
        <v>NW</v>
      </c>
      <c r="AH172" s="236" t="str">
        <f t="shared" si="80"/>
        <v>"%USERPROFILE%\Documents\GitHub\eaglep3\Utilities\RefineRTDCRunTimes.py" --tripid 1809-10 --locoid 4042 --swversion DE.1.0.9.0 --startMP 204:451 --initTime 2017-12-10T10:06:43 --startdatetime 2017-12-10T10:09:49 --delay 55 --endMP 300:58937 --enddatetime 2017-12-10T10:25:37 --enforcementcount 0 &gt;&gt;%USERPROFILE%\Documents\GitHub\eaglep3-reporting\EC\2017-12-10-refined-times.txt</v>
      </c>
      <c r="AI172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{"issue":{"subject":"","project_id":79,"tracker_id":40,"status_id":1,"priority_id":2,"assigned_to_id":338,"start_date":"2017-12-10","description":"","custom_fields":[{"id":1,"name":"Subdivision","value":"NW"},{"id":4,"name":"Milepost","value":"5.8937"},{"id":17,"name":"Train ID","value":"1809-10"},{"id":16,"name":"Locomotive ID","value":"4042"},{"id":130,"name":"Impact","value":""},{"id":150,"name":"Time of Event (Mountain Time)","value":"10:25:37"},{"id":151,"name":"Denver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82"/>
        <v>start /low /b %USERPROFILE%\Documents\GitHub\eaglep3\Utilities\DownloadLogsFromS3.py --loco 4042 --day 2017-12-10</v>
      </c>
      <c r="AN172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84"/>
        <v>https://d0f6bd738d7f1b3e5a7ca70fe4ff75f0.us-east-1.aws.found.io/app/kibana#/discover/Steve-Slow-Train-Analysis-(2080s-and-2083s)?_g=(refreshInterval:(display:Off,pause:!f,section:0,value:0),time:(from:'2017-12-10T09:06:43-0700',mode:absolute,to:'2017-12-10T11:25:37-0700'))&amp;_a=(columns:!('Message%20ID',Summary),filters:!(),index:'emp_*',interval:auto,query:(query_string:(analyze_wildcard:!t,query:'%22rtdc.l.rtdc.4042%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29" t="s">
        <v>819</v>
      </c>
      <c r="B173" s="225">
        <v>4041</v>
      </c>
      <c r="C173" s="227" t="s">
        <v>192</v>
      </c>
      <c r="D173" s="227" t="s">
        <v>709</v>
      </c>
      <c r="E173" s="226">
        <v>43079.43608796296</v>
      </c>
      <c r="F173" s="226">
        <v>43079.446770833332</v>
      </c>
      <c r="G173" s="225">
        <v>52</v>
      </c>
      <c r="H173" s="227" t="s">
        <v>641</v>
      </c>
      <c r="I173" s="226">
        <v>43079.455335648148</v>
      </c>
      <c r="J173" s="225">
        <v>0</v>
      </c>
      <c r="K173" s="237" t="str">
        <f t="shared" si="70"/>
        <v>4041/4042</v>
      </c>
      <c r="L173" s="245" t="str">
        <f>VLOOKUP(A173,'Trips&amp;Operators'!$C$1:$G$99911,5,FALSE)</f>
        <v>MACDONALD THOMAS</v>
      </c>
      <c r="M173" s="224">
        <f t="shared" si="71"/>
        <v>8.5648148160544224E-3</v>
      </c>
      <c r="N173" s="225">
        <f t="shared" si="79"/>
        <v>12.333333335118368</v>
      </c>
      <c r="O173" s="225"/>
      <c r="P173" s="225"/>
      <c r="Q173" s="228"/>
      <c r="R173" s="242"/>
      <c r="S173" s="249">
        <f t="shared" si="93"/>
        <v>1</v>
      </c>
      <c r="T173" s="242" t="str">
        <f t="shared" si="72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73"/>
        <v>https://d0f6bd738d7f1b3e5a7ca70fe4ff75f0.us-east-1.aws.found.io/app/kibana#/discover/Steve-Slow-Train-Analysis-(2080s-and-2083s)?_g=(refreshInterval:(display:Off,pause:!f,section:0,value:0),time:(from:'2017-12-10T09:27:58-0700',mode:absolute,to:'2017-12-10T11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3" s="247" t="str">
        <f>IF(AA173&lt;VLOOKUP(AG173,Variables!$AC$3:$AD$8,2,FALSE),"Y","N")</f>
        <v>N</v>
      </c>
      <c r="X173" s="247">
        <f t="shared" si="102"/>
        <v>1</v>
      </c>
      <c r="Y173" s="247">
        <f t="shared" si="100"/>
        <v>5.8630000000000004</v>
      </c>
      <c r="Z173" s="247">
        <f t="shared" si="101"/>
        <v>1.5100000000000001E-2</v>
      </c>
      <c r="AA173" s="247">
        <f t="shared" si="74"/>
        <v>5.8479000000000001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75"/>
        <v>1810</v>
      </c>
      <c r="AE173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3" s="234" t="str">
        <f t="shared" si="77"/>
        <v>"C:\Program Files (x86)\AstroGrep\AstroGrep.exe" /e /r /s /spath="%USERPROFILE%\AppData\Local\Temp\OnboardLogs" /stypes="app*4041*20171210*" /stext=" 17:.+((SYSTEM_STATE.+slice.+state.+changed )|(ment ac)|(multiple cpu faults)|(system.+state.+changed )|(\[timeout)|(PRM\|1\|D)|(kpr)|(kdp)|(train st.+moving)|(\|lc)|(penalty))"</v>
      </c>
      <c r="AG173" s="244" t="str">
        <f t="shared" si="78"/>
        <v>NW</v>
      </c>
      <c r="AH173" s="236" t="str">
        <f t="shared" si="80"/>
        <v>"%USERPROFILE%\Documents\GitHub\eaglep3\Utilities\RefineRTDCRunTimes.py" --tripid 1810-10 --locoid 4041 --swversion DE.1.0.9.0 --startMP 300:58630 --initTime 2017-12-10T10:27:58 --startdatetime 2017-12-10T10:43:21 --delay 52 --endMP 204:151 --enddatetime 2017-12-10T10:55:41 --enforcementcount 0 &gt;&gt;%USERPROFILE%\Documents\GitHub\eaglep3-reporting\EC\2017-12-10-refined-times.txt</v>
      </c>
      <c r="AI173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{"issue":{"subject":"","project_id":79,"tracker_id":40,"status_id":1,"priority_id":2,"assigned_to_id":338,"start_date":"2017-12-10","description":"","custom_fields":[{"id":1,"name":"Subdivision","value":"NW"},{"id":4,"name":"Milepost","value":"0.0151"},{"id":17,"name":"Train ID","value":"1810-10"},{"id":16,"name":"Locomotive ID","value":"4041"},{"id":130,"name":"Impact","value":""},{"id":150,"name":"Time of Event (Mountain Time)","value":"10:55:41"},{"id":151,"name":"Denver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82"/>
        <v>start /low /b %USERPROFILE%\Documents\GitHub\eaglep3\Utilities\DownloadLogsFromS3.py --loco 4041 --day 2017-12-10</v>
      </c>
      <c r="AN173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84"/>
        <v>https://d0f6bd738d7f1b3e5a7ca70fe4ff75f0.us-east-1.aws.found.io/app/kibana#/discover/Steve-Slow-Train-Analysis-(2080s-and-2083s)?_g=(refreshInterval:(display:Off,pause:!f,section:0,value:0),time:(from:'2017-12-10T09:27:58-0700',mode:absolute,to:'2017-12-10T11:55:41-0700'))&amp;_a=(columns:!('Message%20ID',Summary),filters:!(),index:'emp_*',interval:auto,query:(query_string:(analyze_wildcard:!t,query:'%22rtdc.l.rtdc.4041%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824</v>
      </c>
      <c r="B174" s="225">
        <v>4042</v>
      </c>
      <c r="C174" s="227" t="s">
        <v>192</v>
      </c>
      <c r="D174" s="227" t="s">
        <v>640</v>
      </c>
      <c r="E174" s="226">
        <v>43079.460509259261</v>
      </c>
      <c r="F174" s="226">
        <v>43079.464988425927</v>
      </c>
      <c r="G174" s="225">
        <v>127</v>
      </c>
      <c r="H174" s="227" t="s">
        <v>988</v>
      </c>
      <c r="I174" s="226">
        <v>43079.475034722222</v>
      </c>
      <c r="J174" s="225">
        <v>0</v>
      </c>
      <c r="K174" s="237" t="str">
        <f t="shared" si="70"/>
        <v>4041/4042</v>
      </c>
      <c r="L174" s="245" t="str">
        <f>VLOOKUP(A174,'Trips&amp;Operators'!$C$1:$G$99911,5,FALSE)</f>
        <v>MACDONALD THOMAS</v>
      </c>
      <c r="M174" s="224">
        <f t="shared" si="71"/>
        <v>1.0046296294603962E-2</v>
      </c>
      <c r="N174" s="225">
        <f t="shared" si="79"/>
        <v>14.466666664229706</v>
      </c>
      <c r="O174" s="225"/>
      <c r="P174" s="225"/>
      <c r="Q174" s="228"/>
      <c r="R174" s="242"/>
      <c r="S174" s="249">
        <f t="shared" si="93"/>
        <v>1</v>
      </c>
      <c r="T174" s="242" t="str">
        <f t="shared" si="72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73"/>
        <v>https://d0f6bd738d7f1b3e5a7ca70fe4ff75f0.us-east-1.aws.found.io/app/kibana#/discover/Steve-Slow-Train-Analysis-(2080s-and-2083s)?_g=(refreshInterval:(display:Off,pause:!f,section:0,value:0),time:(from:'2017-12-10T10:03:08-0700',mode:absolute,to:'2017-12-10T12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4" s="247" t="str">
        <f>IF(AA174&lt;VLOOKUP(AG174,Variables!$AC$3:$AD$8,2,FALSE),"Y","N")</f>
        <v>N</v>
      </c>
      <c r="X174" s="247">
        <f t="shared" si="102"/>
        <v>1</v>
      </c>
      <c r="Y174" s="247">
        <f t="shared" si="100"/>
        <v>4.48E-2</v>
      </c>
      <c r="Z174" s="247">
        <f t="shared" si="101"/>
        <v>5.8916000000000004</v>
      </c>
      <c r="AA174" s="247">
        <f t="shared" si="74"/>
        <v>5.8468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75"/>
        <v>1811</v>
      </c>
      <c r="AE174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4" s="234" t="str">
        <f t="shared" si="77"/>
        <v>"C:\Program Files (x86)\AstroGrep\AstroGrep.exe" /e /r /s /spath="%USERPROFILE%\AppData\Local\Temp\OnboardLogs" /stypes="app*4042*20171210*" /stext=" 18:.+((SYSTEM_STATE.+slice.+state.+changed )|(ment ac)|(multiple cpu faults)|(system.+state.+changed )|(\[timeout)|(PRM\|1\|D)|(kpr)|(kdp)|(train st.+moving)|(\|lc)|(penalty))"</v>
      </c>
      <c r="AG174" s="244" t="str">
        <f t="shared" si="78"/>
        <v>NW</v>
      </c>
      <c r="AH174" s="236" t="str">
        <f t="shared" si="80"/>
        <v>"%USERPROFILE%\Documents\GitHub\eaglep3\Utilities\RefineRTDCRunTimes.py" --tripid 1811-10 --locoid 4042 --swversion DE.1.0.9.0 --startMP 204:448 --initTime 2017-12-10T11:03:08 --startdatetime 2017-12-10T11:09:35 --delay 127 --endMP 300:58916 --enddatetime 2017-12-10T11:24:03 --enforcementcount 0 &gt;&gt;%USERPROFILE%\Documents\GitHub\eaglep3-reporting\EC\2017-12-10-refined-times.txt</v>
      </c>
      <c r="AI174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{"issue":{"subject":"","project_id":79,"tracker_id":40,"status_id":1,"priority_id":2,"assigned_to_id":338,"start_date":"2017-12-10","description":"","custom_fields":[{"id":1,"name":"Subdivision","value":"NW"},{"id":4,"name":"Milepost","value":"5.8916"},{"id":17,"name":"Train ID","value":"1811-10"},{"id":16,"name":"Locomotive ID","value":"4042"},{"id":130,"name":"Impact","value":""},{"id":150,"name":"Time of Event (Mountain Time)","value":"11:24:03"},{"id":151,"name":"Denver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82"/>
        <v>start /low /b %USERPROFILE%\Documents\GitHub\eaglep3\Utilities\DownloadLogsFromS3.py --loco 4042 --day 2017-12-10</v>
      </c>
      <c r="AN174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84"/>
        <v>https://d0f6bd738d7f1b3e5a7ca70fe4ff75f0.us-east-1.aws.found.io/app/kibana#/discover/Steve-Slow-Train-Analysis-(2080s-and-2083s)?_g=(refreshInterval:(display:Off,pause:!f,section:0,value:0),time:(from:'2017-12-10T10:03:08-0700',mode:absolute,to:'2017-12-10T12:24:03-0700'))&amp;_a=(columns:!('Message%20ID',Summary),filters:!(),index:'emp_*',interval:auto,query:(query_string:(analyze_wildcard:!t,query:'%22rtdc.l.rtdc.4042%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829</v>
      </c>
      <c r="B175" s="225">
        <v>4041</v>
      </c>
      <c r="C175" s="227" t="s">
        <v>192</v>
      </c>
      <c r="D175" s="227" t="s">
        <v>989</v>
      </c>
      <c r="E175" s="226">
        <v>43079.475983796299</v>
      </c>
      <c r="F175" s="226">
        <v>43079.489004629628</v>
      </c>
      <c r="G175" s="225">
        <v>55</v>
      </c>
      <c r="H175" s="227" t="s">
        <v>634</v>
      </c>
      <c r="I175" s="226">
        <v>43079.498206018521</v>
      </c>
      <c r="J175" s="225">
        <v>0</v>
      </c>
      <c r="K175" s="237" t="str">
        <f t="shared" si="70"/>
        <v>4041/4042</v>
      </c>
      <c r="L175" s="245" t="str">
        <f>VLOOKUP(A175,'Trips&amp;Operators'!$C$1:$G$99911,5,FALSE)</f>
        <v>MACDONALD THOMAS</v>
      </c>
      <c r="M175" s="224">
        <f t="shared" si="71"/>
        <v>9.2013888934161514E-3</v>
      </c>
      <c r="N175" s="225">
        <f t="shared" ref="N175:N195" si="103">24*60*SUM($M175:$M175)</f>
        <v>13.250000006519258</v>
      </c>
      <c r="O175" s="225"/>
      <c r="P175" s="225"/>
      <c r="Q175" s="228"/>
      <c r="R175" s="242"/>
      <c r="S175" s="249">
        <f t="shared" si="93"/>
        <v>1</v>
      </c>
      <c r="T175" s="242" t="str">
        <f t="shared" si="72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73"/>
        <v>https://d0f6bd738d7f1b3e5a7ca70fe4ff75f0.us-east-1.aws.found.io/app/kibana#/discover/Steve-Slow-Train-Analysis-(2080s-and-2083s)?_g=(refreshInterval:(display:Off,pause:!f,section:0,value:0),time:(from:'2017-12-10T10:25:25-0700',mode:absolute,to:'2017-12-10T12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5" s="247" t="str">
        <f>IF(AA175&lt;VLOOKUP(AG175,Variables!$AC$3:$AD$8,2,FALSE),"Y","N")</f>
        <v>N</v>
      </c>
      <c r="X175" s="247">
        <f t="shared" si="102"/>
        <v>1</v>
      </c>
      <c r="Y175" s="247">
        <f t="shared" si="100"/>
        <v>5.8611000000000004</v>
      </c>
      <c r="Z175" s="247">
        <f t="shared" si="101"/>
        <v>1.66E-2</v>
      </c>
      <c r="AA175" s="247">
        <f t="shared" si="74"/>
        <v>5.8445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75"/>
        <v>1812</v>
      </c>
      <c r="AE175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5" s="234" t="str">
        <f t="shared" si="77"/>
        <v>"C:\Program Files (x86)\AstroGrep\AstroGrep.exe" /e /r /s /spath="%USERPROFILE%\AppData\Local\Temp\OnboardLogs" /stypes="app*4041*20171210*" /stext=" 18:.+((SYSTEM_STATE.+slice.+state.+changed )|(ment ac)|(multiple cpu faults)|(system.+state.+changed )|(\[timeout)|(PRM\|1\|D)|(kpr)|(kdp)|(train st.+moving)|(\|lc)|(penalty))"</v>
      </c>
      <c r="AG175" s="244" t="str">
        <f t="shared" si="78"/>
        <v>NW</v>
      </c>
      <c r="AH175" s="236" t="str">
        <f t="shared" si="80"/>
        <v>"%USERPROFILE%\Documents\GitHub\eaglep3\Utilities\RefineRTDCRunTimes.py" --tripid 1812-10 --locoid 4041 --swversion DE.1.0.9.0 --startMP 300:58611 --initTime 2017-12-10T11:25:25 --startdatetime 2017-12-10T11:44:10 --delay 55 --endMP 204:166 --enddatetime 2017-12-10T11:57:25 --enforcementcount 0 &gt;&gt;%USERPROFILE%\Documents\GitHub\eaglep3-reporting\EC\2017-12-10-refined-times.txt</v>
      </c>
      <c r="AI175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{"issue":{"subject":"","project_id":79,"tracker_id":40,"status_id":1,"priority_id":2,"assigned_to_id":338,"start_date":"2017-12-10","description":"","custom_fields":[{"id":1,"name":"Subdivision","value":"NW"},{"id":4,"name":"Milepost","value":"0.0166"},{"id":17,"name":"Train ID","value":"1812-10"},{"id":16,"name":"Locomotive ID","value":"4041"},{"id":130,"name":"Impact","value":""},{"id":150,"name":"Time of Event (Mountain Time)","value":"11:57:25"},{"id":151,"name":"Denver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82"/>
        <v>start /low /b %USERPROFILE%\Documents\GitHub\eaglep3\Utilities\DownloadLogsFromS3.py --loco 4041 --day 2017-12-10</v>
      </c>
      <c r="AN175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18:57:25"},{"id":29,"name":"Sharepoint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84"/>
        <v>https://d0f6bd738d7f1b3e5a7ca70fe4ff75f0.us-east-1.aws.found.io/app/kibana#/discover/Steve-Slow-Train-Analysis-(2080s-and-2083s)?_g=(refreshInterval:(display:Off,pause:!f,section:0,value:0),time:(from:'2017-12-10T10:25:25-0700',mode:absolute,to:'2017-12-10T12:57:25-0700'))&amp;_a=(columns:!('Message%20ID',Summary),filters:!(),index:'emp_*',interval:auto,query:(query_string:(analyze_wildcard:!t,query:'%22rtdc.l.rtdc.4041%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834</v>
      </c>
      <c r="B176" s="225">
        <v>4042</v>
      </c>
      <c r="C176" s="227" t="s">
        <v>192</v>
      </c>
      <c r="D176" s="227" t="s">
        <v>707</v>
      </c>
      <c r="E176" s="226">
        <v>43079.502766203703</v>
      </c>
      <c r="F176" s="226">
        <v>43079.506828703707</v>
      </c>
      <c r="G176" s="225">
        <v>100</v>
      </c>
      <c r="H176" s="227" t="s">
        <v>990</v>
      </c>
      <c r="I176" s="226">
        <v>43079.51703703704</v>
      </c>
      <c r="J176" s="225">
        <v>0</v>
      </c>
      <c r="K176" s="237" t="str">
        <f t="shared" si="70"/>
        <v>4041/4042</v>
      </c>
      <c r="L176" s="245" t="str">
        <f>VLOOKUP(A176,'Trips&amp;Operators'!$C$1:$G$99911,5,FALSE)</f>
        <v>MACDONALD THOMAS</v>
      </c>
      <c r="M176" s="224">
        <f t="shared" si="71"/>
        <v>1.0208333333139308E-2</v>
      </c>
      <c r="N176" s="225">
        <f t="shared" si="103"/>
        <v>14.699999999720603</v>
      </c>
      <c r="O176" s="225"/>
      <c r="P176" s="225"/>
      <c r="Q176" s="228"/>
      <c r="R176" s="242"/>
      <c r="S176" s="249">
        <f t="shared" si="93"/>
        <v>1</v>
      </c>
      <c r="T176" s="242" t="str">
        <f t="shared" si="72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73"/>
        <v>https://d0f6bd738d7f1b3e5a7ca70fe4ff75f0.us-east-1.aws.found.io/app/kibana#/discover/Steve-Slow-Train-Analysis-(2080s-and-2083s)?_g=(refreshInterval:(display:Off,pause:!f,section:0,value:0),time:(from:'2017-12-10T11:03:59-0700',mode:absolute,to:'2017-12-10T13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6" s="247" t="str">
        <f>IF(AA176&lt;VLOOKUP(AG176,Variables!$AC$3:$AD$8,2,FALSE),"Y","N")</f>
        <v>N</v>
      </c>
      <c r="X176" s="247">
        <f t="shared" si="102"/>
        <v>1</v>
      </c>
      <c r="Y176" s="247">
        <f t="shared" si="100"/>
        <v>4.53E-2</v>
      </c>
      <c r="Z176" s="247">
        <f t="shared" si="101"/>
        <v>5.8909000000000002</v>
      </c>
      <c r="AA176" s="247">
        <f t="shared" si="74"/>
        <v>5.8456000000000001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75"/>
        <v>1813</v>
      </c>
      <c r="AE176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6" s="234" t="str">
        <f t="shared" si="77"/>
        <v>"C:\Program Files (x86)\AstroGrep\AstroGrep.exe" /e /r /s /spath="%USERPROFILE%\AppData\Local\Temp\OnboardLogs" /stypes="app*4042*20171210*" /stext=" 19:.+((SYSTEM_STATE.+slice.+state.+changed )|(ment ac)|(multiple cpu faults)|(system.+state.+changed )|(\[timeout)|(PRM\|1\|D)|(kpr)|(kdp)|(train st.+moving)|(\|lc)|(penalty))"</v>
      </c>
      <c r="AG176" s="244" t="str">
        <f t="shared" si="78"/>
        <v>NW</v>
      </c>
      <c r="AH176" s="236" t="str">
        <f t="shared" si="80"/>
        <v>"%USERPROFILE%\Documents\GitHub\eaglep3\Utilities\RefineRTDCRunTimes.py" --tripid 1813-10 --locoid 4042 --swversion DE.1.0.9.0 --startMP 204:453 --initTime 2017-12-10T12:03:59 --startdatetime 2017-12-10T12:09:50 --delay 100 --endMP 300:58909 --enddatetime 2017-12-10T12:24:32 --enforcementcount 0 &gt;&gt;%USERPROFILE%\Documents\GitHub\eaglep3-reporting\EC\2017-12-10-refined-times.txt</v>
      </c>
      <c r="AI176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{"issue":{"subject":"","project_id":79,"tracker_id":40,"status_id":1,"priority_id":2,"assigned_to_id":338,"start_date":"2017-12-10","description":"","custom_fields":[{"id":1,"name":"Subdivision","value":"NW"},{"id":4,"name":"Milepost","value":"5.8909"},{"id":17,"name":"Train ID","value":"1813-10"},{"id":16,"name":"Locomotive ID","value":"4042"},{"id":130,"name":"Impact","value":""},{"id":150,"name":"Time of Event (Mountain Time)","value":"12:24:32"},{"id":151,"name":"Denver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82"/>
        <v>start /low /b %USERPROFILE%\Documents\GitHub\eaglep3\Utilities\DownloadLogsFromS3.py --loco 4042 --day 2017-12-10</v>
      </c>
      <c r="AN176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84"/>
        <v>https://d0f6bd738d7f1b3e5a7ca70fe4ff75f0.us-east-1.aws.found.io/app/kibana#/discover/Steve-Slow-Train-Analysis-(2080s-and-2083s)?_g=(refreshInterval:(display:Off,pause:!f,section:0,value:0),time:(from:'2017-12-10T11:03:59-0700',mode:absolute,to:'2017-12-10T13:24:32-0700'))&amp;_a=(columns:!('Message%20ID',Summary),filters:!(),index:'emp_*',interval:auto,query:(query_string:(analyze_wildcard:!t,query:'%22rtdc.l.rtdc.4042%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839</v>
      </c>
      <c r="B177" s="225">
        <v>4041</v>
      </c>
      <c r="C177" s="227" t="s">
        <v>192</v>
      </c>
      <c r="D177" s="227" t="s">
        <v>991</v>
      </c>
      <c r="E177" s="226">
        <v>43079.517951388887</v>
      </c>
      <c r="F177" s="226">
        <v>43079.530451388891</v>
      </c>
      <c r="G177" s="225">
        <v>59</v>
      </c>
      <c r="H177" s="227" t="s">
        <v>698</v>
      </c>
      <c r="I177" s="226">
        <v>43079.539259259262</v>
      </c>
      <c r="J177" s="225">
        <v>0</v>
      </c>
      <c r="K177" s="237" t="str">
        <f t="shared" si="70"/>
        <v>4041/4042</v>
      </c>
      <c r="L177" s="245" t="str">
        <f>VLOOKUP(A177,'Trips&amp;Operators'!$C$1:$G$99911,5,FALSE)</f>
        <v>MACDONALD THOMAS</v>
      </c>
      <c r="M177" s="224">
        <f t="shared" si="71"/>
        <v>8.8078703702194616E-3</v>
      </c>
      <c r="N177" s="225">
        <f t="shared" si="103"/>
        <v>12.683333333116025</v>
      </c>
      <c r="O177" s="225"/>
      <c r="P177" s="225"/>
      <c r="Q177" s="228"/>
      <c r="R177" s="242"/>
      <c r="S177" s="249">
        <f t="shared" si="93"/>
        <v>1</v>
      </c>
      <c r="T177" s="242" t="str">
        <f t="shared" si="72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73"/>
        <v>https://d0f6bd738d7f1b3e5a7ca70fe4ff75f0.us-east-1.aws.found.io/app/kibana#/discover/Steve-Slow-Train-Analysis-(2080s-and-2083s)?_g=(refreshInterval:(display:Off,pause:!f,section:0,value:0),time:(from:'2017-12-10T11:25:51-0700',mode:absolute,to:'2017-12-10T13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7" s="247" t="str">
        <f>IF(AA177&lt;VLOOKUP(AG177,Variables!$AC$3:$AD$8,2,FALSE),"Y","N")</f>
        <v>N</v>
      </c>
      <c r="X177" s="247">
        <f t="shared" si="102"/>
        <v>1</v>
      </c>
      <c r="Y177" s="247">
        <f t="shared" si="100"/>
        <v>5.8593999999999999</v>
      </c>
      <c r="Z177" s="247">
        <f t="shared" si="101"/>
        <v>1.7600000000000001E-2</v>
      </c>
      <c r="AA177" s="247">
        <f t="shared" si="74"/>
        <v>5.8418000000000001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75"/>
        <v>1814</v>
      </c>
      <c r="AE177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7" s="234" t="str">
        <f t="shared" si="77"/>
        <v>"C:\Program Files (x86)\AstroGrep\AstroGrep.exe" /e /r /s /spath="%USERPROFILE%\AppData\Local\Temp\OnboardLogs" /stypes="app*4041*20171210*" /stext=" 19:.+((SYSTEM_STATE.+slice.+state.+changed )|(ment ac)|(multiple cpu faults)|(system.+state.+changed )|(\[timeout)|(PRM\|1\|D)|(kpr)|(kdp)|(train st.+moving)|(\|lc)|(penalty))"</v>
      </c>
      <c r="AG177" s="244" t="str">
        <f t="shared" si="78"/>
        <v>NW</v>
      </c>
      <c r="AH177" s="236" t="str">
        <f t="shared" si="80"/>
        <v>"%USERPROFILE%\Documents\GitHub\eaglep3\Utilities\RefineRTDCRunTimes.py" --tripid 1814-10 --locoid 4041 --swversion DE.1.0.9.0 --startMP 300:58594 --initTime 2017-12-10T12:25:51 --startdatetime 2017-12-10T12:43:51 --delay 59 --endMP 204:176 --enddatetime 2017-12-10T12:56:32 --enforcementcount 0 &gt;&gt;%USERPROFILE%\Documents\GitHub\eaglep3-reporting\EC\2017-12-10-refined-times.txt</v>
      </c>
      <c r="AI177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{"issue":{"subject":"","project_id":79,"tracker_id":40,"status_id":1,"priority_id":2,"assigned_to_id":338,"start_date":"2017-12-10","description":"","custom_fields":[{"id":1,"name":"Subdivision","value":"NW"},{"id":4,"name":"Milepost","value":"0.0176"},{"id":17,"name":"Train ID","value":"1814-10"},{"id":16,"name":"Locomotive ID","value":"4041"},{"id":130,"name":"Impact","value":""},{"id":150,"name":"Time of Event (Mountain Time)","value":"12:56:32"},{"id":151,"name":"Denver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82"/>
        <v>start /low /b %USERPROFILE%\Documents\GitHub\eaglep3\Utilities\DownloadLogsFromS3.py --loco 4041 --day 2017-12-10</v>
      </c>
      <c r="AN177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84"/>
        <v>https://d0f6bd738d7f1b3e5a7ca70fe4ff75f0.us-east-1.aws.found.io/app/kibana#/discover/Steve-Slow-Train-Analysis-(2080s-and-2083s)?_g=(refreshInterval:(display:Off,pause:!f,section:0,value:0),time:(from:'2017-12-10T11:25:51-0700',mode:absolute,to:'2017-12-10T13:56:32-0700'))&amp;_a=(columns:!('Message%20ID',Summary),filters:!(),index:'emp_*',interval:auto,query:(query_string:(analyze_wildcard:!t,query:'%22rtdc.l.rtdc.4041%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846</v>
      </c>
      <c r="B178" s="225">
        <v>4042</v>
      </c>
      <c r="C178" s="227" t="s">
        <v>192</v>
      </c>
      <c r="D178" s="227" t="s">
        <v>632</v>
      </c>
      <c r="E178" s="226">
        <v>43079.547511574077</v>
      </c>
      <c r="F178" s="226">
        <v>43079.555196759262</v>
      </c>
      <c r="G178" s="225">
        <v>75</v>
      </c>
      <c r="H178" s="227" t="s">
        <v>992</v>
      </c>
      <c r="I178" s="226">
        <v>43079.565416666665</v>
      </c>
      <c r="J178" s="225">
        <v>0</v>
      </c>
      <c r="K178" s="237" t="str">
        <f t="shared" si="70"/>
        <v>4041/4042</v>
      </c>
      <c r="L178" s="245" t="str">
        <f>VLOOKUP(A178,'Trips&amp;Operators'!$C$1:$G$99911,5,FALSE)</f>
        <v>MACDONALD THOMAS</v>
      </c>
      <c r="M178" s="224">
        <f t="shared" si="71"/>
        <v>1.0219907402643003E-2</v>
      </c>
      <c r="N178" s="225">
        <f t="shared" si="103"/>
        <v>14.716666659805924</v>
      </c>
      <c r="O178" s="225"/>
      <c r="P178" s="225"/>
      <c r="Q178" s="228"/>
      <c r="R178" s="242"/>
      <c r="S178" s="249">
        <f t="shared" si="93"/>
        <v>1</v>
      </c>
      <c r="T178" s="242" t="str">
        <f t="shared" si="72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73"/>
        <v>https://d0f6bd738d7f1b3e5a7ca70fe4ff75f0.us-east-1.aws.found.io/app/kibana#/discover/Steve-Slow-Train-Analysis-(2080s-and-2083s)?_g=(refreshInterval:(display:Off,pause:!f,section:0,value:0),time:(from:'2017-12-10T12:08:25-0700',mode:absolute,to:'2017-12-10T14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8" s="247" t="str">
        <f>IF(AA178&lt;VLOOKUP(AG178,Variables!$AC$3:$AD$8,2,FALSE),"Y","N")</f>
        <v>N</v>
      </c>
      <c r="X178" s="247">
        <f t="shared" si="102"/>
        <v>1</v>
      </c>
      <c r="Y178" s="247">
        <f t="shared" si="100"/>
        <v>4.5499999999999999E-2</v>
      </c>
      <c r="Z178" s="247">
        <f t="shared" si="101"/>
        <v>5.8921999999999999</v>
      </c>
      <c r="AA178" s="247">
        <f t="shared" si="74"/>
        <v>5.8467000000000002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75"/>
        <v>1815</v>
      </c>
      <c r="AE178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8" s="234" t="str">
        <f t="shared" si="77"/>
        <v>"C:\Program Files (x86)\AstroGrep\AstroGrep.exe" /e /r /s /spath="%USERPROFILE%\AppData\Local\Temp\OnboardLogs" /stypes="app*4042*20171210*" /stext=" 20:.+((SYSTEM_STATE.+slice.+state.+changed )|(ment ac)|(multiple cpu faults)|(system.+state.+changed )|(\[timeout)|(PRM\|1\|D)|(kpr)|(kdp)|(train st.+moving)|(\|lc)|(penalty))"</v>
      </c>
      <c r="AG178" s="244" t="str">
        <f t="shared" si="78"/>
        <v>NW</v>
      </c>
      <c r="AH178" s="236" t="str">
        <f t="shared" si="80"/>
        <v>"%USERPROFILE%\Documents\GitHub\eaglep3\Utilities\RefineRTDCRunTimes.py" --tripid 1815-10 --locoid 4042 --swversion DE.1.0.9.0 --startMP 204:455 --initTime 2017-12-10T13:08:25 --startdatetime 2017-12-10T13:19:29 --delay 75 --endMP 300:58922 --enddatetime 2017-12-10T13:34:12 --enforcementcount 0 &gt;&gt;%USERPROFILE%\Documents\GitHub\eaglep3-reporting\EC\2017-12-10-refined-times.txt</v>
      </c>
      <c r="AI178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{"issue":{"subject":"","project_id":79,"tracker_id":40,"status_id":1,"priority_id":2,"assigned_to_id":338,"start_date":"2017-12-10","description":"","custom_fields":[{"id":1,"name":"Subdivision","value":"NW"},{"id":4,"name":"Milepost","value":"5.8922"},{"id":17,"name":"Train ID","value":"1815-10"},{"id":16,"name":"Locomotive ID","value":"4042"},{"id":130,"name":"Impact","value":""},{"id":150,"name":"Time of Event (Mountain Time)","value":"13:34:12"},{"id":151,"name":"Denver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82"/>
        <v>start /low /b %USERPROFILE%\Documents\GitHub\eaglep3\Utilities\DownloadLogsFromS3.py --loco 4042 --day 2017-12-10</v>
      </c>
      <c r="AN178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84"/>
        <v>https://d0f6bd738d7f1b3e5a7ca70fe4ff75f0.us-east-1.aws.found.io/app/kibana#/discover/Steve-Slow-Train-Analysis-(2080s-and-2083s)?_g=(refreshInterval:(display:Off,pause:!f,section:0,value:0),time:(from:'2017-12-10T12:08:25-0700',mode:absolute,to:'2017-12-10T14:34:12-0700'))&amp;_a=(columns:!('Message%20ID',Summary),filters:!(),index:'emp_*',interval:auto,query:(query_string:(analyze_wildcard:!t,query:'%22rtdc.l.rtdc.4042%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850</v>
      </c>
      <c r="B179" s="225">
        <v>4041</v>
      </c>
      <c r="C179" s="227" t="s">
        <v>192</v>
      </c>
      <c r="D179" s="227" t="s">
        <v>993</v>
      </c>
      <c r="E179" s="226">
        <v>43079.566250000003</v>
      </c>
      <c r="F179" s="226">
        <v>43079.572187500002</v>
      </c>
      <c r="G179" s="225" t="s">
        <v>1068</v>
      </c>
      <c r="H179" s="227" t="s">
        <v>994</v>
      </c>
      <c r="I179" s="226">
        <v>43079.580648148149</v>
      </c>
      <c r="J179" s="225">
        <v>0</v>
      </c>
      <c r="K179" s="237" t="str">
        <f t="shared" si="70"/>
        <v>4041/4042</v>
      </c>
      <c r="L179" s="245" t="str">
        <f>VLOOKUP(A179,'Trips&amp;Operators'!$C$1:$G$99911,5,FALSE)</f>
        <v>MACDONALD THOMAS</v>
      </c>
      <c r="M179" s="224">
        <f t="shared" si="71"/>
        <v>8.4606481468654238E-3</v>
      </c>
      <c r="N179" s="225">
        <f t="shared" si="103"/>
        <v>12.18333333148621</v>
      </c>
      <c r="O179" s="225"/>
      <c r="P179" s="225"/>
      <c r="Q179" s="228"/>
      <c r="R179" s="242"/>
      <c r="S179" s="249">
        <f t="shared" si="93"/>
        <v>1</v>
      </c>
      <c r="T179" s="242" t="str">
        <f t="shared" si="72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73"/>
        <v>https://d0f6bd738d7f1b3e5a7ca70fe4ff75f0.us-east-1.aws.found.io/app/kibana#/discover/Steve-Slow-Train-Analysis-(2080s-and-2083s)?_g=(refreshInterval:(display:Off,pause:!f,section:0,value:0),time:(from:'2017-12-10T12:35:24-0700',mode:absolute,to:'2017-12-10T14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9" s="247" t="str">
        <f>IF(AA179&lt;VLOOKUP(AG179,Variables!$AC$3:$AD$8,2,FALSE),"Y","N")</f>
        <v>N</v>
      </c>
      <c r="X179" s="247">
        <f t="shared" si="102"/>
        <v>1</v>
      </c>
      <c r="Y179" s="247">
        <f t="shared" si="100"/>
        <v>5.8601999999999999</v>
      </c>
      <c r="Z179" s="247">
        <f t="shared" si="101"/>
        <v>1.8599999999999998E-2</v>
      </c>
      <c r="AA179" s="247">
        <f t="shared" si="74"/>
        <v>5.8415999999999997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75"/>
        <v>1816</v>
      </c>
      <c r="AE179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9" s="234" t="str">
        <f t="shared" si="77"/>
        <v>"C:\Program Files (x86)\AstroGrep\AstroGrep.exe" /e /r /s /spath="%USERPROFILE%\AppData\Local\Temp\OnboardLogs" /stypes="app*4041*20171210*" /stext=" 20:.+((SYSTEM_STATE.+slice.+state.+changed )|(ment ac)|(multiple cpu faults)|(system.+state.+changed )|(\[timeout)|(PRM\|1\|D)|(kpr)|(kdp)|(train st.+moving)|(\|lc)|(penalty))"</v>
      </c>
      <c r="AG179" s="244" t="str">
        <f t="shared" si="78"/>
        <v>NW</v>
      </c>
      <c r="AH179" s="236" t="str">
        <f t="shared" si="80"/>
        <v>"%USERPROFILE%\Documents\GitHub\eaglep3\Utilities\RefineRTDCRunTimes.py" --tripid 1816-10 --locoid 4041 --swversion DE.1.0.9.0 --startMP 300:58602 --initTime 2017-12-10T13:35:24 --startdatetime 2017-12-10T13:43:57 --delay RTDC4041 --endMP 204:186 --enddatetime 2017-12-10T13:56:08 --enforcementcount 0 &gt;&gt;%USERPROFILE%\Documents\GitHub\eaglep3-reporting\EC\2017-12-10-refined-times.txt</v>
      </c>
      <c r="AI179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{"issue":{"subject":"","project_id":79,"tracker_id":40,"status_id":1,"priority_id":2,"assigned_to_id":338,"start_date":"2017-12-10","description":"","custom_fields":[{"id":1,"name":"Subdivision","value":"NW"},{"id":4,"name":"Milepost","value":"0.0186"},{"id":17,"name":"Train ID","value":"1816-10"},{"id":16,"name":"Locomotive ID","value":"4041"},{"id":130,"name":"Impact","value":""},{"id":150,"name":"Time of Event (Mountain Time)","value":"13:56:08"},{"id":151,"name":"Denver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82"/>
        <v>start /low /b %USERPROFILE%\Documents\GitHub\eaglep3\Utilities\DownloadLogsFromS3.py --loco 4041 --day 2017-12-10</v>
      </c>
      <c r="AN179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84"/>
        <v>https://d0f6bd738d7f1b3e5a7ca70fe4ff75f0.us-east-1.aws.found.io/app/kibana#/discover/Steve-Slow-Train-Analysis-(2080s-and-2083s)?_g=(refreshInterval:(display:Off,pause:!f,section:0,value:0),time:(from:'2017-12-10T12:35:24-0700',mode:absolute,to:'2017-12-10T14:56:08-0700'))&amp;_a=(columns:!('Message%20ID',Summary),filters:!(),index:'emp_*',interval:auto,query:(query_string:(analyze_wildcard:!t,query:'%22rtdc.l.rtdc.4041%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854</v>
      </c>
      <c r="B180" s="225">
        <v>4042</v>
      </c>
      <c r="C180" s="227" t="s">
        <v>192</v>
      </c>
      <c r="D180" s="227" t="s">
        <v>611</v>
      </c>
      <c r="E180" s="226">
        <v>43079.583460648151</v>
      </c>
      <c r="F180" s="226">
        <v>43079.589907407404</v>
      </c>
      <c r="G180" s="225">
        <v>70</v>
      </c>
      <c r="H180" s="227" t="s">
        <v>553</v>
      </c>
      <c r="I180" s="226">
        <v>43079.599976851852</v>
      </c>
      <c r="J180" s="225">
        <v>0</v>
      </c>
      <c r="K180" s="237" t="str">
        <f t="shared" si="70"/>
        <v>4041/4042</v>
      </c>
      <c r="L180" s="245" t="str">
        <f>VLOOKUP(A180,'Trips&amp;Operators'!$C$1:$G$99911,5,FALSE)</f>
        <v>HOLCOMB KAMDEN</v>
      </c>
      <c r="M180" s="224">
        <f t="shared" si="71"/>
        <v>1.0069444448163267E-2</v>
      </c>
      <c r="N180" s="225">
        <f t="shared" si="103"/>
        <v>14.500000005355105</v>
      </c>
      <c r="O180" s="225"/>
      <c r="P180" s="225"/>
      <c r="Q180" s="228"/>
      <c r="R180" s="242"/>
      <c r="S180" s="249">
        <f t="shared" si="93"/>
        <v>1</v>
      </c>
      <c r="T180" s="242" t="str">
        <f t="shared" si="72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73"/>
        <v>https://d0f6bd738d7f1b3e5a7ca70fe4ff75f0.us-east-1.aws.found.io/app/kibana#/discover/Steve-Slow-Train-Analysis-(2080s-and-2083s)?_g=(refreshInterval:(display:Off,pause:!f,section:0,value:0),time:(from:'2017-12-10T13:00:11-0700',mode:absolute,to:'2017-12-10T15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0" s="247" t="str">
        <f>IF(AA180&lt;VLOOKUP(AG180,Variables!$AC$3:$AD$8,2,FALSE),"Y","N")</f>
        <v>N</v>
      </c>
      <c r="X180" s="247">
        <f t="shared" si="102"/>
        <v>1</v>
      </c>
      <c r="Y180" s="247">
        <f t="shared" si="100"/>
        <v>4.9099999999999998E-2</v>
      </c>
      <c r="Z180" s="247">
        <f t="shared" si="101"/>
        <v>5.8975</v>
      </c>
      <c r="AA180" s="247">
        <f t="shared" si="74"/>
        <v>5.8483999999999998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75"/>
        <v>1817</v>
      </c>
      <c r="AE180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0" s="234" t="str">
        <f t="shared" si="77"/>
        <v>"C:\Program Files (x86)\AstroGrep\AstroGrep.exe" /e /r /s /spath="%USERPROFILE%\AppData\Local\Temp\OnboardLogs" /stypes="app*4042*20171210*" /stext=" 21:.+((SYSTEM_STATE.+slice.+state.+changed )|(ment ac)|(multiple cpu faults)|(system.+state.+changed )|(\[timeout)|(PRM\|1\|D)|(kpr)|(kdp)|(train st.+moving)|(\|lc)|(penalty))"</v>
      </c>
      <c r="AG180" s="244" t="str">
        <f t="shared" si="78"/>
        <v>NW</v>
      </c>
      <c r="AH180" s="236" t="str">
        <f t="shared" si="80"/>
        <v>"%USERPROFILE%\Documents\GitHub\eaglep3\Utilities\RefineRTDCRunTimes.py" --tripid 1817-10 --locoid 4042 --swversion DE.1.0.9.0 --startMP 204:491 --initTime 2017-12-10T14:00:11 --startdatetime 2017-12-10T14:09:28 --delay 70 --endMP 300:58975 --enddatetime 2017-12-10T14:23:58 --enforcementcount 0 &gt;&gt;%USERPROFILE%\Documents\GitHub\eaglep3-reporting\EC\2017-12-10-refined-times.txt</v>
      </c>
      <c r="AI180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{"issue":{"subject":"","project_id":79,"tracker_id":40,"status_id":1,"priority_id":2,"assigned_to_id":338,"start_date":"2017-12-10","description":"","custom_fields":[{"id":1,"name":"Subdivision","value":"NW"},{"id":4,"name":"Milepost","value":"5.8975"},{"id":17,"name":"Train ID","value":"1817-10"},{"id":16,"name":"Locomotive ID","value":"4042"},{"id":130,"name":"Impact","value":""},{"id":150,"name":"Time of Event (Mountain Time)","value":"14:23:58"},{"id":151,"name":"Denver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82"/>
        <v>start /low /b %USERPROFILE%\Documents\GitHub\eaglep3\Utilities\DownloadLogsFromS3.py --loco 4042 --day 2017-12-10</v>
      </c>
      <c r="AN180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84"/>
        <v>https://d0f6bd738d7f1b3e5a7ca70fe4ff75f0.us-east-1.aws.found.io/app/kibana#/discover/Steve-Slow-Train-Analysis-(2080s-and-2083s)?_g=(refreshInterval:(display:Off,pause:!f,section:0,value:0),time:(from:'2017-12-10T13:00:11-0700',mode:absolute,to:'2017-12-10T15:23:58-0700'))&amp;_a=(columns:!('Message%20ID',Summary),filters:!(),index:'emp_*',interval:auto,query:(query_string:(analyze_wildcard:!t,query:'%22rtdc.l.rtdc.4042%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858</v>
      </c>
      <c r="B181" s="225">
        <v>4041</v>
      </c>
      <c r="C181" s="227" t="s">
        <v>192</v>
      </c>
      <c r="D181" s="227" t="s">
        <v>631</v>
      </c>
      <c r="E181" s="226">
        <v>43079.600798611114</v>
      </c>
      <c r="F181" s="226">
        <v>43079.613275462965</v>
      </c>
      <c r="G181" s="225">
        <v>72</v>
      </c>
      <c r="H181" s="227" t="s">
        <v>995</v>
      </c>
      <c r="I181" s="226">
        <v>43079.621377314812</v>
      </c>
      <c r="J181" s="225">
        <v>0</v>
      </c>
      <c r="K181" s="237" t="str">
        <f t="shared" si="70"/>
        <v>4041/4042</v>
      </c>
      <c r="L181" s="245" t="str">
        <f>VLOOKUP(A181,'Trips&amp;Operators'!$C$1:$G$99911,5,FALSE)</f>
        <v>HOLCOMB KAMDEN</v>
      </c>
      <c r="M181" s="224">
        <f t="shared" si="71"/>
        <v>8.1018518467317335E-3</v>
      </c>
      <c r="N181" s="225">
        <f t="shared" si="103"/>
        <v>11.666666659293696</v>
      </c>
      <c r="O181" s="225"/>
      <c r="P181" s="225"/>
      <c r="Q181" s="228"/>
      <c r="R181" s="242"/>
      <c r="S181" s="249">
        <f t="shared" si="93"/>
        <v>1</v>
      </c>
      <c r="T181" s="242" t="str">
        <f t="shared" si="72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73"/>
        <v>https://d0f6bd738d7f1b3e5a7ca70fe4ff75f0.us-east-1.aws.found.io/app/kibana#/discover/Steve-Slow-Train-Analysis-(2080s-and-2083s)?_g=(refreshInterval:(display:Off,pause:!f,section:0,value:0),time:(from:'2017-12-10T13:25:09-0700',mode:absolute,to:'2017-12-10T15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1" s="247" t="str">
        <f>IF(AA181&lt;VLOOKUP(AG181,Variables!$AC$3:$AD$8,2,FALSE),"Y","N")</f>
        <v>N</v>
      </c>
      <c r="X181" s="247">
        <f t="shared" si="102"/>
        <v>1</v>
      </c>
      <c r="Y181" s="247">
        <f t="shared" si="100"/>
        <v>5.867</v>
      </c>
      <c r="Z181" s="247">
        <f t="shared" si="101"/>
        <v>8.3999999999999995E-3</v>
      </c>
      <c r="AA181" s="247">
        <f t="shared" si="74"/>
        <v>5.8586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75"/>
        <v>1818</v>
      </c>
      <c r="AE181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1" s="234" t="str">
        <f t="shared" si="77"/>
        <v>"C:\Program Files (x86)\AstroGrep\AstroGrep.exe" /e /r /s /spath="%USERPROFILE%\AppData\Local\Temp\OnboardLogs" /stypes="app*4041*20171210*" /stext=" 21:.+((SYSTEM_STATE.+slice.+state.+changed )|(ment ac)|(multiple cpu faults)|(system.+state.+changed )|(\[timeout)|(PRM\|1\|D)|(kpr)|(kdp)|(train st.+moving)|(\|lc)|(penalty))"</v>
      </c>
      <c r="AG181" s="244" t="str">
        <f t="shared" si="78"/>
        <v>NW</v>
      </c>
      <c r="AH181" s="236" t="str">
        <f t="shared" si="80"/>
        <v>"%USERPROFILE%\Documents\GitHub\eaglep3\Utilities\RefineRTDCRunTimes.py" --tripid 1818-10 --locoid 4041 --swversion DE.1.0.9.0 --startMP 300:58670 --initTime 2017-12-10T14:25:09 --startdatetime 2017-12-10T14:43:07 --delay 72 --endMP 204:84 --enddatetime 2017-12-10T14:54:47 --enforcementcount 0 &gt;&gt;%USERPROFILE%\Documents\GitHub\eaglep3-reporting\EC\2017-12-10-refined-times.txt</v>
      </c>
      <c r="AI181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{"issue":{"subject":"","project_id":79,"tracker_id":40,"status_id":1,"priority_id":2,"assigned_to_id":338,"start_date":"2017-12-10","description":"","custom_fields":[{"id":1,"name":"Subdivision","value":"NW"},{"id":4,"name":"Milepost","value":"0.0084"},{"id":17,"name":"Train ID","value":"1818-10"},{"id":16,"name":"Locomotive ID","value":"4041"},{"id":130,"name":"Impact","value":""},{"id":150,"name":"Time of Event (Mountain Time)","value":"14:54:47"},{"id":151,"name":"Denver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82"/>
        <v>start /low /b %USERPROFILE%\Documents\GitHub\eaglep3\Utilities\DownloadLogsFromS3.py --loco 4041 --day 2017-12-10</v>
      </c>
      <c r="AN181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84"/>
        <v>https://d0f6bd738d7f1b3e5a7ca70fe4ff75f0.us-east-1.aws.found.io/app/kibana#/discover/Steve-Slow-Train-Analysis-(2080s-and-2083s)?_g=(refreshInterval:(display:Off,pause:!f,section:0,value:0),time:(from:'2017-12-10T13:25:09-0700',mode:absolute,to:'2017-12-10T15:54:47-0700'))&amp;_a=(columns:!('Message%20ID',Summary),filters:!(),index:'emp_*',interval:auto,query:(query_string:(analyze_wildcard:!t,query:'%22rtdc.l.rtdc.4041%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862</v>
      </c>
      <c r="B182" s="225">
        <v>4042</v>
      </c>
      <c r="C182" s="227" t="s">
        <v>192</v>
      </c>
      <c r="D182" s="227" t="s">
        <v>996</v>
      </c>
      <c r="E182" s="226">
        <v>43079.628900462965</v>
      </c>
      <c r="F182" s="226">
        <v>43079.631585648145</v>
      </c>
      <c r="G182" s="225">
        <v>58</v>
      </c>
      <c r="H182" s="227" t="s">
        <v>553</v>
      </c>
      <c r="I182" s="226">
        <v>43079.641655092593</v>
      </c>
      <c r="J182" s="225">
        <v>0</v>
      </c>
      <c r="K182" s="237" t="str">
        <f t="shared" si="70"/>
        <v>4041/4042</v>
      </c>
      <c r="L182" s="245" t="str">
        <f>VLOOKUP(A182,'Trips&amp;Operators'!$C$1:$G$99911,5,FALSE)</f>
        <v>HOLCOMB KAMDEN</v>
      </c>
      <c r="M182" s="224">
        <f t="shared" si="71"/>
        <v>1.0069444448163267E-2</v>
      </c>
      <c r="N182" s="225">
        <f t="shared" si="103"/>
        <v>14.500000005355105</v>
      </c>
      <c r="O182" s="225"/>
      <c r="P182" s="225"/>
      <c r="Q182" s="228"/>
      <c r="R182" s="242"/>
      <c r="S182" s="249">
        <f t="shared" si="93"/>
        <v>1</v>
      </c>
      <c r="T182" s="242" t="str">
        <f t="shared" si="72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73"/>
        <v>https://d0f6bd738d7f1b3e5a7ca70fe4ff75f0.us-east-1.aws.found.io/app/kibana#/discover/Steve-Slow-Train-Analysis-(2080s-and-2083s)?_g=(refreshInterval:(display:Off,pause:!f,section:0,value:0),time:(from:'2017-12-10T14:05:37-0700',mode:absolute,to:'2017-12-10T16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2" s="247" t="str">
        <f>IF(AA182&lt;VLOOKUP(AG182,Variables!$AC$3:$AD$8,2,FALSE),"Y","N")</f>
        <v>N</v>
      </c>
      <c r="X182" s="247">
        <f t="shared" si="102"/>
        <v>1</v>
      </c>
      <c r="Y182" s="247">
        <f t="shared" si="100"/>
        <v>3.8800000000000001E-2</v>
      </c>
      <c r="Z182" s="247">
        <f t="shared" si="101"/>
        <v>5.8975</v>
      </c>
      <c r="AA182" s="247">
        <f t="shared" si="74"/>
        <v>5.8586999999999998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75"/>
        <v>1819</v>
      </c>
      <c r="AE182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2" s="234" t="str">
        <f t="shared" si="77"/>
        <v>"C:\Program Files (x86)\AstroGrep\AstroGrep.exe" /e /r /s /spath="%USERPROFILE%\AppData\Local\Temp\OnboardLogs" /stypes="app*4042*20171210*" /stext=" 22:.+((SYSTEM_STATE.+slice.+state.+changed )|(ment ac)|(multiple cpu faults)|(system.+state.+changed )|(\[timeout)|(PRM\|1\|D)|(kpr)|(kdp)|(train st.+moving)|(\|lc)|(penalty))"</v>
      </c>
      <c r="AG182" s="244" t="str">
        <f t="shared" si="78"/>
        <v>NW</v>
      </c>
      <c r="AH182" s="236" t="str">
        <f t="shared" si="80"/>
        <v>"%USERPROFILE%\Documents\GitHub\eaglep3\Utilities\RefineRTDCRunTimes.py" --tripid 1819-10 --locoid 4042 --swversion DE.1.0.9.0 --startMP 204:388 --initTime 2017-12-10T15:05:37 --startdatetime 2017-12-10T15:09:29 --delay 58 --endMP 300:58975 --enddatetime 2017-12-10T15:23:59 --enforcementcount 0 &gt;&gt;%USERPROFILE%\Documents\GitHub\eaglep3-reporting\EC\2017-12-10-refined-times.txt</v>
      </c>
      <c r="AI182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{"issue":{"subject":"","project_id":79,"tracker_id":40,"status_id":1,"priority_id":2,"assigned_to_id":338,"start_date":"2017-12-10","description":"","custom_fields":[{"id":1,"name":"Subdivision","value":"NW"},{"id":4,"name":"Milepost","value":"5.8975"},{"id":17,"name":"Train ID","value":"1819-10"},{"id":16,"name":"Locomotive ID","value":"4042"},{"id":130,"name":"Impact","value":""},{"id":150,"name":"Time of Event (Mountain Time)","value":"15:23:59"},{"id":151,"name":"Denver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82"/>
        <v>start /low /b %USERPROFILE%\Documents\GitHub\eaglep3\Utilities\DownloadLogsFromS3.py --loco 4042 --day 2017-12-10</v>
      </c>
      <c r="AN182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84"/>
        <v>https://d0f6bd738d7f1b3e5a7ca70fe4ff75f0.us-east-1.aws.found.io/app/kibana#/discover/Steve-Slow-Train-Analysis-(2080s-and-2083s)?_g=(refreshInterval:(display:Off,pause:!f,section:0,value:0),time:(from:'2017-12-10T14:05:37-0700',mode:absolute,to:'2017-12-10T16:23:59-0700'))&amp;_a=(columns:!('Message%20ID',Summary),filters:!(),index:'emp_*',interval:auto,query:(query_string:(analyze_wildcard:!t,query:'%22rtdc.l.rtdc.4042%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867</v>
      </c>
      <c r="B183" s="225">
        <v>4041</v>
      </c>
      <c r="C183" s="227" t="s">
        <v>192</v>
      </c>
      <c r="D183" s="227" t="s">
        <v>997</v>
      </c>
      <c r="E183" s="226">
        <v>43079.642384259256</v>
      </c>
      <c r="F183" s="226">
        <v>43079.655023148145</v>
      </c>
      <c r="G183" s="225">
        <v>60</v>
      </c>
      <c r="H183" s="227" t="s">
        <v>995</v>
      </c>
      <c r="I183" s="226">
        <v>43079.662986111114</v>
      </c>
      <c r="J183" s="225">
        <v>0</v>
      </c>
      <c r="K183" s="237" t="str">
        <f t="shared" si="70"/>
        <v>4041/4042</v>
      </c>
      <c r="L183" s="245" t="str">
        <f>VLOOKUP(A183,'Trips&amp;Operators'!$C$1:$G$99911,5,FALSE)</f>
        <v>HOLCOMB KAMDEN</v>
      </c>
      <c r="M183" s="224">
        <f t="shared" si="71"/>
        <v>7.9629629690316506E-3</v>
      </c>
      <c r="N183" s="225">
        <f t="shared" si="103"/>
        <v>11.466666675405577</v>
      </c>
      <c r="O183" s="225"/>
      <c r="P183" s="225"/>
      <c r="Q183" s="228"/>
      <c r="R183" s="242"/>
      <c r="S183" s="249">
        <f t="shared" si="93"/>
        <v>1</v>
      </c>
      <c r="T183" s="242" t="str">
        <f t="shared" si="72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73"/>
        <v>https://d0f6bd738d7f1b3e5a7ca70fe4ff75f0.us-east-1.aws.found.io/app/kibana#/discover/Steve-Slow-Train-Analysis-(2080s-and-2083s)?_g=(refreshInterval:(display:Off,pause:!f,section:0,value:0),time:(from:'2017-12-10T14:25:02-0700',mode:absolute,to:'2017-12-10T16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3" s="247" t="str">
        <f>IF(AA183&lt;VLOOKUP(AG183,Variables!$AC$3:$AD$8,2,FALSE),"Y","N")</f>
        <v>N</v>
      </c>
      <c r="X183" s="247">
        <f t="shared" si="102"/>
        <v>1</v>
      </c>
      <c r="Y183" s="247">
        <f t="shared" si="100"/>
        <v>5.8662000000000001</v>
      </c>
      <c r="Z183" s="247">
        <f t="shared" si="101"/>
        <v>8.3999999999999995E-3</v>
      </c>
      <c r="AA183" s="247">
        <f t="shared" si="74"/>
        <v>5.8578000000000001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75"/>
        <v>1820</v>
      </c>
      <c r="AE183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3" s="234" t="str">
        <f t="shared" si="77"/>
        <v>"C:\Program Files (x86)\AstroGrep\AstroGrep.exe" /e /r /s /spath="%USERPROFILE%\AppData\Local\Temp\OnboardLogs" /stypes="app*4041*20171210*" /stext=" 22:.+((SYSTEM_STATE.+slice.+state.+changed )|(ment ac)|(multiple cpu faults)|(system.+state.+changed )|(\[timeout)|(PRM\|1\|D)|(kpr)|(kdp)|(train st.+moving)|(\|lc)|(penalty))"</v>
      </c>
      <c r="AG183" s="244" t="str">
        <f t="shared" si="78"/>
        <v>NW</v>
      </c>
      <c r="AH183" s="236" t="str">
        <f t="shared" si="80"/>
        <v>"%USERPROFILE%\Documents\GitHub\eaglep3\Utilities\RefineRTDCRunTimes.py" --tripid 1820-10 --locoid 4041 --swversion DE.1.0.9.0 --startMP 300:58662 --initTime 2017-12-10T15:25:02 --startdatetime 2017-12-10T15:43:14 --delay 60 --endMP 204:84 --enddatetime 2017-12-10T15:54:42 --enforcementcount 0 &gt;&gt;%USERPROFILE%\Documents\GitHub\eaglep3-reporting\EC\2017-12-10-refined-times.txt</v>
      </c>
      <c r="AI183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{"issue":{"subject":"","project_id":79,"tracker_id":40,"status_id":1,"priority_id":2,"assigned_to_id":338,"start_date":"2017-12-10","description":"","custom_fields":[{"id":1,"name":"Subdivision","value":"NW"},{"id":4,"name":"Milepost","value":"0.0084"},{"id":17,"name":"Train ID","value":"1820-10"},{"id":16,"name":"Locomotive ID","value":"4041"},{"id":130,"name":"Impact","value":""},{"id":150,"name":"Time of Event (Mountain Time)","value":"15:54:42"},{"id":151,"name":"Denver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82"/>
        <v>start /low /b %USERPROFILE%\Documents\GitHub\eaglep3\Utilities\DownloadLogsFromS3.py --loco 4041 --day 2017-12-10</v>
      </c>
      <c r="AN183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84"/>
        <v>https://d0f6bd738d7f1b3e5a7ca70fe4ff75f0.us-east-1.aws.found.io/app/kibana#/discover/Steve-Slow-Train-Analysis-(2080s-and-2083s)?_g=(refreshInterval:(display:Off,pause:!f,section:0,value:0),time:(from:'2017-12-10T14:25:02-0700',mode:absolute,to:'2017-12-10T16:54:42-0700'))&amp;_a=(columns:!('Message%20ID',Summary),filters:!(),index:'emp_*',interval:auto,query:(query_string:(analyze_wildcard:!t,query:'%22rtdc.l.rtdc.4041%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872</v>
      </c>
      <c r="B184" s="225">
        <v>4042</v>
      </c>
      <c r="C184" s="227" t="s">
        <v>192</v>
      </c>
      <c r="D184" s="227" t="s">
        <v>998</v>
      </c>
      <c r="E184" s="226">
        <v>43079.669745370367</v>
      </c>
      <c r="F184" s="226">
        <v>43079.673136574071</v>
      </c>
      <c r="G184" s="225">
        <v>56</v>
      </c>
      <c r="H184" s="227" t="s">
        <v>718</v>
      </c>
      <c r="I184" s="226">
        <v>43079.682685185187</v>
      </c>
      <c r="J184" s="225">
        <v>0</v>
      </c>
      <c r="K184" s="237" t="str">
        <f t="shared" si="70"/>
        <v>4041/4042</v>
      </c>
      <c r="L184" s="245" t="str">
        <f>VLOOKUP(A184,'Trips&amp;Operators'!$C$1:$G$99911,5,FALSE)</f>
        <v>HOLCOMB KAMDEN</v>
      </c>
      <c r="M184" s="224">
        <f t="shared" si="71"/>
        <v>9.5486111167701893E-3</v>
      </c>
      <c r="N184" s="225">
        <f t="shared" si="103"/>
        <v>13.750000008149073</v>
      </c>
      <c r="O184" s="225"/>
      <c r="P184" s="225"/>
      <c r="Q184" s="228"/>
      <c r="R184" s="242"/>
      <c r="S184" s="249">
        <f t="shared" si="93"/>
        <v>1</v>
      </c>
      <c r="T184" s="242" t="str">
        <f t="shared" si="72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73"/>
        <v>https://d0f6bd738d7f1b3e5a7ca70fe4ff75f0.us-east-1.aws.found.io/app/kibana#/discover/Steve-Slow-Train-Analysis-(2080s-and-2083s)?_g=(refreshInterval:(display:Off,pause:!f,section:0,value:0),time:(from:'2017-12-10T15:04:26-0700',mode:absolute,to:'2017-12-10T17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4" s="247" t="str">
        <f>IF(AA184&lt;VLOOKUP(AG184,Variables!$AC$3:$AD$8,2,FALSE),"Y","N")</f>
        <v>N</v>
      </c>
      <c r="X184" s="247">
        <f t="shared" si="102"/>
        <v>1</v>
      </c>
      <c r="Y184" s="247">
        <f t="shared" si="100"/>
        <v>3.7400000000000003E-2</v>
      </c>
      <c r="Z184" s="247">
        <f t="shared" si="101"/>
        <v>5.899</v>
      </c>
      <c r="AA184" s="247">
        <f t="shared" si="74"/>
        <v>5.8616000000000001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75"/>
        <v>1821</v>
      </c>
      <c r="AE184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4" s="234" t="str">
        <f t="shared" si="77"/>
        <v>"C:\Program Files (x86)\AstroGrep\AstroGrep.exe" /e /r /s /spath="%USERPROFILE%\AppData\Local\Temp\OnboardLogs" /stypes="app*4042*20171210*" /stext=" 23:.+((SYSTEM_STATE.+slice.+state.+changed )|(ment ac)|(multiple cpu faults)|(system.+state.+changed )|(\[timeout)|(PRM\|1\|D)|(kpr)|(kdp)|(train st.+moving)|(\|lc)|(penalty))"</v>
      </c>
      <c r="AG184" s="244" t="str">
        <f t="shared" si="78"/>
        <v>NW</v>
      </c>
      <c r="AH184" s="236" t="str">
        <f t="shared" si="80"/>
        <v>"%USERPROFILE%\Documents\GitHub\eaglep3\Utilities\RefineRTDCRunTimes.py" --tripid 1821-10 --locoid 4042 --swversion DE.1.0.9.0 --startMP 204:374 --initTime 2017-12-10T16:04:26 --startdatetime 2017-12-10T16:09:19 --delay 56 --endMP 300:58990 --enddatetime 2017-12-10T16:23:04 --enforcementcount 0 &gt;&gt;%USERPROFILE%\Documents\GitHub\eaglep3-reporting\EC\2017-12-10-refined-times.txt</v>
      </c>
      <c r="AI184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{"issue":{"subject":"","project_id":79,"tracker_id":40,"status_id":1,"priority_id":2,"assigned_to_id":338,"start_date":"2017-12-10","description":"","custom_fields":[{"id":1,"name":"Subdivision","value":"NW"},{"id":4,"name":"Milepost","value":"5.899"},{"id":17,"name":"Train ID","value":"1821-10"},{"id":16,"name":"Locomotive ID","value":"4042"},{"id":130,"name":"Impact","value":""},{"id":150,"name":"Time of Event (Mountain Time)","value":"16:23:04"},{"id":151,"name":"Denver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82"/>
        <v>start /low /b %USERPROFILE%\Documents\GitHub\eaglep3\Utilities\DownloadLogsFromS3.py --loco 4042 --day 2017-12-10</v>
      </c>
      <c r="AN184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84"/>
        <v>https://d0f6bd738d7f1b3e5a7ca70fe4ff75f0.us-east-1.aws.found.io/app/kibana#/discover/Steve-Slow-Train-Analysis-(2080s-and-2083s)?_g=(refreshInterval:(display:Off,pause:!f,section:0,value:0),time:(from:'2017-12-10T15:04:26-0700',mode:absolute,to:'2017-12-10T17:23:04-0700'))&amp;_a=(columns:!('Message%20ID',Summary),filters:!(),index:'emp_*',interval:auto,query:(query_string:(analyze_wildcard:!t,query:'%22rtdc.l.rtdc.4042%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744</v>
      </c>
      <c r="B185" s="225">
        <v>4041</v>
      </c>
      <c r="C185" s="227" t="s">
        <v>192</v>
      </c>
      <c r="D185" s="227" t="s">
        <v>631</v>
      </c>
      <c r="E185" s="226">
        <v>43079.68341435185</v>
      </c>
      <c r="F185" s="226">
        <v>43079.696712962963</v>
      </c>
      <c r="G185" s="225">
        <v>53</v>
      </c>
      <c r="H185" s="227" t="s">
        <v>999</v>
      </c>
      <c r="I185" s="226">
        <v>43079.704942129632</v>
      </c>
      <c r="J185" s="225">
        <v>0</v>
      </c>
      <c r="K185" s="237" t="str">
        <f t="shared" si="70"/>
        <v>4041/4042</v>
      </c>
      <c r="L185" s="245" t="str">
        <f>VLOOKUP(A185,'Trips&amp;Operators'!$C$1:$G$99911,5,FALSE)</f>
        <v>HOLCOMB KAMDEN</v>
      </c>
      <c r="M185" s="224">
        <f t="shared" si="71"/>
        <v>8.2291666694800369E-3</v>
      </c>
      <c r="N185" s="225">
        <f t="shared" si="103"/>
        <v>11.850000004051253</v>
      </c>
      <c r="O185" s="225"/>
      <c r="P185" s="225"/>
      <c r="Q185" s="228"/>
      <c r="R185" s="242"/>
      <c r="S185" s="249">
        <f t="shared" si="93"/>
        <v>1</v>
      </c>
      <c r="T185" s="242" t="str">
        <f t="shared" si="72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73"/>
        <v>https://d0f6bd738d7f1b3e5a7ca70fe4ff75f0.us-east-1.aws.found.io/app/kibana#/discover/Steve-Slow-Train-Analysis-(2080s-and-2083s)?_g=(refreshInterval:(display:Off,pause:!f,section:0,value:0),time:(from:'2017-12-10T15:24:07-0700',mode:absolute,to:'2017-12-10T17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5" s="247" t="str">
        <f>IF(AA185&lt;VLOOKUP(AG185,Variables!$AC$3:$AD$8,2,FALSE),"Y","N")</f>
        <v>N</v>
      </c>
      <c r="X185" s="247">
        <f t="shared" si="102"/>
        <v>1</v>
      </c>
      <c r="Y185" s="247">
        <f t="shared" si="100"/>
        <v>5.867</v>
      </c>
      <c r="Z185" s="247">
        <f t="shared" si="101"/>
        <v>9.2999999999999992E-3</v>
      </c>
      <c r="AA185" s="247">
        <f t="shared" si="74"/>
        <v>5.8577000000000004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75"/>
        <v>1822</v>
      </c>
      <c r="AE185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5" s="234" t="str">
        <f t="shared" si="77"/>
        <v>"C:\Program Files (x86)\AstroGrep\AstroGrep.exe" /e /r /s /spath="%USERPROFILE%\AppData\Local\Temp\OnboardLogs" /stypes="app*4041*20171210*" /stext=" 23:.+((SYSTEM_STATE.+slice.+state.+changed )|(ment ac)|(multiple cpu faults)|(system.+state.+changed )|(\[timeout)|(PRM\|1\|D)|(kpr)|(kdp)|(train st.+moving)|(\|lc)|(penalty))"</v>
      </c>
      <c r="AG185" s="244" t="str">
        <f t="shared" si="78"/>
        <v>NW</v>
      </c>
      <c r="AH185" s="236" t="str">
        <f t="shared" si="80"/>
        <v>"%USERPROFILE%\Documents\GitHub\eaglep3\Utilities\RefineRTDCRunTimes.py" --tripid 1822-10 --locoid 4041 --swversion DE.1.0.9.0 --startMP 300:58670 --initTime 2017-12-10T16:24:07 --startdatetime 2017-12-10T16:43:16 --delay 53 --endMP 204:93 --enddatetime 2017-12-10T16:55:07 --enforcementcount 0 &gt;&gt;%USERPROFILE%\Documents\GitHub\eaglep3-reporting\EC\2017-12-10-refined-times.txt</v>
      </c>
      <c r="AI185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{"issue":{"subject":"","project_id":79,"tracker_id":40,"status_id":1,"priority_id":2,"assigned_to_id":338,"start_date":"2017-12-10","description":"","custom_fields":[{"id":1,"name":"Subdivision","value":"NW"},{"id":4,"name":"Milepost","value":"0.0093"},{"id":17,"name":"Train ID","value":"1822-10"},{"id":16,"name":"Locomotive ID","value":"4041"},{"id":130,"name":"Impact","value":""},{"id":150,"name":"Time of Event (Mountain Time)","value":"16:55:07"},{"id":151,"name":"Denver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82"/>
        <v>start /low /b %USERPROFILE%\Documents\GitHub\eaglep3\Utilities\DownloadLogsFromS3.py --loco 4041 --day 2017-12-10</v>
      </c>
      <c r="AN185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84"/>
        <v>https://d0f6bd738d7f1b3e5a7ca70fe4ff75f0.us-east-1.aws.found.io/app/kibana#/discover/Steve-Slow-Train-Analysis-(2080s-and-2083s)?_g=(refreshInterval:(display:Off,pause:!f,section:0,value:0),time:(from:'2017-12-10T15:24:07-0700',mode:absolute,to:'2017-12-10T17:55:07-0700'))&amp;_a=(columns:!('Message%20ID',Summary),filters:!(),index:'emp_*',interval:auto,query:(query_string:(analyze_wildcard:!t,query:'%22rtdc.l.rtdc.4041%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746</v>
      </c>
      <c r="B186" s="225">
        <v>4042</v>
      </c>
      <c r="C186" s="227" t="s">
        <v>192</v>
      </c>
      <c r="D186" s="227" t="s">
        <v>996</v>
      </c>
      <c r="E186" s="226">
        <v>43079.711562500001</v>
      </c>
      <c r="F186" s="226">
        <v>43079.714826388888</v>
      </c>
      <c r="G186" s="225">
        <v>53</v>
      </c>
      <c r="H186" s="227" t="s">
        <v>713</v>
      </c>
      <c r="I186" s="226">
        <v>43079.72451388889</v>
      </c>
      <c r="J186" s="225">
        <v>0</v>
      </c>
      <c r="K186" s="237" t="str">
        <f t="shared" si="70"/>
        <v>4041/4042</v>
      </c>
      <c r="L186" s="245" t="str">
        <f>VLOOKUP(A186,'Trips&amp;Operators'!$C$1:$G$99911,5,FALSE)</f>
        <v>HOLCOMB KAMDEN</v>
      </c>
      <c r="M186" s="224">
        <f t="shared" si="71"/>
        <v>9.6875000017462298E-3</v>
      </c>
      <c r="N186" s="225">
        <f t="shared" si="103"/>
        <v>13.950000002514571</v>
      </c>
      <c r="O186" s="225"/>
      <c r="P186" s="225"/>
      <c r="Q186" s="228"/>
      <c r="R186" s="242"/>
      <c r="S186" s="249">
        <f t="shared" si="93"/>
        <v>1</v>
      </c>
      <c r="T186" s="242" t="str">
        <f t="shared" si="72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73"/>
        <v>https://d0f6bd738d7f1b3e5a7ca70fe4ff75f0.us-east-1.aws.found.io/app/kibana#/discover/Steve-Slow-Train-Analysis-(2080s-and-2083s)?_g=(refreshInterval:(display:Off,pause:!f,section:0,value:0),time:(from:'2017-12-10T16:04:39-0700',mode:absolute,to:'2017-12-10T18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6" s="247" t="str">
        <f>IF(AA186&lt;VLOOKUP(AG186,Variables!$AC$3:$AD$8,2,FALSE),"Y","N")</f>
        <v>N</v>
      </c>
      <c r="X186" s="247">
        <f t="shared" si="102"/>
        <v>1</v>
      </c>
      <c r="Y186" s="247">
        <f t="shared" si="100"/>
        <v>3.8800000000000001E-2</v>
      </c>
      <c r="Z186" s="247">
        <f t="shared" si="101"/>
        <v>5.8982000000000001</v>
      </c>
      <c r="AA186" s="247">
        <f t="shared" si="74"/>
        <v>5.8593999999999999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75"/>
        <v>1823</v>
      </c>
      <c r="AE186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6" s="234" t="str">
        <f t="shared" si="77"/>
        <v>"C:\Program Files (x86)\AstroGrep\AstroGrep.exe" /e /r /s /spath="%USERPROFILE%\AppData\Local\Temp\OnboardLogs" /stypes="app*4042*20171211*" /stext=" 00:.+((SYSTEM_STATE.+slice.+state.+changed )|(ment ac)|(multiple cpu faults)|(system.+state.+changed )|(\[timeout)|(PRM\|1\|D)|(kpr)|(kdp)|(train st.+moving)|(\|lc)|(penalty))"</v>
      </c>
      <c r="AG186" s="244" t="str">
        <f t="shared" si="78"/>
        <v>NW</v>
      </c>
      <c r="AH186" s="236" t="str">
        <f t="shared" si="80"/>
        <v>"%USERPROFILE%\Documents\GitHub\eaglep3\Utilities\RefineRTDCRunTimes.py" --tripid 1823-10 --locoid 4042 --swversion DE.1.0.9.0 --startMP 204:388 --initTime 2017-12-10T17:04:39 --startdatetime 2017-12-10T17:09:21 --delay 53 --endMP 300:58982 --enddatetime 2017-12-10T17:23:18 --enforcementcount 0 &gt;&gt;%USERPROFILE%\Documents\GitHub\eaglep3-reporting\EC\2017-12-10-refined-times.txt</v>
      </c>
      <c r="AI186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{"issue":{"subject":"","project_id":79,"tracker_id":40,"status_id":1,"priority_id":2,"assigned_to_id":338,"start_date":"2017-12-10","description":"","custom_fields":[{"id":1,"name":"Subdivision","value":"NW"},{"id":4,"name":"Milepost","value":"5.8982"},{"id":17,"name":"Train ID","value":"1823-10"},{"id":16,"name":"Locomotive ID","value":"4042"},{"id":130,"name":"Impact","value":""},{"id":150,"name":"Time of Event (Mountain Time)","value":"17:23:18"},{"id":151,"name":"Denver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82"/>
        <v>start /low /b %USERPROFILE%\Documents\GitHub\eaglep3\Utilities\DownloadLogsFromS3.py --loco 4042 --day 2017-12-10</v>
      </c>
      <c r="AN186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84"/>
        <v>https://d0f6bd738d7f1b3e5a7ca70fe4ff75f0.us-east-1.aws.found.io/app/kibana#/discover/Steve-Slow-Train-Analysis-(2080s-and-2083s)?_g=(refreshInterval:(display:Off,pause:!f,section:0,value:0),time:(from:'2017-12-10T16:04:39-0700',mode:absolute,to:'2017-12-10T18:23:18-0700'))&amp;_a=(columns:!('Message%20ID',Summary),filters:!(),index:'emp_*',interval:auto,query:(query_string:(analyze_wildcard:!t,query:'%22rtdc.l.rtdc.4042%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9" t="s">
        <v>747</v>
      </c>
      <c r="B187" s="225">
        <v>4041</v>
      </c>
      <c r="C187" s="227" t="s">
        <v>192</v>
      </c>
      <c r="D187" s="227" t="s">
        <v>1000</v>
      </c>
      <c r="E187" s="226">
        <v>43079.73170138889</v>
      </c>
      <c r="F187" s="226">
        <v>43079.738321759258</v>
      </c>
      <c r="G187" s="225">
        <v>47</v>
      </c>
      <c r="H187" s="227" t="s">
        <v>1001</v>
      </c>
      <c r="I187" s="226">
        <v>43079.746759259258</v>
      </c>
      <c r="J187" s="225">
        <v>0</v>
      </c>
      <c r="K187" s="237" t="str">
        <f t="shared" si="70"/>
        <v>4041/4042</v>
      </c>
      <c r="L187" s="245" t="str">
        <f>VLOOKUP(A187,'Trips&amp;Operators'!$C$1:$G$99911,5,FALSE)</f>
        <v>HOLCOMB KAMDEN</v>
      </c>
      <c r="M187" s="224">
        <f t="shared" si="71"/>
        <v>8.4375000005820766E-3</v>
      </c>
      <c r="N187" s="225">
        <f t="shared" si="103"/>
        <v>12.15000000083819</v>
      </c>
      <c r="O187" s="225"/>
      <c r="P187" s="225"/>
      <c r="Q187" s="228"/>
      <c r="R187" s="242"/>
      <c r="S187" s="249">
        <f t="shared" ref="S187:S218" si="104">1/IF(AG187="EC",12,1)*SUM(U187:U187)</f>
        <v>1</v>
      </c>
      <c r="T187" s="242" t="str">
        <f t="shared" si="72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73"/>
        <v>https://d0f6bd738d7f1b3e5a7ca70fe4ff75f0.us-east-1.aws.found.io/app/kibana#/discover/Steve-Slow-Train-Analysis-(2080s-and-2083s)?_g=(refreshInterval:(display:Off,pause:!f,section:0,value:0),time:(from:'2017-12-10T16:33:39-0700',mode:absolute,to:'2017-12-10T18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7" s="247" t="str">
        <f>IF(AA187&lt;VLOOKUP(AG187,Variables!$AC$3:$AD$8,2,FALSE),"Y","N")</f>
        <v>N</v>
      </c>
      <c r="X187" s="247">
        <f t="shared" si="102"/>
        <v>1</v>
      </c>
      <c r="Y187" s="247">
        <f t="shared" si="100"/>
        <v>5.8672000000000004</v>
      </c>
      <c r="Z187" s="247">
        <f t="shared" si="101"/>
        <v>6.6E-3</v>
      </c>
      <c r="AA187" s="247">
        <f t="shared" si="74"/>
        <v>5.8606000000000007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75"/>
        <v>1824</v>
      </c>
      <c r="AE187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7" s="234" t="str">
        <f t="shared" si="77"/>
        <v>"C:\Program Files (x86)\AstroGrep\AstroGrep.exe" /e /r /s /spath="%USERPROFILE%\AppData\Local\Temp\OnboardLogs" /stypes="app*4041*20171211*" /stext=" 00:.+((SYSTEM_STATE.+slice.+state.+changed )|(ment ac)|(multiple cpu faults)|(system.+state.+changed )|(\[timeout)|(PRM\|1\|D)|(kpr)|(kdp)|(train st.+moving)|(\|lc)|(penalty))"</v>
      </c>
      <c r="AG187" s="244" t="str">
        <f t="shared" si="78"/>
        <v>NW</v>
      </c>
      <c r="AH187" s="236" t="str">
        <f t="shared" si="80"/>
        <v>"%USERPROFILE%\Documents\GitHub\eaglep3\Utilities\RefineRTDCRunTimes.py" --tripid 1824-10 --locoid 4041 --swversion DE.1.0.9.0 --startMP 300:58672 --initTime 2017-12-10T17:33:39 --startdatetime 2017-12-10T17:43:11 --delay 47 --endMP 204:66 --enddatetime 2017-12-10T17:55:20 --enforcementcount 0 &gt;&gt;%USERPROFILE%\Documents\GitHub\eaglep3-reporting\EC\2017-12-10-refined-times.txt</v>
      </c>
      <c r="AI187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{"issue":{"subject":"","project_id":79,"tracker_id":40,"status_id":1,"priority_id":2,"assigned_to_id":338,"start_date":"2017-12-10","description":"","custom_fields":[{"id":1,"name":"Subdivision","value":"NW"},{"id":4,"name":"Milepost","value":"0.0066"},{"id":17,"name":"Train ID","value":"1824-10"},{"id":16,"name":"Locomotive ID","value":"4041"},{"id":130,"name":"Impact","value":""},{"id":150,"name":"Time of Event (Mountain Time)","value":"17:55:20"},{"id":151,"name":"Denver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82"/>
        <v>start /low /b %USERPROFILE%\Documents\GitHub\eaglep3\Utilities\DownloadLogsFromS3.py --loco 4041 --day 2017-12-10</v>
      </c>
      <c r="AN187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84"/>
        <v>https://d0f6bd738d7f1b3e5a7ca70fe4ff75f0.us-east-1.aws.found.io/app/kibana#/discover/Steve-Slow-Train-Analysis-(2080s-and-2083s)?_g=(refreshInterval:(display:Off,pause:!f,section:0,value:0),time:(from:'2017-12-10T16:33:39-0700',mode:absolute,to:'2017-12-10T18:55:20-0700'))&amp;_a=(columns:!('Message%20ID',Summary),filters:!(),index:'emp_*',interval:auto,query:(query_string:(analyze_wildcard:!t,query:'%22rtdc.l.rtdc.4041%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892</v>
      </c>
      <c r="B188" s="225">
        <v>4042</v>
      </c>
      <c r="C188" s="227" t="s">
        <v>192</v>
      </c>
      <c r="D188" s="227" t="s">
        <v>1002</v>
      </c>
      <c r="E188" s="226">
        <v>43079.751921296294</v>
      </c>
      <c r="F188" s="226">
        <v>43079.756539351853</v>
      </c>
      <c r="G188" s="225">
        <v>73</v>
      </c>
      <c r="H188" s="227" t="s">
        <v>1003</v>
      </c>
      <c r="I188" s="226">
        <v>43079.766400462962</v>
      </c>
      <c r="J188" s="225">
        <v>0</v>
      </c>
      <c r="K188" s="237" t="str">
        <f t="shared" si="70"/>
        <v>4041/4042</v>
      </c>
      <c r="L188" s="245" t="str">
        <f>VLOOKUP(A188,'Trips&amp;Operators'!$C$1:$G$99911,5,FALSE)</f>
        <v>HOLCOMB KAMDEN</v>
      </c>
      <c r="M188" s="224">
        <f t="shared" si="71"/>
        <v>9.8611111097852699E-3</v>
      </c>
      <c r="N188" s="225">
        <f t="shared" si="103"/>
        <v>14.199999998090789</v>
      </c>
      <c r="O188" s="225"/>
      <c r="P188" s="225"/>
      <c r="Q188" s="228"/>
      <c r="R188" s="242"/>
      <c r="S188" s="249">
        <f t="shared" si="104"/>
        <v>1</v>
      </c>
      <c r="T188" s="242" t="str">
        <f t="shared" si="72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73"/>
        <v>https://d0f6bd738d7f1b3e5a7ca70fe4ff75f0.us-east-1.aws.found.io/app/kibana#/discover/Steve-Slow-Train-Analysis-(2080s-and-2083s)?_g=(refreshInterval:(display:Off,pause:!f,section:0,value:0),time:(from:'2017-12-10T17:02:46-0700',mode:absolute,to:'2017-12-10T19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8" s="247" t="str">
        <f>IF(AA188&lt;VLOOKUP(AG188,Variables!$AC$3:$AD$8,2,FALSE),"Y","N")</f>
        <v>N</v>
      </c>
      <c r="X188" s="247">
        <f t="shared" si="102"/>
        <v>1</v>
      </c>
      <c r="Y188" s="247">
        <f t="shared" si="100"/>
        <v>3.85E-2</v>
      </c>
      <c r="Z188" s="247">
        <f t="shared" si="101"/>
        <v>5.8987999999999996</v>
      </c>
      <c r="AA188" s="247">
        <f t="shared" si="74"/>
        <v>5.8602999999999996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75"/>
        <v>1825</v>
      </c>
      <c r="AE188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8" s="234" t="str">
        <f t="shared" si="77"/>
        <v>"C:\Program Files (x86)\AstroGrep\AstroGrep.exe" /e /r /s /spath="%USERPROFILE%\AppData\Local\Temp\OnboardLogs" /stypes="app*4042*20171211*" /stext=" 01:.+((SYSTEM_STATE.+slice.+state.+changed )|(ment ac)|(multiple cpu faults)|(system.+state.+changed )|(\[timeout)|(PRM\|1\|D)|(kpr)|(kdp)|(train st.+moving)|(\|lc)|(penalty))"</v>
      </c>
      <c r="AG188" s="244" t="str">
        <f t="shared" si="78"/>
        <v>NW</v>
      </c>
      <c r="AH188" s="236" t="str">
        <f t="shared" si="80"/>
        <v>"%USERPROFILE%\Documents\GitHub\eaglep3\Utilities\RefineRTDCRunTimes.py" --tripid 1825-10 --locoid 4042 --swversion DE.1.0.9.0 --startMP 204:385 --initTime 2017-12-10T18:02:46 --startdatetime 2017-12-10T18:09:25 --delay 73 --endMP 300:58988 --enddatetime 2017-12-10T18:23:37 --enforcementcount 0 &gt;&gt;%USERPROFILE%\Documents\GitHub\eaglep3-reporting\EC\2017-12-10-refined-times.txt</v>
      </c>
      <c r="AI188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{"issue":{"subject":"","project_id":79,"tracker_id":40,"status_id":1,"priority_id":2,"assigned_to_id":338,"start_date":"2017-12-10","description":"","custom_fields":[{"id":1,"name":"Subdivision","value":"NW"},{"id":4,"name":"Milepost","value":"5.8988"},{"id":17,"name":"Train ID","value":"1825-10"},{"id":16,"name":"Locomotive ID","value":"4042"},{"id":130,"name":"Impact","value":""},{"id":150,"name":"Time of Event (Mountain Time)","value":"18:23:37"},{"id":151,"name":"Denver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82"/>
        <v>start /low /b %USERPROFILE%\Documents\GitHub\eaglep3\Utilities\DownloadLogsFromS3.py --loco 4042 --day 2017-12-10</v>
      </c>
      <c r="AN188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84"/>
        <v>https://d0f6bd738d7f1b3e5a7ca70fe4ff75f0.us-east-1.aws.found.io/app/kibana#/discover/Steve-Slow-Train-Analysis-(2080s-and-2083s)?_g=(refreshInterval:(display:Off,pause:!f,section:0,value:0),time:(from:'2017-12-10T17:02:46-0700',mode:absolute,to:'2017-12-10T19:23:37-0700'))&amp;_a=(columns:!('Message%20ID',Summary),filters:!(),index:'emp_*',interval:auto,query:(query_string:(analyze_wildcard:!t,query:'%22rtdc.l.rtdc.4042%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896</v>
      </c>
      <c r="B189" s="225">
        <v>4041</v>
      </c>
      <c r="C189" s="227" t="s">
        <v>192</v>
      </c>
      <c r="D189" s="227" t="s">
        <v>631</v>
      </c>
      <c r="E189" s="226">
        <v>43079.767233796294</v>
      </c>
      <c r="F189" s="226">
        <v>43079.780034722222</v>
      </c>
      <c r="G189" s="225">
        <v>62</v>
      </c>
      <c r="H189" s="227" t="s">
        <v>1004</v>
      </c>
      <c r="I189" s="226">
        <v>43079.788541666669</v>
      </c>
      <c r="J189" s="225">
        <v>0</v>
      </c>
      <c r="K189" s="237" t="str">
        <f t="shared" si="70"/>
        <v>4041/4042</v>
      </c>
      <c r="L189" s="245" t="str">
        <f>VLOOKUP(A189,'Trips&amp;Operators'!$C$1:$G$99911,5,FALSE)</f>
        <v>HOLCOMB KAMDEN</v>
      </c>
      <c r="M189" s="224">
        <f t="shared" si="71"/>
        <v>8.5069444467080757E-3</v>
      </c>
      <c r="N189" s="225">
        <f t="shared" si="103"/>
        <v>12.250000003259629</v>
      </c>
      <c r="O189" s="225"/>
      <c r="P189" s="225"/>
      <c r="Q189" s="228"/>
      <c r="R189" s="242"/>
      <c r="S189" s="249">
        <f t="shared" si="104"/>
        <v>1</v>
      </c>
      <c r="T189" s="242" t="str">
        <f t="shared" si="72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73"/>
        <v>https://d0f6bd738d7f1b3e5a7ca70fe4ff75f0.us-east-1.aws.found.io/app/kibana#/discover/Steve-Slow-Train-Analysis-(2080s-and-2083s)?_g=(refreshInterval:(display:Off,pause:!f,section:0,value:0),time:(from:'2017-12-10T17:24:49-0700',mode:absolute,to:'2017-12-10T19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9" s="247" t="str">
        <f>IF(AA189&lt;VLOOKUP(AG189,Variables!$AC$3:$AD$8,2,FALSE),"Y","N")</f>
        <v>N</v>
      </c>
      <c r="X189" s="247">
        <f t="shared" si="102"/>
        <v>1</v>
      </c>
      <c r="Y189" s="247">
        <f t="shared" si="100"/>
        <v>5.867</v>
      </c>
      <c r="Z189" s="247">
        <f t="shared" si="101"/>
        <v>8.8000000000000005E-3</v>
      </c>
      <c r="AA189" s="247">
        <f t="shared" si="74"/>
        <v>5.8582000000000001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75"/>
        <v>1826</v>
      </c>
      <c r="AE189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9" s="234" t="str">
        <f t="shared" si="77"/>
        <v>"C:\Program Files (x86)\AstroGrep\AstroGrep.exe" /e /r /s /spath="%USERPROFILE%\AppData\Local\Temp\OnboardLogs" /stypes="app*4041*20171211*" /stext=" 01:.+((SYSTEM_STATE.+slice.+state.+changed )|(ment ac)|(multiple cpu faults)|(system.+state.+changed )|(\[timeout)|(PRM\|1\|D)|(kpr)|(kdp)|(train st.+moving)|(\|lc)|(penalty))"</v>
      </c>
      <c r="AG189" s="244" t="str">
        <f t="shared" si="78"/>
        <v>NW</v>
      </c>
      <c r="AH189" s="236" t="str">
        <f t="shared" si="80"/>
        <v>"%USERPROFILE%\Documents\GitHub\eaglep3\Utilities\RefineRTDCRunTimes.py" --tripid 1826-10 --locoid 4041 --swversion DE.1.0.9.0 --startMP 300:58670 --initTime 2017-12-10T18:24:49 --startdatetime 2017-12-10T18:43:15 --delay 62 --endMP 204:88 --enddatetime 2017-12-10T18:55:30 --enforcementcount 0 &gt;&gt;%USERPROFILE%\Documents\GitHub\eaglep3-reporting\EC\2017-12-10-refined-times.txt</v>
      </c>
      <c r="AI189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{"issue":{"subject":"","project_id":79,"tracker_id":40,"status_id":1,"priority_id":2,"assigned_to_id":338,"start_date":"2017-12-10","description":"","custom_fields":[{"id":1,"name":"Subdivision","value":"NW"},{"id":4,"name":"Milepost","value":"0.0088"},{"id":17,"name":"Train ID","value":"1826-10"},{"id":16,"name":"Locomotive ID","value":"4041"},{"id":130,"name":"Impact","value":""},{"id":150,"name":"Time of Event (Mountain Time)","value":"18:55:30"},{"id":151,"name":"Denver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82"/>
        <v>start /low /b %USERPROFILE%\Documents\GitHub\eaglep3\Utilities\DownloadLogsFromS3.py --loco 4041 --day 2017-12-10</v>
      </c>
      <c r="AN189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84"/>
        <v>https://d0f6bd738d7f1b3e5a7ca70fe4ff75f0.us-east-1.aws.found.io/app/kibana#/discover/Steve-Slow-Train-Analysis-(2080s-and-2083s)?_g=(refreshInterval:(display:Off,pause:!f,section:0,value:0),time:(from:'2017-12-10T17:24:49-0700',mode:absolute,to:'2017-12-10T19:55:30-0700'))&amp;_a=(columns:!('Message%20ID',Summary),filters:!(),index:'emp_*',interval:auto,query:(query_string:(analyze_wildcard:!t,query:'%22rtdc.l.rtdc.4041%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750</v>
      </c>
      <c r="B190" s="225">
        <v>4042</v>
      </c>
      <c r="C190" s="227" t="s">
        <v>192</v>
      </c>
      <c r="D190" s="227" t="s">
        <v>1005</v>
      </c>
      <c r="E190" s="226">
        <v>43079.795115740744</v>
      </c>
      <c r="F190" s="226">
        <v>43079.798275462963</v>
      </c>
      <c r="G190" s="225">
        <v>58</v>
      </c>
      <c r="H190" s="227" t="s">
        <v>1006</v>
      </c>
      <c r="I190" s="226">
        <v>43079.807789351849</v>
      </c>
      <c r="J190" s="225">
        <v>0</v>
      </c>
      <c r="K190" s="237" t="str">
        <f t="shared" si="70"/>
        <v>4041/4042</v>
      </c>
      <c r="L190" s="245" t="str">
        <f>VLOOKUP(A190,'Trips&amp;Operators'!$C$1:$G$99911,5,FALSE)</f>
        <v>HOLCOMB KAMDEN</v>
      </c>
      <c r="M190" s="224">
        <f t="shared" si="71"/>
        <v>9.5138888864312321E-3</v>
      </c>
      <c r="N190" s="225">
        <f t="shared" si="103"/>
        <v>13.699999996460974</v>
      </c>
      <c r="O190" s="225"/>
      <c r="P190" s="225"/>
      <c r="Q190" s="228"/>
      <c r="R190" s="242"/>
      <c r="S190" s="249">
        <f t="shared" si="104"/>
        <v>1</v>
      </c>
      <c r="T190" s="242" t="str">
        <f t="shared" si="72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73"/>
        <v>https://d0f6bd738d7f1b3e5a7ca70fe4ff75f0.us-east-1.aws.found.io/app/kibana#/discover/Steve-Slow-Train-Analysis-(2080s-and-2083s)?_g=(refreshInterval:(display:Off,pause:!f,section:0,value:0),time:(from:'2017-12-10T18:04:58-0700',mode:absolute,to:'2017-12-10T20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0" s="247" t="str">
        <f>IF(AA190&lt;VLOOKUP(AG190,Variables!$AC$3:$AD$8,2,FALSE),"Y","N")</f>
        <v>N</v>
      </c>
      <c r="X190" s="247">
        <f t="shared" si="102"/>
        <v>1</v>
      </c>
      <c r="Y190" s="247">
        <f t="shared" si="100"/>
        <v>3.9899999999999998E-2</v>
      </c>
      <c r="Z190" s="247">
        <f t="shared" si="101"/>
        <v>5.9005000000000001</v>
      </c>
      <c r="AA190" s="247">
        <f t="shared" si="74"/>
        <v>5.8605999999999998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75"/>
        <v>1827</v>
      </c>
      <c r="AE190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0" s="234" t="str">
        <f t="shared" si="77"/>
        <v>"C:\Program Files (x86)\AstroGrep\AstroGrep.exe" /e /r /s /spath="%USERPROFILE%\AppData\Local\Temp\OnboardLogs" /stypes="app*4042*20171211*" /stext=" 02:.+((SYSTEM_STATE.+slice.+state.+changed )|(ment ac)|(multiple cpu faults)|(system.+state.+changed )|(\[timeout)|(PRM\|1\|D)|(kpr)|(kdp)|(train st.+moving)|(\|lc)|(penalty))"</v>
      </c>
      <c r="AG190" s="244" t="str">
        <f t="shared" si="78"/>
        <v>NW</v>
      </c>
      <c r="AH190" s="236" t="str">
        <f t="shared" si="80"/>
        <v>"%USERPROFILE%\Documents\GitHub\eaglep3\Utilities\RefineRTDCRunTimes.py" --tripid 1827-10 --locoid 4042 --swversion DE.1.0.9.0 --startMP 204:399 --initTime 2017-12-10T19:04:58 --startdatetime 2017-12-10T19:09:31 --delay 58 --endMP 300:59005 --enddatetime 2017-12-10T19:23:13 --enforcementcount 0 &gt;&gt;%USERPROFILE%\Documents\GitHub\eaglep3-reporting\EC\2017-12-10-refined-times.txt</v>
      </c>
      <c r="AI190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{"issue":{"subject":"","project_id":79,"tracker_id":40,"status_id":1,"priority_id":2,"assigned_to_id":338,"start_date":"2017-12-10","description":"","custom_fields":[{"id":1,"name":"Subdivision","value":"NW"},{"id":4,"name":"Milepost","value":"5.9005"},{"id":17,"name":"Train ID","value":"1827-10"},{"id":16,"name":"Locomotive ID","value":"4042"},{"id":130,"name":"Impact","value":""},{"id":150,"name":"Time of Event (Mountain Time)","value":"19:23:13"},{"id":151,"name":"Denver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82"/>
        <v>start /low /b %USERPROFILE%\Documents\GitHub\eaglep3\Utilities\DownloadLogsFromS3.py --loco 4042 --day 2017-12-10</v>
      </c>
      <c r="AN190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84"/>
        <v>https://d0f6bd738d7f1b3e5a7ca70fe4ff75f0.us-east-1.aws.found.io/app/kibana#/discover/Steve-Slow-Train-Analysis-(2080s-and-2083s)?_g=(refreshInterval:(display:Off,pause:!f,section:0,value:0),time:(from:'2017-12-10T18:04:58-0700',mode:absolute,to:'2017-12-10T20:23:13-0700'))&amp;_a=(columns:!('Message%20ID',Summary),filters:!(),index:'emp_*',interval:auto,query:(query_string:(analyze_wildcard:!t,query:'%22rtdc.l.rtdc.4042%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904</v>
      </c>
      <c r="B191" s="225">
        <v>4041</v>
      </c>
      <c r="C191" s="227" t="s">
        <v>192</v>
      </c>
      <c r="D191" s="227" t="s">
        <v>630</v>
      </c>
      <c r="E191" s="226">
        <v>43079.80872685185</v>
      </c>
      <c r="F191" s="226">
        <v>43079.821736111109</v>
      </c>
      <c r="G191" s="225">
        <v>66</v>
      </c>
      <c r="H191" s="227" t="s">
        <v>1007</v>
      </c>
      <c r="I191" s="226">
        <v>43079.83011574074</v>
      </c>
      <c r="J191" s="225">
        <v>0</v>
      </c>
      <c r="K191" s="237" t="str">
        <f t="shared" si="70"/>
        <v>4041/4042</v>
      </c>
      <c r="L191" s="245" t="str">
        <f>VLOOKUP(A191,'Trips&amp;Operators'!$C$1:$G$99911,5,FALSE)</f>
        <v>HOLCOMB KAMDEN</v>
      </c>
      <c r="M191" s="224">
        <f t="shared" si="71"/>
        <v>8.3796296312357299E-3</v>
      </c>
      <c r="N191" s="225">
        <f t="shared" si="103"/>
        <v>12.066666668979451</v>
      </c>
      <c r="O191" s="225"/>
      <c r="P191" s="225"/>
      <c r="Q191" s="228"/>
      <c r="R191" s="242"/>
      <c r="S191" s="249">
        <f t="shared" si="104"/>
        <v>1</v>
      </c>
      <c r="T191" s="242" t="str">
        <f t="shared" si="72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73"/>
        <v>https://d0f6bd738d7f1b3e5a7ca70fe4ff75f0.us-east-1.aws.found.io/app/kibana#/discover/Steve-Slow-Train-Analysis-(2080s-and-2083s)?_g=(refreshInterval:(display:Off,pause:!f,section:0,value:0),time:(from:'2017-12-10T18:24:34-0700',mode:absolute,to:'2017-12-10T20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1" s="247" t="str">
        <f>IF(AA191&lt;VLOOKUP(AG191,Variables!$AC$3:$AD$8,2,FALSE),"Y","N")</f>
        <v>N</v>
      </c>
      <c r="X191" s="247">
        <f t="shared" si="102"/>
        <v>1</v>
      </c>
      <c r="Y191" s="247">
        <f t="shared" si="100"/>
        <v>5.8685</v>
      </c>
      <c r="Z191" s="247">
        <f t="shared" si="101"/>
        <v>1.26E-2</v>
      </c>
      <c r="AA191" s="247">
        <f t="shared" si="74"/>
        <v>5.8559000000000001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75"/>
        <v>1828</v>
      </c>
      <c r="AE191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91" s="234" t="str">
        <f t="shared" si="77"/>
        <v>"C:\Program Files (x86)\AstroGrep\AstroGrep.exe" /e /r /s /spath="%USERPROFILE%\AppData\Local\Temp\OnboardLogs" /stypes="app*4041*20171211*" /stext=" 02:.+((SYSTEM_STATE.+slice.+state.+changed )|(ment ac)|(multiple cpu faults)|(system.+state.+changed )|(\[timeout)|(PRM\|1\|D)|(kpr)|(kdp)|(train st.+moving)|(\|lc)|(penalty))"</v>
      </c>
      <c r="AG191" s="244" t="str">
        <f t="shared" si="78"/>
        <v>NW</v>
      </c>
      <c r="AH191" s="236" t="str">
        <f t="shared" si="80"/>
        <v>"%USERPROFILE%\Documents\GitHub\eaglep3\Utilities\RefineRTDCRunTimes.py" --tripid 1828-10 --locoid 4041 --swversion DE.1.0.9.0 --startMP 300:58685 --initTime 2017-12-10T19:24:34 --startdatetime 2017-12-10T19:43:18 --delay 66 --endMP 204:126 --enddatetime 2017-12-10T19:55:22 --enforcementcount 0 &gt;&gt;%USERPROFILE%\Documents\GitHub\eaglep3-reporting\EC\2017-12-10-refined-times.txt</v>
      </c>
      <c r="AI191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{"issue":{"subject":"","project_id":79,"tracker_id":40,"status_id":1,"priority_id":2,"assigned_to_id":338,"start_date":"2017-12-10","description":"","custom_fields":[{"id":1,"name":"Subdivision","value":"NW"},{"id":4,"name":"Milepost","value":"0.0126"},{"id":17,"name":"Train ID","value":"1828-10"},{"id":16,"name":"Locomotive ID","value":"4041"},{"id":130,"name":"Impact","value":""},{"id":150,"name":"Time of Event (Mountain Time)","value":"19:55:22"},{"id":151,"name":"Denver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82"/>
        <v>start /low /b %USERPROFILE%\Documents\GitHub\eaglep3\Utilities\DownloadLogsFromS3.py --loco 4041 --day 2017-12-10</v>
      </c>
      <c r="AN191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84"/>
        <v>https://d0f6bd738d7f1b3e5a7ca70fe4ff75f0.us-east-1.aws.found.io/app/kibana#/discover/Steve-Slow-Train-Analysis-(2080s-and-2083s)?_g=(refreshInterval:(display:Off,pause:!f,section:0,value:0),time:(from:'2017-12-10T18:24:34-0700',mode:absolute,to:'2017-12-10T20:55:22-0700'))&amp;_a=(columns:!('Message%20ID',Summary),filters:!(),index:'emp_*',interval:auto,query:(query_string:(analyze_wildcard:!t,query:'%22rtdc.l.rtdc.4041%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909</v>
      </c>
      <c r="B192" s="225">
        <v>4042</v>
      </c>
      <c r="C192" s="227" t="s">
        <v>192</v>
      </c>
      <c r="D192" s="227" t="s">
        <v>1008</v>
      </c>
      <c r="E192" s="226">
        <v>43079.838020833333</v>
      </c>
      <c r="F192" s="226">
        <v>43079.839918981481</v>
      </c>
      <c r="G192" s="225">
        <v>76</v>
      </c>
      <c r="H192" s="227" t="s">
        <v>715</v>
      </c>
      <c r="I192" s="226">
        <v>43079.849409722221</v>
      </c>
      <c r="J192" s="225">
        <v>0</v>
      </c>
      <c r="K192" s="237" t="str">
        <f t="shared" si="70"/>
        <v>4041/4042</v>
      </c>
      <c r="L192" s="245" t="str">
        <f>VLOOKUP(A192,'Trips&amp;Operators'!$C$1:$G$99911,5,FALSE)</f>
        <v>HOLCOMB KAMDEN</v>
      </c>
      <c r="M192" s="224">
        <f t="shared" si="71"/>
        <v>9.4907407401478849E-3</v>
      </c>
      <c r="N192" s="225">
        <f t="shared" si="103"/>
        <v>13.666666665812954</v>
      </c>
      <c r="O192" s="225"/>
      <c r="P192" s="225"/>
      <c r="Q192" s="228"/>
      <c r="R192" s="242"/>
      <c r="S192" s="249">
        <f t="shared" si="104"/>
        <v>1</v>
      </c>
      <c r="T192" s="242" t="str">
        <f t="shared" si="72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73"/>
        <v>https://d0f6bd738d7f1b3e5a7ca70fe4ff75f0.us-east-1.aws.found.io/app/kibana#/discover/Steve-Slow-Train-Analysis-(2080s-and-2083s)?_g=(refreshInterval:(display:Off,pause:!f,section:0,value:0),time:(from:'2017-12-10T19:06:45-0700',mode:absolute,to:'2017-12-10T21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2" s="247" t="str">
        <f>IF(AA192&lt;VLOOKUP(AG192,Variables!$AC$3:$AD$8,2,FALSE),"Y","N")</f>
        <v>N</v>
      </c>
      <c r="X192" s="247">
        <f t="shared" si="102"/>
        <v>1</v>
      </c>
      <c r="Y192" s="247">
        <f t="shared" si="100"/>
        <v>4.1300000000000003E-2</v>
      </c>
      <c r="Z192" s="247">
        <f t="shared" si="101"/>
        <v>5.8964999999999996</v>
      </c>
      <c r="AA192" s="247">
        <f t="shared" si="74"/>
        <v>5.8552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75"/>
        <v>1829</v>
      </c>
      <c r="AE192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2" s="234" t="str">
        <f t="shared" si="77"/>
        <v>"C:\Program Files (x86)\AstroGrep\AstroGrep.exe" /e /r /s /spath="%USERPROFILE%\AppData\Local\Temp\OnboardLogs" /stypes="app*4042*20171211*" /stext=" 03:.+((SYSTEM_STATE.+slice.+state.+changed )|(ment ac)|(multiple cpu faults)|(system.+state.+changed )|(\[timeout)|(PRM\|1\|D)|(kpr)|(kdp)|(train st.+moving)|(\|lc)|(penalty))"</v>
      </c>
      <c r="AG192" s="244" t="str">
        <f t="shared" si="78"/>
        <v>NW</v>
      </c>
      <c r="AH192" s="236" t="str">
        <f t="shared" si="80"/>
        <v>"%USERPROFILE%\Documents\GitHub\eaglep3\Utilities\RefineRTDCRunTimes.py" --tripid 1829-10 --locoid 4042 --swversion DE.1.0.9.0 --startMP 204:413 --initTime 2017-12-10T20:06:45 --startdatetime 2017-12-10T20:09:29 --delay 76 --endMP 300:58965 --enddatetime 2017-12-10T20:23:09 --enforcementcount 0 &gt;&gt;%USERPROFILE%\Documents\GitHub\eaglep3-reporting\EC\2017-12-10-refined-times.txt</v>
      </c>
      <c r="AI192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{"issue":{"subject":"","project_id":79,"tracker_id":40,"status_id":1,"priority_id":2,"assigned_to_id":338,"start_date":"2017-12-10","description":"","custom_fields":[{"id":1,"name":"Subdivision","value":"NW"},{"id":4,"name":"Milepost","value":"5.8965"},{"id":17,"name":"Train ID","value":"1829-10"},{"id":16,"name":"Locomotive ID","value":"4042"},{"id":130,"name":"Impact","value":""},{"id":150,"name":"Time of Event (Mountain Time)","value":"20:23:09"},{"id":151,"name":"Denver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82"/>
        <v>start /low /b %USERPROFILE%\Documents\GitHub\eaglep3\Utilities\DownloadLogsFromS3.py --loco 4042 --day 2017-12-10</v>
      </c>
      <c r="AN192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84"/>
        <v>https://d0f6bd738d7f1b3e5a7ca70fe4ff75f0.us-east-1.aws.found.io/app/kibana#/discover/Steve-Slow-Train-Analysis-(2080s-and-2083s)?_g=(refreshInterval:(display:Off,pause:!f,section:0,value:0),time:(from:'2017-12-10T19:06:45-0700',mode:absolute,to:'2017-12-10T21:23:09-0700'))&amp;_a=(columns:!('Message%20ID',Summary),filters:!(),index:'emp_*',interval:auto,query:(query_string:(analyze_wildcard:!t,query:'%22rtdc.l.rtdc.4042%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29" t="s">
        <v>914</v>
      </c>
      <c r="B193" s="225">
        <v>4041</v>
      </c>
      <c r="C193" s="227" t="s">
        <v>192</v>
      </c>
      <c r="D193" s="227" t="s">
        <v>710</v>
      </c>
      <c r="E193" s="226">
        <v>43079.851620370369</v>
      </c>
      <c r="F193" s="226">
        <v>43079.863240740742</v>
      </c>
      <c r="G193" s="225">
        <v>60</v>
      </c>
      <c r="H193" s="227" t="s">
        <v>1009</v>
      </c>
      <c r="I193" s="226">
        <v>43079.872071759259</v>
      </c>
      <c r="J193" s="225">
        <v>0</v>
      </c>
      <c r="K193" s="237" t="str">
        <f t="shared" si="70"/>
        <v>4041/4042</v>
      </c>
      <c r="L193" s="245" t="str">
        <f>VLOOKUP(A193,'Trips&amp;Operators'!$C$1:$G$99911,5,FALSE)</f>
        <v>HOLCOMB KAMDEN</v>
      </c>
      <c r="M193" s="224">
        <f t="shared" si="71"/>
        <v>8.8310185165028088E-3</v>
      </c>
      <c r="N193" s="225">
        <f t="shared" si="103"/>
        <v>12.716666663764045</v>
      </c>
      <c r="O193" s="225"/>
      <c r="P193" s="225"/>
      <c r="Q193" s="228"/>
      <c r="R193" s="242"/>
      <c r="S193" s="249">
        <f t="shared" si="104"/>
        <v>1</v>
      </c>
      <c r="T193" s="242" t="str">
        <f t="shared" si="72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73"/>
        <v>https://d0f6bd738d7f1b3e5a7ca70fe4ff75f0.us-east-1.aws.found.io/app/kibana#/discover/Steve-Slow-Train-Analysis-(2080s-and-2083s)?_g=(refreshInterval:(display:Off,pause:!f,section:0,value:0),time:(from:'2017-12-10T19:26:20-0700',mode:absolute,to:'2017-12-10T21:55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247" t="str">
        <f>IF(AA193&lt;VLOOKUP(AG193,Variables!$AC$3:$AD$8,2,FALSE),"Y","N")</f>
        <v>N</v>
      </c>
      <c r="X193" s="247">
        <f t="shared" si="102"/>
        <v>1</v>
      </c>
      <c r="Y193" s="247">
        <f t="shared" si="100"/>
        <v>5.8658000000000001</v>
      </c>
      <c r="Z193" s="247">
        <f t="shared" si="101"/>
        <v>1.11E-2</v>
      </c>
      <c r="AA193" s="247">
        <f t="shared" si="74"/>
        <v>5.8547000000000002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75"/>
        <v>1830</v>
      </c>
      <c r="AE193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93" s="234" t="str">
        <f t="shared" si="77"/>
        <v>"C:\Program Files (x86)\AstroGrep\AstroGrep.exe" /e /r /s /spath="%USERPROFILE%\AppData\Local\Temp\OnboardLogs" /stypes="app*4041*20171211*" /stext=" 03:.+((SYSTEM_STATE.+slice.+state.+changed )|(ment ac)|(multiple cpu faults)|(system.+state.+changed )|(\[timeout)|(PRM\|1\|D)|(kpr)|(kdp)|(train st.+moving)|(\|lc)|(penalty))"</v>
      </c>
      <c r="AG193" s="244" t="str">
        <f t="shared" si="78"/>
        <v>NW</v>
      </c>
      <c r="AH193" s="236" t="str">
        <f t="shared" si="80"/>
        <v>"%USERPROFILE%\Documents\GitHub\eaglep3\Utilities\RefineRTDCRunTimes.py" --tripid 1830-10 --locoid 4041 --swversion DE.1.0.9.0 --startMP 300:58658 --initTime 2017-12-10T20:26:20 --startdatetime 2017-12-10T20:43:04 --delay 60 --endMP 204:111 --enddatetime 2017-12-10T20:55:47 --enforcementcount 0 &gt;&gt;%USERPROFILE%\Documents\GitHub\eaglep3-reporting\EC\2017-12-10-refined-times.txt</v>
      </c>
      <c r="AI193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{"issue":{"subject":"","project_id":79,"tracker_id":40,"status_id":1,"priority_id":2,"assigned_to_id":338,"start_date":"2017-12-10","description":"","custom_fields":[{"id":1,"name":"Subdivision","value":"NW"},{"id":4,"name":"Milepost","value":"0.0111"},{"id":17,"name":"Train ID","value":"1830-10"},{"id":16,"name":"Locomotive ID","value":"4041"},{"id":130,"name":"Impact","value":""},{"id":150,"name":"Time of Event (Mountain Time)","value":"20:55:47"},{"id":151,"name":"Denver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82"/>
        <v>start /low /b %USERPROFILE%\Documents\GitHub\eaglep3\Utilities\DownloadLogsFromS3.py --loco 4041 --day 2017-12-10</v>
      </c>
      <c r="AN193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84"/>
        <v>https://d0f6bd738d7f1b3e5a7ca70fe4ff75f0.us-east-1.aws.found.io/app/kibana#/discover/Steve-Slow-Train-Analysis-(2080s-and-2083s)?_g=(refreshInterval:(display:Off,pause:!f,section:0,value:0),time:(from:'2017-12-10T19:26:20-0700',mode:absolute,to:'2017-12-10T21:55:47-0700'))&amp;_a=(columns:!('Message%20ID',Summary),filters:!(),index:'emp_*',interval:auto,query:(query_string:(analyze_wildcard:!t,query:'%22rtdc.l.rtdc.4041%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918</v>
      </c>
      <c r="B194" s="225">
        <v>4042</v>
      </c>
      <c r="C194" s="227" t="s">
        <v>192</v>
      </c>
      <c r="D194" s="227" t="s">
        <v>1010</v>
      </c>
      <c r="E194" s="226">
        <v>43079.879861111112</v>
      </c>
      <c r="F194" s="226">
        <v>43079.881550925929</v>
      </c>
      <c r="G194" s="225">
        <v>58</v>
      </c>
      <c r="H194" s="227" t="s">
        <v>711</v>
      </c>
      <c r="I194" s="226">
        <v>43079.893449074072</v>
      </c>
      <c r="J194" s="225">
        <v>0</v>
      </c>
      <c r="K194" s="237" t="str">
        <f t="shared" si="70"/>
        <v>4041/4042</v>
      </c>
      <c r="L194" s="245" t="str">
        <f>VLOOKUP(A194,'Trips&amp;Operators'!$C$1:$G$99911,5,FALSE)</f>
        <v>HOLCOMB KAMDEN</v>
      </c>
      <c r="M194" s="224">
        <f t="shared" si="71"/>
        <v>1.1898148142790888E-2</v>
      </c>
      <c r="N194" s="225">
        <f t="shared" si="103"/>
        <v>17.133333325618878</v>
      </c>
      <c r="O194" s="225"/>
      <c r="P194" s="225"/>
      <c r="Q194" s="228"/>
      <c r="R194" s="242"/>
      <c r="S194" s="249">
        <f t="shared" si="104"/>
        <v>1</v>
      </c>
      <c r="T194" s="242" t="str">
        <f t="shared" si="72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73"/>
        <v>https://d0f6bd738d7f1b3e5a7ca70fe4ff75f0.us-east-1.aws.found.io/app/kibana#/discover/Steve-Slow-Train-Analysis-(2080s-and-2083s)?_g=(refreshInterval:(display:Off,pause:!f,section:0,value:0),time:(from:'2017-12-10T20:07:00-0700',mode:absolute,to:'2017-12-10T22:26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247" t="str">
        <f>IF(AA194&lt;VLOOKUP(AG194,Variables!$AC$3:$AD$8,2,FALSE),"Y","N")</f>
        <v>N</v>
      </c>
      <c r="X194" s="247">
        <f t="shared" si="102"/>
        <v>1</v>
      </c>
      <c r="Y194" s="247">
        <f t="shared" si="100"/>
        <v>4.0300000000000002E-2</v>
      </c>
      <c r="Z194" s="247">
        <f t="shared" si="101"/>
        <v>5.8973000000000004</v>
      </c>
      <c r="AA194" s="247">
        <f t="shared" si="74"/>
        <v>5.8570000000000002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75"/>
        <v>1831</v>
      </c>
      <c r="AE194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4" s="234" t="str">
        <f t="shared" si="77"/>
        <v>"C:\Program Files (x86)\AstroGrep\AstroGrep.exe" /e /r /s /spath="%USERPROFILE%\AppData\Local\Temp\OnboardLogs" /stypes="app*4042*20171211*" /stext=" 04:.+((SYSTEM_STATE.+slice.+state.+changed )|(ment ac)|(multiple cpu faults)|(system.+state.+changed )|(\[timeout)|(PRM\|1\|D)|(kpr)|(kdp)|(train st.+moving)|(\|lc)|(penalty))"</v>
      </c>
      <c r="AG194" s="244" t="str">
        <f t="shared" si="78"/>
        <v>NW</v>
      </c>
      <c r="AH194" s="236" t="str">
        <f t="shared" si="80"/>
        <v>"%USERPROFILE%\Documents\GitHub\eaglep3\Utilities\RefineRTDCRunTimes.py" --tripid 1831-10 --locoid 4042 --swversion DE.1.0.9.0 --startMP 204:403 --initTime 2017-12-10T21:07:00 --startdatetime 2017-12-10T21:09:26 --delay 58 --endMP 300:58973 --enddatetime 2017-12-10T21:26:34 --enforcementcount 0 &gt;&gt;%USERPROFILE%\Documents\GitHub\eaglep3-reporting\EC\2017-12-10-refined-times.txt</v>
      </c>
      <c r="AI194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{"issue":{"subject":"","project_id":79,"tracker_id":40,"status_id":1,"priority_id":2,"assigned_to_id":338,"start_date":"2017-12-10","description":"","custom_fields":[{"id":1,"name":"Subdivision","value":"NW"},{"id":4,"name":"Milepost","value":"5.8973"},{"id":17,"name":"Train ID","value":"1831-10"},{"id":16,"name":"Locomotive ID","value":"4042"},{"id":130,"name":"Impact","value":""},{"id":150,"name":"Time of Event (Mountain Time)","value":"21:26:34"},{"id":151,"name":"Denver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82"/>
        <v>start /low /b %USERPROFILE%\Documents\GitHub\eaglep3\Utilities\DownloadLogsFromS3.py --loco 4042 --day 2017-12-10</v>
      </c>
      <c r="AN194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84"/>
        <v>https://d0f6bd738d7f1b3e5a7ca70fe4ff75f0.us-east-1.aws.found.io/app/kibana#/discover/Steve-Slow-Train-Analysis-(2080s-and-2083s)?_g=(refreshInterval:(display:Off,pause:!f,section:0,value:0),time:(from:'2017-12-10T20:07:00-0700',mode:absolute,to:'2017-12-10T22:26:34-0700'))&amp;_a=(columns:!('Message%20ID',Summary),filters:!(),index:'emp_*',interval:auto,query:(query_string:(analyze_wildcard:!t,query:'%22rtdc.l.rtdc.4042%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29" t="s">
        <v>752</v>
      </c>
      <c r="B195" s="225">
        <v>4041</v>
      </c>
      <c r="C195" s="227" t="s">
        <v>192</v>
      </c>
      <c r="D195" s="227" t="s">
        <v>708</v>
      </c>
      <c r="E195" s="226">
        <v>43079.894814814812</v>
      </c>
      <c r="F195" s="226">
        <v>43079.905034722222</v>
      </c>
      <c r="G195" s="225">
        <v>56</v>
      </c>
      <c r="H195" s="227" t="s">
        <v>1011</v>
      </c>
      <c r="I195" s="226">
        <v>43079.913819444446</v>
      </c>
      <c r="J195" s="225">
        <v>0</v>
      </c>
      <c r="K195" s="237" t="str">
        <f t="shared" si="70"/>
        <v>4041/4042</v>
      </c>
      <c r="L195" s="245" t="str">
        <f>VLOOKUP(A195,'Trips&amp;Operators'!$C$1:$G$99911,5,FALSE)</f>
        <v>HOLCOMB KAMDEN</v>
      </c>
      <c r="M195" s="224">
        <f t="shared" si="71"/>
        <v>8.7847222239361145E-3</v>
      </c>
      <c r="N195" s="225">
        <f t="shared" si="103"/>
        <v>12.650000002468005</v>
      </c>
      <c r="O195" s="225"/>
      <c r="P195" s="225"/>
      <c r="Q195" s="228"/>
      <c r="R195" s="242" t="s">
        <v>1069</v>
      </c>
      <c r="S195" s="249">
        <f t="shared" si="104"/>
        <v>1</v>
      </c>
      <c r="T195" s="242" t="str">
        <f t="shared" si="72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73"/>
        <v>https://d0f6bd738d7f1b3e5a7ca70fe4ff75f0.us-east-1.aws.found.io/app/kibana#/discover/Steve-Slow-Train-Analysis-(2080s-and-2083s)?_g=(refreshInterval:(display:Off,pause:!f,section:0,value:0),time:(from:'2017-12-10T20:28:32-0700',mode:absolute,to:'2017-12-10T22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247" t="str">
        <f>IF(AA195&lt;VLOOKUP(AG195,Variables!$AC$3:$AD$8,2,FALSE),"Y","N")</f>
        <v>N</v>
      </c>
      <c r="X195" s="247">
        <f t="shared" ref="X195:X199" si="105">VALUE(LEFT(AD195,4))-VALUE(LEFT(AD194,4))</f>
        <v>1</v>
      </c>
      <c r="Y195" s="247">
        <f t="shared" si="100"/>
        <v>5.8659999999999997</v>
      </c>
      <c r="Z195" s="247">
        <f t="shared" si="101"/>
        <v>7.7000000000000002E-3</v>
      </c>
      <c r="AA195" s="247">
        <f t="shared" si="74"/>
        <v>5.8582999999999998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75"/>
        <v>1832</v>
      </c>
      <c r="AE195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95" s="234" t="str">
        <f t="shared" si="77"/>
        <v>"C:\Program Files (x86)\AstroGrep\AstroGrep.exe" /e /r /s /spath="%USERPROFILE%\AppData\Local\Temp\OnboardLogs" /stypes="app*4041*20171211*" /stext=" 04:.+((SYSTEM_STATE.+slice.+state.+changed )|(ment ac)|(multiple cpu faults)|(system.+state.+changed )|(\[timeout)|(PRM\|1\|D)|(kpr)|(kdp)|(train st.+moving)|(\|lc)|(penalty))"</v>
      </c>
      <c r="AG195" s="244" t="str">
        <f t="shared" si="78"/>
        <v>NW</v>
      </c>
      <c r="AH195" s="236" t="str">
        <f t="shared" si="80"/>
        <v>"%USERPROFILE%\Documents\GitHub\eaglep3\Utilities\RefineRTDCRunTimes.py" --tripid 1832-10 --locoid 4041 --swversion DE.1.0.9.0 --startMP 300:58660 --initTime 2017-12-10T21:28:32 --startdatetime 2017-12-10T21:43:15 --delay 56 --endMP 204:77 --enddatetime 2017-12-10T21:55:54 --enforcementcount 0 &gt;&gt;%USERPROFILE%\Documents\GitHub\eaglep3-reporting\EC\2017-12-10-refined-times.txt</v>
      </c>
      <c r="AI195" s="238" t="str">
        <f t="shared" si="81"/>
        <v>echo {"issue":{"subject":"Observed banner without braking","project_id":79,"tracker_id":40,"status_id":1,"priority_id":2,"assigned_to_id":338,"start_date":"2017-12-10","description":"","custom_fields":[{"id":1,"name":"Subdivision","value":"NW"},{"id":4,"name":"Milepost","value":"0.0077"},{"id":17,"name":"Train ID","value":"1832-10"},{"id":16,"name":"Locomotive ID","value":"4041"},{"id":130,"name":"Impact","value":""},{"id":150,"name":"Time of Event (Mountain Time)","value":"21:55:54"},{"id":151,"name":"Denver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82"/>
        <v>start /low /b %USERPROFILE%\Documents\GitHub\eaglep3\Utilities\DownloadLogsFromS3.py --loco 4041 --day 2017-12-10</v>
      </c>
      <c r="AN195" s="241" t="str">
        <f t="shared" si="83"/>
        <v>echo {"issue":{"subject":"Observed banner without braking","project_id":30,"tracker_id":4,"status_id":1,"priority_id":1,"assigned_to_id":10,"start_date":"2017-12-11","description":"","custom_fields":[{"id":30,"name":"Category","value":"Issue"},{"id":3,"name":"Functional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84"/>
        <v>https://d0f6bd738d7f1b3e5a7ca70fe4ff75f0.us-east-1.aws.found.io/app/kibana#/discover/Steve-Slow-Train-Analysis-(2080s-and-2083s)?_g=(refreshInterval:(display:Off,pause:!f,section:0,value:0),time:(from:'2017-12-10T20:28:32-0700',mode:absolute,to:'2017-12-10T22:55:54-0700'))&amp;_a=(columns:!('Message%20ID',Summary),filters:!(),index:'emp_*',interval:auto,query:(query_string:(analyze_wildcard:!t,query:'%22rtdc.l.rtdc.4041%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924</v>
      </c>
      <c r="B196" s="225">
        <v>4042</v>
      </c>
      <c r="C196" s="227" t="s">
        <v>192</v>
      </c>
      <c r="D196" s="227" t="s">
        <v>1012</v>
      </c>
      <c r="E196" s="226">
        <v>43079.921053240738</v>
      </c>
      <c r="F196" s="226">
        <v>43079.921053240738</v>
      </c>
      <c r="G196" s="225">
        <v>58</v>
      </c>
      <c r="H196" s="227" t="s">
        <v>711</v>
      </c>
      <c r="I196" s="226">
        <v>43079.930960648147</v>
      </c>
      <c r="J196" s="225">
        <v>0</v>
      </c>
      <c r="K196" s="237" t="str">
        <f t="shared" si="70"/>
        <v>4041/4042</v>
      </c>
      <c r="L196" s="245" t="str">
        <f>VLOOKUP(A196,'Trips&amp;Operators'!$C$1:$G$99911,5,FALSE)</f>
        <v>HOLCOMB KAMDEN</v>
      </c>
      <c r="M196" s="224">
        <f t="shared" si="71"/>
        <v>9.9074074096279219E-3</v>
      </c>
      <c r="N196" s="225"/>
      <c r="O196" s="225"/>
      <c r="P196" s="225">
        <f>24*60*SUM($M196:$M196)</f>
        <v>14.266666669864208</v>
      </c>
      <c r="Q196" s="228"/>
      <c r="R196" s="242" t="s">
        <v>661</v>
      </c>
      <c r="S196" s="249">
        <f t="shared" si="104"/>
        <v>0</v>
      </c>
      <c r="T196" s="242" t="str">
        <f t="shared" si="72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248" t="str">
        <f t="shared" si="73"/>
        <v>https://d0f6bd738d7f1b3e5a7ca70fe4ff75f0.us-east-1.aws.found.io/app/kibana#/discover/Steve-Slow-Train-Analysis-(2080s-and-2083s)?_g=(refreshInterval:(display:Off,pause:!f,section:0,value:0),time:(from:'2017-12-10T21:06:19-0700',mode:absolute,to:'2017-12-10T23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6" s="247" t="str">
        <f>IF(AA196&lt;VLOOKUP(AG196,Variables!$AC$3:$AD$8,2,FALSE),"Y","N")</f>
        <v>Y</v>
      </c>
      <c r="X196" s="247">
        <f t="shared" si="105"/>
        <v>1</v>
      </c>
      <c r="Y196" s="247">
        <v>0.20880000000000001</v>
      </c>
      <c r="Z196" s="247">
        <v>0.49270000000000003</v>
      </c>
      <c r="AA196" s="247">
        <f t="shared" si="74"/>
        <v>0.28390000000000004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75"/>
        <v>1833</v>
      </c>
      <c r="AE196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6" s="234" t="str">
        <f t="shared" si="77"/>
        <v>"C:\Program Files (x86)\AstroGrep\AstroGrep.exe" /e /r /s /spath="%USERPROFILE%\AppData\Local\Temp\OnboardLogs" /stypes="app*4042*20171211*" /stext=" 05:.+((SYSTEM_STATE.+slice.+state.+changed )|(ment ac)|(multiple cpu faults)|(system.+state.+changed )|(\[timeout)|(PRM\|1\|D)|(kpr)|(kdp)|(train st.+moving)|(\|lc)|(penalty))"</v>
      </c>
      <c r="AG196" s="244" t="str">
        <f t="shared" si="78"/>
        <v>NW</v>
      </c>
      <c r="AH196" s="236" t="str">
        <f t="shared" si="80"/>
        <v>"%USERPROFILE%\Documents\GitHub\eaglep3\Utilities\RefineRTDCRunTimes.py" --tripid 1833-10 --locoid 4042 --swversion DE.1.0.9.0 --startMP 204:2088 --initTime 2017-12-10T22:06:19 --startdatetime 2017-12-10T22:06:19 --delay 58 --endMP 300:58973 --enddatetime 2017-12-10T22:20:35 --enforcementcount 0 &gt;&gt;%USERPROFILE%\Documents\GitHub\eaglep3-reporting\EC\2017-12-10-refined-times.txt</v>
      </c>
      <c r="AI196" s="238" t="str">
        <f t="shared" si="81"/>
        <v>echo {"issue":{"subject":"Onboard en route failure","project_id":79,"tracker_id":40,"status_id":1,"priority_id":2,"assigned_to_id":338,"start_date":"2017-12-10","description":"","custom_fields":[{"id":1,"name":"Subdivision","value":"NW"},{"id":4,"name":"Milepost","value":"0.4927"},{"id":17,"name":"Train ID","value":"1833-10"},{"id":16,"name":"Locomotive ID","value":"4042"},{"id":130,"name":"Impact","value":""},{"id":150,"name":"Time of Event (Mountain Time)","value":"22:20:35"},{"id":151,"name":"Denver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82"/>
        <v>start /low /b %USERPROFILE%\Documents\GitHub\eaglep3\Utilities\DownloadLogsFromS3.py --loco 4042 --day 2017-12-10</v>
      </c>
      <c r="AN196" s="241" t="str">
        <f t="shared" si="83"/>
        <v>echo {"issue":{"subject":"Onboard en route failure","project_id":30,"tracker_id":4,"status_id":1,"priority_id":1,"assigned_to_id":10,"start_date":"2017-12-11","description":"","custom_fields":[{"id":30,"name":"Category","value":"Issue"},{"id":3,"name":"Functional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84"/>
        <v>https://d0f6bd738d7f1b3e5a7ca70fe4ff75f0.us-east-1.aws.found.io/app/kibana#/discover/Steve-Slow-Train-Analysis-(2080s-and-2083s)?_g=(refreshInterval:(display:Off,pause:!f,section:0,value:0),time:(from:'2017-12-10T21:06:19-0700',mode:absolute,to:'2017-12-10T23:20:35-0700'))&amp;_a=(columns:!('Message%20ID',Summary),filters:!(),index:'emp_*',interval:auto,query:(query_string:(analyze_wildcard:!t,query:'%22rtdc.l.rtdc.4042%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753</v>
      </c>
      <c r="B197" s="225">
        <v>4041</v>
      </c>
      <c r="C197" s="227" t="s">
        <v>192</v>
      </c>
      <c r="D197" s="227" t="s">
        <v>1013</v>
      </c>
      <c r="E197" s="226">
        <v>43079.940706018519</v>
      </c>
      <c r="F197" s="226">
        <v>43079.942430555559</v>
      </c>
      <c r="G197" s="225">
        <v>59</v>
      </c>
      <c r="H197" s="227" t="s">
        <v>1014</v>
      </c>
      <c r="I197" s="226">
        <v>43079.955983796295</v>
      </c>
      <c r="J197" s="225">
        <v>0</v>
      </c>
      <c r="K197" s="237" t="str">
        <f t="shared" si="70"/>
        <v>4041/4042</v>
      </c>
      <c r="L197" s="245" t="str">
        <f>VLOOKUP(A197,'Trips&amp;Operators'!$C$1:$G$99911,5,FALSE)</f>
        <v>HOLCOMB KAMDEN</v>
      </c>
      <c r="M197" s="224">
        <f t="shared" si="71"/>
        <v>1.3553240736655425E-2</v>
      </c>
      <c r="N197" s="225">
        <f>24*60*SUM($M197:$M197)</f>
        <v>19.516666660783812</v>
      </c>
      <c r="O197" s="225"/>
      <c r="P197" s="225"/>
      <c r="Q197" s="228"/>
      <c r="R197" s="242"/>
      <c r="S197" s="249">
        <f t="shared" si="104"/>
        <v>1</v>
      </c>
      <c r="T197" s="242" t="str">
        <f t="shared" si="72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73"/>
        <v>https://d0f6bd738d7f1b3e5a7ca70fe4ff75f0.us-east-1.aws.found.io/app/kibana#/discover/Steve-Slow-Train-Analysis-(2080s-and-2083s)?_g=(refreshInterval:(display:Off,pause:!f,section:0,value:0),time:(from:'2017-12-10T21:34:37-0700',mode:absolute,to:'2017-12-10T23:56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247" t="str">
        <f>IF(AA197&lt;VLOOKUP(AG197,Variables!$AC$3:$AD$8,2,FALSE),"Y","N")</f>
        <v>N</v>
      </c>
      <c r="X197" s="247">
        <f t="shared" si="105"/>
        <v>1</v>
      </c>
      <c r="Y197" s="247">
        <f>RIGHT(D197,LEN(D197)-4)/10000</f>
        <v>5.8681000000000001</v>
      </c>
      <c r="Z197" s="247">
        <f>RIGHT(H197,LEN(H197)-4)/10000</f>
        <v>1.2200000000000001E-2</v>
      </c>
      <c r="AA197" s="247">
        <f t="shared" si="74"/>
        <v>5.8559000000000001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75"/>
        <v>1834</v>
      </c>
      <c r="AE197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97" s="234" t="str">
        <f t="shared" si="77"/>
        <v>"C:\Program Files (x86)\AstroGrep\AstroGrep.exe" /e /r /s /spath="%USERPROFILE%\AppData\Local\Temp\OnboardLogs" /stypes="app*4041*20171211*" /stext=" 05:.+((SYSTEM_STATE.+slice.+state.+changed )|(ment ac)|(multiple cpu faults)|(system.+state.+changed )|(\[timeout)|(PRM\|1\|D)|(kpr)|(kdp)|(train st.+moving)|(\|lc)|(penalty))"</v>
      </c>
      <c r="AG197" s="244" t="str">
        <f t="shared" si="78"/>
        <v>NW</v>
      </c>
      <c r="AH197" s="236" t="str">
        <f t="shared" si="80"/>
        <v>"%USERPROFILE%\Documents\GitHub\eaglep3\Utilities\RefineRTDCRunTimes.py" --tripid 1834-10 --locoid 4041 --swversion DE.1.0.9.0 --startMP 300:58681 --initTime 2017-12-10T22:34:37 --startdatetime 2017-12-10T22:37:06 --delay 59 --endMP 204:122 --enddatetime 2017-12-10T22:56:37 --enforcementcount 0 &gt;&gt;%USERPROFILE%\Documents\GitHub\eaglep3-reporting\EC\2017-12-10-refined-times.txt</v>
      </c>
      <c r="AI197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{"issue":{"subject":"","project_id":79,"tracker_id":40,"status_id":1,"priority_id":2,"assigned_to_id":338,"start_date":"2017-12-10","description":"","custom_fields":[{"id":1,"name":"Subdivision","value":"NW"},{"id":4,"name":"Milepost","value":"0.0122"},{"id":17,"name":"Train ID","value":"1834-10"},{"id":16,"name":"Locomotive ID","value":"4041"},{"id":130,"name":"Impact","value":""},{"id":150,"name":"Time of Event (Mountain Time)","value":"22:56:37"},{"id":151,"name":"Denver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82"/>
        <v>start /low /b %USERPROFILE%\Documents\GitHub\eaglep3\Utilities\DownloadLogsFromS3.py --loco 4041 --day 2017-12-10</v>
      </c>
      <c r="AN197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84"/>
        <v>https://d0f6bd738d7f1b3e5a7ca70fe4ff75f0.us-east-1.aws.found.io/app/kibana#/discover/Steve-Slow-Train-Analysis-(2080s-and-2083s)?_g=(refreshInterval:(display:Off,pause:!f,section:0,value:0),time:(from:'2017-12-10T21:34:37-0700',mode:absolute,to:'2017-12-10T23:56:37-0700'))&amp;_a=(columns:!('Message%20ID',Summary),filters:!(),index:'emp_*',interval:auto,query:(query_string:(analyze_wildcard:!t,query:'%22rtdc.l.rtdc.4041%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929</v>
      </c>
      <c r="B198" s="225">
        <v>4042</v>
      </c>
      <c r="C198" s="227" t="s">
        <v>192</v>
      </c>
      <c r="D198" s="227" t="s">
        <v>1013</v>
      </c>
      <c r="E198" s="226">
        <v>43079.940706018519</v>
      </c>
      <c r="F198" s="226">
        <v>43079.965324074074</v>
      </c>
      <c r="G198" s="225">
        <v>59</v>
      </c>
      <c r="H198" s="227" t="s">
        <v>1014</v>
      </c>
      <c r="I198" s="226">
        <v>43079.966874999998</v>
      </c>
      <c r="J198" s="225">
        <v>0</v>
      </c>
      <c r="K198" s="237" t="str">
        <f t="shared" si="70"/>
        <v>4041/4042</v>
      </c>
      <c r="L198" s="245" t="str">
        <f>VLOOKUP(A198,'Trips&amp;Operators'!$C$1:$G$99911,5,FALSE)</f>
        <v>HOLCOMB KAMDEN</v>
      </c>
      <c r="M198" s="224">
        <f t="shared" si="71"/>
        <v>1.5509259246755391E-3</v>
      </c>
      <c r="N198" s="225"/>
      <c r="O198" s="225"/>
      <c r="P198" s="225">
        <f>24*60*SUM($M198:$M198)</f>
        <v>2.2333333315327764</v>
      </c>
      <c r="Q198" s="228"/>
      <c r="R198" s="242" t="s">
        <v>661</v>
      </c>
      <c r="S198" s="249">
        <f t="shared" si="104"/>
        <v>0</v>
      </c>
      <c r="T198" s="242" t="str">
        <f t="shared" si="72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248" t="str">
        <f t="shared" si="73"/>
        <v>https://d0f6bd738d7f1b3e5a7ca70fe4ff75f0.us-east-1.aws.found.io/app/kibana#/discover/Steve-Slow-Train-Analysis-(2080s-and-2083s)?_g=(refreshInterval:(display:Off,pause:!f,section:0,value:0),time:(from:'2017-12-10T21:34:37-0700',mode:absolute,to:'2017-12-11T00:12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247" t="str">
        <f>IF(AA198&lt;VLOOKUP(AG198,Variables!$AC$3:$AD$8,2,FALSE),"Y","N")</f>
        <v>Y</v>
      </c>
      <c r="X198" s="247">
        <f t="shared" si="105"/>
        <v>1</v>
      </c>
      <c r="Y198" s="247">
        <v>0.20880000000000001</v>
      </c>
      <c r="Z198" s="247">
        <v>0.49270000000000003</v>
      </c>
      <c r="AA198" s="247">
        <f t="shared" si="74"/>
        <v>0.28390000000000004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75"/>
        <v>1835</v>
      </c>
      <c r="AE198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8" s="234" t="str">
        <f t="shared" si="77"/>
        <v>"C:\Program Files (x86)\AstroGrep\AstroGrep.exe" /e /r /s /spath="%USERPROFILE%\AppData\Local\Temp\OnboardLogs" /stypes="app*4042*20171211*" /stext=" 06:.+((SYSTEM_STATE.+slice.+state.+changed )|(ment ac)|(multiple cpu faults)|(system.+state.+changed )|(\[timeout)|(PRM\|1\|D)|(kpr)|(kdp)|(train st.+moving)|(\|lc)|(penalty))"</v>
      </c>
      <c r="AG198" s="244" t="str">
        <f t="shared" si="78"/>
        <v>NW</v>
      </c>
      <c r="AH198" s="236" t="str">
        <f t="shared" ref="AH198" si="106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1835-10 --locoid 4042 --swversion DE.1.0.9.0 --startMP 300:58681 --initTime 2017-12-10T22:34:37 --startdatetime 2017-12-10T23:10:04 --delay 59 --endMP 204:122 --enddatetime 2017-12-10T23:12:18 --enforcementcount 0 &gt;&gt;%USERPROFILE%\Documents\GitHub\eaglep3-reporting\EC\2017-12-10-refined-times.txt</v>
      </c>
      <c r="AI198" s="238" t="str">
        <f t="shared" ref="AI198" si="107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failure","project_id":79,"tracker_id":40,"status_id":1,"priority_id":2,"assigned_to_id":338,"start_date":"2017-12-10","description":"","custom_fields":[{"id":1,"name":"Subdivision","value":"NW"},{"id":4,"name":"Milepost","value":"0.4927"},{"id":17,"name":"Train ID","value":"1835-10"},{"id":16,"name":"Locomotive ID","value":"4042"},{"id":130,"name":"Impact","value":""},{"id":150,"name":"Time of Event (Mountain Time)","value":"23:12:18"},{"id":151,"name":"Denver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ref="AM198" si="108">"start /low /b "&amp;dls3logs&amp;" --loco "&amp;B198&amp;" --day "&amp;TEXT(F198,"YYYY-MM-DD")</f>
        <v>start /low /b %USERPROFILE%\Documents\GitHub\eaglep3\Utilities\DownloadLogsFromS3.py --loco 4042 --day 2017-12-10</v>
      </c>
      <c r="AN198" s="241" t="str">
        <f t="shared" ref="AN198" si="109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06:12:18"},{"id":29,"name":"Sharepoint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ref="AO198" si="110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-10T21:34:37-0700',mode:absolute,to:'2017-12-11T00:12:18-0700'))&amp;_a=(columns:!('Message%20ID',Summary),filters:!(),index:'emp_*',interval:auto,query:(query_string:(analyze_wildcard:!t,query:'%22rtdc.l.rtdc.4042%22')),sort:!(Time.ISO8601,asc))</v>
      </c>
    </row>
    <row r="199" spans="1:91" s="20" customFormat="1" x14ac:dyDescent="0.3">
      <c r="A199" s="229" t="s">
        <v>673</v>
      </c>
      <c r="B199" s="225">
        <v>4011</v>
      </c>
      <c r="C199" s="227" t="s">
        <v>192</v>
      </c>
      <c r="D199" s="227" t="s">
        <v>1036</v>
      </c>
      <c r="E199" s="226">
        <v>43079.115231481483</v>
      </c>
      <c r="F199" s="226">
        <v>43079.118356481478</v>
      </c>
      <c r="G199" s="225">
        <v>49</v>
      </c>
      <c r="H199" s="227" t="s">
        <v>643</v>
      </c>
      <c r="I199" s="226">
        <v>43079.125509259262</v>
      </c>
      <c r="J199" s="225">
        <v>0</v>
      </c>
      <c r="K199" s="237" t="str">
        <f t="shared" si="70"/>
        <v>4011/4012</v>
      </c>
      <c r="L199" s="245" t="str">
        <f>VLOOKUP(A199,'Trips&amp;Operators'!$C$1:$G$99911,5,FALSE)</f>
        <v>THOMPSON LESTER</v>
      </c>
      <c r="M199" s="224">
        <f t="shared" si="71"/>
        <v>7.1527777836308815E-3</v>
      </c>
      <c r="N199" s="225">
        <f t="shared" ref="N199:N224" si="111">24*60*SUM($M199:$M199)</f>
        <v>10.300000008428469</v>
      </c>
      <c r="O199" s="225"/>
      <c r="P199" s="225"/>
      <c r="Q199" s="228"/>
      <c r="R199" s="242"/>
      <c r="S199" s="249">
        <f t="shared" si="104"/>
        <v>1</v>
      </c>
      <c r="T199" s="242" t="str">
        <f t="shared" si="72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73"/>
        <v>https://d0f6bd738d7f1b3e5a7ca70fe4ff75f0.us-east-1.aws.found.io/app/kibana#/discover/Steve-Slow-Train-Analysis-(2080s-and-2083s)?_g=(refreshInterval:(display:Off,pause:!f,section:0,value:0),time:(from:'2017-12-10T01:45:56-0700',mode:absolute,to:'2017-12-10T04:00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9" s="247" t="str">
        <f>IF(AA199&lt;VLOOKUP(AG199,Variables!$AC$3:$AD$8,2,FALSE),"Y","N")</f>
        <v>Y</v>
      </c>
      <c r="X199" s="247">
        <f t="shared" si="105"/>
        <v>-1535</v>
      </c>
      <c r="Y199" s="247">
        <f t="shared" ref="Y199:Y224" si="112">RIGHT(D199,LEN(D199)-4)/10000</f>
        <v>2.3593000000000002</v>
      </c>
      <c r="Z199" s="247">
        <f t="shared" ref="Z199:Z224" si="113">RIGHT(H199,LEN(H199)-4)/10000</f>
        <v>1.49E-2</v>
      </c>
      <c r="AA199" s="247">
        <f t="shared" si="74"/>
        <v>2.3444000000000003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75"/>
        <v>300</v>
      </c>
      <c r="AE199" s="235" t="str">
        <f t="shared" si="76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99" s="234" t="str">
        <f t="shared" si="77"/>
        <v>"C:\Program Files (x86)\AstroGrep\AstroGrep.exe" /e /r /s /spath="%USERPROFILE%\AppData\Local\Temp\OnboardLogs" /stypes="app*4011*20171210*" /stext=" 10:.+((SYSTEM_STATE.+slice.+state.+changed )|(ment ac)|(multiple cpu faults)|(system.+state.+changed )|(\[timeout)|(PRM\|1\|D)|(kpr)|(kdp)|(train st.+moving)|(\|lc)|(penalty))"</v>
      </c>
      <c r="AG199" s="244" t="str">
        <f t="shared" si="78"/>
        <v>Other</v>
      </c>
      <c r="AH199" s="236" t="str">
        <f t="shared" si="80"/>
        <v>"%USERPROFILE%\Documents\GitHub\eaglep3\Utilities\RefineRTDCRunTimes.py" --tripid 300-10 --locoid 4011 --swversion DE.1.0.9.0 --startMP 300:23593 --initTime 2017-12-10T02:45:56 --startdatetime 2017-12-10T02:50:26 --delay 49 --endMP 204:149 --enddatetime 2017-12-10T03:00:44 --enforcementcount 0 &gt;&gt;%USERPROFILE%\Documents\GitHub\eaglep3-reporting\EC\2017-12-10-refined-times.txt</v>
      </c>
      <c r="AI199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{"issue":{"subject":"","project_id":79,"tracker_id":40,"status_id":1,"priority_id":2,"assigned_to_id":338,"start_date":"2017-12-10","description":"","custom_fields":[{"id":1,"name":"Subdivision","value":"Other"},{"id":4,"name":"Milepost","value":"0.0149"},{"id":17,"name":"Train ID","value":"300-10"},{"id":16,"name":"Locomotive ID","value":"4011"},{"id":130,"name":"Impact","value":""},{"id":150,"name":"Time of Event (Mountain Time)","value":"03:00:44"},{"id":151,"name":"Denver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82"/>
        <v>start /low /b %USERPROFILE%\Documents\GitHub\eaglep3\Utilities\DownloadLogsFromS3.py --loco 4011 --day 2017-12-10</v>
      </c>
      <c r="AN199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10:00:44"},{"id":29,"name":"Sharepoint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84"/>
        <v>https://d0f6bd738d7f1b3e5a7ca70fe4ff75f0.us-east-1.aws.found.io/app/kibana#/discover/Steve-Slow-Train-Analysis-(2080s-and-2083s)?_g=(refreshInterval:(display:Off,pause:!f,section:0,value:0),time:(from:'2017-12-10T01:45:56-0700',mode:absolute,to:'2017-12-10T04:00:44-0700'))&amp;_a=(columns:!('Message%20ID',Summary),filters:!(),index:'emp_*',interval:auto,query:(query_string:(analyze_wildcard:!t,query:'%22rtdc.l.rtdc.4011%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730</v>
      </c>
      <c r="B200" s="225">
        <v>4023</v>
      </c>
      <c r="C200" s="227" t="s">
        <v>192</v>
      </c>
      <c r="D200" s="227" t="s">
        <v>1037</v>
      </c>
      <c r="E200" s="226">
        <v>43079.133379629631</v>
      </c>
      <c r="F200" s="226">
        <v>43079.141875000001</v>
      </c>
      <c r="G200" s="225">
        <v>345</v>
      </c>
      <c r="H200" s="227" t="s">
        <v>1038</v>
      </c>
      <c r="I200" s="226">
        <v>43079.142604166664</v>
      </c>
      <c r="J200" s="225">
        <v>0</v>
      </c>
      <c r="K200" s="237" t="str">
        <f t="shared" si="70"/>
        <v>4023/4024</v>
      </c>
      <c r="L200" s="245" t="str">
        <f>VLOOKUP(A200,'Trips&amp;Operators'!$C$1:$G$99911,5,FALSE)</f>
        <v>MAELZER KURT</v>
      </c>
      <c r="M200" s="224">
        <f t="shared" si="71"/>
        <v>7.2916666249511763E-4</v>
      </c>
      <c r="N200" s="225">
        <f t="shared" si="111"/>
        <v>1.0499999939929694</v>
      </c>
      <c r="O200" s="225"/>
      <c r="P200" s="225"/>
      <c r="Q200" s="228"/>
      <c r="R200" s="242"/>
      <c r="S200" s="249">
        <f t="shared" si="104"/>
        <v>0</v>
      </c>
      <c r="T200" s="242" t="str">
        <f t="shared" si="72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248" t="str">
        <f t="shared" si="73"/>
        <v>https://d0f6bd738d7f1b3e5a7ca70fe4ff75f0.us-east-1.aws.found.io/app/kibana#/discover/Steve-Slow-Train-Analysis-(2080s-and-2083s)?_g=(refreshInterval:(display:Off,pause:!f,section:0,value:0),time:(from:'2017-12-10T02:12:04-0700',mode:absolute,to:'2017-12-10T04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0" s="247" t="str">
        <f>IF(AA200&lt;VLOOKUP(AG200,Variables!$AC$3:$AD$8,2,FALSE),"Y","N")</f>
        <v>Y</v>
      </c>
      <c r="X200" s="247">
        <f t="shared" ref="X200:X224" si="114">VALUE(LEFT(AD200,4))-VALUE(LEFT(AD199,4))</f>
        <v>2</v>
      </c>
      <c r="Y200" s="247">
        <f t="shared" si="112"/>
        <v>1.6975</v>
      </c>
      <c r="Z200" s="247">
        <f t="shared" si="113"/>
        <v>1.4073</v>
      </c>
      <c r="AA200" s="247">
        <f t="shared" si="74"/>
        <v>0.29020000000000001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75"/>
        <v>302</v>
      </c>
      <c r="AE200" s="235" t="str">
        <f t="shared" si="76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200" s="234" t="str">
        <f t="shared" si="77"/>
        <v>"C:\Program Files (x86)\AstroGrep\AstroGrep.exe" /e /r /s /spath="%USERPROFILE%\AppData\Local\Temp\OnboardLogs" /stypes="app*4023*20171210*" /stext=" 10:.+((SYSTEM_STATE.+slice.+state.+changed )|(ment ac)|(multiple cpu faults)|(system.+state.+changed )|(\[timeout)|(PRM\|1\|D)|(kpr)|(kdp)|(train st.+moving)|(\|lc)|(penalty))"</v>
      </c>
      <c r="AG200" s="244" t="str">
        <f t="shared" si="78"/>
        <v>Other</v>
      </c>
      <c r="AH200" s="236" t="str">
        <f t="shared" si="80"/>
        <v>"%USERPROFILE%\Documents\GitHub\eaglep3\Utilities\RefineRTDCRunTimes.py" --tripid 302-10 --locoid 4023 --swversion DE.1.0.9.0 --startMP 300:16975 --initTime 2017-12-10T03:12:04 --startdatetime 2017-12-10T03:24:18 --delay 345 --endMP 300:14073 --enddatetime 2017-12-10T03:25:21 --enforcementcount 0 &gt;&gt;%USERPROFILE%\Documents\GitHub\eaglep3-reporting\EC\2017-12-10-refined-times.txt</v>
      </c>
      <c r="AI200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{"issue":{"subject":"","project_id":79,"tracker_id":40,"status_id":1,"priority_id":2,"assigned_to_id":338,"start_date":"2017-12-10","description":"","custom_fields":[{"id":1,"name":"Subdivision","value":"Other"},{"id":4,"name":"Milepost","value":"1.4073"},{"id":17,"name":"Train ID","value":"302-10"},{"id":16,"name":"Locomotive ID","value":"4023"},{"id":130,"name":"Impact","value":""},{"id":150,"name":"Time of Event (Mountain Time)","value":"03:25:21"},{"id":151,"name":"Denver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82"/>
        <v>start /low /b %USERPROFILE%\Documents\GitHub\eaglep3\Utilities\DownloadLogsFromS3.py --loco 4023 --day 2017-12-10</v>
      </c>
      <c r="AN200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84"/>
        <v>https://d0f6bd738d7f1b3e5a7ca70fe4ff75f0.us-east-1.aws.found.io/app/kibana#/discover/Steve-Slow-Train-Analysis-(2080s-and-2083s)?_g=(refreshInterval:(display:Off,pause:!f,section:0,value:0),time:(from:'2017-12-10T02:12:04-0700',mode:absolute,to:'2017-12-10T04:25:21-0700'))&amp;_a=(columns:!('Message%20ID',Summary),filters:!(),index:'emp_*',interval:auto,query:(query_string:(analyze_wildcard:!t,query:'%22rtdc.l.rtdc.4023%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762</v>
      </c>
      <c r="B201" s="225">
        <v>4043</v>
      </c>
      <c r="C201" s="227" t="s">
        <v>192</v>
      </c>
      <c r="D201" s="227" t="s">
        <v>1039</v>
      </c>
      <c r="E201" s="226">
        <v>43079.176354166666</v>
      </c>
      <c r="F201" s="226">
        <v>43079.178240740737</v>
      </c>
      <c r="G201" s="225">
        <v>68</v>
      </c>
      <c r="H201" s="227" t="s">
        <v>693</v>
      </c>
      <c r="I201" s="226">
        <v>43079.190729166665</v>
      </c>
      <c r="J201" s="225">
        <v>0</v>
      </c>
      <c r="K201" s="237" t="str">
        <f t="shared" si="70"/>
        <v>4043/4044</v>
      </c>
      <c r="L201" s="245" t="str">
        <f>VLOOKUP(A201,'Trips&amp;Operators'!$C$1:$G$99911,5,FALSE)</f>
        <v>LOPES KIMBERLY</v>
      </c>
      <c r="M201" s="224">
        <f t="shared" si="71"/>
        <v>1.2488425927585922E-2</v>
      </c>
      <c r="N201" s="225">
        <f t="shared" si="111"/>
        <v>17.983333335723728</v>
      </c>
      <c r="O201" s="225"/>
      <c r="P201" s="225"/>
      <c r="Q201" s="228"/>
      <c r="R201" s="242"/>
      <c r="S201" s="249">
        <f t="shared" si="104"/>
        <v>1</v>
      </c>
      <c r="T201" s="242" t="str">
        <f t="shared" si="72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73"/>
        <v>https://d0f6bd738d7f1b3e5a7ca70fe4ff75f0.us-east-1.aws.found.io/app/kibana#/discover/Steve-Slow-Train-Analysis-(2080s-and-2083s)?_g=(refreshInterval:(display:Off,pause:!f,section:0,value:0),time:(from:'2017-12-10T03:13:57-0700',mode:absolute,to:'2017-12-10T05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247" t="str">
        <f>IF(AA201&lt;VLOOKUP(AG201,Variables!$AC$3:$AD$8,2,FALSE),"Y","N")</f>
        <v>Y</v>
      </c>
      <c r="X201" s="247">
        <f t="shared" si="114"/>
        <v>2</v>
      </c>
      <c r="Y201" s="247">
        <f t="shared" si="112"/>
        <v>3.1006</v>
      </c>
      <c r="Z201" s="247">
        <f t="shared" si="113"/>
        <v>0.1162</v>
      </c>
      <c r="AA201" s="247">
        <f t="shared" si="74"/>
        <v>2.9843999999999999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75"/>
        <v>304</v>
      </c>
      <c r="AE201" s="235" t="str">
        <f t="shared" si="76"/>
        <v>aws s3 cp s3://rtdc.mdm.uploadarchive.raw/RTDC4043/ "%USERPROFILE%\AppData\Local\Temp\OnboardLogs"\RTDC4043\2017-12-10 --exclude "*" --recursive --include "*20171210*" &amp; "%USERPROFILE%\Documents\GitHub\mrs-test-scripts\Headless Mode &amp; Sideloading\WalkAndUnGZ.bat" "%USERPROFILE%\AppData\Local\Temp\OnboardLogs"\RTDC4043\2017-12-10 &amp; aws s3 cp s3://rtdc.mdm.uploadarchive.raw/RTDC4043/ "%USERPROFILE%\AppData\Local\Temp\OnboardLogs"\RTDC4043\2017-12-11 --exclude "*" --recursive --include "*20171211*" &amp; "%USERPROFILE%\Documents\GitHub\mrs-test-scripts\Headless Mode &amp; Sideloading\WalkAndUnGZ.bat" "%USERPROFILE%\AppData\Local\Temp\OnboardLogs"\RTDC4043\2017-12-11</v>
      </c>
      <c r="AF201" s="234" t="str">
        <f t="shared" si="77"/>
        <v>"C:\Program Files (x86)\AstroGrep\AstroGrep.exe" /e /r /s /spath="%USERPROFILE%\AppData\Local\Temp\OnboardLogs" /stypes="app*4043*20171210*" /stext=" 11:.+((SYSTEM_STATE.+slice.+state.+changed )|(ment ac)|(multiple cpu faults)|(system.+state.+changed )|(\[timeout)|(PRM\|1\|D)|(kpr)|(kdp)|(train st.+moving)|(\|lc)|(penalty))"</v>
      </c>
      <c r="AG201" s="244" t="str">
        <f t="shared" si="78"/>
        <v>Other</v>
      </c>
      <c r="AH201" s="236" t="str">
        <f t="shared" si="80"/>
        <v>"%USERPROFILE%\Documents\GitHub\eaglep3\Utilities\RefineRTDCRunTimes.py" --tripid 304-10 --locoid 4043 --swversion DE.1.0.9.0 --startMP 300:31006 --initTime 2017-12-10T04:13:57 --startdatetime 2017-12-10T04:16:40 --delay 68 --endMP 204:1162 --enddatetime 2017-12-10T04:34:39 --enforcementcount 0 &gt;&gt;%USERPROFILE%\Documents\GitHub\eaglep3-reporting\EC\2017-12-10-refined-times.txt</v>
      </c>
      <c r="AI201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{"issue":{"subject":"","project_id":79,"tracker_id":40,"status_id":1,"priority_id":2,"assigned_to_id":338,"start_date":"2017-12-10","description":"","custom_fields":[{"id":1,"name":"Subdivision","value":"Other"},{"id":4,"name":"Milepost","value":"0.1162"},{"id":17,"name":"Train ID","value":"304-10"},{"id":16,"name":"Locomotive ID","value":"4043"},{"id":130,"name":"Impact","value":""},{"id":150,"name":"Time of Event (Mountain Time)","value":"04:34:39"},{"id":151,"name":"Denver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82"/>
        <v>start /low /b %USERPROFILE%\Documents\GitHub\eaglep3\Utilities\DownloadLogsFromS3.py --loco 4043 --day 2017-12-10</v>
      </c>
      <c r="AN201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84"/>
        <v>https://d0f6bd738d7f1b3e5a7ca70fe4ff75f0.us-east-1.aws.found.io/app/kibana#/discover/Steve-Slow-Train-Analysis-(2080s-and-2083s)?_g=(refreshInterval:(display:Off,pause:!f,section:0,value:0),time:(from:'2017-12-10T03:13:57-0700',mode:absolute,to:'2017-12-10T05:34:39-0700'))&amp;_a=(columns:!('Message%20ID',Summary),filters:!(),index:'emp_*',interval:auto,query:(query_string:(analyze_wildcard:!t,query:'%22rtdc.l.rtdc.4043%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906</v>
      </c>
      <c r="B202" s="225">
        <v>4018</v>
      </c>
      <c r="C202" s="227" t="s">
        <v>192</v>
      </c>
      <c r="D202" s="227" t="s">
        <v>629</v>
      </c>
      <c r="E202" s="226">
        <v>43079.816759259258</v>
      </c>
      <c r="F202" s="226">
        <v>43079.818402777775</v>
      </c>
      <c r="G202" s="225">
        <v>66</v>
      </c>
      <c r="H202" s="227" t="s">
        <v>727</v>
      </c>
      <c r="I202" s="226">
        <v>43079.825439814813</v>
      </c>
      <c r="J202" s="225">
        <v>0</v>
      </c>
      <c r="K202" s="237" t="str">
        <f t="shared" si="70"/>
        <v>4017/4018</v>
      </c>
      <c r="L202" s="245" t="str">
        <f>VLOOKUP(A202,'Trips&amp;Operators'!$C$1:$G$99911,5,FALSE)</f>
        <v>SMITH MICHAEL</v>
      </c>
      <c r="M202" s="224">
        <f t="shared" si="71"/>
        <v>7.0370370376622304E-3</v>
      </c>
      <c r="N202" s="225">
        <f t="shared" si="111"/>
        <v>10.133333334233612</v>
      </c>
      <c r="O202" s="225"/>
      <c r="P202" s="225"/>
      <c r="Q202" s="228"/>
      <c r="R202" s="242"/>
      <c r="S202" s="249">
        <f t="shared" si="104"/>
        <v>1</v>
      </c>
      <c r="T202" s="242" t="str">
        <f t="shared" si="72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73"/>
        <v>https://d0f6bd738d7f1b3e5a7ca70fe4ff75f0.us-east-1.aws.found.io/app/kibana#/discover/Steve-Slow-Train-Analysis-(2080s-and-2083s)?_g=(refreshInterval:(display:Off,pause:!f,section:0,value:0),time:(from:'2017-12-10T18:36:08-0700',mode:absolute,to:'2017-12-10T20:48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247" t="str">
        <f>IF(AA202&lt;VLOOKUP(AG202,Variables!$AC$3:$AD$8,2,FALSE),"Y","N")</f>
        <v>Y</v>
      </c>
      <c r="X202" s="247">
        <f t="shared" si="114"/>
        <v>1</v>
      </c>
      <c r="Y202" s="247">
        <f t="shared" si="112"/>
        <v>5.3100000000000001E-2</v>
      </c>
      <c r="Z202" s="247">
        <f t="shared" si="113"/>
        <v>2.3302</v>
      </c>
      <c r="AA202" s="247">
        <f t="shared" si="74"/>
        <v>2.2770999999999999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75"/>
        <v>305</v>
      </c>
      <c r="AE202" s="235" t="str">
        <f t="shared" si="76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202" s="234" t="str">
        <f t="shared" si="77"/>
        <v>"C:\Program Files (x86)\AstroGrep\AstroGrep.exe" /e /r /s /spath="%USERPROFILE%\AppData\Local\Temp\OnboardLogs" /stypes="app*4018*20171211*" /stext=" 02:.+((SYSTEM_STATE.+slice.+state.+changed )|(ment ac)|(multiple cpu faults)|(system.+state.+changed )|(\[timeout)|(PRM\|1\|D)|(kpr)|(kdp)|(train st.+moving)|(\|lc)|(penalty))"</v>
      </c>
      <c r="AG202" s="244" t="str">
        <f t="shared" si="78"/>
        <v>Other</v>
      </c>
      <c r="AH202" s="236" t="str">
        <f t="shared" si="80"/>
        <v>"%USERPROFILE%\Documents\GitHub\eaglep3\Utilities\RefineRTDCRunTimes.py" --tripid 305-10 --locoid 4018 --swversion DE.1.0.9.0 --startMP 204:531 --initTime 2017-12-10T19:36:08 --startdatetime 2017-12-10T19:38:30 --delay 66 --endMP 300:23302 --enddatetime 2017-12-10T19:48:38 --enforcementcount 0 &gt;&gt;%USERPROFILE%\Documents\GitHub\eaglep3-reporting\EC\2017-12-10-refined-times.txt</v>
      </c>
      <c r="AI202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{"issue":{"subject":"","project_id":79,"tracker_id":40,"status_id":1,"priority_id":2,"assigned_to_id":338,"start_date":"2017-12-10","description":"","custom_fields":[{"id":1,"name":"Subdivision","value":"Other"},{"id":4,"name":"Milepost","value":"2.3302"},{"id":17,"name":"Train ID","value":"305-10"},{"id":16,"name":"Locomotive ID","value":"4018"},{"id":130,"name":"Impact","value":""},{"id":150,"name":"Time of Event (Mountain Time)","value":"19:48:38"},{"id":151,"name":"Denver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82"/>
        <v>start /low /b %USERPROFILE%\Documents\GitHub\eaglep3\Utilities\DownloadLogsFromS3.py --loco 4018 --day 2017-12-10</v>
      </c>
      <c r="AN202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02:48:38"},{"id":29,"name":"Sharepoint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84"/>
        <v>https://d0f6bd738d7f1b3e5a7ca70fe4ff75f0.us-east-1.aws.found.io/app/kibana#/discover/Steve-Slow-Train-Analysis-(2080s-and-2083s)?_g=(refreshInterval:(display:Off,pause:!f,section:0,value:0),time:(from:'2017-12-10T18:36:08-0700',mode:absolute,to:'2017-12-10T20:48:38-0700'))&amp;_a=(columns:!('Message%20ID',Summary),filters:!(),index:'emp_*',interval:auto,query:(query_string:(analyze_wildcard:!t,query:'%22rtdc.l.rtdc.4018%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764</v>
      </c>
      <c r="B203" s="225">
        <v>4029</v>
      </c>
      <c r="C203" s="227" t="s">
        <v>192</v>
      </c>
      <c r="D203" s="227" t="s">
        <v>1040</v>
      </c>
      <c r="E203" s="226">
        <v>43079.172592592593</v>
      </c>
      <c r="F203" s="226">
        <v>43079.181493055556</v>
      </c>
      <c r="G203" s="225">
        <v>92</v>
      </c>
      <c r="H203" s="227" t="s">
        <v>643</v>
      </c>
      <c r="I203" s="226">
        <v>43079.187291666669</v>
      </c>
      <c r="J203" s="225">
        <v>0</v>
      </c>
      <c r="K203" s="237" t="str">
        <f t="shared" si="70"/>
        <v>4029/4030</v>
      </c>
      <c r="L203" s="245" t="str">
        <f>VLOOKUP(A203,'Trips&amp;Operators'!$C$1:$G$99911,5,FALSE)</f>
        <v>DELGADO DIANAH</v>
      </c>
      <c r="M203" s="224">
        <f t="shared" si="71"/>
        <v>5.7986111132777296E-3</v>
      </c>
      <c r="N203" s="225">
        <f t="shared" si="111"/>
        <v>8.3500000031199306</v>
      </c>
      <c r="O203" s="225"/>
      <c r="P203" s="225"/>
      <c r="Q203" s="228"/>
      <c r="R203" s="242"/>
      <c r="S203" s="249">
        <f t="shared" si="104"/>
        <v>1</v>
      </c>
      <c r="T203" s="242" t="str">
        <f t="shared" si="72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73"/>
        <v>https://d0f6bd738d7f1b3e5a7ca70fe4ff75f0.us-east-1.aws.found.io/app/kibana#/discover/Steve-Slow-Train-Analysis-(2080s-and-2083s)?_g=(refreshInterval:(display:Off,pause:!f,section:0,value:0),time:(from:'2017-12-10T03:08:32-0700',mode:absolute,to:'2017-12-10T05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247" t="str">
        <f>IF(AA203&lt;VLOOKUP(AG203,Variables!$AC$3:$AD$8,2,FALSE),"Y","N")</f>
        <v>Y</v>
      </c>
      <c r="X203" s="247">
        <f t="shared" si="114"/>
        <v>1</v>
      </c>
      <c r="Y203" s="247">
        <f t="shared" si="112"/>
        <v>2.21</v>
      </c>
      <c r="Z203" s="247">
        <f t="shared" si="113"/>
        <v>1.49E-2</v>
      </c>
      <c r="AA203" s="247">
        <f t="shared" si="74"/>
        <v>2.1951000000000001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75"/>
        <v>306</v>
      </c>
      <c r="AE203" s="235" t="str">
        <f t="shared" si="76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203" s="234" t="str">
        <f t="shared" si="77"/>
        <v>"C:\Program Files (x86)\AstroGrep\AstroGrep.exe" /e /r /s /spath="%USERPROFILE%\AppData\Local\Temp\OnboardLogs" /stypes="app*4029*20171210*" /stext=" 11:.+((SYSTEM_STATE.+slice.+state.+changed )|(ment ac)|(multiple cpu faults)|(system.+state.+changed )|(\[timeout)|(PRM\|1\|D)|(kpr)|(kdp)|(train st.+moving)|(\|lc)|(penalty))"</v>
      </c>
      <c r="AG203" s="244" t="str">
        <f t="shared" si="78"/>
        <v>Other</v>
      </c>
      <c r="AH203" s="236" t="str">
        <f t="shared" si="80"/>
        <v>"%USERPROFILE%\Documents\GitHub\eaglep3\Utilities\RefineRTDCRunTimes.py" --tripid 306-10 --locoid 4029 --swversion DE.1.0.9.0 --startMP 300:22100 --initTime 2017-12-10T04:08:32 --startdatetime 2017-12-10T04:21:21 --delay 92 --endMP 204:149 --enddatetime 2017-12-10T04:29:42 --enforcementcount 0 &gt;&gt;%USERPROFILE%\Documents\GitHub\eaglep3-reporting\EC\2017-12-10-refined-times.txt</v>
      </c>
      <c r="AI203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{"issue":{"subject":"","project_id":79,"tracker_id":40,"status_id":1,"priority_id":2,"assigned_to_id":338,"start_date":"2017-12-10","description":"","custom_fields":[{"id":1,"name":"Subdivision","value":"Other"},{"id":4,"name":"Milepost","value":"0.0149"},{"id":17,"name":"Train ID","value":"306-10"},{"id":16,"name":"Locomotive ID","value":"4029"},{"id":130,"name":"Impact","value":""},{"id":150,"name":"Time of Event (Mountain Time)","value":"04:29:42"},{"id":151,"name":"Denver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82"/>
        <v>start /low /b %USERPROFILE%\Documents\GitHub\eaglep3\Utilities\DownloadLogsFromS3.py --loco 4029 --day 2017-12-10</v>
      </c>
      <c r="AN203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11:29:42"},{"id":29,"name":"Sharepoint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84"/>
        <v>https://d0f6bd738d7f1b3e5a7ca70fe4ff75f0.us-east-1.aws.found.io/app/kibana#/discover/Steve-Slow-Train-Analysis-(2080s-and-2083s)?_g=(refreshInterval:(display:Off,pause:!f,section:0,value:0),time:(from:'2017-12-10T03:08:32-0700',mode:absolute,to:'2017-12-10T05:29:42-0700'))&amp;_a=(columns:!('Message%20ID',Summary),filters:!(),index:'emp_*',interval:auto,query:(query_string:(analyze_wildcard:!t,query:'%22rtdc.l.rtdc.4029%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937</v>
      </c>
      <c r="B204" s="225">
        <v>4024</v>
      </c>
      <c r="C204" s="227" t="s">
        <v>192</v>
      </c>
      <c r="D204" s="227" t="s">
        <v>470</v>
      </c>
      <c r="E204" s="226">
        <v>43080.046342592592</v>
      </c>
      <c r="F204" s="226">
        <v>43080.048530092594</v>
      </c>
      <c r="G204" s="225">
        <v>100</v>
      </c>
      <c r="H204" s="227" t="s">
        <v>727</v>
      </c>
      <c r="I204" s="226">
        <v>43080.058877314812</v>
      </c>
      <c r="J204" s="225">
        <v>0</v>
      </c>
      <c r="K204" s="237" t="str">
        <f t="shared" si="70"/>
        <v>4023/4024</v>
      </c>
      <c r="L204" s="245" t="str">
        <f>VLOOKUP(A204,'Trips&amp;Operators'!$C$1:$G$99911,5,FALSE)</f>
        <v>LOZA FIDEL</v>
      </c>
      <c r="M204" s="224">
        <f t="shared" si="71"/>
        <v>1.0347222218115348E-2</v>
      </c>
      <c r="N204" s="225">
        <f t="shared" si="111"/>
        <v>14.899999994086102</v>
      </c>
      <c r="O204" s="225"/>
      <c r="P204" s="225"/>
      <c r="Q204" s="228"/>
      <c r="R204" s="242"/>
      <c r="S204" s="249">
        <f t="shared" si="104"/>
        <v>1</v>
      </c>
      <c r="T204" s="242" t="str">
        <f t="shared" si="72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73"/>
        <v>https://d0f6bd738d7f1b3e5a7ca70fe4ff75f0.us-east-1.aws.found.io/app/kibana#/discover/Steve-Slow-Train-Analysis-(2080s-and-2083s)?_g=(refreshInterval:(display:Off,pause:!f,section:0,value:0),time:(from:'2017-12-11T00:06:44-0700',mode:absolute,to:'2017-12-11T02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4" s="247" t="str">
        <f>IF(AA204&lt;VLOOKUP(AG204,Variables!$AC$3:$AD$8,2,FALSE),"Y","N")</f>
        <v>Y</v>
      </c>
      <c r="X204" s="247">
        <f t="shared" si="114"/>
        <v>1</v>
      </c>
      <c r="Y204" s="247">
        <f t="shared" si="112"/>
        <v>5.2400000000000002E-2</v>
      </c>
      <c r="Z204" s="247">
        <f t="shared" si="113"/>
        <v>2.3302</v>
      </c>
      <c r="AA204" s="247">
        <f t="shared" si="74"/>
        <v>2.2778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75"/>
        <v>307</v>
      </c>
      <c r="AE204" s="235" t="str">
        <f t="shared" si="76"/>
        <v>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 &amp; aws s3 cp s3://rtdc.mdm.uploadarchive.raw/RTDC4024/ "%USERPROFILE%\AppData\Local\Temp\OnboardLogs"\RTDC4024\2017-12-12 --exclude "*" --recursive --include "*20171212*" &amp; "%USERPROFILE%\Documents\GitHub\mrs-test-scripts\Headless Mode &amp; Sideloading\WalkAndUnGZ.bat" "%USERPROFILE%\AppData\Local\Temp\OnboardLogs"\RTDC4024\2017-12-12</v>
      </c>
      <c r="AF204" s="234" t="str">
        <f t="shared" si="77"/>
        <v>"C:\Program Files (x86)\AstroGrep\AstroGrep.exe" /e /r /s /spath="%USERPROFILE%\AppData\Local\Temp\OnboardLogs" /stypes="app*4024*20171211*" /stext=" 08:.+((SYSTEM_STATE.+slice.+state.+changed )|(ment ac)|(multiple cpu faults)|(system.+state.+changed )|(\[timeout)|(PRM\|1\|D)|(kpr)|(kdp)|(train st.+moving)|(\|lc)|(penalty))"</v>
      </c>
      <c r="AG204" s="244" t="str">
        <f t="shared" si="78"/>
        <v>Other</v>
      </c>
      <c r="AH204" s="236" t="str">
        <f t="shared" si="80"/>
        <v>"%USERPROFILE%\Documents\GitHub\eaglep3\Utilities\RefineRTDCRunTimes.py" --tripid 307-10 --locoid 4024 --swversion DE.1.0.9.0 --startMP 204:524 --initTime 2017-12-11T01:06:44 --startdatetime 2017-12-11T01:09:53 --delay 100 --endMP 300:23302 --enddatetime 2017-12-11T01:24:47 --enforcementcount 0 &gt;&gt;%USERPROFILE%\Documents\GitHub\eaglep3-reporting\EC\2017-12-10-refined-times.txt</v>
      </c>
      <c r="AI204" s="238" t="str">
        <f t="shared" si="81"/>
        <v>echo {"issue":{"subject":"","project_id":79,"tracker_id":40,"status_id":1,"priority_id":2,"assigned_to_id":338,"start_date":"2017-12-11","description":"","custom_fields":[{"id":1,"name":"Subdivision","value":"Other"},{"id":4,"name":"Milepost","value":"2.3302"},{"id":17,"name":"Train ID","value":"307-10"},{"id":16,"name":"Locomotive ID","value":"4024"},{"id":130,"name":"Impact","value":""},{"id":150,"name":"Time of Event (Mountain Time)","value":"01:24:47"},{"id":151,"name":"Denver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82"/>
        <v>start /low /b %USERPROFILE%\Documents\GitHub\eaglep3\Utilities\DownloadLogsFromS3.py --loco 4024 --day 2017-12-11</v>
      </c>
      <c r="AN204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84"/>
        <v>https://d0f6bd738d7f1b3e5a7ca70fe4ff75f0.us-east-1.aws.found.io/app/kibana#/discover/Steve-Slow-Train-Analysis-(2080s-and-2083s)?_g=(refreshInterval:(display:Off,pause:!f,section:0,value:0),time:(from:'2017-12-11T00:06:44-0700',mode:absolute,to:'2017-12-11T02:24:47-0700'))&amp;_a=(columns:!('Message%20ID',Summary),filters:!(),index:'emp_*',interval:auto,query:(query_string:(analyze_wildcard:!t,query:'%22rtdc.l.rtdc.4024%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938</v>
      </c>
      <c r="B205" s="225">
        <v>4012</v>
      </c>
      <c r="C205" s="227" t="s">
        <v>192</v>
      </c>
      <c r="D205" s="227" t="s">
        <v>726</v>
      </c>
      <c r="E205" s="226">
        <v>43080.066192129627</v>
      </c>
      <c r="F205" s="226">
        <v>43080.071898148148</v>
      </c>
      <c r="G205" s="225">
        <v>65</v>
      </c>
      <c r="H205" s="227" t="s">
        <v>727</v>
      </c>
      <c r="I205" s="226">
        <v>43080.079143518517</v>
      </c>
      <c r="J205" s="225">
        <v>0</v>
      </c>
      <c r="K205" s="237" t="str">
        <f t="shared" ref="K205:K224" si="115">IF(ISEVEN(B205),(B205-1)&amp;"/"&amp;B205,B205&amp;"/"&amp;(B205+1))</f>
        <v>4011/4012</v>
      </c>
      <c r="L205" s="245" t="str">
        <f>VLOOKUP(A205,'Trips&amp;Operators'!$C$1:$G$99911,5,FALSE)</f>
        <v>ELBAUM MIKE</v>
      </c>
      <c r="M205" s="224">
        <f t="shared" ref="M205:M224" si="116">I205-F205</f>
        <v>7.2453703687642701E-3</v>
      </c>
      <c r="N205" s="225">
        <f t="shared" si="111"/>
        <v>10.433333331020549</v>
      </c>
      <c r="O205" s="225"/>
      <c r="P205" s="225"/>
      <c r="Q205" s="228"/>
      <c r="R205" s="242"/>
      <c r="S205" s="249">
        <f t="shared" si="104"/>
        <v>1</v>
      </c>
      <c r="T205" s="242" t="str">
        <f t="shared" ref="T205:T224" si="117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24" si="11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-11T00:35:19-0700',mode:absolute,to:'2017-12-11T02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247" t="str">
        <f>IF(AA205&lt;VLOOKUP(AG205,Variables!$AC$3:$AD$8,2,FALSE),"Y","N")</f>
        <v>Y</v>
      </c>
      <c r="X205" s="247">
        <f t="shared" si="114"/>
        <v>2</v>
      </c>
      <c r="Y205" s="247">
        <f t="shared" si="112"/>
        <v>5.8400000000000001E-2</v>
      </c>
      <c r="Z205" s="247">
        <f t="shared" si="113"/>
        <v>2.3302</v>
      </c>
      <c r="AA205" s="247">
        <f t="shared" ref="AA205:AA268" si="119">ABS(Z205-Y205)</f>
        <v>2.2718000000000003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24" si="120">VALUE(LEFT(A205,LEN(A205)-3))</f>
        <v>309</v>
      </c>
      <c r="AE205" s="235" t="str">
        <f t="shared" ref="AE205:AE224" si="12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 &amp; 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</v>
      </c>
      <c r="AF205" s="234" t="str">
        <f t="shared" ref="AF205:AF224" si="12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/stypes="app*4012*20171211*" /stext=" 08:.+((SYSTEM_STATE.+slice.+state.+changed )|(ment ac)|(multiple cpu faults)|(system.+state.+changed )|(\[timeout)|(PRM\|1\|D)|(kpr)|(kdp)|(train st.+moving)|(\|lc)|(penalty))"</v>
      </c>
      <c r="AG205" s="244" t="str">
        <f t="shared" ref="AG205:AG224" si="123">DetSubdiv(A205)</f>
        <v>Other</v>
      </c>
      <c r="AH205" s="236" t="str">
        <f t="shared" si="80"/>
        <v>"%USERPROFILE%\Documents\GitHub\eaglep3\Utilities\RefineRTDCRunTimes.py" --tripid 309-10 --locoid 4012 --swversion DE.1.0.9.0 --startMP 204:584 --initTime 2017-12-11T01:35:19 --startdatetime 2017-12-11T01:43:32 --delay 65 --endMP 300:23302 --enddatetime 2017-12-11T01:53:58 --enforcementcount 0 &gt;&gt;%USERPROFILE%\Documents\GitHub\eaglep3-reporting\EC\2017-12-10-refined-times.txt</v>
      </c>
      <c r="AI205" s="238" t="str">
        <f t="shared" si="81"/>
        <v>echo {"issue":{"subject":"","project_id":79,"tracker_id":40,"status_id":1,"priority_id":2,"assigned_to_id":338,"start_date":"2017-12-11","description":"","custom_fields":[{"id":1,"name":"Subdivision","value":"Other"},{"id":4,"name":"Milepost","value":"2.3302"},{"id":17,"name":"Train ID","value":"309-10"},{"id":16,"name":"Locomotive ID","value":"4012"},{"id":130,"name":"Impact","value":""},{"id":150,"name":"Time of Event (Mountain Time)","value":"01:53:58"},{"id":151,"name":"Denver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82"/>
        <v>start /low /b %USERPROFILE%\Documents\GitHub\eaglep3\Utilities\DownloadLogsFromS3.py --loco 4012 --day 2017-12-11</v>
      </c>
      <c r="AN205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84"/>
        <v>https://d0f6bd738d7f1b3e5a7ca70fe4ff75f0.us-east-1.aws.found.io/app/kibana#/discover/Steve-Slow-Train-Analysis-(2080s-and-2083s)?_g=(refreshInterval:(display:Off,pause:!f,section:0,value:0),time:(from:'2017-12-11T00:35:19-0700',mode:absolute,to:'2017-12-11T02:53:58-0700'))&amp;_a=(columns:!('Message%20ID',Summary),filters:!(),index:'emp_*',interval:auto,query:(query_string:(analyze_wildcard:!t,query:'%22rtdc.l.rtdc.4012%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939</v>
      </c>
      <c r="B206" s="225">
        <v>4030</v>
      </c>
      <c r="C206" s="227" t="s">
        <v>192</v>
      </c>
      <c r="D206" s="227" t="s">
        <v>645</v>
      </c>
      <c r="E206" s="226">
        <v>43080.073067129626</v>
      </c>
      <c r="F206" s="226">
        <v>43080.090960648151</v>
      </c>
      <c r="G206" s="225">
        <v>1446</v>
      </c>
      <c r="H206" s="227" t="s">
        <v>659</v>
      </c>
      <c r="I206" s="226">
        <v>43080.100104166668</v>
      </c>
      <c r="J206" s="225">
        <v>0</v>
      </c>
      <c r="K206" s="237" t="str">
        <f t="shared" si="115"/>
        <v>4029/4030</v>
      </c>
      <c r="L206" s="245" t="str">
        <f>VLOOKUP(A206,'Trips&amp;Operators'!$C$1:$G$99911,5,FALSE)</f>
        <v>RESPASS AARON</v>
      </c>
      <c r="M206" s="224">
        <f t="shared" si="116"/>
        <v>9.1435185167938471E-3</v>
      </c>
      <c r="N206" s="225">
        <f t="shared" si="111"/>
        <v>13.16666666418314</v>
      </c>
      <c r="O206" s="225"/>
      <c r="P206" s="225"/>
      <c r="Q206" s="228"/>
      <c r="R206" s="242"/>
      <c r="S206" s="249">
        <f t="shared" si="104"/>
        <v>1</v>
      </c>
      <c r="T206" s="242" t="str">
        <f t="shared" si="117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18"/>
        <v>https://d0f6bd738d7f1b3e5a7ca70fe4ff75f0.us-east-1.aws.found.io/app/kibana#/discover/Steve-Slow-Train-Analysis-(2080s-and-2083s)?_g=(refreshInterval:(display:Off,pause:!f,section:0,value:0),time:(from:'2017-12-11T00:45:13-0700',mode:absolute,to:'2017-12-11T03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247" t="str">
        <f>IF(AA206&lt;VLOOKUP(AG206,Variables!$AC$3:$AD$8,2,FALSE),"Y","N")</f>
        <v>Y</v>
      </c>
      <c r="X206" s="247">
        <f t="shared" si="114"/>
        <v>2</v>
      </c>
      <c r="Y206" s="247">
        <f t="shared" si="112"/>
        <v>4.5100000000000001E-2</v>
      </c>
      <c r="Z206" s="247">
        <f t="shared" si="113"/>
        <v>2.3304</v>
      </c>
      <c r="AA206" s="247">
        <f t="shared" si="119"/>
        <v>2.2852999999999999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20"/>
        <v>311</v>
      </c>
      <c r="AE206" s="235" t="str">
        <f t="shared" si="121"/>
        <v>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 &amp; 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</v>
      </c>
      <c r="AF206" s="234" t="str">
        <f t="shared" si="122"/>
        <v>"C:\Program Files (x86)\AstroGrep\AstroGrep.exe" /e /r /s /spath="%USERPROFILE%\AppData\Local\Temp\OnboardLogs" /stypes="app*4030*20171211*" /stext=" 09:.+((SYSTEM_STATE.+slice.+state.+changed )|(ment ac)|(multiple cpu faults)|(system.+state.+changed )|(\[timeout)|(PRM\|1\|D)|(kpr)|(kdp)|(train st.+moving)|(\|lc)|(penalty))"</v>
      </c>
      <c r="AG206" s="244" t="str">
        <f t="shared" si="123"/>
        <v>Other</v>
      </c>
      <c r="AH206" s="236" t="str">
        <f t="shared" si="80"/>
        <v>"%USERPROFILE%\Documents\GitHub\eaglep3\Utilities\RefineRTDCRunTimes.py" --tripid 311-10 --locoid 4030 --swversion DE.1.0.9.0 --startMP 204:451 --initTime 2017-12-11T01:45:13 --startdatetime 2017-12-11T02:10:59 --delay 1446 --endMP 300:23304 --enddatetime 2017-12-11T02:24:09 --enforcementcount 0 &gt;&gt;%USERPROFILE%\Documents\GitHub\eaglep3-reporting\EC\2017-12-10-refined-times.txt</v>
      </c>
      <c r="AI206" s="238" t="str">
        <f t="shared" si="81"/>
        <v>echo {"issue":{"subject":"","project_id":79,"tracker_id":40,"status_id":1,"priority_id":2,"assigned_to_id":338,"start_date":"2017-12-11","description":"","custom_fields":[{"id":1,"name":"Subdivision","value":"Other"},{"id":4,"name":"Milepost","value":"2.3304"},{"id":17,"name":"Train ID","value":"311-10"},{"id":16,"name":"Locomotive ID","value":"4030"},{"id":130,"name":"Impact","value":""},{"id":150,"name":"Time of Event (Mountain Time)","value":"02:24:09"},{"id":151,"name":"Denver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82"/>
        <v>start /low /b %USERPROFILE%\Documents\GitHub\eaglep3\Utilities\DownloadLogsFromS3.py --loco 4030 --day 2017-12-11</v>
      </c>
      <c r="AN206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09:24:09"},{"id":29,"name":"Sharepoint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84"/>
        <v>https://d0f6bd738d7f1b3e5a7ca70fe4ff75f0.us-east-1.aws.found.io/app/kibana#/discover/Steve-Slow-Train-Analysis-(2080s-and-2083s)?_g=(refreshInterval:(display:Off,pause:!f,section:0,value:0),time:(from:'2017-12-11T00:45:13-0700',mode:absolute,to:'2017-12-11T03:24:09-0700'))&amp;_a=(columns:!('Message%20ID',Summary),filters:!(),index:'emp_*',interval:auto,query:(query_string:(analyze_wildcard:!t,query:'%22rtdc.l.rtdc.4030%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775</v>
      </c>
      <c r="B207" s="225">
        <v>4017</v>
      </c>
      <c r="C207" s="227" t="s">
        <v>192</v>
      </c>
      <c r="D207" s="227" t="s">
        <v>1041</v>
      </c>
      <c r="E207" s="226">
        <v>43079.223958333336</v>
      </c>
      <c r="F207" s="226">
        <v>43079.227222222224</v>
      </c>
      <c r="G207" s="225">
        <v>76</v>
      </c>
      <c r="H207" s="227" t="s">
        <v>700</v>
      </c>
      <c r="I207" s="226">
        <v>43079.232407407406</v>
      </c>
      <c r="J207" s="225">
        <v>0</v>
      </c>
      <c r="K207" s="237" t="str">
        <f t="shared" si="115"/>
        <v>4017/4018</v>
      </c>
      <c r="L207" s="245" t="str">
        <f>VLOOKUP(A207,'Trips&amp;Operators'!$C$1:$G$99911,5,FALSE)</f>
        <v>LAMAR NEKESHA</v>
      </c>
      <c r="M207" s="224">
        <f t="shared" si="116"/>
        <v>5.1851851821993478E-3</v>
      </c>
      <c r="N207" s="225">
        <f t="shared" si="111"/>
        <v>7.4666666623670608</v>
      </c>
      <c r="O207" s="225"/>
      <c r="P207" s="225"/>
      <c r="Q207" s="228"/>
      <c r="R207" s="242"/>
      <c r="S207" s="249">
        <f t="shared" si="104"/>
        <v>1</v>
      </c>
      <c r="T207" s="242" t="str">
        <f t="shared" si="117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18"/>
        <v>https://d0f6bd738d7f1b3e5a7ca70fe4ff75f0.us-east-1.aws.found.io/app/kibana#/discover/Steve-Slow-Train-Analysis-(2080s-and-2083s)?_g=(refreshInterval:(display:Off,pause:!f,section:0,value:0),time:(from:'2017-12-10T04:22:30-0700',mode:absolute,to:'2017-12-10T06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7" s="247" t="str">
        <f>IF(AA207&lt;VLOOKUP(AG207,Variables!$AC$3:$AD$8,2,FALSE),"Y","N")</f>
        <v>Y</v>
      </c>
      <c r="X207" s="247">
        <f t="shared" si="114"/>
        <v>1</v>
      </c>
      <c r="Y207" s="247">
        <f t="shared" si="112"/>
        <v>2.2307999999999999</v>
      </c>
      <c r="Z207" s="247">
        <f t="shared" si="113"/>
        <v>1.78E-2</v>
      </c>
      <c r="AA207" s="247">
        <f t="shared" si="119"/>
        <v>2.2130000000000001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20"/>
        <v>312</v>
      </c>
      <c r="AE207" s="235" t="str">
        <f t="shared" si="12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207" s="234" t="str">
        <f t="shared" si="122"/>
        <v>"C:\Program Files (x86)\AstroGrep\AstroGrep.exe" /e /r /s /spath="%USERPROFILE%\AppData\Local\Temp\OnboardLogs" /stypes="app*4017*20171210*" /stext=" 12:.+((SYSTEM_STATE.+slice.+state.+changed )|(ment ac)|(multiple cpu faults)|(system.+state.+changed )|(\[timeout)|(PRM\|1\|D)|(kpr)|(kdp)|(train st.+moving)|(\|lc)|(penalty))"</v>
      </c>
      <c r="AG207" s="244" t="str">
        <f t="shared" si="123"/>
        <v>Other</v>
      </c>
      <c r="AH207" s="236" t="str">
        <f t="shared" si="80"/>
        <v>"%USERPROFILE%\Documents\GitHub\eaglep3\Utilities\RefineRTDCRunTimes.py" --tripid 312-10 --locoid 4017 --swversion DE.1.0.9.0 --startMP 300:22308 --initTime 2017-12-10T05:22:30 --startdatetime 2017-12-10T05:27:12 --delay 76 --endMP 204:178 --enddatetime 2017-12-10T05:34:40 --enforcementcount 0 &gt;&gt;%USERPROFILE%\Documents\GitHub\eaglep3-reporting\EC\2017-12-10-refined-times.txt</v>
      </c>
      <c r="AI207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{"issue":{"subject":"","project_id":79,"tracker_id":40,"status_id":1,"priority_id":2,"assigned_to_id":338,"start_date":"2017-12-10","description":"","custom_fields":[{"id":1,"name":"Subdivision","value":"Other"},{"id":4,"name":"Milepost","value":"0.0178"},{"id":17,"name":"Train ID","value":"312-10"},{"id":16,"name":"Locomotive ID","value":"4017"},{"id":130,"name":"Impact","value":""},{"id":150,"name":"Time of Event (Mountain Time)","value":"05:34:40"},{"id":151,"name":"Denver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82"/>
        <v>start /low /b %USERPROFILE%\Documents\GitHub\eaglep3\Utilities\DownloadLogsFromS3.py --loco 4017 --day 2017-12-10</v>
      </c>
      <c r="AN207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84"/>
        <v>https://d0f6bd738d7f1b3e5a7ca70fe4ff75f0.us-east-1.aws.found.io/app/kibana#/discover/Steve-Slow-Train-Analysis-(2080s-and-2083s)?_g=(refreshInterval:(display:Off,pause:!f,section:0,value:0),time:(from:'2017-12-10T04:22:30-0700',mode:absolute,to:'2017-12-10T06:34:40-0700'))&amp;_a=(columns:!('Message%20ID',Summary),filters:!(),index:'emp_*',interval:auto,query:(query_string:(analyze_wildcard:!t,query:'%22rtdc.l.rtdc.4017%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757</v>
      </c>
      <c r="B208" s="225">
        <v>4006</v>
      </c>
      <c r="C208" s="227" t="s">
        <v>192</v>
      </c>
      <c r="D208" s="227" t="s">
        <v>531</v>
      </c>
      <c r="E208" s="226">
        <v>43079.117708333331</v>
      </c>
      <c r="F208" s="226">
        <v>43079.119131944448</v>
      </c>
      <c r="G208" s="225">
        <v>62</v>
      </c>
      <c r="H208" s="227" t="s">
        <v>727</v>
      </c>
      <c r="I208" s="226">
        <v>43079.126643518517</v>
      </c>
      <c r="J208" s="225">
        <v>0</v>
      </c>
      <c r="K208" s="237" t="str">
        <f t="shared" si="115"/>
        <v>4005/4006</v>
      </c>
      <c r="L208" s="245" t="str">
        <f>VLOOKUP(A208,'Trips&amp;Operators'!$C$1:$G$99911,5,FALSE)</f>
        <v>ANDERS STEVEN</v>
      </c>
      <c r="M208" s="224">
        <f t="shared" si="116"/>
        <v>7.5115740692126565E-3</v>
      </c>
      <c r="N208" s="225">
        <f t="shared" si="111"/>
        <v>10.816666659666225</v>
      </c>
      <c r="O208" s="225"/>
      <c r="P208" s="225"/>
      <c r="Q208" s="228"/>
      <c r="R208" s="242"/>
      <c r="S208" s="249">
        <f t="shared" si="104"/>
        <v>1</v>
      </c>
      <c r="T208" s="242" t="str">
        <f t="shared" si="117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18"/>
        <v>https://d0f6bd738d7f1b3e5a7ca70fe4ff75f0.us-east-1.aws.found.io/app/kibana#/discover/Steve-Slow-Train-Analysis-(2080s-and-2083s)?_g=(refreshInterval:(display:Off,pause:!f,section:0,value:0),time:(from:'2017-12-10T01:49:30-0700',mode:absolute,to:'2017-12-10T04:02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8" s="247" t="str">
        <f>IF(AA208&lt;VLOOKUP(AG208,Variables!$AC$3:$AD$8,2,FALSE),"Y","N")</f>
        <v>Y</v>
      </c>
      <c r="X208" s="247">
        <f t="shared" si="114"/>
        <v>1</v>
      </c>
      <c r="Y208" s="247">
        <f t="shared" si="112"/>
        <v>5.1299999999999998E-2</v>
      </c>
      <c r="Z208" s="247">
        <f t="shared" si="113"/>
        <v>2.3302</v>
      </c>
      <c r="AA208" s="247">
        <f t="shared" si="119"/>
        <v>2.2789000000000001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20"/>
        <v>313</v>
      </c>
      <c r="AE208" s="235" t="str">
        <f t="shared" si="121"/>
        <v>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 &amp; aws s3 cp s3://rtdc.mdm.uploadarchive.raw/RTDC4006/ "%USERPROFILE%\AppData\Local\Temp\OnboardLogs"\RTDC4006\2017-12-11 --exclude "*" --recursive --include "*20171211*" &amp; "%USERPROFILE%\Documents\GitHub\mrs-test-scripts\Headless Mode &amp; Sideloading\WalkAndUnGZ.bat" "%USERPROFILE%\AppData\Local\Temp\OnboardLogs"\RTDC4006\2017-12-11</v>
      </c>
      <c r="AF208" s="234" t="str">
        <f t="shared" si="122"/>
        <v>"C:\Program Files (x86)\AstroGrep\AstroGrep.exe" /e /r /s /spath="%USERPROFILE%\AppData\Local\Temp\OnboardLogs" /stypes="app*4006*20171210*" /stext=" 10:.+((SYSTEM_STATE.+slice.+state.+changed )|(ment ac)|(multiple cpu faults)|(system.+state.+changed )|(\[timeout)|(PRM\|1\|D)|(kpr)|(kdp)|(train st.+moving)|(\|lc)|(penalty))"</v>
      </c>
      <c r="AG208" s="244" t="str">
        <f t="shared" si="123"/>
        <v>Other</v>
      </c>
      <c r="AH208" s="236" t="str">
        <f t="shared" si="80"/>
        <v>"%USERPROFILE%\Documents\GitHub\eaglep3\Utilities\RefineRTDCRunTimes.py" --tripid 313-09 --locoid 4006 --swversion DE.1.0.9.0 --startMP 204:513 --initTime 2017-12-10T02:49:30 --startdatetime 2017-12-10T02:51:33 --delay 62 --endMP 300:23302 --enddatetime 2017-12-10T03:02:22 --enforcementcount 0 &gt;&gt;%USERPROFILE%\Documents\GitHub\eaglep3-reporting\EC\2017-12-10-refined-times.txt</v>
      </c>
      <c r="AI208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{"issue":{"subject":"","project_id":79,"tracker_id":40,"status_id":1,"priority_id":2,"assigned_to_id":338,"start_date":"2017-12-10","description":"","custom_fields":[{"id":1,"name":"Subdivision","value":"Other"},{"id":4,"name":"Milepost","value":"2.3302"},{"id":17,"name":"Train ID","value":"313-09"},{"id":16,"name":"Locomotive ID","value":"4006"},{"id":130,"name":"Impact","value":""},{"id":150,"name":"Time of Event (Mountain Time)","value":"03:02:22"},{"id":151,"name":"Denver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82"/>
        <v>start /low /b %USERPROFILE%\Documents\GitHub\eaglep3\Utilities\DownloadLogsFromS3.py --loco 4006 --day 2017-12-10</v>
      </c>
      <c r="AN208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10:02:22"},{"id":29,"name":"Sharepoint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84"/>
        <v>https://d0f6bd738d7f1b3e5a7ca70fe4ff75f0.us-east-1.aws.found.io/app/kibana#/discover/Steve-Slow-Train-Analysis-(2080s-and-2083s)?_g=(refreshInterval:(display:Off,pause:!f,section:0,value:0),time:(from:'2017-12-10T01:49:30-0700',mode:absolute,to:'2017-12-10T04:02:22-0700'))&amp;_a=(columns:!('Message%20ID',Summary),filters:!(),index:'emp_*',interval:auto,query:(query_string:(analyze_wildcard:!t,query:'%22rtdc.l.rtdc.4006%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936</v>
      </c>
      <c r="B209" s="225">
        <v>4064</v>
      </c>
      <c r="C209" s="227" t="s">
        <v>192</v>
      </c>
      <c r="D209" s="227" t="s">
        <v>495</v>
      </c>
      <c r="E209" s="226">
        <v>43080.026875000003</v>
      </c>
      <c r="F209" s="226">
        <v>43080.032314814816</v>
      </c>
      <c r="G209" s="225">
        <v>51</v>
      </c>
      <c r="H209" s="227" t="s">
        <v>659</v>
      </c>
      <c r="I209" s="226">
        <v>43080.039733796293</v>
      </c>
      <c r="J209" s="225">
        <v>0</v>
      </c>
      <c r="K209" s="237" t="str">
        <f t="shared" si="115"/>
        <v>4063/4064</v>
      </c>
      <c r="L209" s="245" t="str">
        <f>VLOOKUP(A209,'Trips&amp;Operators'!$C$1:$G$99911,5,FALSE)</f>
        <v>STAMBAUGH JAMES</v>
      </c>
      <c r="M209" s="224">
        <f t="shared" si="116"/>
        <v>7.4189814768033102E-3</v>
      </c>
      <c r="N209" s="225">
        <f t="shared" si="111"/>
        <v>10.683333326596767</v>
      </c>
      <c r="O209" s="225"/>
      <c r="P209" s="225"/>
      <c r="Q209" s="228"/>
      <c r="R209" s="242"/>
      <c r="S209" s="249">
        <f t="shared" si="104"/>
        <v>1</v>
      </c>
      <c r="T209" s="242" t="str">
        <f t="shared" si="117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18"/>
        <v>https://d0f6bd738d7f1b3e5a7ca70fe4ff75f0.us-east-1.aws.found.io/app/kibana#/discover/Steve-Slow-Train-Analysis-(2080s-and-2083s)?_g=(refreshInterval:(display:Off,pause:!f,section:0,value:0),time:(from:'2017-12-10T23:38:42-0700',mode:absolute,to:'2017-12-11T01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247" t="str">
        <f>IF(AA209&lt;VLOOKUP(AG209,Variables!$AC$3:$AD$8,2,FALSE),"Y","N")</f>
        <v>Y</v>
      </c>
      <c r="X209" s="247">
        <f t="shared" si="114"/>
        <v>0</v>
      </c>
      <c r="Y209" s="247">
        <f t="shared" si="112"/>
        <v>5.0900000000000001E-2</v>
      </c>
      <c r="Z209" s="247">
        <f t="shared" si="113"/>
        <v>2.3304</v>
      </c>
      <c r="AA209" s="247">
        <f t="shared" si="119"/>
        <v>2.2795000000000001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20"/>
        <v>313</v>
      </c>
      <c r="AE209" s="235" t="str">
        <f t="shared" si="121"/>
        <v>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 &amp; aws s3 cp s3://rtdc.mdm.uploadarchive.raw/RTDC4064/ "%USERPROFILE%\AppData\Local\Temp\OnboardLogs"\RTDC4064\2017-12-12 --exclude "*" --recursive --include "*20171212*" &amp; "%USERPROFILE%\Documents\GitHub\mrs-test-scripts\Headless Mode &amp; Sideloading\WalkAndUnGZ.bat" "%USERPROFILE%\AppData\Local\Temp\OnboardLogs"\RTDC4064\2017-12-12</v>
      </c>
      <c r="AF209" s="234" t="str">
        <f t="shared" si="122"/>
        <v>"C:\Program Files (x86)\AstroGrep\AstroGrep.exe" /e /r /s /spath="%USERPROFILE%\AppData\Local\Temp\OnboardLogs" /stypes="app*4064*20171211*" /stext=" 07:.+((SYSTEM_STATE.+slice.+state.+changed )|(ment ac)|(multiple cpu faults)|(system.+state.+changed )|(\[timeout)|(PRM\|1\|D)|(kpr)|(kdp)|(train st.+moving)|(\|lc)|(penalty))"</v>
      </c>
      <c r="AG209" s="244" t="str">
        <f t="shared" si="123"/>
        <v>Other</v>
      </c>
      <c r="AH209" s="236" t="str">
        <f t="shared" si="80"/>
        <v>"%USERPROFILE%\Documents\GitHub\eaglep3\Utilities\RefineRTDCRunTimes.py" --tripid 313-10 --locoid 4064 --swversion DE.1.0.9.0 --startMP 204:509 --initTime 2017-12-11T00:38:42 --startdatetime 2017-12-11T00:46:32 --delay 51 --endMP 300:23304 --enddatetime 2017-12-11T00:57:13 --enforcementcount 0 &gt;&gt;%USERPROFILE%\Documents\GitHub\eaglep3-reporting\EC\2017-12-10-refined-times.txt</v>
      </c>
      <c r="AI209" s="238" t="str">
        <f t="shared" si="81"/>
        <v>echo {"issue":{"subject":"","project_id":79,"tracker_id":40,"status_id":1,"priority_id":2,"assigned_to_id":338,"start_date":"2017-12-11","description":"","custom_fields":[{"id":1,"name":"Subdivision","value":"Other"},{"id":4,"name":"Milepost","value":"2.3304"},{"id":17,"name":"Train ID","value":"313-10"},{"id":16,"name":"Locomotive ID","value":"4064"},{"id":130,"name":"Impact","value":""},{"id":150,"name":"Time of Event (Mountain Time)","value":"00:57:13"},{"id":151,"name":"Denver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82"/>
        <v>start /low /b %USERPROFILE%\Documents\GitHub\eaglep3\Utilities\DownloadLogsFromS3.py --loco 4064 --day 2017-12-11</v>
      </c>
      <c r="AN209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84"/>
        <v>https://d0f6bd738d7f1b3e5a7ca70fe4ff75f0.us-east-1.aws.found.io/app/kibana#/discover/Steve-Slow-Train-Analysis-(2080s-and-2083s)?_g=(refreshInterval:(display:Off,pause:!f,section:0,value:0),time:(from:'2017-12-10T23:38:42-0700',mode:absolute,to:'2017-12-11T01:57:13-0700'))&amp;_a=(columns:!('Message%20ID',Summary),filters:!(),index:'emp_*',interval:auto,query:(query_string:(analyze_wildcard:!t,query:'%22rtdc.l.rtdc.4064%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936</v>
      </c>
      <c r="B210" s="225">
        <v>4064</v>
      </c>
      <c r="C210" s="227" t="s">
        <v>192</v>
      </c>
      <c r="D210" s="227" t="s">
        <v>495</v>
      </c>
      <c r="E210" s="226">
        <v>43080.031284722223</v>
      </c>
      <c r="F210" s="226">
        <v>43080.032314814816</v>
      </c>
      <c r="G210" s="225">
        <v>56</v>
      </c>
      <c r="H210" s="227" t="s">
        <v>659</v>
      </c>
      <c r="I210" s="226">
        <v>43080.039733796293</v>
      </c>
      <c r="J210" s="225">
        <v>0</v>
      </c>
      <c r="K210" s="237" t="str">
        <f t="shared" si="115"/>
        <v>4063/4064</v>
      </c>
      <c r="L210" s="245" t="str">
        <f>VLOOKUP(A210,'Trips&amp;Operators'!$C$1:$G$99911,5,FALSE)</f>
        <v>STAMBAUGH JAMES</v>
      </c>
      <c r="M210" s="224">
        <f t="shared" si="116"/>
        <v>7.4189814768033102E-3</v>
      </c>
      <c r="N210" s="225">
        <f t="shared" si="111"/>
        <v>10.683333326596767</v>
      </c>
      <c r="O210" s="225"/>
      <c r="P210" s="225"/>
      <c r="Q210" s="228"/>
      <c r="R210" s="242"/>
      <c r="S210" s="249">
        <f t="shared" si="104"/>
        <v>1</v>
      </c>
      <c r="T210" s="242" t="str">
        <f t="shared" si="117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18"/>
        <v>https://d0f6bd738d7f1b3e5a7ca70fe4ff75f0.us-east-1.aws.found.io/app/kibana#/discover/Steve-Slow-Train-Analysis-(2080s-and-2083s)?_g=(refreshInterval:(display:Off,pause:!f,section:0,value:0),time:(from:'2017-12-10T23:45:03-0700',mode:absolute,to:'2017-12-11T01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0" s="247" t="str">
        <f>IF(AA210&lt;VLOOKUP(AG210,Variables!$AC$3:$AD$8,2,FALSE),"Y","N")</f>
        <v>Y</v>
      </c>
      <c r="X210" s="247">
        <f t="shared" si="114"/>
        <v>0</v>
      </c>
      <c r="Y210" s="247">
        <f t="shared" si="112"/>
        <v>5.0900000000000001E-2</v>
      </c>
      <c r="Z210" s="247">
        <f t="shared" si="113"/>
        <v>2.3304</v>
      </c>
      <c r="AA210" s="247">
        <f t="shared" si="119"/>
        <v>2.2795000000000001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20"/>
        <v>313</v>
      </c>
      <c r="AE210" s="235" t="str">
        <f t="shared" si="121"/>
        <v>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 &amp; aws s3 cp s3://rtdc.mdm.uploadarchive.raw/RTDC4064/ "%USERPROFILE%\AppData\Local\Temp\OnboardLogs"\RTDC4064\2017-12-12 --exclude "*" --recursive --include "*20171212*" &amp; "%USERPROFILE%\Documents\GitHub\mrs-test-scripts\Headless Mode &amp; Sideloading\WalkAndUnGZ.bat" "%USERPROFILE%\AppData\Local\Temp\OnboardLogs"\RTDC4064\2017-12-12</v>
      </c>
      <c r="AF210" s="234" t="str">
        <f t="shared" si="122"/>
        <v>"C:\Program Files (x86)\AstroGrep\AstroGrep.exe" /e /r /s /spath="%USERPROFILE%\AppData\Local\Temp\OnboardLogs" /stypes="app*4064*20171211*" /stext=" 07:.+((SYSTEM_STATE.+slice.+state.+changed )|(ment ac)|(multiple cpu faults)|(system.+state.+changed )|(\[timeout)|(PRM\|1\|D)|(kpr)|(kdp)|(train st.+moving)|(\|lc)|(penalty))"</v>
      </c>
      <c r="AG210" s="244" t="str">
        <f t="shared" si="123"/>
        <v>Other</v>
      </c>
      <c r="AH210" s="236" t="str">
        <f t="shared" ref="AH210:AH224" si="124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313-10 --locoid 4064 --swversion DE.1.0.9.0 --startMP 204:509 --initTime 2017-12-11T00:45:03 --startdatetime 2017-12-11T00:46:32 --delay 56 --endMP 300:23304 --enddatetime 2017-12-11T00:57:13 --enforcementcount 0 &gt;&gt;%USERPROFILE%\Documents\GitHub\eaglep3-reporting\EC\2017-12-10-refined-times.txt</v>
      </c>
      <c r="AI210" s="238" t="str">
        <f t="shared" ref="AI210:AI224" si="125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{"issue":{"subject":"","project_id":79,"tracker_id":40,"status_id":1,"priority_id":2,"assigned_to_id":338,"start_date":"2017-12-11","description":"","custom_fields":[{"id":1,"name":"Subdivision","value":"Other"},{"id":4,"name":"Milepost","value":"2.3304"},{"id":17,"name":"Train ID","value":"313-10"},{"id":16,"name":"Locomotive ID","value":"4064"},{"id":130,"name":"Impact","value":""},{"id":150,"name":"Time of Event (Mountain Time)","value":"00:57:13"},{"id":151,"name":"Denver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ref="AM210:AM224" si="126">"start /low /b "&amp;dls3logs&amp;" --loco "&amp;B210&amp;" --day "&amp;TEXT(F210,"YYYY-MM-DD")</f>
        <v>start /low /b %USERPROFILE%\Documents\GitHub\eaglep3\Utilities\DownloadLogsFromS3.py --loco 4064 --day 2017-12-11</v>
      </c>
      <c r="AN210" s="241" t="str">
        <f t="shared" ref="AN210:AN224" si="127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ref="AO210:AO224" si="128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-10T23:45:03-0700',mode:absolute,to:'2017-12-11T01:57:13-0700'))&amp;_a=(columns:!('Message%20ID',Summary),filters:!(),index:'emp_*',interval:auto,query:(query_string:(analyze_wildcard:!t,query:'%22rtdc.l.rtdc.4064%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936</v>
      </c>
      <c r="B211" s="225">
        <v>4064</v>
      </c>
      <c r="C211" s="227" t="s">
        <v>192</v>
      </c>
      <c r="D211" s="227" t="s">
        <v>677</v>
      </c>
      <c r="E211" s="226">
        <v>43080.025092592594</v>
      </c>
      <c r="F211" s="226">
        <v>43080.032314814816</v>
      </c>
      <c r="G211" s="225">
        <v>56</v>
      </c>
      <c r="H211" s="227" t="s">
        <v>490</v>
      </c>
      <c r="I211" s="226">
        <v>43080.039733796293</v>
      </c>
      <c r="J211" s="225">
        <v>0</v>
      </c>
      <c r="K211" s="237" t="str">
        <f t="shared" si="115"/>
        <v>4063/4064</v>
      </c>
      <c r="L211" s="245" t="str">
        <f>VLOOKUP(A211,'Trips&amp;Operators'!$C$1:$G$99911,5,FALSE)</f>
        <v>STAMBAUGH JAMES</v>
      </c>
      <c r="M211" s="224">
        <f t="shared" si="116"/>
        <v>7.4189814768033102E-3</v>
      </c>
      <c r="N211" s="225">
        <f t="shared" si="111"/>
        <v>10.683333326596767</v>
      </c>
      <c r="O211" s="225"/>
      <c r="P211" s="225"/>
      <c r="Q211" s="228"/>
      <c r="R211" s="242"/>
      <c r="S211" s="249">
        <f t="shared" si="104"/>
        <v>0</v>
      </c>
      <c r="T211" s="242" t="str">
        <f t="shared" si="117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118"/>
        <v>https://d0f6bd738d7f1b3e5a7ca70fe4ff75f0.us-east-1.aws.found.io/app/kibana#/discover/Steve-Slow-Train-Analysis-(2080s-and-2083s)?_g=(refreshInterval:(display:Off,pause:!f,section:0,value:0),time:(from:'2017-12-10T23:36:08-0700',mode:absolute,to:'2017-12-11T01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247" t="str">
        <f>IF(AA211&lt;VLOOKUP(AG211,Variables!$AC$3:$AD$8,2,FALSE),"Y","N")</f>
        <v>Y</v>
      </c>
      <c r="X211" s="247">
        <f t="shared" si="114"/>
        <v>0</v>
      </c>
      <c r="Y211" s="247">
        <f t="shared" si="112"/>
        <v>4.8599999999999997E-2</v>
      </c>
      <c r="Z211" s="247">
        <f t="shared" si="113"/>
        <v>5.1499999999999997E-2</v>
      </c>
      <c r="AA211" s="247">
        <f t="shared" si="119"/>
        <v>2.8999999999999998E-3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20"/>
        <v>313</v>
      </c>
      <c r="AE211" s="235" t="str">
        <f t="shared" si="121"/>
        <v>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 &amp; aws s3 cp s3://rtdc.mdm.uploadarchive.raw/RTDC4064/ "%USERPROFILE%\AppData\Local\Temp\OnboardLogs"\RTDC4064\2017-12-12 --exclude "*" --recursive --include "*20171212*" &amp; "%USERPROFILE%\Documents\GitHub\mrs-test-scripts\Headless Mode &amp; Sideloading\WalkAndUnGZ.bat" "%USERPROFILE%\AppData\Local\Temp\OnboardLogs"\RTDC4064\2017-12-12</v>
      </c>
      <c r="AF211" s="234" t="str">
        <f t="shared" si="122"/>
        <v>"C:\Program Files (x86)\AstroGrep\AstroGrep.exe" /e /r /s /spath="%USERPROFILE%\AppData\Local\Temp\OnboardLogs" /stypes="app*4064*20171211*" /stext=" 07:.+((SYSTEM_STATE.+slice.+state.+changed )|(ment ac)|(multiple cpu faults)|(system.+state.+changed )|(\[timeout)|(PRM\|1\|D)|(kpr)|(kdp)|(train st.+moving)|(\|lc)|(penalty))"</v>
      </c>
      <c r="AG211" s="244" t="str">
        <f t="shared" si="123"/>
        <v>Other</v>
      </c>
      <c r="AH211" s="236" t="str">
        <f t="shared" si="124"/>
        <v>"%USERPROFILE%\Documents\GitHub\eaglep3\Utilities\RefineRTDCRunTimes.py" --tripid 313-10 --locoid 4064 --swversion DE.1.0.9.0 --startMP 204:486 --initTime 2017-12-11T00:36:08 --startdatetime 2017-12-11T00:46:32 --delay 56 --endMP 204:515 --enddatetime 2017-12-11T00:57:13 --enforcementcount 0 &gt;&gt;%USERPROFILE%\Documents\GitHub\eaglep3-reporting\EC\2017-12-10-refined-times.txt</v>
      </c>
      <c r="AI211" s="238" t="str">
        <f t="shared" si="125"/>
        <v>echo {"issue":{"subject":"","project_id":79,"tracker_id":40,"status_id":1,"priority_id":2,"assigned_to_id":338,"start_date":"2017-12-11","description":"","custom_fields":[{"id":1,"name":"Subdivision","value":"Other"},{"id":4,"name":"Milepost","value":"0.0515"},{"id":17,"name":"Train ID","value":"313-10"},{"id":16,"name":"Locomotive ID","value":"4064"},{"id":130,"name":"Impact","value":""},{"id":150,"name":"Time of Event (Mountain Time)","value":"00:57:13"},{"id":151,"name":"Denver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26"/>
        <v>start /low /b %USERPROFILE%\Documents\GitHub\eaglep3\Utilities\DownloadLogsFromS3.py --loco 4064 --day 2017-12-11</v>
      </c>
      <c r="AN211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28"/>
        <v>https://d0f6bd738d7f1b3e5a7ca70fe4ff75f0.us-east-1.aws.found.io/app/kibana#/discover/Steve-Slow-Train-Analysis-(2080s-and-2083s)?_g=(refreshInterval:(display:Off,pause:!f,section:0,value:0),time:(from:'2017-12-10T23:36:08-0700',mode:absolute,to:'2017-12-11T01:57:13-0700'))&amp;_a=(columns:!('Message%20ID',Summary),filters:!(),index:'emp_*',interval:auto,query:(query_string:(analyze_wildcard:!t,query:'%22rtdc.l.rtdc.4064%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774</v>
      </c>
      <c r="B212" s="225">
        <v>4042</v>
      </c>
      <c r="C212" s="227" t="s">
        <v>192</v>
      </c>
      <c r="D212" s="227" t="s">
        <v>1016</v>
      </c>
      <c r="E212" s="226">
        <v>43079.223946759259</v>
      </c>
      <c r="F212" s="226">
        <v>43079.227569444447</v>
      </c>
      <c r="G212" s="225">
        <v>65</v>
      </c>
      <c r="H212" s="227" t="s">
        <v>1017</v>
      </c>
      <c r="I212" s="226">
        <v>43079.232928240737</v>
      </c>
      <c r="J212" s="225">
        <v>0</v>
      </c>
      <c r="K212" s="237" t="str">
        <f t="shared" si="115"/>
        <v>4041/4042</v>
      </c>
      <c r="L212" s="245" t="str">
        <f>VLOOKUP(A212,'Trips&amp;Operators'!$C$1:$G$99911,5,FALSE)</f>
        <v>MACDONALD THOMAS</v>
      </c>
      <c r="M212" s="224">
        <f t="shared" si="116"/>
        <v>5.3587962902383879E-3</v>
      </c>
      <c r="N212" s="225">
        <f t="shared" si="111"/>
        <v>7.7166666579432786</v>
      </c>
      <c r="O212" s="225"/>
      <c r="P212" s="225"/>
      <c r="Q212" s="228"/>
      <c r="R212" s="242"/>
      <c r="S212" s="249">
        <f t="shared" si="104"/>
        <v>0</v>
      </c>
      <c r="T212" s="242" t="str">
        <f t="shared" si="117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118"/>
        <v>https://d0f6bd738d7f1b3e5a7ca70fe4ff75f0.us-east-1.aws.found.io/app/kibana#/discover/Steve-Slow-Train-Analysis-(2080s-and-2083s)?_g=(refreshInterval:(display:Off,pause:!f,section:0,value:0),time:(from:'2017-12-10T04:22:29-0700',mode:absolute,to:'2017-12-10T06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247" t="str">
        <f>IF(AA212&lt;VLOOKUP(AG212,Variables!$AC$3:$AD$8,2,FALSE),"Y","N")</f>
        <v>Y</v>
      </c>
      <c r="X212" s="247">
        <f t="shared" si="114"/>
        <v>1588</v>
      </c>
      <c r="Y212" s="247">
        <f t="shared" si="112"/>
        <v>3.0529000000000002</v>
      </c>
      <c r="Z212" s="247">
        <f t="shared" si="113"/>
        <v>5.8920000000000003</v>
      </c>
      <c r="AA212" s="247">
        <f t="shared" si="119"/>
        <v>2.8391000000000002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20"/>
        <v>1901</v>
      </c>
      <c r="AE212" s="235" t="str">
        <f t="shared" si="121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212" s="234" t="str">
        <f t="shared" si="122"/>
        <v>"C:\Program Files (x86)\AstroGrep\AstroGrep.exe" /e /r /s /spath="%USERPROFILE%\AppData\Local\Temp\OnboardLogs" /stypes="app*4042*20171210*" /stext=" 12:.+((SYSTEM_STATE.+slice.+state.+changed )|(ment ac)|(multiple cpu faults)|(system.+state.+changed )|(\[timeout)|(PRM\|1\|D)|(kpr)|(kdp)|(train st.+moving)|(\|lc)|(penalty))"</v>
      </c>
      <c r="AG212" s="244" t="str">
        <f t="shared" si="123"/>
        <v>Other</v>
      </c>
      <c r="AH212" s="236" t="str">
        <f t="shared" si="124"/>
        <v>"%USERPROFILE%\Documents\GitHub\eaglep3\Utilities\RefineRTDCRunTimes.py" --tripid 1901-10 --locoid 4042 --swversion DE.1.0.9.0 --startMP 300:30529 --initTime 2017-12-10T05:22:29 --startdatetime 2017-12-10T05:27:42 --delay 65 --endMP 300:58920 --enddatetime 2017-12-10T05:35:25 --enforcementcount 0 &gt;&gt;%USERPROFILE%\Documents\GitHub\eaglep3-reporting\EC\2017-12-10-refined-times.txt</v>
      </c>
      <c r="AI212" s="238" t="str">
        <f t="shared" si="125"/>
        <v>echo {"issue":{"subject":"","project_id":79,"tracker_id":40,"status_id":1,"priority_id":2,"assigned_to_id":338,"start_date":"2017-12-10","description":"","custom_fields":[{"id":1,"name":"Subdivision","value":"Other"},{"id":4,"name":"Milepost","value":"5.892"},{"id":17,"name":"Train ID","value":"1901-10"},{"id":16,"name":"Locomotive ID","value":"4042"},{"id":130,"name":"Impact","value":""},{"id":150,"name":"Time of Event (Mountain Time)","value":"05:35:25"},{"id":151,"name":"Denver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26"/>
        <v>start /low /b %USERPROFILE%\Documents\GitHub\eaglep3\Utilities\DownloadLogsFromS3.py --loco 4042 --day 2017-12-10</v>
      </c>
      <c r="AN212" s="241" t="str">
        <f t="shared" si="127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28"/>
        <v>https://d0f6bd738d7f1b3e5a7ca70fe4ff75f0.us-east-1.aws.found.io/app/kibana#/discover/Steve-Slow-Train-Analysis-(2080s-and-2083s)?_g=(refreshInterval:(display:Off,pause:!f,section:0,value:0),time:(from:'2017-12-10T04:22:29-0700',mode:absolute,to:'2017-12-10T06:35:25-0700'))&amp;_a=(columns:!('Message%20ID',Summary),filters:!(),index:'emp_*',interval:auto,query:(query_string:(analyze_wildcard:!t,query:'%22rtdc.l.rtdc.4042%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931</v>
      </c>
      <c r="B213" s="225">
        <v>4041</v>
      </c>
      <c r="C213" s="227" t="s">
        <v>192</v>
      </c>
      <c r="D213" s="227" t="s">
        <v>706</v>
      </c>
      <c r="E213" s="226">
        <v>43079.977106481485</v>
      </c>
      <c r="F213" s="226">
        <v>43079.978645833333</v>
      </c>
      <c r="G213" s="225">
        <v>67</v>
      </c>
      <c r="H213" s="227" t="s">
        <v>1018</v>
      </c>
      <c r="I213" s="226">
        <v>43079.986863425926</v>
      </c>
      <c r="J213" s="225">
        <v>0</v>
      </c>
      <c r="K213" s="237" t="str">
        <f t="shared" si="115"/>
        <v>4041/4042</v>
      </c>
      <c r="L213" s="245" t="str">
        <f>VLOOKUP(A213,'Trips&amp;Operators'!$C$1:$G$99911,5,FALSE)</f>
        <v>HOLCOMB KAMDEN</v>
      </c>
      <c r="M213" s="224">
        <f t="shared" si="116"/>
        <v>8.2175925927003846E-3</v>
      </c>
      <c r="N213" s="225">
        <f t="shared" si="111"/>
        <v>11.833333333488554</v>
      </c>
      <c r="O213" s="225"/>
      <c r="P213" s="225"/>
      <c r="Q213" s="228"/>
      <c r="R213" s="242"/>
      <c r="S213" s="249">
        <f t="shared" si="104"/>
        <v>0</v>
      </c>
      <c r="T213" s="242" t="str">
        <f t="shared" si="117"/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118"/>
        <v>https://d0f6bd738d7f1b3e5a7ca70fe4ff75f0.us-east-1.aws.found.io/app/kibana#/discover/Steve-Slow-Train-Analysis-(2080s-and-2083s)?_g=(refreshInterval:(display:Off,pause:!f,section:0,value:0),time:(from:'2017-12-10T22:27:02-0700',mode:absolute,to:'2017-12-11T00:41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247" t="str">
        <f>IF(AA213&lt;VLOOKUP(AG213,Variables!$AC$3:$AD$8,2,FALSE),"Y","N")</f>
        <v>Y</v>
      </c>
      <c r="X213" s="247">
        <f t="shared" si="114"/>
        <v>1</v>
      </c>
      <c r="Y213" s="247">
        <f t="shared" si="112"/>
        <v>5.8674999999999997</v>
      </c>
      <c r="Z213" s="247">
        <f t="shared" si="113"/>
        <v>2.8782000000000001</v>
      </c>
      <c r="AA213" s="247">
        <f t="shared" si="119"/>
        <v>2.9892999999999996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20"/>
        <v>1902</v>
      </c>
      <c r="AE213" s="235" t="str">
        <f t="shared" si="121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213" s="234" t="str">
        <f t="shared" si="122"/>
        <v>"C:\Program Files (x86)\AstroGrep\AstroGrep.exe" /e /r /s /spath="%USERPROFILE%\AppData\Local\Temp\OnboardLogs" /stypes="app*4041*20171211*" /stext=" 06:.+((SYSTEM_STATE.+slice.+state.+changed )|(ment ac)|(multiple cpu faults)|(system.+state.+changed )|(\[timeout)|(PRM\|1\|D)|(kpr)|(kdp)|(train st.+moving)|(\|lc)|(penalty))"</v>
      </c>
      <c r="AG213" s="244" t="str">
        <f t="shared" si="123"/>
        <v>Other</v>
      </c>
      <c r="AH213" s="236" t="str">
        <f t="shared" si="124"/>
        <v>"%USERPROFILE%\Documents\GitHub\eaglep3\Utilities\RefineRTDCRunTimes.py" --tripid 1902-10 --locoid 4041 --swversion DE.1.0.9.0 --startMP 300:58675 --initTime 2017-12-10T23:27:02 --startdatetime 2017-12-10T23:29:15 --delay 67 --endMP 300:28782 --enddatetime 2017-12-10T23:41:05 --enforcementcount 0 &gt;&gt;%USERPROFILE%\Documents\GitHub\eaglep3-reporting\EC\2017-12-10-refined-times.txt</v>
      </c>
      <c r="AI213" s="238" t="str">
        <f t="shared" si="125"/>
        <v>echo {"issue":{"subject":"","project_id":79,"tracker_id":40,"status_id":1,"priority_id":2,"assigned_to_id":338,"start_date":"2017-12-10","description":"","custom_fields":[{"id":1,"name":"Subdivision","value":"Other"},{"id":4,"name":"Milepost","value":"2.8782"},{"id":17,"name":"Train ID","value":"1902-10"},{"id":16,"name":"Locomotive ID","value":"4041"},{"id":130,"name":"Impact","value":""},{"id":150,"name":"Time of Event (Mountain Time)","value":"23:41:05"},{"id":151,"name":"Denver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26"/>
        <v>start /low /b %USERPROFILE%\Documents\GitHub\eaglep3\Utilities\DownloadLogsFromS3.py --loco 4041 --day 2017-12-10</v>
      </c>
      <c r="AN213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28"/>
        <v>https://d0f6bd738d7f1b3e5a7ca70fe4ff75f0.us-east-1.aws.found.io/app/kibana#/discover/Steve-Slow-Train-Analysis-(2080s-and-2083s)?_g=(refreshInterval:(display:Off,pause:!f,section:0,value:0),time:(from:'2017-12-10T22:27:02-0700',mode:absolute,to:'2017-12-11T00:41:05-0700'))&amp;_a=(columns:!('Message%20ID',Summary),filters:!(),index:'emp_*',interval:auto,query:(query_string:(analyze_wildcard:!t,query:'%22rtdc.l.rtdc.4041%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9" t="s">
        <v>768</v>
      </c>
      <c r="B214" s="225">
        <v>4033</v>
      </c>
      <c r="C214" s="227" t="s">
        <v>192</v>
      </c>
      <c r="D214" s="227" t="s">
        <v>1019</v>
      </c>
      <c r="E214" s="226">
        <v>43079.198182870372</v>
      </c>
      <c r="F214" s="226">
        <v>43079.202361111114</v>
      </c>
      <c r="G214" s="225">
        <v>82</v>
      </c>
      <c r="H214" s="227" t="s">
        <v>679</v>
      </c>
      <c r="I214" s="226">
        <v>43079.211400462962</v>
      </c>
      <c r="J214" s="225">
        <v>0</v>
      </c>
      <c r="K214" s="237" t="str">
        <f t="shared" si="115"/>
        <v>4033/4034</v>
      </c>
      <c r="L214" s="245" t="str">
        <f>VLOOKUP(A214,'Trips&amp;Operators'!$C$1:$G$99911,5,FALSE)</f>
        <v>WILLIAMS DONTE</v>
      </c>
      <c r="M214" s="224">
        <f t="shared" si="116"/>
        <v>9.0393518476048484E-3</v>
      </c>
      <c r="N214" s="225">
        <f t="shared" si="111"/>
        <v>13.016666660550982</v>
      </c>
      <c r="O214" s="225"/>
      <c r="P214" s="225"/>
      <c r="Q214" s="228"/>
      <c r="R214" s="242"/>
      <c r="S214" s="249">
        <f t="shared" si="104"/>
        <v>0</v>
      </c>
      <c r="T214" s="242" t="str">
        <f t="shared" si="117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118"/>
        <v>https://d0f6bd738d7f1b3e5a7ca70fe4ff75f0.us-east-1.aws.found.io/app/kibana#/discover/Steve-Slow-Train-Analysis-(2080s-and-2083s)?_g=(refreshInterval:(display:Off,pause:!f,section:0,value:0),time:(from:'2017-12-10T03:45:23-0700',mode:absolute,to:'2017-12-10T06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4" s="247" t="str">
        <f>IF(AA214&lt;VLOOKUP(AG214,Variables!$AC$3:$AD$8,2,FALSE),"Y","N")</f>
        <v>Y</v>
      </c>
      <c r="X214" s="247">
        <f t="shared" si="114"/>
        <v>7</v>
      </c>
      <c r="Y214" s="247">
        <f t="shared" si="112"/>
        <v>2.3601000000000001</v>
      </c>
      <c r="Z214" s="247">
        <f t="shared" si="113"/>
        <v>1.9800000000000002E-2</v>
      </c>
      <c r="AA214" s="247">
        <f t="shared" si="119"/>
        <v>2.3403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20"/>
        <v>1909</v>
      </c>
      <c r="AE214" s="235" t="str">
        <f t="shared" si="12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214" s="234" t="str">
        <f t="shared" si="122"/>
        <v>"C:\Program Files (x86)\AstroGrep\AstroGrep.exe" /e /r /s /spath="%USERPROFILE%\AppData\Local\Temp\OnboardLogs" /stypes="app*4033*20171210*" /stext=" 12:.+((SYSTEM_STATE.+slice.+state.+changed )|(ment ac)|(multiple cpu faults)|(system.+state.+changed )|(\[timeout)|(PRM\|1\|D)|(kpr)|(kdp)|(train st.+moving)|(\|lc)|(penalty))"</v>
      </c>
      <c r="AG214" s="244" t="str">
        <f t="shared" si="123"/>
        <v>Other</v>
      </c>
      <c r="AH214" s="236" t="str">
        <f t="shared" si="124"/>
        <v>"%USERPROFILE%\Documents\GitHub\eaglep3\Utilities\RefineRTDCRunTimes.py" --tripid 1909-10 --locoid 4033 --swversion DE.1.0.9.0 --startMP 300:23601 --initTime 2017-12-10T04:45:23 --startdatetime 2017-12-10T04:51:24 --delay 82 --endMP 204:198 --enddatetime 2017-12-10T05:04:25 --enforcementcount 0 &gt;&gt;%USERPROFILE%\Documents\GitHub\eaglep3-reporting\EC\2017-12-10-refined-times.txt</v>
      </c>
      <c r="AI214" s="238" t="str">
        <f t="shared" si="125"/>
        <v>echo {"issue":{"subject":"","project_id":79,"tracker_id":40,"status_id":1,"priority_id":2,"assigned_to_id":338,"start_date":"2017-12-10","description":"","custom_fields":[{"id":1,"name":"Subdivision","value":"Other"},{"id":4,"name":"Milepost","value":"0.0198"},{"id":17,"name":"Train ID","value":"1909-10"},{"id":16,"name":"Locomotive ID","value":"4033"},{"id":130,"name":"Impact","value":""},{"id":150,"name":"Time of Event (Mountain Time)","value":"05:04:25"},{"id":151,"name":"Denver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26"/>
        <v>start /low /b %USERPROFILE%\Documents\GitHub\eaglep3\Utilities\DownloadLogsFromS3.py --loco 4033 --day 2017-12-10</v>
      </c>
      <c r="AN214" s="241" t="str">
        <f t="shared" si="127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28"/>
        <v>https://d0f6bd738d7f1b3e5a7ca70fe4ff75f0.us-east-1.aws.found.io/app/kibana#/discover/Steve-Slow-Train-Analysis-(2080s-and-2083s)?_g=(refreshInterval:(display:Off,pause:!f,section:0,value:0),time:(from:'2017-12-10T03:45:23-0700',mode:absolute,to:'2017-12-10T06:04:25-0700'))&amp;_a=(columns:!('Message%20ID',Summary),filters:!(),index:'emp_*',interval:auto,query:(query_string:(analyze_wildcard:!t,query:'%22rtdc.l.rtdc.4033%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758</v>
      </c>
      <c r="B215" s="225">
        <v>4012</v>
      </c>
      <c r="C215" s="227" t="s">
        <v>192</v>
      </c>
      <c r="D215" s="227" t="s">
        <v>635</v>
      </c>
      <c r="E215" s="226">
        <v>43079.126168981478</v>
      </c>
      <c r="F215" s="226">
        <v>43079.14099537037</v>
      </c>
      <c r="G215" s="225">
        <v>111</v>
      </c>
      <c r="H215" s="227" t="s">
        <v>1042</v>
      </c>
      <c r="I215" s="226">
        <v>43079.141967592594</v>
      </c>
      <c r="J215" s="225">
        <v>0</v>
      </c>
      <c r="K215" s="237" t="str">
        <f t="shared" si="115"/>
        <v>4011/4012</v>
      </c>
      <c r="L215" s="245" t="str">
        <f>VLOOKUP(A215,'Trips&amp;Operators'!$C$1:$G$99911,5,FALSE)</f>
        <v>HUFFSMITH MONTY</v>
      </c>
      <c r="M215" s="224">
        <f t="shared" si="116"/>
        <v>9.7222222393611446E-4</v>
      </c>
      <c r="N215" s="225">
        <f t="shared" si="111"/>
        <v>1.4000000024680048</v>
      </c>
      <c r="O215" s="225"/>
      <c r="P215" s="225"/>
      <c r="Q215" s="228"/>
      <c r="R215" s="242"/>
      <c r="S215" s="249">
        <f t="shared" si="104"/>
        <v>0</v>
      </c>
      <c r="T215" s="242" t="str">
        <f t="shared" si="117"/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118"/>
        <v>https://d0f6bd738d7f1b3e5a7ca70fe4ff75f0.us-east-1.aws.found.io/app/kibana#/discover/Steve-Slow-Train-Analysis-(2080s-and-2083s)?_g=(refreshInterval:(display:Off,pause:!f,section:0,value:0),time:(from:'2017-12-10T02:01:41-0700',mode:absolute,to:'2017-12-10T04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247" t="str">
        <f>IF(AA215&lt;VLOOKUP(AG215,Variables!$AC$3:$AD$8,2,FALSE),"Y","N")</f>
        <v>Y</v>
      </c>
      <c r="X215" s="247">
        <f t="shared" si="114"/>
        <v>-1858</v>
      </c>
      <c r="Y215" s="247">
        <f t="shared" si="112"/>
        <v>4.6600000000000003E-2</v>
      </c>
      <c r="Z215" s="247">
        <f t="shared" si="113"/>
        <v>0.34010000000000001</v>
      </c>
      <c r="AA215" s="247">
        <f t="shared" si="119"/>
        <v>0.29349999999999998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20"/>
        <v>51</v>
      </c>
      <c r="AE215" s="235" t="str">
        <f t="shared" si="12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215" s="234" t="str">
        <f t="shared" si="122"/>
        <v>"C:\Program Files (x86)\AstroGrep\AstroGrep.exe" /e /r /s /spath="%USERPROFILE%\AppData\Local\Temp\OnboardLogs" /stypes="app*4012*20171210*" /stext=" 10:.+((SYSTEM_STATE.+slice.+state.+changed )|(ment ac)|(multiple cpu faults)|(system.+state.+changed )|(\[timeout)|(PRM\|1\|D)|(kpr)|(kdp)|(train st.+moving)|(\|lc)|(penalty))"</v>
      </c>
      <c r="AG215" s="244" t="str">
        <f t="shared" si="123"/>
        <v>Shuttle/Test</v>
      </c>
      <c r="AH215" s="236" t="str">
        <f t="shared" si="124"/>
        <v>"%USERPROFILE%\Documents\GitHub\eaglep3\Utilities\RefineRTDCRunTimes.py" --tripid 51-10 --locoid 4012 --swversion DE.1.0.9.0 --startMP 204:466 --initTime 2017-12-10T03:01:41 --startdatetime 2017-12-10T03:23:02 --delay 111 --endMP 204:3401 --enddatetime 2017-12-10T03:24:26 --enforcementcount 0 &gt;&gt;%USERPROFILE%\Documents\GitHub\eaglep3-reporting\EC\2017-12-10-refined-times.txt</v>
      </c>
      <c r="AI215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0.3401"},{"id":17,"name":"Train ID","value":"51-10"},{"id":16,"name":"Locomotive ID","value":"4012"},{"id":130,"name":"Impact","value":""},{"id":150,"name":"Time of Event (Mountain Time)","value":"03:24:26"},{"id":151,"name":"Denver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26"/>
        <v>start /low /b %USERPROFILE%\Documents\GitHub\eaglep3\Utilities\DownloadLogsFromS3.py --loco 4012 --day 2017-12-10</v>
      </c>
      <c r="AN215" s="241" t="str">
        <f t="shared" si="127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28"/>
        <v>https://d0f6bd738d7f1b3e5a7ca70fe4ff75f0.us-east-1.aws.found.io/app/kibana#/discover/Steve-Slow-Train-Analysis-(2080s-and-2083s)?_g=(refreshInterval:(display:Off,pause:!f,section:0,value:0),time:(from:'2017-12-10T02:01:41-0700',mode:absolute,to:'2017-12-10T04:24:26-0700'))&amp;_a=(columns:!('Message%20ID',Summary),filters:!(),index:'emp_*',interval:auto,query:(query_string:(analyze_wildcard:!t,query:'%22rtdc.l.rtdc.4012%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758</v>
      </c>
      <c r="B216" s="225">
        <v>4030</v>
      </c>
      <c r="C216" s="227" t="s">
        <v>192</v>
      </c>
      <c r="D216" s="227" t="s">
        <v>1043</v>
      </c>
      <c r="E216" s="226">
        <v>43080.057013888887</v>
      </c>
      <c r="F216" s="226">
        <v>43080.065671296295</v>
      </c>
      <c r="G216" s="225">
        <v>58</v>
      </c>
      <c r="H216" s="227" t="s">
        <v>1044</v>
      </c>
      <c r="I216" s="226">
        <v>43080.067106481481</v>
      </c>
      <c r="J216" s="225">
        <v>0</v>
      </c>
      <c r="K216" s="237" t="str">
        <f t="shared" si="115"/>
        <v>4029/4030</v>
      </c>
      <c r="L216" s="245" t="str">
        <f>VLOOKUP(A216,'Trips&amp;Operators'!$C$1:$G$99911,5,FALSE)</f>
        <v>HUFFSMITH MONTY</v>
      </c>
      <c r="M216" s="224">
        <f t="shared" si="116"/>
        <v>1.4351851859828457E-3</v>
      </c>
      <c r="N216" s="225">
        <f t="shared" si="111"/>
        <v>2.0666666678152978</v>
      </c>
      <c r="O216" s="225"/>
      <c r="P216" s="225"/>
      <c r="Q216" s="228"/>
      <c r="R216" s="242"/>
      <c r="S216" s="249">
        <f t="shared" si="104"/>
        <v>0</v>
      </c>
      <c r="T216" s="242" t="str">
        <f t="shared" si="117"/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 t="shared" si="118"/>
        <v>https://d0f6bd738d7f1b3e5a7ca70fe4ff75f0.us-east-1.aws.found.io/app/kibana#/discover/Steve-Slow-Train-Analysis-(2080s-and-2083s)?_g=(refreshInterval:(display:Off,pause:!f,section:0,value:0),time:(from:'2017-12-11T00:22:06-0700',mode:absolute,to:'2017-12-11T02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6" s="247" t="str">
        <f>IF(AA216&lt;VLOOKUP(AG216,Variables!$AC$3:$AD$8,2,FALSE),"Y","N")</f>
        <v>Y</v>
      </c>
      <c r="X216" s="247">
        <f t="shared" si="114"/>
        <v>0</v>
      </c>
      <c r="Y216" s="247">
        <f t="shared" si="112"/>
        <v>0.1182</v>
      </c>
      <c r="Z216" s="247">
        <f t="shared" si="113"/>
        <v>0.53569999999999995</v>
      </c>
      <c r="AA216" s="247">
        <f t="shared" si="119"/>
        <v>0.41749999999999998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20"/>
        <v>51</v>
      </c>
      <c r="AE216" s="235" t="str">
        <f t="shared" si="121"/>
        <v>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 &amp; 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</v>
      </c>
      <c r="AF216" s="234" t="str">
        <f t="shared" si="122"/>
        <v>"C:\Program Files (x86)\AstroGrep\AstroGrep.exe" /e /r /s /spath="%USERPROFILE%\AppData\Local\Temp\OnboardLogs" /stypes="app*4030*20171211*" /stext=" 08:.+((SYSTEM_STATE.+slice.+state.+changed )|(ment ac)|(multiple cpu faults)|(system.+state.+changed )|(\[timeout)|(PRM\|1\|D)|(kpr)|(kdp)|(train st.+moving)|(\|lc)|(penalty))"</v>
      </c>
      <c r="AG216" s="244" t="str">
        <f t="shared" si="123"/>
        <v>Shuttle/Test</v>
      </c>
      <c r="AH216" s="236" t="str">
        <f t="shared" si="124"/>
        <v>"%USERPROFILE%\Documents\GitHub\eaglep3\Utilities\RefineRTDCRunTimes.py" --tripid 51-10 --locoid 4030 --swversion DE.1.0.9.0 --startMP 204:1182 --initTime 2017-12-11T01:22:06 --startdatetime 2017-12-11T01:34:34 --delay 58 --endMP 300:5357 --enddatetime 2017-12-11T01:36:38 --enforcementcount 0 &gt;&gt;%USERPROFILE%\Documents\GitHub\eaglep3-reporting\EC\2017-12-10-refined-times.txt</v>
      </c>
      <c r="AI216" s="238" t="str">
        <f t="shared" si="125"/>
        <v>echo {"issue":{"subject":"","project_id":79,"tracker_id":40,"status_id":1,"priority_id":2,"assigned_to_id":338,"start_date":"2017-12-11","description":"","custom_fields":[{"id":1,"name":"Subdivision","value":"Shuttle/Test"},{"id":4,"name":"Milepost","value":"0.5357"},{"id":17,"name":"Train ID","value":"51-10"},{"id":16,"name":"Locomotive ID","value":"4030"},{"id":130,"name":"Impact","value":""},{"id":150,"name":"Time of Event (Mountain Time)","value":"01:36:38"},{"id":151,"name":"Denver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26"/>
        <v>start /low /b %USERPROFILE%\Documents\GitHub\eaglep3\Utilities\DownloadLogsFromS3.py --loco 4030 --day 2017-12-11</v>
      </c>
      <c r="AN216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28"/>
        <v>https://d0f6bd738d7f1b3e5a7ca70fe4ff75f0.us-east-1.aws.found.io/app/kibana#/discover/Steve-Slow-Train-Analysis-(2080s-and-2083s)?_g=(refreshInterval:(display:Off,pause:!f,section:0,value:0),time:(from:'2017-12-11T00:22:06-0700',mode:absolute,to:'2017-12-11T02:36:38-0700'))&amp;_a=(columns:!('Message%20ID',Summary),filters:!(),index:'emp_*',interval:auto,query:(query_string:(analyze_wildcard:!t,query:'%22rtdc.l.rtdc.4030%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758</v>
      </c>
      <c r="B217" s="225">
        <v>4030</v>
      </c>
      <c r="C217" s="227" t="s">
        <v>192</v>
      </c>
      <c r="D217" s="227" t="s">
        <v>720</v>
      </c>
      <c r="E217" s="226">
        <v>43079.948414351849</v>
      </c>
      <c r="F217" s="226">
        <v>43080.065671296295</v>
      </c>
      <c r="G217" s="225">
        <v>166</v>
      </c>
      <c r="H217" s="227" t="s">
        <v>720</v>
      </c>
      <c r="I217" s="226">
        <v>43080.067106481481</v>
      </c>
      <c r="J217" s="225">
        <v>0</v>
      </c>
      <c r="K217" s="237" t="str">
        <f t="shared" si="115"/>
        <v>4029/4030</v>
      </c>
      <c r="L217" s="245" t="str">
        <f>VLOOKUP(A217,'Trips&amp;Operators'!$C$1:$G$99911,5,FALSE)</f>
        <v>HUFFSMITH MONTY</v>
      </c>
      <c r="M217" s="224">
        <f t="shared" si="116"/>
        <v>1.4351851859828457E-3</v>
      </c>
      <c r="N217" s="225">
        <f t="shared" si="111"/>
        <v>2.0666666678152978</v>
      </c>
      <c r="O217" s="225"/>
      <c r="P217" s="225"/>
      <c r="Q217" s="228"/>
      <c r="R217" s="242"/>
      <c r="S217" s="249">
        <f t="shared" si="104"/>
        <v>0</v>
      </c>
      <c r="T217" s="242" t="str">
        <f t="shared" si="117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8" t="str">
        <f t="shared" si="118"/>
        <v>https://d0f6bd738d7f1b3e5a7ca70fe4ff75f0.us-east-1.aws.found.io/app/kibana#/discover/Steve-Slow-Train-Analysis-(2080s-and-2083s)?_g=(refreshInterval:(display:Off,pause:!f,section:0,value:0),time:(from:'2017-12-10T21:45:43-0700',mode:absolute,to:'2017-12-11T02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247" t="str">
        <f>IF(AA217&lt;VLOOKUP(AG217,Variables!$AC$3:$AD$8,2,FALSE),"Y","N")</f>
        <v>Y</v>
      </c>
      <c r="X217" s="247">
        <f t="shared" si="114"/>
        <v>0</v>
      </c>
      <c r="Y217" s="247">
        <f t="shared" si="112"/>
        <v>0.11650000000000001</v>
      </c>
      <c r="Z217" s="247">
        <f t="shared" si="113"/>
        <v>0.11650000000000001</v>
      </c>
      <c r="AA217" s="247">
        <f t="shared" si="119"/>
        <v>0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20"/>
        <v>51</v>
      </c>
      <c r="AE217" s="235" t="str">
        <f t="shared" si="121"/>
        <v>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 &amp; 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</v>
      </c>
      <c r="AF217" s="234" t="str">
        <f t="shared" si="122"/>
        <v>"C:\Program Files (x86)\AstroGrep\AstroGrep.exe" /e /r /s /spath="%USERPROFILE%\AppData\Local\Temp\OnboardLogs" /stypes="app*4030*20171211*" /stext=" 08:.+((SYSTEM_STATE.+slice.+state.+changed )|(ment ac)|(multiple cpu faults)|(system.+state.+changed )|(\[timeout)|(PRM\|1\|D)|(kpr)|(kdp)|(train st.+moving)|(\|lc)|(penalty))"</v>
      </c>
      <c r="AG217" s="244" t="str">
        <f t="shared" si="123"/>
        <v>Shuttle/Test</v>
      </c>
      <c r="AH217" s="236" t="str">
        <f t="shared" si="124"/>
        <v>"%USERPROFILE%\Documents\GitHub\eaglep3\Utilities\RefineRTDCRunTimes.py" --tripid 51-10 --locoid 4030 --swversion DE.1.0.9.0 --startMP 204:1165 --initTime 2017-12-10T22:45:43 --startdatetime 2017-12-11T01:34:34 --delay 166 --endMP 204:1165 --enddatetime 2017-12-11T01:36:38 --enforcementcount 0 &gt;&gt;%USERPROFILE%\Documents\GitHub\eaglep3-reporting\EC\2017-12-10-refined-times.txt</v>
      </c>
      <c r="AI217" s="238" t="str">
        <f t="shared" si="125"/>
        <v>echo {"issue":{"subject":"","project_id":79,"tracker_id":40,"status_id":1,"priority_id":2,"assigned_to_id":338,"start_date":"2017-12-11","description":"","custom_fields":[{"id":1,"name":"Subdivision","value":"Shuttle/Test"},{"id":4,"name":"Milepost","value":"0.1165"},{"id":17,"name":"Train ID","value":"51-10"},{"id":16,"name":"Locomotive ID","value":"4030"},{"id":130,"name":"Impact","value":""},{"id":150,"name":"Time of Event (Mountain Time)","value":"01:36:38"},{"id":151,"name":"Denver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26"/>
        <v>start /low /b %USERPROFILE%\Documents\GitHub\eaglep3\Utilities\DownloadLogsFromS3.py --loco 4030 --day 2017-12-11</v>
      </c>
      <c r="AN217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28"/>
        <v>https://d0f6bd738d7f1b3e5a7ca70fe4ff75f0.us-east-1.aws.found.io/app/kibana#/discover/Steve-Slow-Train-Analysis-(2080s-and-2083s)?_g=(refreshInterval:(display:Off,pause:!f,section:0,value:0),time:(from:'2017-12-10T21:45:43-0700',mode:absolute,to:'2017-12-11T02:36:38-0700'))&amp;_a=(columns:!('Message%20ID',Summary),filters:!(),index:'emp_*',interval:auto,query:(query_string:(analyze_wildcard:!t,query:'%22rtdc.l.rtdc.4030%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760</v>
      </c>
      <c r="B218" s="225">
        <v>4029</v>
      </c>
      <c r="C218" s="227" t="s">
        <v>192</v>
      </c>
      <c r="D218" s="227" t="s">
        <v>1045</v>
      </c>
      <c r="E218" s="226">
        <v>43080.068807870368</v>
      </c>
      <c r="F218" s="226">
        <v>43080.070081018515</v>
      </c>
      <c r="G218" s="225">
        <v>56</v>
      </c>
      <c r="H218" s="227" t="s">
        <v>712</v>
      </c>
      <c r="I218" s="226">
        <v>43080.071793981479</v>
      </c>
      <c r="J218" s="225">
        <v>0</v>
      </c>
      <c r="K218" s="237" t="str">
        <f t="shared" si="115"/>
        <v>4029/4030</v>
      </c>
      <c r="L218" s="245" t="str">
        <f>VLOOKUP(A218,'Trips&amp;Operators'!$C$1:$G$99911,5,FALSE)</f>
        <v>HUFFSMITH MONTY</v>
      </c>
      <c r="M218" s="224">
        <f t="shared" si="116"/>
        <v>1.7129629632108845E-3</v>
      </c>
      <c r="N218" s="225">
        <f t="shared" si="111"/>
        <v>2.4666666670236737</v>
      </c>
      <c r="O218" s="225"/>
      <c r="P218" s="225"/>
      <c r="Q218" s="228"/>
      <c r="R218" s="242"/>
      <c r="S218" s="249">
        <f t="shared" si="104"/>
        <v>0</v>
      </c>
      <c r="T218" s="242" t="str">
        <f t="shared" si="117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 t="shared" si="118"/>
        <v>https://d0f6bd738d7f1b3e5a7ca70fe4ff75f0.us-east-1.aws.found.io/app/kibana#/discover/Steve-Slow-Train-Analysis-(2080s-and-2083s)?_g=(refreshInterval:(display:Off,pause:!f,section:0,value:0),time:(from:'2017-12-11T00:39:05-0700',mode:absolute,to:'2017-12-11T02:43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247" t="str">
        <f>IF(AA218&lt;VLOOKUP(AG218,Variables!$AC$3:$AD$8,2,FALSE),"Y","N")</f>
        <v>Y</v>
      </c>
      <c r="X218" s="247">
        <f t="shared" si="114"/>
        <v>1</v>
      </c>
      <c r="Y218" s="247">
        <f t="shared" si="112"/>
        <v>0.50819999999999999</v>
      </c>
      <c r="Z218" s="247">
        <f t="shared" si="113"/>
        <v>1.44E-2</v>
      </c>
      <c r="AA218" s="247">
        <f t="shared" si="119"/>
        <v>0.49379999999999996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20"/>
        <v>52</v>
      </c>
      <c r="AE218" s="235" t="str">
        <f t="shared" si="121"/>
        <v>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 &amp; 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</v>
      </c>
      <c r="AF218" s="234" t="str">
        <f t="shared" si="122"/>
        <v>"C:\Program Files (x86)\AstroGrep\AstroGrep.exe" /e /r /s /spath="%USERPROFILE%\AppData\Local\Temp\OnboardLogs" /stypes="app*4029*20171211*" /stext=" 08:.+((SYSTEM_STATE.+slice.+state.+changed )|(ment ac)|(multiple cpu faults)|(system.+state.+changed )|(\[timeout)|(PRM\|1\|D)|(kpr)|(kdp)|(train st.+moving)|(\|lc)|(penalty))"</v>
      </c>
      <c r="AG218" s="244" t="str">
        <f t="shared" si="123"/>
        <v>Shuttle/Test</v>
      </c>
      <c r="AH218" s="236" t="str">
        <f t="shared" si="124"/>
        <v>"%USERPROFILE%\Documents\GitHub\eaglep3\Utilities\RefineRTDCRunTimes.py" --tripid 52-10 --locoid 4029 --swversion DE.1.0.9.0 --startMP 300:5082 --initTime 2017-12-11T01:39:05 --startdatetime 2017-12-11T01:40:55 --delay 56 --endMP 204:144 --enddatetime 2017-12-11T01:43:23 --enforcementcount 0 &gt;&gt;%USERPROFILE%\Documents\GitHub\eaglep3-reporting\EC\2017-12-10-refined-times.txt</v>
      </c>
      <c r="AI218" s="238" t="str">
        <f t="shared" si="125"/>
        <v>echo {"issue":{"subject":"","project_id":79,"tracker_id":40,"status_id":1,"priority_id":2,"assigned_to_id":338,"start_date":"2017-12-11","description":"","custom_fields":[{"id":1,"name":"Subdivision","value":"Shuttle/Test"},{"id":4,"name":"Milepost","value":"0.0144"},{"id":17,"name":"Train ID","value":"52-10"},{"id":16,"name":"Locomotive ID","value":"4029"},{"id":130,"name":"Impact","value":""},{"id":150,"name":"Time of Event (Mountain Time)","value":"01:43:23"},{"id":151,"name":"Denver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26"/>
        <v>start /low /b %USERPROFILE%\Documents\GitHub\eaglep3\Utilities\DownloadLogsFromS3.py --loco 4029 --day 2017-12-11</v>
      </c>
      <c r="AN218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28"/>
        <v>https://d0f6bd738d7f1b3e5a7ca70fe4ff75f0.us-east-1.aws.found.io/app/kibana#/discover/Steve-Slow-Train-Analysis-(2080s-and-2083s)?_g=(refreshInterval:(display:Off,pause:!f,section:0,value:0),time:(from:'2017-12-11T00:39:05-0700',mode:absolute,to:'2017-12-11T02:43:23-0700'))&amp;_a=(columns:!('Message%20ID',Summary),filters:!(),index:'emp_*',interval:auto,query:(query_string:(analyze_wildcard:!t,query:'%22rtdc.l.rtdc.4029%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9" t="s">
        <v>889</v>
      </c>
      <c r="B219" s="225">
        <v>4057</v>
      </c>
      <c r="C219" s="227" t="s">
        <v>192</v>
      </c>
      <c r="D219" s="227" t="s">
        <v>1046</v>
      </c>
      <c r="E219" s="226">
        <v>43079.73574074074</v>
      </c>
      <c r="F219" s="226">
        <v>43079.742569444446</v>
      </c>
      <c r="G219" s="225">
        <v>88</v>
      </c>
      <c r="H219" s="227" t="s">
        <v>1047</v>
      </c>
      <c r="I219" s="226">
        <v>43079.74796296296</v>
      </c>
      <c r="J219" s="225">
        <v>0</v>
      </c>
      <c r="K219" s="237" t="str">
        <f t="shared" si="115"/>
        <v>4057/4058</v>
      </c>
      <c r="L219" s="245" t="str">
        <f>VLOOKUP(A219,'Trips&amp;Operators'!$C$1:$G$99911,5,FALSE)</f>
        <v>GUNTHIER ERIC</v>
      </c>
      <c r="M219" s="224">
        <f t="shared" si="116"/>
        <v>5.3935185133013874E-3</v>
      </c>
      <c r="N219" s="225">
        <f t="shared" si="111"/>
        <v>7.7666666591539979</v>
      </c>
      <c r="O219" s="225"/>
      <c r="P219" s="225"/>
      <c r="Q219" s="228"/>
      <c r="R219" s="242"/>
      <c r="S219" s="249">
        <f t="shared" ref="S219:S224" si="129">1/IF(AG219="EC",12,1)*SUM(U219:U219)</f>
        <v>1</v>
      </c>
      <c r="T219" s="242" t="str">
        <f t="shared" si="117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118"/>
        <v>https://d0f6bd738d7f1b3e5a7ca70fe4ff75f0.us-east-1.aws.found.io/app/kibana#/discover/Steve-Slow-Train-Analysis-(2080s-and-2083s)?_g=(refreshInterval:(display:Off,pause:!f,section:0,value:0),time:(from:'2017-12-10T16:39:28-0700',mode:absolute,to:'2017-12-10T18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9" s="247" t="str">
        <f>IF(AA219&lt;VLOOKUP(AG219,Variables!$AC$3:$AD$8,2,FALSE),"Y","N")</f>
        <v>Y</v>
      </c>
      <c r="X219" s="247">
        <f t="shared" si="114"/>
        <v>16</v>
      </c>
      <c r="Y219" s="247">
        <f t="shared" si="112"/>
        <v>2.3580000000000001</v>
      </c>
      <c r="Z219" s="247">
        <f t="shared" si="113"/>
        <v>0.1139</v>
      </c>
      <c r="AA219" s="247">
        <f t="shared" si="119"/>
        <v>2.2441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20"/>
        <v>68</v>
      </c>
      <c r="AE219" s="235" t="str">
        <f t="shared" si="121"/>
        <v>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 &amp; aws s3 cp s3://rtdc.mdm.uploadarchive.raw/RTDC4057/ "%USERPROFILE%\AppData\Local\Temp\OnboardLogs"\RTDC4057\2017-12-11 --exclude "*" --recursive --include "*20171211*" &amp; "%USERPROFILE%\Documents\GitHub\mrs-test-scripts\Headless Mode &amp; Sideloading\WalkAndUnGZ.bat" "%USERPROFILE%\AppData\Local\Temp\OnboardLogs"\RTDC4057\2017-12-11</v>
      </c>
      <c r="AF219" s="234" t="str">
        <f t="shared" si="122"/>
        <v>"C:\Program Files (x86)\AstroGrep\AstroGrep.exe" /e /r /s /spath="%USERPROFILE%\AppData\Local\Temp\OnboardLogs" /stypes="app*4057*20171211*" /stext=" 00:.+((SYSTEM_STATE.+slice.+state.+changed )|(ment ac)|(multiple cpu faults)|(system.+state.+changed )|(\[timeout)|(PRM\|1\|D)|(kpr)|(kdp)|(train st.+moving)|(\|lc)|(penalty))"</v>
      </c>
      <c r="AG219" s="244" t="str">
        <f t="shared" si="123"/>
        <v>Shuttle/Test</v>
      </c>
      <c r="AH219" s="236" t="str">
        <f t="shared" si="124"/>
        <v>"%USERPROFILE%\Documents\GitHub\eaglep3\Utilities\RefineRTDCRunTimes.py" --tripid 68-10 --locoid 4057 --swversion DE.1.0.9.0 --startMP 300:23580 --initTime 2017-12-10T17:39:28 --startdatetime 2017-12-10T17:49:18 --delay 88 --endMP 204:1139 --enddatetime 2017-12-10T17:57:04 --enforcementcount 0 &gt;&gt;%USERPROFILE%\Documents\GitHub\eaglep3-reporting\EC\2017-12-10-refined-times.txt</v>
      </c>
      <c r="AI219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0.1139"},{"id":17,"name":"Train ID","value":"68-10"},{"id":16,"name":"Locomotive ID","value":"4057"},{"id":130,"name":"Impact","value":""},{"id":150,"name":"Time of Event (Mountain Time)","value":"17:57:04"},{"id":151,"name":"Denver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26"/>
        <v>start /low /b %USERPROFILE%\Documents\GitHub\eaglep3\Utilities\DownloadLogsFromS3.py --loco 4057 --day 2017-12-10</v>
      </c>
      <c r="AN219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28"/>
        <v>https://d0f6bd738d7f1b3e5a7ca70fe4ff75f0.us-east-1.aws.found.io/app/kibana#/discover/Steve-Slow-Train-Analysis-(2080s-and-2083s)?_g=(refreshInterval:(display:Off,pause:!f,section:0,value:0),time:(from:'2017-12-10T16:39:28-0700',mode:absolute,to:'2017-12-10T18:57:04-0700'))&amp;_a=(columns:!('Message%20ID',Summary),filters:!(),index:'emp_*',interval:auto,query:(query_string:(analyze_wildcard:!t,query:'%22rtdc.l.rtdc.4057%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877</v>
      </c>
      <c r="B220" s="225">
        <v>4044</v>
      </c>
      <c r="C220" s="227" t="s">
        <v>192</v>
      </c>
      <c r="D220" s="227" t="s">
        <v>1048</v>
      </c>
      <c r="E220" s="226">
        <v>43079.693032407406</v>
      </c>
      <c r="F220" s="226">
        <v>43079.705104166664</v>
      </c>
      <c r="G220" s="225">
        <v>139</v>
      </c>
      <c r="H220" s="227" t="s">
        <v>658</v>
      </c>
      <c r="I220" s="226">
        <v>43079.711481481485</v>
      </c>
      <c r="J220" s="225">
        <v>0</v>
      </c>
      <c r="K220" s="237" t="str">
        <f t="shared" si="115"/>
        <v>4043/4044</v>
      </c>
      <c r="L220" s="245" t="str">
        <f>VLOOKUP(A220,'Trips&amp;Operators'!$C$1:$G$99911,5,FALSE)</f>
        <v>ROMERO CHAD</v>
      </c>
      <c r="M220" s="224">
        <f t="shared" si="116"/>
        <v>6.3773148212931119E-3</v>
      </c>
      <c r="N220" s="225">
        <f t="shared" si="111"/>
        <v>9.1833333426620811</v>
      </c>
      <c r="O220" s="225"/>
      <c r="P220" s="225"/>
      <c r="Q220" s="228"/>
      <c r="R220" s="242"/>
      <c r="S220" s="249">
        <f t="shared" si="129"/>
        <v>1</v>
      </c>
      <c r="T220" s="242" t="str">
        <f t="shared" si="117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18"/>
        <v>https://d0f6bd738d7f1b3e5a7ca70fe4ff75f0.us-east-1.aws.found.io/app/kibana#/discover/Steve-Slow-Train-Analysis-(2080s-and-2083s)?_g=(refreshInterval:(display:Off,pause:!f,section:0,value:0),time:(from:'2017-12-10T15:37:58-0700',mode:absolute,to:'2017-12-10T18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247" t="str">
        <f>IF(AA220&lt;VLOOKUP(AG220,Variables!$AC$3:$AD$8,2,FALSE),"Y","N")</f>
        <v>Y</v>
      </c>
      <c r="X220" s="247">
        <f t="shared" si="114"/>
        <v>7</v>
      </c>
      <c r="Y220" s="247">
        <f t="shared" si="112"/>
        <v>0.14749999999999999</v>
      </c>
      <c r="Z220" s="247">
        <f t="shared" si="113"/>
        <v>2.331</v>
      </c>
      <c r="AA220" s="247">
        <f t="shared" si="119"/>
        <v>2.1835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20"/>
        <v>75</v>
      </c>
      <c r="AE220" s="235" t="str">
        <f t="shared" si="121"/>
        <v>aws s3 cp s3://rtdc.mdm.uploadarchive.raw/RTDC4044/ "%USERPROFILE%\AppData\Local\Temp\OnboardLogs"\RTDC4044\2017-12-10 --exclude "*" --recursive --include "*20171210*" &amp; "%USERPROFILE%\Documents\GitHub\mrs-test-scripts\Headless Mode &amp; Sideloading\WalkAndUnGZ.bat" "%USERPROFILE%\AppData\Local\Temp\OnboardLogs"\RTDC4044\2017-12-10 &amp; aws s3 cp s3://rtdc.mdm.uploadarchive.raw/RTDC4044/ "%USERPROFILE%\AppData\Local\Temp\OnboardLogs"\RTDC4044\2017-12-11 --exclude "*" --recursive --include "*20171211*" &amp; "%USERPROFILE%\Documents\GitHub\mrs-test-scripts\Headless Mode &amp; Sideloading\WalkAndUnGZ.bat" "%USERPROFILE%\AppData\Local\Temp\OnboardLogs"\RTDC4044\2017-12-11</v>
      </c>
      <c r="AF220" s="234" t="str">
        <f t="shared" si="122"/>
        <v>"C:\Program Files (x86)\AstroGrep\AstroGrep.exe" /e /r /s /spath="%USERPROFILE%\AppData\Local\Temp\OnboardLogs" /stypes="app*4044*20171211*" /stext=" 00:.+((SYSTEM_STATE.+slice.+state.+changed )|(ment ac)|(multiple cpu faults)|(system.+state.+changed )|(\[timeout)|(PRM\|1\|D)|(kpr)|(kdp)|(train st.+moving)|(\|lc)|(penalty))"</v>
      </c>
      <c r="AG220" s="244" t="str">
        <f t="shared" si="123"/>
        <v>Shuttle/Test</v>
      </c>
      <c r="AH220" s="236" t="str">
        <f t="shared" si="124"/>
        <v>"%USERPROFILE%\Documents\GitHub\eaglep3\Utilities\RefineRTDCRunTimes.py" --tripid 75-10 --locoid 4044 --swversion DE.1.0.9.0 --startMP 204:1475 --initTime 2017-12-10T16:37:58 --startdatetime 2017-12-10T16:55:21 --delay 139 --endMP 300:23310 --enddatetime 2017-12-10T17:04:32 --enforcementcount 0 &gt;&gt;%USERPROFILE%\Documents\GitHub\eaglep3-reporting\EC\2017-12-10-refined-times.txt</v>
      </c>
      <c r="AI220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2.331"},{"id":17,"name":"Train ID","value":"75-10"},{"id":16,"name":"Locomotive ID","value":"4044"},{"id":130,"name":"Impact","value":""},{"id":150,"name":"Time of Event (Mountain Time)","value":"17:04:32"},{"id":151,"name":"Denver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26"/>
        <v>start /low /b %USERPROFILE%\Documents\GitHub\eaglep3\Utilities\DownloadLogsFromS3.py --loco 4044 --day 2017-12-10</v>
      </c>
      <c r="AN220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28"/>
        <v>https://d0f6bd738d7f1b3e5a7ca70fe4ff75f0.us-east-1.aws.found.io/app/kibana#/discover/Steve-Slow-Train-Analysis-(2080s-and-2083s)?_g=(refreshInterval:(display:Off,pause:!f,section:0,value:0),time:(from:'2017-12-10T15:37:58-0700',mode:absolute,to:'2017-12-10T18:04:32-0700'))&amp;_a=(columns:!('Message%20ID',Summary),filters:!(),index:'emp_*',interval:auto,query:(query_string:(analyze_wildcard:!t,query:'%22rtdc.l.rtdc.4044%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885</v>
      </c>
      <c r="B221" s="225">
        <v>4034</v>
      </c>
      <c r="C221" s="227" t="s">
        <v>192</v>
      </c>
      <c r="D221" s="227" t="s">
        <v>1049</v>
      </c>
      <c r="E221" s="226">
        <v>43079.734664351854</v>
      </c>
      <c r="F221" s="226">
        <v>43079.736747685187</v>
      </c>
      <c r="G221" s="225">
        <v>63</v>
      </c>
      <c r="H221" s="227" t="s">
        <v>659</v>
      </c>
      <c r="I221" s="226">
        <v>43079.742627314816</v>
      </c>
      <c r="J221" s="225">
        <v>0</v>
      </c>
      <c r="K221" s="237" t="str">
        <f t="shared" si="115"/>
        <v>4033/4034</v>
      </c>
      <c r="L221" s="245" t="str">
        <f>VLOOKUP(A221,'Trips&amp;Operators'!$C$1:$G$99911,5,FALSE)</f>
        <v>BIRENBAUM THOMAS</v>
      </c>
      <c r="M221" s="224">
        <f t="shared" si="116"/>
        <v>5.8796296289074235E-3</v>
      </c>
      <c r="N221" s="225">
        <f t="shared" si="111"/>
        <v>8.4666666656266898</v>
      </c>
      <c r="O221" s="225"/>
      <c r="P221" s="225"/>
      <c r="Q221" s="228"/>
      <c r="R221" s="242"/>
      <c r="S221" s="249">
        <f t="shared" si="129"/>
        <v>1</v>
      </c>
      <c r="T221" s="242" t="str">
        <f t="shared" si="117"/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18"/>
        <v>https://d0f6bd738d7f1b3e5a7ca70fe4ff75f0.us-east-1.aws.found.io/app/kibana#/discover/Steve-Slow-Train-Analysis-(2080s-and-2083s)?_g=(refreshInterval:(display:Off,pause:!f,section:0,value:0),time:(from:'2017-12-10T16:37:55-0700',mode:absolute,to:'2017-12-10T18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1" s="247" t="str">
        <f>IF(AA221&lt;VLOOKUP(AG221,Variables!$AC$3:$AD$8,2,FALSE),"Y","N")</f>
        <v>Y</v>
      </c>
      <c r="X221" s="247">
        <f t="shared" si="114"/>
        <v>2</v>
      </c>
      <c r="Y221" s="247">
        <f t="shared" si="112"/>
        <v>0.12809999999999999</v>
      </c>
      <c r="Z221" s="247">
        <f t="shared" si="113"/>
        <v>2.3304</v>
      </c>
      <c r="AA221" s="247">
        <f t="shared" si="119"/>
        <v>2.2023000000000001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20"/>
        <v>77</v>
      </c>
      <c r="AE221" s="235" t="str">
        <f t="shared" si="12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221" s="234" t="str">
        <f t="shared" si="122"/>
        <v>"C:\Program Files (x86)\AstroGrep\AstroGrep.exe" /e /r /s /spath="%USERPROFILE%\AppData\Local\Temp\OnboardLogs" /stypes="app*4034*20171211*" /stext=" 00:.+((SYSTEM_STATE.+slice.+state.+changed )|(ment ac)|(multiple cpu faults)|(system.+state.+changed )|(\[timeout)|(PRM\|1\|D)|(kpr)|(kdp)|(train st.+moving)|(\|lc)|(penalty))"</v>
      </c>
      <c r="AG221" s="244" t="str">
        <f t="shared" si="123"/>
        <v>Shuttle/Test</v>
      </c>
      <c r="AH221" s="236" t="str">
        <f t="shared" si="124"/>
        <v>"%USERPROFILE%\Documents\GitHub\eaglep3\Utilities\RefineRTDCRunTimes.py" --tripid 77-10 --locoid 4034 --swversion DE.1.0.9.0 --startMP 204:1281 --initTime 2017-12-10T17:37:55 --startdatetime 2017-12-10T17:40:55 --delay 63 --endMP 300:23304 --enddatetime 2017-12-10T17:49:23 --enforcementcount 0 &gt;&gt;%USERPROFILE%\Documents\GitHub\eaglep3-reporting\EC\2017-12-10-refined-times.txt</v>
      </c>
      <c r="AI221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2.3304"},{"id":17,"name":"Train ID","value":"77-10"},{"id":16,"name":"Locomotive ID","value":"4034"},{"id":130,"name":"Impact","value":""},{"id":150,"name":"Time of Event (Mountain Time)","value":"17:49:23"},{"id":151,"name":"Denver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26"/>
        <v>start /low /b %USERPROFILE%\Documents\GitHub\eaglep3\Utilities\DownloadLogsFromS3.py --loco 4034 --day 2017-12-10</v>
      </c>
      <c r="AN221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28"/>
        <v>https://d0f6bd738d7f1b3e5a7ca70fe4ff75f0.us-east-1.aws.found.io/app/kibana#/discover/Steve-Slow-Train-Analysis-(2080s-and-2083s)?_g=(refreshInterval:(display:Off,pause:!f,section:0,value:0),time:(from:'2017-12-10T16:37:55-0700',mode:absolute,to:'2017-12-10T18:49:23-0700'))&amp;_a=(columns:!('Message%20ID',Summary),filters:!(),index:'emp_*',interval:auto,query:(query_string:(analyze_wildcard:!t,query:'%22rtdc.l.rtdc.4034%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29" t="s">
        <v>885</v>
      </c>
      <c r="B222" s="225">
        <v>4066</v>
      </c>
      <c r="C222" s="227" t="s">
        <v>192</v>
      </c>
      <c r="D222" s="227" t="s">
        <v>693</v>
      </c>
      <c r="E222" s="226">
        <v>43079.721446759257</v>
      </c>
      <c r="F222" s="226">
        <v>43079.736747685187</v>
      </c>
      <c r="G222" s="225">
        <v>53</v>
      </c>
      <c r="H222" s="227" t="s">
        <v>1050</v>
      </c>
      <c r="I222" s="226">
        <v>43079.742627314816</v>
      </c>
      <c r="J222" s="225">
        <v>0</v>
      </c>
      <c r="K222" s="237" t="str">
        <f t="shared" si="115"/>
        <v>4065/4066</v>
      </c>
      <c r="L222" s="245" t="str">
        <f>VLOOKUP(A222,'Trips&amp;Operators'!$C$1:$G$99911,5,FALSE)</f>
        <v>BIRENBAUM THOMAS</v>
      </c>
      <c r="M222" s="224">
        <f t="shared" si="116"/>
        <v>5.8796296289074235E-3</v>
      </c>
      <c r="N222" s="225">
        <f t="shared" si="111"/>
        <v>8.4666666656266898</v>
      </c>
      <c r="O222" s="225"/>
      <c r="P222" s="225"/>
      <c r="Q222" s="228"/>
      <c r="R222" s="242"/>
      <c r="S222" s="249">
        <f t="shared" si="129"/>
        <v>0</v>
      </c>
      <c r="T222" s="242" t="str">
        <f t="shared" si="117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118"/>
        <v>https://d0f6bd738d7f1b3e5a7ca70fe4ff75f0.us-east-1.aws.found.io/app/kibana#/discover/Steve-Slow-Train-Analysis-(2080s-and-2083s)?_g=(refreshInterval:(display:Off,pause:!f,section:0,value:0),time:(from:'2017-12-10T16:18:53-0700',mode:absolute,to:'2017-12-10T18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2" s="247" t="str">
        <f>IF(AA222&lt;VLOOKUP(AG222,Variables!$AC$3:$AD$8,2,FALSE),"Y","N")</f>
        <v>Y</v>
      </c>
      <c r="X222" s="247">
        <f t="shared" si="114"/>
        <v>0</v>
      </c>
      <c r="Y222" s="247">
        <f t="shared" si="112"/>
        <v>0.1162</v>
      </c>
      <c r="Z222" s="247">
        <f t="shared" si="113"/>
        <v>0.34350000000000003</v>
      </c>
      <c r="AA222" s="247">
        <f t="shared" si="119"/>
        <v>0.22730000000000003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20"/>
        <v>77</v>
      </c>
      <c r="AE222" s="235" t="str">
        <f t="shared" si="121"/>
        <v>aws s3 cp s3://rtdc.mdm.uploadarchive.raw/RTDC4066/ "%USERPROFILE%\AppData\Local\Temp\OnboardLogs"\RTDC4066\2017-12-10 --exclude "*" --recursive --include "*20171210*" &amp; "%USERPROFILE%\Documents\GitHub\mrs-test-scripts\Headless Mode &amp; Sideloading\WalkAndUnGZ.bat" "%USERPROFILE%\AppData\Local\Temp\OnboardLogs"\RTDC4066\2017-12-10 &amp; aws s3 cp s3://rtdc.mdm.uploadarchive.raw/RTDC4066/ "%USERPROFILE%\AppData\Local\Temp\OnboardLogs"\RTDC4066\2017-12-11 --exclude "*" --recursive --include "*20171211*" &amp; "%USERPROFILE%\Documents\GitHub\mrs-test-scripts\Headless Mode &amp; Sideloading\WalkAndUnGZ.bat" "%USERPROFILE%\AppData\Local\Temp\OnboardLogs"\RTDC4066\2017-12-11</v>
      </c>
      <c r="AF222" s="234" t="str">
        <f t="shared" si="122"/>
        <v>"C:\Program Files (x86)\AstroGrep\AstroGrep.exe" /e /r /s /spath="%USERPROFILE%\AppData\Local\Temp\OnboardLogs" /stypes="app*4066*20171211*" /stext=" 00:.+((SYSTEM_STATE.+slice.+state.+changed )|(ment ac)|(multiple cpu faults)|(system.+state.+changed )|(\[timeout)|(PRM\|1\|D)|(kpr)|(kdp)|(train st.+moving)|(\|lc)|(penalty))"</v>
      </c>
      <c r="AG222" s="244" t="str">
        <f t="shared" si="123"/>
        <v>Shuttle/Test</v>
      </c>
      <c r="AH222" s="236" t="str">
        <f t="shared" si="124"/>
        <v>"%USERPROFILE%\Documents\GitHub\eaglep3\Utilities\RefineRTDCRunTimes.py" --tripid 77-10 --locoid 4066 --swversion DE.1.0.9.0 --startMP 204:1162 --initTime 2017-12-10T17:18:53 --startdatetime 2017-12-10T17:40:55 --delay 53 --endMP 204:3435 --enddatetime 2017-12-10T17:49:23 --enforcementcount 0 &gt;&gt;%USERPROFILE%\Documents\GitHub\eaglep3-reporting\EC\2017-12-10-refined-times.txt</v>
      </c>
      <c r="AI222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0.3435"},{"id":17,"name":"Train ID","value":"77-10"},{"id":16,"name":"Locomotive ID","value":"4066"},{"id":130,"name":"Impact","value":""},{"id":150,"name":"Time of Event (Mountain Time)","value":"17:49:23"},{"id":151,"name":"Denver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26"/>
        <v>start /low /b %USERPROFILE%\Documents\GitHub\eaglep3\Utilities\DownloadLogsFromS3.py --loco 4066 --day 2017-12-10</v>
      </c>
      <c r="AN222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28"/>
        <v>https://d0f6bd738d7f1b3e5a7ca70fe4ff75f0.us-east-1.aws.found.io/app/kibana#/discover/Steve-Slow-Train-Analysis-(2080s-and-2083s)?_g=(refreshInterval:(display:Off,pause:!f,section:0,value:0),time:(from:'2017-12-10T16:18:53-0700',mode:absolute,to:'2017-12-10T18:49:23-0700'))&amp;_a=(columns:!('Message%20ID',Summary),filters:!(),index:'emp_*',interval:auto,query:(query_string:(analyze_wildcard:!t,query:'%22rtdc.l.rtdc.4066%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9" t="s">
        <v>885</v>
      </c>
      <c r="B223" s="225">
        <v>4065</v>
      </c>
      <c r="C223" s="227" t="s">
        <v>192</v>
      </c>
      <c r="D223" s="227" t="s">
        <v>1051</v>
      </c>
      <c r="E223" s="226">
        <v>43079.725624999999</v>
      </c>
      <c r="F223" s="226">
        <v>43079.736747685187</v>
      </c>
      <c r="G223" s="225">
        <v>60</v>
      </c>
      <c r="H223" s="227" t="s">
        <v>690</v>
      </c>
      <c r="I223" s="226">
        <v>43079.742627314816</v>
      </c>
      <c r="J223" s="225">
        <v>0</v>
      </c>
      <c r="K223" s="237" t="str">
        <f t="shared" si="115"/>
        <v>4065/4066</v>
      </c>
      <c r="L223" s="245" t="str">
        <f>VLOOKUP(A223,'Trips&amp;Operators'!$C$1:$G$99911,5,FALSE)</f>
        <v>BIRENBAUM THOMAS</v>
      </c>
      <c r="M223" s="224">
        <f t="shared" si="116"/>
        <v>5.8796296289074235E-3</v>
      </c>
      <c r="N223" s="225">
        <f t="shared" si="111"/>
        <v>8.4666666656266898</v>
      </c>
      <c r="O223" s="225"/>
      <c r="P223" s="225"/>
      <c r="Q223" s="228"/>
      <c r="R223" s="242"/>
      <c r="S223" s="249">
        <f t="shared" si="129"/>
        <v>0</v>
      </c>
      <c r="T223" s="242" t="str">
        <f t="shared" si="117"/>
        <v>NorthBound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8" t="str">
        <f t="shared" si="118"/>
        <v>https://d0f6bd738d7f1b3e5a7ca70fe4ff75f0.us-east-1.aws.found.io/app/kibana#/discover/Steve-Slow-Train-Analysis-(2080s-and-2083s)?_g=(refreshInterval:(display:Off,pause:!f,section:0,value:0),time:(from:'2017-12-10T16:24:54-0700',mode:absolute,to:'2017-12-10T18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3" s="247" t="str">
        <f>IF(AA223&lt;VLOOKUP(AG223,Variables!$AC$3:$AD$8,2,FALSE),"Y","N")</f>
        <v>Y</v>
      </c>
      <c r="X223" s="247">
        <f t="shared" si="114"/>
        <v>0</v>
      </c>
      <c r="Y223" s="247">
        <f t="shared" si="112"/>
        <v>0.30819999999999997</v>
      </c>
      <c r="Z223" s="247">
        <f t="shared" si="113"/>
        <v>1.8700000000000001E-2</v>
      </c>
      <c r="AA223" s="247">
        <f t="shared" si="119"/>
        <v>0.28949999999999998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20"/>
        <v>77</v>
      </c>
      <c r="AE223" s="235" t="str">
        <f t="shared" si="121"/>
        <v>aws s3 cp s3://rtdc.mdm.uploadarchive.raw/RTDC4065/ "%USERPROFILE%\AppData\Local\Temp\OnboardLogs"\RTDC4065\2017-12-10 --exclude "*" --recursive --include "*20171210*" &amp; "%USERPROFILE%\Documents\GitHub\mrs-test-scripts\Headless Mode &amp; Sideloading\WalkAndUnGZ.bat" "%USERPROFILE%\AppData\Local\Temp\OnboardLogs"\RTDC4065\2017-12-10 &amp; aws s3 cp s3://rtdc.mdm.uploadarchive.raw/RTDC4065/ "%USERPROFILE%\AppData\Local\Temp\OnboardLogs"\RTDC4065\2017-12-11 --exclude "*" --recursive --include "*20171211*" &amp; "%USERPROFILE%\Documents\GitHub\mrs-test-scripts\Headless Mode &amp; Sideloading\WalkAndUnGZ.bat" "%USERPROFILE%\AppData\Local\Temp\OnboardLogs"\RTDC4065\2017-12-11</v>
      </c>
      <c r="AF223" s="234" t="str">
        <f t="shared" si="122"/>
        <v>"C:\Program Files (x86)\AstroGrep\AstroGrep.exe" /e /r /s /spath="%USERPROFILE%\AppData\Local\Temp\OnboardLogs" /stypes="app*4065*20171211*" /stext=" 00:.+((SYSTEM_STATE.+slice.+state.+changed )|(ment ac)|(multiple cpu faults)|(system.+state.+changed )|(\[timeout)|(PRM\|1\|D)|(kpr)|(kdp)|(train st.+moving)|(\|lc)|(penalty))"</v>
      </c>
      <c r="AG223" s="244" t="str">
        <f t="shared" si="123"/>
        <v>Shuttle/Test</v>
      </c>
      <c r="AH223" s="236" t="str">
        <f t="shared" si="124"/>
        <v>"%USERPROFILE%\Documents\GitHub\eaglep3\Utilities\RefineRTDCRunTimes.py" --tripid 77-10 --locoid 4065 --swversion DE.1.0.9.0 --startMP 204:3082 --initTime 2017-12-10T17:24:54 --startdatetime 2017-12-10T17:40:55 --delay 60 --endMP 204:187 --enddatetime 2017-12-10T17:49:23 --enforcementcount 0 &gt;&gt;%USERPROFILE%\Documents\GitHub\eaglep3-reporting\EC\2017-12-10-refined-times.txt</v>
      </c>
      <c r="AI223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0.0187"},{"id":17,"name":"Train ID","value":"77-10"},{"id":16,"name":"Locomotive ID","value":"4065"},{"id":130,"name":"Impact","value":""},{"id":150,"name":"Time of Event (Mountain Time)","value":"17:49:23"},{"id":151,"name":"Denver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126"/>
        <v>start /low /b %USERPROFILE%\Documents\GitHub\eaglep3\Utilities\DownloadLogsFromS3.py --loco 4065 --day 2017-12-10</v>
      </c>
      <c r="AN223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28"/>
        <v>https://d0f6bd738d7f1b3e5a7ca70fe4ff75f0.us-east-1.aws.found.io/app/kibana#/discover/Steve-Slow-Train-Analysis-(2080s-and-2083s)?_g=(refreshInterval:(display:Off,pause:!f,section:0,value:0),time:(from:'2017-12-10T16:24:54-0700',mode:absolute,to:'2017-12-10T18:49:23-0700'))&amp;_a=(columns:!('Message%20ID',Summary),filters:!(),index:'emp_*',interval:auto,query:(query_string:(analyze_wildcard:!t,query:'%22rtdc.l.rtdc.4065%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9" t="s">
        <v>922</v>
      </c>
      <c r="B224" s="225">
        <v>4058</v>
      </c>
      <c r="C224" s="227" t="s">
        <v>192</v>
      </c>
      <c r="D224" s="227" t="s">
        <v>660</v>
      </c>
      <c r="E224" s="226">
        <v>43079.905775462961</v>
      </c>
      <c r="F224" s="226">
        <v>43079.910532407404</v>
      </c>
      <c r="G224" s="225">
        <v>46</v>
      </c>
      <c r="H224" s="227" t="s">
        <v>1052</v>
      </c>
      <c r="I224" s="226">
        <v>43079.911712962959</v>
      </c>
      <c r="J224" s="225">
        <v>0</v>
      </c>
      <c r="K224" s="237" t="str">
        <f t="shared" si="115"/>
        <v>4057/4058</v>
      </c>
      <c r="L224" s="245" t="str">
        <f>VLOOKUP(A224,'Trips&amp;Operators'!$C$1:$G$99911,5,FALSE)</f>
        <v>GUNTHIER ERIC</v>
      </c>
      <c r="M224" s="224">
        <f t="shared" si="116"/>
        <v>1.1805555550381541E-3</v>
      </c>
      <c r="N224" s="225">
        <f t="shared" si="111"/>
        <v>1.6999999992549419</v>
      </c>
      <c r="O224" s="225"/>
      <c r="P224" s="225"/>
      <c r="Q224" s="228"/>
      <c r="R224" s="242"/>
      <c r="S224" s="249">
        <f t="shared" si="129"/>
        <v>0</v>
      </c>
      <c r="T224" s="242" t="str">
        <f t="shared" si="117"/>
        <v>Southbound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 t="shared" si="118"/>
        <v>https://d0f6bd738d7f1b3e5a7ca70fe4ff75f0.us-east-1.aws.found.io/app/kibana#/discover/Steve-Slow-Train-Analysis-(2080s-and-2083s)?_g=(refreshInterval:(display:Off,pause:!f,section:0,value:0),time:(from:'2017-12-10T20:44:19-0700',mode:absolute,to:'2017-12-10T22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4" s="247" t="str">
        <f>IF(AA224&lt;VLOOKUP(AG224,Variables!$AC$3:$AD$8,2,FALSE),"Y","N")</f>
        <v>Y</v>
      </c>
      <c r="X224" s="247">
        <f t="shared" si="114"/>
        <v>11</v>
      </c>
      <c r="Y224" s="247">
        <f t="shared" si="112"/>
        <v>0.1158</v>
      </c>
      <c r="Z224" s="247">
        <f t="shared" si="113"/>
        <v>0.36559999999999998</v>
      </c>
      <c r="AA224" s="247">
        <f t="shared" si="119"/>
        <v>0.24979999999999997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20"/>
        <v>88</v>
      </c>
      <c r="AE224" s="235" t="str">
        <f t="shared" si="121"/>
        <v>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 &amp; aws s3 cp s3://rtdc.mdm.uploadarchive.raw/RTDC4058/ "%USERPROFILE%\AppData\Local\Temp\OnboardLogs"\RTDC4058\2017-12-11 --exclude "*" --recursive --include "*20171211*" &amp; "%USERPROFILE%\Documents\GitHub\mrs-test-scripts\Headless Mode &amp; Sideloading\WalkAndUnGZ.bat" "%USERPROFILE%\AppData\Local\Temp\OnboardLogs"\RTDC4058\2017-12-11</v>
      </c>
      <c r="AF224" s="234" t="str">
        <f t="shared" si="122"/>
        <v>"C:\Program Files (x86)\AstroGrep\AstroGrep.exe" /e /r /s /spath="%USERPROFILE%\AppData\Local\Temp\OnboardLogs" /stypes="app*4058*20171211*" /stext=" 04:.+((SYSTEM_STATE.+slice.+state.+changed )|(ment ac)|(multiple cpu faults)|(system.+state.+changed )|(\[timeout)|(PRM\|1\|D)|(kpr)|(kdp)|(train st.+moving)|(\|lc)|(penalty))"</v>
      </c>
      <c r="AG224" s="244" t="str">
        <f t="shared" si="123"/>
        <v>Shuttle/Test</v>
      </c>
      <c r="AH224" s="236" t="str">
        <f t="shared" si="124"/>
        <v>"%USERPROFILE%\Documents\GitHub\eaglep3\Utilities\RefineRTDCRunTimes.py" --tripid 88-10 --locoid 4058 --swversion DE.1.0.9.0 --startMP 204:1158 --initTime 2017-12-10T21:44:19 --startdatetime 2017-12-10T21:51:10 --delay 46 --endMP 204:3656 --enddatetime 2017-12-10T21:52:52 --enforcementcount 0 &gt;&gt;%USERPROFILE%\Documents\GitHub\eaglep3-reporting\EC\2017-12-10-refined-times.txt</v>
      </c>
      <c r="AI224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0.3656"},{"id":17,"name":"Train ID","value":"88-10"},{"id":16,"name":"Locomotive ID","value":"4058"},{"id":130,"name":"Impact","value":""},{"id":150,"name":"Time of Event (Mountain Time)","value":"21:52:52"},{"id":151,"name":"Denver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26"/>
        <v>start /low /b %USERPROFILE%\Documents\GitHub\eaglep3\Utilities\DownloadLogsFromS3.py --loco 4058 --day 2017-12-10</v>
      </c>
      <c r="AN224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28"/>
        <v>https://d0f6bd738d7f1b3e5a7ca70fe4ff75f0.us-east-1.aws.found.io/app/kibana#/discover/Steve-Slow-Train-Analysis-(2080s-and-2083s)?_g=(refreshInterval:(display:Off,pause:!f,section:0,value:0),time:(from:'2017-12-10T20:44:19-0700',mode:absolute,to:'2017-12-10T22:52:52-0700'))&amp;_a=(columns:!('Message%20ID',Summary),filters:!(),index:'emp_*',interval:auto,query:(query_string:(analyze_wildcard:!t,query:'%22rtdc.l.rtdc.4058%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4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4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4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</sheetData>
  <autoFilter ref="A12:AG507">
    <sortState ref="A13:AG507">
      <sortCondition ref="AG13:AG224"/>
      <sortCondition ref="AD13:AD224"/>
    </sortState>
  </autoFilter>
  <sortState ref="A13:AN412">
    <sortCondition ref="AG13:AG412"/>
    <sortCondition ref="AD13:AD412"/>
  </sortState>
  <mergeCells count="1">
    <mergeCell ref="A11:P11"/>
  </mergeCells>
  <conditionalFormatting sqref="W11:W12 W513:X1048576 W13:X224">
    <cfRule type="cellIs" dxfId="10" priority="465" operator="equal">
      <formula>"Y"</formula>
    </cfRule>
  </conditionalFormatting>
  <conditionalFormatting sqref="X513:X1048576 X13:X224">
    <cfRule type="cellIs" dxfId="9" priority="448" operator="greaterThan">
      <formula>1</formula>
    </cfRule>
  </conditionalFormatting>
  <conditionalFormatting sqref="X513:X1048576 X12:X224">
    <cfRule type="cellIs" dxfId="8" priority="445" operator="equal">
      <formula>0</formula>
    </cfRule>
  </conditionalFormatting>
  <conditionalFormatting sqref="A13:S22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7"/>
  <sheetViews>
    <sheetView topLeftCell="A2" zoomScaleNormal="100" workbookViewId="0">
      <selection activeCell="O30" sqref="O30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COUNTIF($O$7:$O$168,"=Y")</f>
        <v>8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COUNTA($O$7:$O$168)-O2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- 2017-12-10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43079.465833333335</v>
      </c>
      <c r="B7" s="30" t="s">
        <v>386</v>
      </c>
      <c r="C7" s="30" t="s">
        <v>739</v>
      </c>
      <c r="D7" s="30" t="s">
        <v>49</v>
      </c>
      <c r="E7" s="30" t="s">
        <v>183</v>
      </c>
      <c r="F7" s="42">
        <v>190</v>
      </c>
      <c r="G7" s="42">
        <v>294</v>
      </c>
      <c r="H7" s="42">
        <v>32907</v>
      </c>
      <c r="I7" s="42">
        <v>32252</v>
      </c>
      <c r="J7" s="30" t="s">
        <v>184</v>
      </c>
      <c r="K7" s="42">
        <v>30970</v>
      </c>
      <c r="L7" s="131" t="s">
        <v>51</v>
      </c>
      <c r="M7" s="132">
        <f t="shared" ref="M7:M27" si="0">CONVERT((I7-K7)/10000,"mi","ft")*IF(L7="Increasing Mileposts (1)",-1,1)</f>
        <v>676.89600000000007</v>
      </c>
      <c r="N7" s="133" t="str">
        <f>VLOOKUP(C7,'Trips&amp;Operators'!$C$1:$G$99911,5,FALSE)</f>
        <v>DELGADO DIANAH</v>
      </c>
      <c r="O7" s="175" t="s">
        <v>178</v>
      </c>
      <c r="P7" s="239" t="s">
        <v>663</v>
      </c>
      <c r="Q7" s="30"/>
      <c r="R7" s="81" t="str">
        <f>VLOOKUP(C7,'Train Runs'!$A$13:$AE$10166,31,0)</f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S7" s="84" t="str">
        <f>VLOOKUP(C7,'Train Runs'!$A$13:$AE$10166,22,0)</f>
        <v>https://d0f6bd738d7f1b3e5a7ca70fe4ff75f0.us-east-1.aws.found.io/app/kibana#/discover/Steve-Slow-Train-Analysis-(2080s-and-2083s)?_g=(refreshInterval:(display:Off,pause:!f,section:0,value:0),time:(from:'2017-12-10T09:30:22-0700',mode:absolute,to:'2017-12-10T12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6" t="str">
        <f t="shared" ref="T7:T2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/stypes="*4029*201712101*" /stext=" 18:.+((SYSTEM_STATE.+slice.+state.+changed )|(ment ac)|(multiple cpu faults)|(system.+state.+changed )|(\[timeout)|(PRM\|1\|D)|(kpr)|(kdp)|(train st.+moving)|(\|lc)|(penalty))"</v>
      </c>
      <c r="U7" s="9" t="str">
        <f t="shared" ref="U7:U27" si="2">MID(B7,13,4)</f>
        <v>4029</v>
      </c>
      <c r="V7" s="31">
        <f t="shared" ref="V7:V27" si="3">A7-utc_offset/24</f>
        <v>43079.7575</v>
      </c>
      <c r="W7" s="45" t="str">
        <f t="shared" ref="W7:W27" si="4">DetSubdiv(C7)</f>
        <v>EC</v>
      </c>
      <c r="X7" s="22">
        <f t="shared" ref="X7:X27" si="5">VALUE(LEFT(C7,LEN(C7)-3))</f>
        <v>150</v>
      </c>
      <c r="Y7" s="96" t="str">
        <f t="shared" ref="Y7:Y2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Arrival","project_id":79,"tracker_id":40,"status_id":1,"priority_id":2,"assigned_to_id":338,"start_date":"2017-12-10","description":"","custom_fields":[{"id":1,"name":"Subdivision","value":"EC"},{"id":4,"name":"Milepost","value":"3.097"},{"id":17,"name":"Train ID","value":"150-10"},{"id":16,"name":"Locomotive ID","value":"4029"},{"id":130,"name":"Impact","value":""},{"id":150,"name":"Time of Event (Mountain Time)","value":"11:10:48"},{"id":151,"name":"Denver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/c/Users/stu/AppData/Local/Temp/OnboardLogs/RTDC4029 --include="*4029*201712101*"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"%USERPROFILE%\AppData\Local\Temp\OnboardLogs"\RTDC4029\*4029*201712101* &gt;&gt; 2017-12-10-SliceDisagreementCheck.txt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4029 --day 2017-12-10</v>
      </c>
    </row>
    <row r="8" spans="1:32" s="1" customFormat="1" x14ac:dyDescent="0.3">
      <c r="A8" s="31">
        <v>43080.056747685187</v>
      </c>
      <c r="B8" s="30" t="s">
        <v>371</v>
      </c>
      <c r="C8" s="30" t="s">
        <v>755</v>
      </c>
      <c r="D8" s="30" t="s">
        <v>49</v>
      </c>
      <c r="E8" s="30" t="s">
        <v>183</v>
      </c>
      <c r="F8" s="42">
        <v>520</v>
      </c>
      <c r="G8" s="42">
        <v>594</v>
      </c>
      <c r="H8" s="42">
        <v>54633</v>
      </c>
      <c r="I8" s="42">
        <v>52572</v>
      </c>
      <c r="J8" s="30" t="s">
        <v>184</v>
      </c>
      <c r="K8" s="42">
        <v>53277</v>
      </c>
      <c r="L8" s="131" t="s">
        <v>51</v>
      </c>
      <c r="M8" s="132">
        <f t="shared" si="0"/>
        <v>-372.24</v>
      </c>
      <c r="N8" s="133" t="str">
        <f>VLOOKUP(C8,'Trips&amp;Operators'!$C$1:$G$99911,5,FALSE)</f>
        <v>ELBAUM MIKE</v>
      </c>
      <c r="O8" s="175" t="s">
        <v>178</v>
      </c>
      <c r="P8" s="239" t="s">
        <v>663</v>
      </c>
      <c r="Q8" s="30"/>
      <c r="R8" s="81" t="str">
        <f>VLOOKUP(C8,'Train Runs'!$A$13:$AE$10166,31,0)</f>
        <v>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 &amp; 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</v>
      </c>
      <c r="S8" s="84" t="str">
        <f>VLOOKUP(C8,'Train Runs'!$A$13:$AE$10166,22,0)</f>
        <v>https://d0f6bd738d7f1b3e5a7ca70fe4ff75f0.us-east-1.aws.found.io/app/kibana#/discover/Steve-Slow-Train-Analysis-(2080s-and-2083s)?_g=(refreshInterval:(display:Off,pause:!f,section:0,value:0),time:(from:'2017-12-10T23:36:27-0700',mode:absolute,to:'2017-12-11T02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86" t="str">
        <f t="shared" si="1"/>
        <v>"C:\Program Files (x86)\AstroGrep\AstroGrep.exe" /e /r /s /spath="%USERPROFILE%\AppData\Local\Temp\OnboardLogs" /stypes="*4011*201712110*" /stext=" 08:.+((SYSTEM_STATE.+slice.+state.+changed )|(ment ac)|(multiple cpu faults)|(system.+state.+changed )|(\[timeout)|(PRM\|1\|D)|(kpr)|(kdp)|(train st.+moving)|(\|lc)|(penalty))"</v>
      </c>
      <c r="U8" s="9" t="str">
        <f t="shared" si="2"/>
        <v>4011</v>
      </c>
      <c r="V8" s="31">
        <f t="shared" si="3"/>
        <v>43080.348414351851</v>
      </c>
      <c r="W8" s="45" t="str">
        <f t="shared" si="4"/>
        <v>EC</v>
      </c>
      <c r="X8" s="228">
        <f t="shared" si="5"/>
        <v>242</v>
      </c>
      <c r="Y8" s="238" t="str">
        <f t="shared" si="6"/>
        <v>echo {"issue":{"subject":"Early Arrival","project_id":79,"tracker_id":40,"status_id":1,"priority_id":2,"assigned_to_id":338,"start_date":"2017-12-11","description":"","custom_fields":[{"id":1,"name":"Subdivision","value":"EC"},{"id":4,"name":"Milepost","value":"5.3277"},{"id":17,"name":"Train ID","value":"242-10"},{"id":16,"name":"Locomotive ID","value":"4011"},{"id":130,"name":"Impact","value":""},{"id":150,"name":"Time of Event (Mountain Time)","value":"01:21:43"},{"id":151,"name":"Denver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/c/Users/stu/AppData/Local/Temp/OnboardLogs/RTDC4011 --include="*4011*201712110*"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"%USERPROFILE%\AppData\Local\Temp\OnboardLogs"\RTDC4011\*4011*201712110* &gt;&gt; 2017-12-10-SliceDisagreementCheck.txt</v>
      </c>
      <c r="AE8" s="144" t="str">
        <f t="shared" ref="AE8:AE27" si="9">"start /low /b "&amp;dls3logs&amp;" --loco "&amp;U8&amp;" --day "&amp;TEXT(V8,"YYYY-MM-DD")</f>
        <v>start /low /b %USERPROFILE%\Documents\GitHub\eaglep3\Utilities\DownloadLogsFromS3.py --loco 4011 --day 2017-12-11</v>
      </c>
    </row>
    <row r="9" spans="1:32" s="1" customFormat="1" x14ac:dyDescent="0.3">
      <c r="A9" s="31">
        <v>43079.765856481485</v>
      </c>
      <c r="B9" s="30" t="s">
        <v>537</v>
      </c>
      <c r="C9" s="30" t="s">
        <v>748</v>
      </c>
      <c r="D9" s="30" t="s">
        <v>49</v>
      </c>
      <c r="E9" s="30" t="s">
        <v>183</v>
      </c>
      <c r="F9" s="42">
        <v>0</v>
      </c>
      <c r="G9" s="42">
        <v>262</v>
      </c>
      <c r="H9" s="42">
        <v>58549</v>
      </c>
      <c r="I9" s="42">
        <v>58095</v>
      </c>
      <c r="J9" s="30" t="s">
        <v>184</v>
      </c>
      <c r="K9" s="42">
        <v>58301</v>
      </c>
      <c r="L9" s="131" t="s">
        <v>51</v>
      </c>
      <c r="M9" s="132">
        <f t="shared" si="0"/>
        <v>-108.768</v>
      </c>
      <c r="N9" s="133" t="str">
        <f>VLOOKUP(C9,'Trips&amp;Operators'!$C$1:$G$99911,5,FALSE)</f>
        <v>GUZMAN DANNY</v>
      </c>
      <c r="O9" s="175" t="s">
        <v>178</v>
      </c>
      <c r="P9" s="239" t="s">
        <v>663</v>
      </c>
      <c r="Q9" s="30"/>
      <c r="R9" s="81" t="str">
        <f>VLOOKUP(C9,'Train Runs'!$A$13:$AE$10166,31,0)</f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S9" s="84" t="str">
        <f>VLOOKUP(C9,'Train Runs'!$A$13:$AE$10166,22,0)</f>
        <v>https://d0f6bd738d7f1b3e5a7ca70fe4ff75f0.us-east-1.aws.found.io/app/kibana#/discover/Steve-Slow-Train-Analysis-(2080s-and-2083s)?_g=(refreshInterval:(display:Off,pause:!f,section:0,value:0),time:(from:'2017-12-10T16:39:34-0700',mode:absolute,to:'2017-12-10T19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6" t="str">
        <f t="shared" si="1"/>
        <v>"C:\Program Files (x86)\AstroGrep\AstroGrep.exe" /e /r /s /spath="%USERPROFILE%\AppData\Local\Temp\OnboardLogs" /stypes="*4031*201712110*"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43080.057523148149</v>
      </c>
      <c r="W9" s="45" t="str">
        <f t="shared" si="4"/>
        <v>EC</v>
      </c>
      <c r="X9" s="228">
        <f t="shared" si="5"/>
        <v>208</v>
      </c>
      <c r="Y9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Arrival","project_id":79,"tracker_id":40,"status_id":1,"priority_id":2,"assigned_to_id":338,"start_date":"2017-12-10","description":"","custom_fields":[{"id":1,"name":"Subdivision","value":"EC"},{"id":4,"name":"Milepost","value":"5.8301"},{"id":17,"name":"Train ID","value":"208-10"},{"id":16,"name":"Locomotive ID","value":"4031"},{"id":130,"name":"Impact","value":""},{"id":150,"name":"Time of Event (Mountain Time)","value":"18:22:50"},{"id":151,"name":"Denver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/c/Users/stu/AppData/Local/Temp/OnboardLogs/RTDC4031 --include="*4031*201712110*"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"%USERPROFILE%\AppData\Local\Temp\OnboardLogs"\RTDC4031\*4031*201712110* &gt;&gt; 2017-12-10-SliceDisagreementCheck.txt</v>
      </c>
      <c r="AE9" s="144" t="str">
        <f t="shared" si="9"/>
        <v>start /low /b %USERPROFILE%\Documents\GitHub\eaglep3\Utilities\DownloadLogsFromS3.py --loco 4031 --day 2017-12-11</v>
      </c>
    </row>
    <row r="10" spans="1:32" x14ac:dyDescent="0.3">
      <c r="A10" s="31">
        <v>43079.973495370374</v>
      </c>
      <c r="B10" s="30" t="s">
        <v>371</v>
      </c>
      <c r="C10" s="30" t="s">
        <v>754</v>
      </c>
      <c r="D10" s="30" t="s">
        <v>49</v>
      </c>
      <c r="E10" s="30" t="s">
        <v>183</v>
      </c>
      <c r="F10" s="42">
        <v>270</v>
      </c>
      <c r="G10" s="42">
        <v>330</v>
      </c>
      <c r="H10" s="42">
        <v>58887</v>
      </c>
      <c r="I10" s="42">
        <v>58186</v>
      </c>
      <c r="J10" s="30" t="s">
        <v>184</v>
      </c>
      <c r="K10" s="42">
        <v>58301</v>
      </c>
      <c r="L10" s="131" t="s">
        <v>51</v>
      </c>
      <c r="M10" s="132">
        <f t="shared" si="0"/>
        <v>-60.72</v>
      </c>
      <c r="N10" s="133" t="str">
        <f>VLOOKUP(C10,'Trips&amp;Operators'!$C$1:$G$99911,5,FALSE)</f>
        <v>ELBAUM MIKE</v>
      </c>
      <c r="O10" s="175" t="s">
        <v>178</v>
      </c>
      <c r="P10" s="239" t="s">
        <v>663</v>
      </c>
      <c r="Q10" s="30"/>
      <c r="R10" s="81" t="str">
        <f>VLOOKUP(C10,'Train Runs'!$A$13:$AE$10166,31,0)</f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S10" s="84" t="str">
        <f>VLOOKUP(C10,'Train Runs'!$A$13:$AE$10166,22,0)</f>
        <v>https://d0f6bd738d7f1b3e5a7ca70fe4ff75f0.us-east-1.aws.found.io/app/kibana#/discover/Steve-Slow-Train-Analysis-(2080s-and-2083s)?_g=(refreshInterval:(display:Off,pause:!f,section:0,value:0),time:(from:'2017-12-10T21:36:52-0700',mode:absolute,to:'2017-12-11T00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6" t="str">
        <f t="shared" si="1"/>
        <v>"C:\Program Files (x86)\AstroGrep\AstroGrep.exe" /e /r /s /spath="%USERPROFILE%\AppData\Local\Temp\OnboardLogs" /stypes="*4011*201712110*"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43080.265162037038</v>
      </c>
      <c r="W10" s="45" t="str">
        <f t="shared" si="4"/>
        <v>EC</v>
      </c>
      <c r="X10" s="228">
        <f t="shared" si="5"/>
        <v>234</v>
      </c>
      <c r="Y10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Arrival","project_id":79,"tracker_id":40,"status_id":1,"priority_id":2,"assigned_to_id":338,"start_date":"2017-12-10","description":"","custom_fields":[{"id":1,"name":"Subdivision","value":"EC"},{"id":4,"name":"Milepost","value":"5.8301"},{"id":17,"name":"Train ID","value":"234-10"},{"id":16,"name":"Locomotive ID","value":"4011"},{"id":130,"name":"Impact","value":""},{"id":150,"name":"Time of Event (Mountain Time)","value":"23:21:50"},{"id":151,"name":"Denver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/c/Users/stu/AppData/Local/Temp/OnboardLogs/RTDC4011 --include="*4011*201712110*"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"%USERPROFILE%\AppData\Local\Temp\OnboardLogs"\RTDC4011\*4011*201712110* &gt;&gt; 2017-12-10-SliceDisagreementCheck.txt</v>
      </c>
      <c r="AE10" s="144" t="str">
        <f t="shared" si="9"/>
        <v>start /low /b %USERPROFILE%\Documents\GitHub\eaglep3\Utilities\DownloadLogsFromS3.py --loco 4011 --day 2017-12-11</v>
      </c>
      <c r="AF10" s="1"/>
    </row>
    <row r="11" spans="1:32" x14ac:dyDescent="0.3">
      <c r="A11" s="31">
        <v>43079.581979166665</v>
      </c>
      <c r="B11" s="30" t="s">
        <v>665</v>
      </c>
      <c r="C11" s="30" t="s">
        <v>740</v>
      </c>
      <c r="D11" s="30" t="s">
        <v>49</v>
      </c>
      <c r="E11" s="30" t="s">
        <v>183</v>
      </c>
      <c r="F11" s="42">
        <v>440</v>
      </c>
      <c r="G11" s="42">
        <v>513</v>
      </c>
      <c r="H11" s="42">
        <v>62210</v>
      </c>
      <c r="I11" s="42">
        <v>63504</v>
      </c>
      <c r="J11" s="30" t="s">
        <v>184</v>
      </c>
      <c r="K11" s="42">
        <v>63069</v>
      </c>
      <c r="L11" s="131" t="s">
        <v>50</v>
      </c>
      <c r="M11" s="132">
        <f t="shared" si="0"/>
        <v>-229.68</v>
      </c>
      <c r="N11" s="133" t="str">
        <f>VLOOKUP(C11,'Trips&amp;Operators'!$C$1:$G$99911,5,FALSE)</f>
        <v>BADERTSCHER DIANE</v>
      </c>
      <c r="O11" s="175" t="s">
        <v>178</v>
      </c>
      <c r="P11" s="239" t="s">
        <v>663</v>
      </c>
      <c r="Q11" s="30"/>
      <c r="R11" s="81" t="str">
        <f>VLOOKUP(C11,'Train Runs'!$A$13:$AE$10166,31,0)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S11" s="84" t="str">
        <f>VLOOKUP(C11,'Train Runs'!$A$13:$AE$10166,22,0)</f>
        <v>https://d0f6bd738d7f1b3e5a7ca70fe4ff75f0.us-east-1.aws.found.io/app/kibana#/discover/Steve-Slow-Train-Analysis-(2080s-and-2083s)?_g=(refreshInterval:(display:Off,pause:!f,section:0,value:0),time:(from:'2017-12-10T12:39:57-0700',mode:absolute,to:'2017-12-10T15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1" s="86" t="str">
        <f t="shared" si="1"/>
        <v>"C:\Program Files (x86)\AstroGrep\AstroGrep.exe" /e /r /s /spath="%USERPROFILE%\AppData\Local\Temp\OnboardLogs" /stypes="*4064*201712102*" /stext=" 20:.+((SYSTEM_STATE.+slice.+state.+changed )|(ment ac)|(multiple cpu faults)|(system.+state.+changed )|(\[timeout)|(PRM\|1\|D)|(kpr)|(kdp)|(train st.+moving)|(\|lc)|(penalty))"</v>
      </c>
      <c r="U11" s="9" t="str">
        <f t="shared" si="2"/>
        <v>4064</v>
      </c>
      <c r="V11" s="31">
        <f t="shared" si="3"/>
        <v>43079.87364583333</v>
      </c>
      <c r="W11" s="45" t="str">
        <f t="shared" si="4"/>
        <v>EC</v>
      </c>
      <c r="X11" s="228">
        <f t="shared" si="5"/>
        <v>181</v>
      </c>
      <c r="Y11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Arrival","project_id":79,"tracker_id":40,"status_id":1,"priority_id":2,"assigned_to_id":338,"start_date":"2017-12-10","description":"","custom_fields":[{"id":1,"name":"Subdivision","value":"EC"},{"id":4,"name":"Milepost","value":"6.3069"},{"id":17,"name":"Train ID","value":"181-10"},{"id":16,"name":"Locomotive ID","value":"4064"},{"id":130,"name":"Impact","value":""},{"id":150,"name":"Time of Event (Mountain Time)","value":"13:58:03"},{"id":151,"name":"Denver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/c/Users/stu/AppData/Local/Temp/OnboardLogs/RTDC4064 --include="*4064*201712102*"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"%USERPROFILE%\AppData\Local\Temp\OnboardLogs"\RTDC4064\*4064*201712102* &gt;&gt; 2017-12-10-SliceDisagreementCheck.txt</v>
      </c>
      <c r="AE11" s="144" t="str">
        <f t="shared" si="9"/>
        <v>start /low /b %USERPROFILE%\Documents\GitHub\eaglep3\Utilities\DownloadLogsFromS3.py --loco 4064 --day 2017-12-10</v>
      </c>
      <c r="AF11" s="1"/>
    </row>
    <row r="12" spans="1:32" x14ac:dyDescent="0.3">
      <c r="A12" s="31">
        <v>43079.815891203703</v>
      </c>
      <c r="B12" s="30" t="s">
        <v>371</v>
      </c>
      <c r="C12" s="30" t="s">
        <v>751</v>
      </c>
      <c r="D12" s="30" t="s">
        <v>49</v>
      </c>
      <c r="E12" s="30" t="s">
        <v>183</v>
      </c>
      <c r="F12" s="42">
        <v>130</v>
      </c>
      <c r="G12" s="42">
        <v>183</v>
      </c>
      <c r="H12" s="42">
        <v>63750</v>
      </c>
      <c r="I12" s="42">
        <v>63502</v>
      </c>
      <c r="J12" s="30" t="s">
        <v>184</v>
      </c>
      <c r="K12" s="42">
        <v>63309</v>
      </c>
      <c r="L12" s="131" t="s">
        <v>51</v>
      </c>
      <c r="M12" s="132">
        <f t="shared" si="0"/>
        <v>101.904</v>
      </c>
      <c r="N12" s="133" t="str">
        <f>VLOOKUP(C12,'Trips&amp;Operators'!$C$1:$G$99911,5,FALSE)</f>
        <v>ELBAUM MIKE</v>
      </c>
      <c r="O12" s="175" t="s">
        <v>178</v>
      </c>
      <c r="P12" s="239" t="s">
        <v>663</v>
      </c>
      <c r="Q12" s="30"/>
      <c r="R12" s="81" t="str">
        <f>VLOOKUP(C12,'Train Runs'!$A$13:$AE$10166,31,0)</f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S12" s="84" t="str">
        <f>VLOOKUP(C12,'Train Runs'!$A$13:$AE$10166,22,0)</f>
        <v>https://d0f6bd738d7f1b3e5a7ca70fe4ff75f0.us-east-1.aws.found.io/app/kibana#/discover/Steve-Slow-Train-Analysis-(2080s-and-2083s)?_g=(refreshInterval:(display:Off,pause:!f,section:0,value:0),time:(from:'2017-12-10T18:02:47-0700',mode:absolute,to:'2017-12-10T20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86" t="str">
        <f t="shared" si="1"/>
        <v>"C:\Program Files (x86)\AstroGrep\AstroGrep.exe" /e /r /s /spath="%USERPROFILE%\AppData\Local\Temp\OnboardLogs" /stypes="*4011*201712110*" /stext=" 02:.+((SYSTEM_STATE.+slice.+state.+changed )|(ment ac)|(multiple cpu faults)|(system.+state.+changed )|(\[timeout)|(PRM\|1\|D)|(kpr)|(kdp)|(train st.+moving)|(\|lc)|(penalty))"</v>
      </c>
      <c r="U12" s="9" t="str">
        <f t="shared" si="2"/>
        <v>4011</v>
      </c>
      <c r="V12" s="31">
        <f t="shared" si="3"/>
        <v>43080.107557870368</v>
      </c>
      <c r="W12" s="45" t="str">
        <f t="shared" si="4"/>
        <v>EC</v>
      </c>
      <c r="X12" s="228">
        <f t="shared" si="5"/>
        <v>218</v>
      </c>
      <c r="Y12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Arrival","project_id":79,"tracker_id":40,"status_id":1,"priority_id":2,"assigned_to_id":338,"start_date":"2017-12-10","description":"","custom_fields":[{"id":1,"name":"Subdivision","value":"EC"},{"id":4,"name":"Milepost","value":"6.3309"},{"id":17,"name":"Train ID","value":"218-10"},{"id":16,"name":"Locomotive ID","value":"4011"},{"id":130,"name":"Impact","value":""},{"id":150,"name":"Time of Event (Mountain Time)","value":"19:34:53"},{"id":151,"name":"Denver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/c/Users/stu/AppData/Local/Temp/OnboardLogs/RTDC4011 --include="*4011*201712110*"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"%USERPROFILE%\AppData\Local\Temp\OnboardLogs"\RTDC4011\*4011*201712110* &gt;&gt; 2017-12-10-SliceDisagreementCheck.txt</v>
      </c>
      <c r="AE12" s="144" t="str">
        <f t="shared" si="9"/>
        <v>start /low /b %USERPROFILE%\Documents\GitHub\eaglep3\Utilities\DownloadLogsFromS3.py --loco 4011 --day 2017-12-11</v>
      </c>
      <c r="AF12" s="1"/>
    </row>
    <row r="13" spans="1:32" x14ac:dyDescent="0.3">
      <c r="A13" s="31">
        <v>43079.779907407406</v>
      </c>
      <c r="B13" s="30" t="s">
        <v>664</v>
      </c>
      <c r="C13" s="30" t="s">
        <v>749</v>
      </c>
      <c r="D13" s="30" t="s">
        <v>49</v>
      </c>
      <c r="E13" s="30" t="s">
        <v>190</v>
      </c>
      <c r="F13" s="42">
        <v>300</v>
      </c>
      <c r="G13" s="42">
        <v>382</v>
      </c>
      <c r="H13" s="42">
        <v>22493</v>
      </c>
      <c r="I13" s="42">
        <v>21634</v>
      </c>
      <c r="J13" s="30" t="s">
        <v>191</v>
      </c>
      <c r="K13" s="42">
        <v>21848</v>
      </c>
      <c r="L13" s="131" t="s">
        <v>51</v>
      </c>
      <c r="M13" s="132">
        <f t="shared" si="0"/>
        <v>-112.992</v>
      </c>
      <c r="N13" s="133" t="str">
        <f>VLOOKUP(C13,'Trips&amp;Operators'!$C$1:$G$99911,5,FALSE)</f>
        <v>STAMBAUGH JAMES</v>
      </c>
      <c r="O13" s="175" t="s">
        <v>178</v>
      </c>
      <c r="P13" s="239"/>
      <c r="Q13" s="30"/>
      <c r="R13" s="81" t="str">
        <f>VLOOKUP(C13,'Train Runs'!$A$13:$AE$10166,31,0)</f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S13" s="84" t="str">
        <f>VLOOKUP(C13,'Train Runs'!$A$13:$AE$10166,22,0)</f>
        <v>https://d0f6bd738d7f1b3e5a7ca70fe4ff75f0.us-east-1.aws.found.io/app/kibana#/discover/Steve-Slow-Train-Analysis-(2080s-and-2083s)?_g=(refreshInterval:(display:Off,pause:!f,section:0,value:0),time:(from:'2017-12-10T17:04:40-0700',mode:absolute,to:'2017-12-10T19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6" t="str">
        <f t="shared" si="1"/>
        <v>"C:\Program Files (x86)\AstroGrep\AstroGrep.exe" /e /r /s /spath="%USERPROFILE%\AppData\Local\Temp\OnboardLogs" /stypes="*4063*201712110*"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4063</v>
      </c>
      <c r="V13" s="31">
        <f t="shared" si="3"/>
        <v>43080.071574074071</v>
      </c>
      <c r="W13" s="45" t="str">
        <f t="shared" si="4"/>
        <v>EC</v>
      </c>
      <c r="X13" s="228">
        <f t="shared" si="5"/>
        <v>210</v>
      </c>
      <c r="Y13" s="238" t="str">
        <f t="shared" si="6"/>
        <v>echo {"issue":{"subject":"","project_id":79,"tracker_id":40,"status_id":1,"priority_id":2,"assigned_to_id":338,"start_date":"2017-12-10","description":"","custom_fields":[{"id":1,"name":"Subdivision","value":"EC"},{"id":4,"name":"Milepost","value":"2.1848"},{"id":17,"name":"Train ID","value":"210-10"},{"id":16,"name":"Locomotive ID","value":"4063"},{"id":130,"name":"Impact","value":""},{"id":150,"name":"Time of Event (Mountain Time)","value":"18:43:04"},{"id":151,"name":"Denver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/c/Users/stu/AppData/Local/Temp/OnboardLogs/RTDC4063 --include="*4063*201712110*"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"%USERPROFILE%\AppData\Local\Temp\OnboardLogs"\RTDC4063\*4063*201712110* &gt;&gt; 2017-12-10-SliceDisagreementCheck.txt</v>
      </c>
      <c r="AE13" s="144" t="str">
        <f t="shared" si="9"/>
        <v>start /low /b %USERPROFILE%\Documents\GitHub\eaglep3\Utilities\DownloadLogsFromS3.py --loco 4063 --day 2017-12-11</v>
      </c>
      <c r="AF13" s="1"/>
    </row>
    <row r="14" spans="1:32" x14ac:dyDescent="0.3">
      <c r="A14" s="31">
        <v>43079.217256944445</v>
      </c>
      <c r="B14" s="30" t="s">
        <v>511</v>
      </c>
      <c r="C14" s="30" t="s">
        <v>731</v>
      </c>
      <c r="D14" s="30" t="s">
        <v>49</v>
      </c>
      <c r="E14" s="30" t="s">
        <v>190</v>
      </c>
      <c r="F14" s="42">
        <v>200</v>
      </c>
      <c r="G14" s="42">
        <v>252</v>
      </c>
      <c r="H14" s="42">
        <v>30844</v>
      </c>
      <c r="I14" s="42">
        <v>30237</v>
      </c>
      <c r="J14" s="30" t="s">
        <v>191</v>
      </c>
      <c r="K14" s="42">
        <v>30562</v>
      </c>
      <c r="L14" s="131" t="s">
        <v>51</v>
      </c>
      <c r="M14" s="132">
        <f t="shared" si="0"/>
        <v>-171.6</v>
      </c>
      <c r="N14" s="133" t="str">
        <f>VLOOKUP(C14,'Trips&amp;Operators'!$C$1:$G$99911,5,FALSE)</f>
        <v>MAELZER KURT</v>
      </c>
      <c r="O14" s="175" t="s">
        <v>178</v>
      </c>
      <c r="P14" s="239"/>
      <c r="Q14" s="30"/>
      <c r="R14" s="81" t="str">
        <f>VLOOKUP(C14,'Train Runs'!$A$13:$AE$10166,31,0)</f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S14" s="84" t="str">
        <f>VLOOKUP(C14,'Train Runs'!$A$13:$AE$10166,22,0)</f>
        <v>https://d0f6bd738d7f1b3e5a7ca70fe4ff75f0.us-east-1.aws.found.io/app/kibana#/discover/Steve-Slow-Train-Analysis-(2080s-and-2083s)?_g=(refreshInterval:(display:Off,pause:!f,section:0,value:0),time:(from:'2017-12-10T03:35:06-0700',mode:absolute,to:'2017-12-10T06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4" s="86" t="str">
        <f t="shared" si="1"/>
        <v>"C:\Program Files (x86)\AstroGrep\AstroGrep.exe" /e /r /s /spath="%USERPROFILE%\AppData\Local\Temp\OnboardLogs" /stypes="*4023*201712101*"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4023</v>
      </c>
      <c r="V14" s="31">
        <f t="shared" si="3"/>
        <v>43079.508923611109</v>
      </c>
      <c r="W14" s="45" t="str">
        <f t="shared" si="4"/>
        <v>EC</v>
      </c>
      <c r="X14" s="228">
        <f t="shared" si="5"/>
        <v>104</v>
      </c>
      <c r="Y14" s="238" t="str">
        <f t="shared" si="6"/>
        <v>echo {"issue":{"subject":"","project_id":79,"tracker_id":40,"status_id":1,"priority_id":2,"assigned_to_id":338,"start_date":"2017-12-10","description":"","custom_fields":[{"id":1,"name":"Subdivision","value":"EC"},{"id":4,"name":"Milepost","value":"3.0562"},{"id":17,"name":"Train ID","value":"104-10"},{"id":16,"name":"Locomotive ID","value":"4023"},{"id":130,"name":"Impact","value":""},{"id":150,"name":"Time of Event (Mountain Time)","value":"05:12:51"},{"id":151,"name":"Denver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/c/Users/stu/AppData/Local/Temp/OnboardLogs/RTDC4023 --include="*4023*201712101*"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"%USERPROFILE%\AppData\Local\Temp\OnboardLogs"\RTDC4023\*4023*201712101* &gt;&gt; 2017-12-10-SliceDisagreementCheck.txt</v>
      </c>
      <c r="AE14" s="144" t="str">
        <f t="shared" si="9"/>
        <v>start /low /b %USERPROFILE%\Documents\GitHub\eaglep3\Utilities\DownloadLogsFromS3.py --loco 4023 --day 2017-12-10</v>
      </c>
      <c r="AF14" s="1"/>
    </row>
    <row r="15" spans="1:32" x14ac:dyDescent="0.3">
      <c r="A15" s="31">
        <v>43079.719224537039</v>
      </c>
      <c r="B15" s="30" t="s">
        <v>665</v>
      </c>
      <c r="C15" s="30" t="s">
        <v>745</v>
      </c>
      <c r="D15" s="30" t="s">
        <v>49</v>
      </c>
      <c r="E15" s="30" t="s">
        <v>354</v>
      </c>
      <c r="F15" s="42">
        <v>0</v>
      </c>
      <c r="G15" s="42">
        <v>128</v>
      </c>
      <c r="H15" s="42">
        <v>1063</v>
      </c>
      <c r="I15" s="42">
        <v>1291</v>
      </c>
      <c r="J15" s="30" t="s">
        <v>355</v>
      </c>
      <c r="K15" s="42">
        <v>1692</v>
      </c>
      <c r="L15" s="131" t="s">
        <v>50</v>
      </c>
      <c r="M15" s="132">
        <f t="shared" si="0"/>
        <v>211.72800000000001</v>
      </c>
      <c r="N15" s="133" t="str">
        <f>VLOOKUP(C15,'Trips&amp;Operators'!$C$1:$G$99911,5,FALSE)</f>
        <v>STAMBAUGH JAMES</v>
      </c>
      <c r="O15" s="175" t="s">
        <v>348</v>
      </c>
      <c r="P15" s="239" t="s">
        <v>661</v>
      </c>
      <c r="Q15" s="30"/>
      <c r="R15" s="81" t="str">
        <f>VLOOKUP(C15,'Train Runs'!$A$13:$AE$10166,31,0)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S15" s="84" t="str">
        <f>VLOOKUP(C15,'Train Runs'!$A$13:$AE$10166,22,0)</f>
        <v>https://d0f6bd738d7f1b3e5a7ca70fe4ff75f0.us-east-1.aws.found.io/app/kibana#/discover/Steve-Slow-Train-Analysis-(2080s-and-2083s)?_g=(refreshInterval:(display:Off,pause:!f,section:0,value:0),time:(from:'2017-12-10T16:08:30-0700',mode:absolute,to:'2017-12-10T18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5" s="86" t="str">
        <f t="shared" si="1"/>
        <v>"C:\Program Files (x86)\AstroGrep\AstroGrep.exe" /e /r /s /spath="%USERPROFILE%\AppData\Local\Temp\OnboardLogs" /stypes="*4064*201712110*"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4064</v>
      </c>
      <c r="V15" s="31">
        <f t="shared" si="3"/>
        <v>43080.010891203703</v>
      </c>
      <c r="W15" s="45" t="str">
        <f t="shared" si="4"/>
        <v>EC</v>
      </c>
      <c r="X15" s="228">
        <f t="shared" si="5"/>
        <v>209</v>
      </c>
      <c r="Y15" s="238" t="str">
        <f t="shared" si="6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failure","project_id":79,"tracker_id":40,"status_id":1,"priority_id":2,"assigned_to_id":338,"start_date":"2017-12-10","description":"","custom_fields":[{"id":1,"name":"Subdivision","value":"EC"},{"id":4,"name":"Milepost","value":"0.1692"},{"id":17,"name":"Train ID","value":"209-10"},{"id":16,"name":"Locomotive ID","value":"4064"},{"id":130,"name":"Impact","value":""},{"id":150,"name":"Time of Event (Mountain Time)","value":"17:15:41"},{"id":151,"name":"Denver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/c/Users/stu/AppData/Local/Temp/OnboardLogs/RTDC4064 --include="*4064*201712110*"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"%USERPROFILE%\AppData\Local\Temp\OnboardLogs"\RTDC4064\*4064*201712110* &gt;&gt; 2017-12-10-SliceDisagreementCheck.txt</v>
      </c>
      <c r="AE15" s="144" t="str">
        <f t="shared" si="9"/>
        <v>start /low /b %USERPROFILE%\Documents\GitHub\eaglep3\Utilities\DownloadLogsFromS3.py --loco 4064 --day 2017-12-11</v>
      </c>
      <c r="AF15" s="1"/>
    </row>
    <row r="16" spans="1:32" x14ac:dyDescent="0.3">
      <c r="A16" s="31">
        <v>43079.32366898148</v>
      </c>
      <c r="B16" s="30" t="s">
        <v>360</v>
      </c>
      <c r="C16" s="30" t="s">
        <v>734</v>
      </c>
      <c r="D16" s="30" t="s">
        <v>49</v>
      </c>
      <c r="E16" s="30" t="s">
        <v>354</v>
      </c>
      <c r="F16" s="42">
        <v>0</v>
      </c>
      <c r="G16" s="42">
        <v>771</v>
      </c>
      <c r="H16" s="42">
        <v>80258</v>
      </c>
      <c r="I16" s="42">
        <v>83982</v>
      </c>
      <c r="J16" s="30" t="s">
        <v>355</v>
      </c>
      <c r="K16" s="42">
        <v>81738</v>
      </c>
      <c r="L16" s="131" t="s">
        <v>50</v>
      </c>
      <c r="M16" s="132">
        <f t="shared" si="0"/>
        <v>-1184.8320000000001</v>
      </c>
      <c r="N16" s="133" t="str">
        <f>VLOOKUP(C16,'Trips&amp;Operators'!$C$1:$G$99911,5,FALSE)</f>
        <v>PAGE MARCUS</v>
      </c>
      <c r="O16" s="175" t="s">
        <v>348</v>
      </c>
      <c r="P16" s="239" t="s">
        <v>480</v>
      </c>
      <c r="Q16" s="30"/>
      <c r="R16" s="81" t="str">
        <f>VLOOKUP(C16,'Train Runs'!$A$13:$AE$10166,31,0)</f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S16" s="84" t="str">
        <f>VLOOKUP(C16,'Train Runs'!$A$13:$AE$10166,22,0)</f>
        <v>https://d0f6bd738d7f1b3e5a7ca70fe4ff75f0.us-east-1.aws.found.io/app/kibana#/discover/Steve-Slow-Train-Analysis-(2080s-and-2083s)?_g=(refreshInterval:(display:Off,pause:!f,section:0,value:0),time:(from:'2017-12-10T06:21:43-0700',mode:absolute,to:'2017-12-10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6" s="86" t="str">
        <f t="shared" si="1"/>
        <v>"C:\Program Files (x86)\AstroGrep\AstroGrep.exe" /e /r /s /spath="%USERPROFILE%\AppData\Local\Temp\OnboardLogs" /stypes="*4018*201712101*"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4018</v>
      </c>
      <c r="V16" s="31">
        <f t="shared" si="3"/>
        <v>43079.615335648145</v>
      </c>
      <c r="W16" s="45" t="str">
        <f t="shared" si="4"/>
        <v>EC</v>
      </c>
      <c r="X16" s="228">
        <f t="shared" si="5"/>
        <v>131</v>
      </c>
      <c r="Y16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drop","project_id":79,"tracker_id":40,"status_id":1,"priority_id":2,"assigned_to_id":338,"start_date":"2017-12-10","description":"","custom_fields":[{"id":1,"name":"Subdivision","value":"EC"},{"id":4,"name":"Milepost","value":"8.1738"},{"id":17,"name":"Train ID","value":"131-10"},{"id":16,"name":"Locomotive ID","value":"4018"},{"id":130,"name":"Impact","value":""},{"id":150,"name":"Time of Event (Mountain Time)","value":"07:46:05"},{"id":151,"name":"Denver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/c/Users/stu/AppData/Local/Temp/OnboardLogs/RTDC4018 --include="*4018*201712101*"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"%USERPROFILE%\AppData\Local\Temp\OnboardLogs"\RTDC4018\*4018*201712101* &gt;&gt; 2017-12-10-SliceDisagreementCheck.txt</v>
      </c>
      <c r="AE16" s="144" t="str">
        <f t="shared" si="9"/>
        <v>start /low /b %USERPROFILE%\Documents\GitHub\eaglep3\Utilities\DownloadLogsFromS3.py --loco 4018 --day 2017-12-10</v>
      </c>
      <c r="AF16" s="1"/>
    </row>
    <row r="17" spans="1:32" x14ac:dyDescent="0.3">
      <c r="A17" s="31">
        <v>43079.36791666667</v>
      </c>
      <c r="B17" s="30" t="s">
        <v>665</v>
      </c>
      <c r="C17" s="30" t="s">
        <v>735</v>
      </c>
      <c r="D17" s="30" t="s">
        <v>95</v>
      </c>
      <c r="E17" s="30" t="s">
        <v>354</v>
      </c>
      <c r="F17" s="42">
        <v>0</v>
      </c>
      <c r="G17" s="42">
        <v>705</v>
      </c>
      <c r="H17" s="42">
        <v>95983</v>
      </c>
      <c r="I17" s="42">
        <v>98745</v>
      </c>
      <c r="J17" s="30" t="s">
        <v>355</v>
      </c>
      <c r="K17" s="42">
        <v>95978</v>
      </c>
      <c r="L17" s="131" t="s">
        <v>50</v>
      </c>
      <c r="M17" s="132">
        <f t="shared" si="0"/>
        <v>-1460.9760000000001</v>
      </c>
      <c r="N17" s="133" t="str">
        <f>VLOOKUP(C17,'Trips&amp;Operators'!$C$1:$G$99911,5,FALSE)</f>
        <v>THOMPSON LESTER</v>
      </c>
      <c r="O17" s="175" t="s">
        <v>348</v>
      </c>
      <c r="P17" s="239" t="s">
        <v>480</v>
      </c>
      <c r="Q17" s="30"/>
      <c r="R17" s="81" t="str">
        <f>VLOOKUP(C17,'Train Runs'!$A$13:$AE$10166,31,0)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S17" s="84" t="str">
        <f>VLOOKUP(C17,'Train Runs'!$A$13:$AE$10166,22,0)</f>
        <v>https://d0f6bd738d7f1b3e5a7ca70fe4ff75f0.us-east-1.aws.found.io/app/kibana#/discover/Steve-Slow-Train-Analysis-(2080s-and-2083s)?_g=(refreshInterval:(display:Off,pause:!f,section:0,value:0),time:(from:'2017-12-10T07:27:22-0700',mode:absolute,to:'2017-12-10T10:10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7" s="86" t="str">
        <f t="shared" si="1"/>
        <v>"C:\Program Files (x86)\AstroGrep\AstroGrep.exe" /e /r /s /spath="%USERPROFILE%\AppData\Local\Temp\OnboardLogs" /stypes="*4064*201712101*"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4064</v>
      </c>
      <c r="V17" s="31">
        <f t="shared" si="3"/>
        <v>43079.659583333334</v>
      </c>
      <c r="W17" s="45" t="str">
        <f t="shared" si="4"/>
        <v>EC</v>
      </c>
      <c r="X17" s="228">
        <f t="shared" si="5"/>
        <v>139</v>
      </c>
      <c r="Y17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drop","project_id":79,"tracker_id":40,"status_id":1,"priority_id":2,"assigned_to_id":338,"start_date":"2017-12-10","description":"","custom_fields":[{"id":1,"name":"Subdivision","value":"EC"},{"id":4,"name":"Milepost","value":"9.5978"},{"id":17,"name":"Train ID","value":"139-10"},{"id":16,"name":"Locomotive ID","value":"4064"},{"id":130,"name":"Impact","value":""},{"id":150,"name":"Time of Event (Mountain Time)","value":"08:49:48"},{"id":151,"name":"Denver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/c/Users/stu/AppData/Local/Temp/OnboardLogs/RTDC4064 --include="*4064*201712101*"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"%USERPROFILE%\AppData\Local\Temp\OnboardLogs"\RTDC4064\*4064*201712101* &gt;&gt; 2017-12-10-SliceDisagreementCheck.txt</v>
      </c>
      <c r="AE17" s="144" t="str">
        <f t="shared" si="9"/>
        <v>start /low /b %USERPROFILE%\Documents\GitHub\eaglep3\Utilities\DownloadLogsFromS3.py --loco 4064 --day 2017-12-10</v>
      </c>
      <c r="AF17" s="1"/>
    </row>
    <row r="18" spans="1:32" x14ac:dyDescent="0.3">
      <c r="A18" s="31">
        <v>43079.318518518521</v>
      </c>
      <c r="B18" s="30" t="s">
        <v>519</v>
      </c>
      <c r="C18" s="30" t="s">
        <v>733</v>
      </c>
      <c r="D18" s="30" t="s">
        <v>49</v>
      </c>
      <c r="E18" s="30" t="s">
        <v>354</v>
      </c>
      <c r="F18" s="42">
        <v>0</v>
      </c>
      <c r="G18" s="42">
        <v>690</v>
      </c>
      <c r="H18" s="42">
        <v>134690</v>
      </c>
      <c r="I18" s="42">
        <v>137541</v>
      </c>
      <c r="J18" s="30" t="s">
        <v>355</v>
      </c>
      <c r="K18" s="42">
        <v>138837</v>
      </c>
      <c r="L18" s="131" t="s">
        <v>50</v>
      </c>
      <c r="M18" s="132">
        <f t="shared" si="0"/>
        <v>684.28800000000001</v>
      </c>
      <c r="N18" s="133" t="str">
        <f>VLOOKUP(C18,'Trips&amp;Operators'!$C$1:$G$99911,5,FALSE)</f>
        <v>MAELZER KURT</v>
      </c>
      <c r="O18" s="175" t="s">
        <v>348</v>
      </c>
      <c r="P18" s="239" t="s">
        <v>480</v>
      </c>
      <c r="Q18" s="30"/>
      <c r="R18" s="81" t="str">
        <f>VLOOKUP(C18,'Train Runs'!$A$13:$AE$10166,31,0)</f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S18" s="84" t="str">
        <f>VLOOKUP(C18,'Train Runs'!$A$13:$AE$10166,22,0)</f>
        <v>https://d0f6bd738d7f1b3e5a7ca70fe4ff75f0.us-east-1.aws.found.io/app/kibana#/discover/Steve-Slow-Train-Analysis-(2080s-and-2083s)?_g=(refreshInterval:(display:Off,pause:!f,section:0,value:0),time:(from:'2017-12-10T06:10:12-0700',mode:absolute,to:'2017-12-10T08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8" s="86" t="str">
        <f t="shared" si="1"/>
        <v>"C:\Program Files (x86)\AstroGrep\AstroGrep.exe" /e /r /s /spath="%USERPROFILE%\AppData\Local\Temp\OnboardLogs" /stypes="*4024*201712101*"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4024</v>
      </c>
      <c r="V18" s="31">
        <f t="shared" si="3"/>
        <v>43079.610185185185</v>
      </c>
      <c r="W18" s="45" t="str">
        <f t="shared" si="4"/>
        <v>EC</v>
      </c>
      <c r="X18" s="228">
        <f t="shared" si="5"/>
        <v>129</v>
      </c>
      <c r="Y18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drop","project_id":79,"tracker_id":40,"status_id":1,"priority_id":2,"assigned_to_id":338,"start_date":"2017-12-10","description":"","custom_fields":[{"id":1,"name":"Subdivision","value":"EC"},{"id":4,"name":"Milepost","value":"13.8837"},{"id":17,"name":"Train ID","value":"129-10"},{"id":16,"name":"Locomotive ID","value":"4024"},{"id":130,"name":"Impact","value":""},{"id":150,"name":"Time of Event (Mountain Time)","value":"07:38:40"},{"id":151,"name":"Denver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/c/Users/stu/AppData/Local/Temp/OnboardLogs/RTDC4024 --include="*4024*201712101*"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"%USERPROFILE%\AppData\Local\Temp\OnboardLogs"\RTDC4024\*4024*201712101* &gt;&gt; 2017-12-10-SliceDisagreementCheck.txt</v>
      </c>
      <c r="AE18" s="144" t="str">
        <f t="shared" si="9"/>
        <v>start /low /b %USERPROFILE%\Documents\GitHub\eaglep3\Utilities\DownloadLogsFromS3.py --loco 4024 --day 2017-12-10</v>
      </c>
      <c r="AF18" s="1"/>
    </row>
    <row r="19" spans="1:32" x14ac:dyDescent="0.3">
      <c r="A19" s="31">
        <v>43079.288159722222</v>
      </c>
      <c r="B19" s="30" t="s">
        <v>536</v>
      </c>
      <c r="C19" s="30" t="s">
        <v>732</v>
      </c>
      <c r="D19" s="30" t="s">
        <v>49</v>
      </c>
      <c r="E19" s="30" t="s">
        <v>354</v>
      </c>
      <c r="F19" s="42">
        <v>0</v>
      </c>
      <c r="G19" s="42">
        <v>795</v>
      </c>
      <c r="H19" s="42">
        <v>144737</v>
      </c>
      <c r="I19" s="42">
        <v>148717</v>
      </c>
      <c r="J19" s="30" t="s">
        <v>355</v>
      </c>
      <c r="K19" s="42">
        <v>149694</v>
      </c>
      <c r="L19" s="131" t="s">
        <v>50</v>
      </c>
      <c r="M19" s="132">
        <f t="shared" si="0"/>
        <v>515.85599999999999</v>
      </c>
      <c r="N19" s="133" t="str">
        <f>VLOOKUP(C19,'Trips&amp;Operators'!$C$1:$G$99911,5,FALSE)</f>
        <v>GEBRETEKLE DAGNEW</v>
      </c>
      <c r="O19" s="175" t="s">
        <v>348</v>
      </c>
      <c r="P19" s="239" t="s">
        <v>480</v>
      </c>
      <c r="Q19" s="30"/>
      <c r="R19" s="81" t="str">
        <f>VLOOKUP(C19,'Train Runs'!$A$13:$AE$10166,31,0)</f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S19" s="84" t="str">
        <f>VLOOKUP(C19,'Train Runs'!$A$13:$AE$10166,22,0)</f>
        <v>https://d0f6bd738d7f1b3e5a7ca70fe4ff75f0.us-east-1.aws.found.io/app/kibana#/discover/Steve-Slow-Train-Analysis-(2080s-and-2083s)?_g=(refreshInterval:(display:Off,pause:!f,section:0,value:0),time:(from:'2017-12-10T05:22:10-0700',mode:absolute,to:'2017-12-10T08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86" t="str">
        <f t="shared" si="1"/>
        <v>"C:\Program Files (x86)\AstroGrep\AstroGrep.exe" /e /r /s /spath="%USERPROFILE%\AppData\Local\Temp\OnboardLogs" /stypes="*4032*201712101*"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4032</v>
      </c>
      <c r="V19" s="31">
        <f t="shared" si="3"/>
        <v>43079.579826388886</v>
      </c>
      <c r="W19" s="45" t="str">
        <f t="shared" si="4"/>
        <v>EC</v>
      </c>
      <c r="X19" s="228">
        <f t="shared" si="5"/>
        <v>123</v>
      </c>
      <c r="Y19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drop","project_id":79,"tracker_id":40,"status_id":1,"priority_id":2,"assigned_to_id":338,"start_date":"2017-12-10","description":"","custom_fields":[{"id":1,"name":"Subdivision","value":"EC"},{"id":4,"name":"Milepost","value":"14.9694"},{"id":17,"name":"Train ID","value":"123-10"},{"id":16,"name":"Locomotive ID","value":"4032"},{"id":130,"name":"Impact","value":""},{"id":150,"name":"Time of Event (Mountain Time)","value":"06:54:57"},{"id":151,"name":"Denver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/c/Users/stu/AppData/Local/Temp/OnboardLogs/RTDC4032 --include="*4032*201712101*"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"%USERPROFILE%\AppData\Local\Temp\OnboardLogs"\RTDC4032\*4032*201712101* &gt;&gt; 2017-12-10-SliceDisagreementCheck.txt</v>
      </c>
      <c r="AE19" s="144" t="str">
        <f t="shared" si="9"/>
        <v>start /low /b %USERPROFILE%\Documents\GitHub\eaglep3\Utilities\DownloadLogsFromS3.py --loco 4032 --day 2017-12-10</v>
      </c>
      <c r="AF19" s="1"/>
    </row>
    <row r="20" spans="1:32" x14ac:dyDescent="0.3">
      <c r="A20" s="31">
        <v>43079.402384259258</v>
      </c>
      <c r="B20" s="30" t="s">
        <v>360</v>
      </c>
      <c r="C20" s="30" t="s">
        <v>737</v>
      </c>
      <c r="D20" s="30" t="s">
        <v>49</v>
      </c>
      <c r="E20" s="30" t="s">
        <v>354</v>
      </c>
      <c r="F20" s="42">
        <v>0</v>
      </c>
      <c r="G20" s="42">
        <v>791</v>
      </c>
      <c r="H20" s="42">
        <v>144939</v>
      </c>
      <c r="I20" s="42">
        <v>148762</v>
      </c>
      <c r="J20" s="30" t="s">
        <v>355</v>
      </c>
      <c r="K20" s="42">
        <v>149694</v>
      </c>
      <c r="L20" s="131" t="s">
        <v>50</v>
      </c>
      <c r="M20" s="132">
        <f t="shared" si="0"/>
        <v>492.096</v>
      </c>
      <c r="N20" s="133" t="str">
        <f>VLOOKUP(C20,'Trips&amp;Operators'!$C$1:$G$99911,5,FALSE)</f>
        <v>LAMAR NEKESHA</v>
      </c>
      <c r="O20" s="175" t="s">
        <v>348</v>
      </c>
      <c r="P20" s="239" t="s">
        <v>480</v>
      </c>
      <c r="Q20" s="30"/>
      <c r="R20" s="81" t="str">
        <f>VLOOKUP(C20,'Train Runs'!$A$13:$AE$10166,31,0)</f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S20" s="84" t="str">
        <f>VLOOKUP(C20,'Train Runs'!$A$13:$AE$10166,22,0)</f>
        <v>https://d0f6bd738d7f1b3e5a7ca70fe4ff75f0.us-east-1.aws.found.io/app/kibana#/discover/Steve-Slow-Train-Analysis-(2080s-and-2083s)?_g=(refreshInterval:(display:Off,pause:!f,section:0,value:0),time:(from:'2017-12-10T08:07:33-0700',mode:absolute,to:'2017-12-10T10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86" t="str">
        <f t="shared" si="1"/>
        <v>"C:\Program Files (x86)\AstroGrep\AstroGrep.exe" /e /r /s /spath="%USERPROFILE%\AppData\Local\Temp\OnboardLogs" /stypes="*4018*201712101*"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4018</v>
      </c>
      <c r="V20" s="31">
        <f t="shared" si="3"/>
        <v>43079.694050925922</v>
      </c>
      <c r="W20" s="45" t="str">
        <f t="shared" si="4"/>
        <v>EC</v>
      </c>
      <c r="X20" s="228">
        <f t="shared" si="5"/>
        <v>145</v>
      </c>
      <c r="Y20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drop","project_id":79,"tracker_id":40,"status_id":1,"priority_id":2,"assigned_to_id":338,"start_date":"2017-12-10","description":"","custom_fields":[{"id":1,"name":"Subdivision","value":"EC"},{"id":4,"name":"Milepost","value":"14.9694"},{"id":17,"name":"Train ID","value":"145-10"},{"id":16,"name":"Locomotive ID","value":"4018"},{"id":130,"name":"Impact","value":""},{"id":150,"name":"Time of Event (Mountain Time)","value":"09:39:26"},{"id":151,"name":"Denver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/c/Users/stu/AppData/Local/Temp/OnboardLogs/RTDC4018 --include="*4018*201712101*"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"%USERPROFILE%\AppData\Local\Temp\OnboardLogs"\RTDC4018\*4018*201712101* &gt;&gt; 2017-12-10-SliceDisagreementCheck.txt</v>
      </c>
      <c r="AE20" s="144" t="str">
        <f t="shared" si="9"/>
        <v>start /low /b %USERPROFILE%\Documents\GitHub\eaglep3\Utilities\DownloadLogsFromS3.py --loco 4018 --day 2017-12-10</v>
      </c>
      <c r="AF20" s="1"/>
    </row>
    <row r="21" spans="1:32" x14ac:dyDescent="0.3">
      <c r="A21" s="31">
        <v>43079.37835648148</v>
      </c>
      <c r="B21" s="30" t="s">
        <v>665</v>
      </c>
      <c r="C21" s="30" t="s">
        <v>735</v>
      </c>
      <c r="D21" s="30" t="s">
        <v>49</v>
      </c>
      <c r="E21" s="30" t="s">
        <v>354</v>
      </c>
      <c r="F21" s="42">
        <v>0</v>
      </c>
      <c r="G21" s="42">
        <v>771</v>
      </c>
      <c r="H21" s="42">
        <v>204032</v>
      </c>
      <c r="I21" s="42">
        <v>208068</v>
      </c>
      <c r="J21" s="30" t="s">
        <v>355</v>
      </c>
      <c r="K21" s="42">
        <v>204300</v>
      </c>
      <c r="L21" s="131" t="s">
        <v>50</v>
      </c>
      <c r="M21" s="132">
        <f t="shared" si="0"/>
        <v>-1989.5039999999999</v>
      </c>
      <c r="N21" s="133" t="str">
        <f>VLOOKUP(C21,'Trips&amp;Operators'!$C$1:$G$99911,5,FALSE)</f>
        <v>THOMPSON LESTER</v>
      </c>
      <c r="O21" s="175" t="s">
        <v>348</v>
      </c>
      <c r="P21" s="239" t="s">
        <v>480</v>
      </c>
      <c r="Q21" s="30"/>
      <c r="R21" s="81" t="str">
        <f>VLOOKUP(C21,'Train Runs'!$A$13:$AE$10166,31,0)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S21" s="84" t="str">
        <f>VLOOKUP(C21,'Train Runs'!$A$13:$AE$10166,22,0)</f>
        <v>https://d0f6bd738d7f1b3e5a7ca70fe4ff75f0.us-east-1.aws.found.io/app/kibana#/discover/Steve-Slow-Train-Analysis-(2080s-and-2083s)?_g=(refreshInterval:(display:Off,pause:!f,section:0,value:0),time:(from:'2017-12-10T07:27:22-0700',mode:absolute,to:'2017-12-10T10:10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 t="shared" si="1"/>
        <v>"C:\Program Files (x86)\AstroGrep\AstroGrep.exe" /e /r /s /spath="%USERPROFILE%\AppData\Local\Temp\OnboardLogs" /stypes="*4064*201712101*"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4064</v>
      </c>
      <c r="V21" s="31">
        <f t="shared" si="3"/>
        <v>43079.670023148145</v>
      </c>
      <c r="W21" s="45" t="str">
        <f t="shared" si="4"/>
        <v>EC</v>
      </c>
      <c r="X21" s="228">
        <f t="shared" si="5"/>
        <v>139</v>
      </c>
      <c r="Y21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drop","project_id":79,"tracker_id":40,"status_id":1,"priority_id":2,"assigned_to_id":338,"start_date":"2017-12-10","description":"","custom_fields":[{"id":1,"name":"Subdivision","value":"EC"},{"id":4,"name":"Milepost","value":"20.43"},{"id":17,"name":"Train ID","value":"139-10"},{"id":16,"name":"Locomotive ID","value":"4064"},{"id":130,"name":"Impact","value":""},{"id":150,"name":"Time of Event (Mountain Time)","value":"09:04:50"},{"id":151,"name":"Denver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/c/Users/stu/AppData/Local/Temp/OnboardLogs/RTDC4064 --include="*4064*201712101*"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"%USERPROFILE%\AppData\Local\Temp\OnboardLogs"\RTDC4064\*4064*201712101* &gt;&gt; 2017-12-10-SliceDisagreementCheck.txt</v>
      </c>
      <c r="AE21" s="144" t="str">
        <f t="shared" si="9"/>
        <v>start /low /b %USERPROFILE%\Documents\GitHub\eaglep3\Utilities\DownloadLogsFromS3.py --loco 4064 --day 2017-12-10</v>
      </c>
      <c r="AF21" s="1"/>
    </row>
    <row r="22" spans="1:32" x14ac:dyDescent="0.3">
      <c r="A22" s="31">
        <v>43079.425949074073</v>
      </c>
      <c r="B22" s="30" t="s">
        <v>362</v>
      </c>
      <c r="C22" s="30" t="s">
        <v>738</v>
      </c>
      <c r="D22" s="30" t="s">
        <v>95</v>
      </c>
      <c r="E22" s="30" t="s">
        <v>452</v>
      </c>
      <c r="F22" s="42">
        <v>0</v>
      </c>
      <c r="G22" s="42">
        <v>143</v>
      </c>
      <c r="H22" s="42">
        <v>230631</v>
      </c>
      <c r="I22" s="42">
        <v>230344</v>
      </c>
      <c r="J22" s="30" t="s">
        <v>453</v>
      </c>
      <c r="K22" s="42">
        <v>231147</v>
      </c>
      <c r="L22" s="131" t="s">
        <v>51</v>
      </c>
      <c r="M22" s="132">
        <f t="shared" si="0"/>
        <v>-423.98399999999998</v>
      </c>
      <c r="N22" s="133" t="str">
        <f>VLOOKUP(C22,'Trips&amp;Operators'!$C$1:$G$99911,5,FALSE)</f>
        <v>LAMAR NEKESHA</v>
      </c>
      <c r="O22" s="175" t="s">
        <v>348</v>
      </c>
      <c r="P22" s="239" t="s">
        <v>480</v>
      </c>
      <c r="Q22" s="30"/>
      <c r="R22" s="81" t="str">
        <f>VLOOKUP(C22,'Train Runs'!$A$13:$AE$10166,31,0)</f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S22" s="84" t="str">
        <f>VLOOKUP(C22,'Train Runs'!$A$13:$AE$10166,22,0)</f>
        <v>https://d0f6bd738d7f1b3e5a7ca70fe4ff75f0.us-east-1.aws.found.io/app/kibana#/discover/Steve-Slow-Train-Analysis-(2080s-and-2083s)?_g=(refreshInterval:(display:Off,pause:!f,section:0,value:0),time:(from:'2017-12-10T09:08:10-0700',mode:absolute,to:'2017-12-10T11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86" t="str">
        <f t="shared" si="1"/>
        <v>"C:\Program Files (x86)\AstroGrep\AstroGrep.exe" /e /r /s /spath="%USERPROFILE%\AppData\Local\Temp\OnboardLogs" /stypes="*4017*201712101*"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4017</v>
      </c>
      <c r="V22" s="31">
        <f t="shared" si="3"/>
        <v>43079.717615740738</v>
      </c>
      <c r="W22" s="45" t="str">
        <f t="shared" si="4"/>
        <v>EC</v>
      </c>
      <c r="X22" s="228">
        <f t="shared" si="5"/>
        <v>146</v>
      </c>
      <c r="Y22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drop","project_id":79,"tracker_id":40,"status_id":1,"priority_id":2,"assigned_to_id":338,"start_date":"2017-12-10","description":"","custom_fields":[{"id":1,"name":"Subdivision","value":"EC"},{"id":4,"name":"Milepost","value":"23.1147"},{"id":17,"name":"Train ID","value":"146-10"},{"id":16,"name":"Locomotive ID","value":"4017"},{"id":130,"name":"Impact","value":""},{"id":150,"name":"Time of Event (Mountain Time)","value":"10:13:22"},{"id":151,"name":"Denver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/c/Users/stu/AppData/Local/Temp/OnboardLogs/RTDC4017 --include="*4017*201712101*"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"%USERPROFILE%\AppData\Local\Temp\OnboardLogs"\RTDC4017\*4017*201712101* &gt;&gt; 2017-12-10-SliceDisagreementCheck.txt</v>
      </c>
      <c r="AE22" s="144" t="str">
        <f t="shared" si="9"/>
        <v>start /low /b %USERPROFILE%\Documents\GitHub\eaglep3\Utilities\DownloadLogsFromS3.py --loco 4017 --day 2017-12-10</v>
      </c>
      <c r="AF22" s="1"/>
    </row>
    <row r="23" spans="1:32" x14ac:dyDescent="0.3">
      <c r="A23" s="31">
        <v>43079.691782407404</v>
      </c>
      <c r="B23" s="30" t="s">
        <v>519</v>
      </c>
      <c r="C23" s="30" t="s">
        <v>742</v>
      </c>
      <c r="D23" s="30" t="s">
        <v>49</v>
      </c>
      <c r="E23" s="30" t="s">
        <v>593</v>
      </c>
      <c r="F23" s="42">
        <v>0</v>
      </c>
      <c r="G23" s="42">
        <v>109</v>
      </c>
      <c r="H23" s="42">
        <v>233164</v>
      </c>
      <c r="I23" s="42">
        <v>233289</v>
      </c>
      <c r="J23" s="30" t="s">
        <v>594</v>
      </c>
      <c r="K23" s="42">
        <v>233491</v>
      </c>
      <c r="L23" s="131" t="s">
        <v>50</v>
      </c>
      <c r="M23" s="132">
        <f t="shared" si="0"/>
        <v>106.65600000000001</v>
      </c>
      <c r="N23" s="133" t="str">
        <f>VLOOKUP(C23,'Trips&amp;Operators'!$C$1:$G$99911,5,FALSE)</f>
        <v>STEWART MICHAEL</v>
      </c>
      <c r="O23" s="175" t="s">
        <v>178</v>
      </c>
      <c r="P23" s="239"/>
      <c r="Q23" s="30"/>
      <c r="R23" s="81" t="str">
        <f>VLOOKUP(C23,'Train Runs'!$A$13:$AE$10166,31,0)</f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S23" s="84" t="str">
        <f>VLOOKUP(C23,'Train Runs'!$A$13:$AE$10166,22,0)</f>
        <v>https://d0f6bd738d7f1b3e5a7ca70fe4ff75f0.us-east-1.aws.found.io/app/kibana#/discover/Steve-Slow-Train-Analysis-(2080s-and-2083s)?_g=(refreshInterval:(display:Off,pause:!f,section:0,value:0),time:(from:'2017-12-10T14:55:09-0700',mode:absolute,to:'2017-12-10T17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3" s="86" t="str">
        <f t="shared" si="1"/>
        <v>"C:\Program Files (x86)\AstroGrep\AstroGrep.exe" /e /r /s /spath="%USERPROFILE%\AppData\Local\Temp\OnboardLogs" /stypes="*4024*201712102*"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4024</v>
      </c>
      <c r="V23" s="31">
        <f t="shared" si="3"/>
        <v>43079.983449074069</v>
      </c>
      <c r="W23" s="45" t="str">
        <f t="shared" si="4"/>
        <v>EC</v>
      </c>
      <c r="X23" s="228">
        <f t="shared" si="5"/>
        <v>199</v>
      </c>
      <c r="Y23" s="238" t="str">
        <f t="shared" si="6"/>
        <v>echo {"issue":{"subject":"","project_id":79,"tracker_id":40,"status_id":1,"priority_id":2,"assigned_to_id":338,"start_date":"2017-12-10","description":"","custom_fields":[{"id":1,"name":"Subdivision","value":"EC"},{"id":4,"name":"Milepost","value":"23.3491"},{"id":17,"name":"Train ID","value":"199-10"},{"id":16,"name":"Locomotive ID","value":"4024"},{"id":130,"name":"Impact","value":""},{"id":150,"name":"Time of Event (Mountain Time)","value":"16:36:10"},{"id":151,"name":"Denver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/c/Users/stu/AppData/Local/Temp/OnboardLogs/RTDC4024 --include="*4024*201712102*"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"%USERPROFILE%\AppData\Local\Temp\OnboardLogs"\RTDC4024\*4024*201712102* &gt;&gt; 2017-12-10-SliceDisagreementCheck.txt</v>
      </c>
      <c r="AE23" s="144" t="str">
        <f t="shared" si="9"/>
        <v>start /low /b %USERPROFILE%\Documents\GitHub\eaglep3\Utilities\DownloadLogsFromS3.py --loco 4024 --day 2017-12-10</v>
      </c>
      <c r="AF23" s="1"/>
    </row>
    <row r="24" spans="1:32" x14ac:dyDescent="0.3">
      <c r="A24" s="31">
        <v>43079.385208333333</v>
      </c>
      <c r="B24" s="30" t="s">
        <v>450</v>
      </c>
      <c r="C24" s="30" t="s">
        <v>736</v>
      </c>
      <c r="D24" s="30" t="s">
        <v>49</v>
      </c>
      <c r="E24" s="30" t="s">
        <v>190</v>
      </c>
      <c r="F24" s="42">
        <v>300</v>
      </c>
      <c r="G24" s="42">
        <v>555</v>
      </c>
      <c r="H24" s="42">
        <v>18078</v>
      </c>
      <c r="I24" s="42">
        <v>19974</v>
      </c>
      <c r="J24" s="30" t="s">
        <v>191</v>
      </c>
      <c r="K24" s="42">
        <v>21299</v>
      </c>
      <c r="L24" s="131" t="s">
        <v>50</v>
      </c>
      <c r="M24" s="132">
        <f t="shared" si="0"/>
        <v>699.6</v>
      </c>
      <c r="N24" s="133" t="str">
        <f>VLOOKUP(C24,'Trips&amp;Operators'!$C$1:$G$99911,5,FALSE)</f>
        <v>MACDONALD THOMAS</v>
      </c>
      <c r="O24" s="175" t="s">
        <v>178</v>
      </c>
      <c r="P24" s="239"/>
      <c r="Q24" s="30"/>
      <c r="R24" s="81" t="str">
        <f>VLOOKUP(C24,'Train Runs'!$A$13:$AE$10166,31,0)</f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S24" s="84" t="str">
        <f>VLOOKUP(C24,'Train Runs'!$A$13:$AE$10166,22,0)</f>
        <v>https://d0f6bd738d7f1b3e5a7ca70fe4ff75f0.us-east-1.aws.found.io/app/kibana#/discover/Steve-Slow-Train-Analysis-(2080s-and-2083s)?_g=(refreshInterval:(display:Off,pause:!f,section:0,value:0),time:(from:'2017-12-10T08:05:07-0700',mode:absolute,to:'2017-12-10T10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4" s="86" t="str">
        <f t="shared" si="1"/>
        <v>"C:\Program Files (x86)\AstroGrep\AstroGrep.exe" /e /r /s /spath="%USERPROFILE%\AppData\Local\Temp\OnboardLogs" /stypes="*4042*201712101*"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4042</v>
      </c>
      <c r="V24" s="31">
        <f t="shared" si="3"/>
        <v>43079.676874999997</v>
      </c>
      <c r="W24" s="45" t="str">
        <f t="shared" si="4"/>
        <v>NW</v>
      </c>
      <c r="X24" s="228">
        <f t="shared" si="5"/>
        <v>1807</v>
      </c>
      <c r="Y24" s="238" t="str">
        <f t="shared" si="6"/>
        <v>echo {"issue":{"subject":"","project_id":79,"tracker_id":40,"status_id":1,"priority_id":2,"assigned_to_id":338,"start_date":"2017-12-10","description":"","custom_fields":[{"id":1,"name":"Subdivision","value":"NW"},{"id":4,"name":"Milepost","value":"2.1299"},{"id":17,"name":"Train ID","value":"1807-10"},{"id":16,"name":"Locomotive ID","value":"4042"},{"id":130,"name":"Impact","value":""},{"id":150,"name":"Time of Event (Mountain Time)","value":"09:14:42"},{"id":151,"name":"Denver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/c/Users/stu/AppData/Local/Temp/OnboardLogs/RTDC4042 --include="*4042*201712101*"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"%USERPROFILE%\AppData\Local\Temp\OnboardLogs"\RTDC4042\*4042*201712101* &gt;&gt; 2017-12-10-SliceDisagreementCheck.txt</v>
      </c>
      <c r="AE24" s="144" t="str">
        <f t="shared" si="9"/>
        <v>start /low /b %USERPROFILE%\Documents\GitHub\eaglep3\Utilities\DownloadLogsFromS3.py --loco 4042 --day 2017-12-10</v>
      </c>
      <c r="AF24" s="1"/>
    </row>
    <row r="25" spans="1:32" x14ac:dyDescent="0.3">
      <c r="A25" s="31">
        <v>43079.722280092596</v>
      </c>
      <c r="B25" s="30" t="s">
        <v>450</v>
      </c>
      <c r="C25" s="30" t="s">
        <v>746</v>
      </c>
      <c r="D25" s="30" t="s">
        <v>49</v>
      </c>
      <c r="E25" s="30" t="s">
        <v>190</v>
      </c>
      <c r="F25" s="42">
        <v>150</v>
      </c>
      <c r="G25" s="42">
        <v>335</v>
      </c>
      <c r="H25" s="42">
        <v>55585</v>
      </c>
      <c r="I25" s="42">
        <v>56213</v>
      </c>
      <c r="J25" s="30" t="s">
        <v>191</v>
      </c>
      <c r="K25" s="42">
        <v>57008</v>
      </c>
      <c r="L25" s="131" t="s">
        <v>50</v>
      </c>
      <c r="M25" s="132">
        <f t="shared" si="0"/>
        <v>419.76</v>
      </c>
      <c r="N25" s="133" t="str">
        <f>VLOOKUP(C25,'Trips&amp;Operators'!$C$1:$G$99911,5,FALSE)</f>
        <v>HOLCOMB KAMDEN</v>
      </c>
      <c r="O25" s="175" t="s">
        <v>178</v>
      </c>
      <c r="P25" s="239"/>
      <c r="Q25" s="30"/>
      <c r="R25" s="81" t="str">
        <f>VLOOKUP(C25,'Train Runs'!$A$13:$AE$10166,31,0)</f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S25" s="84" t="str">
        <f>VLOOKUP(C25,'Train Runs'!$A$13:$AE$10166,22,0)</f>
        <v>https://d0f6bd738d7f1b3e5a7ca70fe4ff75f0.us-east-1.aws.found.io/app/kibana#/discover/Steve-Slow-Train-Analysis-(2080s-and-2083s)?_g=(refreshInterval:(display:Off,pause:!f,section:0,value:0),time:(from:'2017-12-10T16:04:39-0700',mode:absolute,to:'2017-12-10T18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86" t="str">
        <f t="shared" si="1"/>
        <v>"C:\Program Files (x86)\AstroGrep\AstroGrep.exe" /e /r /s /spath="%USERPROFILE%\AppData\Local\Temp\OnboardLogs" /stypes="*4042*201712110*" /stext=" 00:.+((SYSTEM_STATE.+slice.+state.+changed )|(ment ac)|(multiple cpu faults)|(system.+state.+changed )|(\[timeout)|(PRM\|1\|D)|(kpr)|(kdp)|(train st.+moving)|(\|lc)|(penalty))"</v>
      </c>
      <c r="U25" s="9" t="str">
        <f t="shared" si="2"/>
        <v>4042</v>
      </c>
      <c r="V25" s="31">
        <f t="shared" si="3"/>
        <v>43080.01394675926</v>
      </c>
      <c r="W25" s="45" t="str">
        <f t="shared" si="4"/>
        <v>NW</v>
      </c>
      <c r="X25" s="228">
        <f t="shared" si="5"/>
        <v>1823</v>
      </c>
      <c r="Y25" s="238" t="str">
        <f t="shared" si="6"/>
        <v>echo {"issue":{"subject":"","project_id":79,"tracker_id":40,"status_id":1,"priority_id":2,"assigned_to_id":338,"start_date":"2017-12-10","description":"","custom_fields":[{"id":1,"name":"Subdivision","value":"NW"},{"id":4,"name":"Milepost","value":"5.7008"},{"id":17,"name":"Train ID","value":"1823-10"},{"id":16,"name":"Locomotive ID","value":"4042"},{"id":130,"name":"Impact","value":""},{"id":150,"name":"Time of Event (Mountain Time)","value":"17:20:05"},{"id":151,"name":"Denver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/c/Users/stu/AppData/Local/Temp/OnboardLogs/RTDC4042 --include="*4042*201712110*"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"%USERPROFILE%\AppData\Local\Temp\OnboardLogs"\RTDC4042\*4042*201712110* &gt;&gt; 2017-12-10-SliceDisagreementCheck.txt</v>
      </c>
      <c r="AE25" s="144" t="str">
        <f t="shared" si="9"/>
        <v>start /low /b %USERPROFILE%\Documents\GitHub\eaglep3\Utilities\DownloadLogsFromS3.py --loco 4042 --day 2017-12-11</v>
      </c>
      <c r="AF25" s="1"/>
    </row>
    <row r="26" spans="1:32" x14ac:dyDescent="0.3">
      <c r="A26" s="31">
        <v>43079.704942129632</v>
      </c>
      <c r="B26" s="30" t="s">
        <v>743</v>
      </c>
      <c r="C26" s="30" t="s">
        <v>744</v>
      </c>
      <c r="D26" s="30" t="s">
        <v>49</v>
      </c>
      <c r="E26" s="30" t="s">
        <v>593</v>
      </c>
      <c r="F26" s="42">
        <v>0</v>
      </c>
      <c r="G26" s="42">
        <v>142</v>
      </c>
      <c r="H26" s="42">
        <v>587</v>
      </c>
      <c r="I26" s="42">
        <v>484</v>
      </c>
      <c r="J26" s="30" t="s">
        <v>594</v>
      </c>
      <c r="K26" s="42">
        <v>1</v>
      </c>
      <c r="L26" s="131" t="s">
        <v>51</v>
      </c>
      <c r="M26" s="132">
        <f t="shared" si="0"/>
        <v>255.024</v>
      </c>
      <c r="N26" s="133" t="str">
        <f>VLOOKUP(C26,'Trips&amp;Operators'!$C$1:$G$99911,5,FALSE)</f>
        <v>HOLCOMB KAMDEN</v>
      </c>
      <c r="O26" s="175" t="s">
        <v>178</v>
      </c>
      <c r="P26" s="239"/>
      <c r="Q26" s="30"/>
      <c r="R26" s="81" t="str">
        <f>VLOOKUP(C26,'Train Runs'!$A$13:$AE$10166,31,0)</f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S26" s="84" t="str">
        <f>VLOOKUP(C26,'Train Runs'!$A$13:$AE$10166,22,0)</f>
        <v>https://d0f6bd738d7f1b3e5a7ca70fe4ff75f0.us-east-1.aws.found.io/app/kibana#/discover/Steve-Slow-Train-Analysis-(2080s-and-2083s)?_g=(refreshInterval:(display:Off,pause:!f,section:0,value:0),time:(from:'2017-12-10T15:24:07-0700',mode:absolute,to:'2017-12-10T17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 t="shared" si="1"/>
        <v>"C:\Program Files (x86)\AstroGrep\AstroGrep.exe" /e /r /s /spath="%USERPROFILE%\AppData\Local\Temp\OnboardLogs" /stypes="*4041*201712102*"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4041</v>
      </c>
      <c r="V26" s="31">
        <f t="shared" si="3"/>
        <v>43079.996608796297</v>
      </c>
      <c r="W26" s="45" t="str">
        <f t="shared" si="4"/>
        <v>NW</v>
      </c>
      <c r="X26" s="228">
        <f t="shared" si="5"/>
        <v>1822</v>
      </c>
      <c r="Y26" s="238" t="str">
        <f t="shared" si="6"/>
        <v>echo {"issue":{"subject":"","project_id":79,"tracker_id":40,"status_id":1,"priority_id":2,"assigned_to_id":338,"start_date":"2017-12-10","description":"","custom_fields":[{"id":1,"name":"Subdivision","value":"NW"},{"id":4,"name":"Milepost","value":"0.0001"},{"id":17,"name":"Train ID","value":"1822-10"},{"id":16,"name":"Locomotive ID","value":"4041"},{"id":130,"name":"Impact","value":""},{"id":150,"name":"Time of Event (Mountain Time)","value":"16:55:07"},{"id":151,"name":"Denver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/c/Users/stu/AppData/Local/Temp/OnboardLogs/RTDC4041 --include="*4041*201712102*"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"%USERPROFILE%\AppData\Local\Temp\OnboardLogs"\RTDC4041\*4041*201712102* &gt;&gt; 2017-12-10-SliceDisagreementCheck.txt</v>
      </c>
      <c r="AE26" s="144" t="str">
        <f t="shared" si="9"/>
        <v>start /low /b %USERPROFILE%\Documents\GitHub\eaglep3\Utilities\DownloadLogsFromS3.py --loco 4041 --day 2017-12-10</v>
      </c>
      <c r="AF26" s="1"/>
    </row>
    <row r="27" spans="1:32" x14ac:dyDescent="0.3">
      <c r="A27" s="31">
        <v>43079.142604166664</v>
      </c>
      <c r="B27" s="30" t="s">
        <v>511</v>
      </c>
      <c r="C27" s="30" t="s">
        <v>730</v>
      </c>
      <c r="D27" s="30" t="s">
        <v>49</v>
      </c>
      <c r="E27" s="30" t="s">
        <v>452</v>
      </c>
      <c r="F27" s="42">
        <v>0</v>
      </c>
      <c r="G27" s="42">
        <v>193</v>
      </c>
      <c r="H27" s="42">
        <v>14406</v>
      </c>
      <c r="I27" s="42">
        <v>14042</v>
      </c>
      <c r="J27" s="30" t="s">
        <v>453</v>
      </c>
      <c r="K27" s="42">
        <v>14177</v>
      </c>
      <c r="L27" s="131" t="s">
        <v>51</v>
      </c>
      <c r="M27" s="132">
        <f t="shared" si="0"/>
        <v>-71.28</v>
      </c>
      <c r="N27" s="133" t="str">
        <f>VLOOKUP(C27,'Trips&amp;Operators'!$C$1:$G$99911,5,FALSE)</f>
        <v>MAELZER KURT</v>
      </c>
      <c r="O27" s="175" t="s">
        <v>178</v>
      </c>
      <c r="P27" s="239"/>
      <c r="Q27" s="30"/>
      <c r="R27" s="81" t="str">
        <f>VLOOKUP(C27,'Train Runs'!$A$13:$AE$10166,31,0)</f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S27" s="84" t="str">
        <f>VLOOKUP(C27,'Train Runs'!$A$13:$AE$10166,22,0)</f>
        <v>https://d0f6bd738d7f1b3e5a7ca70fe4ff75f0.us-east-1.aws.found.io/app/kibana#/discover/Steve-Slow-Train-Analysis-(2080s-and-2083s)?_g=(refreshInterval:(display:Off,pause:!f,section:0,value:0),time:(from:'2017-12-10T02:12:04-0700',mode:absolute,to:'2017-12-10T04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7" s="86" t="str">
        <f t="shared" si="1"/>
        <v>"C:\Program Files (x86)\AstroGrep\AstroGrep.exe" /e /r /s /spath="%USERPROFILE%\AppData\Local\Temp\OnboardLogs" /stypes="*4023*201712101*" /stext=" 10:.+((SYSTEM_STATE.+slice.+state.+changed )|(ment ac)|(multiple cpu faults)|(system.+state.+changed )|(\[timeout)|(PRM\|1\|D)|(kpr)|(kdp)|(train st.+moving)|(\|lc)|(penalty))"</v>
      </c>
      <c r="U27" s="9" t="str">
        <f t="shared" si="2"/>
        <v>4023</v>
      </c>
      <c r="V27" s="31">
        <f t="shared" si="3"/>
        <v>43079.434270833328</v>
      </c>
      <c r="W27" s="45" t="str">
        <f t="shared" si="4"/>
        <v>Other</v>
      </c>
      <c r="X27" s="228">
        <f t="shared" si="5"/>
        <v>302</v>
      </c>
      <c r="Y27" s="238" t="str">
        <f t="shared" si="6"/>
        <v>echo {"issue":{"subject":"","project_id":79,"tracker_id":40,"status_id":1,"priority_id":2,"assigned_to_id":338,"start_date":"2017-12-10","description":"","custom_fields":[{"id":1,"name":"Subdivision","value":"Other"},{"id":4,"name":"Milepost","value":"1.4177"},{"id":17,"name":"Train ID","value":"302-10"},{"id":16,"name":"Locomotive ID","value":"4023"},{"id":130,"name":"Impact","value":""},{"id":150,"name":"Time of Event (Mountain Time)","value":"03:25:21"},{"id":151,"name":"Denver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/c/Users/stu/AppData/Local/Temp/OnboardLogs/RTDC4023 --include="*4023*201712101*"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"%USERPROFILE%\AppData\Local\Temp\OnboardLogs"\RTDC4023\*4023*201712101* &gt;&gt; 2017-12-10-SliceDisagreementCheck.txt</v>
      </c>
      <c r="AE27" s="144" t="str">
        <f t="shared" si="9"/>
        <v>start /low /b %USERPROFILE%\Documents\GitHub\eaglep3\Utilities\DownloadLogsFromS3.py --loco 4023 --day 2017-12-10</v>
      </c>
      <c r="AF27" s="1"/>
    </row>
  </sheetData>
  <autoFilter ref="A6:AC15">
    <sortState ref="A7:AC27">
      <sortCondition ref="W7:W27"/>
      <sortCondition ref="E7:E27"/>
      <sortCondition ref="K7:K27"/>
      <sortCondition ref="F7:F27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2017-12-10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-10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" s="30" t="e">
        <f>VLOOKUP(B3,'Train Runs'!$A$13:$A$100163,1,FALSE)</f>
        <v>#N/A</v>
      </c>
    </row>
    <row r="4" spans="1:10" x14ac:dyDescent="0.3">
      <c r="A4" s="197"/>
      <c r="B4" s="42" t="str">
        <f>A4&amp;"-"&amp;IF(DAY(Variables!$A$2)&lt;10,0,"")&amp;DAY(Variables!$A$2)</f>
        <v>-10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Runs'!$A$13:$A$100163,1,FALSE)</f>
        <v>#N/A</v>
      </c>
    </row>
    <row r="5" spans="1:10" x14ac:dyDescent="0.3">
      <c r="A5" s="197"/>
      <c r="B5" s="42" t="str">
        <f>A5&amp;"-"&amp;IF(DAY(Variables!$A$2)&lt;10,0,"")&amp;DAY(Variables!$A$2)</f>
        <v>-10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Runs'!$A$13:$A$100163,1,FALSE)</f>
        <v>#N/A</v>
      </c>
    </row>
    <row r="6" spans="1:10" x14ac:dyDescent="0.3">
      <c r="A6" s="197"/>
      <c r="B6" s="42" t="str">
        <f>A6&amp;"-"&amp;IF(DAY(Variables!$A$2)&lt;10,0,"")&amp;DAY(Variables!$A$2)</f>
        <v>-10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Runs'!$A$13:$A$100163,1,FALSE)</f>
        <v>#N/A</v>
      </c>
    </row>
    <row r="7" spans="1:10" x14ac:dyDescent="0.3">
      <c r="A7" s="197"/>
      <c r="B7" s="42" t="str">
        <f>A7&amp;"-"&amp;IF(DAY(Variables!$A$2)&lt;10,0,"")&amp;DAY(Variables!$A$2)</f>
        <v>-10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Runs'!$A$13:$A$100163,1,FALSE)</f>
        <v>#N/A</v>
      </c>
    </row>
    <row r="8" spans="1:10" x14ac:dyDescent="0.3">
      <c r="A8" s="197"/>
      <c r="B8" s="42" t="str">
        <f>A8&amp;"-"&amp;IF(DAY(Variables!$A$2)&lt;10,0,"")&amp;DAY(Variables!$A$2)</f>
        <v>-10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Runs'!$A$13:$A$100163,1,FALSE)</f>
        <v>#N/A</v>
      </c>
    </row>
    <row r="9" spans="1:10" x14ac:dyDescent="0.3">
      <c r="A9" s="197"/>
      <c r="B9" s="42" t="str">
        <f>A9&amp;"-"&amp;IF(DAY(Variables!$A$2)&lt;10,0,"")&amp;DAY(Variables!$A$2)</f>
        <v>-10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Runs'!$A$13:$A$100163,1,FALSE)</f>
        <v>#N/A</v>
      </c>
    </row>
    <row r="10" spans="1:10" x14ac:dyDescent="0.3">
      <c r="A10" s="197"/>
      <c r="B10" s="42" t="str">
        <f>A10&amp;"-"&amp;IF(DAY(Variables!$A$2)&lt;10,0,"")&amp;DAY(Variables!$A$2)</f>
        <v>-10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Runs'!$A$13:$A$100163,1,FALSE)</f>
        <v>#N/A</v>
      </c>
    </row>
    <row r="11" spans="1:10" x14ac:dyDescent="0.3">
      <c r="A11" s="197"/>
      <c r="B11" s="42" t="str">
        <f>A11&amp;"-"&amp;IF(DAY(Variables!$A$2)&lt;10,0,"")&amp;DAY(Variables!$A$2)</f>
        <v>-10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Runs'!$A$13:$A$100163,1,FALSE)</f>
        <v>#N/A</v>
      </c>
    </row>
    <row r="12" spans="1:10" x14ac:dyDescent="0.3">
      <c r="A12" s="197"/>
      <c r="B12" s="42" t="str">
        <f>A12&amp;"-"&amp;IF(DAY(Variables!$A$2)&lt;10,0,"")&amp;DAY(Variables!$A$2)</f>
        <v>-10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Runs'!$A$13:$A$100163,1,FALSE)</f>
        <v>#N/A</v>
      </c>
    </row>
    <row r="13" spans="1:10" x14ac:dyDescent="0.3">
      <c r="A13" s="197"/>
      <c r="B13" s="42" t="str">
        <f>A13&amp;"-"&amp;IF(DAY(Variables!$A$2)&lt;10,0,"")&amp;DAY(Variables!$A$2)</f>
        <v>-10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Runs'!$A$13:$A$100163,1,FALSE)</f>
        <v>#N/A</v>
      </c>
    </row>
    <row r="14" spans="1:10" x14ac:dyDescent="0.3">
      <c r="A14" s="197"/>
      <c r="B14" s="42" t="str">
        <f>A14&amp;"-"&amp;IF(DAY(Variables!$A$2)&lt;10,0,"")&amp;DAY(Variables!$A$2)</f>
        <v>-10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Runs'!$A$13:$A$100163,1,FALSE)</f>
        <v>#N/A</v>
      </c>
    </row>
    <row r="15" spans="1:10" x14ac:dyDescent="0.3">
      <c r="A15" s="197"/>
      <c r="B15" s="42" t="str">
        <f>A15&amp;"-"&amp;IF(DAY(Variables!$A$2)&lt;10,0,"")&amp;DAY(Variables!$A$2)</f>
        <v>-10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Runs'!$A$13:$A$100163,1,FALSE)</f>
        <v>#N/A</v>
      </c>
    </row>
    <row r="16" spans="1:10" x14ac:dyDescent="0.3">
      <c r="A16" s="197"/>
      <c r="B16" s="42" t="str">
        <f>A16&amp;"-"&amp;IF(DAY(Variables!$A$2)&lt;10,0,"")&amp;DAY(Variables!$A$2)</f>
        <v>-10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Runs'!$A$13:$A$100163,1,FALSE)</f>
        <v>#N/A</v>
      </c>
    </row>
    <row r="17" spans="1:10" x14ac:dyDescent="0.3">
      <c r="A17" s="197"/>
      <c r="B17" s="42" t="str">
        <f>A17&amp;"-"&amp;IF(DAY(Variables!$A$2)&lt;10,0,"")&amp;DAY(Variables!$A$2)</f>
        <v>-10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Runs'!$A$13:$A$100163,1,FALSE)</f>
        <v>#N/A</v>
      </c>
    </row>
    <row r="18" spans="1:10" x14ac:dyDescent="0.3">
      <c r="A18" s="197"/>
      <c r="B18" s="42" t="str">
        <f>A18&amp;"-"&amp;IF(DAY(Variables!$A$2)&lt;10,0,"")&amp;DAY(Variables!$A$2)</f>
        <v>-10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Runs'!$A$13:$A$100163,1,FALSE)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5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43079.031759259262</v>
      </c>
      <c r="B2" s="20" t="s">
        <v>514</v>
      </c>
      <c r="C2" s="20" t="s">
        <v>662</v>
      </c>
      <c r="D2" s="137">
        <v>3310000</v>
      </c>
      <c r="E2" s="20" t="s">
        <v>543</v>
      </c>
      <c r="F2" s="20" t="s">
        <v>544</v>
      </c>
      <c r="G2" s="8" t="str">
        <f>E2&amp;" "&amp;F2</f>
        <v>ANDERS STEVEN</v>
      </c>
      <c r="H2" t="str">
        <f>MID(B2,13,4)</f>
        <v>4006</v>
      </c>
    </row>
    <row r="3" spans="1:8" x14ac:dyDescent="0.3">
      <c r="A3" s="8">
        <v>43079.048611111109</v>
      </c>
      <c r="B3" s="20" t="s">
        <v>497</v>
      </c>
      <c r="C3" s="20" t="s">
        <v>668</v>
      </c>
      <c r="D3" s="137">
        <v>3000000</v>
      </c>
      <c r="E3" s="20" t="s">
        <v>481</v>
      </c>
      <c r="F3" s="20" t="s">
        <v>482</v>
      </c>
      <c r="G3" s="8" t="str">
        <f t="shared" ref="G3:G66" si="0">E3&amp;" "&amp;F3</f>
        <v>FORTUNATO FRANK</v>
      </c>
      <c r="H3" s="20" t="str">
        <f t="shared" ref="H3:H66" si="1">MID(B3,13,4)</f>
        <v>4014</v>
      </c>
    </row>
    <row r="4" spans="1:8" x14ac:dyDescent="0.3">
      <c r="A4" s="8">
        <v>43079.057233796295</v>
      </c>
      <c r="B4" s="20" t="s">
        <v>361</v>
      </c>
      <c r="C4" s="20" t="s">
        <v>669</v>
      </c>
      <c r="D4" s="137">
        <v>3320000</v>
      </c>
      <c r="E4" s="20" t="s">
        <v>363</v>
      </c>
      <c r="F4" s="20" t="s">
        <v>364</v>
      </c>
      <c r="G4" s="8" t="str">
        <f t="shared" si="0"/>
        <v>NICHOLSON WESLEY</v>
      </c>
      <c r="H4" s="20" t="str">
        <f t="shared" si="1"/>
        <v>4007</v>
      </c>
    </row>
    <row r="5" spans="1:8" x14ac:dyDescent="0.3">
      <c r="A5" s="8">
        <v>43079.066319444442</v>
      </c>
      <c r="B5" s="20" t="s">
        <v>391</v>
      </c>
      <c r="C5" s="20" t="s">
        <v>670</v>
      </c>
      <c r="D5" s="137">
        <v>3340000</v>
      </c>
      <c r="E5" s="20" t="s">
        <v>471</v>
      </c>
      <c r="F5" s="20" t="s">
        <v>472</v>
      </c>
      <c r="G5" s="8" t="str">
        <f t="shared" si="0"/>
        <v>ELBAUM MIKE</v>
      </c>
      <c r="H5" s="20" t="str">
        <f t="shared" si="1"/>
        <v>4028</v>
      </c>
    </row>
    <row r="6" spans="1:8" x14ac:dyDescent="0.3">
      <c r="A6" s="8">
        <v>43079.079004629632</v>
      </c>
      <c r="B6" s="20" t="s">
        <v>518</v>
      </c>
      <c r="C6" s="20" t="s">
        <v>671</v>
      </c>
      <c r="D6" s="137">
        <v>3310000</v>
      </c>
      <c r="E6" s="20" t="s">
        <v>543</v>
      </c>
      <c r="F6" s="20" t="s">
        <v>544</v>
      </c>
      <c r="G6" s="8" t="str">
        <f t="shared" si="0"/>
        <v>ANDERS STEVEN</v>
      </c>
      <c r="H6" s="20" t="str">
        <f t="shared" si="1"/>
        <v>4005</v>
      </c>
    </row>
    <row r="7" spans="1:8" x14ac:dyDescent="0.3">
      <c r="A7" s="8">
        <v>43079.091377314813</v>
      </c>
      <c r="B7" s="20" t="s">
        <v>356</v>
      </c>
      <c r="C7" s="20" t="s">
        <v>672</v>
      </c>
      <c r="D7" s="137">
        <v>3320000</v>
      </c>
      <c r="E7" s="20" t="s">
        <v>363</v>
      </c>
      <c r="F7" s="20" t="s">
        <v>364</v>
      </c>
      <c r="G7" s="8" t="str">
        <f t="shared" si="0"/>
        <v>NICHOLSON WESLEY</v>
      </c>
      <c r="H7" s="20" t="str">
        <f t="shared" si="1"/>
        <v>4008</v>
      </c>
    </row>
    <row r="8" spans="1:8" x14ac:dyDescent="0.3">
      <c r="A8" s="8">
        <v>43079.114583333336</v>
      </c>
      <c r="B8" s="20" t="s">
        <v>371</v>
      </c>
      <c r="C8" s="20" t="s">
        <v>673</v>
      </c>
      <c r="D8" s="137">
        <v>3120000</v>
      </c>
      <c r="E8" s="20" t="s">
        <v>369</v>
      </c>
      <c r="F8" s="20" t="s">
        <v>560</v>
      </c>
      <c r="G8" s="8" t="str">
        <f t="shared" si="0"/>
        <v>THOMPSON LESTER</v>
      </c>
      <c r="H8" s="20" t="str">
        <f t="shared" si="1"/>
        <v>4011</v>
      </c>
    </row>
    <row r="9" spans="1:8" ht="15" thickBot="1" x14ac:dyDescent="0.35">
      <c r="A9" s="24">
        <v>43079.115590277775</v>
      </c>
      <c r="B9" s="20" t="s">
        <v>371</v>
      </c>
      <c r="C9" s="20" t="s">
        <v>673</v>
      </c>
      <c r="D9" s="137">
        <v>3120000</v>
      </c>
      <c r="E9" s="20" t="s">
        <v>369</v>
      </c>
      <c r="F9" s="20" t="s">
        <v>560</v>
      </c>
      <c r="G9" s="8" t="str">
        <f t="shared" si="0"/>
        <v>THOMPSON LESTER</v>
      </c>
      <c r="H9" s="20" t="str">
        <f t="shared" si="1"/>
        <v>4011</v>
      </c>
    </row>
    <row r="10" spans="1:8" x14ac:dyDescent="0.3">
      <c r="A10" s="8">
        <v>43079.118206018517</v>
      </c>
      <c r="B10" s="20" t="s">
        <v>514</v>
      </c>
      <c r="C10" s="20" t="s">
        <v>757</v>
      </c>
      <c r="D10" s="137">
        <v>3310000</v>
      </c>
      <c r="E10" s="20" t="s">
        <v>543</v>
      </c>
      <c r="F10" s="20" t="s">
        <v>544</v>
      </c>
      <c r="G10" s="8" t="str">
        <f t="shared" si="0"/>
        <v>ANDERS STEVEN</v>
      </c>
      <c r="H10" s="20" t="str">
        <f t="shared" si="1"/>
        <v>4006</v>
      </c>
    </row>
    <row r="11" spans="1:8" x14ac:dyDescent="0.3">
      <c r="A11" s="8">
        <v>43079.127118055556</v>
      </c>
      <c r="B11" s="20" t="s">
        <v>370</v>
      </c>
      <c r="C11" s="20" t="s">
        <v>758</v>
      </c>
      <c r="D11" s="137">
        <v>3180000</v>
      </c>
      <c r="E11" s="20" t="s">
        <v>520</v>
      </c>
      <c r="F11" s="20" t="s">
        <v>521</v>
      </c>
      <c r="G11" s="8" t="str">
        <f t="shared" si="0"/>
        <v>HUFFSMITH MONTY</v>
      </c>
      <c r="H11" s="20" t="str">
        <f t="shared" si="1"/>
        <v>4012</v>
      </c>
    </row>
    <row r="12" spans="1:8" x14ac:dyDescent="0.3">
      <c r="A12" s="8">
        <v>43079.13690972222</v>
      </c>
      <c r="B12" s="20" t="s">
        <v>665</v>
      </c>
      <c r="C12" s="20" t="s">
        <v>759</v>
      </c>
      <c r="D12" s="137">
        <v>3120000</v>
      </c>
      <c r="E12" s="20" t="s">
        <v>369</v>
      </c>
      <c r="F12" s="20" t="s">
        <v>560</v>
      </c>
      <c r="G12" s="8" t="str">
        <f t="shared" si="0"/>
        <v>THOMPSON LESTER</v>
      </c>
      <c r="H12" s="20" t="str">
        <f t="shared" si="1"/>
        <v>4064</v>
      </c>
    </row>
    <row r="13" spans="1:8" x14ac:dyDescent="0.3">
      <c r="A13" s="8">
        <v>43079.137164351851</v>
      </c>
      <c r="B13" s="20" t="s">
        <v>511</v>
      </c>
      <c r="C13" s="20" t="s">
        <v>730</v>
      </c>
      <c r="D13" s="137">
        <v>2010000</v>
      </c>
      <c r="E13" s="20" t="s">
        <v>538</v>
      </c>
      <c r="F13" s="20" t="s">
        <v>539</v>
      </c>
      <c r="G13" s="8" t="str">
        <f t="shared" si="0"/>
        <v>MAELZER KURT</v>
      </c>
      <c r="H13" s="20" t="str">
        <f t="shared" si="1"/>
        <v>4023</v>
      </c>
    </row>
    <row r="14" spans="1:8" x14ac:dyDescent="0.3">
      <c r="A14" s="8">
        <v>43079.143217592595</v>
      </c>
      <c r="B14" s="20" t="s">
        <v>371</v>
      </c>
      <c r="C14" s="20" t="s">
        <v>760</v>
      </c>
      <c r="D14" s="137">
        <v>3180000</v>
      </c>
      <c r="E14" s="20" t="s">
        <v>520</v>
      </c>
      <c r="F14" s="20" t="s">
        <v>521</v>
      </c>
      <c r="G14" s="8" t="str">
        <f t="shared" si="0"/>
        <v>HUFFSMITH MONTY</v>
      </c>
      <c r="H14" s="20" t="str">
        <f t="shared" si="1"/>
        <v>4011</v>
      </c>
    </row>
    <row r="15" spans="1:8" x14ac:dyDescent="0.3">
      <c r="A15" s="8">
        <v>43079.150543981479</v>
      </c>
      <c r="B15" s="20" t="s">
        <v>519</v>
      </c>
      <c r="C15" s="20" t="s">
        <v>761</v>
      </c>
      <c r="D15" s="137">
        <v>2010000</v>
      </c>
      <c r="E15" s="20" t="s">
        <v>538</v>
      </c>
      <c r="F15" s="20" t="s">
        <v>539</v>
      </c>
      <c r="G15" s="8" t="str">
        <f t="shared" si="0"/>
        <v>MAELZER KURT</v>
      </c>
      <c r="H15" s="20" t="str">
        <f t="shared" si="1"/>
        <v>4024</v>
      </c>
    </row>
    <row r="16" spans="1:8" x14ac:dyDescent="0.3">
      <c r="A16" s="8">
        <v>43079.159236111111</v>
      </c>
      <c r="B16" s="20" t="s">
        <v>559</v>
      </c>
      <c r="C16" s="20" t="s">
        <v>762</v>
      </c>
      <c r="D16" s="137">
        <v>2440000</v>
      </c>
      <c r="E16" s="20" t="s">
        <v>457</v>
      </c>
      <c r="F16" s="20" t="s">
        <v>458</v>
      </c>
      <c r="G16" s="8" t="str">
        <f t="shared" si="0"/>
        <v>LOPES KIMBERLY</v>
      </c>
      <c r="H16" s="20" t="str">
        <f t="shared" si="1"/>
        <v>4009</v>
      </c>
    </row>
    <row r="17" spans="1:8" x14ac:dyDescent="0.3">
      <c r="A17" s="8">
        <v>43079.166944444441</v>
      </c>
      <c r="B17" s="20" t="s">
        <v>370</v>
      </c>
      <c r="C17" s="20" t="s">
        <v>763</v>
      </c>
      <c r="D17" s="137">
        <v>3180000</v>
      </c>
      <c r="E17" s="20" t="s">
        <v>520</v>
      </c>
      <c r="F17" s="20" t="s">
        <v>521</v>
      </c>
      <c r="G17" s="8" t="str">
        <f t="shared" si="0"/>
        <v>HUFFSMITH MONTY</v>
      </c>
      <c r="H17" s="20" t="str">
        <f t="shared" si="1"/>
        <v>4012</v>
      </c>
    </row>
    <row r="18" spans="1:8" x14ac:dyDescent="0.3">
      <c r="A18" s="8">
        <v>43079.168263888889</v>
      </c>
      <c r="B18" s="20" t="s">
        <v>370</v>
      </c>
      <c r="C18" s="20" t="s">
        <v>763</v>
      </c>
      <c r="D18" s="137">
        <v>3180000</v>
      </c>
      <c r="E18" s="20" t="s">
        <v>520</v>
      </c>
      <c r="F18" s="20" t="s">
        <v>521</v>
      </c>
      <c r="G18" s="8" t="str">
        <f t="shared" si="0"/>
        <v>HUFFSMITH MONTY</v>
      </c>
      <c r="H18" s="20" t="str">
        <f t="shared" si="1"/>
        <v>4012</v>
      </c>
    </row>
    <row r="19" spans="1:8" x14ac:dyDescent="0.3">
      <c r="A19" s="8">
        <v>43079.169571759259</v>
      </c>
      <c r="B19" s="20" t="s">
        <v>597</v>
      </c>
      <c r="C19" s="20" t="s">
        <v>762</v>
      </c>
      <c r="D19" s="137">
        <v>2440000</v>
      </c>
      <c r="E19" s="20" t="s">
        <v>457</v>
      </c>
      <c r="F19" s="20" t="s">
        <v>458</v>
      </c>
      <c r="G19" s="8" t="str">
        <f t="shared" si="0"/>
        <v>LOPES KIMBERLY</v>
      </c>
      <c r="H19" s="20" t="str">
        <f t="shared" si="1"/>
        <v>4044</v>
      </c>
    </row>
    <row r="20" spans="1:8" x14ac:dyDescent="0.3">
      <c r="A20" s="8">
        <v>43079.170162037037</v>
      </c>
      <c r="B20" s="20" t="s">
        <v>597</v>
      </c>
      <c r="C20" s="20" t="s">
        <v>762</v>
      </c>
      <c r="D20" s="137">
        <v>2440000</v>
      </c>
      <c r="E20" s="20" t="s">
        <v>457</v>
      </c>
      <c r="F20" s="20" t="s">
        <v>458</v>
      </c>
      <c r="G20" s="8" t="str">
        <f t="shared" si="0"/>
        <v>LOPES KIMBERLY</v>
      </c>
      <c r="H20" s="20" t="str">
        <f t="shared" si="1"/>
        <v>4044</v>
      </c>
    </row>
    <row r="21" spans="1:8" x14ac:dyDescent="0.3">
      <c r="A21" s="8">
        <v>43079.173356481479</v>
      </c>
      <c r="B21" s="20" t="s">
        <v>386</v>
      </c>
      <c r="C21" s="20" t="s">
        <v>764</v>
      </c>
      <c r="D21" s="137">
        <v>2370000</v>
      </c>
      <c r="E21" s="20" t="s">
        <v>570</v>
      </c>
      <c r="F21" s="20" t="s">
        <v>571</v>
      </c>
      <c r="G21" s="8" t="str">
        <f t="shared" si="0"/>
        <v>DELGADO DIANAH</v>
      </c>
      <c r="H21" s="20" t="str">
        <f t="shared" si="1"/>
        <v>4029</v>
      </c>
    </row>
    <row r="22" spans="1:8" x14ac:dyDescent="0.3">
      <c r="A22" s="26">
        <v>43079.17454861111</v>
      </c>
      <c r="B22" s="20" t="s">
        <v>664</v>
      </c>
      <c r="C22" s="20" t="s">
        <v>765</v>
      </c>
      <c r="D22" s="137">
        <v>3120000</v>
      </c>
      <c r="E22" s="20" t="s">
        <v>369</v>
      </c>
      <c r="F22" s="20" t="s">
        <v>560</v>
      </c>
      <c r="G22" s="8" t="str">
        <f t="shared" si="0"/>
        <v>THOMPSON LESTER</v>
      </c>
      <c r="H22" s="20" t="str">
        <f t="shared" si="1"/>
        <v>4063</v>
      </c>
    </row>
    <row r="23" spans="1:8" x14ac:dyDescent="0.3">
      <c r="A23" s="8">
        <v>43079.176921296297</v>
      </c>
      <c r="B23" s="20" t="s">
        <v>598</v>
      </c>
      <c r="C23" s="20" t="s">
        <v>762</v>
      </c>
      <c r="D23" s="137">
        <v>2440000</v>
      </c>
      <c r="E23" s="20" t="s">
        <v>457</v>
      </c>
      <c r="F23" s="20" t="s">
        <v>458</v>
      </c>
      <c r="G23" s="8" t="str">
        <f t="shared" si="0"/>
        <v>LOPES KIMBERLY</v>
      </c>
      <c r="H23" s="20" t="str">
        <f t="shared" si="1"/>
        <v>4043</v>
      </c>
    </row>
    <row r="24" spans="1:8" x14ac:dyDescent="0.3">
      <c r="A24" s="8">
        <v>43079.189085648148</v>
      </c>
      <c r="B24" s="20" t="s">
        <v>392</v>
      </c>
      <c r="C24" s="20" t="s">
        <v>766</v>
      </c>
      <c r="D24" s="137">
        <v>2370000</v>
      </c>
      <c r="E24" s="20" t="s">
        <v>570</v>
      </c>
      <c r="F24" s="20" t="s">
        <v>571</v>
      </c>
      <c r="G24" s="8" t="str">
        <f t="shared" si="0"/>
        <v>DELGADO DIANAH</v>
      </c>
      <c r="H24" s="20" t="str">
        <f t="shared" si="1"/>
        <v>4030</v>
      </c>
    </row>
    <row r="25" spans="1:8" x14ac:dyDescent="0.3">
      <c r="A25" s="8">
        <v>43079.191504629627</v>
      </c>
      <c r="B25" s="20" t="s">
        <v>511</v>
      </c>
      <c r="C25" s="20" t="s">
        <v>731</v>
      </c>
      <c r="D25" s="137">
        <v>2010000</v>
      </c>
      <c r="E25" s="20" t="s">
        <v>538</v>
      </c>
      <c r="F25" s="20" t="s">
        <v>539</v>
      </c>
      <c r="G25" s="8" t="str">
        <f t="shared" si="0"/>
        <v>MAELZER KURT</v>
      </c>
      <c r="H25" s="20" t="str">
        <f t="shared" si="1"/>
        <v>4023</v>
      </c>
    </row>
    <row r="26" spans="1:8" x14ac:dyDescent="0.3">
      <c r="A26" s="8">
        <v>43079.195925925924</v>
      </c>
      <c r="B26" s="20" t="s">
        <v>536</v>
      </c>
      <c r="C26" s="20" t="s">
        <v>767</v>
      </c>
      <c r="D26" s="137">
        <v>1100000</v>
      </c>
      <c r="E26" s="20" t="s">
        <v>561</v>
      </c>
      <c r="F26" s="20" t="s">
        <v>562</v>
      </c>
      <c r="G26" s="8" t="str">
        <f t="shared" si="0"/>
        <v>GEBRETEKLE DAGNEW</v>
      </c>
      <c r="H26" s="20" t="str">
        <f t="shared" si="1"/>
        <v>4032</v>
      </c>
    </row>
    <row r="27" spans="1:8" x14ac:dyDescent="0.3">
      <c r="A27" s="8">
        <v>43079.198912037034</v>
      </c>
      <c r="B27" s="20" t="s">
        <v>595</v>
      </c>
      <c r="C27" s="20" t="s">
        <v>768</v>
      </c>
      <c r="D27" s="137">
        <v>3040000</v>
      </c>
      <c r="E27" s="20" t="s">
        <v>368</v>
      </c>
      <c r="F27" s="20" t="s">
        <v>540</v>
      </c>
      <c r="G27" s="8" t="str">
        <f t="shared" si="0"/>
        <v>WILLIAMS DONTE</v>
      </c>
      <c r="H27" s="20" t="str">
        <f t="shared" si="1"/>
        <v>4033</v>
      </c>
    </row>
    <row r="28" spans="1:8" x14ac:dyDescent="0.3">
      <c r="A28" s="8">
        <v>43079.204513888886</v>
      </c>
      <c r="B28" s="20" t="s">
        <v>371</v>
      </c>
      <c r="C28" s="20" t="s">
        <v>769</v>
      </c>
      <c r="D28" s="137">
        <v>3180000</v>
      </c>
      <c r="E28" s="20" t="s">
        <v>520</v>
      </c>
      <c r="F28" s="20" t="s">
        <v>521</v>
      </c>
      <c r="G28" s="8" t="str">
        <f t="shared" si="0"/>
        <v>HUFFSMITH MONTY</v>
      </c>
      <c r="H28" s="20" t="str">
        <f t="shared" si="1"/>
        <v>4011</v>
      </c>
    </row>
    <row r="29" spans="1:8" x14ac:dyDescent="0.3">
      <c r="A29" s="8">
        <v>43079.206631944442</v>
      </c>
      <c r="B29" s="20" t="s">
        <v>665</v>
      </c>
      <c r="C29" s="20" t="s">
        <v>770</v>
      </c>
      <c r="D29" s="137">
        <v>3120000</v>
      </c>
      <c r="E29" s="20" t="s">
        <v>369</v>
      </c>
      <c r="F29" s="20" t="s">
        <v>560</v>
      </c>
      <c r="G29" s="8" t="str">
        <f t="shared" si="0"/>
        <v>THOMPSON LESTER</v>
      </c>
      <c r="H29" s="20" t="str">
        <f t="shared" si="1"/>
        <v>4064</v>
      </c>
    </row>
    <row r="30" spans="1:8" x14ac:dyDescent="0.3">
      <c r="A30" s="8">
        <v>43079.214849537035</v>
      </c>
      <c r="B30" s="20" t="s">
        <v>596</v>
      </c>
      <c r="C30" s="20" t="s">
        <v>771</v>
      </c>
      <c r="D30" s="137">
        <v>3040000</v>
      </c>
      <c r="E30" s="20" t="s">
        <v>368</v>
      </c>
      <c r="F30" s="20" t="s">
        <v>540</v>
      </c>
      <c r="G30" s="8" t="str">
        <f t="shared" si="0"/>
        <v>WILLIAMS DONTE</v>
      </c>
      <c r="H30" s="20" t="str">
        <f t="shared" si="1"/>
        <v>4034</v>
      </c>
    </row>
    <row r="31" spans="1:8" x14ac:dyDescent="0.3">
      <c r="A31" s="8">
        <v>43079.216400462959</v>
      </c>
      <c r="B31" s="20" t="s">
        <v>386</v>
      </c>
      <c r="C31" s="20" t="s">
        <v>772</v>
      </c>
      <c r="D31" s="137">
        <v>2370000</v>
      </c>
      <c r="E31" s="20" t="s">
        <v>570</v>
      </c>
      <c r="F31" s="20" t="s">
        <v>571</v>
      </c>
      <c r="G31" s="8" t="str">
        <f t="shared" si="0"/>
        <v>DELGADO DIANAH</v>
      </c>
      <c r="H31" s="20" t="str">
        <f t="shared" si="1"/>
        <v>4029</v>
      </c>
    </row>
    <row r="32" spans="1:8" x14ac:dyDescent="0.3">
      <c r="A32" s="8">
        <v>43079.223912037036</v>
      </c>
      <c r="B32" s="20" t="s">
        <v>537</v>
      </c>
      <c r="C32" s="20" t="s">
        <v>773</v>
      </c>
      <c r="D32" s="137">
        <v>1100000</v>
      </c>
      <c r="E32" s="20" t="s">
        <v>561</v>
      </c>
      <c r="F32" s="20" t="s">
        <v>562</v>
      </c>
      <c r="G32" s="8" t="str">
        <f t="shared" si="0"/>
        <v>GEBRETEKLE DAGNEW</v>
      </c>
      <c r="H32" s="20" t="str">
        <f t="shared" si="1"/>
        <v>4031</v>
      </c>
    </row>
    <row r="33" spans="1:8" x14ac:dyDescent="0.3">
      <c r="A33" s="8">
        <v>43079.224490740744</v>
      </c>
      <c r="B33" s="20" t="s">
        <v>450</v>
      </c>
      <c r="C33" s="20" t="s">
        <v>774</v>
      </c>
      <c r="D33" s="137">
        <v>2560000</v>
      </c>
      <c r="E33" s="20" t="s">
        <v>563</v>
      </c>
      <c r="F33" s="20" t="s">
        <v>564</v>
      </c>
      <c r="G33" s="8" t="str">
        <f t="shared" si="0"/>
        <v>MACDONALD THOMAS</v>
      </c>
      <c r="H33" s="20" t="str">
        <f t="shared" si="1"/>
        <v>4042</v>
      </c>
    </row>
    <row r="34" spans="1:8" x14ac:dyDescent="0.3">
      <c r="A34" s="8">
        <v>43079.224606481483</v>
      </c>
      <c r="B34" s="20" t="s">
        <v>362</v>
      </c>
      <c r="C34" s="20" t="s">
        <v>775</v>
      </c>
      <c r="D34" s="137">
        <v>3090000</v>
      </c>
      <c r="E34" s="20" t="s">
        <v>565</v>
      </c>
      <c r="F34" s="20" t="s">
        <v>566</v>
      </c>
      <c r="G34" s="8" t="str">
        <f t="shared" si="0"/>
        <v>LAMAR NEKESHA</v>
      </c>
      <c r="H34" s="20" t="str">
        <f t="shared" si="1"/>
        <v>4017</v>
      </c>
    </row>
    <row r="35" spans="1:8" x14ac:dyDescent="0.3">
      <c r="A35" s="8">
        <v>43079.228194444448</v>
      </c>
      <c r="B35" s="20" t="s">
        <v>519</v>
      </c>
      <c r="C35" s="20" t="s">
        <v>776</v>
      </c>
      <c r="D35" s="137">
        <v>2010000</v>
      </c>
      <c r="E35" s="20" t="s">
        <v>538</v>
      </c>
      <c r="F35" s="20" t="s">
        <v>539</v>
      </c>
      <c r="G35" s="8" t="str">
        <f t="shared" si="0"/>
        <v>MAELZER KURT</v>
      </c>
      <c r="H35" s="20" t="str">
        <f t="shared" si="1"/>
        <v>4024</v>
      </c>
    </row>
    <row r="36" spans="1:8" x14ac:dyDescent="0.3">
      <c r="A36" s="8">
        <v>43079.234444444446</v>
      </c>
      <c r="B36" s="20" t="s">
        <v>743</v>
      </c>
      <c r="C36" s="20" t="s">
        <v>777</v>
      </c>
      <c r="D36" s="137">
        <v>2560000</v>
      </c>
      <c r="E36" s="20" t="s">
        <v>563</v>
      </c>
      <c r="F36" s="20" t="s">
        <v>564</v>
      </c>
      <c r="G36" s="8" t="str">
        <f t="shared" si="0"/>
        <v>MACDONALD THOMAS</v>
      </c>
      <c r="H36" s="20" t="str">
        <f t="shared" si="1"/>
        <v>4041</v>
      </c>
    </row>
    <row r="37" spans="1:8" x14ac:dyDescent="0.3">
      <c r="A37" s="8">
        <v>43079.235254629632</v>
      </c>
      <c r="B37" s="20" t="s">
        <v>360</v>
      </c>
      <c r="C37" s="20" t="s">
        <v>778</v>
      </c>
      <c r="D37" s="137">
        <v>3090000</v>
      </c>
      <c r="E37" s="20" t="s">
        <v>565</v>
      </c>
      <c r="F37" s="20" t="s">
        <v>566</v>
      </c>
      <c r="G37" s="8" t="str">
        <f t="shared" si="0"/>
        <v>LAMAR NEKESHA</v>
      </c>
      <c r="H37" s="20" t="str">
        <f t="shared" si="1"/>
        <v>4018</v>
      </c>
    </row>
    <row r="38" spans="1:8" x14ac:dyDescent="0.3">
      <c r="A38" s="8">
        <v>43079.246122685188</v>
      </c>
      <c r="B38" s="20" t="s">
        <v>595</v>
      </c>
      <c r="C38" s="20" t="s">
        <v>779</v>
      </c>
      <c r="D38" s="137">
        <v>3040000</v>
      </c>
      <c r="E38" s="20" t="s">
        <v>368</v>
      </c>
      <c r="F38" s="20" t="s">
        <v>540</v>
      </c>
      <c r="G38" s="8" t="str">
        <f t="shared" si="0"/>
        <v>WILLIAMS DONTE</v>
      </c>
      <c r="H38" s="20" t="str">
        <f t="shared" si="1"/>
        <v>4033</v>
      </c>
    </row>
    <row r="39" spans="1:8" x14ac:dyDescent="0.3">
      <c r="A39" s="8">
        <v>43079.246400462966</v>
      </c>
      <c r="B39" s="20" t="s">
        <v>664</v>
      </c>
      <c r="C39" s="20" t="s">
        <v>780</v>
      </c>
      <c r="D39" s="137">
        <v>3120000</v>
      </c>
      <c r="E39" s="20" t="s">
        <v>369</v>
      </c>
      <c r="F39" s="20" t="s">
        <v>560</v>
      </c>
      <c r="G39" s="8" t="str">
        <f t="shared" si="0"/>
        <v>THOMPSON LESTER</v>
      </c>
      <c r="H39" s="20" t="str">
        <f t="shared" si="1"/>
        <v>4063</v>
      </c>
    </row>
    <row r="40" spans="1:8" x14ac:dyDescent="0.3">
      <c r="A40" s="8">
        <v>43079.246516203704</v>
      </c>
      <c r="B40" s="25" t="s">
        <v>370</v>
      </c>
      <c r="C40" s="20" t="s">
        <v>781</v>
      </c>
      <c r="D40" s="137">
        <v>2440000</v>
      </c>
      <c r="E40" s="20" t="s">
        <v>457</v>
      </c>
      <c r="F40" s="20" t="s">
        <v>458</v>
      </c>
      <c r="G40" s="8" t="str">
        <f t="shared" si="0"/>
        <v>LOPES KIMBERLY</v>
      </c>
      <c r="H40" s="20" t="str">
        <f t="shared" si="1"/>
        <v>4012</v>
      </c>
    </row>
    <row r="41" spans="1:8" x14ac:dyDescent="0.3">
      <c r="A41" s="8">
        <v>43079.254340277781</v>
      </c>
      <c r="B41" s="20" t="s">
        <v>450</v>
      </c>
      <c r="C41" s="20" t="s">
        <v>782</v>
      </c>
      <c r="D41" s="137">
        <v>2560000</v>
      </c>
      <c r="E41" s="20" t="s">
        <v>563</v>
      </c>
      <c r="F41" s="20" t="s">
        <v>564</v>
      </c>
      <c r="G41" s="8" t="str">
        <f t="shared" si="0"/>
        <v>MACDONALD THOMAS</v>
      </c>
      <c r="H41" s="20" t="str">
        <f t="shared" si="1"/>
        <v>4042</v>
      </c>
    </row>
    <row r="42" spans="1:8" x14ac:dyDescent="0.3">
      <c r="A42" s="8">
        <v>43079.256516203706</v>
      </c>
      <c r="B42" s="20" t="s">
        <v>392</v>
      </c>
      <c r="C42" s="20" t="s">
        <v>783</v>
      </c>
      <c r="D42" s="137">
        <v>2370000</v>
      </c>
      <c r="E42" s="20" t="s">
        <v>570</v>
      </c>
      <c r="F42" s="20" t="s">
        <v>571</v>
      </c>
      <c r="G42" s="8" t="str">
        <f t="shared" si="0"/>
        <v>DELGADO DIANAH</v>
      </c>
      <c r="H42" s="20" t="str">
        <f t="shared" si="1"/>
        <v>4030</v>
      </c>
    </row>
    <row r="43" spans="1:8" x14ac:dyDescent="0.3">
      <c r="A43" s="8">
        <v>43079.264363425929</v>
      </c>
      <c r="B43" s="20" t="s">
        <v>511</v>
      </c>
      <c r="C43" s="20" t="s">
        <v>784</v>
      </c>
      <c r="D43" s="137">
        <v>2010000</v>
      </c>
      <c r="E43" s="20" t="s">
        <v>538</v>
      </c>
      <c r="F43" s="20" t="s">
        <v>539</v>
      </c>
      <c r="G43" s="8" t="str">
        <f t="shared" si="0"/>
        <v>MAELZER KURT</v>
      </c>
      <c r="H43" s="20" t="str">
        <f t="shared" si="1"/>
        <v>4023</v>
      </c>
    </row>
    <row r="44" spans="1:8" x14ac:dyDescent="0.3">
      <c r="A44" s="8">
        <v>43079.265925925924</v>
      </c>
      <c r="B44" s="20" t="s">
        <v>536</v>
      </c>
      <c r="C44" s="20" t="s">
        <v>732</v>
      </c>
      <c r="D44" s="137">
        <v>1100000</v>
      </c>
      <c r="E44" s="20" t="s">
        <v>561</v>
      </c>
      <c r="F44" s="20" t="s">
        <v>562</v>
      </c>
      <c r="G44" s="8" t="str">
        <f t="shared" si="0"/>
        <v>GEBRETEKLE DAGNEW</v>
      </c>
      <c r="H44" s="20" t="str">
        <f t="shared" si="1"/>
        <v>4032</v>
      </c>
    </row>
    <row r="45" spans="1:8" x14ac:dyDescent="0.3">
      <c r="A45" s="8">
        <v>43079.266631944447</v>
      </c>
      <c r="B45" s="20" t="s">
        <v>743</v>
      </c>
      <c r="C45" s="20" t="s">
        <v>785</v>
      </c>
      <c r="D45" s="137">
        <v>2560000</v>
      </c>
      <c r="E45" s="20" t="s">
        <v>563</v>
      </c>
      <c r="F45" s="20" t="s">
        <v>564</v>
      </c>
      <c r="G45" s="8" t="str">
        <f t="shared" si="0"/>
        <v>MACDONALD THOMAS</v>
      </c>
      <c r="H45" s="20" t="str">
        <f t="shared" si="1"/>
        <v>4041</v>
      </c>
    </row>
    <row r="46" spans="1:8" x14ac:dyDescent="0.3">
      <c r="A46" s="8">
        <v>43079.278252314813</v>
      </c>
      <c r="B46" s="20" t="s">
        <v>362</v>
      </c>
      <c r="C46" s="20" t="s">
        <v>786</v>
      </c>
      <c r="D46" s="137">
        <v>3090000</v>
      </c>
      <c r="E46" s="20" t="s">
        <v>565</v>
      </c>
      <c r="F46" s="20" t="s">
        <v>566</v>
      </c>
      <c r="G46" s="8" t="str">
        <f t="shared" si="0"/>
        <v>LAMAR NEKESHA</v>
      </c>
      <c r="H46" s="20" t="str">
        <f t="shared" si="1"/>
        <v>4017</v>
      </c>
    </row>
    <row r="47" spans="1:8" x14ac:dyDescent="0.3">
      <c r="A47" s="8">
        <v>43079.279849537037</v>
      </c>
      <c r="B47" s="20" t="s">
        <v>665</v>
      </c>
      <c r="C47" s="20" t="s">
        <v>787</v>
      </c>
      <c r="D47" s="137">
        <v>3120000</v>
      </c>
      <c r="E47" s="20" t="s">
        <v>369</v>
      </c>
      <c r="F47" s="20" t="s">
        <v>560</v>
      </c>
      <c r="G47" s="8" t="str">
        <f t="shared" si="0"/>
        <v>THOMPSON LESTER</v>
      </c>
      <c r="H47" s="20" t="str">
        <f t="shared" si="1"/>
        <v>4064</v>
      </c>
    </row>
    <row r="48" spans="1:8" x14ac:dyDescent="0.3">
      <c r="A48" s="8">
        <v>43079.286678240744</v>
      </c>
      <c r="B48" s="20" t="s">
        <v>371</v>
      </c>
      <c r="C48" s="20" t="s">
        <v>788</v>
      </c>
      <c r="D48" s="137">
        <v>2440000</v>
      </c>
      <c r="E48" s="20" t="s">
        <v>457</v>
      </c>
      <c r="F48" s="20" t="s">
        <v>458</v>
      </c>
      <c r="G48" s="8" t="str">
        <f t="shared" si="0"/>
        <v>LOPES KIMBERLY</v>
      </c>
      <c r="H48" s="20" t="str">
        <f t="shared" si="1"/>
        <v>4011</v>
      </c>
    </row>
    <row r="49" spans="1:8" x14ac:dyDescent="0.3">
      <c r="A49" s="8">
        <v>43079.287152777775</v>
      </c>
      <c r="B49" s="20" t="s">
        <v>596</v>
      </c>
      <c r="C49" s="20" t="s">
        <v>789</v>
      </c>
      <c r="D49" s="137">
        <v>3040000</v>
      </c>
      <c r="E49" s="20" t="s">
        <v>368</v>
      </c>
      <c r="F49" s="20" t="s">
        <v>540</v>
      </c>
      <c r="G49" s="8" t="str">
        <f t="shared" si="0"/>
        <v>WILLIAMS DONTE</v>
      </c>
      <c r="H49" s="20" t="str">
        <f t="shared" si="1"/>
        <v>4034</v>
      </c>
    </row>
    <row r="50" spans="1:8" x14ac:dyDescent="0.3">
      <c r="A50" s="8">
        <v>43079.291562500002</v>
      </c>
      <c r="B50" s="20" t="s">
        <v>386</v>
      </c>
      <c r="C50" s="20" t="s">
        <v>790</v>
      </c>
      <c r="D50" s="137">
        <v>2370000</v>
      </c>
      <c r="E50" s="20" t="s">
        <v>570</v>
      </c>
      <c r="F50" s="20" t="s">
        <v>571</v>
      </c>
      <c r="G50" s="8" t="str">
        <f t="shared" si="0"/>
        <v>DELGADO DIANAH</v>
      </c>
      <c r="H50" s="20" t="str">
        <f t="shared" si="1"/>
        <v>4029</v>
      </c>
    </row>
    <row r="51" spans="1:8" x14ac:dyDescent="0.3">
      <c r="A51" s="8">
        <v>43079.295960648145</v>
      </c>
      <c r="B51" s="20" t="s">
        <v>450</v>
      </c>
      <c r="C51" s="20" t="s">
        <v>791</v>
      </c>
      <c r="D51" s="137">
        <v>2560000</v>
      </c>
      <c r="E51" s="20" t="s">
        <v>563</v>
      </c>
      <c r="F51" s="20" t="s">
        <v>564</v>
      </c>
      <c r="G51" s="8" t="str">
        <f t="shared" si="0"/>
        <v>MACDONALD THOMAS</v>
      </c>
      <c r="H51" s="20" t="str">
        <f t="shared" si="1"/>
        <v>4042</v>
      </c>
    </row>
    <row r="52" spans="1:8" x14ac:dyDescent="0.3">
      <c r="A52" s="8">
        <v>43079.297685185185</v>
      </c>
      <c r="B52" s="20" t="s">
        <v>537</v>
      </c>
      <c r="C52" s="20" t="s">
        <v>792</v>
      </c>
      <c r="D52" s="137">
        <v>1100000</v>
      </c>
      <c r="E52" s="20" t="s">
        <v>561</v>
      </c>
      <c r="F52" s="20" t="s">
        <v>562</v>
      </c>
      <c r="G52" s="8" t="str">
        <f t="shared" si="0"/>
        <v>GEBRETEKLE DAGNEW</v>
      </c>
      <c r="H52" s="20" t="str">
        <f t="shared" si="1"/>
        <v>4031</v>
      </c>
    </row>
    <row r="53" spans="1:8" x14ac:dyDescent="0.3">
      <c r="A53" s="8">
        <v>43079.299085648148</v>
      </c>
      <c r="B53" s="20" t="s">
        <v>519</v>
      </c>
      <c r="C53" s="20" t="s">
        <v>733</v>
      </c>
      <c r="D53" s="137">
        <v>2010000</v>
      </c>
      <c r="E53" s="20" t="s">
        <v>538</v>
      </c>
      <c r="F53" s="20" t="s">
        <v>539</v>
      </c>
      <c r="G53" s="8" t="str">
        <f t="shared" si="0"/>
        <v>MAELZER KURT</v>
      </c>
      <c r="H53" s="20" t="str">
        <f t="shared" si="1"/>
        <v>4024</v>
      </c>
    </row>
    <row r="54" spans="1:8" x14ac:dyDescent="0.3">
      <c r="A54" s="8">
        <v>43079.307314814818</v>
      </c>
      <c r="B54" s="20" t="s">
        <v>360</v>
      </c>
      <c r="C54" s="20" t="s">
        <v>734</v>
      </c>
      <c r="D54" s="137">
        <v>3260000</v>
      </c>
      <c r="E54" s="20" t="s">
        <v>599</v>
      </c>
      <c r="F54" s="20" t="s">
        <v>600</v>
      </c>
      <c r="G54" s="8" t="str">
        <f t="shared" si="0"/>
        <v>PAGE MARCUS</v>
      </c>
      <c r="H54" s="20" t="str">
        <f t="shared" si="1"/>
        <v>4018</v>
      </c>
    </row>
    <row r="55" spans="1:8" x14ac:dyDescent="0.3">
      <c r="A55" s="8">
        <v>43079.309236111112</v>
      </c>
      <c r="B55" s="20" t="s">
        <v>743</v>
      </c>
      <c r="C55" s="20" t="s">
        <v>793</v>
      </c>
      <c r="D55" s="137">
        <v>2560000</v>
      </c>
      <c r="E55" s="20" t="s">
        <v>563</v>
      </c>
      <c r="F55" s="20" t="s">
        <v>564</v>
      </c>
      <c r="G55" s="8" t="str">
        <f t="shared" si="0"/>
        <v>MACDONALD THOMAS</v>
      </c>
      <c r="H55" s="20" t="str">
        <f t="shared" si="1"/>
        <v>4041</v>
      </c>
    </row>
    <row r="56" spans="1:8" x14ac:dyDescent="0.3">
      <c r="A56" s="8">
        <v>43079.318159722221</v>
      </c>
      <c r="B56" s="20" t="s">
        <v>370</v>
      </c>
      <c r="C56" s="20" t="s">
        <v>794</v>
      </c>
      <c r="D56" s="137">
        <v>2440000</v>
      </c>
      <c r="E56" s="20" t="s">
        <v>457</v>
      </c>
      <c r="F56" s="20" t="s">
        <v>458</v>
      </c>
      <c r="G56" s="8" t="str">
        <f t="shared" si="0"/>
        <v>LOPES KIMBERLY</v>
      </c>
      <c r="H56" s="20" t="str">
        <f t="shared" si="1"/>
        <v>4012</v>
      </c>
    </row>
    <row r="57" spans="1:8" x14ac:dyDescent="0.3">
      <c r="A57" s="8">
        <v>43079.319918981484</v>
      </c>
      <c r="B57" s="20" t="s">
        <v>664</v>
      </c>
      <c r="C57" s="20" t="s">
        <v>795</v>
      </c>
      <c r="D57" s="137">
        <v>3120000</v>
      </c>
      <c r="E57" s="20" t="s">
        <v>369</v>
      </c>
      <c r="F57" s="20" t="s">
        <v>560</v>
      </c>
      <c r="G57" s="8" t="str">
        <f t="shared" si="0"/>
        <v>THOMPSON LESTER</v>
      </c>
      <c r="H57" s="20" t="str">
        <f t="shared" si="1"/>
        <v>4063</v>
      </c>
    </row>
    <row r="58" spans="1:8" x14ac:dyDescent="0.3">
      <c r="A58" s="8">
        <v>43079.32508101852</v>
      </c>
      <c r="B58" s="20" t="s">
        <v>595</v>
      </c>
      <c r="C58" s="20" t="s">
        <v>796</v>
      </c>
      <c r="D58" s="137">
        <v>3040000</v>
      </c>
      <c r="E58" s="20" t="s">
        <v>368</v>
      </c>
      <c r="F58" s="20" t="s">
        <v>540</v>
      </c>
      <c r="G58" s="8" t="str">
        <f t="shared" si="0"/>
        <v>WILLIAMS DONTE</v>
      </c>
      <c r="H58" s="20" t="str">
        <f t="shared" si="1"/>
        <v>4033</v>
      </c>
    </row>
    <row r="59" spans="1:8" x14ac:dyDescent="0.3">
      <c r="A59" s="8">
        <v>43079.32880787037</v>
      </c>
      <c r="B59" s="20" t="s">
        <v>392</v>
      </c>
      <c r="C59" s="20" t="s">
        <v>797</v>
      </c>
      <c r="D59" s="137">
        <v>2370000</v>
      </c>
      <c r="E59" s="20" t="s">
        <v>570</v>
      </c>
      <c r="F59" s="20" t="s">
        <v>571</v>
      </c>
      <c r="G59" s="8" t="str">
        <f t="shared" si="0"/>
        <v>DELGADO DIANAH</v>
      </c>
      <c r="H59" s="20" t="str">
        <f t="shared" si="1"/>
        <v>4030</v>
      </c>
    </row>
    <row r="60" spans="1:8" x14ac:dyDescent="0.3">
      <c r="A60" s="8">
        <v>43079.332349537035</v>
      </c>
      <c r="B60" s="20" t="s">
        <v>511</v>
      </c>
      <c r="C60" s="20" t="s">
        <v>798</v>
      </c>
      <c r="D60" s="137">
        <v>2010000</v>
      </c>
      <c r="E60" s="20" t="s">
        <v>538</v>
      </c>
      <c r="F60" s="20" t="s">
        <v>539</v>
      </c>
      <c r="G60" s="8" t="str">
        <f t="shared" si="0"/>
        <v>MAELZER KURT</v>
      </c>
      <c r="H60" s="20" t="str">
        <f t="shared" si="1"/>
        <v>4023</v>
      </c>
    </row>
    <row r="61" spans="1:8" x14ac:dyDescent="0.3">
      <c r="A61" s="8">
        <v>43079.337777777779</v>
      </c>
      <c r="B61" s="20" t="s">
        <v>450</v>
      </c>
      <c r="C61" s="20" t="s">
        <v>799</v>
      </c>
      <c r="D61" s="137">
        <v>2560000</v>
      </c>
      <c r="E61" s="20" t="s">
        <v>563</v>
      </c>
      <c r="F61" s="20" t="s">
        <v>564</v>
      </c>
      <c r="G61" s="8" t="str">
        <f t="shared" si="0"/>
        <v>MACDONALD THOMAS</v>
      </c>
      <c r="H61" s="20" t="str">
        <f t="shared" si="1"/>
        <v>4042</v>
      </c>
    </row>
    <row r="62" spans="1:8" x14ac:dyDescent="0.3">
      <c r="A62" s="8">
        <v>43079.338449074072</v>
      </c>
      <c r="B62" s="20" t="s">
        <v>536</v>
      </c>
      <c r="C62" s="20" t="s">
        <v>800</v>
      </c>
      <c r="D62" s="137">
        <v>1100000</v>
      </c>
      <c r="E62" s="20" t="s">
        <v>561</v>
      </c>
      <c r="F62" s="20" t="s">
        <v>562</v>
      </c>
      <c r="G62" s="8" t="str">
        <f t="shared" si="0"/>
        <v>GEBRETEKLE DAGNEW</v>
      </c>
      <c r="H62" s="20" t="str">
        <f t="shared" si="1"/>
        <v>4032</v>
      </c>
    </row>
    <row r="63" spans="1:8" x14ac:dyDescent="0.3">
      <c r="A63" s="8">
        <v>43079.339629629627</v>
      </c>
      <c r="B63" s="20" t="s">
        <v>362</v>
      </c>
      <c r="C63" s="20" t="s">
        <v>801</v>
      </c>
      <c r="D63" s="137">
        <v>3260000</v>
      </c>
      <c r="E63" s="20" t="s">
        <v>599</v>
      </c>
      <c r="F63" s="20" t="s">
        <v>600</v>
      </c>
      <c r="G63" s="8" t="str">
        <f t="shared" si="0"/>
        <v>PAGE MARCUS</v>
      </c>
      <c r="H63" s="20" t="str">
        <f t="shared" si="1"/>
        <v>4017</v>
      </c>
    </row>
    <row r="64" spans="1:8" x14ac:dyDescent="0.3">
      <c r="A64" s="26">
        <v>43079.348101851851</v>
      </c>
      <c r="B64" s="20" t="s">
        <v>371</v>
      </c>
      <c r="C64" s="20" t="s">
        <v>802</v>
      </c>
      <c r="D64" s="137">
        <v>2440000</v>
      </c>
      <c r="E64" s="20" t="s">
        <v>457</v>
      </c>
      <c r="F64" s="20" t="s">
        <v>458</v>
      </c>
      <c r="G64" s="8" t="str">
        <f t="shared" si="0"/>
        <v>LOPES KIMBERLY</v>
      </c>
      <c r="H64" s="20" t="str">
        <f t="shared" si="1"/>
        <v>4011</v>
      </c>
    </row>
    <row r="65" spans="1:8" x14ac:dyDescent="0.3">
      <c r="A65" s="8">
        <v>43079.350578703707</v>
      </c>
      <c r="B65" s="20" t="s">
        <v>743</v>
      </c>
      <c r="C65" s="20" t="s">
        <v>803</v>
      </c>
      <c r="D65" s="137">
        <v>2560000</v>
      </c>
      <c r="E65" s="20" t="s">
        <v>563</v>
      </c>
      <c r="F65" s="20" t="s">
        <v>564</v>
      </c>
      <c r="G65" s="8" t="str">
        <f t="shared" si="0"/>
        <v>MACDONALD THOMAS</v>
      </c>
      <c r="H65" s="20" t="str">
        <f t="shared" si="1"/>
        <v>4041</v>
      </c>
    </row>
    <row r="66" spans="1:8" x14ac:dyDescent="0.3">
      <c r="A66" s="8">
        <v>43079.352696759262</v>
      </c>
      <c r="B66" s="20" t="s">
        <v>665</v>
      </c>
      <c r="C66" s="20" t="s">
        <v>735</v>
      </c>
      <c r="D66" s="137">
        <v>3120000</v>
      </c>
      <c r="E66" s="20" t="s">
        <v>369</v>
      </c>
      <c r="F66" s="20" t="s">
        <v>560</v>
      </c>
      <c r="G66" s="8" t="str">
        <f t="shared" si="0"/>
        <v>THOMPSON LESTER</v>
      </c>
      <c r="H66" s="20" t="str">
        <f t="shared" si="1"/>
        <v>4064</v>
      </c>
    </row>
    <row r="67" spans="1:8" x14ac:dyDescent="0.3">
      <c r="A67" s="8">
        <v>43079.360543981478</v>
      </c>
      <c r="B67" s="20" t="s">
        <v>596</v>
      </c>
      <c r="C67" s="20" t="s">
        <v>804</v>
      </c>
      <c r="D67" s="137">
        <v>3040000</v>
      </c>
      <c r="E67" s="20" t="s">
        <v>368</v>
      </c>
      <c r="F67" s="20" t="s">
        <v>540</v>
      </c>
      <c r="G67" s="8" t="str">
        <f t="shared" ref="G67:G130" si="2">E67&amp;" "&amp;F67</f>
        <v>WILLIAMS DONTE</v>
      </c>
      <c r="H67" s="20" t="str">
        <f t="shared" ref="H67:H130" si="3">MID(B67,13,4)</f>
        <v>4034</v>
      </c>
    </row>
    <row r="68" spans="1:8" x14ac:dyDescent="0.3">
      <c r="A68" s="8">
        <v>43079.363298611112</v>
      </c>
      <c r="B68" s="20" t="s">
        <v>386</v>
      </c>
      <c r="C68" s="20" t="s">
        <v>805</v>
      </c>
      <c r="D68" s="137">
        <v>2370000</v>
      </c>
      <c r="E68" s="20" t="s">
        <v>570</v>
      </c>
      <c r="F68" s="20" t="s">
        <v>571</v>
      </c>
      <c r="G68" s="8" t="str">
        <f t="shared" si="2"/>
        <v>DELGADO DIANAH</v>
      </c>
      <c r="H68" s="20" t="str">
        <f t="shared" si="3"/>
        <v>4029</v>
      </c>
    </row>
    <row r="69" spans="1:8" x14ac:dyDescent="0.3">
      <c r="A69" s="8">
        <v>43079.369340277779</v>
      </c>
      <c r="B69" s="20" t="s">
        <v>537</v>
      </c>
      <c r="C69" s="20" t="s">
        <v>806</v>
      </c>
      <c r="D69" s="137">
        <v>1100000</v>
      </c>
      <c r="E69" s="20" t="s">
        <v>561</v>
      </c>
      <c r="F69" s="20" t="s">
        <v>562</v>
      </c>
      <c r="G69" s="8" t="str">
        <f t="shared" si="2"/>
        <v>GEBRETEKLE DAGNEW</v>
      </c>
      <c r="H69" s="20" t="str">
        <f t="shared" si="3"/>
        <v>4031</v>
      </c>
    </row>
    <row r="70" spans="1:8" x14ac:dyDescent="0.3">
      <c r="A70" s="8">
        <v>43079.370520833334</v>
      </c>
      <c r="B70" s="20" t="s">
        <v>519</v>
      </c>
      <c r="C70" s="20" t="s">
        <v>807</v>
      </c>
      <c r="D70" s="137">
        <v>2010000</v>
      </c>
      <c r="E70" s="20" t="s">
        <v>538</v>
      </c>
      <c r="F70" s="20" t="s">
        <v>539</v>
      </c>
      <c r="G70" s="8" t="str">
        <f t="shared" si="2"/>
        <v>MAELZER KURT</v>
      </c>
      <c r="H70" s="20" t="str">
        <f t="shared" si="3"/>
        <v>4024</v>
      </c>
    </row>
    <row r="71" spans="1:8" x14ac:dyDescent="0.3">
      <c r="A71" s="8">
        <v>43079.379259259258</v>
      </c>
      <c r="B71" s="20" t="s">
        <v>450</v>
      </c>
      <c r="C71" s="20" t="s">
        <v>736</v>
      </c>
      <c r="D71" s="137">
        <v>2560000</v>
      </c>
      <c r="E71" s="20" t="s">
        <v>563</v>
      </c>
      <c r="F71" s="20" t="s">
        <v>564</v>
      </c>
      <c r="G71" s="8" t="str">
        <f t="shared" si="2"/>
        <v>MACDONALD THOMAS</v>
      </c>
      <c r="H71" s="20" t="str">
        <f t="shared" si="3"/>
        <v>4042</v>
      </c>
    </row>
    <row r="72" spans="1:8" x14ac:dyDescent="0.3">
      <c r="A72" s="8">
        <v>43079.380902777775</v>
      </c>
      <c r="B72" s="20" t="s">
        <v>360</v>
      </c>
      <c r="C72" s="20" t="s">
        <v>737</v>
      </c>
      <c r="D72" s="137">
        <v>3090000</v>
      </c>
      <c r="E72" s="20" t="s">
        <v>565</v>
      </c>
      <c r="F72" s="20" t="s">
        <v>566</v>
      </c>
      <c r="G72" s="8" t="str">
        <f t="shared" si="2"/>
        <v>LAMAR NEKESHA</v>
      </c>
      <c r="H72" s="20" t="str">
        <f t="shared" si="3"/>
        <v>4018</v>
      </c>
    </row>
    <row r="73" spans="1:8" x14ac:dyDescent="0.3">
      <c r="A73" s="8">
        <v>43079.384432870371</v>
      </c>
      <c r="B73" s="20" t="s">
        <v>386</v>
      </c>
      <c r="C73" s="20" t="s">
        <v>805</v>
      </c>
      <c r="D73" s="137">
        <v>2370000</v>
      </c>
      <c r="E73" s="20" t="s">
        <v>570</v>
      </c>
      <c r="F73" s="20" t="s">
        <v>571</v>
      </c>
      <c r="G73" s="8" t="str">
        <f t="shared" si="2"/>
        <v>DELGADO DIANAH</v>
      </c>
      <c r="H73" s="20" t="str">
        <f t="shared" si="3"/>
        <v>4029</v>
      </c>
    </row>
    <row r="74" spans="1:8" x14ac:dyDescent="0.3">
      <c r="A74" s="8">
        <v>43079.391157407408</v>
      </c>
      <c r="B74" s="20" t="s">
        <v>370</v>
      </c>
      <c r="C74" s="20" t="s">
        <v>808</v>
      </c>
      <c r="D74" s="137">
        <v>2440000</v>
      </c>
      <c r="E74" s="20" t="s">
        <v>457</v>
      </c>
      <c r="F74" s="20" t="s">
        <v>458</v>
      </c>
      <c r="G74" s="8" t="str">
        <f t="shared" si="2"/>
        <v>LOPES KIMBERLY</v>
      </c>
      <c r="H74" s="20" t="str">
        <f t="shared" si="3"/>
        <v>4012</v>
      </c>
    </row>
    <row r="75" spans="1:8" x14ac:dyDescent="0.3">
      <c r="A75" s="8">
        <v>43079.393055555556</v>
      </c>
      <c r="B75" s="20" t="s">
        <v>664</v>
      </c>
      <c r="C75" s="20" t="s">
        <v>809</v>
      </c>
      <c r="D75" s="137">
        <v>3120000</v>
      </c>
      <c r="E75" s="20" t="s">
        <v>369</v>
      </c>
      <c r="F75" s="20" t="s">
        <v>560</v>
      </c>
      <c r="G75" s="8" t="str">
        <f t="shared" si="2"/>
        <v>THOMPSON LESTER</v>
      </c>
      <c r="H75" s="20" t="str">
        <f t="shared" si="3"/>
        <v>4063</v>
      </c>
    </row>
    <row r="76" spans="1:8" x14ac:dyDescent="0.3">
      <c r="A76" s="8">
        <v>43079.393726851849</v>
      </c>
      <c r="B76" s="20" t="s">
        <v>743</v>
      </c>
      <c r="C76" s="20" t="s">
        <v>810</v>
      </c>
      <c r="D76" s="137">
        <v>2560000</v>
      </c>
      <c r="E76" s="20" t="s">
        <v>563</v>
      </c>
      <c r="F76" s="20" t="s">
        <v>564</v>
      </c>
      <c r="G76" s="8" t="str">
        <f t="shared" si="2"/>
        <v>MACDONALD THOMAS</v>
      </c>
      <c r="H76" s="20" t="str">
        <f t="shared" si="3"/>
        <v>4041</v>
      </c>
    </row>
    <row r="77" spans="1:8" x14ac:dyDescent="0.3">
      <c r="A77" s="8">
        <v>43079.400625000002</v>
      </c>
      <c r="B77" s="20" t="s">
        <v>595</v>
      </c>
      <c r="C77" s="20" t="s">
        <v>811</v>
      </c>
      <c r="D77" s="137">
        <v>3040000</v>
      </c>
      <c r="E77" s="20" t="s">
        <v>368</v>
      </c>
      <c r="F77" s="20" t="s">
        <v>540</v>
      </c>
      <c r="G77" s="8" t="str">
        <f t="shared" si="2"/>
        <v>WILLIAMS DONTE</v>
      </c>
      <c r="H77" s="20" t="str">
        <f t="shared" si="3"/>
        <v>4033</v>
      </c>
    </row>
    <row r="78" spans="1:8" x14ac:dyDescent="0.3">
      <c r="A78" s="8">
        <v>43079.402974537035</v>
      </c>
      <c r="B78" s="20" t="s">
        <v>392</v>
      </c>
      <c r="C78" s="20" t="s">
        <v>812</v>
      </c>
      <c r="D78" s="137">
        <v>2370000</v>
      </c>
      <c r="E78" s="20" t="s">
        <v>570</v>
      </c>
      <c r="F78" s="20" t="s">
        <v>571</v>
      </c>
      <c r="G78" s="8" t="str">
        <f t="shared" si="2"/>
        <v>DELGADO DIANAH</v>
      </c>
      <c r="H78" s="20" t="str">
        <f t="shared" si="3"/>
        <v>4030</v>
      </c>
    </row>
    <row r="79" spans="1:8" x14ac:dyDescent="0.3">
      <c r="A79" s="8">
        <v>43079.406724537039</v>
      </c>
      <c r="B79" s="20" t="s">
        <v>511</v>
      </c>
      <c r="C79" s="20" t="s">
        <v>813</v>
      </c>
      <c r="D79" s="137">
        <v>2010000</v>
      </c>
      <c r="E79" s="20" t="s">
        <v>538</v>
      </c>
      <c r="F79" s="20" t="s">
        <v>539</v>
      </c>
      <c r="G79" s="8" t="str">
        <f t="shared" si="2"/>
        <v>MAELZER KURT</v>
      </c>
      <c r="H79" s="20" t="str">
        <f t="shared" si="3"/>
        <v>4023</v>
      </c>
    </row>
    <row r="80" spans="1:8" x14ac:dyDescent="0.3">
      <c r="A80" s="8">
        <v>43079.411006944443</v>
      </c>
      <c r="B80" s="20" t="s">
        <v>536</v>
      </c>
      <c r="C80" s="20" t="s">
        <v>814</v>
      </c>
      <c r="D80" s="137">
        <v>1100000</v>
      </c>
      <c r="E80" s="20" t="s">
        <v>561</v>
      </c>
      <c r="F80" s="20" t="s">
        <v>562</v>
      </c>
      <c r="G80" s="8" t="str">
        <f t="shared" si="2"/>
        <v>GEBRETEKLE DAGNEW</v>
      </c>
      <c r="H80" s="20" t="str">
        <f t="shared" si="3"/>
        <v>4032</v>
      </c>
    </row>
    <row r="81" spans="1:8" x14ac:dyDescent="0.3">
      <c r="A81" s="8">
        <v>43079.420324074075</v>
      </c>
      <c r="B81" s="20" t="s">
        <v>536</v>
      </c>
      <c r="C81" s="20" t="s">
        <v>814</v>
      </c>
      <c r="D81" s="137">
        <v>1100000</v>
      </c>
      <c r="E81" s="20" t="s">
        <v>561</v>
      </c>
      <c r="F81" s="20" t="s">
        <v>562</v>
      </c>
      <c r="G81" s="8" t="str">
        <f t="shared" si="2"/>
        <v>GEBRETEKLE DAGNEW</v>
      </c>
      <c r="H81" s="20" t="str">
        <f t="shared" si="3"/>
        <v>4032</v>
      </c>
    </row>
    <row r="82" spans="1:8" x14ac:dyDescent="0.3">
      <c r="A82" s="8">
        <v>43079.421759259261</v>
      </c>
      <c r="B82" s="20" t="s">
        <v>450</v>
      </c>
      <c r="C82" s="20" t="s">
        <v>815</v>
      </c>
      <c r="D82" s="137">
        <v>2560000</v>
      </c>
      <c r="E82" s="20" t="s">
        <v>563</v>
      </c>
      <c r="F82" s="20" t="s">
        <v>564</v>
      </c>
      <c r="G82" s="8" t="str">
        <f t="shared" si="2"/>
        <v>MACDONALD THOMAS</v>
      </c>
      <c r="H82" s="20" t="str">
        <f t="shared" si="3"/>
        <v>4042</v>
      </c>
    </row>
    <row r="83" spans="1:8" x14ac:dyDescent="0.3">
      <c r="A83" s="8">
        <v>43079.422800925924</v>
      </c>
      <c r="B83" s="20" t="s">
        <v>362</v>
      </c>
      <c r="C83" s="20" t="s">
        <v>738</v>
      </c>
      <c r="D83" s="137">
        <v>3090000</v>
      </c>
      <c r="E83" s="20" t="s">
        <v>565</v>
      </c>
      <c r="F83" s="20" t="s">
        <v>566</v>
      </c>
      <c r="G83" s="8" t="str">
        <f t="shared" si="2"/>
        <v>LAMAR NEKESHA</v>
      </c>
      <c r="H83" s="20" t="str">
        <f t="shared" si="3"/>
        <v>4017</v>
      </c>
    </row>
    <row r="84" spans="1:8" x14ac:dyDescent="0.3">
      <c r="A84" s="8">
        <v>43079.423750000002</v>
      </c>
      <c r="B84" s="20" t="s">
        <v>665</v>
      </c>
      <c r="C84" s="20" t="s">
        <v>816</v>
      </c>
      <c r="D84" s="137">
        <v>2550000</v>
      </c>
      <c r="E84" s="20" t="s">
        <v>541</v>
      </c>
      <c r="F84" s="20" t="s">
        <v>542</v>
      </c>
      <c r="G84" s="8" t="str">
        <f t="shared" si="2"/>
        <v>BADERTSCHER DIANE</v>
      </c>
      <c r="H84" s="20" t="str">
        <f t="shared" si="3"/>
        <v>4064</v>
      </c>
    </row>
    <row r="85" spans="1:8" x14ac:dyDescent="0.3">
      <c r="A85" s="8">
        <v>43079.430254629631</v>
      </c>
      <c r="B85" s="20" t="s">
        <v>371</v>
      </c>
      <c r="C85" s="20" t="s">
        <v>817</v>
      </c>
      <c r="D85" s="137">
        <v>2440000</v>
      </c>
      <c r="E85" s="20" t="s">
        <v>457</v>
      </c>
      <c r="F85" s="20" t="s">
        <v>458</v>
      </c>
      <c r="G85" s="8" t="str">
        <f t="shared" si="2"/>
        <v>LOPES KIMBERLY</v>
      </c>
      <c r="H85" s="20" t="str">
        <f t="shared" si="3"/>
        <v>4011</v>
      </c>
    </row>
    <row r="86" spans="1:8" x14ac:dyDescent="0.3">
      <c r="A86" s="8">
        <v>43079.433171296296</v>
      </c>
      <c r="B86" s="20" t="s">
        <v>596</v>
      </c>
      <c r="C86" s="20" t="s">
        <v>818</v>
      </c>
      <c r="D86" s="137">
        <v>3040000</v>
      </c>
      <c r="E86" s="20" t="s">
        <v>368</v>
      </c>
      <c r="F86" s="20" t="s">
        <v>540</v>
      </c>
      <c r="G86" s="8" t="str">
        <f t="shared" si="2"/>
        <v>WILLIAMS DONTE</v>
      </c>
      <c r="H86" s="20" t="str">
        <f t="shared" si="3"/>
        <v>4034</v>
      </c>
    </row>
    <row r="87" spans="1:8" x14ac:dyDescent="0.3">
      <c r="A87" s="8">
        <v>43079.436435185184</v>
      </c>
      <c r="B87" s="20" t="s">
        <v>743</v>
      </c>
      <c r="C87" s="20" t="s">
        <v>819</v>
      </c>
      <c r="D87" s="137">
        <v>2560000</v>
      </c>
      <c r="E87" s="20" t="s">
        <v>563</v>
      </c>
      <c r="F87" s="20" t="s">
        <v>564</v>
      </c>
      <c r="G87" s="8" t="str">
        <f t="shared" si="2"/>
        <v>MACDONALD THOMAS</v>
      </c>
      <c r="H87" s="20" t="str">
        <f t="shared" si="3"/>
        <v>4041</v>
      </c>
    </row>
    <row r="88" spans="1:8" x14ac:dyDescent="0.3">
      <c r="A88" s="8">
        <v>43079.43954861111</v>
      </c>
      <c r="B88" s="20" t="s">
        <v>386</v>
      </c>
      <c r="C88" s="20" t="s">
        <v>739</v>
      </c>
      <c r="D88" s="137">
        <v>2370000</v>
      </c>
      <c r="E88" s="20" t="s">
        <v>570</v>
      </c>
      <c r="F88" s="20" t="s">
        <v>571</v>
      </c>
      <c r="G88" s="8" t="str">
        <f t="shared" si="2"/>
        <v>DELGADO DIANAH</v>
      </c>
      <c r="H88" s="20" t="str">
        <f t="shared" si="3"/>
        <v>4029</v>
      </c>
    </row>
    <row r="89" spans="1:8" x14ac:dyDescent="0.3">
      <c r="A89" s="8">
        <v>43079.44462962963</v>
      </c>
      <c r="B89" s="20" t="s">
        <v>537</v>
      </c>
      <c r="C89" s="20" t="s">
        <v>820</v>
      </c>
      <c r="D89" s="137">
        <v>1100000</v>
      </c>
      <c r="E89" s="20" t="s">
        <v>561</v>
      </c>
      <c r="F89" s="20" t="s">
        <v>562</v>
      </c>
      <c r="G89" s="8" t="str">
        <f t="shared" si="2"/>
        <v>GEBRETEKLE DAGNEW</v>
      </c>
      <c r="H89" s="20" t="str">
        <f t="shared" si="3"/>
        <v>4031</v>
      </c>
    </row>
    <row r="90" spans="1:8" x14ac:dyDescent="0.3">
      <c r="A90" s="8">
        <v>43079.444745370369</v>
      </c>
      <c r="B90" s="20" t="s">
        <v>519</v>
      </c>
      <c r="C90" s="20" t="s">
        <v>821</v>
      </c>
      <c r="D90" s="137">
        <v>880000</v>
      </c>
      <c r="E90" s="20" t="s">
        <v>822</v>
      </c>
      <c r="F90" s="20" t="s">
        <v>352</v>
      </c>
      <c r="G90" s="8" t="str">
        <f t="shared" si="2"/>
        <v>STEWART MICHAEL</v>
      </c>
      <c r="H90" s="20" t="str">
        <f t="shared" si="3"/>
        <v>4024</v>
      </c>
    </row>
    <row r="91" spans="1:8" x14ac:dyDescent="0.3">
      <c r="A91" s="8">
        <v>43079.455740740741</v>
      </c>
      <c r="B91" s="20" t="s">
        <v>360</v>
      </c>
      <c r="C91" s="20" t="s">
        <v>823</v>
      </c>
      <c r="D91" s="137">
        <v>3090000</v>
      </c>
      <c r="E91" s="20" t="s">
        <v>565</v>
      </c>
      <c r="F91" s="20" t="s">
        <v>566</v>
      </c>
      <c r="G91" s="8" t="str">
        <f t="shared" si="2"/>
        <v>LAMAR NEKESHA</v>
      </c>
      <c r="H91" s="20" t="str">
        <f t="shared" si="3"/>
        <v>4018</v>
      </c>
    </row>
    <row r="92" spans="1:8" x14ac:dyDescent="0.3">
      <c r="A92" s="8">
        <v>43079.461423611108</v>
      </c>
      <c r="B92" s="20" t="s">
        <v>450</v>
      </c>
      <c r="C92" s="20" t="s">
        <v>824</v>
      </c>
      <c r="D92" s="137">
        <v>2560000</v>
      </c>
      <c r="E92" s="20" t="s">
        <v>563</v>
      </c>
      <c r="F92" s="20" t="s">
        <v>564</v>
      </c>
      <c r="G92" s="8" t="str">
        <f t="shared" si="2"/>
        <v>MACDONALD THOMAS</v>
      </c>
      <c r="H92" s="20" t="str">
        <f t="shared" si="3"/>
        <v>4042</v>
      </c>
    </row>
    <row r="93" spans="1:8" x14ac:dyDescent="0.3">
      <c r="A93" s="8">
        <v>43079.464224537034</v>
      </c>
      <c r="B93" s="20" t="s">
        <v>664</v>
      </c>
      <c r="C93" s="20" t="s">
        <v>825</v>
      </c>
      <c r="D93" s="137">
        <v>2550000</v>
      </c>
      <c r="E93" s="20" t="s">
        <v>541</v>
      </c>
      <c r="F93" s="20" t="s">
        <v>542</v>
      </c>
      <c r="G93" s="8" t="str">
        <f t="shared" si="2"/>
        <v>BADERTSCHER DIANE</v>
      </c>
      <c r="H93" s="20" t="str">
        <f t="shared" si="3"/>
        <v>4063</v>
      </c>
    </row>
    <row r="94" spans="1:8" x14ac:dyDescent="0.3">
      <c r="A94" s="8">
        <v>43079.465462962966</v>
      </c>
      <c r="B94" s="20" t="s">
        <v>370</v>
      </c>
      <c r="C94" s="20" t="s">
        <v>826</v>
      </c>
      <c r="D94" s="137">
        <v>920000</v>
      </c>
      <c r="E94" s="20" t="s">
        <v>666</v>
      </c>
      <c r="F94" s="20" t="s">
        <v>352</v>
      </c>
      <c r="G94" s="8" t="str">
        <f t="shared" si="2"/>
        <v>DAVIS MICHAEL</v>
      </c>
      <c r="H94" s="20" t="str">
        <f t="shared" si="3"/>
        <v>4012</v>
      </c>
    </row>
    <row r="95" spans="1:8" x14ac:dyDescent="0.3">
      <c r="A95" s="8">
        <v>43079.473506944443</v>
      </c>
      <c r="B95" s="20" t="s">
        <v>595</v>
      </c>
      <c r="C95" s="20" t="s">
        <v>827</v>
      </c>
      <c r="D95" s="137">
        <v>3040000</v>
      </c>
      <c r="E95" s="20" t="s">
        <v>368</v>
      </c>
      <c r="F95" s="20" t="s">
        <v>540</v>
      </c>
      <c r="G95" s="8" t="str">
        <f t="shared" si="2"/>
        <v>WILLIAMS DONTE</v>
      </c>
      <c r="H95" s="20" t="str">
        <f t="shared" si="3"/>
        <v>4033</v>
      </c>
    </row>
    <row r="96" spans="1:8" x14ac:dyDescent="0.3">
      <c r="A96" s="8">
        <v>43079.475324074076</v>
      </c>
      <c r="B96" s="20" t="s">
        <v>392</v>
      </c>
      <c r="C96" s="20" t="s">
        <v>828</v>
      </c>
      <c r="D96" s="137">
        <v>2630000</v>
      </c>
      <c r="E96" s="20" t="s">
        <v>372</v>
      </c>
      <c r="F96" s="20" t="s">
        <v>373</v>
      </c>
      <c r="G96" s="8" t="str">
        <f t="shared" si="2"/>
        <v>SAFIEF AEIMEN</v>
      </c>
      <c r="H96" s="20" t="str">
        <f t="shared" si="3"/>
        <v>4030</v>
      </c>
    </row>
    <row r="97" spans="1:8" x14ac:dyDescent="0.3">
      <c r="A97" s="8">
        <v>43079.476400462961</v>
      </c>
      <c r="B97" s="20" t="s">
        <v>743</v>
      </c>
      <c r="C97" s="20" t="s">
        <v>829</v>
      </c>
      <c r="D97" s="137">
        <v>2560000</v>
      </c>
      <c r="E97" s="20" t="s">
        <v>563</v>
      </c>
      <c r="F97" s="20" t="s">
        <v>564</v>
      </c>
      <c r="G97" s="8" t="str">
        <f t="shared" si="2"/>
        <v>MACDONALD THOMAS</v>
      </c>
      <c r="H97" s="20" t="str">
        <f t="shared" si="3"/>
        <v>4041</v>
      </c>
    </row>
    <row r="98" spans="1:8" x14ac:dyDescent="0.3">
      <c r="A98" s="8">
        <v>43079.4840625</v>
      </c>
      <c r="B98" s="20" t="s">
        <v>536</v>
      </c>
      <c r="C98" s="20" t="s">
        <v>830</v>
      </c>
      <c r="D98" s="137">
        <v>2970000</v>
      </c>
      <c r="E98" s="20" t="s">
        <v>374</v>
      </c>
      <c r="F98" s="20" t="s">
        <v>375</v>
      </c>
      <c r="G98" s="8" t="str">
        <f t="shared" si="2"/>
        <v>GUZMAN DANNY</v>
      </c>
      <c r="H98" s="20" t="str">
        <f t="shared" si="3"/>
        <v>4032</v>
      </c>
    </row>
    <row r="99" spans="1:8" x14ac:dyDescent="0.3">
      <c r="A99" s="8">
        <v>43079.485219907408</v>
      </c>
      <c r="B99" s="20" t="s">
        <v>362</v>
      </c>
      <c r="C99" s="20" t="s">
        <v>831</v>
      </c>
      <c r="D99" s="137">
        <v>3090000</v>
      </c>
      <c r="E99" s="20" t="s">
        <v>565</v>
      </c>
      <c r="F99" s="20" t="s">
        <v>566</v>
      </c>
      <c r="G99" s="8" t="str">
        <f t="shared" si="2"/>
        <v>LAMAR NEKESHA</v>
      </c>
      <c r="H99" s="20" t="str">
        <f t="shared" si="3"/>
        <v>4017</v>
      </c>
    </row>
    <row r="100" spans="1:8" x14ac:dyDescent="0.3">
      <c r="A100" s="8">
        <v>43079.485381944447</v>
      </c>
      <c r="B100" s="20" t="s">
        <v>511</v>
      </c>
      <c r="C100" s="20" t="s">
        <v>832</v>
      </c>
      <c r="D100" s="137">
        <v>880000</v>
      </c>
      <c r="E100" s="20" t="s">
        <v>822</v>
      </c>
      <c r="F100" s="20" t="s">
        <v>352</v>
      </c>
      <c r="G100" s="8" t="str">
        <f t="shared" si="2"/>
        <v>STEWART MICHAEL</v>
      </c>
      <c r="H100" s="20" t="str">
        <f t="shared" si="3"/>
        <v>4023</v>
      </c>
    </row>
    <row r="101" spans="1:8" x14ac:dyDescent="0.3">
      <c r="A101" s="8">
        <v>43079.497974537036</v>
      </c>
      <c r="B101" s="20" t="s">
        <v>665</v>
      </c>
      <c r="C101" s="20" t="s">
        <v>833</v>
      </c>
      <c r="D101" s="137">
        <v>2550000</v>
      </c>
      <c r="E101" s="20" t="s">
        <v>541</v>
      </c>
      <c r="F101" s="20" t="s">
        <v>542</v>
      </c>
      <c r="G101" s="8" t="str">
        <f t="shared" si="2"/>
        <v>BADERTSCHER DIANE</v>
      </c>
      <c r="H101" s="20" t="str">
        <f t="shared" si="3"/>
        <v>4064</v>
      </c>
    </row>
    <row r="102" spans="1:8" x14ac:dyDescent="0.3">
      <c r="A102" s="8">
        <v>43079.503692129627</v>
      </c>
      <c r="B102" s="20" t="s">
        <v>450</v>
      </c>
      <c r="C102" s="20" t="s">
        <v>834</v>
      </c>
      <c r="D102" s="137">
        <v>2560000</v>
      </c>
      <c r="E102" s="20" t="s">
        <v>563</v>
      </c>
      <c r="F102" s="20" t="s">
        <v>564</v>
      </c>
      <c r="G102" s="8" t="str">
        <f t="shared" si="2"/>
        <v>MACDONALD THOMAS</v>
      </c>
      <c r="H102" s="20" t="str">
        <f t="shared" si="3"/>
        <v>4042</v>
      </c>
    </row>
    <row r="103" spans="1:8" x14ac:dyDescent="0.3">
      <c r="A103" s="8">
        <v>43079.506655092591</v>
      </c>
      <c r="B103" s="20" t="s">
        <v>596</v>
      </c>
      <c r="C103" s="20" t="s">
        <v>835</v>
      </c>
      <c r="D103" s="137">
        <v>2540000</v>
      </c>
      <c r="E103" s="20" t="s">
        <v>459</v>
      </c>
      <c r="F103" s="20" t="s">
        <v>460</v>
      </c>
      <c r="G103" s="8" t="str">
        <f t="shared" si="2"/>
        <v>MCREYNOLDS KYLE</v>
      </c>
      <c r="H103" s="20" t="str">
        <f t="shared" si="3"/>
        <v>4034</v>
      </c>
    </row>
    <row r="104" spans="1:8" x14ac:dyDescent="0.3">
      <c r="A104" s="8">
        <v>43079.507071759261</v>
      </c>
      <c r="B104" s="20" t="s">
        <v>371</v>
      </c>
      <c r="C104" s="20" t="s">
        <v>836</v>
      </c>
      <c r="D104" s="137">
        <v>920000</v>
      </c>
      <c r="E104" s="20" t="s">
        <v>666</v>
      </c>
      <c r="F104" s="20" t="s">
        <v>352</v>
      </c>
      <c r="G104" s="8" t="str">
        <f t="shared" si="2"/>
        <v>DAVIS MICHAEL</v>
      </c>
      <c r="H104" s="20" t="str">
        <f t="shared" si="3"/>
        <v>4011</v>
      </c>
    </row>
    <row r="105" spans="1:8" x14ac:dyDescent="0.3">
      <c r="A105" s="8">
        <v>43079.513877314814</v>
      </c>
      <c r="B105" s="20" t="s">
        <v>386</v>
      </c>
      <c r="C105" s="20" t="s">
        <v>837</v>
      </c>
      <c r="D105" s="137">
        <v>2630000</v>
      </c>
      <c r="E105" s="20" t="s">
        <v>372</v>
      </c>
      <c r="F105" s="20" t="s">
        <v>373</v>
      </c>
      <c r="G105" s="8" t="str">
        <f t="shared" si="2"/>
        <v>SAFIEF AEIMEN</v>
      </c>
      <c r="H105" s="20" t="str">
        <f t="shared" si="3"/>
        <v>4029</v>
      </c>
    </row>
    <row r="106" spans="1:8" x14ac:dyDescent="0.3">
      <c r="A106" s="8">
        <v>43079.517129629632</v>
      </c>
      <c r="B106" s="20" t="s">
        <v>519</v>
      </c>
      <c r="C106" s="20" t="s">
        <v>838</v>
      </c>
      <c r="D106" s="137">
        <v>880000</v>
      </c>
      <c r="E106" s="20" t="s">
        <v>822</v>
      </c>
      <c r="F106" s="20" t="s">
        <v>352</v>
      </c>
      <c r="G106" s="8" t="str">
        <f t="shared" si="2"/>
        <v>STEWART MICHAEL</v>
      </c>
      <c r="H106" s="20" t="str">
        <f t="shared" si="3"/>
        <v>4024</v>
      </c>
    </row>
    <row r="107" spans="1:8" x14ac:dyDescent="0.3">
      <c r="A107" s="8">
        <v>43079.518391203703</v>
      </c>
      <c r="B107" s="20" t="s">
        <v>743</v>
      </c>
      <c r="C107" s="20" t="s">
        <v>839</v>
      </c>
      <c r="D107" s="137">
        <v>2560000</v>
      </c>
      <c r="E107" s="20" t="s">
        <v>563</v>
      </c>
      <c r="F107" s="20" t="s">
        <v>564</v>
      </c>
      <c r="G107" s="8" t="str">
        <f t="shared" si="2"/>
        <v>MACDONALD THOMAS</v>
      </c>
      <c r="H107" s="20" t="str">
        <f t="shared" si="3"/>
        <v>4041</v>
      </c>
    </row>
    <row r="108" spans="1:8" x14ac:dyDescent="0.3">
      <c r="A108" s="8">
        <v>43079.520752314813</v>
      </c>
      <c r="B108" s="20" t="s">
        <v>537</v>
      </c>
      <c r="C108" s="20" t="s">
        <v>840</v>
      </c>
      <c r="D108" s="137">
        <v>2970000</v>
      </c>
      <c r="E108" s="20" t="s">
        <v>374</v>
      </c>
      <c r="F108" s="20" t="s">
        <v>375</v>
      </c>
      <c r="G108" s="8" t="str">
        <f t="shared" si="2"/>
        <v>GUZMAN DANNY</v>
      </c>
      <c r="H108" s="20" t="str">
        <f t="shared" si="3"/>
        <v>4031</v>
      </c>
    </row>
    <row r="109" spans="1:8" x14ac:dyDescent="0.3">
      <c r="A109" s="8">
        <v>43079.527141203704</v>
      </c>
      <c r="B109" s="20" t="s">
        <v>360</v>
      </c>
      <c r="C109" s="20" t="s">
        <v>841</v>
      </c>
      <c r="D109" s="137">
        <v>2230000</v>
      </c>
      <c r="E109" s="20" t="s">
        <v>393</v>
      </c>
      <c r="F109" s="20" t="s">
        <v>352</v>
      </c>
      <c r="G109" s="8" t="str">
        <f t="shared" si="2"/>
        <v>SMITH MICHAEL</v>
      </c>
      <c r="H109" s="20" t="str">
        <f t="shared" si="3"/>
        <v>4018</v>
      </c>
    </row>
    <row r="110" spans="1:8" x14ac:dyDescent="0.3">
      <c r="A110" s="8">
        <v>43079.536180555559</v>
      </c>
      <c r="B110" s="20" t="s">
        <v>664</v>
      </c>
      <c r="C110" s="20" t="s">
        <v>842</v>
      </c>
      <c r="D110" s="137">
        <v>2550000</v>
      </c>
      <c r="E110" s="20" t="s">
        <v>541</v>
      </c>
      <c r="F110" s="20" t="s">
        <v>542</v>
      </c>
      <c r="G110" s="8" t="str">
        <f t="shared" si="2"/>
        <v>BADERTSCHER DIANE</v>
      </c>
      <c r="H110" s="20" t="str">
        <f t="shared" si="3"/>
        <v>4063</v>
      </c>
    </row>
    <row r="111" spans="1:8" x14ac:dyDescent="0.3">
      <c r="A111" s="8">
        <v>43079.540300925924</v>
      </c>
      <c r="B111" s="20" t="s">
        <v>370</v>
      </c>
      <c r="C111" s="20" t="s">
        <v>843</v>
      </c>
      <c r="D111" s="137">
        <v>920000</v>
      </c>
      <c r="E111" s="20" t="s">
        <v>666</v>
      </c>
      <c r="F111" s="20" t="s">
        <v>352</v>
      </c>
      <c r="G111" s="8" t="str">
        <f t="shared" si="2"/>
        <v>DAVIS MICHAEL</v>
      </c>
      <c r="H111" s="20" t="str">
        <f t="shared" si="3"/>
        <v>4012</v>
      </c>
    </row>
    <row r="112" spans="1:8" x14ac:dyDescent="0.3">
      <c r="A112" s="8">
        <v>43079.541168981479</v>
      </c>
      <c r="B112" s="20" t="s">
        <v>595</v>
      </c>
      <c r="C112" s="20" t="s">
        <v>844</v>
      </c>
      <c r="D112" s="137">
        <v>2540000</v>
      </c>
      <c r="E112" s="20" t="s">
        <v>459</v>
      </c>
      <c r="F112" s="20" t="s">
        <v>460</v>
      </c>
      <c r="G112" s="8" t="str">
        <f t="shared" si="2"/>
        <v>MCREYNOLDS KYLE</v>
      </c>
      <c r="H112" s="20" t="str">
        <f t="shared" si="3"/>
        <v>4033</v>
      </c>
    </row>
    <row r="113" spans="1:8" x14ac:dyDescent="0.3">
      <c r="A113" s="8">
        <v>43079.547418981485</v>
      </c>
      <c r="B113" s="20" t="s">
        <v>392</v>
      </c>
      <c r="C113" s="20" t="s">
        <v>845</v>
      </c>
      <c r="D113" s="137">
        <v>2630000</v>
      </c>
      <c r="E113" s="20" t="s">
        <v>372</v>
      </c>
      <c r="F113" s="20" t="s">
        <v>373</v>
      </c>
      <c r="G113" s="8" t="str">
        <f t="shared" si="2"/>
        <v>SAFIEF AEIMEN</v>
      </c>
      <c r="H113" s="20" t="str">
        <f t="shared" si="3"/>
        <v>4030</v>
      </c>
    </row>
    <row r="114" spans="1:8" x14ac:dyDescent="0.3">
      <c r="A114" s="8">
        <v>43079.547893518517</v>
      </c>
      <c r="B114" s="20" t="s">
        <v>450</v>
      </c>
      <c r="C114" s="20" t="s">
        <v>846</v>
      </c>
      <c r="D114" s="137">
        <v>2560000</v>
      </c>
      <c r="E114" s="20" t="s">
        <v>563</v>
      </c>
      <c r="F114" s="20" t="s">
        <v>564</v>
      </c>
      <c r="G114" s="8" t="str">
        <f t="shared" si="2"/>
        <v>MACDONALD THOMAS</v>
      </c>
      <c r="H114" s="20" t="str">
        <f t="shared" si="3"/>
        <v>4042</v>
      </c>
    </row>
    <row r="115" spans="1:8" x14ac:dyDescent="0.3">
      <c r="A115" s="8">
        <v>43079.558240740742</v>
      </c>
      <c r="B115" s="20" t="s">
        <v>511</v>
      </c>
      <c r="C115" s="20" t="s">
        <v>847</v>
      </c>
      <c r="D115" s="137">
        <v>880000</v>
      </c>
      <c r="E115" s="20" t="s">
        <v>822</v>
      </c>
      <c r="F115" s="20" t="s">
        <v>352</v>
      </c>
      <c r="G115" s="8" t="str">
        <f t="shared" si="2"/>
        <v>STEWART MICHAEL</v>
      </c>
      <c r="H115" s="20" t="str">
        <f t="shared" si="3"/>
        <v>4023</v>
      </c>
    </row>
    <row r="116" spans="1:8" x14ac:dyDescent="0.3">
      <c r="A116" s="8">
        <v>43079.559513888889</v>
      </c>
      <c r="B116" s="20" t="s">
        <v>536</v>
      </c>
      <c r="C116" s="20" t="s">
        <v>848</v>
      </c>
      <c r="D116" s="137">
        <v>2970000</v>
      </c>
      <c r="E116" s="20" t="s">
        <v>374</v>
      </c>
      <c r="F116" s="20" t="s">
        <v>375</v>
      </c>
      <c r="G116" s="8" t="str">
        <f t="shared" si="2"/>
        <v>GUZMAN DANNY</v>
      </c>
      <c r="H116" s="20" t="str">
        <f t="shared" si="3"/>
        <v>4032</v>
      </c>
    </row>
    <row r="117" spans="1:8" x14ac:dyDescent="0.3">
      <c r="A117" s="8">
        <v>43079.562361111108</v>
      </c>
      <c r="B117" s="20" t="s">
        <v>362</v>
      </c>
      <c r="C117" s="20" t="s">
        <v>849</v>
      </c>
      <c r="D117" s="137">
        <v>2230000</v>
      </c>
      <c r="E117" s="20" t="s">
        <v>393</v>
      </c>
      <c r="F117" s="20" t="s">
        <v>352</v>
      </c>
      <c r="G117" s="8" t="str">
        <f t="shared" si="2"/>
        <v>SMITH MICHAEL</v>
      </c>
      <c r="H117" s="20" t="str">
        <f t="shared" si="3"/>
        <v>4017</v>
      </c>
    </row>
    <row r="118" spans="1:8" x14ac:dyDescent="0.3">
      <c r="A118" s="8">
        <v>43079.56658564815</v>
      </c>
      <c r="B118" s="20" t="s">
        <v>743</v>
      </c>
      <c r="C118" s="20" t="s">
        <v>850</v>
      </c>
      <c r="D118" s="137">
        <v>2560000</v>
      </c>
      <c r="E118" s="20" t="s">
        <v>563</v>
      </c>
      <c r="F118" s="20" t="s">
        <v>564</v>
      </c>
      <c r="G118" s="8" t="str">
        <f t="shared" si="2"/>
        <v>MACDONALD THOMAS</v>
      </c>
      <c r="H118" s="20" t="str">
        <f t="shared" si="3"/>
        <v>4041</v>
      </c>
    </row>
    <row r="119" spans="1:8" x14ac:dyDescent="0.3">
      <c r="A119" s="8">
        <v>43079.569965277777</v>
      </c>
      <c r="B119" s="20" t="s">
        <v>665</v>
      </c>
      <c r="C119" s="20" t="s">
        <v>740</v>
      </c>
      <c r="D119" s="137">
        <v>2550000</v>
      </c>
      <c r="E119" s="20" t="s">
        <v>541</v>
      </c>
      <c r="F119" s="20" t="s">
        <v>542</v>
      </c>
      <c r="G119" s="8" t="str">
        <f t="shared" si="2"/>
        <v>BADERTSCHER DIANE</v>
      </c>
      <c r="H119" s="20" t="str">
        <f t="shared" si="3"/>
        <v>4064</v>
      </c>
    </row>
    <row r="120" spans="1:8" x14ac:dyDescent="0.3">
      <c r="A120" s="8">
        <v>43079.578148148146</v>
      </c>
      <c r="B120" s="20" t="s">
        <v>596</v>
      </c>
      <c r="C120" s="20" t="s">
        <v>851</v>
      </c>
      <c r="D120" s="137">
        <v>2540000</v>
      </c>
      <c r="E120" s="20" t="s">
        <v>459</v>
      </c>
      <c r="F120" s="20" t="s">
        <v>460</v>
      </c>
      <c r="G120" s="8" t="str">
        <f t="shared" si="2"/>
        <v>MCREYNOLDS KYLE</v>
      </c>
      <c r="H120" s="20" t="str">
        <f t="shared" si="3"/>
        <v>4034</v>
      </c>
    </row>
    <row r="121" spans="1:8" x14ac:dyDescent="0.3">
      <c r="A121" s="8">
        <v>43079.578460648147</v>
      </c>
      <c r="B121" s="20" t="s">
        <v>371</v>
      </c>
      <c r="C121" s="20" t="s">
        <v>852</v>
      </c>
      <c r="D121" s="137">
        <v>920000</v>
      </c>
      <c r="E121" s="20" t="s">
        <v>666</v>
      </c>
      <c r="F121" s="20" t="s">
        <v>352</v>
      </c>
      <c r="G121" s="8" t="str">
        <f t="shared" si="2"/>
        <v>DAVIS MICHAEL</v>
      </c>
      <c r="H121" s="20" t="str">
        <f t="shared" si="3"/>
        <v>4011</v>
      </c>
    </row>
    <row r="122" spans="1:8" x14ac:dyDescent="0.3">
      <c r="A122" s="8">
        <v>43079.579004629632</v>
      </c>
      <c r="B122" s="25" t="s">
        <v>386</v>
      </c>
      <c r="C122" s="20" t="s">
        <v>853</v>
      </c>
      <c r="D122" s="137">
        <v>2630000</v>
      </c>
      <c r="E122" s="20" t="s">
        <v>372</v>
      </c>
      <c r="F122" s="20" t="s">
        <v>373</v>
      </c>
      <c r="G122" s="8" t="str">
        <f t="shared" si="2"/>
        <v>SAFIEF AEIMEN</v>
      </c>
      <c r="H122" s="20" t="str">
        <f t="shared" si="3"/>
        <v>4029</v>
      </c>
    </row>
    <row r="123" spans="1:8" x14ac:dyDescent="0.3">
      <c r="A123" s="8">
        <v>43079.583935185183</v>
      </c>
      <c r="B123" s="20" t="s">
        <v>450</v>
      </c>
      <c r="C123" s="20" t="s">
        <v>854</v>
      </c>
      <c r="D123" s="137">
        <v>2420000</v>
      </c>
      <c r="E123" s="20" t="s">
        <v>567</v>
      </c>
      <c r="F123" s="20" t="s">
        <v>568</v>
      </c>
      <c r="G123" s="8" t="str">
        <f t="shared" si="2"/>
        <v>HOLCOMB KAMDEN</v>
      </c>
      <c r="H123" s="20" t="str">
        <f t="shared" si="3"/>
        <v>4042</v>
      </c>
    </row>
    <row r="124" spans="1:8" x14ac:dyDescent="0.3">
      <c r="A124" s="8">
        <v>43079.589641203704</v>
      </c>
      <c r="B124" s="20" t="s">
        <v>519</v>
      </c>
      <c r="C124" s="20" t="s">
        <v>855</v>
      </c>
      <c r="D124" s="137">
        <v>880000</v>
      </c>
      <c r="E124" s="20" t="s">
        <v>822</v>
      </c>
      <c r="F124" s="20" t="s">
        <v>352</v>
      </c>
      <c r="G124" s="8" t="str">
        <f t="shared" si="2"/>
        <v>STEWART MICHAEL</v>
      </c>
      <c r="H124" s="20" t="str">
        <f t="shared" si="3"/>
        <v>4024</v>
      </c>
    </row>
    <row r="125" spans="1:8" x14ac:dyDescent="0.3">
      <c r="A125" s="8">
        <v>43079.589756944442</v>
      </c>
      <c r="B125" s="20" t="s">
        <v>537</v>
      </c>
      <c r="C125" s="20" t="s">
        <v>856</v>
      </c>
      <c r="D125" s="137">
        <v>2970000</v>
      </c>
      <c r="E125" s="20" t="s">
        <v>374</v>
      </c>
      <c r="F125" s="20" t="s">
        <v>375</v>
      </c>
      <c r="G125" s="8" t="str">
        <f t="shared" si="2"/>
        <v>GUZMAN DANNY</v>
      </c>
      <c r="H125" s="20" t="str">
        <f t="shared" si="3"/>
        <v>4031</v>
      </c>
    </row>
    <row r="126" spans="1:8" x14ac:dyDescent="0.3">
      <c r="A126" s="8">
        <v>43079.599687499998</v>
      </c>
      <c r="B126" s="20" t="s">
        <v>360</v>
      </c>
      <c r="C126" s="20" t="s">
        <v>857</v>
      </c>
      <c r="D126" s="137">
        <v>2230000</v>
      </c>
      <c r="E126" s="20" t="s">
        <v>393</v>
      </c>
      <c r="F126" s="20" t="s">
        <v>352</v>
      </c>
      <c r="G126" s="8" t="str">
        <f t="shared" si="2"/>
        <v>SMITH MICHAEL</v>
      </c>
      <c r="H126" s="20" t="str">
        <f t="shared" si="3"/>
        <v>4018</v>
      </c>
    </row>
    <row r="127" spans="1:8" x14ac:dyDescent="0.3">
      <c r="A127" s="8">
        <v>43079.601377314815</v>
      </c>
      <c r="B127" s="20" t="s">
        <v>743</v>
      </c>
      <c r="C127" s="20" t="s">
        <v>858</v>
      </c>
      <c r="D127" s="137">
        <v>2420000</v>
      </c>
      <c r="E127" s="20" t="s">
        <v>567</v>
      </c>
      <c r="F127" s="20" t="s">
        <v>568</v>
      </c>
      <c r="G127" s="8" t="str">
        <f t="shared" si="2"/>
        <v>HOLCOMB KAMDEN</v>
      </c>
      <c r="H127" s="20" t="str">
        <f t="shared" si="3"/>
        <v>4041</v>
      </c>
    </row>
    <row r="128" spans="1:8" x14ac:dyDescent="0.3">
      <c r="A128" s="8">
        <v>43079.609375</v>
      </c>
      <c r="B128" s="20" t="s">
        <v>664</v>
      </c>
      <c r="C128" s="20" t="s">
        <v>859</v>
      </c>
      <c r="D128" s="137">
        <v>2550000</v>
      </c>
      <c r="E128" s="20" t="s">
        <v>541</v>
      </c>
      <c r="F128" s="20" t="s">
        <v>542</v>
      </c>
      <c r="G128" s="8" t="str">
        <f t="shared" si="2"/>
        <v>BADERTSCHER DIANE</v>
      </c>
      <c r="H128" s="20" t="str">
        <f t="shared" si="3"/>
        <v>4063</v>
      </c>
    </row>
    <row r="129" spans="1:8" x14ac:dyDescent="0.3">
      <c r="A129" s="8">
        <v>43079.613078703704</v>
      </c>
      <c r="B129" s="20" t="s">
        <v>370</v>
      </c>
      <c r="C129" s="20" t="s">
        <v>741</v>
      </c>
      <c r="D129" s="137">
        <v>920000</v>
      </c>
      <c r="E129" s="20" t="s">
        <v>666</v>
      </c>
      <c r="F129" s="20" t="s">
        <v>352</v>
      </c>
      <c r="G129" s="8" t="str">
        <f t="shared" si="2"/>
        <v>DAVIS MICHAEL</v>
      </c>
      <c r="H129" s="20" t="str">
        <f t="shared" si="3"/>
        <v>4012</v>
      </c>
    </row>
    <row r="130" spans="1:8" x14ac:dyDescent="0.3">
      <c r="A130" s="8">
        <v>43079.617349537039</v>
      </c>
      <c r="B130" s="20" t="s">
        <v>595</v>
      </c>
      <c r="C130" s="20" t="s">
        <v>860</v>
      </c>
      <c r="D130" s="137">
        <v>2540000</v>
      </c>
      <c r="E130" s="20" t="s">
        <v>459</v>
      </c>
      <c r="F130" s="20" t="s">
        <v>460</v>
      </c>
      <c r="G130" s="8" t="str">
        <f t="shared" si="2"/>
        <v>MCREYNOLDS KYLE</v>
      </c>
      <c r="H130" s="20" t="str">
        <f t="shared" si="3"/>
        <v>4033</v>
      </c>
    </row>
    <row r="131" spans="1:8" x14ac:dyDescent="0.3">
      <c r="A131" s="8">
        <v>43079.622337962966</v>
      </c>
      <c r="B131" s="20" t="s">
        <v>392</v>
      </c>
      <c r="C131" s="20" t="s">
        <v>861</v>
      </c>
      <c r="D131" s="137">
        <v>2630000</v>
      </c>
      <c r="E131" s="20" t="s">
        <v>372</v>
      </c>
      <c r="F131" s="20" t="s">
        <v>373</v>
      </c>
      <c r="G131" s="8" t="str">
        <f t="shared" ref="G131:G194" si="4">E131&amp;" "&amp;F131</f>
        <v>SAFIEF AEIMEN</v>
      </c>
      <c r="H131" s="20" t="str">
        <f t="shared" ref="H131:H194" si="5">MID(B131,13,4)</f>
        <v>4030</v>
      </c>
    </row>
    <row r="132" spans="1:8" x14ac:dyDescent="0.3">
      <c r="A132" s="8">
        <v>43079.629363425927</v>
      </c>
      <c r="B132" s="20" t="s">
        <v>450</v>
      </c>
      <c r="C132" s="20" t="s">
        <v>862</v>
      </c>
      <c r="D132" s="137">
        <v>2420000</v>
      </c>
      <c r="E132" s="20" t="s">
        <v>567</v>
      </c>
      <c r="F132" s="20" t="s">
        <v>568</v>
      </c>
      <c r="G132" s="8" t="str">
        <f t="shared" si="4"/>
        <v>HOLCOMB KAMDEN</v>
      </c>
      <c r="H132" s="20" t="str">
        <f t="shared" si="5"/>
        <v>4042</v>
      </c>
    </row>
    <row r="133" spans="1:8" x14ac:dyDescent="0.3">
      <c r="A133" s="8">
        <v>43079.631493055553</v>
      </c>
      <c r="B133" s="20" t="s">
        <v>511</v>
      </c>
      <c r="C133" s="20" t="s">
        <v>863</v>
      </c>
      <c r="D133" s="137">
        <v>880000</v>
      </c>
      <c r="E133" s="20" t="s">
        <v>822</v>
      </c>
      <c r="F133" s="20" t="s">
        <v>352</v>
      </c>
      <c r="G133" s="8" t="str">
        <f t="shared" si="4"/>
        <v>STEWART MICHAEL</v>
      </c>
      <c r="H133" s="20" t="str">
        <f t="shared" si="5"/>
        <v>4023</v>
      </c>
    </row>
    <row r="134" spans="1:8" x14ac:dyDescent="0.3">
      <c r="A134" s="8">
        <v>43079.631666666668</v>
      </c>
      <c r="B134" s="20" t="s">
        <v>536</v>
      </c>
      <c r="C134" s="20" t="s">
        <v>864</v>
      </c>
      <c r="D134" s="137">
        <v>2970000</v>
      </c>
      <c r="E134" s="20" t="s">
        <v>374</v>
      </c>
      <c r="F134" s="20" t="s">
        <v>375</v>
      </c>
      <c r="G134" s="8" t="str">
        <f t="shared" si="4"/>
        <v>GUZMAN DANNY</v>
      </c>
      <c r="H134" s="20" t="str">
        <f t="shared" si="5"/>
        <v>4032</v>
      </c>
    </row>
    <row r="135" spans="1:8" x14ac:dyDescent="0.3">
      <c r="A135" s="8">
        <v>43079.63590277778</v>
      </c>
      <c r="B135" s="20" t="s">
        <v>362</v>
      </c>
      <c r="C135" s="20" t="s">
        <v>865</v>
      </c>
      <c r="D135" s="137">
        <v>2230000</v>
      </c>
      <c r="E135" s="20" t="s">
        <v>393</v>
      </c>
      <c r="F135" s="20" t="s">
        <v>352</v>
      </c>
      <c r="G135" s="8" t="str">
        <f t="shared" si="4"/>
        <v>SMITH MICHAEL</v>
      </c>
      <c r="H135" s="20" t="str">
        <f t="shared" si="5"/>
        <v>4017</v>
      </c>
    </row>
    <row r="136" spans="1:8" x14ac:dyDescent="0.3">
      <c r="A136" s="8">
        <v>43079.642766203702</v>
      </c>
      <c r="B136" s="20" t="s">
        <v>665</v>
      </c>
      <c r="C136" s="20" t="s">
        <v>866</v>
      </c>
      <c r="D136" s="137">
        <v>2550000</v>
      </c>
      <c r="E136" s="20" t="s">
        <v>541</v>
      </c>
      <c r="F136" s="20" t="s">
        <v>542</v>
      </c>
      <c r="G136" s="8" t="str">
        <f t="shared" si="4"/>
        <v>BADERTSCHER DIANE</v>
      </c>
      <c r="H136" s="20" t="str">
        <f t="shared" si="5"/>
        <v>4064</v>
      </c>
    </row>
    <row r="137" spans="1:8" x14ac:dyDescent="0.3">
      <c r="A137" s="8">
        <v>43079.642847222225</v>
      </c>
      <c r="B137" s="20" t="s">
        <v>743</v>
      </c>
      <c r="C137" s="20" t="s">
        <v>867</v>
      </c>
      <c r="D137" s="137">
        <v>2420000</v>
      </c>
      <c r="E137" s="20" t="s">
        <v>567</v>
      </c>
      <c r="F137" s="20" t="s">
        <v>568</v>
      </c>
      <c r="G137" s="8" t="str">
        <f t="shared" si="4"/>
        <v>HOLCOMB KAMDEN</v>
      </c>
      <c r="H137" s="20" t="str">
        <f t="shared" si="5"/>
        <v>4041</v>
      </c>
    </row>
    <row r="138" spans="1:8" x14ac:dyDescent="0.3">
      <c r="A138" s="8">
        <v>43079.652199074073</v>
      </c>
      <c r="B138" s="20" t="s">
        <v>596</v>
      </c>
      <c r="C138" s="20" t="s">
        <v>868</v>
      </c>
      <c r="D138" s="137">
        <v>2540000</v>
      </c>
      <c r="E138" s="20" t="s">
        <v>459</v>
      </c>
      <c r="F138" s="20" t="s">
        <v>460</v>
      </c>
      <c r="G138" s="8" t="str">
        <f t="shared" si="4"/>
        <v>MCREYNOLDS KYLE</v>
      </c>
      <c r="H138" s="20" t="str">
        <f t="shared" si="5"/>
        <v>4034</v>
      </c>
    </row>
    <row r="139" spans="1:8" x14ac:dyDescent="0.3">
      <c r="A139" s="8">
        <v>43079.652222222219</v>
      </c>
      <c r="B139" s="20" t="s">
        <v>386</v>
      </c>
      <c r="C139" s="20" t="s">
        <v>869</v>
      </c>
      <c r="D139" s="137">
        <v>2630000</v>
      </c>
      <c r="E139" s="20" t="s">
        <v>372</v>
      </c>
      <c r="F139" s="20" t="s">
        <v>373</v>
      </c>
      <c r="G139" s="8" t="str">
        <f t="shared" si="4"/>
        <v>SAFIEF AEIMEN</v>
      </c>
      <c r="H139" s="20" t="str">
        <f t="shared" si="5"/>
        <v>4029</v>
      </c>
    </row>
    <row r="140" spans="1:8" x14ac:dyDescent="0.3">
      <c r="A140" s="8">
        <v>43079.653182870374</v>
      </c>
      <c r="B140" s="20" t="s">
        <v>371</v>
      </c>
      <c r="C140" s="20" t="s">
        <v>870</v>
      </c>
      <c r="D140" s="137">
        <v>920000</v>
      </c>
      <c r="E140" s="20" t="s">
        <v>666</v>
      </c>
      <c r="F140" s="20" t="s">
        <v>352</v>
      </c>
      <c r="G140" s="8" t="str">
        <f t="shared" si="4"/>
        <v>DAVIS MICHAEL</v>
      </c>
      <c r="H140" s="20" t="str">
        <f t="shared" si="5"/>
        <v>4011</v>
      </c>
    </row>
    <row r="141" spans="1:8" x14ac:dyDescent="0.3">
      <c r="A141" s="8">
        <v>43079.663402777776</v>
      </c>
      <c r="B141" s="20" t="s">
        <v>537</v>
      </c>
      <c r="C141" s="20" t="s">
        <v>871</v>
      </c>
      <c r="D141" s="137">
        <v>2970000</v>
      </c>
      <c r="E141" s="20" t="s">
        <v>374</v>
      </c>
      <c r="F141" s="20" t="s">
        <v>375</v>
      </c>
      <c r="G141" s="8" t="str">
        <f t="shared" si="4"/>
        <v>GUZMAN DANNY</v>
      </c>
      <c r="H141" s="20" t="str">
        <f t="shared" si="5"/>
        <v>4031</v>
      </c>
    </row>
    <row r="142" spans="1:8" x14ac:dyDescent="0.3">
      <c r="A142" s="8">
        <v>43079.663715277777</v>
      </c>
      <c r="B142" s="20" t="s">
        <v>519</v>
      </c>
      <c r="C142" s="20" t="s">
        <v>742</v>
      </c>
      <c r="D142" s="137">
        <v>880000</v>
      </c>
      <c r="E142" s="20" t="s">
        <v>822</v>
      </c>
      <c r="F142" s="20" t="s">
        <v>352</v>
      </c>
      <c r="G142" s="8" t="str">
        <f t="shared" si="4"/>
        <v>STEWART MICHAEL</v>
      </c>
      <c r="H142" s="20" t="str">
        <f t="shared" si="5"/>
        <v>4024</v>
      </c>
    </row>
    <row r="143" spans="1:8" x14ac:dyDescent="0.3">
      <c r="A143" s="8">
        <v>43079.670185185183</v>
      </c>
      <c r="B143" s="20" t="s">
        <v>450</v>
      </c>
      <c r="C143" s="20" t="s">
        <v>872</v>
      </c>
      <c r="D143" s="137">
        <v>2420000</v>
      </c>
      <c r="E143" s="20" t="s">
        <v>567</v>
      </c>
      <c r="F143" s="20" t="s">
        <v>568</v>
      </c>
      <c r="G143" s="8" t="str">
        <f t="shared" si="4"/>
        <v>HOLCOMB KAMDEN</v>
      </c>
      <c r="H143" s="20" t="str">
        <f t="shared" si="5"/>
        <v>4042</v>
      </c>
    </row>
    <row r="144" spans="1:8" x14ac:dyDescent="0.3">
      <c r="A144" s="8">
        <v>43079.674432870372</v>
      </c>
      <c r="B144" s="20" t="s">
        <v>360</v>
      </c>
      <c r="C144" s="20" t="s">
        <v>873</v>
      </c>
      <c r="D144" s="137">
        <v>2230000</v>
      </c>
      <c r="E144" s="20" t="s">
        <v>393</v>
      </c>
      <c r="F144" s="20" t="s">
        <v>352</v>
      </c>
      <c r="G144" s="8" t="str">
        <f t="shared" si="4"/>
        <v>SMITH MICHAEL</v>
      </c>
      <c r="H144" s="20" t="str">
        <f t="shared" si="5"/>
        <v>4018</v>
      </c>
    </row>
    <row r="145" spans="1:8" x14ac:dyDescent="0.3">
      <c r="A145" s="8">
        <v>43079.681851851848</v>
      </c>
      <c r="B145" s="20" t="s">
        <v>664</v>
      </c>
      <c r="C145" s="20" t="s">
        <v>874</v>
      </c>
      <c r="D145" s="137">
        <v>2550000</v>
      </c>
      <c r="E145" s="20" t="s">
        <v>541</v>
      </c>
      <c r="F145" s="20" t="s">
        <v>542</v>
      </c>
      <c r="G145" s="8" t="str">
        <f t="shared" si="4"/>
        <v>BADERTSCHER DIANE</v>
      </c>
      <c r="H145" s="20" t="str">
        <f t="shared" si="5"/>
        <v>4063</v>
      </c>
    </row>
    <row r="146" spans="1:8" x14ac:dyDescent="0.3">
      <c r="A146" s="8">
        <v>43079.683819444443</v>
      </c>
      <c r="B146" s="20" t="s">
        <v>743</v>
      </c>
      <c r="C146" s="20" t="s">
        <v>744</v>
      </c>
      <c r="D146" s="137">
        <v>2420000</v>
      </c>
      <c r="E146" s="20" t="s">
        <v>567</v>
      </c>
      <c r="F146" s="20" t="s">
        <v>568</v>
      </c>
      <c r="G146" s="8" t="str">
        <f t="shared" si="4"/>
        <v>HOLCOMB KAMDEN</v>
      </c>
      <c r="H146" s="20" t="str">
        <f t="shared" si="5"/>
        <v>4041</v>
      </c>
    </row>
    <row r="147" spans="1:8" x14ac:dyDescent="0.3">
      <c r="A147" s="8">
        <v>43079.685428240744</v>
      </c>
      <c r="B147" s="20" t="s">
        <v>370</v>
      </c>
      <c r="C147" s="20" t="s">
        <v>875</v>
      </c>
      <c r="D147" s="137">
        <v>920000</v>
      </c>
      <c r="E147" s="20" t="s">
        <v>666</v>
      </c>
      <c r="F147" s="20" t="s">
        <v>352</v>
      </c>
      <c r="G147" s="8" t="str">
        <f t="shared" si="4"/>
        <v>DAVIS MICHAEL</v>
      </c>
      <c r="H147" s="20" t="str">
        <f t="shared" si="5"/>
        <v>4012</v>
      </c>
    </row>
    <row r="148" spans="1:8" x14ac:dyDescent="0.3">
      <c r="A148" s="8">
        <v>43079.68886574074</v>
      </c>
      <c r="B148" s="20" t="s">
        <v>595</v>
      </c>
      <c r="C148" s="20" t="s">
        <v>876</v>
      </c>
      <c r="D148" s="137">
        <v>2540000</v>
      </c>
      <c r="E148" s="20" t="s">
        <v>459</v>
      </c>
      <c r="F148" s="20" t="s">
        <v>460</v>
      </c>
      <c r="G148" s="8" t="str">
        <f t="shared" si="4"/>
        <v>MCREYNOLDS KYLE</v>
      </c>
      <c r="H148" s="20" t="str">
        <f t="shared" si="5"/>
        <v>4033</v>
      </c>
    </row>
    <row r="149" spans="1:8" x14ac:dyDescent="0.3">
      <c r="A149" s="8">
        <v>43079.694421296299</v>
      </c>
      <c r="B149" s="20" t="s">
        <v>597</v>
      </c>
      <c r="C149" s="20" t="s">
        <v>877</v>
      </c>
      <c r="D149" s="137">
        <v>2470000</v>
      </c>
      <c r="E149" s="20" t="s">
        <v>878</v>
      </c>
      <c r="F149" s="20" t="s">
        <v>879</v>
      </c>
      <c r="G149" s="8" t="str">
        <f t="shared" si="4"/>
        <v>ROMERO CHAD</v>
      </c>
      <c r="H149" s="20" t="str">
        <f t="shared" si="5"/>
        <v>4044</v>
      </c>
    </row>
    <row r="150" spans="1:8" x14ac:dyDescent="0.3">
      <c r="A150" s="8">
        <v>43079.696099537039</v>
      </c>
      <c r="B150" s="20" t="s">
        <v>392</v>
      </c>
      <c r="C150" s="20" t="s">
        <v>880</v>
      </c>
      <c r="D150" s="137">
        <v>2630000</v>
      </c>
      <c r="E150" s="20" t="s">
        <v>372</v>
      </c>
      <c r="F150" s="20" t="s">
        <v>373</v>
      </c>
      <c r="G150" s="8" t="str">
        <f t="shared" si="4"/>
        <v>SAFIEF AEIMEN</v>
      </c>
      <c r="H150" s="20" t="str">
        <f t="shared" si="5"/>
        <v>4030</v>
      </c>
    </row>
    <row r="151" spans="1:8" x14ac:dyDescent="0.3">
      <c r="A151" s="8">
        <v>43079.702222222222</v>
      </c>
      <c r="B151" s="20" t="s">
        <v>511</v>
      </c>
      <c r="C151" s="20" t="s">
        <v>881</v>
      </c>
      <c r="D151" s="137">
        <v>880000</v>
      </c>
      <c r="E151" s="20" t="s">
        <v>822</v>
      </c>
      <c r="F151" s="20" t="s">
        <v>352</v>
      </c>
      <c r="G151" s="8" t="str">
        <f t="shared" si="4"/>
        <v>STEWART MICHAEL</v>
      </c>
      <c r="H151" s="20" t="str">
        <f t="shared" si="5"/>
        <v>4023</v>
      </c>
    </row>
    <row r="152" spans="1:8" x14ac:dyDescent="0.3">
      <c r="A152" s="8">
        <v>43079.70553240741</v>
      </c>
      <c r="B152" s="20" t="s">
        <v>536</v>
      </c>
      <c r="C152" s="20" t="s">
        <v>882</v>
      </c>
      <c r="D152" s="137">
        <v>2970000</v>
      </c>
      <c r="E152" s="20" t="s">
        <v>374</v>
      </c>
      <c r="F152" s="20" t="s">
        <v>375</v>
      </c>
      <c r="G152" s="8" t="str">
        <f t="shared" si="4"/>
        <v>GUZMAN DANNY</v>
      </c>
      <c r="H152" s="20" t="str">
        <f t="shared" si="5"/>
        <v>4032</v>
      </c>
    </row>
    <row r="153" spans="1:8" x14ac:dyDescent="0.3">
      <c r="A153" s="8">
        <v>43079.708796296298</v>
      </c>
      <c r="B153" s="20" t="s">
        <v>362</v>
      </c>
      <c r="C153" s="20" t="s">
        <v>883</v>
      </c>
      <c r="D153" s="137">
        <v>2230000</v>
      </c>
      <c r="E153" s="20" t="s">
        <v>393</v>
      </c>
      <c r="F153" s="20" t="s">
        <v>352</v>
      </c>
      <c r="G153" s="8" t="str">
        <f t="shared" si="4"/>
        <v>SMITH MICHAEL</v>
      </c>
      <c r="H153" s="20" t="str">
        <f t="shared" si="5"/>
        <v>4017</v>
      </c>
    </row>
    <row r="154" spans="1:8" x14ac:dyDescent="0.3">
      <c r="A154" s="8">
        <v>43079.711967592593</v>
      </c>
      <c r="B154" s="20" t="s">
        <v>450</v>
      </c>
      <c r="C154" s="20" t="s">
        <v>746</v>
      </c>
      <c r="D154" s="137">
        <v>2420000</v>
      </c>
      <c r="E154" s="20" t="s">
        <v>567</v>
      </c>
      <c r="F154" s="20" t="s">
        <v>568</v>
      </c>
      <c r="G154" s="8" t="str">
        <f t="shared" si="4"/>
        <v>HOLCOMB KAMDEN</v>
      </c>
      <c r="H154" s="20" t="str">
        <f t="shared" si="5"/>
        <v>4042</v>
      </c>
    </row>
    <row r="155" spans="1:8" x14ac:dyDescent="0.3">
      <c r="A155" s="8">
        <v>43079.714942129627</v>
      </c>
      <c r="B155" s="20" t="s">
        <v>665</v>
      </c>
      <c r="C155" s="20" t="s">
        <v>745</v>
      </c>
      <c r="D155" s="137">
        <v>2000000</v>
      </c>
      <c r="E155" s="20" t="s">
        <v>394</v>
      </c>
      <c r="F155" s="20" t="s">
        <v>395</v>
      </c>
      <c r="G155" s="8" t="str">
        <f t="shared" si="4"/>
        <v>STAMBAUGH JAMES</v>
      </c>
      <c r="H155" s="20" t="str">
        <f t="shared" si="5"/>
        <v>4064</v>
      </c>
    </row>
    <row r="156" spans="1:8" x14ac:dyDescent="0.3">
      <c r="A156" s="8">
        <v>43079.721851851849</v>
      </c>
      <c r="B156" s="20" t="s">
        <v>884</v>
      </c>
      <c r="C156" s="20" t="s">
        <v>885</v>
      </c>
      <c r="D156" s="137">
        <v>3030000</v>
      </c>
      <c r="E156" s="20" t="s">
        <v>569</v>
      </c>
      <c r="F156" s="20" t="s">
        <v>564</v>
      </c>
      <c r="G156" s="8" t="str">
        <f t="shared" si="4"/>
        <v>BIRENBAUM THOMAS</v>
      </c>
      <c r="H156" s="20" t="str">
        <f t="shared" si="5"/>
        <v>4066</v>
      </c>
    </row>
    <row r="157" spans="1:8" x14ac:dyDescent="0.3">
      <c r="A157" s="8">
        <v>43079.722974537035</v>
      </c>
      <c r="B157" s="20" t="s">
        <v>665</v>
      </c>
      <c r="C157" s="20" t="s">
        <v>745</v>
      </c>
      <c r="D157" s="137">
        <v>2000000</v>
      </c>
      <c r="E157" s="20" t="s">
        <v>394</v>
      </c>
      <c r="F157" s="20" t="s">
        <v>395</v>
      </c>
      <c r="G157" s="8" t="str">
        <f t="shared" si="4"/>
        <v>STAMBAUGH JAMES</v>
      </c>
      <c r="H157" s="20" t="str">
        <f t="shared" si="5"/>
        <v>4064</v>
      </c>
    </row>
    <row r="158" spans="1:8" x14ac:dyDescent="0.3">
      <c r="A158" s="8">
        <v>43079.724999999999</v>
      </c>
      <c r="B158" s="20" t="s">
        <v>371</v>
      </c>
      <c r="C158" s="20" t="s">
        <v>886</v>
      </c>
      <c r="D158" s="137">
        <v>920000</v>
      </c>
      <c r="E158" s="20" t="s">
        <v>666</v>
      </c>
      <c r="F158" s="20" t="s">
        <v>352</v>
      </c>
      <c r="G158" s="8" t="str">
        <f t="shared" si="4"/>
        <v>DAVIS MICHAEL</v>
      </c>
      <c r="H158" s="20" t="str">
        <f t="shared" si="5"/>
        <v>4011</v>
      </c>
    </row>
    <row r="159" spans="1:8" x14ac:dyDescent="0.3">
      <c r="A159" s="8">
        <v>43079.726111111115</v>
      </c>
      <c r="B159" s="20" t="s">
        <v>667</v>
      </c>
      <c r="C159" s="20" t="s">
        <v>885</v>
      </c>
      <c r="D159" s="137">
        <v>3030000</v>
      </c>
      <c r="E159" s="20" t="s">
        <v>569</v>
      </c>
      <c r="F159" s="20" t="s">
        <v>564</v>
      </c>
      <c r="G159" s="8" t="str">
        <f t="shared" si="4"/>
        <v>BIRENBAUM THOMAS</v>
      </c>
      <c r="H159" s="20" t="str">
        <f t="shared" si="5"/>
        <v>4065</v>
      </c>
    </row>
    <row r="160" spans="1:8" x14ac:dyDescent="0.3">
      <c r="A160" s="8">
        <v>43079.728715277779</v>
      </c>
      <c r="B160" s="20" t="s">
        <v>386</v>
      </c>
      <c r="C160" s="20" t="s">
        <v>887</v>
      </c>
      <c r="D160" s="137">
        <v>2630000</v>
      </c>
      <c r="E160" s="20" t="s">
        <v>372</v>
      </c>
      <c r="F160" s="20" t="s">
        <v>373</v>
      </c>
      <c r="G160" s="8" t="str">
        <f t="shared" si="4"/>
        <v>SAFIEF AEIMEN</v>
      </c>
      <c r="H160" s="20" t="str">
        <f t="shared" si="5"/>
        <v>4029</v>
      </c>
    </row>
    <row r="161" spans="1:8" x14ac:dyDescent="0.3">
      <c r="A161" s="8">
        <v>43079.730347222219</v>
      </c>
      <c r="B161" s="20" t="s">
        <v>884</v>
      </c>
      <c r="C161" s="20" t="s">
        <v>888</v>
      </c>
      <c r="D161" s="137">
        <v>2540000</v>
      </c>
      <c r="E161" s="20" t="s">
        <v>459</v>
      </c>
      <c r="F161" s="20" t="s">
        <v>460</v>
      </c>
      <c r="G161" s="8" t="str">
        <f t="shared" si="4"/>
        <v>MCREYNOLDS KYLE</v>
      </c>
      <c r="H161" s="20" t="str">
        <f t="shared" si="5"/>
        <v>4066</v>
      </c>
    </row>
    <row r="162" spans="1:8" x14ac:dyDescent="0.3">
      <c r="A162" s="8">
        <v>43079.73201388889</v>
      </c>
      <c r="B162" s="20" t="s">
        <v>743</v>
      </c>
      <c r="C162" s="20" t="s">
        <v>747</v>
      </c>
      <c r="D162" s="137">
        <v>2420000</v>
      </c>
      <c r="E162" s="20" t="s">
        <v>567</v>
      </c>
      <c r="F162" s="20" t="s">
        <v>568</v>
      </c>
      <c r="G162" s="8" t="str">
        <f t="shared" si="4"/>
        <v>HOLCOMB KAMDEN</v>
      </c>
      <c r="H162" s="20" t="str">
        <f t="shared" si="5"/>
        <v>4041</v>
      </c>
    </row>
    <row r="163" spans="1:8" x14ac:dyDescent="0.3">
      <c r="A163" s="8">
        <v>43079.73510416667</v>
      </c>
      <c r="B163" s="20" t="s">
        <v>596</v>
      </c>
      <c r="C163" s="20" t="s">
        <v>885</v>
      </c>
      <c r="D163" s="137">
        <v>3030000</v>
      </c>
      <c r="E163" s="20" t="s">
        <v>569</v>
      </c>
      <c r="F163" s="20" t="s">
        <v>564</v>
      </c>
      <c r="G163" s="8" t="str">
        <f t="shared" si="4"/>
        <v>BIRENBAUM THOMAS</v>
      </c>
      <c r="H163" s="20" t="str">
        <f t="shared" si="5"/>
        <v>4034</v>
      </c>
    </row>
    <row r="164" spans="1:8" x14ac:dyDescent="0.3">
      <c r="A164" s="8">
        <v>43079.735567129632</v>
      </c>
      <c r="B164" s="20" t="s">
        <v>602</v>
      </c>
      <c r="C164" s="20" t="s">
        <v>889</v>
      </c>
      <c r="D164" s="137">
        <v>3500000</v>
      </c>
      <c r="E164" s="20" t="s">
        <v>376</v>
      </c>
      <c r="F164" s="20" t="s">
        <v>377</v>
      </c>
      <c r="G164" s="8" t="str">
        <f t="shared" si="4"/>
        <v>GUNTHIER ERIC</v>
      </c>
      <c r="H164" s="20" t="str">
        <f t="shared" si="5"/>
        <v>4057</v>
      </c>
    </row>
    <row r="165" spans="1:8" x14ac:dyDescent="0.3">
      <c r="A165" s="8">
        <v>43079.736168981479</v>
      </c>
      <c r="B165" s="20" t="s">
        <v>537</v>
      </c>
      <c r="C165" s="20" t="s">
        <v>748</v>
      </c>
      <c r="D165" s="137">
        <v>2970000</v>
      </c>
      <c r="E165" s="20" t="s">
        <v>374</v>
      </c>
      <c r="F165" s="20" t="s">
        <v>375</v>
      </c>
      <c r="G165" s="8" t="str">
        <f t="shared" si="4"/>
        <v>GUZMAN DANNY</v>
      </c>
      <c r="H165" s="20" t="str">
        <f t="shared" si="5"/>
        <v>4031</v>
      </c>
    </row>
    <row r="166" spans="1:8" x14ac:dyDescent="0.3">
      <c r="A166" s="8">
        <v>43079.736446759256</v>
      </c>
      <c r="B166" s="20" t="s">
        <v>602</v>
      </c>
      <c r="C166" s="20" t="s">
        <v>889</v>
      </c>
      <c r="D166" s="137">
        <v>3500000</v>
      </c>
      <c r="E166" s="20" t="s">
        <v>376</v>
      </c>
      <c r="F166" s="20" t="s">
        <v>377</v>
      </c>
      <c r="G166" s="8" t="str">
        <f t="shared" si="4"/>
        <v>GUNTHIER ERIC</v>
      </c>
      <c r="H166" s="20" t="str">
        <f t="shared" si="5"/>
        <v>4057</v>
      </c>
    </row>
    <row r="167" spans="1:8" x14ac:dyDescent="0.3">
      <c r="A167" s="8">
        <v>43079.737870370373</v>
      </c>
      <c r="B167" s="20" t="s">
        <v>519</v>
      </c>
      <c r="C167" s="20" t="s">
        <v>890</v>
      </c>
      <c r="D167" s="137">
        <v>890000</v>
      </c>
      <c r="E167" s="20" t="s">
        <v>344</v>
      </c>
      <c r="F167" s="20" t="s">
        <v>345</v>
      </c>
      <c r="G167" s="8" t="str">
        <f t="shared" si="4"/>
        <v>LOZA FIDEL</v>
      </c>
      <c r="H167" s="20" t="str">
        <f t="shared" si="5"/>
        <v>4024</v>
      </c>
    </row>
    <row r="168" spans="1:8" x14ac:dyDescent="0.3">
      <c r="A168" s="8">
        <v>43079.744687500002</v>
      </c>
      <c r="B168" s="20" t="s">
        <v>360</v>
      </c>
      <c r="C168" s="20" t="s">
        <v>891</v>
      </c>
      <c r="D168" s="137">
        <v>2230000</v>
      </c>
      <c r="E168" s="20" t="s">
        <v>393</v>
      </c>
      <c r="F168" s="20" t="s">
        <v>352</v>
      </c>
      <c r="G168" s="8" t="str">
        <f t="shared" si="4"/>
        <v>SMITH MICHAEL</v>
      </c>
      <c r="H168" s="20" t="str">
        <f t="shared" si="5"/>
        <v>4018</v>
      </c>
    </row>
    <row r="169" spans="1:8" x14ac:dyDescent="0.3">
      <c r="A169" s="8">
        <v>43079.752557870372</v>
      </c>
      <c r="B169" s="20" t="s">
        <v>450</v>
      </c>
      <c r="C169" s="20" t="s">
        <v>892</v>
      </c>
      <c r="D169" s="137">
        <v>2420000</v>
      </c>
      <c r="E169" s="20" t="s">
        <v>567</v>
      </c>
      <c r="F169" s="20" t="s">
        <v>568</v>
      </c>
      <c r="G169" s="8" t="str">
        <f t="shared" si="4"/>
        <v>HOLCOMB KAMDEN</v>
      </c>
      <c r="H169" s="20" t="str">
        <f t="shared" si="5"/>
        <v>4042</v>
      </c>
    </row>
    <row r="170" spans="1:8" x14ac:dyDescent="0.3">
      <c r="A170" s="8">
        <v>43079.753668981481</v>
      </c>
      <c r="B170" s="20" t="s">
        <v>664</v>
      </c>
      <c r="C170" s="20" t="s">
        <v>749</v>
      </c>
      <c r="D170" s="137">
        <v>2000000</v>
      </c>
      <c r="E170" s="20" t="s">
        <v>394</v>
      </c>
      <c r="F170" s="20" t="s">
        <v>395</v>
      </c>
      <c r="G170" s="8" t="str">
        <f t="shared" si="4"/>
        <v>STAMBAUGH JAMES</v>
      </c>
      <c r="H170" s="20" t="str">
        <f t="shared" si="5"/>
        <v>4063</v>
      </c>
    </row>
    <row r="171" spans="1:8" x14ac:dyDescent="0.3">
      <c r="A171" s="8">
        <v>43079.758055555554</v>
      </c>
      <c r="B171" s="20" t="s">
        <v>370</v>
      </c>
      <c r="C171" s="20" t="s">
        <v>893</v>
      </c>
      <c r="D171" s="137">
        <v>3340000</v>
      </c>
      <c r="E171" s="20" t="s">
        <v>471</v>
      </c>
      <c r="F171" s="20" t="s">
        <v>472</v>
      </c>
      <c r="G171" s="8" t="str">
        <f t="shared" si="4"/>
        <v>ELBAUM MIKE</v>
      </c>
      <c r="H171" s="20" t="str">
        <f t="shared" si="5"/>
        <v>4012</v>
      </c>
    </row>
    <row r="172" spans="1:8" x14ac:dyDescent="0.3">
      <c r="A172" s="8">
        <v>43079.764525462961</v>
      </c>
      <c r="B172" s="20" t="s">
        <v>667</v>
      </c>
      <c r="C172" s="20" t="s">
        <v>894</v>
      </c>
      <c r="D172" s="137">
        <v>2540000</v>
      </c>
      <c r="E172" s="20" t="s">
        <v>459</v>
      </c>
      <c r="F172" s="20" t="s">
        <v>460</v>
      </c>
      <c r="G172" s="8" t="str">
        <f t="shared" si="4"/>
        <v>MCREYNOLDS KYLE</v>
      </c>
      <c r="H172" s="20" t="str">
        <f t="shared" si="5"/>
        <v>4065</v>
      </c>
    </row>
    <row r="173" spans="1:8" x14ac:dyDescent="0.3">
      <c r="A173" s="8">
        <v>43079.765787037039</v>
      </c>
      <c r="B173" s="20" t="s">
        <v>392</v>
      </c>
      <c r="C173" s="20" t="s">
        <v>895</v>
      </c>
      <c r="D173" s="137">
        <v>3220000</v>
      </c>
      <c r="E173" s="20" t="s">
        <v>378</v>
      </c>
      <c r="F173" s="20" t="s">
        <v>379</v>
      </c>
      <c r="G173" s="8" t="str">
        <f t="shared" si="4"/>
        <v>RESPASS AARON</v>
      </c>
      <c r="H173" s="20" t="str">
        <f t="shared" si="5"/>
        <v>4030</v>
      </c>
    </row>
    <row r="174" spans="1:8" x14ac:dyDescent="0.3">
      <c r="A174" s="8">
        <v>43079.767731481479</v>
      </c>
      <c r="B174" s="20" t="s">
        <v>743</v>
      </c>
      <c r="C174" s="20" t="s">
        <v>896</v>
      </c>
      <c r="D174" s="137">
        <v>2420000</v>
      </c>
      <c r="E174" s="20" t="s">
        <v>567</v>
      </c>
      <c r="F174" s="20" t="s">
        <v>568</v>
      </c>
      <c r="G174" s="8" t="str">
        <f t="shared" si="4"/>
        <v>HOLCOMB KAMDEN</v>
      </c>
      <c r="H174" s="20" t="str">
        <f t="shared" si="5"/>
        <v>4041</v>
      </c>
    </row>
    <row r="175" spans="1:8" x14ac:dyDescent="0.3">
      <c r="A175" s="8">
        <v>43079.777442129627</v>
      </c>
      <c r="B175" s="20" t="s">
        <v>511</v>
      </c>
      <c r="C175" s="20" t="s">
        <v>897</v>
      </c>
      <c r="D175" s="137">
        <v>890000</v>
      </c>
      <c r="E175" s="20" t="s">
        <v>344</v>
      </c>
      <c r="F175" s="20" t="s">
        <v>345</v>
      </c>
      <c r="G175" s="8" t="str">
        <f t="shared" si="4"/>
        <v>LOZA FIDEL</v>
      </c>
      <c r="H175" s="20" t="str">
        <f t="shared" si="5"/>
        <v>4023</v>
      </c>
    </row>
    <row r="176" spans="1:8" x14ac:dyDescent="0.3">
      <c r="A176" s="8">
        <v>43079.777488425927</v>
      </c>
      <c r="B176" s="20" t="s">
        <v>536</v>
      </c>
      <c r="C176" s="20" t="s">
        <v>898</v>
      </c>
      <c r="D176" s="137">
        <v>3330000</v>
      </c>
      <c r="E176" s="20" t="s">
        <v>603</v>
      </c>
      <c r="F176" s="20" t="s">
        <v>604</v>
      </c>
      <c r="G176" s="8" t="str">
        <f t="shared" si="4"/>
        <v>GONZALEZ ARMANDO</v>
      </c>
      <c r="H176" s="20" t="str">
        <f t="shared" si="5"/>
        <v>4032</v>
      </c>
    </row>
    <row r="177" spans="1:8" x14ac:dyDescent="0.3">
      <c r="A177" s="8">
        <v>43079.778541666667</v>
      </c>
      <c r="B177" s="20" t="s">
        <v>536</v>
      </c>
      <c r="C177" s="20" t="s">
        <v>898</v>
      </c>
      <c r="D177" s="137">
        <v>3330000</v>
      </c>
      <c r="E177" s="20" t="s">
        <v>603</v>
      </c>
      <c r="F177" s="20" t="s">
        <v>604</v>
      </c>
      <c r="G177" s="8" t="str">
        <f t="shared" si="4"/>
        <v>GONZALEZ ARMANDO</v>
      </c>
      <c r="H177" s="20" t="str">
        <f t="shared" si="5"/>
        <v>4032</v>
      </c>
    </row>
    <row r="178" spans="1:8" x14ac:dyDescent="0.3">
      <c r="A178" s="8">
        <v>43079.780162037037</v>
      </c>
      <c r="B178" s="20" t="s">
        <v>536</v>
      </c>
      <c r="C178" s="20" t="s">
        <v>898</v>
      </c>
      <c r="D178" s="137">
        <v>3330000</v>
      </c>
      <c r="E178" s="20" t="s">
        <v>603</v>
      </c>
      <c r="F178" s="20" t="s">
        <v>604</v>
      </c>
      <c r="G178" s="8" t="str">
        <f t="shared" si="4"/>
        <v>GONZALEZ ARMANDO</v>
      </c>
      <c r="H178" s="20" t="str">
        <f t="shared" si="5"/>
        <v>4032</v>
      </c>
    </row>
    <row r="179" spans="1:8" x14ac:dyDescent="0.3">
      <c r="A179" s="8">
        <v>43079.781493055554</v>
      </c>
      <c r="B179" s="20" t="s">
        <v>362</v>
      </c>
      <c r="C179" s="20" t="s">
        <v>899</v>
      </c>
      <c r="D179" s="137">
        <v>2230000</v>
      </c>
      <c r="E179" s="20" t="s">
        <v>393</v>
      </c>
      <c r="F179" s="20" t="s">
        <v>352</v>
      </c>
      <c r="G179" s="8" t="str">
        <f t="shared" si="4"/>
        <v>SMITH MICHAEL</v>
      </c>
      <c r="H179" s="20" t="str">
        <f t="shared" si="5"/>
        <v>4017</v>
      </c>
    </row>
    <row r="180" spans="1:8" x14ac:dyDescent="0.3">
      <c r="A180" s="8">
        <v>43079.789490740739</v>
      </c>
      <c r="B180" s="20" t="s">
        <v>665</v>
      </c>
      <c r="C180" s="20" t="s">
        <v>900</v>
      </c>
      <c r="D180" s="137">
        <v>2000000</v>
      </c>
      <c r="E180" s="20" t="s">
        <v>394</v>
      </c>
      <c r="F180" s="20" t="s">
        <v>395</v>
      </c>
      <c r="G180" s="8" t="str">
        <f t="shared" si="4"/>
        <v>STAMBAUGH JAMES</v>
      </c>
      <c r="H180" s="20" t="str">
        <f t="shared" si="5"/>
        <v>4064</v>
      </c>
    </row>
    <row r="181" spans="1:8" x14ac:dyDescent="0.3">
      <c r="A181" s="8">
        <v>43079.794687499998</v>
      </c>
      <c r="B181" s="20" t="s">
        <v>371</v>
      </c>
      <c r="C181" s="20" t="s">
        <v>751</v>
      </c>
      <c r="D181" s="137">
        <v>3340000</v>
      </c>
      <c r="E181" s="20" t="s">
        <v>471</v>
      </c>
      <c r="F181" s="20" t="s">
        <v>472</v>
      </c>
      <c r="G181" s="8" t="str">
        <f t="shared" si="4"/>
        <v>ELBAUM MIKE</v>
      </c>
      <c r="H181" s="20" t="str">
        <f t="shared" si="5"/>
        <v>4011</v>
      </c>
    </row>
    <row r="182" spans="1:8" x14ac:dyDescent="0.3">
      <c r="A182" s="8">
        <v>43079.795497685183</v>
      </c>
      <c r="B182" s="20" t="s">
        <v>450</v>
      </c>
      <c r="C182" s="20" t="s">
        <v>750</v>
      </c>
      <c r="D182" s="137">
        <v>2420000</v>
      </c>
      <c r="E182" s="20" t="s">
        <v>567</v>
      </c>
      <c r="F182" s="20" t="s">
        <v>568</v>
      </c>
      <c r="G182" s="8" t="str">
        <f t="shared" si="4"/>
        <v>HOLCOMB KAMDEN</v>
      </c>
      <c r="H182" s="20" t="str">
        <f t="shared" si="5"/>
        <v>4042</v>
      </c>
    </row>
    <row r="183" spans="1:8" x14ac:dyDescent="0.3">
      <c r="A183" s="8">
        <v>43079.797256944446</v>
      </c>
      <c r="B183" s="20" t="s">
        <v>884</v>
      </c>
      <c r="C183" s="20" t="s">
        <v>901</v>
      </c>
      <c r="D183" s="137">
        <v>2610000</v>
      </c>
      <c r="E183" s="20" t="s">
        <v>380</v>
      </c>
      <c r="F183" s="20" t="s">
        <v>381</v>
      </c>
      <c r="G183" s="8" t="str">
        <f t="shared" si="4"/>
        <v>MAGEE KENYA</v>
      </c>
      <c r="H183" s="20" t="str">
        <f t="shared" si="5"/>
        <v>4066</v>
      </c>
    </row>
    <row r="184" spans="1:8" x14ac:dyDescent="0.3">
      <c r="A184" s="8">
        <v>43079.807662037034</v>
      </c>
      <c r="B184" s="20" t="s">
        <v>386</v>
      </c>
      <c r="C184" s="20" t="s">
        <v>902</v>
      </c>
      <c r="D184" s="137">
        <v>3220000</v>
      </c>
      <c r="E184" s="20" t="s">
        <v>378</v>
      </c>
      <c r="F184" s="20" t="s">
        <v>379</v>
      </c>
      <c r="G184" s="8" t="str">
        <f t="shared" si="4"/>
        <v>RESPASS AARON</v>
      </c>
      <c r="H184" s="20" t="str">
        <f t="shared" si="5"/>
        <v>4029</v>
      </c>
    </row>
    <row r="185" spans="1:8" x14ac:dyDescent="0.3">
      <c r="A185" s="8">
        <v>43079.808506944442</v>
      </c>
      <c r="B185" s="20" t="s">
        <v>519</v>
      </c>
      <c r="C185" s="20" t="s">
        <v>903</v>
      </c>
      <c r="D185" s="137">
        <v>890000</v>
      </c>
      <c r="E185" s="20" t="s">
        <v>344</v>
      </c>
      <c r="F185" s="20" t="s">
        <v>345</v>
      </c>
      <c r="G185" s="8" t="str">
        <f t="shared" si="4"/>
        <v>LOZA FIDEL</v>
      </c>
      <c r="H185" s="20" t="str">
        <f t="shared" si="5"/>
        <v>4024</v>
      </c>
    </row>
    <row r="186" spans="1:8" x14ac:dyDescent="0.3">
      <c r="A186" s="8">
        <v>43079.809282407405</v>
      </c>
      <c r="B186" s="20" t="s">
        <v>743</v>
      </c>
      <c r="C186" s="20" t="s">
        <v>904</v>
      </c>
      <c r="D186" s="137">
        <v>2420000</v>
      </c>
      <c r="E186" s="20" t="s">
        <v>567</v>
      </c>
      <c r="F186" s="20" t="s">
        <v>568</v>
      </c>
      <c r="G186" s="8" t="str">
        <f t="shared" si="4"/>
        <v>HOLCOMB KAMDEN</v>
      </c>
      <c r="H186" s="20" t="str">
        <f t="shared" si="5"/>
        <v>4041</v>
      </c>
    </row>
    <row r="187" spans="1:8" x14ac:dyDescent="0.3">
      <c r="A187" s="8">
        <v>43079.816747685189</v>
      </c>
      <c r="B187" s="20" t="s">
        <v>537</v>
      </c>
      <c r="C187" s="20" t="s">
        <v>905</v>
      </c>
      <c r="D187" s="137">
        <v>3330000</v>
      </c>
      <c r="E187" s="20" t="s">
        <v>603</v>
      </c>
      <c r="F187" s="20" t="s">
        <v>604</v>
      </c>
      <c r="G187" s="8" t="str">
        <f t="shared" si="4"/>
        <v>GONZALEZ ARMANDO</v>
      </c>
      <c r="H187" s="20" t="str">
        <f t="shared" si="5"/>
        <v>4031</v>
      </c>
    </row>
    <row r="188" spans="1:8" x14ac:dyDescent="0.3">
      <c r="A188" s="8">
        <v>43079.817233796297</v>
      </c>
      <c r="B188" s="20" t="s">
        <v>360</v>
      </c>
      <c r="C188" s="20" t="s">
        <v>906</v>
      </c>
      <c r="D188" s="137">
        <v>2230000</v>
      </c>
      <c r="E188" s="20" t="s">
        <v>393</v>
      </c>
      <c r="F188" s="20" t="s">
        <v>352</v>
      </c>
      <c r="G188" s="8" t="str">
        <f t="shared" si="4"/>
        <v>SMITH MICHAEL</v>
      </c>
      <c r="H188" s="20" t="str">
        <f t="shared" si="5"/>
        <v>4018</v>
      </c>
    </row>
    <row r="189" spans="1:8" x14ac:dyDescent="0.3">
      <c r="A189" s="8">
        <v>43079.825185185182</v>
      </c>
      <c r="B189" s="20" t="s">
        <v>664</v>
      </c>
      <c r="C189" s="20" t="s">
        <v>907</v>
      </c>
      <c r="D189" s="137">
        <v>2000000</v>
      </c>
      <c r="E189" s="20" t="s">
        <v>394</v>
      </c>
      <c r="F189" s="20" t="s">
        <v>395</v>
      </c>
      <c r="G189" s="8" t="str">
        <f t="shared" si="4"/>
        <v>STAMBAUGH JAMES</v>
      </c>
      <c r="H189" s="20" t="str">
        <f t="shared" si="5"/>
        <v>4063</v>
      </c>
    </row>
    <row r="190" spans="1:8" x14ac:dyDescent="0.3">
      <c r="A190" s="8">
        <v>43079.830081018517</v>
      </c>
      <c r="B190" s="20" t="s">
        <v>370</v>
      </c>
      <c r="C190" s="20" t="s">
        <v>908</v>
      </c>
      <c r="D190" s="137">
        <v>3340000</v>
      </c>
      <c r="E190" s="20" t="s">
        <v>471</v>
      </c>
      <c r="F190" s="20" t="s">
        <v>472</v>
      </c>
      <c r="G190" s="8" t="str">
        <f t="shared" si="4"/>
        <v>ELBAUM MIKE</v>
      </c>
      <c r="H190" s="20" t="str">
        <f t="shared" si="5"/>
        <v>4012</v>
      </c>
    </row>
    <row r="191" spans="1:8" x14ac:dyDescent="0.3">
      <c r="A191" s="8">
        <v>43079.838587962964</v>
      </c>
      <c r="B191" s="20" t="s">
        <v>450</v>
      </c>
      <c r="C191" s="20" t="s">
        <v>909</v>
      </c>
      <c r="D191" s="137">
        <v>2420000</v>
      </c>
      <c r="E191" s="20" t="s">
        <v>567</v>
      </c>
      <c r="F191" s="20" t="s">
        <v>568</v>
      </c>
      <c r="G191" s="8" t="str">
        <f t="shared" si="4"/>
        <v>HOLCOMB KAMDEN</v>
      </c>
      <c r="H191" s="20" t="str">
        <f t="shared" si="5"/>
        <v>4042</v>
      </c>
    </row>
    <row r="192" spans="1:8" x14ac:dyDescent="0.3">
      <c r="A192" s="8">
        <v>43079.839247685188</v>
      </c>
      <c r="B192" s="20" t="s">
        <v>667</v>
      </c>
      <c r="C192" s="20" t="s">
        <v>910</v>
      </c>
      <c r="D192" s="137">
        <v>2610000</v>
      </c>
      <c r="E192" s="20" t="s">
        <v>380</v>
      </c>
      <c r="F192" s="20" t="s">
        <v>381</v>
      </c>
      <c r="G192" s="8" t="str">
        <f t="shared" si="4"/>
        <v>MAGEE KENYA</v>
      </c>
      <c r="H192" s="20" t="str">
        <f t="shared" si="5"/>
        <v>4065</v>
      </c>
    </row>
    <row r="193" spans="1:8" x14ac:dyDescent="0.3">
      <c r="A193" s="8">
        <v>43079.850300925929</v>
      </c>
      <c r="B193" s="20" t="s">
        <v>536</v>
      </c>
      <c r="C193" s="20" t="s">
        <v>911</v>
      </c>
      <c r="D193" s="137">
        <v>3330000</v>
      </c>
      <c r="E193" s="20" t="s">
        <v>603</v>
      </c>
      <c r="F193" s="20" t="s">
        <v>604</v>
      </c>
      <c r="G193" s="8" t="str">
        <f t="shared" si="4"/>
        <v>GONZALEZ ARMANDO</v>
      </c>
      <c r="H193" s="20" t="str">
        <f t="shared" si="5"/>
        <v>4032</v>
      </c>
    </row>
    <row r="194" spans="1:8" x14ac:dyDescent="0.3">
      <c r="A194" s="8">
        <v>43079.850486111114</v>
      </c>
      <c r="B194" s="20" t="s">
        <v>392</v>
      </c>
      <c r="C194" s="20" t="s">
        <v>912</v>
      </c>
      <c r="D194" s="137">
        <v>3220000</v>
      </c>
      <c r="E194" s="20" t="s">
        <v>378</v>
      </c>
      <c r="F194" s="20" t="s">
        <v>379</v>
      </c>
      <c r="G194" s="8" t="str">
        <f t="shared" si="4"/>
        <v>RESPASS AARON</v>
      </c>
      <c r="H194" s="20" t="str">
        <f t="shared" si="5"/>
        <v>4030</v>
      </c>
    </row>
    <row r="195" spans="1:8" x14ac:dyDescent="0.3">
      <c r="A195" s="8">
        <v>43079.851539351854</v>
      </c>
      <c r="B195" s="20" t="s">
        <v>511</v>
      </c>
      <c r="C195" s="20" t="s">
        <v>913</v>
      </c>
      <c r="D195" s="137">
        <v>890000</v>
      </c>
      <c r="E195" s="20" t="s">
        <v>344</v>
      </c>
      <c r="F195" s="20" t="s">
        <v>345</v>
      </c>
      <c r="G195" s="8" t="str">
        <f t="shared" ref="G195:G258" si="6">E195&amp;" "&amp;F195</f>
        <v>LOZA FIDEL</v>
      </c>
      <c r="H195" s="20" t="str">
        <f t="shared" ref="H195:H258" si="7">MID(B195,13,4)</f>
        <v>4023</v>
      </c>
    </row>
    <row r="196" spans="1:8" x14ac:dyDescent="0.3">
      <c r="A196" s="8">
        <v>43079.852071759262</v>
      </c>
      <c r="B196" s="20" t="s">
        <v>743</v>
      </c>
      <c r="C196" s="20" t="s">
        <v>914</v>
      </c>
      <c r="D196" s="137">
        <v>2420000</v>
      </c>
      <c r="E196" s="20" t="s">
        <v>567</v>
      </c>
      <c r="F196" s="20" t="s">
        <v>568</v>
      </c>
      <c r="G196" s="8" t="str">
        <f t="shared" si="6"/>
        <v>HOLCOMB KAMDEN</v>
      </c>
      <c r="H196" s="20" t="str">
        <f t="shared" si="7"/>
        <v>4041</v>
      </c>
    </row>
    <row r="197" spans="1:8" x14ac:dyDescent="0.3">
      <c r="A197" s="8">
        <v>43079.859247685185</v>
      </c>
      <c r="B197" s="20" t="s">
        <v>665</v>
      </c>
      <c r="C197" s="20" t="s">
        <v>915</v>
      </c>
      <c r="D197" s="137">
        <v>2000000</v>
      </c>
      <c r="E197" s="20" t="s">
        <v>394</v>
      </c>
      <c r="F197" s="20" t="s">
        <v>395</v>
      </c>
      <c r="G197" s="8" t="str">
        <f t="shared" si="6"/>
        <v>STAMBAUGH JAMES</v>
      </c>
      <c r="H197" s="20" t="str">
        <f t="shared" si="7"/>
        <v>4064</v>
      </c>
    </row>
    <row r="198" spans="1:8" x14ac:dyDescent="0.3">
      <c r="A198" s="8">
        <v>43079.860381944447</v>
      </c>
      <c r="B198" s="20" t="s">
        <v>371</v>
      </c>
      <c r="C198" s="20" t="s">
        <v>916</v>
      </c>
      <c r="D198" s="137">
        <v>3340000</v>
      </c>
      <c r="E198" s="20" t="s">
        <v>471</v>
      </c>
      <c r="F198" s="20" t="s">
        <v>472</v>
      </c>
      <c r="G198" s="8" t="str">
        <f t="shared" si="6"/>
        <v>ELBAUM MIKE</v>
      </c>
      <c r="H198" s="20" t="str">
        <f t="shared" si="7"/>
        <v>4011</v>
      </c>
    </row>
    <row r="199" spans="1:8" x14ac:dyDescent="0.3">
      <c r="A199" s="8">
        <v>43079.870104166665</v>
      </c>
      <c r="B199" s="20" t="s">
        <v>884</v>
      </c>
      <c r="C199" s="20" t="s">
        <v>917</v>
      </c>
      <c r="D199" s="137">
        <v>2610000</v>
      </c>
      <c r="E199" s="20" t="s">
        <v>380</v>
      </c>
      <c r="F199" s="20" t="s">
        <v>381</v>
      </c>
      <c r="G199" s="8" t="str">
        <f t="shared" si="6"/>
        <v>MAGEE KENYA</v>
      </c>
      <c r="H199" s="20" t="str">
        <f t="shared" si="7"/>
        <v>4066</v>
      </c>
    </row>
    <row r="200" spans="1:8" x14ac:dyDescent="0.3">
      <c r="A200" s="8">
        <v>43079.880324074074</v>
      </c>
      <c r="B200" s="20" t="s">
        <v>450</v>
      </c>
      <c r="C200" s="20" t="s">
        <v>918</v>
      </c>
      <c r="D200" s="137">
        <v>2420000</v>
      </c>
      <c r="E200" s="20" t="s">
        <v>567</v>
      </c>
      <c r="F200" s="20" t="s">
        <v>568</v>
      </c>
      <c r="G200" s="8" t="str">
        <f t="shared" si="6"/>
        <v>HOLCOMB KAMDEN</v>
      </c>
      <c r="H200" s="20" t="str">
        <f t="shared" si="7"/>
        <v>4042</v>
      </c>
    </row>
    <row r="201" spans="1:8" x14ac:dyDescent="0.3">
      <c r="A201" s="8">
        <v>43079.891064814816</v>
      </c>
      <c r="B201" s="20" t="s">
        <v>386</v>
      </c>
      <c r="C201" s="20" t="s">
        <v>919</v>
      </c>
      <c r="D201" s="137">
        <v>3220000</v>
      </c>
      <c r="E201" s="20" t="s">
        <v>378</v>
      </c>
      <c r="F201" s="20" t="s">
        <v>379</v>
      </c>
      <c r="G201" s="8" t="str">
        <f t="shared" si="6"/>
        <v>RESPASS AARON</v>
      </c>
      <c r="H201" s="20" t="str">
        <f t="shared" si="7"/>
        <v>4029</v>
      </c>
    </row>
    <row r="202" spans="1:8" x14ac:dyDescent="0.3">
      <c r="A202" s="26">
        <v>43079.891886574071</v>
      </c>
      <c r="B202" s="20" t="s">
        <v>519</v>
      </c>
      <c r="C202" s="20" t="s">
        <v>920</v>
      </c>
      <c r="D202" s="137">
        <v>890000</v>
      </c>
      <c r="E202" s="20" t="s">
        <v>344</v>
      </c>
      <c r="F202" s="20" t="s">
        <v>345</v>
      </c>
      <c r="G202" s="8" t="str">
        <f t="shared" si="6"/>
        <v>LOZA FIDEL</v>
      </c>
      <c r="H202" s="20" t="str">
        <f t="shared" si="7"/>
        <v>4024</v>
      </c>
    </row>
    <row r="203" spans="1:8" x14ac:dyDescent="0.3">
      <c r="A203" s="8">
        <v>43079.895243055558</v>
      </c>
      <c r="B203" s="20" t="s">
        <v>743</v>
      </c>
      <c r="C203" s="20" t="s">
        <v>752</v>
      </c>
      <c r="D203" s="137">
        <v>2420000</v>
      </c>
      <c r="E203" s="20" t="s">
        <v>567</v>
      </c>
      <c r="F203" s="20" t="s">
        <v>568</v>
      </c>
      <c r="G203" s="8" t="str">
        <f t="shared" si="6"/>
        <v>HOLCOMB KAMDEN</v>
      </c>
      <c r="H203" s="20" t="str">
        <f t="shared" si="7"/>
        <v>4041</v>
      </c>
    </row>
    <row r="204" spans="1:8" x14ac:dyDescent="0.3">
      <c r="A204" s="8">
        <v>43079.899791666663</v>
      </c>
      <c r="B204" s="20" t="s">
        <v>370</v>
      </c>
      <c r="C204" s="20" t="s">
        <v>921</v>
      </c>
      <c r="D204" s="137">
        <v>3340000</v>
      </c>
      <c r="E204" s="20" t="s">
        <v>471</v>
      </c>
      <c r="F204" s="20" t="s">
        <v>472</v>
      </c>
      <c r="G204" s="8" t="str">
        <f t="shared" si="6"/>
        <v>ELBAUM MIKE</v>
      </c>
      <c r="H204" s="20" t="str">
        <f t="shared" si="7"/>
        <v>4012</v>
      </c>
    </row>
    <row r="205" spans="1:8" x14ac:dyDescent="0.3">
      <c r="A205" s="8">
        <v>43079.904814814814</v>
      </c>
      <c r="B205" s="20" t="s">
        <v>601</v>
      </c>
      <c r="C205" s="20" t="s">
        <v>922</v>
      </c>
      <c r="D205" s="137">
        <v>3500000</v>
      </c>
      <c r="E205" s="20" t="s">
        <v>376</v>
      </c>
      <c r="F205" s="20" t="s">
        <v>377</v>
      </c>
      <c r="G205" s="8" t="str">
        <f t="shared" si="6"/>
        <v>GUNTHIER ERIC</v>
      </c>
      <c r="H205" s="20" t="str">
        <f t="shared" si="7"/>
        <v>4058</v>
      </c>
    </row>
    <row r="206" spans="1:8" x14ac:dyDescent="0.3">
      <c r="A206" s="8">
        <v>43079.905347222222</v>
      </c>
      <c r="B206" s="20" t="s">
        <v>601</v>
      </c>
      <c r="C206" s="20" t="s">
        <v>922</v>
      </c>
      <c r="D206" s="137">
        <v>3500000</v>
      </c>
      <c r="E206" s="20" t="s">
        <v>376</v>
      </c>
      <c r="F206" s="20" t="s">
        <v>377</v>
      </c>
      <c r="G206" s="8" t="str">
        <f t="shared" si="6"/>
        <v>GUNTHIER ERIC</v>
      </c>
      <c r="H206" s="20" t="str">
        <f t="shared" si="7"/>
        <v>4058</v>
      </c>
    </row>
    <row r="207" spans="1:8" x14ac:dyDescent="0.3">
      <c r="A207" s="8">
        <v>43079.906087962961</v>
      </c>
      <c r="B207" s="20" t="s">
        <v>601</v>
      </c>
      <c r="C207" s="20" t="s">
        <v>922</v>
      </c>
      <c r="D207" s="137">
        <v>3500000</v>
      </c>
      <c r="E207" s="20" t="s">
        <v>376</v>
      </c>
      <c r="F207" s="20" t="s">
        <v>377</v>
      </c>
      <c r="G207" s="8" t="str">
        <f t="shared" si="6"/>
        <v>GUNTHIER ERIC</v>
      </c>
      <c r="H207" s="20" t="str">
        <f t="shared" si="7"/>
        <v>4058</v>
      </c>
    </row>
    <row r="208" spans="1:8" x14ac:dyDescent="0.3">
      <c r="A208" s="8">
        <v>43079.909467592595</v>
      </c>
      <c r="B208" s="20" t="s">
        <v>602</v>
      </c>
      <c r="C208" s="20" t="s">
        <v>922</v>
      </c>
      <c r="D208" s="137">
        <v>3500000</v>
      </c>
      <c r="E208" s="20" t="s">
        <v>376</v>
      </c>
      <c r="F208" s="20" t="s">
        <v>377</v>
      </c>
      <c r="G208" s="8" t="str">
        <f t="shared" si="6"/>
        <v>GUNTHIER ERIC</v>
      </c>
      <c r="H208" s="20" t="str">
        <f t="shared" si="7"/>
        <v>4057</v>
      </c>
    </row>
    <row r="209" spans="1:8" x14ac:dyDescent="0.3">
      <c r="A209" s="8">
        <v>43079.911192129628</v>
      </c>
      <c r="B209" s="20" t="s">
        <v>664</v>
      </c>
      <c r="C209" s="20" t="s">
        <v>923</v>
      </c>
      <c r="D209" s="137">
        <v>2000000</v>
      </c>
      <c r="E209" s="20" t="s">
        <v>394</v>
      </c>
      <c r="F209" s="20" t="s">
        <v>395</v>
      </c>
      <c r="G209" s="8" t="str">
        <f t="shared" si="6"/>
        <v>STAMBAUGH JAMES</v>
      </c>
      <c r="H209" s="20" t="str">
        <f t="shared" si="7"/>
        <v>4063</v>
      </c>
    </row>
    <row r="210" spans="1:8" x14ac:dyDescent="0.3">
      <c r="A210" s="8">
        <v>43079.921469907407</v>
      </c>
      <c r="B210" s="20" t="s">
        <v>450</v>
      </c>
      <c r="C210" s="20" t="s">
        <v>924</v>
      </c>
      <c r="D210" s="137">
        <v>2420000</v>
      </c>
      <c r="E210" s="20" t="s">
        <v>567</v>
      </c>
      <c r="F210" s="20" t="s">
        <v>568</v>
      </c>
      <c r="G210" s="8" t="str">
        <f t="shared" si="6"/>
        <v>HOLCOMB KAMDEN</v>
      </c>
      <c r="H210" s="20" t="str">
        <f t="shared" si="7"/>
        <v>4042</v>
      </c>
    </row>
    <row r="211" spans="1:8" x14ac:dyDescent="0.3">
      <c r="A211" s="8">
        <v>43079.932557870372</v>
      </c>
      <c r="B211" s="20" t="s">
        <v>511</v>
      </c>
      <c r="C211" s="20" t="s">
        <v>925</v>
      </c>
      <c r="D211" s="137">
        <v>890000</v>
      </c>
      <c r="E211" s="20" t="s">
        <v>344</v>
      </c>
      <c r="F211" s="20" t="s">
        <v>345</v>
      </c>
      <c r="G211" s="8" t="str">
        <f t="shared" si="6"/>
        <v>LOZA FIDEL</v>
      </c>
      <c r="H211" s="20" t="str">
        <f t="shared" si="7"/>
        <v>4023</v>
      </c>
    </row>
    <row r="212" spans="1:8" x14ac:dyDescent="0.3">
      <c r="A212" s="8">
        <v>43079.934328703705</v>
      </c>
      <c r="B212" s="20" t="s">
        <v>601</v>
      </c>
      <c r="C212" s="20" t="s">
        <v>926</v>
      </c>
      <c r="D212" s="137">
        <v>3220000</v>
      </c>
      <c r="E212" s="20" t="s">
        <v>378</v>
      </c>
      <c r="F212" s="20" t="s">
        <v>379</v>
      </c>
      <c r="G212" s="8" t="str">
        <f t="shared" si="6"/>
        <v>RESPASS AARON</v>
      </c>
      <c r="H212" s="20" t="str">
        <f t="shared" si="7"/>
        <v>4058</v>
      </c>
    </row>
    <row r="213" spans="1:8" x14ac:dyDescent="0.3">
      <c r="A213" s="8">
        <v>43079.941168981481</v>
      </c>
      <c r="B213" s="20" t="s">
        <v>743</v>
      </c>
      <c r="C213" s="20" t="s">
        <v>753</v>
      </c>
      <c r="D213" s="137">
        <v>2420000</v>
      </c>
      <c r="E213" s="20" t="s">
        <v>567</v>
      </c>
      <c r="F213" s="20" t="s">
        <v>568</v>
      </c>
      <c r="G213" s="8" t="str">
        <f t="shared" si="6"/>
        <v>HOLCOMB KAMDEN</v>
      </c>
      <c r="H213" s="20" t="str">
        <f t="shared" si="7"/>
        <v>4041</v>
      </c>
    </row>
    <row r="214" spans="1:8" x14ac:dyDescent="0.3">
      <c r="A214" s="8">
        <v>43079.942696759259</v>
      </c>
      <c r="B214" s="20" t="s">
        <v>371</v>
      </c>
      <c r="C214" s="20" t="s">
        <v>754</v>
      </c>
      <c r="D214" s="137">
        <v>3340000</v>
      </c>
      <c r="E214" s="20" t="s">
        <v>471</v>
      </c>
      <c r="F214" s="20" t="s">
        <v>472</v>
      </c>
      <c r="G214" s="8" t="str">
        <f t="shared" si="6"/>
        <v>ELBAUM MIKE</v>
      </c>
      <c r="H214" s="20" t="str">
        <f t="shared" si="7"/>
        <v>4011</v>
      </c>
    </row>
    <row r="215" spans="1:8" x14ac:dyDescent="0.3">
      <c r="A215" s="8">
        <v>43079.944282407407</v>
      </c>
      <c r="B215" s="20" t="s">
        <v>665</v>
      </c>
      <c r="C215" s="20" t="s">
        <v>927</v>
      </c>
      <c r="D215" s="137">
        <v>2000000</v>
      </c>
      <c r="E215" s="20" t="s">
        <v>394</v>
      </c>
      <c r="F215" s="20" t="s">
        <v>395</v>
      </c>
      <c r="G215" s="8" t="str">
        <f t="shared" si="6"/>
        <v>STAMBAUGH JAMES</v>
      </c>
      <c r="H215" s="20" t="str">
        <f t="shared" si="7"/>
        <v>4064</v>
      </c>
    </row>
    <row r="216" spans="1:8" x14ac:dyDescent="0.3">
      <c r="A216" s="8">
        <v>43079.950011574074</v>
      </c>
      <c r="B216" s="20" t="s">
        <v>392</v>
      </c>
      <c r="C216" s="20" t="s">
        <v>758</v>
      </c>
      <c r="D216" s="137">
        <v>3500000</v>
      </c>
      <c r="E216" s="20" t="s">
        <v>376</v>
      </c>
      <c r="F216" s="20" t="s">
        <v>377</v>
      </c>
      <c r="G216" s="8" t="str">
        <f t="shared" si="6"/>
        <v>GUNTHIER ERIC</v>
      </c>
      <c r="H216" s="20" t="str">
        <f t="shared" si="7"/>
        <v>4030</v>
      </c>
    </row>
    <row r="217" spans="1:8" x14ac:dyDescent="0.3">
      <c r="A217" s="8">
        <v>43079.963437500002</v>
      </c>
      <c r="B217" s="20" t="s">
        <v>519</v>
      </c>
      <c r="C217" s="20" t="s">
        <v>928</v>
      </c>
      <c r="D217" s="137">
        <v>890000</v>
      </c>
      <c r="E217" s="20" t="s">
        <v>344</v>
      </c>
      <c r="F217" s="20" t="s">
        <v>345</v>
      </c>
      <c r="G217" s="8" t="str">
        <f t="shared" si="6"/>
        <v>LOZA FIDEL</v>
      </c>
      <c r="H217" s="20" t="str">
        <f t="shared" si="7"/>
        <v>4024</v>
      </c>
    </row>
    <row r="218" spans="1:8" x14ac:dyDescent="0.3">
      <c r="A218" s="8">
        <v>43079.965891203705</v>
      </c>
      <c r="B218" s="20" t="s">
        <v>450</v>
      </c>
      <c r="C218" s="20" t="s">
        <v>929</v>
      </c>
      <c r="D218" s="137">
        <v>2420000</v>
      </c>
      <c r="E218" s="20" t="s">
        <v>567</v>
      </c>
      <c r="F218" s="20" t="s">
        <v>568</v>
      </c>
      <c r="G218" s="8" t="str">
        <f t="shared" si="6"/>
        <v>HOLCOMB KAMDEN</v>
      </c>
      <c r="H218" s="20" t="str">
        <f t="shared" si="7"/>
        <v>4042</v>
      </c>
    </row>
    <row r="219" spans="1:8" x14ac:dyDescent="0.3">
      <c r="A219" s="8">
        <v>43079.975474537037</v>
      </c>
      <c r="B219" s="20" t="s">
        <v>602</v>
      </c>
      <c r="C219" s="20" t="s">
        <v>930</v>
      </c>
      <c r="D219" s="137">
        <v>3220000</v>
      </c>
      <c r="E219" s="20" t="s">
        <v>378</v>
      </c>
      <c r="F219" s="20" t="s">
        <v>379</v>
      </c>
      <c r="G219" s="8" t="str">
        <f t="shared" si="6"/>
        <v>RESPASS AARON</v>
      </c>
      <c r="H219" s="20" t="str">
        <f t="shared" si="7"/>
        <v>4057</v>
      </c>
    </row>
    <row r="220" spans="1:8" x14ac:dyDescent="0.3">
      <c r="A220" s="8">
        <v>43079.977650462963</v>
      </c>
      <c r="B220" s="20" t="s">
        <v>743</v>
      </c>
      <c r="C220" s="20" t="s">
        <v>931</v>
      </c>
      <c r="D220" s="137">
        <v>2420000</v>
      </c>
      <c r="E220" s="20" t="s">
        <v>567</v>
      </c>
      <c r="F220" s="20" t="s">
        <v>568</v>
      </c>
      <c r="G220" s="8" t="str">
        <f t="shared" si="6"/>
        <v>HOLCOMB KAMDEN</v>
      </c>
      <c r="H220" s="20" t="str">
        <f t="shared" si="7"/>
        <v>4041</v>
      </c>
    </row>
    <row r="221" spans="1:8" x14ac:dyDescent="0.3">
      <c r="A221" s="8">
        <v>43079.983923611115</v>
      </c>
      <c r="B221" s="20" t="s">
        <v>370</v>
      </c>
      <c r="C221" s="20" t="s">
        <v>932</v>
      </c>
      <c r="D221" s="137">
        <v>3340000</v>
      </c>
      <c r="E221" s="20" t="s">
        <v>471</v>
      </c>
      <c r="F221" s="20" t="s">
        <v>472</v>
      </c>
      <c r="G221" s="8" t="str">
        <f t="shared" si="6"/>
        <v>ELBAUM MIKE</v>
      </c>
      <c r="H221" s="20" t="str">
        <f t="shared" si="7"/>
        <v>4012</v>
      </c>
    </row>
    <row r="222" spans="1:8" x14ac:dyDescent="0.3">
      <c r="A222" s="8">
        <v>43079.996203703704</v>
      </c>
      <c r="B222" s="20" t="s">
        <v>664</v>
      </c>
      <c r="C222" s="20" t="s">
        <v>933</v>
      </c>
      <c r="D222" s="137">
        <v>2000000</v>
      </c>
      <c r="E222" s="20" t="s">
        <v>394</v>
      </c>
      <c r="F222" s="20" t="s">
        <v>395</v>
      </c>
      <c r="G222" s="8" t="str">
        <f t="shared" si="6"/>
        <v>STAMBAUGH JAMES</v>
      </c>
      <c r="H222" s="20" t="str">
        <f t="shared" si="7"/>
        <v>4063</v>
      </c>
    </row>
    <row r="223" spans="1:8" x14ac:dyDescent="0.3">
      <c r="A223" s="8">
        <v>43080.011134259257</v>
      </c>
      <c r="B223" s="20" t="s">
        <v>601</v>
      </c>
      <c r="C223" s="20" t="s">
        <v>934</v>
      </c>
      <c r="D223" s="137">
        <v>3220000</v>
      </c>
      <c r="E223" s="20" t="s">
        <v>378</v>
      </c>
      <c r="F223" s="20" t="s">
        <v>379</v>
      </c>
      <c r="G223" s="8" t="str">
        <f t="shared" si="6"/>
        <v>RESPASS AARON</v>
      </c>
      <c r="H223" s="20" t="str">
        <f t="shared" si="7"/>
        <v>4058</v>
      </c>
    </row>
    <row r="224" spans="1:8" x14ac:dyDescent="0.3">
      <c r="A224" s="8">
        <v>43080.015613425923</v>
      </c>
      <c r="B224" t="s">
        <v>511</v>
      </c>
      <c r="C224" t="s">
        <v>935</v>
      </c>
      <c r="D224" s="13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4023</v>
      </c>
    </row>
    <row r="225" spans="1:8" x14ac:dyDescent="0.3">
      <c r="A225" s="8">
        <v>43080.025509259256</v>
      </c>
      <c r="B225" t="s">
        <v>665</v>
      </c>
      <c r="C225" t="s">
        <v>936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4064</v>
      </c>
    </row>
    <row r="226" spans="1:8" x14ac:dyDescent="0.3">
      <c r="A226" s="8">
        <v>43080.025752314818</v>
      </c>
      <c r="B226" t="s">
        <v>371</v>
      </c>
      <c r="C226" t="s">
        <v>755</v>
      </c>
      <c r="D226" s="137">
        <v>3340000</v>
      </c>
      <c r="E226" t="s">
        <v>471</v>
      </c>
      <c r="F226" s="20" t="s">
        <v>472</v>
      </c>
      <c r="G226" s="8" t="str">
        <f t="shared" si="6"/>
        <v>ELBAUM MIKE</v>
      </c>
      <c r="H226" s="20" t="str">
        <f t="shared" si="7"/>
        <v>4011</v>
      </c>
    </row>
    <row r="227" spans="1:8" x14ac:dyDescent="0.3">
      <c r="A227" s="8">
        <v>43080.02715277778</v>
      </c>
      <c r="B227" t="s">
        <v>665</v>
      </c>
      <c r="C227" t="s">
        <v>936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4064</v>
      </c>
    </row>
    <row r="228" spans="1:8" x14ac:dyDescent="0.3">
      <c r="A228" s="8">
        <v>43080.031712962962</v>
      </c>
      <c r="B228" t="s">
        <v>665</v>
      </c>
      <c r="C228" t="s">
        <v>936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4064</v>
      </c>
    </row>
    <row r="229" spans="1:8" x14ac:dyDescent="0.3">
      <c r="A229" s="8">
        <v>43080.04724537037</v>
      </c>
      <c r="B229" t="s">
        <v>519</v>
      </c>
      <c r="C229" t="s">
        <v>937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4024</v>
      </c>
    </row>
    <row r="230" spans="1:8" x14ac:dyDescent="0.3">
      <c r="A230" s="8">
        <v>43080.055150462962</v>
      </c>
      <c r="B230" t="s">
        <v>602</v>
      </c>
      <c r="C230" t="s">
        <v>756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4057</v>
      </c>
    </row>
    <row r="231" spans="1:8" x14ac:dyDescent="0.3">
      <c r="A231" s="8">
        <v>43080.057372685187</v>
      </c>
      <c r="B231" t="s">
        <v>392</v>
      </c>
      <c r="C231" t="s">
        <v>758</v>
      </c>
      <c r="D231" s="137">
        <v>3500000</v>
      </c>
      <c r="E231" t="s">
        <v>376</v>
      </c>
      <c r="F231" s="20" t="s">
        <v>377</v>
      </c>
      <c r="G231" s="8" t="str">
        <f t="shared" si="6"/>
        <v>GUNTHIER ERIC</v>
      </c>
      <c r="H231" s="20" t="str">
        <f t="shared" si="7"/>
        <v>4030</v>
      </c>
    </row>
    <row r="232" spans="1:8" x14ac:dyDescent="0.3">
      <c r="A232" s="8">
        <v>43080.066712962966</v>
      </c>
      <c r="B232" t="s">
        <v>370</v>
      </c>
      <c r="C232" t="s">
        <v>938</v>
      </c>
      <c r="D232" s="137">
        <v>3340000</v>
      </c>
      <c r="E232" t="s">
        <v>471</v>
      </c>
      <c r="F232" s="20" t="s">
        <v>472</v>
      </c>
      <c r="G232" s="8" t="str">
        <f t="shared" si="6"/>
        <v>ELBAUM MIKE</v>
      </c>
      <c r="H232" s="20" t="str">
        <f t="shared" si="7"/>
        <v>4012</v>
      </c>
    </row>
    <row r="233" spans="1:8" x14ac:dyDescent="0.3">
      <c r="A233" s="8">
        <v>43080.069236111114</v>
      </c>
      <c r="B233" t="s">
        <v>386</v>
      </c>
      <c r="C233" t="s">
        <v>760</v>
      </c>
      <c r="D233" s="137">
        <v>3500000</v>
      </c>
      <c r="E233" t="s">
        <v>376</v>
      </c>
      <c r="F233" s="20" t="s">
        <v>377</v>
      </c>
      <c r="G233" s="8" t="str">
        <f t="shared" si="6"/>
        <v>GUNTHIER ERIC</v>
      </c>
      <c r="H233" s="20" t="str">
        <f t="shared" si="7"/>
        <v>4029</v>
      </c>
    </row>
    <row r="234" spans="1:8" x14ac:dyDescent="0.3">
      <c r="A234" s="8">
        <v>43080.089502314811</v>
      </c>
      <c r="B234" t="s">
        <v>392</v>
      </c>
      <c r="C234" t="s">
        <v>939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4030</v>
      </c>
    </row>
    <row r="235" spans="1:8" x14ac:dyDescent="0.3">
      <c r="A235" s="8">
        <v>43080.113541666666</v>
      </c>
      <c r="B235" t="s">
        <v>351</v>
      </c>
      <c r="C235" t="s">
        <v>940</v>
      </c>
      <c r="D235" s="137">
        <v>3120000</v>
      </c>
      <c r="E235" t="s">
        <v>369</v>
      </c>
      <c r="F235" s="20" t="s">
        <v>560</v>
      </c>
      <c r="G235" s="8" t="str">
        <f t="shared" si="6"/>
        <v>THOMPSON LESTER</v>
      </c>
      <c r="H235" s="20" t="str">
        <f t="shared" si="7"/>
        <v>4055</v>
      </c>
    </row>
    <row r="236" spans="1:8" x14ac:dyDescent="0.3">
      <c r="A236" s="8">
        <v>43061.9919212963</v>
      </c>
      <c r="B236" t="s">
        <v>362</v>
      </c>
      <c r="C236" t="s">
        <v>522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3">
      <c r="A237" s="8">
        <v>43062.007280092592</v>
      </c>
      <c r="B237" t="s">
        <v>514</v>
      </c>
      <c r="C237" t="s">
        <v>523</v>
      </c>
      <c r="D237" s="137">
        <v>2440000</v>
      </c>
      <c r="E237" t="s">
        <v>457</v>
      </c>
      <c r="F237" s="20" t="s">
        <v>458</v>
      </c>
      <c r="G237" s="8" t="str">
        <f t="shared" si="6"/>
        <v>LOPES KIMBERLY</v>
      </c>
      <c r="H237" s="20" t="str">
        <f t="shared" si="7"/>
        <v>4006</v>
      </c>
    </row>
    <row r="238" spans="1:8" x14ac:dyDescent="0.3">
      <c r="A238" s="8">
        <v>43062.019155092596</v>
      </c>
      <c r="B238" t="s">
        <v>513</v>
      </c>
      <c r="C238" t="s">
        <v>516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3">
      <c r="A239" s="8">
        <v>43062.029270833336</v>
      </c>
      <c r="B239" t="s">
        <v>360</v>
      </c>
      <c r="C239" t="s">
        <v>524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3">
      <c r="A240" s="8">
        <v>43062.037442129629</v>
      </c>
      <c r="B240" t="s">
        <v>512</v>
      </c>
      <c r="C240" t="s">
        <v>525</v>
      </c>
      <c r="D240" s="137">
        <v>3680000</v>
      </c>
      <c r="E240" t="s">
        <v>483</v>
      </c>
      <c r="F240" s="20" t="s">
        <v>484</v>
      </c>
      <c r="G240" s="8" t="str">
        <f t="shared" si="6"/>
        <v>HAMMOND JUSTYNN</v>
      </c>
      <c r="H240" s="20" t="str">
        <f t="shared" si="7"/>
        <v>4015</v>
      </c>
    </row>
    <row r="241" spans="1:8" x14ac:dyDescent="0.3">
      <c r="A241" s="8">
        <v>43062.046944444446</v>
      </c>
      <c r="B241" t="s">
        <v>517</v>
      </c>
      <c r="C241" t="s">
        <v>526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3">
      <c r="A242" s="8">
        <v>43062.050451388888</v>
      </c>
      <c r="B242" t="s">
        <v>518</v>
      </c>
      <c r="C242" t="s">
        <v>527</v>
      </c>
      <c r="D242" s="137">
        <v>2440000</v>
      </c>
      <c r="E242" t="s">
        <v>457</v>
      </c>
      <c r="F242" s="20" t="s">
        <v>458</v>
      </c>
      <c r="G242" s="8" t="str">
        <f t="shared" si="6"/>
        <v>LOPES KIMBERLY</v>
      </c>
      <c r="H242" s="20" t="str">
        <f t="shared" si="7"/>
        <v>4005</v>
      </c>
    </row>
    <row r="243" spans="1:8" x14ac:dyDescent="0.3">
      <c r="A243" s="8">
        <v>43062.068680555552</v>
      </c>
      <c r="B243" t="s">
        <v>515</v>
      </c>
      <c r="C243" t="s">
        <v>528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3">
      <c r="A244" s="8">
        <v>43062.087766203702</v>
      </c>
      <c r="B244" t="s">
        <v>514</v>
      </c>
      <c r="C244" t="s">
        <v>529</v>
      </c>
      <c r="D244" s="137">
        <v>2440000</v>
      </c>
      <c r="E244" t="s">
        <v>457</v>
      </c>
      <c r="F244" s="20" t="s">
        <v>458</v>
      </c>
      <c r="G244" s="8" t="str">
        <f t="shared" si="6"/>
        <v>LOPES KIMBERLY</v>
      </c>
      <c r="H244" s="20" t="str">
        <f t="shared" si="7"/>
        <v>4006</v>
      </c>
    </row>
    <row r="245" spans="1:8" x14ac:dyDescent="0.3">
      <c r="A245" s="8">
        <v>43061.00335648148</v>
      </c>
      <c r="B245" t="s">
        <v>492</v>
      </c>
      <c r="C245" t="s">
        <v>500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497</v>
      </c>
      <c r="C246" t="s">
        <v>501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494</v>
      </c>
      <c r="C247" t="s">
        <v>502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444</v>
      </c>
      <c r="C248" t="s">
        <v>503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351</v>
      </c>
      <c r="C249" t="s">
        <v>504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493</v>
      </c>
      <c r="C250" t="s">
        <v>505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498</v>
      </c>
      <c r="C251" t="s">
        <v>506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492</v>
      </c>
      <c r="C252" t="s">
        <v>507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497</v>
      </c>
      <c r="C253" t="s">
        <v>499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366</v>
      </c>
      <c r="C254" t="s">
        <v>485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450</v>
      </c>
      <c r="C255" t="s">
        <v>486</v>
      </c>
      <c r="D255" s="137">
        <v>3340000</v>
      </c>
      <c r="E255" t="s">
        <v>471</v>
      </c>
      <c r="F255" s="20" t="s">
        <v>472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444</v>
      </c>
      <c r="C256" t="s">
        <v>487</v>
      </c>
      <c r="D256" s="137">
        <v>3680000</v>
      </c>
      <c r="E256" t="s">
        <v>483</v>
      </c>
      <c r="F256" s="20" t="s">
        <v>484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446</v>
      </c>
      <c r="C257" t="s">
        <v>461</v>
      </c>
      <c r="D257" s="137">
        <v>2540000</v>
      </c>
      <c r="E257" t="s">
        <v>459</v>
      </c>
      <c r="F257" s="20" t="s">
        <v>460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455</v>
      </c>
      <c r="D258" s="137">
        <v>3700000</v>
      </c>
      <c r="E258" t="s">
        <v>448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444</v>
      </c>
      <c r="C259" t="s">
        <v>462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456</v>
      </c>
      <c r="C260" t="s">
        <v>463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447</v>
      </c>
      <c r="C261" t="s">
        <v>464</v>
      </c>
      <c r="D261" s="137">
        <v>2440000</v>
      </c>
      <c r="E261" t="s">
        <v>457</v>
      </c>
      <c r="F261" s="20" t="s">
        <v>458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465</v>
      </c>
      <c r="D262" s="137">
        <v>3700000</v>
      </c>
      <c r="E262" t="s">
        <v>448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454</v>
      </c>
      <c r="C263" t="s">
        <v>466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467</v>
      </c>
      <c r="D264" s="137">
        <v>3700000</v>
      </c>
      <c r="E264" t="s">
        <v>448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605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3">
      <c r="A2" s="195">
        <v>32.659999999999997</v>
      </c>
      <c r="B2" s="195">
        <v>0</v>
      </c>
      <c r="C2" s="195">
        <v>3.68</v>
      </c>
      <c r="D2" s="8">
        <v>43079</v>
      </c>
      <c r="E2" s="195">
        <v>0.28999999999999998</v>
      </c>
      <c r="F2" s="195" t="s">
        <v>469</v>
      </c>
      <c r="G2" s="195">
        <v>285.79000000000002</v>
      </c>
      <c r="H2" s="195">
        <v>0</v>
      </c>
      <c r="I2" s="195">
        <v>0</v>
      </c>
      <c r="J2" s="195"/>
      <c r="K2" s="195">
        <v>1029.29</v>
      </c>
      <c r="L2" s="195" t="s">
        <v>468</v>
      </c>
      <c r="M2" s="195">
        <v>32.659999999999997</v>
      </c>
      <c r="N2" s="195">
        <v>1512889200</v>
      </c>
      <c r="O2" s="195">
        <v>0</v>
      </c>
      <c r="P2" s="195">
        <v>3.71</v>
      </c>
      <c r="Q2" s="195">
        <v>208</v>
      </c>
      <c r="R2" s="195">
        <v>4.74</v>
      </c>
      <c r="S2" s="195">
        <v>1.88</v>
      </c>
      <c r="T2"/>
    </row>
    <row r="3" spans="1:20" x14ac:dyDescent="0.3">
      <c r="A3" s="195">
        <v>32.28</v>
      </c>
      <c r="B3" s="195">
        <v>0</v>
      </c>
      <c r="C3" s="195">
        <v>3.27</v>
      </c>
      <c r="D3" s="8">
        <v>43079.041666666664</v>
      </c>
      <c r="E3" s="195">
        <v>0.28999999999999998</v>
      </c>
      <c r="F3" s="195" t="s">
        <v>469</v>
      </c>
      <c r="G3" s="195">
        <v>284.39</v>
      </c>
      <c r="H3" s="195">
        <v>0</v>
      </c>
      <c r="I3" s="195">
        <v>0</v>
      </c>
      <c r="J3" s="195"/>
      <c r="K3" s="195">
        <v>1029.02</v>
      </c>
      <c r="L3" s="195" t="s">
        <v>468</v>
      </c>
      <c r="M3" s="195">
        <v>32.28</v>
      </c>
      <c r="N3" s="195">
        <v>1512892800</v>
      </c>
      <c r="O3" s="195">
        <v>0</v>
      </c>
      <c r="P3" s="195">
        <v>2.86</v>
      </c>
      <c r="Q3" s="195">
        <v>190</v>
      </c>
      <c r="R3" s="195">
        <v>5.05</v>
      </c>
      <c r="S3" s="195">
        <v>2.3199999999999998</v>
      </c>
      <c r="T3"/>
    </row>
    <row r="4" spans="1:20" x14ac:dyDescent="0.3">
      <c r="A4" s="195">
        <v>32.35</v>
      </c>
      <c r="B4" s="195">
        <v>0</v>
      </c>
      <c r="C4" s="195">
        <v>2.8</v>
      </c>
      <c r="D4" s="8">
        <v>43079.083333333336</v>
      </c>
      <c r="E4" s="195">
        <v>0.28000000000000003</v>
      </c>
      <c r="F4" s="195" t="s">
        <v>469</v>
      </c>
      <c r="G4" s="195">
        <v>283.11</v>
      </c>
      <c r="H4" s="195">
        <v>0</v>
      </c>
      <c r="I4" s="195">
        <v>0</v>
      </c>
      <c r="J4" s="195"/>
      <c r="K4" s="195">
        <v>1029.19</v>
      </c>
      <c r="L4" s="195" t="s">
        <v>468</v>
      </c>
      <c r="M4" s="195">
        <v>32.35</v>
      </c>
      <c r="N4" s="195">
        <v>1512896400</v>
      </c>
      <c r="O4" s="195">
        <v>0</v>
      </c>
      <c r="P4" s="195">
        <v>3.55</v>
      </c>
      <c r="Q4" s="195">
        <v>204</v>
      </c>
      <c r="R4" s="195">
        <v>4.8</v>
      </c>
      <c r="S4" s="195">
        <v>1.99</v>
      </c>
      <c r="T4"/>
    </row>
    <row r="5" spans="1:20" x14ac:dyDescent="0.3">
      <c r="A5" s="195">
        <v>32.39</v>
      </c>
      <c r="B5" s="195">
        <v>0</v>
      </c>
      <c r="C5" s="195">
        <v>2.58</v>
      </c>
      <c r="D5" s="8">
        <v>43079.125</v>
      </c>
      <c r="E5" s="195">
        <v>0.28000000000000003</v>
      </c>
      <c r="F5" s="195" t="s">
        <v>469</v>
      </c>
      <c r="G5" s="195">
        <v>281.83</v>
      </c>
      <c r="H5" s="195">
        <v>0</v>
      </c>
      <c r="I5" s="195">
        <v>0</v>
      </c>
      <c r="J5" s="195"/>
      <c r="K5" s="195">
        <v>1029.03</v>
      </c>
      <c r="L5" s="195" t="s">
        <v>468</v>
      </c>
      <c r="M5" s="195">
        <v>32.39</v>
      </c>
      <c r="N5" s="195">
        <v>1512900000</v>
      </c>
      <c r="O5" s="195">
        <v>0</v>
      </c>
      <c r="P5" s="195">
        <v>3.32</v>
      </c>
      <c r="Q5" s="195">
        <v>194</v>
      </c>
      <c r="R5" s="195">
        <v>4.83</v>
      </c>
      <c r="S5" s="195">
        <v>2.27</v>
      </c>
      <c r="T5"/>
    </row>
    <row r="6" spans="1:20" x14ac:dyDescent="0.3">
      <c r="A6" s="195">
        <v>31.95</v>
      </c>
      <c r="B6" s="195">
        <v>0</v>
      </c>
      <c r="C6" s="195">
        <v>2.54</v>
      </c>
      <c r="D6" s="8">
        <v>43079.166666666664</v>
      </c>
      <c r="E6" s="195">
        <v>0.28000000000000003</v>
      </c>
      <c r="F6" s="195" t="s">
        <v>469</v>
      </c>
      <c r="G6" s="195">
        <v>281.02</v>
      </c>
      <c r="H6" s="195">
        <v>0</v>
      </c>
      <c r="I6" s="195">
        <v>0</v>
      </c>
      <c r="J6" s="195"/>
      <c r="K6" s="195">
        <v>1029.43</v>
      </c>
      <c r="L6" s="195" t="s">
        <v>468</v>
      </c>
      <c r="M6" s="195">
        <v>31.95</v>
      </c>
      <c r="N6" s="195">
        <v>1512903600</v>
      </c>
      <c r="O6" s="195">
        <v>0</v>
      </c>
      <c r="P6" s="195">
        <v>3.57</v>
      </c>
      <c r="Q6" s="195">
        <v>208</v>
      </c>
      <c r="R6" s="195">
        <v>5.03</v>
      </c>
      <c r="S6" s="195">
        <v>2.15</v>
      </c>
      <c r="T6"/>
    </row>
    <row r="7" spans="1:20" x14ac:dyDescent="0.3">
      <c r="A7" s="195">
        <v>31.75</v>
      </c>
      <c r="B7" s="195">
        <v>0</v>
      </c>
      <c r="C7" s="195">
        <v>2.06</v>
      </c>
      <c r="D7" s="8">
        <v>43079.208333333336</v>
      </c>
      <c r="E7" s="195">
        <v>0.28000000000000003</v>
      </c>
      <c r="F7" s="195" t="s">
        <v>469</v>
      </c>
      <c r="G7" s="195">
        <v>281.39999999999998</v>
      </c>
      <c r="H7" s="195">
        <v>0</v>
      </c>
      <c r="I7" s="195">
        <v>0</v>
      </c>
      <c r="J7" s="195"/>
      <c r="K7" s="195">
        <v>1031.6199999999999</v>
      </c>
      <c r="L7" s="195" t="s">
        <v>468</v>
      </c>
      <c r="M7" s="195">
        <v>31.75</v>
      </c>
      <c r="N7" s="195">
        <v>1512907200</v>
      </c>
      <c r="O7" s="195">
        <v>0</v>
      </c>
      <c r="P7" s="195">
        <v>3.44</v>
      </c>
      <c r="Q7" s="195">
        <v>202</v>
      </c>
      <c r="R7" s="195">
        <v>4.43</v>
      </c>
      <c r="S7" s="195">
        <v>1.86</v>
      </c>
      <c r="T7"/>
    </row>
    <row r="8" spans="1:20" x14ac:dyDescent="0.3">
      <c r="A8" s="195">
        <v>31.71</v>
      </c>
      <c r="B8" s="195">
        <v>0.02</v>
      </c>
      <c r="C8" s="195">
        <v>2.11</v>
      </c>
      <c r="D8" s="8">
        <v>43079.25</v>
      </c>
      <c r="E8" s="195">
        <v>0.28000000000000003</v>
      </c>
      <c r="F8" s="195" t="s">
        <v>469</v>
      </c>
      <c r="G8" s="195">
        <v>282.7</v>
      </c>
      <c r="H8" s="195">
        <v>0</v>
      </c>
      <c r="I8" s="195">
        <v>0</v>
      </c>
      <c r="J8" s="195"/>
      <c r="K8" s="195">
        <v>1031.75</v>
      </c>
      <c r="L8" s="195" t="s">
        <v>468</v>
      </c>
      <c r="M8" s="195">
        <v>31.71</v>
      </c>
      <c r="N8" s="195">
        <v>1512910800</v>
      </c>
      <c r="O8" s="195">
        <v>0</v>
      </c>
      <c r="P8" s="195">
        <v>4.53</v>
      </c>
      <c r="Q8" s="195">
        <v>192</v>
      </c>
      <c r="R8" s="195">
        <v>5.3</v>
      </c>
      <c r="S8" s="195">
        <v>2.2599999999999998</v>
      </c>
      <c r="T8"/>
    </row>
    <row r="9" spans="1:20" x14ac:dyDescent="0.3">
      <c r="A9" s="195">
        <v>31.6</v>
      </c>
      <c r="B9" s="195">
        <v>0.02</v>
      </c>
      <c r="C9" s="195">
        <v>1.69</v>
      </c>
      <c r="D9" s="8">
        <v>43079.291666666664</v>
      </c>
      <c r="E9" s="195">
        <v>0.27</v>
      </c>
      <c r="F9" s="195" t="s">
        <v>469</v>
      </c>
      <c r="G9" s="195">
        <v>284.8</v>
      </c>
      <c r="H9" s="195">
        <v>0</v>
      </c>
      <c r="I9" s="195">
        <v>0</v>
      </c>
      <c r="J9" s="195"/>
      <c r="K9" s="195">
        <v>1031.78</v>
      </c>
      <c r="L9" s="195" t="s">
        <v>468</v>
      </c>
      <c r="M9" s="195">
        <v>31.6</v>
      </c>
      <c r="N9" s="195">
        <v>1512914400</v>
      </c>
      <c r="O9" s="195">
        <v>0</v>
      </c>
      <c r="P9" s="195">
        <v>4.3600000000000003</v>
      </c>
      <c r="Q9" s="195">
        <v>194</v>
      </c>
      <c r="R9" s="195">
        <v>4.97</v>
      </c>
      <c r="S9" s="195">
        <v>2.1</v>
      </c>
      <c r="T9"/>
    </row>
    <row r="10" spans="1:20" x14ac:dyDescent="0.3">
      <c r="A10" s="195">
        <v>32.93</v>
      </c>
      <c r="B10" s="195">
        <v>0.03</v>
      </c>
      <c r="C10" s="195">
        <v>2.5299999999999998</v>
      </c>
      <c r="D10" s="8">
        <v>43079.333333333336</v>
      </c>
      <c r="E10" s="195">
        <v>0.27</v>
      </c>
      <c r="F10" s="195" t="s">
        <v>530</v>
      </c>
      <c r="G10" s="195">
        <v>286.88</v>
      </c>
      <c r="H10" s="195">
        <v>0</v>
      </c>
      <c r="I10" s="195">
        <v>0</v>
      </c>
      <c r="J10" s="195"/>
      <c r="K10" s="195">
        <v>1031.25</v>
      </c>
      <c r="L10" s="195" t="s">
        <v>468</v>
      </c>
      <c r="M10" s="195">
        <v>32.93</v>
      </c>
      <c r="N10" s="195">
        <v>1512918000</v>
      </c>
      <c r="O10" s="195">
        <v>1</v>
      </c>
      <c r="P10" s="195">
        <v>3.8</v>
      </c>
      <c r="Q10" s="195">
        <v>193</v>
      </c>
      <c r="R10" s="195">
        <v>6.07</v>
      </c>
      <c r="S10" s="195">
        <v>2.4900000000000002</v>
      </c>
      <c r="T10"/>
    </row>
    <row r="11" spans="1:20" x14ac:dyDescent="0.3">
      <c r="A11" s="195">
        <v>39.14</v>
      </c>
      <c r="B11" s="195">
        <v>0.01</v>
      </c>
      <c r="C11" s="195">
        <v>3.61</v>
      </c>
      <c r="D11" s="8">
        <v>43079.375</v>
      </c>
      <c r="E11" s="195">
        <v>0.22</v>
      </c>
      <c r="F11" s="195" t="s">
        <v>530</v>
      </c>
      <c r="G11" s="195">
        <v>288.60000000000002</v>
      </c>
      <c r="H11" s="195">
        <v>0</v>
      </c>
      <c r="I11" s="195">
        <v>0</v>
      </c>
      <c r="J11" s="195"/>
      <c r="K11" s="195">
        <v>1030.51</v>
      </c>
      <c r="L11" s="195" t="s">
        <v>468</v>
      </c>
      <c r="M11" s="195">
        <v>39.14</v>
      </c>
      <c r="N11" s="195">
        <v>1512921600</v>
      </c>
      <c r="O11" s="195">
        <v>1</v>
      </c>
      <c r="P11" s="195">
        <v>4.82</v>
      </c>
      <c r="Q11" s="195">
        <v>202</v>
      </c>
      <c r="R11" s="195">
        <v>6.36</v>
      </c>
      <c r="S11" s="195">
        <v>2.84</v>
      </c>
      <c r="T11"/>
    </row>
    <row r="12" spans="1:20" x14ac:dyDescent="0.3">
      <c r="A12" s="195">
        <v>46.25</v>
      </c>
      <c r="B12" s="195">
        <v>0.02</v>
      </c>
      <c r="C12" s="195">
        <v>3.58</v>
      </c>
      <c r="D12" s="8">
        <v>43079.416666666664</v>
      </c>
      <c r="E12" s="195">
        <v>0.17</v>
      </c>
      <c r="F12" s="195" t="s">
        <v>530</v>
      </c>
      <c r="G12" s="195">
        <v>290.31</v>
      </c>
      <c r="H12" s="195">
        <v>0</v>
      </c>
      <c r="I12" s="195">
        <v>0</v>
      </c>
      <c r="J12" s="195"/>
      <c r="K12" s="195">
        <v>1029.57</v>
      </c>
      <c r="L12" s="195" t="s">
        <v>468</v>
      </c>
      <c r="M12" s="195">
        <v>46.25</v>
      </c>
      <c r="N12" s="195">
        <v>1512925200</v>
      </c>
      <c r="O12" s="195">
        <v>2</v>
      </c>
      <c r="P12" s="195">
        <v>5.52</v>
      </c>
      <c r="Q12" s="195">
        <v>197</v>
      </c>
      <c r="R12" s="195">
        <v>5.55</v>
      </c>
      <c r="S12" s="195">
        <v>1.87</v>
      </c>
      <c r="T12"/>
    </row>
    <row r="13" spans="1:20" x14ac:dyDescent="0.3">
      <c r="A13" s="195">
        <v>51.9</v>
      </c>
      <c r="B13" s="195">
        <v>0.01</v>
      </c>
      <c r="C13" s="195">
        <v>2.79</v>
      </c>
      <c r="D13" s="8">
        <v>43079.458333333336</v>
      </c>
      <c r="E13" s="195">
        <v>0.13</v>
      </c>
      <c r="F13" s="195" t="s">
        <v>530</v>
      </c>
      <c r="G13" s="195">
        <v>287.68</v>
      </c>
      <c r="H13" s="195">
        <v>0</v>
      </c>
      <c r="I13" s="195">
        <v>0</v>
      </c>
      <c r="J13" s="195"/>
      <c r="K13" s="195">
        <v>1028.7</v>
      </c>
      <c r="L13" s="195" t="s">
        <v>468</v>
      </c>
      <c r="M13" s="195">
        <v>51.9</v>
      </c>
      <c r="N13" s="195">
        <v>1512928800</v>
      </c>
      <c r="O13" s="195">
        <v>2</v>
      </c>
      <c r="P13" s="195">
        <v>5.59</v>
      </c>
      <c r="Q13" s="195">
        <v>177</v>
      </c>
      <c r="R13" s="195">
        <v>5.18</v>
      </c>
      <c r="S13" s="195">
        <v>1.08</v>
      </c>
      <c r="T13"/>
    </row>
    <row r="14" spans="1:20" x14ac:dyDescent="0.3">
      <c r="A14" s="195">
        <v>56.35</v>
      </c>
      <c r="B14" s="195">
        <v>0.01</v>
      </c>
      <c r="C14" s="195">
        <v>1.51</v>
      </c>
      <c r="D14" s="8">
        <v>43079.5</v>
      </c>
      <c r="E14" s="195">
        <v>0.1</v>
      </c>
      <c r="F14" s="195" t="s">
        <v>530</v>
      </c>
      <c r="G14" s="195">
        <v>288.60000000000002</v>
      </c>
      <c r="H14" s="195">
        <v>0</v>
      </c>
      <c r="I14" s="195">
        <v>0</v>
      </c>
      <c r="J14" s="195"/>
      <c r="K14" s="195">
        <v>1027.57</v>
      </c>
      <c r="L14" s="195" t="s">
        <v>468</v>
      </c>
      <c r="M14" s="195">
        <v>56.35</v>
      </c>
      <c r="N14" s="195">
        <v>1512932400</v>
      </c>
      <c r="O14" s="195">
        <v>2</v>
      </c>
      <c r="P14" s="195">
        <v>5.59</v>
      </c>
      <c r="Q14" s="195">
        <v>191</v>
      </c>
      <c r="R14" s="195">
        <v>3.99</v>
      </c>
      <c r="S14" s="195">
        <v>0.48</v>
      </c>
      <c r="T14"/>
    </row>
    <row r="15" spans="1:20" x14ac:dyDescent="0.3">
      <c r="A15" s="195">
        <v>58.88</v>
      </c>
      <c r="B15" s="195">
        <v>0.03</v>
      </c>
      <c r="C15" s="195">
        <v>-0.03</v>
      </c>
      <c r="D15" s="8">
        <v>43079.541666666664</v>
      </c>
      <c r="E15" s="195">
        <v>0.09</v>
      </c>
      <c r="F15" s="195" t="s">
        <v>530</v>
      </c>
      <c r="G15" s="195">
        <v>289.97000000000003</v>
      </c>
      <c r="H15" s="195">
        <v>0</v>
      </c>
      <c r="I15" s="195">
        <v>0</v>
      </c>
      <c r="J15" s="195"/>
      <c r="K15" s="195">
        <v>1026.23</v>
      </c>
      <c r="L15" s="195" t="s">
        <v>468</v>
      </c>
      <c r="M15" s="195">
        <v>58.88</v>
      </c>
      <c r="N15" s="195">
        <v>1512936000</v>
      </c>
      <c r="O15" s="195">
        <v>2</v>
      </c>
      <c r="P15" s="195">
        <v>5.86</v>
      </c>
      <c r="Q15" s="195">
        <v>200</v>
      </c>
      <c r="R15" s="195">
        <v>4.08</v>
      </c>
      <c r="S15" s="195">
        <v>0.42</v>
      </c>
      <c r="T15"/>
    </row>
    <row r="16" spans="1:20" x14ac:dyDescent="0.3">
      <c r="A16" s="195">
        <v>60.8</v>
      </c>
      <c r="B16" s="195">
        <v>0.03</v>
      </c>
      <c r="C16" s="195">
        <v>-1.43</v>
      </c>
      <c r="D16" s="8">
        <v>43079.583333333336</v>
      </c>
      <c r="E16" s="195">
        <v>0.08</v>
      </c>
      <c r="F16" s="195" t="s">
        <v>530</v>
      </c>
      <c r="G16" s="195">
        <v>291.33</v>
      </c>
      <c r="H16" s="195">
        <v>0</v>
      </c>
      <c r="I16" s="195">
        <v>0</v>
      </c>
      <c r="J16" s="195"/>
      <c r="K16" s="195">
        <v>1025.49</v>
      </c>
      <c r="L16" s="195" t="s">
        <v>468</v>
      </c>
      <c r="M16" s="195">
        <v>60.8</v>
      </c>
      <c r="N16" s="195">
        <v>1512939600</v>
      </c>
      <c r="O16" s="195">
        <v>1</v>
      </c>
      <c r="P16" s="195">
        <v>5.59</v>
      </c>
      <c r="Q16" s="195">
        <v>186</v>
      </c>
      <c r="R16" s="195">
        <v>3.34</v>
      </c>
      <c r="S16" s="195">
        <v>0.31</v>
      </c>
      <c r="T16"/>
    </row>
    <row r="17" spans="1:20" x14ac:dyDescent="0.3">
      <c r="A17" s="195">
        <v>60.41</v>
      </c>
      <c r="B17" s="195">
        <v>0.06</v>
      </c>
      <c r="C17" s="195">
        <v>-1.53</v>
      </c>
      <c r="D17" s="8">
        <v>43079.625</v>
      </c>
      <c r="E17" s="195">
        <v>0.08</v>
      </c>
      <c r="F17" s="195" t="s">
        <v>530</v>
      </c>
      <c r="G17" s="195">
        <v>293.02</v>
      </c>
      <c r="H17" s="195">
        <v>0</v>
      </c>
      <c r="I17" s="195">
        <v>0</v>
      </c>
      <c r="J17" s="195"/>
      <c r="K17" s="195">
        <v>1025.17</v>
      </c>
      <c r="L17" s="195" t="s">
        <v>468</v>
      </c>
      <c r="M17" s="195">
        <v>60.41</v>
      </c>
      <c r="N17" s="195">
        <v>1512943200</v>
      </c>
      <c r="O17" s="195">
        <v>1</v>
      </c>
      <c r="P17" s="195">
        <v>5.59</v>
      </c>
      <c r="Q17" s="195">
        <v>323</v>
      </c>
      <c r="R17" s="195">
        <v>2.8</v>
      </c>
      <c r="S17" s="195">
        <v>0.32</v>
      </c>
      <c r="T17"/>
    </row>
    <row r="18" spans="1:20" x14ac:dyDescent="0.3">
      <c r="A18" s="195">
        <v>58.36</v>
      </c>
      <c r="B18" s="195">
        <v>0.06</v>
      </c>
      <c r="C18" s="195">
        <v>-0.11</v>
      </c>
      <c r="D18" s="8">
        <v>43079.666666666664</v>
      </c>
      <c r="E18" s="195">
        <v>0.09</v>
      </c>
      <c r="F18" s="195" t="s">
        <v>530</v>
      </c>
      <c r="G18" s="195">
        <v>294.82</v>
      </c>
      <c r="H18" s="195">
        <v>0</v>
      </c>
      <c r="I18" s="195">
        <v>0</v>
      </c>
      <c r="J18" s="195"/>
      <c r="K18" s="195">
        <v>1025.57</v>
      </c>
      <c r="L18" s="195" t="s">
        <v>468</v>
      </c>
      <c r="M18" s="195">
        <v>58.36</v>
      </c>
      <c r="N18" s="195">
        <v>1512946800</v>
      </c>
      <c r="O18" s="195">
        <v>0</v>
      </c>
      <c r="P18" s="195">
        <v>5.59</v>
      </c>
      <c r="Q18" s="195">
        <v>277</v>
      </c>
      <c r="R18" s="195">
        <v>1.98</v>
      </c>
      <c r="S18" s="195">
        <v>0.43</v>
      </c>
      <c r="T18"/>
    </row>
    <row r="19" spans="1:20" x14ac:dyDescent="0.3">
      <c r="A19" s="195">
        <v>50.87</v>
      </c>
      <c r="B19" s="195">
        <v>0.02</v>
      </c>
      <c r="C19" s="195">
        <v>1.25</v>
      </c>
      <c r="D19" s="8">
        <v>43079.708333333336</v>
      </c>
      <c r="E19" s="195">
        <v>0.13</v>
      </c>
      <c r="F19" s="195" t="s">
        <v>469</v>
      </c>
      <c r="G19" s="195">
        <v>289.62</v>
      </c>
      <c r="H19" s="195">
        <v>0</v>
      </c>
      <c r="I19" s="195">
        <v>0</v>
      </c>
      <c r="J19" s="195"/>
      <c r="K19" s="195">
        <v>1025.96</v>
      </c>
      <c r="L19" s="195" t="s">
        <v>468</v>
      </c>
      <c r="M19" s="195">
        <v>50.87</v>
      </c>
      <c r="N19" s="195">
        <v>1512950400</v>
      </c>
      <c r="O19" s="195">
        <v>0</v>
      </c>
      <c r="P19" s="195">
        <v>3.34</v>
      </c>
      <c r="Q19" s="195">
        <v>266</v>
      </c>
      <c r="R19" s="195">
        <v>2.48</v>
      </c>
      <c r="S19" s="195">
        <v>0.87</v>
      </c>
      <c r="T19"/>
    </row>
    <row r="20" spans="1:20" x14ac:dyDescent="0.3">
      <c r="A20" s="195">
        <v>45.6</v>
      </c>
      <c r="B20" s="195">
        <v>0.02</v>
      </c>
      <c r="C20" s="195">
        <v>2.1800000000000002</v>
      </c>
      <c r="D20" s="8">
        <v>43079.75</v>
      </c>
      <c r="E20" s="195">
        <v>0.16</v>
      </c>
      <c r="F20" s="195" t="s">
        <v>469</v>
      </c>
      <c r="G20" s="195">
        <v>290.08</v>
      </c>
      <c r="H20" s="195">
        <v>0</v>
      </c>
      <c r="I20" s="195">
        <v>0</v>
      </c>
      <c r="J20" s="195"/>
      <c r="K20" s="195">
        <v>1026.51</v>
      </c>
      <c r="L20" s="195" t="s">
        <v>468</v>
      </c>
      <c r="M20" s="195">
        <v>45.6</v>
      </c>
      <c r="N20" s="195">
        <v>1512954000</v>
      </c>
      <c r="O20" s="195">
        <v>0</v>
      </c>
      <c r="P20" s="195">
        <v>3.44</v>
      </c>
      <c r="Q20" s="195">
        <v>256</v>
      </c>
      <c r="R20" s="195">
        <v>2.9</v>
      </c>
      <c r="S20" s="195">
        <v>0.72</v>
      </c>
      <c r="T20"/>
    </row>
    <row r="21" spans="1:20" x14ac:dyDescent="0.3">
      <c r="A21" s="195">
        <v>42.38</v>
      </c>
      <c r="B21" s="195">
        <v>0.02</v>
      </c>
      <c r="C21" s="195">
        <v>1.83</v>
      </c>
      <c r="D21" s="8">
        <v>43079.791666666664</v>
      </c>
      <c r="E21" s="195">
        <v>0.18</v>
      </c>
      <c r="F21" s="195" t="s">
        <v>469</v>
      </c>
      <c r="G21" s="195">
        <v>290.87</v>
      </c>
      <c r="H21" s="195">
        <v>0</v>
      </c>
      <c r="I21" s="195">
        <v>0</v>
      </c>
      <c r="J21" s="195"/>
      <c r="K21" s="195">
        <v>1027.97</v>
      </c>
      <c r="L21" s="195" t="s">
        <v>468</v>
      </c>
      <c r="M21" s="195">
        <v>42.38</v>
      </c>
      <c r="N21" s="195">
        <v>1512957600</v>
      </c>
      <c r="O21" s="195">
        <v>0</v>
      </c>
      <c r="P21" s="195">
        <v>5.62</v>
      </c>
      <c r="Q21" s="195">
        <v>207</v>
      </c>
      <c r="R21" s="195">
        <v>3.95</v>
      </c>
      <c r="S21" s="195">
        <v>1.22</v>
      </c>
      <c r="T21"/>
    </row>
    <row r="22" spans="1:20" x14ac:dyDescent="0.3">
      <c r="A22" s="195">
        <v>40.19</v>
      </c>
      <c r="B22" s="195">
        <v>0.01</v>
      </c>
      <c r="C22" s="195">
        <v>1.93</v>
      </c>
      <c r="D22" s="8">
        <v>43079.833333333336</v>
      </c>
      <c r="E22" s="195">
        <v>0.2</v>
      </c>
      <c r="F22" s="195" t="s">
        <v>469</v>
      </c>
      <c r="G22" s="195">
        <v>291.77999999999997</v>
      </c>
      <c r="H22" s="195">
        <v>0</v>
      </c>
      <c r="I22" s="195">
        <v>0</v>
      </c>
      <c r="J22" s="195"/>
      <c r="K22" s="195">
        <v>1027.49</v>
      </c>
      <c r="L22" s="195" t="s">
        <v>468</v>
      </c>
      <c r="M22" s="195">
        <v>40.19</v>
      </c>
      <c r="N22" s="195">
        <v>1512961200</v>
      </c>
      <c r="O22" s="195">
        <v>0</v>
      </c>
      <c r="P22" s="195">
        <v>5.86</v>
      </c>
      <c r="Q22" s="195">
        <v>207</v>
      </c>
      <c r="R22" s="195">
        <v>4.0199999999999996</v>
      </c>
      <c r="S22" s="195">
        <v>1.42</v>
      </c>
      <c r="T22"/>
    </row>
    <row r="23" spans="1:20" x14ac:dyDescent="0.3">
      <c r="A23" s="195">
        <v>38.33</v>
      </c>
      <c r="B23" s="195">
        <v>0.02</v>
      </c>
      <c r="C23" s="195">
        <v>1.86</v>
      </c>
      <c r="D23" s="8">
        <v>43079.875</v>
      </c>
      <c r="E23" s="195">
        <v>0.21</v>
      </c>
      <c r="F23" s="195" t="s">
        <v>469</v>
      </c>
      <c r="G23" s="195">
        <v>292.35000000000002</v>
      </c>
      <c r="H23" s="195">
        <v>6.9999999999999999E-4</v>
      </c>
      <c r="I23" s="195">
        <v>0.01</v>
      </c>
      <c r="J23" s="195" t="s">
        <v>606</v>
      </c>
      <c r="K23" s="195">
        <v>1027.78</v>
      </c>
      <c r="L23" s="195" t="s">
        <v>468</v>
      </c>
      <c r="M23" s="195">
        <v>38.33</v>
      </c>
      <c r="N23" s="195">
        <v>1512964800</v>
      </c>
      <c r="O23" s="195">
        <v>0</v>
      </c>
      <c r="P23" s="195">
        <v>5.33</v>
      </c>
      <c r="Q23" s="195">
        <v>205</v>
      </c>
      <c r="R23" s="195">
        <v>3.89</v>
      </c>
      <c r="S23" s="195">
        <v>1.27</v>
      </c>
      <c r="T23"/>
    </row>
    <row r="24" spans="1:20" x14ac:dyDescent="0.3">
      <c r="A24" s="195">
        <v>36.96</v>
      </c>
      <c r="B24" s="195">
        <v>0.02</v>
      </c>
      <c r="C24" s="195">
        <v>2.41</v>
      </c>
      <c r="D24" s="8">
        <v>43079.916666666664</v>
      </c>
      <c r="E24" s="195">
        <v>0.23</v>
      </c>
      <c r="F24" s="195" t="s">
        <v>469</v>
      </c>
      <c r="G24" s="195">
        <v>293.14999999999998</v>
      </c>
      <c r="H24" s="195">
        <v>1.6999999999999999E-3</v>
      </c>
      <c r="I24" s="195">
        <v>0.01</v>
      </c>
      <c r="J24" s="195" t="s">
        <v>606</v>
      </c>
      <c r="K24" s="195">
        <v>1026.56</v>
      </c>
      <c r="L24" s="195" t="s">
        <v>468</v>
      </c>
      <c r="M24" s="195">
        <v>36.96</v>
      </c>
      <c r="N24" s="195">
        <v>1512968400</v>
      </c>
      <c r="O24" s="195">
        <v>0</v>
      </c>
      <c r="P24" s="195">
        <v>3.6</v>
      </c>
      <c r="Q24" s="195">
        <v>207</v>
      </c>
      <c r="R24" s="195">
        <v>4.38</v>
      </c>
      <c r="S24" s="195">
        <v>1.69</v>
      </c>
      <c r="T24"/>
    </row>
    <row r="25" spans="1:20" x14ac:dyDescent="0.3">
      <c r="A25" s="195">
        <v>37.15</v>
      </c>
      <c r="B25" s="195">
        <v>0</v>
      </c>
      <c r="C25" s="195">
        <v>2.8</v>
      </c>
      <c r="D25" s="8">
        <v>43079.958333333336</v>
      </c>
      <c r="E25" s="195">
        <v>0.23</v>
      </c>
      <c r="F25" s="195" t="s">
        <v>469</v>
      </c>
      <c r="G25" s="195">
        <v>294.83999999999997</v>
      </c>
      <c r="H25" s="195">
        <v>0</v>
      </c>
      <c r="I25" s="195">
        <v>0</v>
      </c>
      <c r="J25" s="195"/>
      <c r="K25" s="195">
        <v>1026.68</v>
      </c>
      <c r="L25" s="195" t="s">
        <v>468</v>
      </c>
      <c r="M25" s="195">
        <v>37.15</v>
      </c>
      <c r="N25" s="195">
        <v>1512972000</v>
      </c>
      <c r="O25" s="195">
        <v>0</v>
      </c>
      <c r="P25" s="195">
        <v>3.35</v>
      </c>
      <c r="Q25" s="195">
        <v>208</v>
      </c>
      <c r="R25" s="195">
        <v>5.18</v>
      </c>
      <c r="S25" s="195">
        <v>1.99</v>
      </c>
      <c r="T25"/>
    </row>
    <row r="26" spans="1:20" x14ac:dyDescent="0.3">
      <c r="A26" s="195">
        <v>36.450000000000003</v>
      </c>
      <c r="B26" s="195">
        <v>0</v>
      </c>
      <c r="C26" s="195">
        <v>3.17</v>
      </c>
      <c r="D26" s="8">
        <v>43080</v>
      </c>
      <c r="E26" s="195">
        <v>0.24</v>
      </c>
      <c r="F26" s="195" t="s">
        <v>469</v>
      </c>
      <c r="G26" s="195">
        <v>298.29000000000002</v>
      </c>
      <c r="H26" s="195">
        <v>0</v>
      </c>
      <c r="I26" s="195">
        <v>0</v>
      </c>
      <c r="J26" s="195"/>
      <c r="K26" s="195">
        <v>1025.25</v>
      </c>
      <c r="L26" s="195" t="s">
        <v>468</v>
      </c>
      <c r="M26" s="195">
        <v>36.450000000000003</v>
      </c>
      <c r="N26" s="195">
        <v>1512975600</v>
      </c>
      <c r="O26" s="195">
        <v>0</v>
      </c>
      <c r="P26" s="195">
        <v>3.57</v>
      </c>
      <c r="Q26" s="195">
        <v>202</v>
      </c>
      <c r="R26" s="195">
        <v>3.75</v>
      </c>
      <c r="S26" s="195">
        <v>1.27</v>
      </c>
      <c r="T26"/>
    </row>
    <row r="27" spans="1:20" x14ac:dyDescent="0.3">
      <c r="A27" s="195">
        <v>34.89</v>
      </c>
      <c r="B27" s="195">
        <v>0</v>
      </c>
      <c r="C27" s="195">
        <v>3.43</v>
      </c>
      <c r="D27" s="8">
        <v>43080.041666666664</v>
      </c>
      <c r="E27" s="195">
        <v>0.26</v>
      </c>
      <c r="F27" s="195" t="s">
        <v>469</v>
      </c>
      <c r="G27" s="195">
        <v>302.77999999999997</v>
      </c>
      <c r="H27" s="195">
        <v>0</v>
      </c>
      <c r="I27" s="195">
        <v>0</v>
      </c>
      <c r="J27" s="195"/>
      <c r="K27" s="195">
        <v>1025.25</v>
      </c>
      <c r="L27" s="195" t="s">
        <v>468</v>
      </c>
      <c r="M27" s="195">
        <v>34.89</v>
      </c>
      <c r="N27" s="195">
        <v>1512979200</v>
      </c>
      <c r="O27" s="195">
        <v>0</v>
      </c>
      <c r="P27" s="195">
        <v>3.23</v>
      </c>
      <c r="Q27" s="195">
        <v>227</v>
      </c>
      <c r="R27" s="195">
        <v>3.54</v>
      </c>
      <c r="S27" s="195">
        <v>0.92</v>
      </c>
      <c r="T27"/>
    </row>
    <row r="28" spans="1:20" x14ac:dyDescent="0.3">
      <c r="A28" s="195">
        <v>32.590000000000003</v>
      </c>
      <c r="B28" s="195">
        <v>0</v>
      </c>
      <c r="C28" s="195">
        <v>3.8</v>
      </c>
      <c r="D28" s="8">
        <v>43080.083333333336</v>
      </c>
      <c r="E28" s="195">
        <v>0.28999999999999998</v>
      </c>
      <c r="F28" s="195" t="s">
        <v>469</v>
      </c>
      <c r="G28" s="195">
        <v>306.77999999999997</v>
      </c>
      <c r="H28" s="195">
        <v>0</v>
      </c>
      <c r="I28" s="195">
        <v>0</v>
      </c>
      <c r="J28" s="195"/>
      <c r="K28" s="195">
        <v>1025.8499999999999</v>
      </c>
      <c r="L28" s="195" t="s">
        <v>468</v>
      </c>
      <c r="M28" s="195">
        <v>32.590000000000003</v>
      </c>
      <c r="N28" s="195">
        <v>1512982800</v>
      </c>
      <c r="O28" s="195">
        <v>0</v>
      </c>
      <c r="P28" s="195">
        <v>3.82</v>
      </c>
      <c r="Q28" s="195">
        <v>216</v>
      </c>
      <c r="R28" s="195">
        <v>2.59</v>
      </c>
      <c r="S28" s="195">
        <v>0.94</v>
      </c>
      <c r="T28"/>
    </row>
    <row r="29" spans="1:20" x14ac:dyDescent="0.3">
      <c r="A29" s="195">
        <v>30.73</v>
      </c>
      <c r="B29" s="195">
        <v>0</v>
      </c>
      <c r="C29" s="195">
        <v>4.71</v>
      </c>
      <c r="D29" s="8">
        <v>43080.125</v>
      </c>
      <c r="E29" s="195">
        <v>0.32</v>
      </c>
      <c r="F29" s="195" t="s">
        <v>469</v>
      </c>
      <c r="G29" s="195">
        <v>310.2</v>
      </c>
      <c r="H29" s="195">
        <v>0</v>
      </c>
      <c r="I29" s="195">
        <v>0</v>
      </c>
      <c r="J29" s="195"/>
      <c r="K29" s="195">
        <v>1026.3</v>
      </c>
      <c r="L29" s="195" t="s">
        <v>468</v>
      </c>
      <c r="M29" s="195">
        <v>30.73</v>
      </c>
      <c r="N29" s="195">
        <v>1512986400</v>
      </c>
      <c r="O29" s="195">
        <v>0</v>
      </c>
      <c r="P29" s="195">
        <v>3.42</v>
      </c>
      <c r="Q29" s="195">
        <v>195</v>
      </c>
      <c r="R29" s="195">
        <v>2.87</v>
      </c>
      <c r="S29" s="195">
        <v>1.47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topLeftCell="A10" workbookViewId="0">
      <selection activeCell="C31" sqref="C31:C32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43079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729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1053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1054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1066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1063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1055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1056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1057</v>
      </c>
      <c r="J25" s="139" t="s">
        <v>144</v>
      </c>
      <c r="M25" s="153" t="b">
        <v>1</v>
      </c>
    </row>
    <row r="26" spans="3:24" x14ac:dyDescent="0.3">
      <c r="C26" t="s">
        <v>1058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%USERPROFILE%\Documents\GitHub\eaglep3-reporting\EC\2017-12-10-refined-times.txt</v>
      </c>
    </row>
    <row r="27" spans="3:24" x14ac:dyDescent="0.3">
      <c r="C27" t="s">
        <v>1059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%USERPROFILE%\Documents\GitHub\eaglep3-reporting\EC\2017-12-10-Enforcements.txt</v>
      </c>
    </row>
    <row r="28" spans="3:24" x14ac:dyDescent="0.3">
      <c r="C28" t="s">
        <v>1060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%USERPROFILE%\Documents\GitHub\eaglep3-reporting\EC\2017-12-10-Runs-refined.txt</v>
      </c>
    </row>
    <row r="29" spans="3:24" x14ac:dyDescent="0.3">
      <c r="C29" t="s">
        <v>1061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%USERPROFILE%\Documents\GitHub\eaglep3-reporting\EC\2017-12-10-Trips.txt</v>
      </c>
    </row>
    <row r="30" spans="3:24" x14ac:dyDescent="0.3">
      <c r="C30" t="s">
        <v>1062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%USERPROFILE%\Documents\GitHub\eaglep3-reporting\EC\2017-12-10-Weather.txt</v>
      </c>
    </row>
    <row r="31" spans="3:24" x14ac:dyDescent="0.3">
      <c r="C31" t="s">
        <v>1063</v>
      </c>
      <c r="J31" s="139" t="s">
        <v>188</v>
      </c>
      <c r="M31" s="153" t="s">
        <v>189</v>
      </c>
    </row>
    <row r="32" spans="3:24" x14ac:dyDescent="0.3">
      <c r="C32" t="s">
        <v>1064</v>
      </c>
    </row>
    <row r="33" spans="3:3" x14ac:dyDescent="0.3">
      <c r="C33" t="s">
        <v>1065</v>
      </c>
    </row>
    <row r="34" spans="3:3" x14ac:dyDescent="0.3">
      <c r="C34" s="223" t="s">
        <v>1067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2017-12-11T21:40:15Z</dcterms:modified>
</cp:coreProperties>
</file>