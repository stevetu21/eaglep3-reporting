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Enforcements!$A$6:$Z$61</definedName>
    <definedName name="_xlnm._FilterDatabase" localSheetId="2" hidden="1">'Missing Trips'!$B$2:$I$2</definedName>
    <definedName name="_xlnm._FilterDatabase" localSheetId="0" hidden="1">'Train Runs'!$A$12:$AG$241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Runs'!$A$12:$J$63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7" i="1" l="1"/>
  <c r="X158" i="1"/>
  <c r="X159" i="1"/>
  <c r="X160" i="1"/>
  <c r="X161" i="1"/>
  <c r="K157" i="1"/>
  <c r="L157" i="1"/>
  <c r="M157" i="1"/>
  <c r="V157" i="1"/>
  <c r="Y157" i="1"/>
  <c r="Z157" i="1"/>
  <c r="AA157" i="1" s="1"/>
  <c r="AB157" i="1"/>
  <c r="AC157" i="1"/>
  <c r="AD157" i="1"/>
  <c r="T157" i="1" s="1"/>
  <c r="AE157" i="1"/>
  <c r="AF157" i="1"/>
  <c r="AH157" i="1"/>
  <c r="X96" i="1"/>
  <c r="K95" i="1"/>
  <c r="L95" i="1"/>
  <c r="M95" i="1"/>
  <c r="T95" i="1"/>
  <c r="V95" i="1"/>
  <c r="Y95" i="1"/>
  <c r="Z95" i="1"/>
  <c r="AA95" i="1" s="1"/>
  <c r="AB95" i="1"/>
  <c r="AC95" i="1"/>
  <c r="AD95" i="1"/>
  <c r="AG95" i="1" s="1"/>
  <c r="AE95" i="1"/>
  <c r="AF95" i="1"/>
  <c r="AH95" i="1"/>
  <c r="K96" i="1"/>
  <c r="L96" i="1"/>
  <c r="M96" i="1"/>
  <c r="V96" i="1"/>
  <c r="Y96" i="1"/>
  <c r="Z96" i="1"/>
  <c r="AA96" i="1"/>
  <c r="AB96" i="1"/>
  <c r="AC96" i="1"/>
  <c r="AD96" i="1"/>
  <c r="T96" i="1" s="1"/>
  <c r="AE96" i="1"/>
  <c r="AF96" i="1"/>
  <c r="AH96" i="1"/>
  <c r="K82" i="1"/>
  <c r="L82" i="1"/>
  <c r="M82" i="1"/>
  <c r="V82" i="1"/>
  <c r="Y82" i="1"/>
  <c r="Z82" i="1"/>
  <c r="AA82" i="1" s="1"/>
  <c r="AB82" i="1"/>
  <c r="AC82" i="1"/>
  <c r="AD82" i="1"/>
  <c r="AG82" i="1" s="1"/>
  <c r="AE82" i="1"/>
  <c r="AF82" i="1"/>
  <c r="AH82" i="1"/>
  <c r="B4" i="6"/>
  <c r="B5" i="6"/>
  <c r="B6" i="6"/>
  <c r="B7" i="6"/>
  <c r="B8" i="6"/>
  <c r="B9" i="6"/>
  <c r="B3" i="6"/>
  <c r="AG157" i="1" l="1"/>
  <c r="W95" i="1"/>
  <c r="U95" i="1"/>
  <c r="S95" i="1" s="1"/>
  <c r="AI95" i="1"/>
  <c r="W96" i="1"/>
  <c r="AG96" i="1"/>
  <c r="T82" i="1"/>
  <c r="W82" i="1"/>
  <c r="AI82" i="1"/>
  <c r="U82" i="1"/>
  <c r="S82" i="1" s="1"/>
  <c r="K14" i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AA21" i="1" s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AA37" i="1" s="1"/>
  <c r="Z37" i="1"/>
  <c r="AB37" i="1"/>
  <c r="AC37" i="1"/>
  <c r="AD37" i="1"/>
  <c r="T37" i="1" s="1"/>
  <c r="AE37" i="1"/>
  <c r="AF37" i="1"/>
  <c r="K38" i="1"/>
  <c r="L38" i="1"/>
  <c r="M38" i="1"/>
  <c r="N38" i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A41" i="1" s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K60" i="1"/>
  <c r="L60" i="1"/>
  <c r="M60" i="1"/>
  <c r="N60" i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3" i="1"/>
  <c r="L83" i="1"/>
  <c r="M83" i="1"/>
  <c r="N83" i="1" s="1"/>
  <c r="V83" i="1"/>
  <c r="Y83" i="1"/>
  <c r="AA83" i="1" s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T86" i="1"/>
  <c r="V86" i="1"/>
  <c r="Y86" i="1"/>
  <c r="Z86" i="1"/>
  <c r="AB86" i="1"/>
  <c r="AC86" i="1"/>
  <c r="AD86" i="1"/>
  <c r="X86" i="1" s="1"/>
  <c r="AE86" i="1"/>
  <c r="AF86" i="1"/>
  <c r="K87" i="1"/>
  <c r="L87" i="1"/>
  <c r="M87" i="1"/>
  <c r="N87" i="1" s="1"/>
  <c r="V87" i="1"/>
  <c r="Y87" i="1"/>
  <c r="Z87" i="1"/>
  <c r="AA87" i="1" s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/>
  <c r="V92" i="1"/>
  <c r="Y92" i="1"/>
  <c r="Z92" i="1"/>
  <c r="AB92" i="1"/>
  <c r="AC92" i="1"/>
  <c r="AD92" i="1"/>
  <c r="AE92" i="1"/>
  <c r="AF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AA164" i="1" s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A165" i="1" s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K179" i="1"/>
  <c r="L179" i="1"/>
  <c r="M179" i="1"/>
  <c r="N179" i="1" s="1"/>
  <c r="T179" i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AA180" i="1" s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G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AA185" i="1" s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98" i="1"/>
  <c r="L198" i="1"/>
  <c r="M198" i="1"/>
  <c r="N198" i="1" s="1"/>
  <c r="T198" i="1"/>
  <c r="V198" i="1"/>
  <c r="Y198" i="1"/>
  <c r="Z198" i="1"/>
  <c r="AB198" i="1"/>
  <c r="AC198" i="1"/>
  <c r="AD198" i="1"/>
  <c r="AG198" i="1" s="1"/>
  <c r="AE198" i="1"/>
  <c r="AF198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/>
  <c r="V109" i="1"/>
  <c r="Y109" i="1"/>
  <c r="Z109" i="1"/>
  <c r="AA109" i="1" s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G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AA118" i="1" s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T121" i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/>
  <c r="V137" i="1"/>
  <c r="Y137" i="1"/>
  <c r="Z137" i="1"/>
  <c r="AA137" i="1" s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X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S17" i="3"/>
  <c r="R17" i="3" s="1"/>
  <c r="T17" i="3"/>
  <c r="U17" i="3"/>
  <c r="V17" i="3"/>
  <c r="S33" i="3"/>
  <c r="R33" i="3" s="1"/>
  <c r="T33" i="3"/>
  <c r="U33" i="3"/>
  <c r="V33" i="3"/>
  <c r="S7" i="3"/>
  <c r="R7" i="3" s="1"/>
  <c r="T7" i="3"/>
  <c r="U7" i="3"/>
  <c r="V7" i="3"/>
  <c r="W7" i="3"/>
  <c r="S22" i="3"/>
  <c r="T22" i="3"/>
  <c r="U22" i="3"/>
  <c r="V22" i="3"/>
  <c r="S23" i="3"/>
  <c r="T23" i="3"/>
  <c r="U23" i="3"/>
  <c r="V23" i="3"/>
  <c r="S14" i="3"/>
  <c r="T14" i="3"/>
  <c r="U14" i="3"/>
  <c r="V14" i="3"/>
  <c r="S34" i="3"/>
  <c r="R34" i="3" s="1"/>
  <c r="T34" i="3"/>
  <c r="U34" i="3"/>
  <c r="V34" i="3"/>
  <c r="S35" i="3"/>
  <c r="R35" i="3" s="1"/>
  <c r="T35" i="3"/>
  <c r="U35" i="3"/>
  <c r="W35" i="3" s="1"/>
  <c r="V35" i="3"/>
  <c r="S20" i="3"/>
  <c r="R20" i="3" s="1"/>
  <c r="T20" i="3"/>
  <c r="U20" i="3"/>
  <c r="W20" i="3" s="1"/>
  <c r="V20" i="3"/>
  <c r="S19" i="3"/>
  <c r="R19" i="3" s="1"/>
  <c r="T19" i="3"/>
  <c r="U19" i="3"/>
  <c r="V19" i="3"/>
  <c r="S24" i="3"/>
  <c r="R24" i="3" s="1"/>
  <c r="T24" i="3"/>
  <c r="U24" i="3"/>
  <c r="W24" i="3" s="1"/>
  <c r="V24" i="3"/>
  <c r="S13" i="3"/>
  <c r="R13" i="3" s="1"/>
  <c r="T13" i="3"/>
  <c r="U13" i="3"/>
  <c r="W13" i="3" s="1"/>
  <c r="V13" i="3"/>
  <c r="S11" i="3"/>
  <c r="R11" i="3" s="1"/>
  <c r="T11" i="3"/>
  <c r="U11" i="3"/>
  <c r="V11" i="3"/>
  <c r="S25" i="3"/>
  <c r="R25" i="3" s="1"/>
  <c r="T25" i="3"/>
  <c r="U25" i="3"/>
  <c r="V25" i="3"/>
  <c r="S26" i="3"/>
  <c r="R26" i="3" s="1"/>
  <c r="T26" i="3"/>
  <c r="U26" i="3"/>
  <c r="V26" i="3"/>
  <c r="S27" i="3"/>
  <c r="R27" i="3" s="1"/>
  <c r="T27" i="3"/>
  <c r="U27" i="3"/>
  <c r="V27" i="3"/>
  <c r="S28" i="3"/>
  <c r="R28" i="3" s="1"/>
  <c r="T28" i="3"/>
  <c r="U28" i="3"/>
  <c r="W28" i="3" s="1"/>
  <c r="V28" i="3"/>
  <c r="S29" i="3"/>
  <c r="R29" i="3" s="1"/>
  <c r="T29" i="3"/>
  <c r="U29" i="3"/>
  <c r="V29" i="3"/>
  <c r="S38" i="3"/>
  <c r="R38" i="3" s="1"/>
  <c r="T38" i="3"/>
  <c r="U38" i="3"/>
  <c r="V38" i="3"/>
  <c r="S36" i="3"/>
  <c r="R36" i="3" s="1"/>
  <c r="T36" i="3"/>
  <c r="U36" i="3"/>
  <c r="W36" i="3" s="1"/>
  <c r="V36" i="3"/>
  <c r="S30" i="3"/>
  <c r="R30" i="3" s="1"/>
  <c r="T30" i="3"/>
  <c r="U30" i="3"/>
  <c r="V30" i="3"/>
  <c r="S16" i="3"/>
  <c r="R16" i="3" s="1"/>
  <c r="T16" i="3"/>
  <c r="U16" i="3"/>
  <c r="V16" i="3"/>
  <c r="S39" i="3"/>
  <c r="R39" i="3" s="1"/>
  <c r="T39" i="3"/>
  <c r="U39" i="3"/>
  <c r="V39" i="3"/>
  <c r="S12" i="3"/>
  <c r="R12" i="3" s="1"/>
  <c r="T12" i="3"/>
  <c r="U12" i="3"/>
  <c r="V12" i="3"/>
  <c r="S31" i="3"/>
  <c r="R31" i="3" s="1"/>
  <c r="T31" i="3"/>
  <c r="U31" i="3"/>
  <c r="V31" i="3"/>
  <c r="S21" i="3"/>
  <c r="R21" i="3" s="1"/>
  <c r="T21" i="3"/>
  <c r="U21" i="3"/>
  <c r="V21" i="3"/>
  <c r="S15" i="3"/>
  <c r="R15" i="3" s="1"/>
  <c r="T15" i="3"/>
  <c r="U15" i="3"/>
  <c r="V15" i="3"/>
  <c r="S8" i="3"/>
  <c r="R8" i="3" s="1"/>
  <c r="T8" i="3"/>
  <c r="U8" i="3"/>
  <c r="V8" i="3"/>
  <c r="S37" i="3"/>
  <c r="R37" i="3" s="1"/>
  <c r="T37" i="3"/>
  <c r="U37" i="3"/>
  <c r="V37" i="3"/>
  <c r="S10" i="3"/>
  <c r="R10" i="3" s="1"/>
  <c r="T10" i="3"/>
  <c r="U10" i="3"/>
  <c r="V10" i="3"/>
  <c r="P41" i="3"/>
  <c r="Q41" i="3"/>
  <c r="S41" i="3"/>
  <c r="R41" i="3" s="1"/>
  <c r="T41" i="3"/>
  <c r="U41" i="3"/>
  <c r="V41" i="3"/>
  <c r="P42" i="3"/>
  <c r="Q42" i="3"/>
  <c r="S42" i="3"/>
  <c r="R42" i="3" s="1"/>
  <c r="T42" i="3"/>
  <c r="U42" i="3"/>
  <c r="V42" i="3"/>
  <c r="S18" i="3"/>
  <c r="R18" i="3" s="1"/>
  <c r="T18" i="3"/>
  <c r="U18" i="3"/>
  <c r="V18" i="3"/>
  <c r="W18" i="3"/>
  <c r="S9" i="3"/>
  <c r="R9" i="3" s="1"/>
  <c r="T9" i="3"/>
  <c r="U9" i="3"/>
  <c r="V9" i="3"/>
  <c r="S40" i="3"/>
  <c r="R40" i="3" s="1"/>
  <c r="T40" i="3"/>
  <c r="U40" i="3"/>
  <c r="V40" i="3"/>
  <c r="AI157" i="1" l="1"/>
  <c r="U157" i="1"/>
  <c r="S157" i="1" s="1"/>
  <c r="W157" i="1"/>
  <c r="T94" i="1"/>
  <c r="X95" i="1"/>
  <c r="T137" i="1"/>
  <c r="T97" i="1"/>
  <c r="X97" i="1"/>
  <c r="T98" i="1"/>
  <c r="X98" i="1"/>
  <c r="AI96" i="1"/>
  <c r="U96" i="1"/>
  <c r="S96" i="1" s="1"/>
  <c r="AG83" i="1"/>
  <c r="X83" i="1"/>
  <c r="T81" i="1"/>
  <c r="X82" i="1"/>
  <c r="X77" i="1"/>
  <c r="AG71" i="1"/>
  <c r="U71" i="1" s="1"/>
  <c r="AA61" i="1"/>
  <c r="AG80" i="1"/>
  <c r="U80" i="1" s="1"/>
  <c r="S80" i="1" s="1"/>
  <c r="T109" i="1"/>
  <c r="X56" i="1"/>
  <c r="W8" i="3"/>
  <c r="W15" i="3"/>
  <c r="W31" i="3"/>
  <c r="W12" i="3"/>
  <c r="W16" i="3"/>
  <c r="W30" i="3"/>
  <c r="W33" i="3"/>
  <c r="W40" i="3"/>
  <c r="W38" i="3"/>
  <c r="W17" i="3"/>
  <c r="W42" i="3"/>
  <c r="W10" i="3"/>
  <c r="W37" i="3"/>
  <c r="W27" i="3"/>
  <c r="W25" i="3"/>
  <c r="W11" i="3"/>
  <c r="AA194" i="1"/>
  <c r="AA149" i="1"/>
  <c r="W149" i="1" s="1"/>
  <c r="AA125" i="1"/>
  <c r="AG97" i="1"/>
  <c r="U97" i="1" s="1"/>
  <c r="S97" i="1" s="1"/>
  <c r="AA187" i="1"/>
  <c r="AA182" i="1"/>
  <c r="W182" i="1" s="1"/>
  <c r="AA93" i="1"/>
  <c r="AA168" i="1"/>
  <c r="AA34" i="1"/>
  <c r="AA30" i="1"/>
  <c r="AA16" i="1"/>
  <c r="AA174" i="1"/>
  <c r="AA91" i="1"/>
  <c r="AA79" i="1"/>
  <c r="AG67" i="1"/>
  <c r="U67" i="1" s="1"/>
  <c r="S67" i="1" s="1"/>
  <c r="AG21" i="1"/>
  <c r="W21" i="1" s="1"/>
  <c r="AA19" i="1"/>
  <c r="W180" i="1"/>
  <c r="AA197" i="1"/>
  <c r="AA146" i="1"/>
  <c r="T195" i="1"/>
  <c r="AA143" i="1"/>
  <c r="AA142" i="1"/>
  <c r="AA123" i="1"/>
  <c r="T182" i="1"/>
  <c r="AA80" i="1"/>
  <c r="X41" i="1"/>
  <c r="AA33" i="1"/>
  <c r="AA29" i="1"/>
  <c r="AA25" i="1"/>
  <c r="X171" i="1"/>
  <c r="AG99" i="1"/>
  <c r="T176" i="1"/>
  <c r="AA173" i="1"/>
  <c r="W173" i="1" s="1"/>
  <c r="AG171" i="1"/>
  <c r="AA65" i="1"/>
  <c r="AG55" i="1"/>
  <c r="U55" i="1" s="1"/>
  <c r="X45" i="1"/>
  <c r="AA28" i="1"/>
  <c r="W28" i="1" s="1"/>
  <c r="X21" i="1"/>
  <c r="AA18" i="1"/>
  <c r="AA17" i="1"/>
  <c r="AA148" i="1"/>
  <c r="AA130" i="1"/>
  <c r="AA196" i="1"/>
  <c r="T156" i="1"/>
  <c r="AA150" i="1"/>
  <c r="AA145" i="1"/>
  <c r="T141" i="1"/>
  <c r="AA138" i="1"/>
  <c r="AA134" i="1"/>
  <c r="AI134" i="1" s="1"/>
  <c r="AG132" i="1"/>
  <c r="AA127" i="1"/>
  <c r="AA121" i="1"/>
  <c r="AA114" i="1"/>
  <c r="AA110" i="1"/>
  <c r="AA104" i="1"/>
  <c r="X102" i="1"/>
  <c r="AA98" i="1"/>
  <c r="AA188" i="1"/>
  <c r="AA183" i="1"/>
  <c r="AA175" i="1"/>
  <c r="AG160" i="1"/>
  <c r="AI160" i="1" s="1"/>
  <c r="AA81" i="1"/>
  <c r="AA71" i="1"/>
  <c r="AA49" i="1"/>
  <c r="X33" i="1"/>
  <c r="AG152" i="1"/>
  <c r="AA199" i="1"/>
  <c r="AA158" i="1"/>
  <c r="AA154" i="1"/>
  <c r="AA141" i="1"/>
  <c r="AA139" i="1"/>
  <c r="T125" i="1"/>
  <c r="AA122" i="1"/>
  <c r="AA111" i="1"/>
  <c r="AA105" i="1"/>
  <c r="AA99" i="1"/>
  <c r="AA190" i="1"/>
  <c r="AA169" i="1"/>
  <c r="W169" i="1" s="1"/>
  <c r="AA84" i="1"/>
  <c r="AA57" i="1"/>
  <c r="W57" i="1" s="1"/>
  <c r="AA50" i="1"/>
  <c r="AI50" i="1" s="1"/>
  <c r="X36" i="1"/>
  <c r="AA26" i="1"/>
  <c r="X25" i="1"/>
  <c r="AG23" i="1"/>
  <c r="U23" i="1" s="1"/>
  <c r="S23" i="1" s="1"/>
  <c r="AA20" i="1"/>
  <c r="AA77" i="1"/>
  <c r="T64" i="1"/>
  <c r="AA46" i="1"/>
  <c r="AA45" i="1"/>
  <c r="AA43" i="1"/>
  <c r="T40" i="1"/>
  <c r="T32" i="1"/>
  <c r="U32" i="1" s="1"/>
  <c r="S32" i="1" s="1"/>
  <c r="T28" i="1"/>
  <c r="T20" i="1"/>
  <c r="U20" i="1" s="1"/>
  <c r="S20" i="1" s="1"/>
  <c r="T16" i="1"/>
  <c r="AA201" i="1"/>
  <c r="AA153" i="1"/>
  <c r="AI153" i="1" s="1"/>
  <c r="AA147" i="1"/>
  <c r="AA135" i="1"/>
  <c r="X133" i="1"/>
  <c r="AA119" i="1"/>
  <c r="X117" i="1"/>
  <c r="AA103" i="1"/>
  <c r="W103" i="1" s="1"/>
  <c r="AG191" i="1"/>
  <c r="AA181" i="1"/>
  <c r="AG177" i="1"/>
  <c r="U177" i="1" s="1"/>
  <c r="S177" i="1" s="1"/>
  <c r="X177" i="1"/>
  <c r="AA172" i="1"/>
  <c r="AA166" i="1"/>
  <c r="AA161" i="1"/>
  <c r="W161" i="1" s="1"/>
  <c r="T161" i="1"/>
  <c r="U161" i="1" s="1"/>
  <c r="S161" i="1" s="1"/>
  <c r="AA92" i="1"/>
  <c r="X90" i="1"/>
  <c r="AA89" i="1"/>
  <c r="AA88" i="1"/>
  <c r="AA73" i="1"/>
  <c r="AI73" i="1" s="1"/>
  <c r="X70" i="1"/>
  <c r="AA69" i="1"/>
  <c r="AA68" i="1"/>
  <c r="W68" i="1" s="1"/>
  <c r="T68" i="1"/>
  <c r="U68" i="1" s="1"/>
  <c r="S68" i="1" s="1"/>
  <c r="AG65" i="1"/>
  <c r="W65" i="1" s="1"/>
  <c r="AA64" i="1"/>
  <c r="W64" i="1" s="1"/>
  <c r="AA55" i="1"/>
  <c r="AA53" i="1"/>
  <c r="AI53" i="1" s="1"/>
  <c r="AA52" i="1"/>
  <c r="T52" i="1"/>
  <c r="AA42" i="1"/>
  <c r="W20" i="1"/>
  <c r="W16" i="1"/>
  <c r="T144" i="1"/>
  <c r="W183" i="1"/>
  <c r="AG37" i="1"/>
  <c r="W37" i="1" s="1"/>
  <c r="AI158" i="1"/>
  <c r="AA193" i="1"/>
  <c r="AA152" i="1"/>
  <c r="AI145" i="1"/>
  <c r="AI141" i="1"/>
  <c r="T136" i="1"/>
  <c r="AA133" i="1"/>
  <c r="W133" i="1" s="1"/>
  <c r="T133" i="1"/>
  <c r="AG130" i="1"/>
  <c r="U130" i="1" s="1"/>
  <c r="S130" i="1" s="1"/>
  <c r="AA128" i="1"/>
  <c r="AI125" i="1"/>
  <c r="AI121" i="1"/>
  <c r="T120" i="1"/>
  <c r="U120" i="1" s="1"/>
  <c r="S120" i="1" s="1"/>
  <c r="AA117" i="1"/>
  <c r="W117" i="1" s="1"/>
  <c r="T117" i="1"/>
  <c r="U117" i="1" s="1"/>
  <c r="S117" i="1" s="1"/>
  <c r="AG114" i="1"/>
  <c r="AA112" i="1"/>
  <c r="T103" i="1"/>
  <c r="AA100" i="1"/>
  <c r="AA97" i="1"/>
  <c r="AA177" i="1"/>
  <c r="W177" i="1" s="1"/>
  <c r="X93" i="1"/>
  <c r="T90" i="1"/>
  <c r="AA78" i="1"/>
  <c r="T77" i="1"/>
  <c r="X76" i="1"/>
  <c r="AG73" i="1"/>
  <c r="X72" i="1"/>
  <c r="AG69" i="1"/>
  <c r="X68" i="1"/>
  <c r="AA62" i="1"/>
  <c r="AA59" i="1"/>
  <c r="AG53" i="1"/>
  <c r="X52" i="1"/>
  <c r="X50" i="1"/>
  <c r="X24" i="1"/>
  <c r="W187" i="1"/>
  <c r="T196" i="1"/>
  <c r="T145" i="1"/>
  <c r="AA186" i="1"/>
  <c r="W186" i="1" s="1"/>
  <c r="T186" i="1"/>
  <c r="AA184" i="1"/>
  <c r="W184" i="1" s="1"/>
  <c r="W61" i="1"/>
  <c r="AI29" i="1"/>
  <c r="AI17" i="1"/>
  <c r="T201" i="1"/>
  <c r="U201" i="1" s="1"/>
  <c r="S201" i="1" s="1"/>
  <c r="AA200" i="1"/>
  <c r="T158" i="1"/>
  <c r="X149" i="1"/>
  <c r="AG148" i="1"/>
  <c r="W148" i="1" s="1"/>
  <c r="AA144" i="1"/>
  <c r="W144" i="1" s="1"/>
  <c r="AA140" i="1"/>
  <c r="X129" i="1"/>
  <c r="AG128" i="1"/>
  <c r="W128" i="1" s="1"/>
  <c r="AG126" i="1"/>
  <c r="U126" i="1" s="1"/>
  <c r="S126" i="1" s="1"/>
  <c r="AA124" i="1"/>
  <c r="X113" i="1"/>
  <c r="AG112" i="1"/>
  <c r="W112" i="1" s="1"/>
  <c r="AG110" i="1"/>
  <c r="AA108" i="1"/>
  <c r="W104" i="1"/>
  <c r="AA101" i="1"/>
  <c r="U191" i="1"/>
  <c r="S191" i="1" s="1"/>
  <c r="U183" i="1"/>
  <c r="S183" i="1" s="1"/>
  <c r="X180" i="1"/>
  <c r="AA179" i="1"/>
  <c r="W179" i="1" s="1"/>
  <c r="AA170" i="1"/>
  <c r="X164" i="1"/>
  <c r="AG164" i="1"/>
  <c r="U164" i="1" s="1"/>
  <c r="S164" i="1" s="1"/>
  <c r="X165" i="1"/>
  <c r="T159" i="1"/>
  <c r="AG159" i="1"/>
  <c r="W83" i="1"/>
  <c r="AI83" i="1"/>
  <c r="AI61" i="1"/>
  <c r="X201" i="1"/>
  <c r="AG200" i="1"/>
  <c r="AA195" i="1"/>
  <c r="W195" i="1" s="1"/>
  <c r="X196" i="1"/>
  <c r="AA156" i="1"/>
  <c r="W156" i="1" s="1"/>
  <c r="AA155" i="1"/>
  <c r="T153" i="1"/>
  <c r="U153" i="1" s="1"/>
  <c r="S153" i="1" s="1"/>
  <c r="X145" i="1"/>
  <c r="X141" i="1"/>
  <c r="AG140" i="1"/>
  <c r="U140" i="1" s="1"/>
  <c r="S140" i="1" s="1"/>
  <c r="AG138" i="1"/>
  <c r="U138" i="1" s="1"/>
  <c r="S138" i="1" s="1"/>
  <c r="AA136" i="1"/>
  <c r="W136" i="1" s="1"/>
  <c r="X125" i="1"/>
  <c r="AG124" i="1"/>
  <c r="U124" i="1" s="1"/>
  <c r="S124" i="1" s="1"/>
  <c r="AG122" i="1"/>
  <c r="U122" i="1" s="1"/>
  <c r="S122" i="1" s="1"/>
  <c r="AA120" i="1"/>
  <c r="W120" i="1" s="1"/>
  <c r="X109" i="1"/>
  <c r="AG108" i="1"/>
  <c r="AI108" i="1" s="1"/>
  <c r="AG106" i="1"/>
  <c r="W106" i="1" s="1"/>
  <c r="AG101" i="1"/>
  <c r="U101" i="1" s="1"/>
  <c r="S101" i="1" s="1"/>
  <c r="T192" i="1"/>
  <c r="AA189" i="1"/>
  <c r="T187" i="1"/>
  <c r="U187" i="1" s="1"/>
  <c r="S187" i="1" s="1"/>
  <c r="X186" i="1"/>
  <c r="AG185" i="1"/>
  <c r="U185" i="1" s="1"/>
  <c r="T170" i="1"/>
  <c r="X170" i="1"/>
  <c r="AG170" i="1"/>
  <c r="AI170" i="1" s="1"/>
  <c r="T163" i="1"/>
  <c r="AG163" i="1"/>
  <c r="W91" i="1"/>
  <c r="AI91" i="1"/>
  <c r="W87" i="1"/>
  <c r="AI87" i="1"/>
  <c r="W49" i="1"/>
  <c r="W152" i="1"/>
  <c r="AA151" i="1"/>
  <c r="T149" i="1"/>
  <c r="U149" i="1" s="1"/>
  <c r="S149" i="1" s="1"/>
  <c r="X137" i="1"/>
  <c r="AG134" i="1"/>
  <c r="AA132" i="1"/>
  <c r="W132" i="1" s="1"/>
  <c r="AA131" i="1"/>
  <c r="AA129" i="1"/>
  <c r="AI129" i="1" s="1"/>
  <c r="T129" i="1"/>
  <c r="U129" i="1" s="1"/>
  <c r="S129" i="1" s="1"/>
  <c r="X121" i="1"/>
  <c r="AG118" i="1"/>
  <c r="AI118" i="1" s="1"/>
  <c r="AA116" i="1"/>
  <c r="W116" i="1" s="1"/>
  <c r="AA115" i="1"/>
  <c r="AA113" i="1"/>
  <c r="T113" i="1"/>
  <c r="U113" i="1" s="1"/>
  <c r="S113" i="1" s="1"/>
  <c r="X105" i="1"/>
  <c r="AA198" i="1"/>
  <c r="W198" i="1" s="1"/>
  <c r="AA192" i="1"/>
  <c r="W192" i="1" s="1"/>
  <c r="AA191" i="1"/>
  <c r="AG189" i="1"/>
  <c r="U189" i="1" s="1"/>
  <c r="X182" i="1"/>
  <c r="AG181" i="1"/>
  <c r="W181" i="1" s="1"/>
  <c r="T180" i="1"/>
  <c r="U180" i="1" s="1"/>
  <c r="S180" i="1" s="1"/>
  <c r="AA178" i="1"/>
  <c r="X168" i="1"/>
  <c r="AG168" i="1"/>
  <c r="U168" i="1" s="1"/>
  <c r="U73" i="1"/>
  <c r="S73" i="1" s="1"/>
  <c r="AI57" i="1"/>
  <c r="AI49" i="1"/>
  <c r="T87" i="1"/>
  <c r="U87" i="1" s="1"/>
  <c r="S87" i="1" s="1"/>
  <c r="T78" i="1"/>
  <c r="U78" i="1" s="1"/>
  <c r="S78" i="1" s="1"/>
  <c r="AA74" i="1"/>
  <c r="AI74" i="1" s="1"/>
  <c r="U65" i="1"/>
  <c r="S65" i="1" s="1"/>
  <c r="AA60" i="1"/>
  <c r="W60" i="1" s="1"/>
  <c r="T60" i="1"/>
  <c r="U60" i="1" s="1"/>
  <c r="S60" i="1" s="1"/>
  <c r="AA54" i="1"/>
  <c r="T49" i="1"/>
  <c r="U49" i="1" s="1"/>
  <c r="S49" i="1" s="1"/>
  <c r="AA44" i="1"/>
  <c r="W44" i="1" s="1"/>
  <c r="T44" i="1"/>
  <c r="U44" i="1" s="1"/>
  <c r="S44" i="1" s="1"/>
  <c r="AG41" i="1"/>
  <c r="W41" i="1" s="1"/>
  <c r="AA38" i="1"/>
  <c r="T36" i="1"/>
  <c r="AG33" i="1"/>
  <c r="X32" i="1"/>
  <c r="X29" i="1"/>
  <c r="X28" i="1"/>
  <c r="AA24" i="1"/>
  <c r="T24" i="1"/>
  <c r="X20" i="1"/>
  <c r="X17" i="1"/>
  <c r="AA159" i="1"/>
  <c r="W159" i="1" s="1"/>
  <c r="T91" i="1"/>
  <c r="U91" i="1" s="1"/>
  <c r="S91" i="1" s="1"/>
  <c r="AA86" i="1"/>
  <c r="AG85" i="1"/>
  <c r="U85" i="1" s="1"/>
  <c r="S85" i="1" s="1"/>
  <c r="AG81" i="1"/>
  <c r="U81" i="1" s="1"/>
  <c r="S81" i="1" s="1"/>
  <c r="X81" i="1"/>
  <c r="T57" i="1"/>
  <c r="U57" i="1" s="1"/>
  <c r="S57" i="1" s="1"/>
  <c r="U53" i="1"/>
  <c r="S53" i="1" s="1"/>
  <c r="T45" i="1"/>
  <c r="W29" i="1"/>
  <c r="T25" i="1"/>
  <c r="W17" i="1"/>
  <c r="AA90" i="1"/>
  <c r="AG89" i="1"/>
  <c r="U89" i="1" s="1"/>
  <c r="X87" i="1"/>
  <c r="AG86" i="1"/>
  <c r="U86" i="1" s="1"/>
  <c r="S86" i="1" s="1"/>
  <c r="W80" i="1"/>
  <c r="X78" i="1"/>
  <c r="AG77" i="1"/>
  <c r="U77" i="1" s="1"/>
  <c r="S77" i="1" s="1"/>
  <c r="T76" i="1"/>
  <c r="U76" i="1" s="1"/>
  <c r="S76" i="1" s="1"/>
  <c r="AI65" i="1"/>
  <c r="AA63" i="1"/>
  <c r="T61" i="1"/>
  <c r="U61" i="1" s="1"/>
  <c r="S61" i="1" s="1"/>
  <c r="X60" i="1"/>
  <c r="AG59" i="1"/>
  <c r="U59" i="1" s="1"/>
  <c r="S59" i="1" s="1"/>
  <c r="AG45" i="1"/>
  <c r="W45" i="1" s="1"/>
  <c r="U40" i="1"/>
  <c r="S40" i="1" s="1"/>
  <c r="X37" i="1"/>
  <c r="AG36" i="1"/>
  <c r="T29" i="1"/>
  <c r="U29" i="1" s="1"/>
  <c r="S29" i="1" s="1"/>
  <c r="AG25" i="1"/>
  <c r="AG24" i="1"/>
  <c r="AI24" i="1" s="1"/>
  <c r="T17" i="1"/>
  <c r="U17" i="1" s="1"/>
  <c r="S17" i="1" s="1"/>
  <c r="AG15" i="1"/>
  <c r="U15" i="1" s="1"/>
  <c r="AA176" i="1"/>
  <c r="W176" i="1" s="1"/>
  <c r="AA171" i="1"/>
  <c r="W171" i="1" s="1"/>
  <c r="T93" i="1"/>
  <c r="AA167" i="1"/>
  <c r="W167" i="1" s="1"/>
  <c r="T165" i="1"/>
  <c r="AA163" i="1"/>
  <c r="W163" i="1" s="1"/>
  <c r="AA162" i="1"/>
  <c r="AA160" i="1"/>
  <c r="X91" i="1"/>
  <c r="AG90" i="1"/>
  <c r="U90" i="1" s="1"/>
  <c r="S90" i="1" s="1"/>
  <c r="AA85" i="1"/>
  <c r="T83" i="1"/>
  <c r="U83" i="1" s="1"/>
  <c r="S83" i="1" s="1"/>
  <c r="AA76" i="1"/>
  <c r="W76" i="1" s="1"/>
  <c r="AA75" i="1"/>
  <c r="W75" i="1" s="1"/>
  <c r="AA72" i="1"/>
  <c r="AA70" i="1"/>
  <c r="AI69" i="1"/>
  <c r="U69" i="1"/>
  <c r="S69" i="1" s="1"/>
  <c r="AA67" i="1"/>
  <c r="AA66" i="1"/>
  <c r="X64" i="1"/>
  <c r="AG63" i="1"/>
  <c r="U63" i="1" s="1"/>
  <c r="S63" i="1" s="1"/>
  <c r="AA56" i="1"/>
  <c r="W56" i="1" s="1"/>
  <c r="T56" i="1"/>
  <c r="AA51" i="1"/>
  <c r="W51" i="1" s="1"/>
  <c r="T50" i="1"/>
  <c r="U50" i="1" s="1"/>
  <c r="S50" i="1" s="1"/>
  <c r="AA47" i="1"/>
  <c r="AI47" i="1" s="1"/>
  <c r="AG31" i="1"/>
  <c r="U31" i="1" s="1"/>
  <c r="S31" i="1" s="1"/>
  <c r="AG27" i="1"/>
  <c r="U27" i="1" s="1"/>
  <c r="S27" i="1" s="1"/>
  <c r="AA22" i="1"/>
  <c r="AG19" i="1"/>
  <c r="U19" i="1" s="1"/>
  <c r="S19" i="1" s="1"/>
  <c r="U16" i="1"/>
  <c r="S16" i="1" s="1"/>
  <c r="X16" i="1"/>
  <c r="AI201" i="1"/>
  <c r="AI200" i="1"/>
  <c r="U137" i="1"/>
  <c r="S137" i="1" s="1"/>
  <c r="AI173" i="1"/>
  <c r="U121" i="1"/>
  <c r="S121" i="1" s="1"/>
  <c r="AI156" i="1"/>
  <c r="W201" i="1"/>
  <c r="U200" i="1"/>
  <c r="S200" i="1" s="1"/>
  <c r="T199" i="1"/>
  <c r="X199" i="1"/>
  <c r="AG199" i="1"/>
  <c r="X200" i="1"/>
  <c r="W196" i="1"/>
  <c r="AI185" i="1"/>
  <c r="W145" i="1"/>
  <c r="U133" i="1"/>
  <c r="S133" i="1" s="1"/>
  <c r="AI169" i="1"/>
  <c r="AI152" i="1"/>
  <c r="W113" i="1"/>
  <c r="W191" i="1"/>
  <c r="U196" i="1"/>
  <c r="S196" i="1" s="1"/>
  <c r="W158" i="1"/>
  <c r="U145" i="1"/>
  <c r="S145" i="1" s="1"/>
  <c r="AI181" i="1"/>
  <c r="W141" i="1"/>
  <c r="AI165" i="1"/>
  <c r="W125" i="1"/>
  <c r="W109" i="1"/>
  <c r="W200" i="1"/>
  <c r="U158" i="1"/>
  <c r="S158" i="1" s="1"/>
  <c r="W153" i="1"/>
  <c r="U141" i="1"/>
  <c r="S141" i="1" s="1"/>
  <c r="AI177" i="1"/>
  <c r="W137" i="1"/>
  <c r="U125" i="1"/>
  <c r="S125" i="1" s="1"/>
  <c r="AI161" i="1"/>
  <c r="W121" i="1"/>
  <c r="U109" i="1"/>
  <c r="S109" i="1" s="1"/>
  <c r="AI144" i="1"/>
  <c r="U195" i="1"/>
  <c r="S195" i="1" s="1"/>
  <c r="U156" i="1"/>
  <c r="S156" i="1" s="1"/>
  <c r="U132" i="1"/>
  <c r="S132" i="1" s="1"/>
  <c r="U128" i="1"/>
  <c r="S128" i="1" s="1"/>
  <c r="U116" i="1"/>
  <c r="S116" i="1" s="1"/>
  <c r="U112" i="1"/>
  <c r="S112" i="1" s="1"/>
  <c r="U198" i="1"/>
  <c r="S198" i="1" s="1"/>
  <c r="X192" i="1"/>
  <c r="AI120" i="1"/>
  <c r="U182" i="1"/>
  <c r="S182" i="1" s="1"/>
  <c r="W172" i="1"/>
  <c r="AI109" i="1"/>
  <c r="U152" i="1"/>
  <c r="S152" i="1" s="1"/>
  <c r="U136" i="1"/>
  <c r="S136" i="1" s="1"/>
  <c r="X195" i="1"/>
  <c r="AG194" i="1"/>
  <c r="X156" i="1"/>
  <c r="AG155" i="1"/>
  <c r="AI155" i="1" s="1"/>
  <c r="X152" i="1"/>
  <c r="AG151" i="1"/>
  <c r="AI151" i="1" s="1"/>
  <c r="X148" i="1"/>
  <c r="AG147" i="1"/>
  <c r="W147" i="1" s="1"/>
  <c r="X144" i="1"/>
  <c r="AG143" i="1"/>
  <c r="AI143" i="1" s="1"/>
  <c r="X140" i="1"/>
  <c r="AG139" i="1"/>
  <c r="X136" i="1"/>
  <c r="AG135" i="1"/>
  <c r="X132" i="1"/>
  <c r="AG131" i="1"/>
  <c r="W131" i="1" s="1"/>
  <c r="X128" i="1"/>
  <c r="AG127" i="1"/>
  <c r="AI127" i="1" s="1"/>
  <c r="X124" i="1"/>
  <c r="AG123" i="1"/>
  <c r="W123" i="1" s="1"/>
  <c r="X120" i="1"/>
  <c r="AG119" i="1"/>
  <c r="AI119" i="1" s="1"/>
  <c r="X116" i="1"/>
  <c r="AG115" i="1"/>
  <c r="W115" i="1" s="1"/>
  <c r="X112" i="1"/>
  <c r="AG111" i="1"/>
  <c r="X108" i="1"/>
  <c r="AG107" i="1"/>
  <c r="W107" i="1" s="1"/>
  <c r="T104" i="1"/>
  <c r="U104" i="1" s="1"/>
  <c r="S104" i="1" s="1"/>
  <c r="X104" i="1"/>
  <c r="X103" i="1"/>
  <c r="X198" i="1"/>
  <c r="AA102" i="1"/>
  <c r="X100" i="1"/>
  <c r="U99" i="1"/>
  <c r="S99" i="1" s="1"/>
  <c r="AG190" i="1"/>
  <c r="X191" i="1"/>
  <c r="U181" i="1"/>
  <c r="S181" i="1" s="1"/>
  <c r="U144" i="1"/>
  <c r="S144" i="1" s="1"/>
  <c r="AG197" i="1"/>
  <c r="AI197" i="1" s="1"/>
  <c r="AI196" i="1"/>
  <c r="X194" i="1"/>
  <c r="AG193" i="1"/>
  <c r="AI193" i="1" s="1"/>
  <c r="AI192" i="1"/>
  <c r="X155" i="1"/>
  <c r="AG154" i="1"/>
  <c r="W154" i="1" s="1"/>
  <c r="X151" i="1"/>
  <c r="AG150" i="1"/>
  <c r="AI184" i="1"/>
  <c r="X147" i="1"/>
  <c r="AG146" i="1"/>
  <c r="AI180" i="1"/>
  <c r="X143" i="1"/>
  <c r="AG142" i="1"/>
  <c r="W142" i="1" s="1"/>
  <c r="AI176" i="1"/>
  <c r="X139" i="1"/>
  <c r="AI172" i="1"/>
  <c r="X135" i="1"/>
  <c r="AI168" i="1"/>
  <c r="X131" i="1"/>
  <c r="X127" i="1"/>
  <c r="X123" i="1"/>
  <c r="X119" i="1"/>
  <c r="X115" i="1"/>
  <c r="X111" i="1"/>
  <c r="X107" i="1"/>
  <c r="AI137" i="1"/>
  <c r="T102" i="1"/>
  <c r="AG98" i="1"/>
  <c r="X99" i="1"/>
  <c r="X190" i="1"/>
  <c r="U186" i="1"/>
  <c r="S186" i="1" s="1"/>
  <c r="X197" i="1"/>
  <c r="X193" i="1"/>
  <c r="X154" i="1"/>
  <c r="X150" i="1"/>
  <c r="X146" i="1"/>
  <c r="X142" i="1"/>
  <c r="X138" i="1"/>
  <c r="X134" i="1"/>
  <c r="X130" i="1"/>
  <c r="X126" i="1"/>
  <c r="X122" i="1"/>
  <c r="X118" i="1"/>
  <c r="X114" i="1"/>
  <c r="X110" i="1"/>
  <c r="X106" i="1"/>
  <c r="AG105" i="1"/>
  <c r="AI105" i="1" s="1"/>
  <c r="U103" i="1"/>
  <c r="S103" i="1" s="1"/>
  <c r="AG102" i="1"/>
  <c r="W100" i="1"/>
  <c r="T100" i="1"/>
  <c r="U100" i="1" s="1"/>
  <c r="S100" i="1" s="1"/>
  <c r="U192" i="1"/>
  <c r="S192" i="1" s="1"/>
  <c r="S189" i="1"/>
  <c r="AG188" i="1"/>
  <c r="W188" i="1" s="1"/>
  <c r="T188" i="1"/>
  <c r="X188" i="1"/>
  <c r="S185" i="1"/>
  <c r="X184" i="1"/>
  <c r="T184" i="1"/>
  <c r="U184" i="1" s="1"/>
  <c r="S184" i="1" s="1"/>
  <c r="U179" i="1"/>
  <c r="S179" i="1" s="1"/>
  <c r="U176" i="1"/>
  <c r="S176" i="1" s="1"/>
  <c r="S89" i="1"/>
  <c r="AI89" i="1"/>
  <c r="T88" i="1"/>
  <c r="X88" i="1"/>
  <c r="AG88" i="1"/>
  <c r="AI78" i="1"/>
  <c r="X187" i="1"/>
  <c r="X183" i="1"/>
  <c r="X179" i="1"/>
  <c r="AG94" i="1"/>
  <c r="W94" i="1" s="1"/>
  <c r="X176" i="1"/>
  <c r="AG175" i="1"/>
  <c r="T172" i="1"/>
  <c r="U172" i="1" s="1"/>
  <c r="S172" i="1" s="1"/>
  <c r="U171" i="1"/>
  <c r="S171" i="1" s="1"/>
  <c r="T169" i="1"/>
  <c r="U169" i="1" s="1"/>
  <c r="S169" i="1" s="1"/>
  <c r="X169" i="1"/>
  <c r="T166" i="1"/>
  <c r="X166" i="1"/>
  <c r="AG166" i="1"/>
  <c r="AI166" i="1" s="1"/>
  <c r="W165" i="1"/>
  <c r="T84" i="1"/>
  <c r="X84" i="1"/>
  <c r="AG84" i="1"/>
  <c r="W84" i="1" s="1"/>
  <c r="AI117" i="1"/>
  <c r="X94" i="1"/>
  <c r="AG178" i="1"/>
  <c r="AI113" i="1"/>
  <c r="X175" i="1"/>
  <c r="AG174" i="1"/>
  <c r="T173" i="1"/>
  <c r="U173" i="1" s="1"/>
  <c r="S173" i="1" s="1"/>
  <c r="X173" i="1"/>
  <c r="X172" i="1"/>
  <c r="W170" i="1"/>
  <c r="U170" i="1"/>
  <c r="S170" i="1" s="1"/>
  <c r="W93" i="1"/>
  <c r="T167" i="1"/>
  <c r="U167" i="1" s="1"/>
  <c r="S167" i="1" s="1"/>
  <c r="X167" i="1"/>
  <c r="U165" i="1"/>
  <c r="S165" i="1" s="1"/>
  <c r="AI100" i="1"/>
  <c r="AI99" i="1"/>
  <c r="T162" i="1"/>
  <c r="X162" i="1"/>
  <c r="AG162" i="1"/>
  <c r="AI162" i="1" s="1"/>
  <c r="X101" i="1"/>
  <c r="X189" i="1"/>
  <c r="X185" i="1"/>
  <c r="X181" i="1"/>
  <c r="X178" i="1"/>
  <c r="X174" i="1"/>
  <c r="U93" i="1"/>
  <c r="S93" i="1" s="1"/>
  <c r="S168" i="1"/>
  <c r="AI104" i="1"/>
  <c r="AI93" i="1"/>
  <c r="T92" i="1"/>
  <c r="X92" i="1"/>
  <c r="AG92" i="1"/>
  <c r="W78" i="1"/>
  <c r="S71" i="1"/>
  <c r="W52" i="1"/>
  <c r="X163" i="1"/>
  <c r="X89" i="1"/>
  <c r="X85" i="1"/>
  <c r="AI81" i="1"/>
  <c r="X80" i="1"/>
  <c r="AG79" i="1"/>
  <c r="X74" i="1"/>
  <c r="U64" i="1"/>
  <c r="S64" i="1" s="1"/>
  <c r="AI64" i="1"/>
  <c r="U56" i="1"/>
  <c r="S56" i="1" s="1"/>
  <c r="U52" i="1"/>
  <c r="S52" i="1" s="1"/>
  <c r="AI52" i="1"/>
  <c r="AI80" i="1"/>
  <c r="X79" i="1"/>
  <c r="AI76" i="1"/>
  <c r="T75" i="1"/>
  <c r="U75" i="1" s="1"/>
  <c r="S75" i="1" s="1"/>
  <c r="X75" i="1"/>
  <c r="AG72" i="1"/>
  <c r="X73" i="1"/>
  <c r="W70" i="1"/>
  <c r="T70" i="1"/>
  <c r="U70" i="1" s="1"/>
  <c r="S70" i="1" s="1"/>
  <c r="T66" i="1"/>
  <c r="X66" i="1"/>
  <c r="AG66" i="1"/>
  <c r="T62" i="1"/>
  <c r="X62" i="1"/>
  <c r="AG62" i="1"/>
  <c r="W62" i="1" s="1"/>
  <c r="AI59" i="1"/>
  <c r="T58" i="1"/>
  <c r="X58" i="1"/>
  <c r="AG58" i="1"/>
  <c r="W58" i="1" s="1"/>
  <c r="S55" i="1"/>
  <c r="T54" i="1"/>
  <c r="X54" i="1"/>
  <c r="AG54" i="1"/>
  <c r="T74" i="1"/>
  <c r="U74" i="1" s="1"/>
  <c r="S74" i="1" s="1"/>
  <c r="AI70" i="1"/>
  <c r="X71" i="1"/>
  <c r="X67" i="1"/>
  <c r="X63" i="1"/>
  <c r="X59" i="1"/>
  <c r="X55" i="1"/>
  <c r="AG48" i="1"/>
  <c r="X48" i="1"/>
  <c r="W47" i="1"/>
  <c r="T46" i="1"/>
  <c r="X46" i="1"/>
  <c r="AG46" i="1"/>
  <c r="T43" i="1"/>
  <c r="X43" i="1"/>
  <c r="X40" i="1"/>
  <c r="AA32" i="1"/>
  <c r="W32" i="1" s="1"/>
  <c r="AA31" i="1"/>
  <c r="U28" i="1"/>
  <c r="S28" i="1" s="1"/>
  <c r="T22" i="1"/>
  <c r="X22" i="1"/>
  <c r="AG22" i="1"/>
  <c r="W22" i="1" s="1"/>
  <c r="AA15" i="1"/>
  <c r="W15" i="1" s="1"/>
  <c r="T47" i="1"/>
  <c r="U47" i="1" s="1"/>
  <c r="S47" i="1" s="1"/>
  <c r="X47" i="1"/>
  <c r="AI44" i="1"/>
  <c r="X44" i="1"/>
  <c r="AG43" i="1"/>
  <c r="W43" i="1" s="1"/>
  <c r="AA36" i="1"/>
  <c r="AA35" i="1"/>
  <c r="W35" i="1" s="1"/>
  <c r="T34" i="1"/>
  <c r="X34" i="1"/>
  <c r="AG34" i="1"/>
  <c r="AA27" i="1"/>
  <c r="T18" i="1"/>
  <c r="X18" i="1"/>
  <c r="AG18" i="1"/>
  <c r="X69" i="1"/>
  <c r="X65" i="1"/>
  <c r="X61" i="1"/>
  <c r="X57" i="1"/>
  <c r="X53" i="1"/>
  <c r="T51" i="1"/>
  <c r="U51" i="1" s="1"/>
  <c r="S51" i="1" s="1"/>
  <c r="X51" i="1"/>
  <c r="X49" i="1"/>
  <c r="AA48" i="1"/>
  <c r="AA40" i="1"/>
  <c r="W40" i="1" s="1"/>
  <c r="AA39" i="1"/>
  <c r="W39" i="1" s="1"/>
  <c r="T38" i="1"/>
  <c r="X38" i="1"/>
  <c r="AG38" i="1"/>
  <c r="T35" i="1"/>
  <c r="U35" i="1" s="1"/>
  <c r="S35" i="1" s="1"/>
  <c r="X35" i="1"/>
  <c r="T30" i="1"/>
  <c r="X30" i="1"/>
  <c r="AG30" i="1"/>
  <c r="AA23" i="1"/>
  <c r="S15" i="1"/>
  <c r="T14" i="1"/>
  <c r="AG14" i="1"/>
  <c r="T42" i="1"/>
  <c r="X42" i="1"/>
  <c r="AG42" i="1"/>
  <c r="T39" i="1"/>
  <c r="U39" i="1" s="1"/>
  <c r="S39" i="1" s="1"/>
  <c r="X39" i="1"/>
  <c r="T26" i="1"/>
  <c r="X26" i="1"/>
  <c r="AG26" i="1"/>
  <c r="X31" i="1"/>
  <c r="X27" i="1"/>
  <c r="X23" i="1"/>
  <c r="AI20" i="1"/>
  <c r="X19" i="1"/>
  <c r="AI16" i="1"/>
  <c r="X15" i="1"/>
  <c r="W9" i="3"/>
  <c r="W41" i="3"/>
  <c r="W39" i="3"/>
  <c r="W29" i="3"/>
  <c r="W26" i="3"/>
  <c r="W19" i="3"/>
  <c r="W34" i="3"/>
  <c r="W14" i="3"/>
  <c r="W22" i="3"/>
  <c r="W21" i="3"/>
  <c r="W23" i="3"/>
  <c r="R14" i="3"/>
  <c r="R23" i="3"/>
  <c r="R22" i="3"/>
  <c r="Q7" i="3"/>
  <c r="P7" i="3"/>
  <c r="F3" i="6"/>
  <c r="G3" i="6"/>
  <c r="H3" i="6"/>
  <c r="I3" i="6"/>
  <c r="F4" i="6"/>
  <c r="G4" i="6"/>
  <c r="H4" i="6"/>
  <c r="I4" i="6"/>
  <c r="F5" i="6"/>
  <c r="G5" i="6"/>
  <c r="H5" i="6"/>
  <c r="I5" i="6"/>
  <c r="F6" i="6"/>
  <c r="G6" i="6"/>
  <c r="H6" i="6"/>
  <c r="I6" i="6"/>
  <c r="F7" i="6"/>
  <c r="G7" i="6"/>
  <c r="H7" i="6"/>
  <c r="I7" i="6"/>
  <c r="F8" i="6"/>
  <c r="G8" i="6"/>
  <c r="H8" i="6"/>
  <c r="I8" i="6"/>
  <c r="F9" i="6"/>
  <c r="G9" i="6"/>
  <c r="H9" i="6"/>
  <c r="I9" i="6"/>
  <c r="Q28" i="3"/>
  <c r="P28" i="3"/>
  <c r="S32" i="3"/>
  <c r="R32" i="3" s="1"/>
  <c r="T32" i="3"/>
  <c r="U32" i="3"/>
  <c r="V32" i="3"/>
  <c r="Q22" i="3"/>
  <c r="P22" i="3"/>
  <c r="Q23" i="3"/>
  <c r="P23" i="3"/>
  <c r="Q24" i="3"/>
  <c r="P24" i="3"/>
  <c r="Q19" i="3"/>
  <c r="P19" i="3"/>
  <c r="Q29" i="3"/>
  <c r="P29" i="3"/>
  <c r="Q30" i="3"/>
  <c r="P30" i="3"/>
  <c r="Q36" i="3"/>
  <c r="P36" i="3"/>
  <c r="Q21" i="3"/>
  <c r="P21" i="3"/>
  <c r="Q15" i="3"/>
  <c r="P15" i="3"/>
  <c r="Q38" i="3"/>
  <c r="P38" i="3"/>
  <c r="Q39" i="3"/>
  <c r="P39" i="3"/>
  <c r="P32" i="3"/>
  <c r="Q37" i="3"/>
  <c r="P37" i="3"/>
  <c r="Q40" i="3"/>
  <c r="P40" i="3"/>
  <c r="Q8" i="3"/>
  <c r="P8" i="3"/>
  <c r="Q10" i="3"/>
  <c r="P10" i="3"/>
  <c r="Q9" i="3"/>
  <c r="P9" i="3"/>
  <c r="Q18" i="3"/>
  <c r="P18" i="3"/>
  <c r="W31" i="1" l="1"/>
  <c r="AI86" i="1"/>
  <c r="U118" i="1"/>
  <c r="S118" i="1" s="1"/>
  <c r="W67" i="1"/>
  <c r="U160" i="1"/>
  <c r="S160" i="1" s="1"/>
  <c r="AI75" i="1"/>
  <c r="AI124" i="1"/>
  <c r="AI164" i="1"/>
  <c r="AI37" i="1"/>
  <c r="AI51" i="1"/>
  <c r="W71" i="1"/>
  <c r="AI27" i="1"/>
  <c r="W36" i="1"/>
  <c r="AI77" i="1"/>
  <c r="W99" i="1"/>
  <c r="AI15" i="1"/>
  <c r="AI56" i="1"/>
  <c r="U108" i="1"/>
  <c r="S108" i="1" s="1"/>
  <c r="W101" i="1"/>
  <c r="W97" i="1"/>
  <c r="AI63" i="1"/>
  <c r="W55" i="1"/>
  <c r="W23" i="1"/>
  <c r="W27" i="1"/>
  <c r="AI67" i="1"/>
  <c r="AI71" i="1"/>
  <c r="AI60" i="1"/>
  <c r="AI90" i="1"/>
  <c r="AI85" i="1"/>
  <c r="U37" i="1"/>
  <c r="S37" i="1" s="1"/>
  <c r="AI97" i="1"/>
  <c r="W50" i="1"/>
  <c r="AI103" i="1"/>
  <c r="W178" i="1"/>
  <c r="W88" i="1"/>
  <c r="AI122" i="1"/>
  <c r="AI147" i="1"/>
  <c r="AI135" i="1"/>
  <c r="W160" i="1"/>
  <c r="AI149" i="1"/>
  <c r="AI28" i="1"/>
  <c r="U24" i="1"/>
  <c r="S24" i="1" s="1"/>
  <c r="AI55" i="1"/>
  <c r="AI107" i="1"/>
  <c r="AI123" i="1"/>
  <c r="AI148" i="1"/>
  <c r="W129" i="1"/>
  <c r="U36" i="1"/>
  <c r="S36" i="1" s="1"/>
  <c r="U21" i="1"/>
  <c r="S21" i="1" s="1"/>
  <c r="W134" i="1"/>
  <c r="AI19" i="1"/>
  <c r="W74" i="1"/>
  <c r="AI68" i="1"/>
  <c r="AI130" i="1"/>
  <c r="U148" i="1"/>
  <c r="S148" i="1" s="1"/>
  <c r="AI189" i="1"/>
  <c r="W114" i="1"/>
  <c r="AI21" i="1"/>
  <c r="U134" i="1"/>
  <c r="S134" i="1" s="1"/>
  <c r="U114" i="1"/>
  <c r="S114" i="1" s="1"/>
  <c r="AI36" i="1"/>
  <c r="AI32" i="1"/>
  <c r="AI131" i="1"/>
  <c r="W77" i="1"/>
  <c r="AI101" i="1"/>
  <c r="W69" i="1"/>
  <c r="W63" i="1"/>
  <c r="AI133" i="1"/>
  <c r="W130" i="1"/>
  <c r="W164" i="1"/>
  <c r="AI114" i="1"/>
  <c r="W53" i="1"/>
  <c r="W73" i="1"/>
  <c r="W174" i="1"/>
  <c r="AI174" i="1"/>
  <c r="U25" i="1"/>
  <c r="S25" i="1" s="1"/>
  <c r="AI25" i="1"/>
  <c r="W90" i="1"/>
  <c r="W24" i="1"/>
  <c r="U41" i="1"/>
  <c r="S41" i="1" s="1"/>
  <c r="AI41" i="1"/>
  <c r="W89" i="1"/>
  <c r="W185" i="1"/>
  <c r="W138" i="1"/>
  <c r="AI23" i="1"/>
  <c r="AI94" i="1"/>
  <c r="W139" i="1"/>
  <c r="AI139" i="1"/>
  <c r="U33" i="1"/>
  <c r="S33" i="1" s="1"/>
  <c r="AI33" i="1"/>
  <c r="W81" i="1"/>
  <c r="W108" i="1"/>
  <c r="W118" i="1"/>
  <c r="W122" i="1"/>
  <c r="AI138" i="1"/>
  <c r="W85" i="1"/>
  <c r="W33" i="1"/>
  <c r="W19" i="1"/>
  <c r="W86" i="1"/>
  <c r="W168" i="1"/>
  <c r="U163" i="1"/>
  <c r="S163" i="1" s="1"/>
  <c r="U106" i="1"/>
  <c r="S106" i="1" s="1"/>
  <c r="AI106" i="1"/>
  <c r="U159" i="1"/>
  <c r="S159" i="1" s="1"/>
  <c r="U110" i="1"/>
  <c r="S110" i="1" s="1"/>
  <c r="AI110" i="1"/>
  <c r="W124" i="1"/>
  <c r="W110" i="1"/>
  <c r="AI188" i="1"/>
  <c r="U45" i="1"/>
  <c r="S45" i="1" s="1"/>
  <c r="AI45" i="1"/>
  <c r="W59" i="1"/>
  <c r="W25" i="1"/>
  <c r="W189" i="1"/>
  <c r="W140" i="1"/>
  <c r="W126" i="1"/>
  <c r="U34" i="1"/>
  <c r="S34" i="1" s="1"/>
  <c r="AI34" i="1"/>
  <c r="U72" i="1"/>
  <c r="S72" i="1" s="1"/>
  <c r="AI72" i="1"/>
  <c r="AI79" i="1"/>
  <c r="U79" i="1"/>
  <c r="S79" i="1" s="1"/>
  <c r="AI92" i="1"/>
  <c r="U92" i="1"/>
  <c r="S92" i="1" s="1"/>
  <c r="U166" i="1"/>
  <c r="S166" i="1" s="1"/>
  <c r="AI102" i="1"/>
  <c r="AI112" i="1"/>
  <c r="U175" i="1"/>
  <c r="S175" i="1" s="1"/>
  <c r="AI132" i="1"/>
  <c r="U98" i="1"/>
  <c r="S98" i="1" s="1"/>
  <c r="U150" i="1"/>
  <c r="S150" i="1" s="1"/>
  <c r="AI186" i="1"/>
  <c r="AI199" i="1"/>
  <c r="U199" i="1"/>
  <c r="S199" i="1" s="1"/>
  <c r="AI26" i="1"/>
  <c r="U26" i="1"/>
  <c r="S26" i="1" s="1"/>
  <c r="AI43" i="1"/>
  <c r="U43" i="1"/>
  <c r="S43" i="1" s="1"/>
  <c r="AI22" i="1"/>
  <c r="U22" i="1"/>
  <c r="S22" i="1" s="1"/>
  <c r="AI58" i="1"/>
  <c r="U58" i="1"/>
  <c r="S58" i="1" s="1"/>
  <c r="AI39" i="1"/>
  <c r="AI98" i="1"/>
  <c r="U162" i="1"/>
  <c r="S162" i="1" s="1"/>
  <c r="AI84" i="1"/>
  <c r="U84" i="1"/>
  <c r="S84" i="1" s="1"/>
  <c r="AI88" i="1"/>
  <c r="U88" i="1"/>
  <c r="S88" i="1" s="1"/>
  <c r="U105" i="1"/>
  <c r="S105" i="1" s="1"/>
  <c r="AI140" i="1"/>
  <c r="U146" i="1"/>
  <c r="S146" i="1" s="1"/>
  <c r="AI182" i="1"/>
  <c r="U197" i="1"/>
  <c r="S197" i="1" s="1"/>
  <c r="AI198" i="1"/>
  <c r="AI128" i="1"/>
  <c r="U190" i="1"/>
  <c r="S190" i="1" s="1"/>
  <c r="W102" i="1"/>
  <c r="AI146" i="1"/>
  <c r="U111" i="1"/>
  <c r="S111" i="1" s="1"/>
  <c r="AI154" i="1"/>
  <c r="U119" i="1"/>
  <c r="S119" i="1" s="1"/>
  <c r="AI163" i="1"/>
  <c r="U127" i="1"/>
  <c r="S127" i="1" s="1"/>
  <c r="AI171" i="1"/>
  <c r="U135" i="1"/>
  <c r="S135" i="1" s="1"/>
  <c r="AI179" i="1"/>
  <c r="U143" i="1"/>
  <c r="S143" i="1" s="1"/>
  <c r="AI187" i="1"/>
  <c r="U151" i="1"/>
  <c r="S151" i="1" s="1"/>
  <c r="AI195" i="1"/>
  <c r="U194" i="1"/>
  <c r="S194" i="1" s="1"/>
  <c r="W105" i="1"/>
  <c r="W194" i="1"/>
  <c r="W127" i="1"/>
  <c r="W119" i="1"/>
  <c r="W199" i="1"/>
  <c r="U42" i="1"/>
  <c r="S42" i="1" s="1"/>
  <c r="AI42" i="1"/>
  <c r="AI14" i="1"/>
  <c r="U14" i="1"/>
  <c r="S14" i="1" s="1"/>
  <c r="U38" i="1"/>
  <c r="S38" i="1" s="1"/>
  <c r="AI38" i="1"/>
  <c r="AI18" i="1"/>
  <c r="U18" i="1"/>
  <c r="S18" i="1" s="1"/>
  <c r="W18" i="1"/>
  <c r="AI54" i="1"/>
  <c r="U54" i="1"/>
  <c r="S54" i="1" s="1"/>
  <c r="AI35" i="1"/>
  <c r="W26" i="1"/>
  <c r="AI31" i="1"/>
  <c r="W48" i="1"/>
  <c r="AI40" i="1"/>
  <c r="U46" i="1"/>
  <c r="S46" i="1"/>
  <c r="AI46" i="1"/>
  <c r="W34" i="1"/>
  <c r="AI62" i="1"/>
  <c r="U62" i="1"/>
  <c r="S62" i="1" s="1"/>
  <c r="W38" i="1"/>
  <c r="W79" i="1"/>
  <c r="U178" i="1"/>
  <c r="S178" i="1"/>
  <c r="AI115" i="1"/>
  <c r="W162" i="1"/>
  <c r="AI116" i="1"/>
  <c r="U94" i="1"/>
  <c r="S94" i="1" s="1"/>
  <c r="U142" i="1"/>
  <c r="S142" i="1" s="1"/>
  <c r="AI178" i="1"/>
  <c r="U193" i="1"/>
  <c r="S193" i="1" s="1"/>
  <c r="AI194" i="1"/>
  <c r="W98" i="1"/>
  <c r="W166" i="1"/>
  <c r="W175" i="1"/>
  <c r="W190" i="1"/>
  <c r="W143" i="1"/>
  <c r="W135" i="1"/>
  <c r="W193" i="1"/>
  <c r="AI30" i="1"/>
  <c r="U30" i="1"/>
  <c r="S30" i="1" s="1"/>
  <c r="W14" i="1"/>
  <c r="W30" i="1"/>
  <c r="AI48" i="1"/>
  <c r="U48" i="1"/>
  <c r="S48" i="1" s="1"/>
  <c r="W42" i="1"/>
  <c r="AI66" i="1"/>
  <c r="U66" i="1"/>
  <c r="S66" i="1" s="1"/>
  <c r="W54" i="1"/>
  <c r="W66" i="1"/>
  <c r="W72" i="1"/>
  <c r="W46" i="1"/>
  <c r="W92" i="1"/>
  <c r="U174" i="1"/>
  <c r="S174" i="1" s="1"/>
  <c r="AI111" i="1"/>
  <c r="U188" i="1"/>
  <c r="S188" i="1" s="1"/>
  <c r="AI126" i="1"/>
  <c r="AI136" i="1"/>
  <c r="U102" i="1"/>
  <c r="S102" i="1" s="1"/>
  <c r="U154" i="1"/>
  <c r="S154" i="1" s="1"/>
  <c r="AI190" i="1"/>
  <c r="AI142" i="1"/>
  <c r="U107" i="1"/>
  <c r="S107" i="1" s="1"/>
  <c r="AI150" i="1"/>
  <c r="U115" i="1"/>
  <c r="S115" i="1" s="1"/>
  <c r="AI159" i="1"/>
  <c r="U123" i="1"/>
  <c r="S123" i="1" s="1"/>
  <c r="AI167" i="1"/>
  <c r="U131" i="1"/>
  <c r="S131" i="1" s="1"/>
  <c r="AI175" i="1"/>
  <c r="U139" i="1"/>
  <c r="S139" i="1" s="1"/>
  <c r="AI183" i="1"/>
  <c r="U147" i="1"/>
  <c r="S147" i="1" s="1"/>
  <c r="AI191" i="1"/>
  <c r="U155" i="1"/>
  <c r="S155" i="1" s="1"/>
  <c r="W146" i="1"/>
  <c r="W111" i="1"/>
  <c r="W150" i="1"/>
  <c r="W151" i="1"/>
  <c r="W155" i="1"/>
  <c r="W197" i="1"/>
  <c r="Q32" i="3"/>
  <c r="P31" i="3"/>
  <c r="P16" i="3"/>
  <c r="P12" i="3"/>
  <c r="P13" i="3"/>
  <c r="P20" i="3"/>
  <c r="P25" i="3"/>
  <c r="P27" i="3"/>
  <c r="P11" i="3"/>
  <c r="P26" i="3"/>
  <c r="Q17" i="3"/>
  <c r="Q33" i="3"/>
  <c r="Q14" i="3"/>
  <c r="Q35" i="3"/>
  <c r="Q34" i="3"/>
  <c r="Q16" i="3"/>
  <c r="Q12" i="3"/>
  <c r="Q31" i="3"/>
  <c r="Q11" i="3"/>
  <c r="Q26" i="3"/>
  <c r="Q13" i="3"/>
  <c r="Q20" i="3"/>
  <c r="Q25" i="3"/>
  <c r="Q27" i="3"/>
  <c r="P17" i="3"/>
  <c r="P33" i="3"/>
  <c r="P34" i="3"/>
  <c r="P14" i="3"/>
  <c r="P35" i="3"/>
  <c r="W32" i="3"/>
  <c r="L28" i="3"/>
  <c r="L38" i="3"/>
  <c r="L14" i="3"/>
  <c r="L22" i="3"/>
  <c r="L17" i="3"/>
  <c r="L23" i="3"/>
  <c r="L33" i="3"/>
  <c r="L7" i="3"/>
  <c r="L26" i="3"/>
  <c r="L10" i="3"/>
  <c r="L25" i="3"/>
  <c r="L30" i="3"/>
  <c r="L34" i="3"/>
  <c r="L41" i="3"/>
  <c r="L40" i="3"/>
  <c r="L36" i="3"/>
  <c r="L16" i="3"/>
  <c r="L42" i="3"/>
  <c r="L18" i="3"/>
  <c r="L39" i="3"/>
  <c r="L9" i="3"/>
  <c r="L12" i="3"/>
  <c r="L24" i="3"/>
  <c r="L20" i="3"/>
  <c r="L31" i="3"/>
  <c r="L21" i="3"/>
  <c r="L32" i="3"/>
  <c r="L19" i="3"/>
  <c r="L29" i="3"/>
  <c r="L15" i="3"/>
  <c r="L11" i="3"/>
  <c r="L8" i="3"/>
  <c r="L37" i="3"/>
  <c r="L35" i="3"/>
  <c r="L13" i="3"/>
  <c r="L27" i="3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M26" i="5"/>
  <c r="AH18" i="1" l="1"/>
  <c r="AH19" i="1"/>
  <c r="AH20" i="1"/>
  <c r="AH41" i="1"/>
  <c r="AH42" i="1"/>
  <c r="AH43" i="1"/>
  <c r="AH44" i="1"/>
  <c r="AH45" i="1"/>
  <c r="AH46" i="1"/>
  <c r="AH55" i="1"/>
  <c r="AH66" i="1"/>
  <c r="AH75" i="1"/>
  <c r="AH86" i="1"/>
  <c r="AH87" i="1"/>
  <c r="AH92" i="1"/>
  <c r="AH93" i="1"/>
  <c r="AH107" i="1"/>
  <c r="AH117" i="1"/>
  <c r="AH121" i="1"/>
  <c r="AH122" i="1"/>
  <c r="AH123" i="1"/>
  <c r="AH124" i="1"/>
  <c r="AH125" i="1"/>
  <c r="AH126" i="1"/>
  <c r="AH127" i="1"/>
  <c r="AH148" i="1"/>
  <c r="AH149" i="1"/>
  <c r="AH154" i="1"/>
  <c r="AH155" i="1"/>
  <c r="AH161" i="1"/>
  <c r="AH162" i="1"/>
  <c r="AH163" i="1"/>
  <c r="AH164" i="1"/>
  <c r="AH168" i="1"/>
  <c r="AH169" i="1"/>
  <c r="AH170" i="1"/>
  <c r="AH186" i="1"/>
  <c r="AH187" i="1"/>
  <c r="AH201" i="1"/>
  <c r="AH177" i="1"/>
  <c r="AH188" i="1"/>
  <c r="AH192" i="1"/>
  <c r="AH193" i="1"/>
  <c r="AH195" i="1"/>
  <c r="AH199" i="1"/>
  <c r="AH22" i="1"/>
  <c r="AH33" i="1"/>
  <c r="AH34" i="1"/>
  <c r="AH35" i="1"/>
  <c r="AH36" i="1"/>
  <c r="AH37" i="1"/>
  <c r="AH56" i="1"/>
  <c r="AH57" i="1"/>
  <c r="AH58" i="1"/>
  <c r="AH59" i="1"/>
  <c r="AH67" i="1"/>
  <c r="AH68" i="1"/>
  <c r="AH69" i="1"/>
  <c r="AH70" i="1"/>
  <c r="AH76" i="1"/>
  <c r="AH77" i="1"/>
  <c r="AH88" i="1"/>
  <c r="AH89" i="1"/>
  <c r="AH90" i="1"/>
  <c r="AH94" i="1"/>
  <c r="AH97" i="1"/>
  <c r="AH98" i="1"/>
  <c r="AH99" i="1"/>
  <c r="AH100" i="1"/>
  <c r="AH101" i="1"/>
  <c r="AH102" i="1"/>
  <c r="AH118" i="1"/>
  <c r="AH119" i="1"/>
  <c r="AH128" i="1"/>
  <c r="AH129" i="1"/>
  <c r="AH130" i="1"/>
  <c r="AH137" i="1"/>
  <c r="AH138" i="1"/>
  <c r="AH139" i="1"/>
  <c r="AH140" i="1"/>
  <c r="AH141" i="1"/>
  <c r="AH142" i="1"/>
  <c r="AH143" i="1"/>
  <c r="AH150" i="1"/>
  <c r="AH165" i="1"/>
  <c r="AH166" i="1"/>
  <c r="AH171" i="1"/>
  <c r="AH172" i="1"/>
  <c r="AH194" i="1"/>
  <c r="AH198" i="1"/>
  <c r="AH23" i="1"/>
  <c r="AH24" i="1"/>
  <c r="AH25" i="1"/>
  <c r="AH26" i="1"/>
  <c r="AH27" i="1"/>
  <c r="AH28" i="1"/>
  <c r="AH29" i="1"/>
  <c r="AH38" i="1"/>
  <c r="AH39" i="1"/>
  <c r="AH40" i="1"/>
  <c r="AH47" i="1"/>
  <c r="AH48" i="1"/>
  <c r="AH49" i="1"/>
  <c r="AH50" i="1"/>
  <c r="AH60" i="1"/>
  <c r="AH61" i="1"/>
  <c r="AH71" i="1"/>
  <c r="AH72" i="1"/>
  <c r="AH73" i="1"/>
  <c r="AH74" i="1"/>
  <c r="AH78" i="1"/>
  <c r="AH79" i="1"/>
  <c r="AH103" i="1"/>
  <c r="AH104" i="1"/>
  <c r="AH108" i="1"/>
  <c r="AH109" i="1"/>
  <c r="AH110" i="1"/>
  <c r="AH111" i="1"/>
  <c r="AH112" i="1"/>
  <c r="AH131" i="1"/>
  <c r="AH132" i="1"/>
  <c r="AH156" i="1"/>
  <c r="AH158" i="1"/>
  <c r="AH159" i="1"/>
  <c r="AH160" i="1"/>
  <c r="AH167" i="1"/>
  <c r="AH178" i="1"/>
  <c r="AH179" i="1"/>
  <c r="AH180" i="1"/>
  <c r="AH181" i="1"/>
  <c r="AH189" i="1"/>
  <c r="AH190" i="1"/>
  <c r="AH196" i="1"/>
  <c r="AH197" i="1"/>
  <c r="AH146" i="1"/>
  <c r="AH151" i="1"/>
  <c r="AH152" i="1"/>
  <c r="AH173" i="1"/>
  <c r="AH175" i="1"/>
  <c r="AH184" i="1"/>
  <c r="AH191" i="1"/>
  <c r="AH14" i="1"/>
  <c r="AH15" i="1"/>
  <c r="AH16" i="1"/>
  <c r="AH17" i="1"/>
  <c r="AH21" i="1"/>
  <c r="AH30" i="1"/>
  <c r="AH31" i="1"/>
  <c r="AH32" i="1"/>
  <c r="AH51" i="1"/>
  <c r="AH52" i="1"/>
  <c r="AH53" i="1"/>
  <c r="AH54" i="1"/>
  <c r="AH62" i="1"/>
  <c r="AH63" i="1"/>
  <c r="AH64" i="1"/>
  <c r="AH65" i="1"/>
  <c r="AH80" i="1"/>
  <c r="AH81" i="1"/>
  <c r="AH83" i="1"/>
  <c r="AH84" i="1"/>
  <c r="AH85" i="1"/>
  <c r="AH91" i="1"/>
  <c r="AH105" i="1"/>
  <c r="AH106" i="1"/>
  <c r="AH113" i="1"/>
  <c r="AH114" i="1"/>
  <c r="AH115" i="1"/>
  <c r="AH116" i="1"/>
  <c r="AH120" i="1"/>
  <c r="AH133" i="1"/>
  <c r="AH134" i="1"/>
  <c r="AH135" i="1"/>
  <c r="AH136" i="1"/>
  <c r="AH144" i="1"/>
  <c r="AH145" i="1"/>
  <c r="AH147" i="1"/>
  <c r="AH153" i="1"/>
  <c r="AH174" i="1"/>
  <c r="AH176" i="1"/>
  <c r="AH182" i="1"/>
  <c r="AH183" i="1"/>
  <c r="AH185" i="1"/>
  <c r="AH200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<sst xmlns="http://schemas.openxmlformats.org/spreadsheetml/2006/main" count="1948" uniqueCount="670">
  <si>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</si>
  <si>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</si>
  <si>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</si>
  <si>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</si>
  <si>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</si>
  <si>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</si>
  <si>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</si>
  <si>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</si>
  <si>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</si>
  <si>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</si>
  <si>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</si>
  <si>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</si>
  <si>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</si>
  <si>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</si>
  <si>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</si>
  <si>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</si>
  <si>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</si>
  <si>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</si>
  <si>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</si>
  <si>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</si>
  <si>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</si>
  <si>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</si>
  <si>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</si>
  <si>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</si>
  <si>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</si>
  <si>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</si>
  <si>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</si>
  <si>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</si>
  <si>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</si>
  <si>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</si>
  <si>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</si>
  <si>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</si>
  <si>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</si>
  <si>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</si>
  <si>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</si>
  <si>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</si>
  <si>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</si>
  <si>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</si>
  <si>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</si>
  <si>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</si>
  <si>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</si>
  <si>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</si>
  <si>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</si>
  <si>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</si>
  <si>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</si>
  <si>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</si>
  <si>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</si>
  <si>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</si>
  <si>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</si>
  <si>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</si>
  <si>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</si>
  <si>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</si>
  <si>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</si>
  <si>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</si>
  <si>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</si>
  <si>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</si>
  <si>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</si>
  <si>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</si>
  <si>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</si>
  <si>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</si>
  <si>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</si>
  <si>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</si>
  <si>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</si>
  <si>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</si>
  <si>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</si>
  <si>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</si>
  <si>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</si>
  <si>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</si>
  <si>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</si>
  <si>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</si>
  <si>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</si>
  <si>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</si>
  <si>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</si>
  <si>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</si>
  <si>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</si>
  <si>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</si>
  <si>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</si>
  <si>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</si>
  <si>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</si>
  <si>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</si>
  <si>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</si>
  <si>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</si>
  <si>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</si>
  <si>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</si>
  <si>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</si>
  <si>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</si>
  <si>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</si>
  <si>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</si>
  <si>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</si>
  <si>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</si>
  <si>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</si>
  <si>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</si>
  <si>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</si>
  <si>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</si>
  <si>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</si>
  <si>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</si>
  <si>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</si>
  <si>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</si>
  <si>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</si>
  <si>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</si>
  <si>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</si>
  <si>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</si>
  <si>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</si>
  <si>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</si>
  <si>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</si>
  <si>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</si>
  <si>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</si>
  <si>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</si>
  <si>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</si>
  <si>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</si>
  <si>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</si>
  <si>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</si>
  <si>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</si>
  <si>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</si>
  <si>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</si>
  <si>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</si>
  <si>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</si>
  <si>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</si>
  <si>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</si>
  <si>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</si>
  <si>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</si>
  <si>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</si>
  <si>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</si>
  <si>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</si>
  <si>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</si>
  <si>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</si>
  <si>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</si>
  <si>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</si>
  <si>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</si>
  <si>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</si>
  <si>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</si>
  <si>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</si>
  <si>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</si>
  <si>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</si>
  <si>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</si>
  <si>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</si>
  <si>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</si>
  <si>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</si>
  <si>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204:469</t>
  </si>
  <si>
    <t>204:467</t>
  </si>
  <si>
    <t>LEVIN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</si>
  <si>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</si>
  <si>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</si>
  <si>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</si>
  <si>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</si>
  <si>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</si>
  <si>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</si>
  <si>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</si>
  <si>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</si>
  <si>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rtdc.l.rtdc.4042:itc</t>
  </si>
  <si>
    <t>rtdc.l.rtdc.4038:itc</t>
  </si>
  <si>
    <t>204:150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</si>
  <si>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</si>
  <si>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</si>
  <si>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</si>
  <si>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</si>
  <si>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</si>
  <si>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</si>
  <si>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</si>
  <si>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</si>
  <si>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</si>
  <si>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</si>
  <si>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</si>
  <si>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</si>
  <si>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</si>
  <si>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</si>
  <si>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</si>
  <si>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</si>
  <si>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rtdc.l.rtdc.4008:itc</t>
  </si>
  <si>
    <t>YANAI</t>
  </si>
  <si>
    <t>313-12</t>
  </si>
  <si>
    <t>204:152</t>
  </si>
  <si>
    <t>rtdc.l.rtdc.4009:itc</t>
  </si>
  <si>
    <t>rtdc.l.rtdc.4010:itc</t>
  </si>
  <si>
    <t>204:141</t>
  </si>
  <si>
    <t>CHANDLER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</si>
  <si>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</si>
  <si>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</si>
  <si>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</si>
  <si>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</si>
  <si>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204:145</t>
  </si>
  <si>
    <t>204:447</t>
  </si>
  <si>
    <t>rtdc.l.rtdc.4041:itc</t>
  </si>
  <si>
    <t>rtdc.l.rtdc.4007:itc</t>
  </si>
  <si>
    <t>204:160</t>
  </si>
  <si>
    <t>204:233293</t>
  </si>
  <si>
    <t>rtdc.l.rtdc.4003:itc</t>
  </si>
  <si>
    <t>204:460</t>
  </si>
  <si>
    <t>204:232992</t>
  </si>
  <si>
    <t>204:232986</t>
  </si>
  <si>
    <t>204:165</t>
  </si>
  <si>
    <t>204:435</t>
  </si>
  <si>
    <t>204:233327</t>
  </si>
  <si>
    <t>204:233312</t>
  </si>
  <si>
    <t>204:233000</t>
  </si>
  <si>
    <t>204:139</t>
  </si>
  <si>
    <t>HAITHCOX</t>
  </si>
  <si>
    <t>204:138</t>
  </si>
  <si>
    <t>204:233002</t>
  </si>
  <si>
    <t>204:233320</t>
  </si>
  <si>
    <t>204:134</t>
  </si>
  <si>
    <t>204:464</t>
  </si>
  <si>
    <t>204:232989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</si>
  <si>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</si>
  <si>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</si>
  <si>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</si>
  <si>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</si>
  <si>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</si>
  <si>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</si>
  <si>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</si>
  <si>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</si>
  <si>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</si>
  <si>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</si>
  <si>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</si>
  <si>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</si>
  <si>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</si>
  <si>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</si>
  <si>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</si>
  <si>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</si>
  <si>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</si>
  <si>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</si>
  <si>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</si>
  <si>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</si>
  <si>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</si>
  <si>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</si>
  <si>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</si>
  <si>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</si>
  <si>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</si>
  <si>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</si>
  <si>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</si>
  <si>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</si>
  <si>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</si>
  <si>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</si>
  <si>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</si>
  <si>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</si>
  <si>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</si>
  <si>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</si>
  <si>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</si>
  <si>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</si>
  <si>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rtdc.l.rtdc.4025:itc</t>
  </si>
  <si>
    <t>rtdc.l.rtdc.4026:itc</t>
  </si>
  <si>
    <t>MOSES</t>
  </si>
  <si>
    <t>STURGEON</t>
  </si>
  <si>
    <t>204:130</t>
  </si>
  <si>
    <t>204:232980</t>
  </si>
  <si>
    <t>204:233332</t>
  </si>
  <si>
    <t>204:232977</t>
  </si>
  <si>
    <t>204:170</t>
  </si>
  <si>
    <t>204:440</t>
  </si>
  <si>
    <t>204:233286</t>
  </si>
  <si>
    <t>From 08-24-2016 13:14:05.327 until 13:28:22.128, 61st 2S should have been clear (controls sent to it the entire time was CLEAR). However, it cycled back and forth between PROCEED CAB and STOP. Any ideas why?</t>
  </si>
  <si>
    <t>204:233010</t>
  </si>
  <si>
    <t>204:438</t>
  </si>
  <si>
    <t>204:232991</t>
  </si>
  <si>
    <t>204:233282</t>
  </si>
  <si>
    <t>204:233301</t>
  </si>
  <si>
    <t>rtdc.l.rtdc.4019:itc</t>
  </si>
  <si>
    <t>rtdc.l.rtdc.4020:itc</t>
  </si>
  <si>
    <t>SHOOK</t>
  </si>
  <si>
    <t>Output Refined Run Times to File?</t>
  </si>
  <si>
    <t>RefinedRTDCRunTimesOutputFile</t>
  </si>
  <si>
    <t>rtdc.l.rtdc.4040:itc</t>
  </si>
  <si>
    <t>DAVIS</t>
  </si>
  <si>
    <t>MALAVE</t>
  </si>
  <si>
    <t>STRICKLAND</t>
  </si>
  <si>
    <t>rtdc.l.rtdc.4039:itc</t>
  </si>
  <si>
    <t>rtdc.l.rtdc.4028:itc</t>
  </si>
  <si>
    <t>STEWART</t>
  </si>
  <si>
    <t>240-26</t>
  </si>
  <si>
    <t>245-26</t>
  </si>
  <si>
    <t>242-26</t>
  </si>
  <si>
    <t>309-26</t>
  </si>
  <si>
    <t>244-26</t>
  </si>
  <si>
    <t>311-26</t>
  </si>
  <si>
    <t>246-26</t>
  </si>
  <si>
    <t>313-26</t>
  </si>
  <si>
    <t>TEMPORARY SPEED RESTRICTION</t>
  </si>
  <si>
    <t>Bulletin (2)</t>
  </si>
  <si>
    <t>GRADE CROSSING</t>
  </si>
  <si>
    <t>204:232971</t>
  </si>
  <si>
    <t>204:232984</t>
  </si>
  <si>
    <t>204:458</t>
  </si>
  <si>
    <t>204:232970</t>
  </si>
  <si>
    <t>204:233319</t>
  </si>
  <si>
    <t>204:473</t>
  </si>
  <si>
    <t>204:233316</t>
  </si>
  <si>
    <t>204:233295</t>
  </si>
  <si>
    <t>204:232988</t>
  </si>
  <si>
    <t>204:482</t>
  </si>
  <si>
    <t>204:232985</t>
  </si>
  <si>
    <t>204:233299</t>
  </si>
  <si>
    <t>204:232974</t>
  </si>
  <si>
    <t>204:172</t>
  </si>
  <si>
    <t>300:23299</t>
  </si>
  <si>
    <t>300:58636</t>
  </si>
  <si>
    <t>204:437</t>
  </si>
  <si>
    <t>204:233329</t>
  </si>
  <si>
    <t>204:232973</t>
  </si>
  <si>
    <t>204:466</t>
  </si>
  <si>
    <t>204:233297</t>
  </si>
  <si>
    <t>204:232972</t>
  </si>
  <si>
    <t>204:233311</t>
  </si>
  <si>
    <t>204:232983</t>
  </si>
  <si>
    <t>204:232979</t>
  </si>
  <si>
    <t>204:504</t>
  </si>
  <si>
    <t>204:500</t>
  </si>
  <si>
    <t>204:233305</t>
  </si>
  <si>
    <t>204:233034</t>
  </si>
  <si>
    <t>204:127</t>
  </si>
  <si>
    <t>204:475</t>
  </si>
  <si>
    <t>204:233359</t>
  </si>
  <si>
    <t>204:233053</t>
  </si>
  <si>
    <t>300:58933</t>
  </si>
  <si>
    <t>300:58952</t>
  </si>
  <si>
    <t>300:58638</t>
  </si>
  <si>
    <t>204:733</t>
  </si>
  <si>
    <t>204:1009</t>
  </si>
  <si>
    <t>204:233317</t>
  </si>
  <si>
    <t>204:1006</t>
  </si>
  <si>
    <t>204:1014</t>
  </si>
  <si>
    <t>204:233278</t>
  </si>
  <si>
    <t>204:232981</t>
  </si>
  <si>
    <t>204:433</t>
  </si>
  <si>
    <t>204:477</t>
  </si>
  <si>
    <t>204:233030</t>
  </si>
  <si>
    <t>238-27</t>
  </si>
  <si>
    <t>240-27</t>
  </si>
  <si>
    <t>241-27</t>
  </si>
  <si>
    <t>242-27</t>
  </si>
  <si>
    <t>243-27</t>
  </si>
  <si>
    <t>204:233285</t>
  </si>
  <si>
    <t>244-27</t>
  </si>
  <si>
    <t>245-27</t>
  </si>
  <si>
    <t>246-27</t>
  </si>
  <si>
    <t>300:23297</t>
  </si>
  <si>
    <t>311-27</t>
  </si>
  <si>
    <t>313-27</t>
  </si>
  <si>
    <t>300:23312</t>
  </si>
  <si>
    <t>63-27</t>
  </si>
  <si>
    <t>204:233288</t>
  </si>
  <si>
    <t>64-27</t>
  </si>
  <si>
    <t>204:232990</t>
  </si>
  <si>
    <t>ACKERMAN</t>
  </si>
  <si>
    <t>KILLION</t>
  </si>
  <si>
    <t>YORK</t>
  </si>
  <si>
    <t>BARTLETT</t>
  </si>
  <si>
    <t>DE LA ROSA</t>
  </si>
  <si>
    <t>HILLS</t>
  </si>
  <si>
    <t>GOLIGHTLY</t>
  </si>
  <si>
    <t>315-27</t>
  </si>
  <si>
    <t>103-28</t>
  </si>
  <si>
    <t>111-28</t>
  </si>
  <si>
    <t>117-28</t>
  </si>
  <si>
    <t>112-28</t>
  </si>
  <si>
    <t>114-28</t>
  </si>
  <si>
    <t>125-28</t>
  </si>
  <si>
    <t>126-28</t>
  </si>
  <si>
    <t>128-28</t>
  </si>
  <si>
    <t>124-28</t>
  </si>
  <si>
    <t>132-28</t>
  </si>
  <si>
    <t>140-28</t>
  </si>
  <si>
    <t>1809-28</t>
  </si>
  <si>
    <t>151-28</t>
  </si>
  <si>
    <t>146-28</t>
  </si>
  <si>
    <t>154-28</t>
  </si>
  <si>
    <t>1811-28</t>
  </si>
  <si>
    <t>174-28</t>
  </si>
  <si>
    <t>179-28</t>
  </si>
  <si>
    <t>201-28</t>
  </si>
  <si>
    <t>1821-28</t>
  </si>
  <si>
    <t>213-28</t>
  </si>
  <si>
    <t>66-28</t>
  </si>
  <si>
    <t>215-28</t>
  </si>
  <si>
    <t>214-28</t>
  </si>
  <si>
    <t>1831-28</t>
  </si>
  <si>
    <t>309-27</t>
  </si>
  <si>
    <t>101-28</t>
  </si>
  <si>
    <t>102-28</t>
  </si>
  <si>
    <t>105-28</t>
  </si>
  <si>
    <t>SWANSON</t>
  </si>
  <si>
    <t>107-28</t>
  </si>
  <si>
    <t>104-28</t>
  </si>
  <si>
    <t>109-28</t>
  </si>
  <si>
    <t>113-28</t>
  </si>
  <si>
    <t>106-28</t>
  </si>
  <si>
    <t>108-28</t>
  </si>
  <si>
    <t>115-28</t>
  </si>
  <si>
    <t>1800-28</t>
  </si>
  <si>
    <t>STARKS</t>
  </si>
  <si>
    <t>110-28</t>
  </si>
  <si>
    <t>119-28</t>
  </si>
  <si>
    <t>116-28</t>
  </si>
  <si>
    <t>121-28</t>
  </si>
  <si>
    <t>1801-28</t>
  </si>
  <si>
    <t>123-28</t>
  </si>
  <si>
    <t>118-28</t>
  </si>
  <si>
    <t>1802-28</t>
  </si>
  <si>
    <t>120-28</t>
  </si>
  <si>
    <t>127-28</t>
  </si>
  <si>
    <t>122-28</t>
  </si>
  <si>
    <t>129-28</t>
  </si>
  <si>
    <t>1803-28</t>
  </si>
  <si>
    <t>131-28</t>
  </si>
  <si>
    <t>1804-28</t>
  </si>
  <si>
    <t>133-28</t>
  </si>
  <si>
    <t>130-28</t>
  </si>
  <si>
    <t>135-28</t>
  </si>
  <si>
    <t>137-28</t>
  </si>
  <si>
    <t>1805-28</t>
  </si>
  <si>
    <t>139-28</t>
  </si>
  <si>
    <t>134-28</t>
  </si>
  <si>
    <t>1806-28</t>
  </si>
  <si>
    <t>141-28</t>
  </si>
  <si>
    <t>143-28</t>
  </si>
  <si>
    <t>136-28</t>
  </si>
  <si>
    <t>138-28</t>
  </si>
  <si>
    <t>145-28</t>
  </si>
  <si>
    <t>1807-28</t>
  </si>
  <si>
    <t>147-28</t>
  </si>
  <si>
    <t>142-28</t>
  </si>
  <si>
    <t>144-28</t>
  </si>
  <si>
    <t>1808-28</t>
  </si>
  <si>
    <t>149-28</t>
  </si>
  <si>
    <t>153-28</t>
  </si>
  <si>
    <t>148-28</t>
  </si>
  <si>
    <t>155-28</t>
  </si>
  <si>
    <t>CLARK</t>
  </si>
  <si>
    <t>150-28</t>
  </si>
  <si>
    <t>157-28</t>
  </si>
  <si>
    <t>1810-28</t>
  </si>
  <si>
    <t>152-28</t>
  </si>
  <si>
    <t>159-28</t>
  </si>
  <si>
    <t>161-28</t>
  </si>
  <si>
    <t>156-28</t>
  </si>
  <si>
    <t>158-28</t>
  </si>
  <si>
    <t>163-28</t>
  </si>
  <si>
    <t>BRUDER</t>
  </si>
  <si>
    <t>1812-28</t>
  </si>
  <si>
    <t>165-28</t>
  </si>
  <si>
    <t>160-28</t>
  </si>
  <si>
    <t>162-28</t>
  </si>
  <si>
    <t>167-28</t>
  </si>
  <si>
    <t>YOUNG</t>
  </si>
  <si>
    <t>169-28</t>
  </si>
  <si>
    <t>1813-28</t>
  </si>
  <si>
    <t>164-28</t>
  </si>
  <si>
    <t>171-28</t>
  </si>
  <si>
    <t>1815-28</t>
  </si>
  <si>
    <t>1814-28</t>
  </si>
  <si>
    <t>166-28</t>
  </si>
  <si>
    <t>173-28</t>
  </si>
  <si>
    <t>168-28</t>
  </si>
  <si>
    <t>175-28</t>
  </si>
  <si>
    <t>170-28</t>
  </si>
  <si>
    <t>177-28</t>
  </si>
  <si>
    <t>172-28</t>
  </si>
  <si>
    <t>1816-28</t>
  </si>
  <si>
    <t>176-28</t>
  </si>
  <si>
    <t>181-28</t>
  </si>
  <si>
    <t>183-28</t>
  </si>
  <si>
    <t>178-28</t>
  </si>
  <si>
    <t>1817-28</t>
  </si>
  <si>
    <t>185-28</t>
  </si>
  <si>
    <t>180-28</t>
  </si>
  <si>
    <t>187-28</t>
  </si>
  <si>
    <t>1818-28</t>
  </si>
  <si>
    <t>189-28</t>
  </si>
  <si>
    <t>182-28</t>
  </si>
  <si>
    <t>191-28</t>
  </si>
  <si>
    <t>186-28</t>
  </si>
  <si>
    <t>1819-28</t>
  </si>
  <si>
    <t>193-28</t>
  </si>
  <si>
    <t>188-28</t>
  </si>
  <si>
    <t>190-28</t>
  </si>
  <si>
    <t>195-28</t>
  </si>
  <si>
    <t>1820-28</t>
  </si>
  <si>
    <t>192-28</t>
  </si>
  <si>
    <t>197-28</t>
  </si>
  <si>
    <t>199-28</t>
  </si>
  <si>
    <t>194-28</t>
  </si>
  <si>
    <t>51-28</t>
  </si>
  <si>
    <t>196-28</t>
  </si>
  <si>
    <t>203-28</t>
  </si>
  <si>
    <t>198-28</t>
  </si>
  <si>
    <t>1822-28</t>
  </si>
  <si>
    <t>205-28</t>
  </si>
  <si>
    <t>54-28</t>
  </si>
  <si>
    <t>200-28</t>
  </si>
  <si>
    <t>207-28</t>
  </si>
  <si>
    <t>202-28</t>
  </si>
  <si>
    <t>204-28</t>
  </si>
  <si>
    <t>209-28</t>
  </si>
  <si>
    <t>LEVERE</t>
  </si>
  <si>
    <t>1823-28</t>
  </si>
  <si>
    <t>211-28</t>
  </si>
  <si>
    <t>53-28</t>
  </si>
  <si>
    <t>206-28</t>
  </si>
  <si>
    <t>1824-28</t>
  </si>
  <si>
    <t>COOLAHAN</t>
  </si>
  <si>
    <t>208-28</t>
  </si>
  <si>
    <t>210-28</t>
  </si>
  <si>
    <t>217-28</t>
  </si>
  <si>
    <t>NEWELL</t>
  </si>
  <si>
    <t>1825-28</t>
  </si>
  <si>
    <t>212-28</t>
  </si>
  <si>
    <t>219-28</t>
  </si>
  <si>
    <t>1826-28</t>
  </si>
  <si>
    <t>303-28</t>
  </si>
  <si>
    <t>216-28</t>
  </si>
  <si>
    <t>221-28</t>
  </si>
  <si>
    <t>218-28</t>
  </si>
  <si>
    <t>1827-28</t>
  </si>
  <si>
    <t>220-28</t>
  </si>
  <si>
    <t>223-28</t>
  </si>
  <si>
    <t>307-28</t>
  </si>
  <si>
    <t>1829-28</t>
  </si>
  <si>
    <t>1828-28</t>
  </si>
  <si>
    <t>222-28</t>
  </si>
  <si>
    <t>225-28</t>
  </si>
  <si>
    <t>224-28</t>
  </si>
  <si>
    <t>227-28</t>
  </si>
  <si>
    <t>226-28</t>
  </si>
  <si>
    <t>1830-28</t>
  </si>
  <si>
    <t>229-28</t>
  </si>
  <si>
    <t>228-28</t>
  </si>
  <si>
    <t>231-28</t>
  </si>
  <si>
    <t>1832-28</t>
  </si>
  <si>
    <t>233-28</t>
  </si>
  <si>
    <t>230-28</t>
  </si>
  <si>
    <t>1833-28</t>
  </si>
  <si>
    <t>232-28</t>
  </si>
  <si>
    <t>235-28</t>
  </si>
  <si>
    <t>1902-28</t>
  </si>
  <si>
    <t>234-28</t>
  </si>
  <si>
    <t>237-28</t>
  </si>
  <si>
    <t>236-28</t>
  </si>
  <si>
    <t>239-28</t>
  </si>
  <si>
    <t>241-28</t>
  </si>
  <si>
    <t>238-28</t>
  </si>
  <si>
    <t>240-28</t>
  </si>
  <si>
    <t>243-28</t>
  </si>
  <si>
    <t>242-28</t>
  </si>
  <si>
    <t>311-28</t>
  </si>
  <si>
    <t>244-28</t>
  </si>
  <si>
    <t>313-28</t>
  </si>
  <si>
    <t>315-28</t>
  </si>
  <si>
    <t>204:763</t>
  </si>
  <si>
    <t>204:233284</t>
  </si>
  <si>
    <t>204:232627</t>
  </si>
  <si>
    <t>204:670</t>
  </si>
  <si>
    <t>204:233395</t>
  </si>
  <si>
    <t>204:232743</t>
  </si>
  <si>
    <t>204:233270</t>
  </si>
  <si>
    <t>204:232673</t>
  </si>
  <si>
    <t>204:232961</t>
  </si>
  <si>
    <t>204:755</t>
  </si>
  <si>
    <t>204:233289</t>
  </si>
  <si>
    <t>204:232976</t>
  </si>
  <si>
    <t>204:209</t>
  </si>
  <si>
    <t>204:761</t>
  </si>
  <si>
    <t>204:741</t>
  </si>
  <si>
    <t>204:522</t>
  </si>
  <si>
    <t>204:216</t>
  </si>
  <si>
    <t>204:233315</t>
  </si>
  <si>
    <t>204:743</t>
  </si>
  <si>
    <t>204:551</t>
  </si>
  <si>
    <t>204:233266</t>
  </si>
  <si>
    <t>204:233283</t>
  </si>
  <si>
    <t>204:232955</t>
  </si>
  <si>
    <t>204:126974</t>
  </si>
  <si>
    <t>204:232938</t>
  </si>
  <si>
    <t>204:232967</t>
  </si>
  <si>
    <t>204:129</t>
  </si>
  <si>
    <t>204:183</t>
  </si>
  <si>
    <t>204:233328</t>
  </si>
  <si>
    <t>204:233036</t>
  </si>
  <si>
    <t>204:233264</t>
  </si>
  <si>
    <t>204:232947</t>
  </si>
  <si>
    <t>204:233274</t>
  </si>
  <si>
    <t>204:232969</t>
  </si>
  <si>
    <t>300:58611</t>
  </si>
  <si>
    <t>204:1023</t>
  </si>
  <si>
    <t>300:58929</t>
  </si>
  <si>
    <t>300:58613</t>
  </si>
  <si>
    <t>204:717</t>
  </si>
  <si>
    <t>204:1025</t>
  </si>
  <si>
    <t>300:58937</t>
  </si>
  <si>
    <t>300:58615</t>
  </si>
  <si>
    <t>300:58609</t>
  </si>
  <si>
    <t>204:734</t>
  </si>
  <si>
    <t>204:1028</t>
  </si>
  <si>
    <t>300:58931</t>
  </si>
  <si>
    <t>204:1020</t>
  </si>
  <si>
    <t>300:58935</t>
  </si>
  <si>
    <t>300:58621</t>
  </si>
  <si>
    <t>204:1018</t>
  </si>
  <si>
    <t>300:58617</t>
  </si>
  <si>
    <t>204:701</t>
  </si>
  <si>
    <t>300:58928</t>
  </si>
  <si>
    <t>300:58606</t>
  </si>
  <si>
    <t>204:722</t>
  </si>
  <si>
    <t>300:58914</t>
  </si>
  <si>
    <t>300:58598</t>
  </si>
  <si>
    <t>204:671</t>
  </si>
  <si>
    <t>204:974</t>
  </si>
  <si>
    <t>300:58600</t>
  </si>
  <si>
    <t>204:677</t>
  </si>
  <si>
    <t>204:971</t>
  </si>
  <si>
    <t>300:58916</t>
  </si>
  <si>
    <t>204:673</t>
  </si>
  <si>
    <t>204:962</t>
  </si>
  <si>
    <t>300:58961</t>
  </si>
  <si>
    <t>204:969</t>
  </si>
  <si>
    <t>300:58965</t>
  </si>
  <si>
    <t>300:58645</t>
  </si>
  <si>
    <t>204:675</t>
  </si>
  <si>
    <t>204:972</t>
  </si>
  <si>
    <t>204:696</t>
  </si>
  <si>
    <t>204:965</t>
  </si>
  <si>
    <t>300:58988</t>
  </si>
  <si>
    <t>300:58676</t>
  </si>
  <si>
    <t>204:680</t>
  </si>
  <si>
    <t>300:58996</t>
  </si>
  <si>
    <t>300:58679</t>
  </si>
  <si>
    <t>204:685</t>
  </si>
  <si>
    <t>204:985</t>
  </si>
  <si>
    <t>300:58978</t>
  </si>
  <si>
    <t>204:233370</t>
  </si>
  <si>
    <t>204:233044</t>
  </si>
  <si>
    <t>204:233006</t>
  </si>
  <si>
    <t>204:232998</t>
  </si>
  <si>
    <t>300:58661</t>
  </si>
  <si>
    <t>300:28089</t>
  </si>
  <si>
    <t>204:233308</t>
  </si>
  <si>
    <t>204:233015</t>
  </si>
  <si>
    <t>204:233342</t>
  </si>
  <si>
    <t>204:233004</t>
  </si>
  <si>
    <t>204:233272</t>
  </si>
  <si>
    <t>204:442</t>
  </si>
  <si>
    <t>204:233378</t>
  </si>
  <si>
    <t>204:233068</t>
  </si>
  <si>
    <t>204:233049</t>
  </si>
  <si>
    <t>204:233340</t>
  </si>
  <si>
    <t>204:233357</t>
  </si>
  <si>
    <t>204:233325</t>
  </si>
  <si>
    <t>204:233008</t>
  </si>
  <si>
    <t>204:431</t>
  </si>
  <si>
    <t>204:233344</t>
  </si>
  <si>
    <t>204:233013</t>
  </si>
  <si>
    <t>204:232968</t>
  </si>
  <si>
    <t>204:233331</t>
  </si>
  <si>
    <t>204:161</t>
  </si>
  <si>
    <t>204:4902</t>
  </si>
  <si>
    <t>204:956</t>
  </si>
  <si>
    <t>204:446</t>
  </si>
  <si>
    <t>204:233324</t>
  </si>
  <si>
    <t>204:144</t>
  </si>
  <si>
    <t>204:231959</t>
  </si>
  <si>
    <t>300:22499</t>
  </si>
  <si>
    <t>204:1481</t>
  </si>
  <si>
    <t>300:22996</t>
  </si>
  <si>
    <t>204:1496</t>
  </si>
  <si>
    <t>204:1509</t>
  </si>
  <si>
    <t>184-28</t>
  </si>
  <si>
    <t>Trip Number</t>
  </si>
  <si>
    <t>Dispatcher error with consists - did not init</t>
  </si>
  <si>
    <t>Did not initialize</t>
  </si>
  <si>
    <t>245-28</t>
  </si>
  <si>
    <t>40th 4S STOP, cleared shortly</t>
  </si>
  <si>
    <t>Early arrival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</si>
</sst>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1"/>
  <sheetViews>
    <sheetView tabSelected="1" workbookViewId="0">
      <selection activeCell="R17" sqref="R17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42610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42610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34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COUNTIFS($N$13:$N$9396,"&gt;0",$AG$13:$AG$9396,I1)</f>
        <v>142</v>
      </c>
      <c r="K5" s="46"/>
      <c r="L5" s="46"/>
      <c r="M5" s="47">
        <f>AVERAGEIFS($N$13:$N$9396,$AG$13:$AG$9396,I1)</f>
        <v>38.603521126820901</v>
      </c>
      <c r="N5" s="45">
        <f t="array" ref="N5">MIN(IF($AG$13:$AG$9396=I1,IF(ISNUMBER($N$13:$N$9396),IF($N$13:$N$9396&gt;0,$N$13:$N$9396))))</f>
        <v>34.016666666138917</v>
      </c>
      <c r="O5" s="3">
        <f t="array" ref="O5">MAX(IF($AG$13:$AG$9396=I1,IF(ISNUMBER($N$13:$N$9396),IF($N$13:$N$9396&gt;0,$N$13:$N$9396))))</f>
        <v>49.483333333628252</v>
      </c>
      <c r="P5" s="2"/>
      <c r="R5" s="87" t="s">
        <v>17</v>
      </c>
      <c r="S5" s="57">
        <f>COUNTIFS($N$13:$N$9396,"&gt;0",$AG$13:$AG$9396,R1)</f>
        <v>34</v>
      </c>
      <c r="T5" s="46"/>
      <c r="U5" s="124"/>
      <c r="V5" s="47">
        <f>AVERAGEIFS($N$13:$N$9396,$AG$13:$AG$9396,R1)</f>
        <v>15.64754901926362</v>
      </c>
      <c r="W5" s="45">
        <f t="array" ref="W5">MIN(IF($AG$13:$AG$9396=R1,IF(ISNUMBER($N$13:$N$9396),IF($N$13:$N$9396&gt;0,$N$13:$N$9396))))</f>
        <v>13.749999997671694</v>
      </c>
      <c r="X5" s="116">
        <f t="array" ref="X5">MAX(IF($AG$13:$AG$9396=R1,IF(ISNUMBER($N$13:$N$9396),IF($N$13:$N$9396&gt;0,$N$13:$N$9396))))</f>
        <v>19.366666667629033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COUNT($O$13:$O$155)</f>
        <v>0</v>
      </c>
      <c r="K6" s="46"/>
      <c r="L6" s="46"/>
      <c r="M6" s="47">
        <f>IFERROR(AVERAGE($O$13:$O$155),0)</f>
        <v>0</v>
      </c>
      <c r="N6" s="45">
        <f>MIN($O$13:$O$155)</f>
        <v>0</v>
      </c>
      <c r="O6" s="3">
        <f>MAX($O$13:$O$155)</f>
        <v>0</v>
      </c>
      <c r="P6" s="2"/>
      <c r="R6" s="88" t="s">
        <v>43</v>
      </c>
      <c r="S6" s="57">
        <f>COUNT($O$13:$O$155)</f>
        <v>0</v>
      </c>
      <c r="T6" s="46"/>
      <c r="U6" s="124"/>
      <c r="V6" s="47">
        <f>IFERROR(AVERAGE($O$13:$O$155),0)</f>
        <v>0</v>
      </c>
      <c r="W6" s="45">
        <f>MIN($O$13:$O$155)</f>
        <v>0</v>
      </c>
      <c r="X6" s="116">
        <f>MAX($O$13:$O$155)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COUNTIFS($P$13:$P$9396,"&gt;0",$AG$13:$AG$9396,I1)</f>
        <v>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COUNTIFS($P$13:$P$9396,"&gt;0",$AG$13:$AG$9396,R1)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142</v>
      </c>
      <c r="K8" s="46"/>
      <c r="L8" s="46"/>
      <c r="M8" s="47">
        <f>M5</f>
        <v>38.603521126820901</v>
      </c>
      <c r="N8" s="45">
        <f>N5</f>
        <v>34.016666666138917</v>
      </c>
      <c r="O8" s="3">
        <f>O5</f>
        <v>49.483333333628252</v>
      </c>
      <c r="P8" s="2"/>
      <c r="R8" s="87" t="s">
        <v>16</v>
      </c>
      <c r="S8" s="57">
        <f>S5</f>
        <v>34</v>
      </c>
      <c r="T8" s="46"/>
      <c r="U8" s="124"/>
      <c r="V8" s="47">
        <f>V5</f>
        <v>15.64754901926362</v>
      </c>
      <c r="W8" s="45">
        <f>W5</f>
        <v>13.749999997671694</v>
      </c>
      <c r="X8" s="116">
        <f>X5</f>
        <v>19.366666667629033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0.9726027397260274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4" t="str">
        <f>"Eagle P3 System Performance - "&amp;TEXT(Variables!A2,"yyyy-mm-dd")</f>
        <v>Eagle P3 System Performance - 2016-08-28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S11" s="72">
        <f>AVERAGE(S13:S99)</f>
        <v>0.97701149425287359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236</v>
      </c>
      <c r="AJ12" s="53" t="s">
        <v>237</v>
      </c>
      <c r="AK12" s="53" t="s">
        <v>209</v>
      </c>
      <c r="AL12" s="53" t="s">
        <v>238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376</v>
      </c>
      <c r="B13" s="7">
        <v>4002</v>
      </c>
      <c r="C13" s="24" t="s">
        <v>113</v>
      </c>
      <c r="D13" s="24" t="s">
        <v>546</v>
      </c>
      <c r="E13" s="15">
        <v>42610.128900462965</v>
      </c>
      <c r="F13" s="15">
        <v>42610.135659722226</v>
      </c>
      <c r="G13" s="7">
        <v>3</v>
      </c>
      <c r="H13" s="15" t="s">
        <v>547</v>
      </c>
      <c r="I13" s="15">
        <v>42610.160937499997</v>
      </c>
      <c r="J13" s="7">
        <v>0</v>
      </c>
      <c r="K13" s="132" t="str">
        <f t="shared" ref="K13:K44" si="0">IF(ISEVEN(B13),(B13-1)&amp;"/"&amp;B13,B13&amp;"/"&amp;(B13+1))</f>
        <v>4001/4002</v>
      </c>
      <c r="L13" s="24" t="str">
        <f>VLOOKUP(A13,'Trips&amp;Operators'!$C$1:$E$10000,3,FALSE)</f>
        <v>KILLION</v>
      </c>
      <c r="M13" s="6">
        <f t="shared" ref="M13:M44" si="1">I13-F13</f>
        <v>2.5277777771407273E-2</v>
      </c>
      <c r="N13" s="7">
        <f t="shared" ref="N13:N44" si="2">24*60*SUM($M13:$M13)</f>
        <v>36.399999990826473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44" si="4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https://search-rtdc-monitor-bjffxe2xuh6vdkpspy63sjmuny.us-east-1.es.amazonaws.com/_plugin/kibana/#/discover/Steve-Slow-Train-Analysis-(2080s-and-2083s)?_g=(refreshInterval:(display:Off,section:0,value:0),time:(from:'2016-08-28 02:05:37-0600',mode:absolute,to:'2016-08-28 04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3" s="54" t="str">
        <f t="shared" ref="W13:W44" si="6">IF(AA13&lt;IF(AG13="EC",23,5.65),"Y","N")</f>
        <v>N</v>
      </c>
      <c r="X13" s="120" t="e">
        <f t="shared" ref="X13:X44" si="7">VALUE(LEFT(AD13,4))-VALUE(LEFT(AD12,4))</f>
        <v>#VALUE!</v>
      </c>
      <c r="Y13" s="69">
        <f t="shared" ref="Y13:Y44" si="8">RIGHT(D13,LEN(D13)-4)/10000</f>
        <v>7.6300000000000007E-2</v>
      </c>
      <c r="Z13" s="69">
        <f t="shared" ref="Z13:Z44" si="9">RIGHT(H13,LEN(H13)-4)/10000</f>
        <v>23.328399999999998</v>
      </c>
      <c r="AA13" s="69">
        <f t="shared" ref="AA13:AA44" si="10">ABS(Z13-Y13)</f>
        <v>23.252099999999999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 t="shared" ref="AD13:AD44" si="11">IF(LEN(A13)=6,"0"&amp;A13,A13)</f>
        <v>0101-28</v>
      </c>
      <c r="AE13" s="99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13" s="96" t="str">
        <f t="shared" ref="AF13:AF44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/stypes="*4002*20160828*" /stext=" 09:.+((SYSTEM_STATE.+slice.+state.+changed )|(ment ac)|(system.+state.+changed )|(\|lc)|(penalty)|(\[timeout)|(PRM\|1\|D)|(kpr)|(kdp))" /e /r /s</v>
      </c>
      <c r="AG13" s="1" t="str">
        <f t="shared" ref="AG13:AG44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4002 --swversion DE.1.0.7.0 --startMP 204:763 --initTime 2016-08-28T03:05:37 --startdatetime 2016-08-28T03:15:21 --delay 3 --endMP 204:233284 --enddatetime 2016-08-28T03:51:45 --enforcementcount 0 &gt;&gt;C:\Users\stu\Documents\GitHub\eaglep3-reporting\EC\2016-08-28-refined-times.txt</v>
      </c>
      <c r="AI13" s="14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{"issue":{"subject":"","project_id":79,"tracker_id":40,"status_id":1,"priority_id":2,"assigned_to_id":23,"start_date":"2016-08-28","description":"","custom_fields":[{"id":1,"name":"Subdivision","value":"EC"},{"id":4,"name":"Milepost","value":"23.2521"},{"id":17,"name":"Train ID","value":"101-28"},{"id":16,"name":"Locomotive ID","value":"4002"},{"id":130,"name":"Impact","value":""},{"id":150,"name":"Time of Event (Mountain Time)","value":"03:51:45"},{"id":151,"name":"Denver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377</v>
      </c>
      <c r="B14" s="7">
        <v>4028</v>
      </c>
      <c r="C14" s="24" t="s">
        <v>113</v>
      </c>
      <c r="D14" s="24" t="s">
        <v>548</v>
      </c>
      <c r="E14" s="15">
        <v>42610.167303240742</v>
      </c>
      <c r="F14" s="15">
        <v>42610.174641203703</v>
      </c>
      <c r="G14" s="7">
        <v>1</v>
      </c>
      <c r="H14" s="15" t="s">
        <v>136</v>
      </c>
      <c r="I14" s="15">
        <v>42610.201307870368</v>
      </c>
      <c r="J14" s="7">
        <v>0</v>
      </c>
      <c r="K14" s="132" t="str">
        <f t="shared" si="0"/>
        <v>4027/4028</v>
      </c>
      <c r="L14" s="24" t="str">
        <f>VLOOKUP(A14,'Trips&amp;Operators'!$C$1:$E$10000,3,FALSE)</f>
        <v>KILLION</v>
      </c>
      <c r="M14" s="6">
        <f t="shared" si="1"/>
        <v>2.6666666664823424E-2</v>
      </c>
      <c r="N14" s="7">
        <f t="shared" si="2"/>
        <v>38.399999997345731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03:00:55-0600',mode:absolute,to:'2016-08-28 05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" s="54" t="str">
        <f t="shared" si="6"/>
        <v>N</v>
      </c>
      <c r="X14" s="120">
        <f t="shared" si="7"/>
        <v>1</v>
      </c>
      <c r="Y14" s="69">
        <f t="shared" si="8"/>
        <v>23.262699999999999</v>
      </c>
      <c r="Z14" s="69">
        <f t="shared" si="9"/>
        <v>1.49E-2</v>
      </c>
      <c r="AA14" s="69">
        <f t="shared" si="10"/>
        <v>23.247799999999998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11"/>
        <v>0102-28</v>
      </c>
      <c r="AE14" s="99" t="str">
        <f t="shared" si="12"/>
        <v>aws s3 cp s3://rtdc.mdm.uploadarchive/RTDC4028/2016-08-28/ "%USERPROFILE%\AppData\Local\Temp\OnboardLogs"\RTDC4028\2016-08-28 --recursive &amp; "%USERPROFILE%\Documents\GitHub\mrs-test-scripts\Headless Mode &amp; Sideloading\WalkAndUnGZ.bat" "%USERPROFILE%\AppData\Local\Temp\OnboardLogs"\RTDC4028\2016-08-28 &amp; 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</v>
      </c>
      <c r="AF14" s="96" t="str">
        <f t="shared" si="13"/>
        <v>"C:\Program Files (x86)\AstroGrep\AstroGrep.exe" /spath="%USERPROFILE%\AppData\Local\Temp\OnboardLogs" /stypes="*4028*20160828*"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4028 --swversion DE.1.0.7.0 --startMP 204:232627 --initTime 2016-08-28T04:00:55 --startdatetime 2016-08-28T04:11:29 --delay 1 --endMP 204:149 --enddatetime 2016-08-28T04:49:53 --enforcementcount 0 &gt;&gt;C:\Users\stu\Documents\GitHub\eaglep3-reporting\EC\2016-08-28-refined-times.txt</v>
      </c>
      <c r="AI14" s="14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{"issue":{"subject":"","project_id":79,"tracker_id":40,"status_id":1,"priority_id":2,"assigned_to_id":23,"start_date":"2016-08-28","description":"","custom_fields":[{"id":1,"name":"Subdivision","value":"EC"},{"id":4,"name":"Milepost","value":"23.2478"},{"id":17,"name":"Train ID","value":"102-28"},{"id":16,"name":"Locomotive ID","value":"4028"},{"id":130,"name":"Impact","value":""},{"id":150,"name":"Time of Event (Mountain Time)","value":"04:49:53"},{"id":151,"name":"Denver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350</v>
      </c>
      <c r="B15" s="7">
        <v>4040</v>
      </c>
      <c r="C15" s="24" t="s">
        <v>113</v>
      </c>
      <c r="D15" s="24" t="s">
        <v>549</v>
      </c>
      <c r="E15" s="15">
        <v>42610.15347222222</v>
      </c>
      <c r="F15" s="15">
        <v>42610.156481481485</v>
      </c>
      <c r="G15" s="7">
        <v>1</v>
      </c>
      <c r="H15" s="15" t="s">
        <v>550</v>
      </c>
      <c r="I15" s="15">
        <v>42610.182129629633</v>
      </c>
      <c r="J15" s="7">
        <v>0</v>
      </c>
      <c r="K15" s="132" t="str">
        <f t="shared" si="0"/>
        <v>4039/4040</v>
      </c>
      <c r="L15" s="24" t="str">
        <f>VLOOKUP(A15,'Trips&amp;Operators'!$C$1:$E$10000,3,FALSE)</f>
        <v>ACKERMAN</v>
      </c>
      <c r="M15" s="6">
        <f t="shared" si="1"/>
        <v>2.5648148148320615E-2</v>
      </c>
      <c r="N15" s="7">
        <f t="shared" si="2"/>
        <v>36.933333333581686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02:41:00-0600',mode:absolute,to:'2016-08-28 05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5" s="54" t="str">
        <f t="shared" si="6"/>
        <v>N</v>
      </c>
      <c r="X15" s="120">
        <f t="shared" si="7"/>
        <v>1</v>
      </c>
      <c r="Y15" s="69">
        <f t="shared" si="8"/>
        <v>6.7000000000000004E-2</v>
      </c>
      <c r="Z15" s="69">
        <f t="shared" si="9"/>
        <v>23.339500000000001</v>
      </c>
      <c r="AA15" s="69">
        <f t="shared" si="10"/>
        <v>23.272500000000001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11"/>
        <v>0103-28</v>
      </c>
      <c r="AE15" s="99" t="str">
        <f t="shared" si="12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15" s="96" t="str">
        <f t="shared" si="13"/>
        <v>"C:\Program Files (x86)\AstroGrep\AstroGrep.exe" /spath="%USERPROFILE%\AppData\Local\Temp\OnboardLogs" /stypes="*4040*20160828*"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103-28 --locoid 4040 --swversion DE.1.0.7.0 --startMP 204:670 --initTime 2016-08-28T03:41:00 --startdatetime 2016-08-28T03:45:20 --delay 1 --endMP 204:233395 --enddatetime 2016-08-28T04:22:16 --enforcementcount 0 &gt;&gt;C:\Users\stu\Documents\GitHub\eaglep3-reporting\EC\2016-08-28-refined-times.txt</v>
      </c>
      <c r="AI15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{"issue":{"subject":"","project_id":79,"tracker_id":40,"status_id":1,"priority_id":2,"assigned_to_id":23,"start_date":"2016-08-28","description":"","custom_fields":[{"id":1,"name":"Subdivision","value":"EC"},{"id":4,"name":"Milepost","value":"23.2725"},{"id":17,"name":"Train ID","value":"103-28"},{"id":16,"name":"Locomotive ID","value":"4040"},{"id":130,"name":"Impact","value":""},{"id":150,"name":"Time of Event (Mountain Time)","value":"04:22:16"},{"id":151,"name":"Denver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381</v>
      </c>
      <c r="B16" s="7">
        <v>4013</v>
      </c>
      <c r="C16" s="24" t="s">
        <v>113</v>
      </c>
      <c r="D16" s="24" t="s">
        <v>551</v>
      </c>
      <c r="E16" s="15">
        <v>42610.188298611109</v>
      </c>
      <c r="F16" s="15">
        <v>42610.195416666669</v>
      </c>
      <c r="G16" s="7">
        <v>1</v>
      </c>
      <c r="H16" s="15" t="s">
        <v>152</v>
      </c>
      <c r="I16" s="15">
        <v>42610.223738425928</v>
      </c>
      <c r="J16" s="7">
        <v>0</v>
      </c>
      <c r="K16" s="132" t="str">
        <f t="shared" si="0"/>
        <v>4013/4014</v>
      </c>
      <c r="L16" s="24" t="str">
        <f>VLOOKUP(A16,'Trips&amp;Operators'!$C$1:$E$10000,3,FALSE)</f>
        <v>ACKERMAN</v>
      </c>
      <c r="M16" s="6">
        <f t="shared" si="1"/>
        <v>2.8321759258687962E-2</v>
      </c>
      <c r="N16" s="7">
        <f t="shared" si="2"/>
        <v>40.783333332510665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03:31:09-0600',mode:absolute,to:'2016-08-28 06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" s="54" t="str">
        <f t="shared" si="6"/>
        <v>N</v>
      </c>
      <c r="X16" s="120">
        <f t="shared" si="7"/>
        <v>1</v>
      </c>
      <c r="Y16" s="69">
        <f t="shared" si="8"/>
        <v>23.2743</v>
      </c>
      <c r="Z16" s="69">
        <f t="shared" si="9"/>
        <v>1.5599999999999999E-2</v>
      </c>
      <c r="AA16" s="69">
        <f t="shared" si="10"/>
        <v>23.258700000000001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 t="shared" si="11"/>
        <v>0104-28</v>
      </c>
      <c r="AE16" s="99" t="str">
        <f t="shared" si="12"/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AF16" s="96" t="str">
        <f t="shared" si="13"/>
        <v>"C:\Program Files (x86)\AstroGrep\AstroGrep.exe" /spath="%USERPROFILE%\AppData\Local\Temp\OnboardLogs" /stypes="*4013*20160828*"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104-28 --locoid 4013 --swversion DE.1.0.7.0 --startMP 204:232743 --initTime 2016-08-28T04:31:09 --startdatetime 2016-08-28T04:41:24 --delay 1 --endMP 204:156 --enddatetime 2016-08-28T05:22:11 --enforcementcount 0 &gt;&gt;C:\Users\stu\Documents\GitHub\eaglep3-reporting\EC\2016-08-28-refined-times.txt</v>
      </c>
      <c r="AI16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{"issue":{"subject":"","project_id":79,"tracker_id":40,"status_id":1,"priority_id":2,"assigned_to_id":23,"start_date":"2016-08-28","description":"","custom_fields":[{"id":1,"name":"Subdivision","value":"EC"},{"id":4,"name":"Milepost","value":"23.2587"},{"id":17,"name":"Train ID","value":"104-28"},{"id":16,"name":"Locomotive ID","value":"4013"},{"id":130,"name":"Impact","value":""},{"id":150,"name":"Time of Event (Mountain Time)","value":"05:22:11"},{"id":151,"name":"Denver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378</v>
      </c>
      <c r="B17" s="7">
        <v>4042</v>
      </c>
      <c r="C17" s="24" t="s">
        <v>113</v>
      </c>
      <c r="D17" s="24" t="s">
        <v>546</v>
      </c>
      <c r="E17" s="15">
        <v>42610.170532407406</v>
      </c>
      <c r="F17" s="15">
        <v>42610.177453703705</v>
      </c>
      <c r="G17" s="7">
        <v>1</v>
      </c>
      <c r="H17" s="15" t="s">
        <v>552</v>
      </c>
      <c r="I17" s="15">
        <v>42610.204085648147</v>
      </c>
      <c r="J17" s="7">
        <v>0</v>
      </c>
      <c r="K17" s="132" t="str">
        <f t="shared" si="0"/>
        <v>4041/4042</v>
      </c>
      <c r="L17" s="24" t="str">
        <f>VLOOKUP(A17,'Trips&amp;Operators'!$C$1:$E$10000,3,FALSE)</f>
        <v>SWANSON</v>
      </c>
      <c r="M17" s="6">
        <f t="shared" si="1"/>
        <v>2.6631944441760425E-2</v>
      </c>
      <c r="N17" s="7">
        <f t="shared" si="2"/>
        <v>38.349999996135011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03:05:34-0600',mode:absolute,to:'2016-08-28 05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" s="54" t="str">
        <f t="shared" si="6"/>
        <v>N</v>
      </c>
      <c r="X17" s="120">
        <f t="shared" si="7"/>
        <v>1</v>
      </c>
      <c r="Y17" s="69">
        <f t="shared" si="8"/>
        <v>7.6300000000000007E-2</v>
      </c>
      <c r="Z17" s="69">
        <f t="shared" si="9"/>
        <v>23.327000000000002</v>
      </c>
      <c r="AA17" s="69">
        <f t="shared" si="10"/>
        <v>23.250700000000002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11"/>
        <v>0105-28</v>
      </c>
      <c r="AE17" s="99" t="str">
        <f t="shared" si="12"/>
        <v>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 &amp; 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</v>
      </c>
      <c r="AF17" s="96" t="str">
        <f t="shared" si="13"/>
        <v>"C:\Program Files (x86)\AstroGrep\AstroGrep.exe" /spath="%USERPROFILE%\AppData\Local\Temp\OnboardLogs" /stypes="*4042*20160828*"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105-28 --locoid 4042 --swversion DE.1.0.7.0 --startMP 204:763 --initTime 2016-08-28T04:05:34 --startdatetime 2016-08-28T04:15:32 --delay 1 --endMP 204:233270 --enddatetime 2016-08-28T04:53:53 --enforcementcount 0 &gt;&gt;C:\Users\stu\Documents\GitHub\eaglep3-reporting\EC\2016-08-28-refined-times.txt</v>
      </c>
      <c r="AI17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{"issue":{"subject":"","project_id":79,"tracker_id":40,"status_id":1,"priority_id":2,"assigned_to_id":23,"start_date":"2016-08-28","description":"","custom_fields":[{"id":1,"name":"Subdivision","value":"EC"},{"id":4,"name":"Milepost","value":"23.2507"},{"id":17,"name":"Train ID","value":"105-28"},{"id":16,"name":"Locomotive ID","value":"4042"},{"id":130,"name":"Impact","value":""},{"id":150,"name":"Time of Event (Mountain Time)","value":"04:53:53"},{"id":151,"name":"Denver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384</v>
      </c>
      <c r="B18" s="7">
        <v>4004</v>
      </c>
      <c r="C18" s="24" t="s">
        <v>113</v>
      </c>
      <c r="D18" s="24" t="s">
        <v>553</v>
      </c>
      <c r="E18" s="15">
        <v>42610.207685185182</v>
      </c>
      <c r="F18" s="15">
        <v>42610.216261574074</v>
      </c>
      <c r="G18" s="7">
        <v>1</v>
      </c>
      <c r="H18" s="15" t="s">
        <v>197</v>
      </c>
      <c r="I18" s="15">
        <v>42610.245254629626</v>
      </c>
      <c r="J18" s="7">
        <v>0</v>
      </c>
      <c r="K18" s="132" t="str">
        <f t="shared" si="0"/>
        <v>4003/4004</v>
      </c>
      <c r="L18" s="24" t="str">
        <f>VLOOKUP(A18,'Trips&amp;Operators'!$C$1:$E$10000,3,FALSE)</f>
        <v>SWANSON</v>
      </c>
      <c r="M18" s="6">
        <f t="shared" si="1"/>
        <v>2.8993055551836733E-2</v>
      </c>
      <c r="N18" s="7">
        <f t="shared" si="2"/>
        <v>41.749999994644895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03:59:04-0600',mode:absolute,to:'2016-08-28 06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8" s="54" t="str">
        <f t="shared" si="6"/>
        <v>N</v>
      </c>
      <c r="X18" s="120">
        <f t="shared" si="7"/>
        <v>1</v>
      </c>
      <c r="Y18" s="69">
        <f t="shared" si="8"/>
        <v>23.267299999999999</v>
      </c>
      <c r="Z18" s="69">
        <f t="shared" si="9"/>
        <v>1.38E-2</v>
      </c>
      <c r="AA18" s="69">
        <f t="shared" si="10"/>
        <v>23.253499999999999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11"/>
        <v>0106-28</v>
      </c>
      <c r="AE18" s="99" t="str">
        <f t="shared" si="12"/>
        <v>aws s3 cp s3://rtdc.mdm.uploadarchive/RTDC4004/2016-08-28/ "%USERPROFILE%\AppData\Local\Temp\OnboardLogs"\RTDC4004\2016-08-28 --recursive &amp; "%USERPROFILE%\Documents\GitHub\mrs-test-scripts\Headless Mode &amp; Sideloading\WalkAndUnGZ.bat" "%USERPROFILE%\AppData\Local\Temp\OnboardLogs"\RTDC4004\2016-08-28 &amp; 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</v>
      </c>
      <c r="AF18" s="96" t="str">
        <f t="shared" si="13"/>
        <v>"C:\Program Files (x86)\AstroGrep\AstroGrep.exe" /spath="%USERPROFILE%\AppData\Local\Temp\OnboardLogs" /stypes="*4004*20160828*"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106-28 --locoid 4004 --swversion DE.1.0.7.0 --startMP 204:232673 --initTime 2016-08-28T04:59:04 --startdatetime 2016-08-28T05:11:25 --delay 1 --endMP 204:138 --enddatetime 2016-08-28T05:53:10 --enforcementcount 0 &gt;&gt;C:\Users\stu\Documents\GitHub\eaglep3-reporting\EC\2016-08-28-refined-times.txt</v>
      </c>
      <c r="AI18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{"issue":{"subject":"","project_id":79,"tracker_id":40,"status_id":1,"priority_id":2,"assigned_to_id":23,"start_date":"2016-08-28","description":"","custom_fields":[{"id":1,"name":"Subdivision","value":"EC"},{"id":4,"name":"Milepost","value":"23.2535"},{"id":17,"name":"Train ID","value":"106-28"},{"id":16,"name":"Locomotive ID","value":"4004"},{"id":130,"name":"Impact","value":""},{"id":150,"name":"Time of Event (Mountain Time)","value":"05:53:10"},{"id":151,"name":"Denver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380</v>
      </c>
      <c r="B19" s="7">
        <v>4038</v>
      </c>
      <c r="C19" s="24" t="s">
        <v>113</v>
      </c>
      <c r="D19" s="24" t="s">
        <v>135</v>
      </c>
      <c r="E19" s="15">
        <v>42610.185416666667</v>
      </c>
      <c r="F19" s="15">
        <v>42610.188414351855</v>
      </c>
      <c r="G19" s="7">
        <v>1</v>
      </c>
      <c r="H19" s="15" t="s">
        <v>296</v>
      </c>
      <c r="I19" s="15">
        <v>42610.215243055558</v>
      </c>
      <c r="J19" s="7">
        <v>0</v>
      </c>
      <c r="K19" s="132" t="str">
        <f t="shared" si="0"/>
        <v>4037/4038</v>
      </c>
      <c r="L19" s="24" t="str">
        <f>VLOOKUP(A19,'Trips&amp;Operators'!$C$1:$E$10000,3,FALSE)</f>
        <v>DAVIS</v>
      </c>
      <c r="M19" s="6">
        <f t="shared" si="1"/>
        <v>2.6828703703358769E-2</v>
      </c>
      <c r="N19" s="7">
        <f t="shared" si="2"/>
        <v>38.633333332836628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03:27:00-0600',mode:absolute,to:'2016-08-28 06:09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" s="54" t="str">
        <f t="shared" si="6"/>
        <v>N</v>
      </c>
      <c r="X19" s="120">
        <f t="shared" si="7"/>
        <v>1</v>
      </c>
      <c r="Y19" s="69">
        <f t="shared" si="8"/>
        <v>4.4900000000000002E-2</v>
      </c>
      <c r="Z19" s="69">
        <f t="shared" si="9"/>
        <v>23.332899999999999</v>
      </c>
      <c r="AA19" s="69">
        <f t="shared" si="10"/>
        <v>23.288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 t="shared" si="11"/>
        <v>0107-28</v>
      </c>
      <c r="AE19" s="99" t="str">
        <f t="shared" si="12"/>
        <v>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 &amp; 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</v>
      </c>
      <c r="AF19" s="96" t="str">
        <f t="shared" si="13"/>
        <v>"C:\Program Files (x86)\AstroGrep\AstroGrep.exe" /spath="%USERPROFILE%\AppData\Local\Temp\OnboardLogs" /stypes="*4038*20160828*"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107-28 --locoid 4038 --swversion DE.1.0.7.0 --startMP 204:449 --initTime 2016-08-28T04:27:00 --startdatetime 2016-08-28T04:31:19 --delay 1 --endMP 204:233329 --enddatetime 2016-08-28T05:09:57 --enforcementcount 0 &gt;&gt;C:\Users\stu\Documents\GitHub\eaglep3-reporting\EC\2016-08-28-refined-times.txt</v>
      </c>
      <c r="AI19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{"issue":{"subject":"","project_id":79,"tracker_id":40,"status_id":1,"priority_id":2,"assigned_to_id":23,"start_date":"2016-08-28","description":"","custom_fields":[{"id":1,"name":"Subdivision","value":"EC"},{"id":4,"name":"Milepost","value":"23.288"},{"id":17,"name":"Train ID","value":"107-28"},{"id":16,"name":"Locomotive ID","value":"4038"},{"id":130,"name":"Impact","value":""},{"id":150,"name":"Time of Event (Mountain Time)","value":"05:09:57"},{"id":151,"name":"Denver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385</v>
      </c>
      <c r="B20" s="7">
        <v>4037</v>
      </c>
      <c r="C20" s="24" t="s">
        <v>113</v>
      </c>
      <c r="D20" s="24" t="s">
        <v>198</v>
      </c>
      <c r="E20" s="15">
        <v>42610.221203703702</v>
      </c>
      <c r="F20" s="15">
        <v>42610.226736111108</v>
      </c>
      <c r="G20" s="7">
        <v>1</v>
      </c>
      <c r="H20" s="15" t="s">
        <v>243</v>
      </c>
      <c r="I20" s="15">
        <v>42610.255069444444</v>
      </c>
      <c r="J20" s="7">
        <v>0</v>
      </c>
      <c r="K20" s="132" t="str">
        <f t="shared" si="0"/>
        <v>4037/4038</v>
      </c>
      <c r="L20" s="24" t="str">
        <f>VLOOKUP(A20,'Trips&amp;Operators'!$C$1:$E$10000,3,FALSE)</f>
        <v>DAVIS</v>
      </c>
      <c r="M20" s="6">
        <f t="shared" si="1"/>
        <v>2.8333333335467614E-2</v>
      </c>
      <c r="N20" s="7">
        <f t="shared" si="2"/>
        <v>40.800000003073364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04:18:32-0600',mode:absolute,to:'2016-08-28 07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0" s="54" t="str">
        <f t="shared" si="6"/>
        <v>N</v>
      </c>
      <c r="X20" s="120">
        <f t="shared" si="7"/>
        <v>1</v>
      </c>
      <c r="Y20" s="69">
        <f t="shared" si="8"/>
        <v>23.3002</v>
      </c>
      <c r="Z20" s="69">
        <f t="shared" si="9"/>
        <v>1.2999999999999999E-2</v>
      </c>
      <c r="AA20" s="69">
        <f t="shared" si="10"/>
        <v>23.287199999999999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 t="shared" si="11"/>
        <v>0108-28</v>
      </c>
      <c r="AE20" s="99" t="str">
        <f t="shared" si="12"/>
        <v>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 &amp; 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</v>
      </c>
      <c r="AF20" s="96" t="str">
        <f t="shared" si="13"/>
        <v>"C:\Program Files (x86)\AstroGrep\AstroGrep.exe" /spath="%USERPROFILE%\AppData\Local\Temp\OnboardLogs" /stypes="*4037*20160828*"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108-28 --locoid 4037 --swversion DE.1.0.7.0 --startMP 204:233002 --initTime 2016-08-28T05:18:32 --startdatetime 2016-08-28T05:26:30 --delay 1 --endMP 204:130 --enddatetime 2016-08-28T06:07:18 --enforcementcount 0 &gt;&gt;C:\Users\stu\Documents\GitHub\eaglep3-reporting\EC\2016-08-28-refined-times.txt</v>
      </c>
      <c r="AI20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{"issue":{"subject":"","project_id":79,"tracker_id":40,"status_id":1,"priority_id":2,"assigned_to_id":23,"start_date":"2016-08-28","description":"","custom_fields":[{"id":1,"name":"Subdivision","value":"EC"},{"id":4,"name":"Milepost","value":"23.2872"},{"id":17,"name":"Train ID","value":"108-28"},{"id":16,"name":"Locomotive ID","value":"4037"},{"id":130,"name":"Impact","value":""},{"id":150,"name":"Time of Event (Mountain Time)","value":"06:07:18"},{"id":151,"name":"Denver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382</v>
      </c>
      <c r="B21" s="7">
        <v>4007</v>
      </c>
      <c r="C21" s="24" t="s">
        <v>113</v>
      </c>
      <c r="D21" s="24" t="s">
        <v>138</v>
      </c>
      <c r="E21" s="15">
        <v>42610.195543981485</v>
      </c>
      <c r="F21" s="15">
        <v>42610.198136574072</v>
      </c>
      <c r="G21" s="7">
        <v>1</v>
      </c>
      <c r="H21" s="15" t="s">
        <v>249</v>
      </c>
      <c r="I21" s="15">
        <v>42610.224421296298</v>
      </c>
      <c r="J21" s="7">
        <v>0</v>
      </c>
      <c r="K21" s="132" t="str">
        <f t="shared" si="0"/>
        <v>4007/4008</v>
      </c>
      <c r="L21" s="24" t="str">
        <f>VLOOKUP(A21,'Trips&amp;Operators'!$C$1:$E$10000,3,FALSE)</f>
        <v>MALAVE</v>
      </c>
      <c r="M21" s="6">
        <f t="shared" si="1"/>
        <v>2.6284722225682344E-2</v>
      </c>
      <c r="N21" s="7">
        <f t="shared" si="2"/>
        <v>37.850000004982576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03:41:35-0600',mode:absolute,to:'2016-08-28 06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1" s="54" t="str">
        <f t="shared" si="6"/>
        <v>N</v>
      </c>
      <c r="X21" s="120">
        <f t="shared" si="7"/>
        <v>1</v>
      </c>
      <c r="Y21" s="69">
        <f t="shared" si="8"/>
        <v>4.6899999999999997E-2</v>
      </c>
      <c r="Z21" s="69">
        <f t="shared" si="9"/>
        <v>23.328600000000002</v>
      </c>
      <c r="AA21" s="69">
        <f t="shared" si="10"/>
        <v>23.281700000000001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 t="shared" si="11"/>
        <v>0109-28</v>
      </c>
      <c r="AE21" s="99" t="str">
        <f t="shared" si="12"/>
        <v>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 &amp; 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</v>
      </c>
      <c r="AF21" s="96" t="str">
        <f t="shared" si="13"/>
        <v>"C:\Program Files (x86)\AstroGrep\AstroGrep.exe" /spath="%USERPROFILE%\AppData\Local\Temp\OnboardLogs" /stypes="*4007*20160828*"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109-28 --locoid 4007 --swversion DE.1.0.7.0 --startMP 204:469 --initTime 2016-08-28T04:41:35 --startdatetime 2016-08-28T04:45:19 --delay 1 --endMP 204:233286 --enddatetime 2016-08-28T05:23:10 --enforcementcount 0 &gt;&gt;C:\Users\stu\Documents\GitHub\eaglep3-reporting\EC\2016-08-28-refined-times.txt</v>
      </c>
      <c r="AI21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{"issue":{"subject":"","project_id":79,"tracker_id":40,"status_id":1,"priority_id":2,"assigned_to_id":23,"start_date":"2016-08-28","description":"","custom_fields":[{"id":1,"name":"Subdivision","value":"EC"},{"id":4,"name":"Milepost","value":"23.2817"},{"id":17,"name":"Train ID","value":"109-28"},{"id":16,"name":"Locomotive ID","value":"4007"},{"id":130,"name":"Impact","value":""},{"id":150,"name":"Time of Event (Mountain Time)","value":"05:23:10"},{"id":151,"name":"Denver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389</v>
      </c>
      <c r="B22" s="7">
        <v>4008</v>
      </c>
      <c r="C22" s="24" t="s">
        <v>113</v>
      </c>
      <c r="D22" s="24" t="s">
        <v>554</v>
      </c>
      <c r="E22" s="15">
        <v>42610.235868055555</v>
      </c>
      <c r="F22" s="15">
        <v>42610.237013888887</v>
      </c>
      <c r="G22" s="7">
        <v>1</v>
      </c>
      <c r="H22" s="15" t="s">
        <v>155</v>
      </c>
      <c r="I22" s="15">
        <v>42610.265231481484</v>
      </c>
      <c r="J22" s="7">
        <v>0</v>
      </c>
      <c r="K22" s="132" t="str">
        <f t="shared" si="0"/>
        <v>4007/4008</v>
      </c>
      <c r="L22" s="24" t="str">
        <f>VLOOKUP(A22,'Trips&amp;Operators'!$C$1:$E$10000,3,FALSE)</f>
        <v>MALAVE</v>
      </c>
      <c r="M22" s="6">
        <f t="shared" si="1"/>
        <v>2.8217592596774921E-2</v>
      </c>
      <c r="N22" s="7">
        <f t="shared" si="2"/>
        <v>40.633333339355886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04:39:39-0600',mode:absolute,to:'2016-08-28 07:21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2" s="54" t="str">
        <f t="shared" si="6"/>
        <v>N</v>
      </c>
      <c r="X22" s="120">
        <f t="shared" si="7"/>
        <v>1</v>
      </c>
      <c r="Y22" s="69">
        <f t="shared" si="8"/>
        <v>23.296099999999999</v>
      </c>
      <c r="Z22" s="69">
        <f t="shared" si="9"/>
        <v>1.54E-2</v>
      </c>
      <c r="AA22" s="69">
        <f t="shared" si="10"/>
        <v>23.2807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 t="shared" si="11"/>
        <v>0110-28</v>
      </c>
      <c r="AE22" s="99" t="str">
        <f t="shared" si="12"/>
        <v>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 &amp; 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</v>
      </c>
      <c r="AF22" s="96" t="str">
        <f t="shared" si="13"/>
        <v>"C:\Program Files (x86)\AstroGrep\AstroGrep.exe" /spath="%USERPROFILE%\AppData\Local\Temp\OnboardLogs" /stypes="*4008*20160828*"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110-28 --locoid 4008 --swversion DE.1.0.7.0 --startMP 204:232961 --initTime 2016-08-28T05:39:39 --startdatetime 2016-08-28T05:41:18 --delay 1 --endMP 204:154 --enddatetime 2016-08-28T06:21:56 --enforcementcount 0 &gt;&gt;C:\Users\stu\Documents\GitHub\eaglep3-reporting\EC\2016-08-28-refined-times.txt</v>
      </c>
      <c r="AI22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{"issue":{"subject":"","project_id":79,"tracker_id":40,"status_id":1,"priority_id":2,"assigned_to_id":23,"start_date":"2016-08-28","description":"","custom_fields":[{"id":1,"name":"Subdivision","value":"EC"},{"id":4,"name":"Milepost","value":"23.2807"},{"id":17,"name":"Train ID","value":"110-28"},{"id":16,"name":"Locomotive ID","value":"4008"},{"id":130,"name":"Impact","value":""},{"id":150,"name":"Time of Event (Mountain Time)","value":"06:21:56"},{"id":151,"name":"Denver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351</v>
      </c>
      <c r="B23" s="7">
        <v>4002</v>
      </c>
      <c r="C23" s="24" t="s">
        <v>113</v>
      </c>
      <c r="D23" s="24" t="s">
        <v>555</v>
      </c>
      <c r="E23" s="15">
        <v>42610.206041666665</v>
      </c>
      <c r="F23" s="15">
        <v>42610.208518518521</v>
      </c>
      <c r="G23" s="7">
        <v>1</v>
      </c>
      <c r="H23" s="15" t="s">
        <v>556</v>
      </c>
      <c r="I23" s="15">
        <v>42610.236550925925</v>
      </c>
      <c r="J23" s="7">
        <v>0</v>
      </c>
      <c r="K23" s="132" t="str">
        <f t="shared" si="0"/>
        <v>4001/4002</v>
      </c>
      <c r="L23" s="24" t="str">
        <f>VLOOKUP(A23,'Trips&amp;Operators'!$C$1:$E$10000,3,FALSE)</f>
        <v>STRICKLAND</v>
      </c>
      <c r="M23" s="6">
        <f t="shared" si="1"/>
        <v>2.8032407404680271E-2</v>
      </c>
      <c r="N23" s="7">
        <f t="shared" si="2"/>
        <v>40.36666666273959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03:56:42-0600',mode:absolute,to:'2016-08-28 06:40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3" s="54" t="str">
        <f t="shared" si="6"/>
        <v>N</v>
      </c>
      <c r="X23" s="120">
        <f t="shared" si="7"/>
        <v>1</v>
      </c>
      <c r="Y23" s="69">
        <f t="shared" si="8"/>
        <v>7.5499999999999998E-2</v>
      </c>
      <c r="Z23" s="69">
        <f t="shared" si="9"/>
        <v>23.328900000000001</v>
      </c>
      <c r="AA23" s="69">
        <f t="shared" si="10"/>
        <v>23.253399999999999</v>
      </c>
      <c r="AB23" s="66">
        <f>VLOOKUP(A23,Enforcements!$C$7:$J$21,8,0)</f>
        <v>230436</v>
      </c>
      <c r="AC23" s="62" t="str">
        <f>VLOOKUP(A23,Enforcements!$C$7:$E$21,3,0)</f>
        <v>PERMANENT SPEED RESTRICTION</v>
      </c>
      <c r="AD23" s="63" t="str">
        <f t="shared" si="11"/>
        <v>0111-28</v>
      </c>
      <c r="AE23" s="99" t="str">
        <f t="shared" si="12"/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23" s="96" t="str">
        <f t="shared" si="13"/>
        <v>"C:\Program Files (x86)\AstroGrep\AstroGrep.exe" /spath="%USERPROFILE%\AppData\Local\Temp\OnboardLogs" /stypes="*4002*20160828*"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111-28 --locoid 4002 --swversion DE.1.0.7.0 --startMP 204:755 --initTime 2016-08-28T04:56:42 --startdatetime 2016-08-28T05:00:16 --delay 1 --endMP 204:233289 --enddatetime 2016-08-28T05:40:38 --enforcementcount 0 &gt;&gt;C:\Users\stu\Documents\GitHub\eaglep3-reporting\EC\2016-08-28-refined-times.txt</v>
      </c>
      <c r="AI23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{"issue":{"subject":"","project_id":79,"tracker_id":40,"status_id":1,"priority_id":2,"assigned_to_id":23,"start_date":"2016-08-28","description":"","custom_fields":[{"id":1,"name":"Subdivision","value":"EC"},{"id":4,"name":"Milepost","value":"23.2534"},{"id":17,"name":"Train ID","value":"111-28"},{"id":16,"name":"Locomotive ID","value":"4002"},{"id":130,"name":"Impact","value":""},{"id":150,"name":"Time of Event (Mountain Time)","value":"05:40:38"},{"id":151,"name":"Denver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353</v>
      </c>
      <c r="B24" s="7">
        <v>4001</v>
      </c>
      <c r="C24" s="24" t="s">
        <v>113</v>
      </c>
      <c r="D24" s="24" t="s">
        <v>557</v>
      </c>
      <c r="E24" s="15">
        <v>42610.244409722225</v>
      </c>
      <c r="F24" s="15">
        <v>42610.247418981482</v>
      </c>
      <c r="G24" s="7">
        <v>1</v>
      </c>
      <c r="H24" s="15" t="s">
        <v>558</v>
      </c>
      <c r="I24" s="15">
        <v>42610.276122685187</v>
      </c>
      <c r="J24" s="7">
        <v>0</v>
      </c>
      <c r="K24" s="132" t="str">
        <f t="shared" si="0"/>
        <v>4001/4002</v>
      </c>
      <c r="L24" s="24" t="str">
        <f>VLOOKUP(A24,'Trips&amp;Operators'!$C$1:$E$10000,3,FALSE)</f>
        <v>STRICKLAND</v>
      </c>
      <c r="M24" s="6">
        <f t="shared" si="1"/>
        <v>2.8703703705104999E-2</v>
      </c>
      <c r="N24" s="7">
        <f t="shared" si="2"/>
        <v>41.333333335351199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04:51:57-0600',mode:absolute,to:'2016-08-28 07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4" s="54" t="str">
        <f t="shared" si="6"/>
        <v>N</v>
      </c>
      <c r="X24" s="120">
        <f t="shared" si="7"/>
        <v>1</v>
      </c>
      <c r="Y24" s="69">
        <f t="shared" si="8"/>
        <v>23.297599999999999</v>
      </c>
      <c r="Z24" s="69">
        <f t="shared" si="9"/>
        <v>2.0899999999999998E-2</v>
      </c>
      <c r="AA24" s="69">
        <f t="shared" si="10"/>
        <v>23.276699999999998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11"/>
        <v>0112-28</v>
      </c>
      <c r="AE24" s="99" t="str">
        <f t="shared" si="12"/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AF24" s="96" t="str">
        <f t="shared" si="13"/>
        <v>"C:\Program Files (x86)\AstroGrep\AstroGrep.exe" /spath="%USERPROFILE%\AppData\Local\Temp\OnboardLogs" /stypes="*4001*20160828*"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112-28 --locoid 4001 --swversion DE.1.0.7.0 --startMP 204:232976 --initTime 2016-08-28T05:51:57 --startdatetime 2016-08-28T05:56:17 --delay 1 --endMP 204:209 --enddatetime 2016-08-28T06:37:37 --enforcementcount 0 &gt;&gt;C:\Users\stu\Documents\GitHub\eaglep3-reporting\EC\2016-08-28-refined-times.txt</v>
      </c>
      <c r="AI24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{"issue":{"subject":"","project_id":79,"tracker_id":40,"status_id":1,"priority_id":2,"assigned_to_id":23,"start_date":"2016-08-28","description":"","custom_fields":[{"id":1,"name":"Subdivision","value":"EC"},{"id":4,"name":"Milepost","value":"23.2767"},{"id":17,"name":"Train ID","value":"112-28"},{"id":16,"name":"Locomotive ID","value":"4001"},{"id":130,"name":"Impact","value":""},{"id":150,"name":"Time of Event (Mountain Time)","value":"06:37:37"},{"id":151,"name":"Denver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383</v>
      </c>
      <c r="B25" s="7">
        <v>4027</v>
      </c>
      <c r="C25" s="24" t="s">
        <v>113</v>
      </c>
      <c r="D25" s="24" t="s">
        <v>133</v>
      </c>
      <c r="E25" s="15">
        <v>42610.206087962964</v>
      </c>
      <c r="F25" s="15">
        <v>42610.218969907408</v>
      </c>
      <c r="G25" s="7">
        <v>1</v>
      </c>
      <c r="H25" s="15" t="s">
        <v>249</v>
      </c>
      <c r="I25" s="15">
        <v>42610.244606481479</v>
      </c>
      <c r="J25" s="7">
        <v>0</v>
      </c>
      <c r="K25" s="132" t="str">
        <f t="shared" si="0"/>
        <v>4027/4028</v>
      </c>
      <c r="L25" s="24" t="str">
        <f>VLOOKUP(A25,'Trips&amp;Operators'!$C$1:$E$10000,3,FALSE)</f>
        <v>KILLION</v>
      </c>
      <c r="M25" s="6">
        <f t="shared" si="1"/>
        <v>2.5636574071540963E-2</v>
      </c>
      <c r="N25" s="7">
        <f t="shared" si="2"/>
        <v>36.916666663018987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03:56:46-0600',mode:absolute,to:'2016-08-28 06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5" s="54" t="str">
        <f t="shared" si="6"/>
        <v>N</v>
      </c>
      <c r="X25" s="120">
        <f t="shared" si="7"/>
        <v>1</v>
      </c>
      <c r="Y25" s="69">
        <f t="shared" si="8"/>
        <v>4.53E-2</v>
      </c>
      <c r="Z25" s="69">
        <f t="shared" si="9"/>
        <v>23.328600000000002</v>
      </c>
      <c r="AA25" s="69">
        <f t="shared" si="10"/>
        <v>23.283300000000001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11"/>
        <v>0113-28</v>
      </c>
      <c r="AE25" s="99" t="str">
        <f t="shared" si="12"/>
        <v>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 &amp; 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</v>
      </c>
      <c r="AF25" s="96" t="str">
        <f t="shared" si="13"/>
        <v>"C:\Program Files (x86)\AstroGrep\AstroGrep.exe" /spath="%USERPROFILE%\AppData\Local\Temp\OnboardLogs" /stypes="*4027*20160828*"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113-28 --locoid 4027 --swversion DE.1.0.7.0 --startMP 204:453 --initTime 2016-08-28T04:56:46 --startdatetime 2016-08-28T05:15:19 --delay 1 --endMP 204:233286 --enddatetime 2016-08-28T05:52:14 --enforcementcount 0 &gt;&gt;C:\Users\stu\Documents\GitHub\eaglep3-reporting\EC\2016-08-28-refined-times.txt</v>
      </c>
      <c r="AI25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{"issue":{"subject":"","project_id":79,"tracker_id":40,"status_id":1,"priority_id":2,"assigned_to_id":23,"start_date":"2016-08-28","description":"","custom_fields":[{"id":1,"name":"Subdivision","value":"EC"},{"id":4,"name":"Milepost","value":"23.2833"},{"id":17,"name":"Train ID","value":"113-28"},{"id":16,"name":"Locomotive ID","value":"4027"},{"id":130,"name":"Impact","value":""},{"id":150,"name":"Time of Event (Mountain Time)","value":"05:52:14"},{"id":151,"name":"Denver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354</v>
      </c>
      <c r="B26" s="7">
        <v>4028</v>
      </c>
      <c r="C26" s="24" t="s">
        <v>113</v>
      </c>
      <c r="D26" s="24" t="s">
        <v>244</v>
      </c>
      <c r="E26" s="15">
        <v>42610.254004629627</v>
      </c>
      <c r="F26" s="15">
        <v>42610.258125</v>
      </c>
      <c r="G26" s="7">
        <v>1</v>
      </c>
      <c r="H26" s="15" t="s">
        <v>200</v>
      </c>
      <c r="I26" s="15">
        <v>42610.285428240742</v>
      </c>
      <c r="J26" s="7">
        <v>0</v>
      </c>
      <c r="K26" s="132" t="str">
        <f t="shared" si="0"/>
        <v>4027/4028</v>
      </c>
      <c r="L26" s="24" t="str">
        <f>VLOOKUP(A26,'Trips&amp;Operators'!$C$1:$E$10000,3,FALSE)</f>
        <v>KILLION</v>
      </c>
      <c r="M26" s="6">
        <f t="shared" si="1"/>
        <v>2.7303240742185153E-2</v>
      </c>
      <c r="N26" s="7">
        <f t="shared" si="2"/>
        <v>39.31666666874662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05:05:46-0600',mode:absolute,to:'2016-08-28 07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6" s="54" t="str">
        <f t="shared" si="6"/>
        <v>N</v>
      </c>
      <c r="X26" s="120">
        <f t="shared" si="7"/>
        <v>1</v>
      </c>
      <c r="Y26" s="69">
        <f t="shared" si="8"/>
        <v>23.297999999999998</v>
      </c>
      <c r="Z26" s="69">
        <f t="shared" si="9"/>
        <v>1.34E-2</v>
      </c>
      <c r="AA26" s="69">
        <f t="shared" si="10"/>
        <v>23.284599999999998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 t="shared" si="11"/>
        <v>0114-28</v>
      </c>
      <c r="AE26" s="99" t="str">
        <f t="shared" si="12"/>
        <v>aws s3 cp s3://rtdc.mdm.uploadarchive/RTDC4028/2016-08-28/ "%USERPROFILE%\AppData\Local\Temp\OnboardLogs"\RTDC4028\2016-08-28 --recursive &amp; "%USERPROFILE%\Documents\GitHub\mrs-test-scripts\Headless Mode &amp; Sideloading\WalkAndUnGZ.bat" "%USERPROFILE%\AppData\Local\Temp\OnboardLogs"\RTDC4028\2016-08-28 &amp; 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</v>
      </c>
      <c r="AF26" s="96" t="str">
        <f t="shared" si="13"/>
        <v>"C:\Program Files (x86)\AstroGrep\AstroGrep.exe" /spath="%USERPROFILE%\AppData\Local\Temp\OnboardLogs" /stypes="*4028*20160828*"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114-28 --locoid 4028 --swversion DE.1.0.7.0 --startMP 204:232980 --initTime 2016-08-28T06:05:46 --startdatetime 2016-08-28T06:11:42 --delay 1 --endMP 204:134 --enddatetime 2016-08-28T06:51:01 --enforcementcount 0 &gt;&gt;C:\Users\stu\Documents\GitHub\eaglep3-reporting\EC\2016-08-28-refined-times.txt</v>
      </c>
      <c r="AI26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{"issue":{"subject":"","project_id":79,"tracker_id":40,"status_id":1,"priority_id":2,"assigned_to_id":23,"start_date":"2016-08-28","description":"","custom_fields":[{"id":1,"name":"Subdivision","value":"EC"},{"id":4,"name":"Milepost","value":"23.2846"},{"id":17,"name":"Train ID","value":"114-28"},{"id":16,"name":"Locomotive ID","value":"4028"},{"id":130,"name":"Impact","value":""},{"id":150,"name":"Time of Event (Mountain Time)","value":"06:51:01"},{"id":151,"name":"Denver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386</v>
      </c>
      <c r="B27" s="7">
        <v>4040</v>
      </c>
      <c r="C27" s="24" t="s">
        <v>113</v>
      </c>
      <c r="D27" s="24" t="s">
        <v>559</v>
      </c>
      <c r="E27" s="15">
        <v>42610.225277777776</v>
      </c>
      <c r="F27" s="15">
        <v>42610.229432870372</v>
      </c>
      <c r="G27" s="7">
        <v>1</v>
      </c>
      <c r="H27" s="15" t="s">
        <v>330</v>
      </c>
      <c r="I27" s="15">
        <v>42610.253692129627</v>
      </c>
      <c r="J27" s="7">
        <v>0</v>
      </c>
      <c r="K27" s="132" t="str">
        <f t="shared" si="0"/>
        <v>4039/4040</v>
      </c>
      <c r="L27" s="24" t="str">
        <f>VLOOKUP(A27,'Trips&amp;Operators'!$C$1:$E$10000,3,FALSE)</f>
        <v>YORK</v>
      </c>
      <c r="M27" s="6">
        <f t="shared" si="1"/>
        <v>2.4259259254904464E-2</v>
      </c>
      <c r="N27" s="7">
        <f t="shared" si="2"/>
        <v>34.933333327062428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04:24:24-0600',mode:absolute,to:'2016-08-28 07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27" s="54" t="str">
        <f t="shared" si="6"/>
        <v>N</v>
      </c>
      <c r="X27" s="120">
        <f t="shared" si="7"/>
        <v>1</v>
      </c>
      <c r="Y27" s="69">
        <f t="shared" si="8"/>
        <v>7.6100000000000001E-2</v>
      </c>
      <c r="Z27" s="69">
        <f t="shared" si="9"/>
        <v>23.328499999999998</v>
      </c>
      <c r="AA27" s="69">
        <f t="shared" si="10"/>
        <v>23.252399999999998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11"/>
        <v>0115-28</v>
      </c>
      <c r="AE27" s="99" t="str">
        <f t="shared" si="12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27" s="96" t="str">
        <f t="shared" si="13"/>
        <v>"C:\Program Files (x86)\AstroGrep\AstroGrep.exe" /spath="%USERPROFILE%\AppData\Local\Temp\OnboardLogs" /stypes="*4040*20160828*"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115-28 --locoid 4040 --swversion DE.1.0.7.0 --startMP 204:761 --initTime 2016-08-28T05:24:24 --startdatetime 2016-08-28T05:30:23 --delay 1 --endMP 204:233285 --enddatetime 2016-08-28T06:05:19 --enforcementcount 0 &gt;&gt;C:\Users\stu\Documents\GitHub\eaglep3-reporting\EC\2016-08-28-refined-times.txt</v>
      </c>
      <c r="AI27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{"issue":{"subject":"","project_id":79,"tracker_id":40,"status_id":1,"priority_id":2,"assigned_to_id":23,"start_date":"2016-08-28","description":"","custom_fields":[{"id":1,"name":"Subdivision","value":"EC"},{"id":4,"name":"Milepost","value":"23.2524"},{"id":17,"name":"Train ID","value":"115-28"},{"id":16,"name":"Locomotive ID","value":"4040"},{"id":130,"name":"Impact","value":""},{"id":150,"name":"Time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391</v>
      </c>
      <c r="B28" s="7">
        <v>4039</v>
      </c>
      <c r="C28" s="24" t="s">
        <v>113</v>
      </c>
      <c r="D28" s="24" t="s">
        <v>291</v>
      </c>
      <c r="E28" s="15">
        <v>42610.254548611112</v>
      </c>
      <c r="F28" s="15">
        <v>42610.268379629626</v>
      </c>
      <c r="G28" s="7">
        <v>1</v>
      </c>
      <c r="H28" s="15" t="s">
        <v>152</v>
      </c>
      <c r="I28" s="15">
        <v>42610.294872685183</v>
      </c>
      <c r="J28" s="7">
        <v>0</v>
      </c>
      <c r="K28" s="132" t="str">
        <f t="shared" si="0"/>
        <v>4039/4040</v>
      </c>
      <c r="L28" s="24" t="str">
        <f>VLOOKUP(A28,'Trips&amp;Operators'!$C$1:$E$10000,3,FALSE)</f>
        <v>YORK</v>
      </c>
      <c r="M28" s="6">
        <f t="shared" si="1"/>
        <v>2.6493055556784384E-2</v>
      </c>
      <c r="N28" s="7">
        <f t="shared" si="2"/>
        <v>38.150000001769513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05:06:33-0600',mode:absolute,to:'2016-08-28 08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28" s="54" t="str">
        <f t="shared" si="6"/>
        <v>N</v>
      </c>
      <c r="X28" s="120">
        <f t="shared" si="7"/>
        <v>1</v>
      </c>
      <c r="Y28" s="69">
        <f t="shared" si="8"/>
        <v>23.2974</v>
      </c>
      <c r="Z28" s="69">
        <f t="shared" si="9"/>
        <v>1.5599999999999999E-2</v>
      </c>
      <c r="AA28" s="69">
        <f t="shared" si="10"/>
        <v>23.2818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11"/>
        <v>0116-28</v>
      </c>
      <c r="AE28" s="99" t="str">
        <f t="shared" si="12"/>
        <v>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 &amp; 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</v>
      </c>
      <c r="AF28" s="96" t="str">
        <f t="shared" si="13"/>
        <v>"C:\Program Files (x86)\AstroGrep\AstroGrep.exe" /spath="%USERPROFILE%\AppData\Local\Temp\OnboardLogs" /stypes="*4039*20160828*"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116-28 --locoid 4039 --swversion DE.1.0.7.0 --startMP 204:232974 --initTime 2016-08-28T06:06:33 --startdatetime 2016-08-28T06:26:28 --delay 1 --endMP 204:156 --enddatetime 2016-08-28T07:04:37 --enforcementcount 0 &gt;&gt;C:\Users\stu\Documents\GitHub\eaglep3-reporting\EC\2016-08-28-refined-times.txt</v>
      </c>
      <c r="AI28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{"issue":{"subject":"","project_id":79,"tracker_id":40,"status_id":1,"priority_id":2,"assigned_to_id":23,"start_date":"2016-08-28","description":"","custom_fields":[{"id":1,"name":"Subdivision","value":"EC"},{"id":4,"name":"Milepost","value":"23.2818"},{"id":17,"name":"Train ID","value":"116-28"},{"id":16,"name":"Locomotive ID","value":"4039"},{"id":130,"name":"Impact","value":""},{"id":150,"name":"Time of Event (Mountain Time)","value":"07:04:37"},{"id":151,"name":"Denver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352</v>
      </c>
      <c r="B29" s="7">
        <v>4014</v>
      </c>
      <c r="C29" s="24" t="s">
        <v>113</v>
      </c>
      <c r="D29" s="24" t="s">
        <v>295</v>
      </c>
      <c r="E29" s="15">
        <v>42610.232071759259</v>
      </c>
      <c r="F29" s="15">
        <v>42610.239768518521</v>
      </c>
      <c r="G29" s="7">
        <v>1</v>
      </c>
      <c r="H29" s="15" t="s">
        <v>255</v>
      </c>
      <c r="I29" s="15">
        <v>42610.265439814815</v>
      </c>
      <c r="J29" s="7">
        <v>0</v>
      </c>
      <c r="K29" s="132" t="str">
        <f t="shared" si="0"/>
        <v>4013/4014</v>
      </c>
      <c r="L29" s="24" t="str">
        <f>VLOOKUP(A29,'Trips&amp;Operators'!$C$1:$E$10000,3,FALSE)</f>
        <v>ACKERMAN</v>
      </c>
      <c r="M29" s="6">
        <f t="shared" si="1"/>
        <v>2.5671296294603962E-2</v>
      </c>
      <c r="N29" s="7">
        <f t="shared" si="2"/>
        <v>36.966666664229706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04:34:11-0600',mode:absolute,to:'2016-08-28 07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9" s="54" t="str">
        <f t="shared" si="6"/>
        <v>N</v>
      </c>
      <c r="X29" s="120">
        <f t="shared" si="7"/>
        <v>1</v>
      </c>
      <c r="Y29" s="69">
        <f t="shared" si="8"/>
        <v>4.3700000000000003E-2</v>
      </c>
      <c r="Z29" s="69">
        <f t="shared" si="9"/>
        <v>23.330100000000002</v>
      </c>
      <c r="AA29" s="69">
        <f t="shared" si="10"/>
        <v>23.2864</v>
      </c>
      <c r="AB29" s="66">
        <f>VLOOKUP(A29,Enforcements!$C$7:$J$21,8,0)</f>
        <v>33137</v>
      </c>
      <c r="AC29" s="62" t="str">
        <f>VLOOKUP(A29,Enforcements!$C$7:$E$21,3,0)</f>
        <v>GRADE CROSSING</v>
      </c>
      <c r="AD29" s="63" t="str">
        <f t="shared" si="11"/>
        <v>0117-28</v>
      </c>
      <c r="AE29" s="99" t="str">
        <f t="shared" si="12"/>
        <v>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 &amp; 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</v>
      </c>
      <c r="AF29" s="96" t="str">
        <f t="shared" si="13"/>
        <v>"C:\Program Files (x86)\AstroGrep\AstroGrep.exe" /spath="%USERPROFILE%\AppData\Local\Temp\OnboardLogs" /stypes="*4014*20160828*"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117-28 --locoid 4014 --swversion DE.1.0.7.0 --startMP 204:437 --initTime 2016-08-28T05:34:11 --startdatetime 2016-08-28T05:45:16 --delay 1 --endMP 204:233301 --enddatetime 2016-08-28T06:22:14 --enforcementcount 0 &gt;&gt;C:\Users\stu\Documents\GitHub\eaglep3-reporting\EC\2016-08-28-refined-times.txt</v>
      </c>
      <c r="AI29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{"issue":{"subject":"","project_id":79,"tracker_id":40,"status_id":1,"priority_id":2,"assigned_to_id":23,"start_date":"2016-08-28","description":"","custom_fields":[{"id":1,"name":"Subdivision","value":"EC"},{"id":4,"name":"Milepost","value":"23.2864"},{"id":17,"name":"Train ID","value":"117-28"},{"id":16,"name":"Locomotive ID","value":"4014"},{"id":130,"name":"Impact","value":""},{"id":150,"name":"Time of Event (Mountain Time)","value":"06:22:14"},{"id":151,"name":"Denver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395</v>
      </c>
      <c r="B30" s="7">
        <v>4013</v>
      </c>
      <c r="C30" s="24" t="s">
        <v>113</v>
      </c>
      <c r="D30" s="24" t="s">
        <v>279</v>
      </c>
      <c r="E30" s="15">
        <v>42610.272581018522</v>
      </c>
      <c r="F30" s="15">
        <v>42610.278831018521</v>
      </c>
      <c r="G30" s="7">
        <v>1</v>
      </c>
      <c r="H30" s="15" t="s">
        <v>190</v>
      </c>
      <c r="I30" s="15">
        <v>42610.306875000002</v>
      </c>
      <c r="J30" s="7">
        <v>0</v>
      </c>
      <c r="K30" s="132" t="str">
        <f t="shared" si="0"/>
        <v>4013/4014</v>
      </c>
      <c r="L30" s="24" t="str">
        <f>VLOOKUP(A30,'Trips&amp;Operators'!$C$1:$E$10000,3,FALSE)</f>
        <v>ACKERMAN</v>
      </c>
      <c r="M30" s="6">
        <f t="shared" si="1"/>
        <v>2.8043981481459923E-2</v>
      </c>
      <c r="N30" s="7">
        <f t="shared" si="2"/>
        <v>40.383333333302289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05:32:31-0600',mode:absolute,to:'2016-08-28 08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30" s="54" t="str">
        <f t="shared" si="6"/>
        <v>N</v>
      </c>
      <c r="X30" s="120">
        <f t="shared" si="7"/>
        <v>1</v>
      </c>
      <c r="Y30" s="69">
        <f t="shared" si="8"/>
        <v>23.2971</v>
      </c>
      <c r="Z30" s="69">
        <f t="shared" si="9"/>
        <v>1.6500000000000001E-2</v>
      </c>
      <c r="AA30" s="69">
        <f t="shared" si="10"/>
        <v>23.2806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 t="shared" si="11"/>
        <v>0118-28</v>
      </c>
      <c r="AE30" s="99" t="str">
        <f t="shared" si="12"/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AF30" s="96" t="str">
        <f t="shared" si="13"/>
        <v>"C:\Program Files (x86)\AstroGrep\AstroGrep.exe" /spath="%USERPROFILE%\AppData\Local\Temp\OnboardLogs" /stypes="*4013*20160828*"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118-28 --locoid 4013 --swversion DE.1.0.7.0 --startMP 204:232971 --initTime 2016-08-28T06:32:31 --startdatetime 2016-08-28T06:41:31 --delay 1 --endMP 204:165 --enddatetime 2016-08-28T07:21:54 --enforcementcount 0 &gt;&gt;C:\Users\stu\Documents\GitHub\eaglep3-reporting\EC\2016-08-28-refined-times.txt</v>
      </c>
      <c r="AI30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{"issue":{"subject":"","project_id":79,"tracker_id":40,"status_id":1,"priority_id":2,"assigned_to_id":23,"start_date":"2016-08-28","description":"","custom_fields":[{"id":1,"name":"Subdivision","value":"EC"},{"id":4,"name":"Milepost","value":"23.2806"},{"id":17,"name":"Train ID","value":"118-28"},{"id":16,"name":"Locomotive ID","value":"4013"},{"id":130,"name":"Impact","value":""},{"id":150,"name":"Time of Event (Mountain Time)","value":"07:21:54"},{"id":151,"name":"Denver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390</v>
      </c>
      <c r="B31" s="7">
        <v>4042</v>
      </c>
      <c r="C31" s="24" t="s">
        <v>113</v>
      </c>
      <c r="D31" s="24" t="s">
        <v>560</v>
      </c>
      <c r="E31" s="15">
        <v>42610.250277777777</v>
      </c>
      <c r="F31" s="15">
        <v>42610.251967592594</v>
      </c>
      <c r="G31" s="7">
        <v>1</v>
      </c>
      <c r="H31" s="15" t="s">
        <v>330</v>
      </c>
      <c r="I31" s="15">
        <v>42610.277280092596</v>
      </c>
      <c r="J31" s="7">
        <v>0</v>
      </c>
      <c r="K31" s="132" t="str">
        <f t="shared" si="0"/>
        <v>4041/4042</v>
      </c>
      <c r="L31" s="24" t="str">
        <f>VLOOKUP(A31,'Trips&amp;Operators'!$C$1:$E$10000,3,FALSE)</f>
        <v>SWANSON</v>
      </c>
      <c r="M31" s="6">
        <f t="shared" si="1"/>
        <v>2.531250000174623E-2</v>
      </c>
      <c r="N31" s="7">
        <f t="shared" si="2"/>
        <v>36.450000002514571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05:00:24-0600',mode:absolute,to:'2016-08-28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31" s="54" t="str">
        <f t="shared" si="6"/>
        <v>N</v>
      </c>
      <c r="X31" s="120">
        <f t="shared" si="7"/>
        <v>1</v>
      </c>
      <c r="Y31" s="69">
        <f t="shared" si="8"/>
        <v>7.4099999999999999E-2</v>
      </c>
      <c r="Z31" s="69">
        <f t="shared" si="9"/>
        <v>23.328499999999998</v>
      </c>
      <c r="AA31" s="69">
        <f t="shared" si="10"/>
        <v>23.254399999999997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11"/>
        <v>0119-28</v>
      </c>
      <c r="AE31" s="99" t="str">
        <f t="shared" si="12"/>
        <v>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 &amp; 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</v>
      </c>
      <c r="AF31" s="96" t="str">
        <f t="shared" si="13"/>
        <v>"C:\Program Files (x86)\AstroGrep\AstroGrep.exe" /spath="%USERPROFILE%\AppData\Local\Temp\OnboardLogs" /stypes="*4042*20160828*"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119-28 --locoid 4042 --swversion DE.1.0.7.0 --startMP 204:741 --initTime 2016-08-28T06:00:24 --startdatetime 2016-08-28T06:02:50 --delay 1 --endMP 204:233285 --enddatetime 2016-08-28T06:39:17 --enforcementcount 0 &gt;&gt;C:\Users\stu\Documents\GitHub\eaglep3-reporting\EC\2016-08-28-refined-times.txt</v>
      </c>
      <c r="AI31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{"issue":{"subject":"","project_id":79,"tracker_id":40,"status_id":1,"priority_id":2,"assigned_to_id":23,"start_date":"2016-08-28","description":"","custom_fields":[{"id":1,"name":"Subdivision","value":"EC"},{"id":4,"name":"Milepost","value":"23.2544"},{"id":17,"name":"Train ID","value":"119-28"},{"id":16,"name":"Locomotive ID","value":"4042"},{"id":130,"name":"Impact","value":""},{"id":150,"name":"Time of Event (Mountain Time)","value":"06:39:17"},{"id":151,"name":"Denver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ht="16.5" customHeight="1" x14ac:dyDescent="0.25">
      <c r="A32" s="39" t="s">
        <v>397</v>
      </c>
      <c r="B32" s="7">
        <v>4041</v>
      </c>
      <c r="C32" s="24" t="s">
        <v>113</v>
      </c>
      <c r="D32" s="24" t="s">
        <v>291</v>
      </c>
      <c r="E32" s="15">
        <v>42610.282893518517</v>
      </c>
      <c r="F32" s="15">
        <v>42610.289247685185</v>
      </c>
      <c r="G32" s="7">
        <v>1</v>
      </c>
      <c r="H32" s="15" t="s">
        <v>197</v>
      </c>
      <c r="I32" s="15">
        <v>42610.318530092591</v>
      </c>
      <c r="J32" s="7">
        <v>0</v>
      </c>
      <c r="K32" s="132" t="str">
        <f t="shared" si="0"/>
        <v>4041/4042</v>
      </c>
      <c r="L32" s="24" t="str">
        <f>VLOOKUP(A32,'Trips&amp;Operators'!$C$1:$E$10000,3,FALSE)</f>
        <v>SWANSON</v>
      </c>
      <c r="M32" s="6">
        <f t="shared" si="1"/>
        <v>2.9282407405844424E-2</v>
      </c>
      <c r="N32" s="7">
        <f t="shared" si="2"/>
        <v>42.16666666441597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05:47:22-0600',mode:absolute,to:'2016-08-28 08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32" s="54" t="str">
        <f t="shared" si="6"/>
        <v>N</v>
      </c>
      <c r="X32" s="120">
        <f t="shared" si="7"/>
        <v>1</v>
      </c>
      <c r="Y32" s="69">
        <f t="shared" si="8"/>
        <v>23.2974</v>
      </c>
      <c r="Z32" s="69">
        <f t="shared" si="9"/>
        <v>1.38E-2</v>
      </c>
      <c r="AA32" s="69">
        <f t="shared" si="10"/>
        <v>23.2836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11"/>
        <v>0120-28</v>
      </c>
      <c r="AE32" s="99" t="str">
        <f t="shared" si="12"/>
        <v>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 &amp; aws s3 cp s3://rtdc.mdm.uploadarchive/RTDC4041/2016-08-29/ "%USERPROFILE%\AppData\Local\Temp\OnboardLogs"\RTDC4041\2016-08-29 --recursive &amp; "%USERPROFILE%\Documents\GitHub\mrs-test-scripts\Headless Mode &amp; Sideloading\WalkAndUnGZ.bat" "%USERPROFILE%\AppData\Local\Temp\OnboardLogs"\RTDC4041\2016-08-29</v>
      </c>
      <c r="AF32" s="96" t="str">
        <f t="shared" si="13"/>
        <v>"C:\Program Files (x86)\AstroGrep\AstroGrep.exe" /spath="%USERPROFILE%\AppData\Local\Temp\OnboardLogs" /stypes="*4041*20160828*"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120-28 --locoid 4041 --swversion DE.1.0.7.0 --startMP 204:232974 --initTime 2016-08-28T06:47:22 --startdatetime 2016-08-28T06:56:31 --delay 1 --endMP 204:138 --enddatetime 2016-08-28T07:38:41 --enforcementcount 0 &gt;&gt;C:\Users\stu\Documents\GitHub\eaglep3-reporting\EC\2016-08-28-refined-times.txt</v>
      </c>
      <c r="AI32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{"issue":{"subject":"","project_id":79,"tracker_id":40,"status_id":1,"priority_id":2,"assigned_to_id":23,"start_date":"2016-08-28","description":"","custom_fields":[{"id":1,"name":"Subdivision","value":"EC"},{"id":4,"name":"Milepost","value":"23.2836"},{"id":17,"name":"Train ID","value":"120-28"},{"id":16,"name":"Locomotive ID","value":"4041"},{"id":130,"name":"Impact","value":""},{"id":150,"name":"Time of Event (Mountain Time)","value":"07:38:41"},{"id":151,"name":"Denver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392</v>
      </c>
      <c r="B33" s="7">
        <v>4038</v>
      </c>
      <c r="C33" s="24" t="s">
        <v>113</v>
      </c>
      <c r="D33" s="24" t="s">
        <v>298</v>
      </c>
      <c r="E33" s="15">
        <v>42610.257013888891</v>
      </c>
      <c r="F33" s="15">
        <v>42610.260567129626</v>
      </c>
      <c r="G33" s="7">
        <v>1</v>
      </c>
      <c r="H33" s="15" t="s">
        <v>290</v>
      </c>
      <c r="I33" s="15">
        <v>42610.285266203704</v>
      </c>
      <c r="J33" s="7">
        <v>0</v>
      </c>
      <c r="K33" s="132" t="str">
        <f t="shared" si="0"/>
        <v>4037/4038</v>
      </c>
      <c r="L33" s="24" t="str">
        <f>VLOOKUP(A33,'Trips&amp;Operators'!$C$1:$E$10000,3,FALSE)</f>
        <v>DAVIS</v>
      </c>
      <c r="M33" s="6">
        <f t="shared" si="1"/>
        <v>2.4699074077943806E-2</v>
      </c>
      <c r="N33" s="7">
        <f t="shared" si="2"/>
        <v>35.56666667223908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05:10:06-0600',mode:absolute,to:'2016-08-28 07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3" s="54" t="str">
        <f t="shared" si="6"/>
        <v>N</v>
      </c>
      <c r="X33" s="120">
        <f t="shared" si="7"/>
        <v>1</v>
      </c>
      <c r="Y33" s="69">
        <f t="shared" si="8"/>
        <v>4.6600000000000003E-2</v>
      </c>
      <c r="Z33" s="69">
        <f t="shared" si="9"/>
        <v>23.329899999999999</v>
      </c>
      <c r="AA33" s="69">
        <f t="shared" si="10"/>
        <v>23.283299999999997</v>
      </c>
      <c r="AB33" s="66" t="e">
        <f>VLOOKUP(A33,Enforcements!$C$7:$J$21,8,0)</f>
        <v>#N/A</v>
      </c>
      <c r="AC33" s="62" t="e">
        <f>VLOOKUP(A33,Enforcements!$C$7:$E$21,3,0)</f>
        <v>#N/A</v>
      </c>
      <c r="AD33" s="63" t="str">
        <f t="shared" si="11"/>
        <v>0121-28</v>
      </c>
      <c r="AE33" s="99" t="str">
        <f t="shared" si="12"/>
        <v>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 &amp; 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</v>
      </c>
      <c r="AF33" s="96" t="str">
        <f t="shared" si="13"/>
        <v>"C:\Program Files (x86)\AstroGrep\AstroGrep.exe" /spath="%USERPROFILE%\AppData\Local\Temp\OnboardLogs" /stypes="*4038*20160828*"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121-28 --locoid 4038 --swversion DE.1.0.7.0 --startMP 204:466 --initTime 2016-08-28T06:10:06 --startdatetime 2016-08-28T06:15:13 --delay 1 --endMP 204:233299 --enddatetime 2016-08-28T06:50:47 --enforcementcount 0 &gt;&gt;C:\Users\stu\Documents\GitHub\eaglep3-reporting\EC\2016-08-28-refined-times.txt</v>
      </c>
      <c r="AI33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{"issue":{"subject":"","project_id":79,"tracker_id":40,"status_id":1,"priority_id":2,"assigned_to_id":23,"start_date":"2016-08-28","description":"","custom_fields":[{"id":1,"name":"Subdivision","value":"EC"},{"id":4,"name":"Milepost","value":"23.2833"},{"id":17,"name":"Train ID","value":"121-28"},{"id":16,"name":"Locomotive ID","value":"4038"},{"id":130,"name":"Impact","value":""},{"id":150,"name":"Time of Event (Mountain Time)","value":"06:50:47"},{"id":151,"name":"Denver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31" customFormat="1" x14ac:dyDescent="0.25">
      <c r="A34" s="39" t="s">
        <v>399</v>
      </c>
      <c r="B34" s="7">
        <v>4037</v>
      </c>
      <c r="C34" s="24" t="s">
        <v>113</v>
      </c>
      <c r="D34" s="24" t="s">
        <v>134</v>
      </c>
      <c r="E34" s="15">
        <v>42610.295428240737</v>
      </c>
      <c r="F34" s="15">
        <v>42610.299571759257</v>
      </c>
      <c r="G34" s="7">
        <v>1</v>
      </c>
      <c r="H34" s="15" t="s">
        <v>136</v>
      </c>
      <c r="I34" s="15">
        <v>42610.327881944446</v>
      </c>
      <c r="J34" s="7">
        <v>0</v>
      </c>
      <c r="K34" s="132" t="str">
        <f t="shared" si="0"/>
        <v>4037/4038</v>
      </c>
      <c r="L34" s="24" t="str">
        <f>VLOOKUP(A34,'Trips&amp;Operators'!$C$1:$E$10000,3,FALSE)</f>
        <v>DAVIS</v>
      </c>
      <c r="M34" s="6">
        <f t="shared" si="1"/>
        <v>2.8310185189184267E-2</v>
      </c>
      <c r="N34" s="7">
        <f t="shared" si="2"/>
        <v>40.766666672425345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06:05:25-0600',mode:absolute,to:'2016-08-28 08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4" s="54" t="str">
        <f t="shared" si="6"/>
        <v>N</v>
      </c>
      <c r="X34" s="120">
        <f t="shared" si="7"/>
        <v>1</v>
      </c>
      <c r="Y34" s="69">
        <f t="shared" si="8"/>
        <v>23.299399999999999</v>
      </c>
      <c r="Z34" s="69">
        <f t="shared" si="9"/>
        <v>1.49E-2</v>
      </c>
      <c r="AA34" s="69">
        <f t="shared" si="10"/>
        <v>23.284499999999998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 t="shared" si="11"/>
        <v>0122-28</v>
      </c>
      <c r="AE34" s="99" t="str">
        <f t="shared" si="12"/>
        <v>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 &amp; 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</v>
      </c>
      <c r="AF34" s="96" t="str">
        <f t="shared" si="13"/>
        <v>"C:\Program Files (x86)\AstroGrep\AstroGrep.exe" /spath="%USERPROFILE%\AppData\Local\Temp\OnboardLogs" /stypes="*4037*20160828*"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122-28 --locoid 4037 --swversion DE.1.0.7.0 --startMP 204:232994 --initTime 2016-08-28T07:05:25 --startdatetime 2016-08-28T07:11:23 --delay 1 --endMP 204:149 --enddatetime 2016-08-28T07:52:09 --enforcementcount 0 &gt;&gt;C:\Users\stu\Documents\GitHub\eaglep3-reporting\EC\2016-08-28-refined-times.txt</v>
      </c>
      <c r="AI34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{"issue":{"subject":"","project_id":79,"tracker_id":40,"status_id":1,"priority_id":2,"assigned_to_id":23,"start_date":"2016-08-28","description":"","custom_fields":[{"id":1,"name":"Subdivision","value":"EC"},{"id":4,"name":"Milepost","value":"23.2845"},{"id":17,"name":"Train ID","value":"122-28"},{"id":16,"name":"Locomotive ID","value":"4037"},{"id":130,"name":"Impact","value":""},{"id":150,"name":"Time of Event (Mountain Time)","value":"07:52:09"},{"id":151,"name":"Denver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394</v>
      </c>
      <c r="B35" s="7">
        <v>4007</v>
      </c>
      <c r="C35" s="24" t="s">
        <v>113</v>
      </c>
      <c r="D35" s="24" t="s">
        <v>109</v>
      </c>
      <c r="E35" s="15">
        <v>42610.269849537035</v>
      </c>
      <c r="F35" s="15">
        <v>42610.271377314813</v>
      </c>
      <c r="G35" s="7">
        <v>1</v>
      </c>
      <c r="H35" s="15" t="s">
        <v>556</v>
      </c>
      <c r="I35" s="15">
        <v>42610.298622685186</v>
      </c>
      <c r="J35" s="7">
        <v>0</v>
      </c>
      <c r="K35" s="132" t="str">
        <f t="shared" si="0"/>
        <v>4007/4008</v>
      </c>
      <c r="L35" s="24" t="str">
        <f>VLOOKUP(A35,'Trips&amp;Operators'!$C$1:$E$10000,3,FALSE)</f>
        <v>MALAVE</v>
      </c>
      <c r="M35" s="6">
        <f t="shared" si="1"/>
        <v>2.7245370372838806E-2</v>
      </c>
      <c r="N35" s="7">
        <f t="shared" si="2"/>
        <v>39.233333336887881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05:28:35-0600',mode:absolute,to:'2016-08-28 08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35" s="54" t="str">
        <f t="shared" si="6"/>
        <v>N</v>
      </c>
      <c r="X35" s="120">
        <f t="shared" si="7"/>
        <v>1</v>
      </c>
      <c r="Y35" s="69">
        <f t="shared" si="8"/>
        <v>4.6199999999999998E-2</v>
      </c>
      <c r="Z35" s="69">
        <f t="shared" si="9"/>
        <v>23.328900000000001</v>
      </c>
      <c r="AA35" s="69">
        <f t="shared" si="10"/>
        <v>23.282700000000002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11"/>
        <v>0123-28</v>
      </c>
      <c r="AE35" s="99" t="str">
        <f t="shared" si="12"/>
        <v>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 &amp; 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</v>
      </c>
      <c r="AF35" s="96" t="str">
        <f t="shared" si="13"/>
        <v>"C:\Program Files (x86)\AstroGrep\AstroGrep.exe" /spath="%USERPROFILE%\AppData\Local\Temp\OnboardLogs" /stypes="*4007*20160828*"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123-28 --locoid 4007 --swversion DE.1.0.7.0 --startMP 204:462 --initTime 2016-08-28T06:28:35 --startdatetime 2016-08-28T06:30:47 --delay 1 --endMP 204:233289 --enddatetime 2016-08-28T07:10:01 --enforcementcount 0 &gt;&gt;C:\Users\stu\Documents\GitHub\eaglep3-reporting\EC\2016-08-28-refined-times.txt</v>
      </c>
      <c r="AI35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{"issue":{"subject":"","project_id":79,"tracker_id":40,"status_id":1,"priority_id":2,"assigned_to_id":23,"start_date":"2016-08-28","description":"","custom_fields":[{"id":1,"name":"Subdivision","value":"EC"},{"id":4,"name":"Milepost","value":"23.2827"},{"id":17,"name":"Train ID","value":"123-28"},{"id":16,"name":"Locomotive ID","value":"4007"},{"id":130,"name":"Impact","value":""},{"id":150,"name":"Time of Event (Mountain Time)","value":"07:10:01"},{"id":151,"name":"Denver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358</v>
      </c>
      <c r="B36" s="7">
        <v>4008</v>
      </c>
      <c r="C36" s="24" t="s">
        <v>113</v>
      </c>
      <c r="D36" s="24" t="s">
        <v>303</v>
      </c>
      <c r="E36" s="15">
        <v>42610.308217592596</v>
      </c>
      <c r="F36" s="15">
        <v>42610.310034722221</v>
      </c>
      <c r="G36" s="7">
        <v>1</v>
      </c>
      <c r="H36" s="15" t="s">
        <v>295</v>
      </c>
      <c r="I36" s="15">
        <v>42610.337361111109</v>
      </c>
      <c r="J36" s="7">
        <v>0</v>
      </c>
      <c r="K36" s="132" t="str">
        <f t="shared" si="0"/>
        <v>4007/4008</v>
      </c>
      <c r="L36" s="24" t="str">
        <f>VLOOKUP(A36,'Trips&amp;Operators'!$C$1:$E$10000,3,FALSE)</f>
        <v>MALAVE</v>
      </c>
      <c r="M36" s="6">
        <f t="shared" si="1"/>
        <v>2.73263888884685E-2</v>
      </c>
      <c r="N36" s="7">
        <f t="shared" si="2"/>
        <v>39.34999999939464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06:23:50-0600',mode:absolute,to:'2016-08-28 09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6" s="54" t="str">
        <f t="shared" si="6"/>
        <v>N</v>
      </c>
      <c r="X36" s="120">
        <f t="shared" si="7"/>
        <v>1</v>
      </c>
      <c r="Y36" s="69">
        <f t="shared" si="8"/>
        <v>23.297899999999998</v>
      </c>
      <c r="Z36" s="69">
        <f t="shared" si="9"/>
        <v>4.3700000000000003E-2</v>
      </c>
      <c r="AA36" s="69">
        <f t="shared" si="10"/>
        <v>23.254199999999997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 t="shared" si="11"/>
        <v>0124-28</v>
      </c>
      <c r="AE36" s="99" t="str">
        <f t="shared" si="12"/>
        <v>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 &amp; 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</v>
      </c>
      <c r="AF36" s="96" t="str">
        <f t="shared" si="13"/>
        <v>"C:\Program Files (x86)\AstroGrep\AstroGrep.exe" /spath="%USERPROFILE%\AppData\Local\Temp\OnboardLogs" /stypes="*4008*20160828*"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124-28 --locoid 4008 --swversion DE.1.0.7.0 --startMP 204:232979 --initTime 2016-08-28T07:23:50 --startdatetime 2016-08-28T07:26:27 --delay 1 --endMP 204:437 --enddatetime 2016-08-28T08:05:48 --enforcementcount 0 &gt;&gt;C:\Users\stu\Documents\GitHub\eaglep3-reporting\EC\2016-08-28-refined-times.txt</v>
      </c>
      <c r="AI36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{"issue":{"subject":"","project_id":79,"tracker_id":40,"status_id":1,"priority_id":2,"assigned_to_id":23,"start_date":"2016-08-28","description":"","custom_fields":[{"id":1,"name":"Subdivision","value":"EC"},{"id":4,"name":"Milepost","value":"23.2542"},{"id":17,"name":"Train ID","value":"124-28"},{"id":16,"name":"Locomotive ID","value":"4008"},{"id":130,"name":"Impact","value":""},{"id":150,"name":"Time of Event (Mountain Time)","value":"08:05:48"},{"id":151,"name":"Denver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355</v>
      </c>
      <c r="B37" s="7">
        <v>4002</v>
      </c>
      <c r="C37" s="24" t="s">
        <v>113</v>
      </c>
      <c r="D37" s="24" t="s">
        <v>561</v>
      </c>
      <c r="E37" s="15">
        <v>42610.279143518521</v>
      </c>
      <c r="F37" s="15">
        <v>42610.28162037037</v>
      </c>
      <c r="G37" s="7">
        <v>1</v>
      </c>
      <c r="H37" s="15" t="s">
        <v>339</v>
      </c>
      <c r="I37" s="15">
        <v>42610.307800925926</v>
      </c>
      <c r="J37" s="7">
        <v>0</v>
      </c>
      <c r="K37" s="132" t="str">
        <f t="shared" si="0"/>
        <v>4001/4002</v>
      </c>
      <c r="L37" s="24" t="str">
        <f>VLOOKUP(A37,'Trips&amp;Operators'!$C$1:$E$10000,3,FALSE)</f>
        <v>STRICKLAND</v>
      </c>
      <c r="M37" s="6">
        <f t="shared" si="1"/>
        <v>2.6180555556493346E-2</v>
      </c>
      <c r="N37" s="7">
        <f t="shared" si="2"/>
        <v>37.700000001350418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05:41:58-0600',mode:absolute,to:'2016-08-28 08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7" s="54" t="str">
        <f t="shared" si="6"/>
        <v>N</v>
      </c>
      <c r="X37" s="120">
        <f t="shared" si="7"/>
        <v>1</v>
      </c>
      <c r="Y37" s="69">
        <f t="shared" si="8"/>
        <v>5.2200000000000003E-2</v>
      </c>
      <c r="Z37" s="69">
        <f t="shared" si="9"/>
        <v>23.328800000000001</v>
      </c>
      <c r="AA37" s="69">
        <f t="shared" si="10"/>
        <v>23.276600000000002</v>
      </c>
      <c r="AB37" s="66">
        <f>VLOOKUP(A37,Enforcements!$C$7:$J$21,8,0)</f>
        <v>116838</v>
      </c>
      <c r="AC37" s="62" t="str">
        <f>VLOOKUP(A37,Enforcements!$C$7:$E$21,3,0)</f>
        <v>PERMANENT SPEED RESTRICTION</v>
      </c>
      <c r="AD37" s="63" t="str">
        <f t="shared" si="11"/>
        <v>0125-28</v>
      </c>
      <c r="AE37" s="99" t="str">
        <f t="shared" si="12"/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37" s="96" t="str">
        <f t="shared" si="13"/>
        <v>"C:\Program Files (x86)\AstroGrep\AstroGrep.exe" /spath="%USERPROFILE%\AppData\Local\Temp\OnboardLogs" /stypes="*4002*20160828*"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125-28 --locoid 4002 --swversion DE.1.0.7.0 --startMP 204:522 --initTime 2016-08-28T06:41:58 --startdatetime 2016-08-28T06:45:32 --delay 1 --endMP 204:233288 --enddatetime 2016-08-28T07:23:14 --enforcementcount 0 &gt;&gt;C:\Users\stu\Documents\GitHub\eaglep3-reporting\EC\2016-08-28-refined-times.txt</v>
      </c>
      <c r="AI37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{"issue":{"subject":"","project_id":79,"tracker_id":40,"status_id":1,"priority_id":2,"assigned_to_id":23,"start_date":"2016-08-28","description":"","custom_fields":[{"id":1,"name":"Subdivision","value":"EC"},{"id":4,"name":"Milepost","value":"23.2766"},{"id":17,"name":"Train ID","value":"125-28"},{"id":16,"name":"Locomotive ID","value":"4002"},{"id":130,"name":"Impact","value":""},{"id":150,"name":"Time of Event (Mountain Time)","value":"07:23:14"},{"id":151,"name":"Denver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356</v>
      </c>
      <c r="B38" s="7">
        <v>4001</v>
      </c>
      <c r="C38" s="24" t="s">
        <v>113</v>
      </c>
      <c r="D38" s="24" t="s">
        <v>287</v>
      </c>
      <c r="E38" s="15">
        <v>42610.314930555556</v>
      </c>
      <c r="F38" s="15">
        <v>42610.320451388892</v>
      </c>
      <c r="G38" s="7">
        <v>1</v>
      </c>
      <c r="H38" s="15" t="s">
        <v>562</v>
      </c>
      <c r="I38" s="15">
        <v>42610.350682870368</v>
      </c>
      <c r="J38" s="7">
        <v>0</v>
      </c>
      <c r="K38" s="132" t="str">
        <f t="shared" si="0"/>
        <v>4001/4002</v>
      </c>
      <c r="L38" s="24" t="str">
        <f>VLOOKUP(A38,'Trips&amp;Operators'!$C$1:$E$10000,3,FALSE)</f>
        <v>STRICKLAND</v>
      </c>
      <c r="M38" s="6">
        <f t="shared" si="1"/>
        <v>3.0231481476221234E-2</v>
      </c>
      <c r="N38" s="7">
        <f t="shared" si="2"/>
        <v>43.533333325758576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06:33:30-0600',mode:absolute,to:'2016-08-28 09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8" s="54" t="str">
        <f t="shared" si="6"/>
        <v>N</v>
      </c>
      <c r="X38" s="120">
        <f t="shared" si="7"/>
        <v>1</v>
      </c>
      <c r="Y38" s="69">
        <f t="shared" si="8"/>
        <v>23.2988</v>
      </c>
      <c r="Z38" s="69">
        <f t="shared" si="9"/>
        <v>2.1600000000000001E-2</v>
      </c>
      <c r="AA38" s="69">
        <f t="shared" si="10"/>
        <v>23.277200000000001</v>
      </c>
      <c r="AB38" s="66">
        <f>VLOOKUP(A38,Enforcements!$C$7:$J$21,8,0)</f>
        <v>21848</v>
      </c>
      <c r="AC38" s="62" t="str">
        <f>VLOOKUP(A38,Enforcements!$C$7:$E$21,3,0)</f>
        <v>PERMANENT SPEED RESTRICTION</v>
      </c>
      <c r="AD38" s="63" t="str">
        <f t="shared" si="11"/>
        <v>0126-28</v>
      </c>
      <c r="AE38" s="99" t="str">
        <f t="shared" si="12"/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AF38" s="96" t="str">
        <f t="shared" si="13"/>
        <v>"C:\Program Files (x86)\AstroGrep\AstroGrep.exe" /spath="%USERPROFILE%\AppData\Local\Temp\OnboardLogs" /stypes="*4001*20160828*"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126-28 --locoid 4001 --swversion DE.1.0.7.0 --startMP 204:232988 --initTime 2016-08-28T07:33:30 --startdatetime 2016-08-28T07:41:27 --delay 1 --endMP 204:216 --enddatetime 2016-08-28T08:24:59 --enforcementcount 0 &gt;&gt;C:\Users\stu\Documents\GitHub\eaglep3-reporting\EC\2016-08-28-refined-times.txt</v>
      </c>
      <c r="AI38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{"issue":{"subject":"","project_id":79,"tracker_id":40,"status_id":1,"priority_id":2,"assigned_to_id":23,"start_date":"2016-08-28","description":"","custom_fields":[{"id":1,"name":"Subdivision","value":"EC"},{"id":4,"name":"Milepost","value":"23.2772"},{"id":17,"name":"Train ID","value":"126-28"},{"id":16,"name":"Locomotive ID","value":"4001"},{"id":130,"name":"Impact","value":""},{"id":150,"name":"Time of Event (Mountain Time)","value":"08:24:59"},{"id":151,"name":"Denver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398</v>
      </c>
      <c r="B39" s="7">
        <v>4027</v>
      </c>
      <c r="C39" s="24" t="s">
        <v>113</v>
      </c>
      <c r="D39" s="24" t="s">
        <v>187</v>
      </c>
      <c r="E39" s="15">
        <v>42610.287638888891</v>
      </c>
      <c r="F39" s="15">
        <v>42610.291851851849</v>
      </c>
      <c r="G39" s="7">
        <v>1</v>
      </c>
      <c r="H39" s="15" t="s">
        <v>299</v>
      </c>
      <c r="I39" s="15">
        <v>42610.316458333335</v>
      </c>
      <c r="J39" s="7">
        <v>0</v>
      </c>
      <c r="K39" s="132" t="str">
        <f t="shared" si="0"/>
        <v>4027/4028</v>
      </c>
      <c r="L39" s="24" t="str">
        <f>VLOOKUP(A39,'Trips&amp;Operators'!$C$1:$E$10000,3,FALSE)</f>
        <v>KILLION</v>
      </c>
      <c r="M39" s="6">
        <f t="shared" si="1"/>
        <v>2.4606481485534459E-2</v>
      </c>
      <c r="N39" s="7">
        <f t="shared" si="2"/>
        <v>35.433333339169621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05:54:12-0600',mode:absolute,to:'2016-08-28 08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9" s="54" t="str">
        <f t="shared" si="6"/>
        <v>N</v>
      </c>
      <c r="X39" s="120">
        <f t="shared" si="7"/>
        <v>1</v>
      </c>
      <c r="Y39" s="69">
        <f t="shared" si="8"/>
        <v>4.5999999999999999E-2</v>
      </c>
      <c r="Z39" s="69">
        <f t="shared" si="9"/>
        <v>23.329699999999999</v>
      </c>
      <c r="AA39" s="69">
        <f t="shared" si="10"/>
        <v>23.2837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11"/>
        <v>0127-28</v>
      </c>
      <c r="AE39" s="99" t="str">
        <f t="shared" si="12"/>
        <v>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 &amp; 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</v>
      </c>
      <c r="AF39" s="96" t="str">
        <f t="shared" si="13"/>
        <v>"C:\Program Files (x86)\AstroGrep\AstroGrep.exe" /spath="%USERPROFILE%\AppData\Local\Temp\OnboardLogs" /stypes="*4027*20160828*"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127-28 --locoid 4027 --swversion DE.1.0.7.0 --startMP 204:460 --initTime 2016-08-28T06:54:12 --startdatetime 2016-08-28T07:00:16 --delay 1 --endMP 204:233297 --enddatetime 2016-08-28T07:35:42 --enforcementcount 0 &gt;&gt;C:\Users\stu\Documents\GitHub\eaglep3-reporting\EC\2016-08-28-refined-times.txt</v>
      </c>
      <c r="AI39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{"issue":{"subject":"","project_id":79,"tracker_id":40,"status_id":1,"priority_id":2,"assigned_to_id":23,"start_date":"2016-08-28","description":"","custom_fields":[{"id":1,"name":"Subdivision","value":"EC"},{"id":4,"name":"Milepost","value":"23.2837"},{"id":17,"name":"Train ID","value":"127-28"},{"id":16,"name":"Locomotive ID","value":"4027"},{"id":130,"name":"Impact","value":""},{"id":150,"name":"Time of Event (Mountain Time)","value":"07:35:42"},{"id":151,"name":"Denver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357</v>
      </c>
      <c r="B40" s="7">
        <v>4028</v>
      </c>
      <c r="C40" s="24" t="s">
        <v>113</v>
      </c>
      <c r="D40" s="24" t="s">
        <v>282</v>
      </c>
      <c r="E40" s="15">
        <v>42610.322048611109</v>
      </c>
      <c r="F40" s="15">
        <v>42610.330810185187</v>
      </c>
      <c r="G40" s="7">
        <v>1</v>
      </c>
      <c r="H40" s="15" t="s">
        <v>152</v>
      </c>
      <c r="I40" s="15">
        <v>42610.358229166668</v>
      </c>
      <c r="J40" s="7">
        <v>0</v>
      </c>
      <c r="K40" s="132" t="str">
        <f t="shared" si="0"/>
        <v>4027/4028</v>
      </c>
      <c r="L40" s="24" t="str">
        <f>VLOOKUP(A40,'Trips&amp;Operators'!$C$1:$E$10000,3,FALSE)</f>
        <v>KILLION</v>
      </c>
      <c r="M40" s="6">
        <f t="shared" si="1"/>
        <v>2.7418981480877846E-2</v>
      </c>
      <c r="N40" s="7">
        <f t="shared" si="2"/>
        <v>39.483333332464099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06:43:45-0600',mode:absolute,to:'2016-08-28 09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40" s="54" t="str">
        <f t="shared" si="6"/>
        <v>N</v>
      </c>
      <c r="X40" s="120">
        <f t="shared" si="7"/>
        <v>1</v>
      </c>
      <c r="Y40" s="69">
        <f t="shared" si="8"/>
        <v>23.297000000000001</v>
      </c>
      <c r="Z40" s="69">
        <f t="shared" si="9"/>
        <v>1.5599999999999999E-2</v>
      </c>
      <c r="AA40" s="69">
        <f t="shared" si="10"/>
        <v>23.281400000000001</v>
      </c>
      <c r="AB40" s="66">
        <f>VLOOKUP(A40,Enforcements!$C$7:$J$21,8,0)</f>
        <v>232107</v>
      </c>
      <c r="AC40" s="62" t="str">
        <f>VLOOKUP(A40,Enforcements!$C$7:$E$21,3,0)</f>
        <v>PERMANENT SPEED RESTRICTION</v>
      </c>
      <c r="AD40" s="63" t="str">
        <f t="shared" si="11"/>
        <v>0128-28</v>
      </c>
      <c r="AE40" s="99" t="str">
        <f t="shared" si="12"/>
        <v>aws s3 cp s3://rtdc.mdm.uploadarchive/RTDC4028/2016-08-28/ "%USERPROFILE%\AppData\Local\Temp\OnboardLogs"\RTDC4028\2016-08-28 --recursive &amp; "%USERPROFILE%\Documents\GitHub\mrs-test-scripts\Headless Mode &amp; Sideloading\WalkAndUnGZ.bat" "%USERPROFILE%\AppData\Local\Temp\OnboardLogs"\RTDC4028\2016-08-28 &amp; 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</v>
      </c>
      <c r="AF40" s="96" t="str">
        <f t="shared" si="13"/>
        <v>"C:\Program Files (x86)\AstroGrep\AstroGrep.exe" /spath="%USERPROFILE%\AppData\Local\Temp\OnboardLogs" /stypes="*4028*20160828*"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128-28 --locoid 4028 --swversion DE.1.0.7.0 --startMP 204:232970 --initTime 2016-08-28T07:43:45 --startdatetime 2016-08-28T07:56:22 --delay 1 --endMP 204:156 --enddatetime 2016-08-28T08:35:51 --enforcementcount 0 &gt;&gt;C:\Users\stu\Documents\GitHub\eaglep3-reporting\EC\2016-08-28-refined-times.txt</v>
      </c>
      <c r="AI40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{"issue":{"subject":"","project_id":79,"tracker_id":40,"status_id":1,"priority_id":2,"assigned_to_id":23,"start_date":"2016-08-28","description":"","custom_fields":[{"id":1,"name":"Subdivision","value":"EC"},{"id":4,"name":"Milepost","value":"23.2814"},{"id":17,"name":"Train ID","value":"128-28"},{"id":16,"name":"Locomotive ID","value":"4028"},{"id":130,"name":"Impact","value":""},{"id":150,"name":"Time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400</v>
      </c>
      <c r="B41" s="7">
        <v>4040</v>
      </c>
      <c r="C41" s="24" t="s">
        <v>113</v>
      </c>
      <c r="D41" s="24" t="s">
        <v>133</v>
      </c>
      <c r="E41" s="15">
        <v>42610.296006944445</v>
      </c>
      <c r="F41" s="15">
        <v>42610.30269675926</v>
      </c>
      <c r="G41" s="7">
        <v>1</v>
      </c>
      <c r="H41" s="15" t="s">
        <v>301</v>
      </c>
      <c r="I41" s="15">
        <v>42610.326319444444</v>
      </c>
      <c r="J41" s="7">
        <v>0</v>
      </c>
      <c r="K41" s="132" t="str">
        <f t="shared" si="0"/>
        <v>4039/4040</v>
      </c>
      <c r="L41" s="24" t="str">
        <f>VLOOKUP(A41,'Trips&amp;Operators'!$C$1:$E$10000,3,FALSE)</f>
        <v>YORK</v>
      </c>
      <c r="M41" s="6">
        <f t="shared" si="1"/>
        <v>2.3622685184818693E-2</v>
      </c>
      <c r="N41" s="7">
        <f t="shared" si="2"/>
        <v>34.016666666138917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06:06:15-0600',mode:absolute,to:'2016-08-28 08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41" s="54" t="str">
        <f t="shared" si="6"/>
        <v>N</v>
      </c>
      <c r="X41" s="120">
        <f t="shared" si="7"/>
        <v>1</v>
      </c>
      <c r="Y41" s="69">
        <f t="shared" si="8"/>
        <v>4.53E-2</v>
      </c>
      <c r="Z41" s="69">
        <f t="shared" si="9"/>
        <v>23.331099999999999</v>
      </c>
      <c r="AA41" s="69">
        <f t="shared" si="10"/>
        <v>23.285799999999998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 t="shared" si="11"/>
        <v>0129-28</v>
      </c>
      <c r="AE41" s="99" t="str">
        <f t="shared" si="12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41" s="96" t="str">
        <f t="shared" si="13"/>
        <v>"C:\Program Files (x86)\AstroGrep\AstroGrep.exe" /spath="%USERPROFILE%\AppData\Local\Temp\OnboardLogs" /stypes="*4040*20160828*"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129-28 --locoid 4040 --swversion DE.1.0.7.0 --startMP 204:453 --initTime 2016-08-28T07:06:15 --startdatetime 2016-08-28T07:15:53 --delay 1 --endMP 204:233311 --enddatetime 2016-08-28T07:49:54 --enforcementcount 0 &gt;&gt;C:\Users\stu\Documents\GitHub\eaglep3-reporting\EC\2016-08-28-refined-times.txt</v>
      </c>
      <c r="AI41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{"issue":{"subject":"","project_id":79,"tracker_id":40,"status_id":1,"priority_id":2,"assigned_to_id":23,"start_date":"2016-08-28","description":"","custom_fields":[{"id":1,"name":"Subdivision","value":"EC"},{"id":4,"name":"Milepost","value":"23.2858"},{"id":17,"name":"Train ID","value":"129-28"},{"id":16,"name":"Locomotive ID","value":"4040"},{"id":130,"name":"Impact","value":""},{"id":150,"name":"Time of Event (Mountain Time)","value":"07:49:54"},{"id":151,"name":"Denver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405</v>
      </c>
      <c r="B42" s="7">
        <v>4039</v>
      </c>
      <c r="C42" s="24" t="s">
        <v>113</v>
      </c>
      <c r="D42" s="24" t="s">
        <v>554</v>
      </c>
      <c r="E42" s="15">
        <v>42610.327118055553</v>
      </c>
      <c r="F42" s="15">
        <v>42610.341215277775</v>
      </c>
      <c r="G42" s="7">
        <v>1</v>
      </c>
      <c r="H42" s="15" t="s">
        <v>152</v>
      </c>
      <c r="I42" s="15">
        <v>42610.366562499999</v>
      </c>
      <c r="J42" s="7">
        <v>0</v>
      </c>
      <c r="K42" s="132" t="str">
        <f t="shared" si="0"/>
        <v>4039/4040</v>
      </c>
      <c r="L42" s="24" t="str">
        <f>VLOOKUP(A42,'Trips&amp;Operators'!$C$1:$E$10000,3,FALSE)</f>
        <v>YORK</v>
      </c>
      <c r="M42" s="6">
        <f t="shared" si="1"/>
        <v>2.5347222224809229E-2</v>
      </c>
      <c r="N42" s="7">
        <f t="shared" si="2"/>
        <v>36.50000000372529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06:51:03-0600',mode:absolute,to:'2016-08-28 09:47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42" s="54" t="str">
        <f t="shared" si="6"/>
        <v>N</v>
      </c>
      <c r="X42" s="120">
        <f t="shared" si="7"/>
        <v>1</v>
      </c>
      <c r="Y42" s="69">
        <f t="shared" si="8"/>
        <v>23.296099999999999</v>
      </c>
      <c r="Z42" s="69">
        <f t="shared" si="9"/>
        <v>1.5599999999999999E-2</v>
      </c>
      <c r="AA42" s="69">
        <f t="shared" si="10"/>
        <v>23.2805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 t="shared" si="11"/>
        <v>0130-28</v>
      </c>
      <c r="AE42" s="99" t="str">
        <f t="shared" si="12"/>
        <v>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 &amp; 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</v>
      </c>
      <c r="AF42" s="96" t="str">
        <f t="shared" si="13"/>
        <v>"C:\Program Files (x86)\AstroGrep\AstroGrep.exe" /spath="%USERPROFILE%\AppData\Local\Temp\OnboardLogs" /stypes="*4039*20160828*"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130-28 --locoid 4039 --swversion DE.1.0.7.0 --startMP 204:232961 --initTime 2016-08-28T07:51:03 --startdatetime 2016-08-28T08:11:21 --delay 1 --endMP 204:156 --enddatetime 2016-08-28T08:47:51 --enforcementcount 0 &gt;&gt;C:\Users\stu\Documents\GitHub\eaglep3-reporting\EC\2016-08-28-refined-times.txt</v>
      </c>
      <c r="AI42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{"issue":{"subject":"","project_id":79,"tracker_id":40,"status_id":1,"priority_id":2,"assigned_to_id":23,"start_date":"2016-08-28","description":"","custom_fields":[{"id":1,"name":"Subdivision","value":"EC"},{"id":4,"name":"Milepost","value":"23.2805"},{"id":17,"name":"Train ID","value":"130-28"},{"id":16,"name":"Locomotive ID","value":"4039"},{"id":130,"name":"Impact","value":""},{"id":150,"name":"Time of Event (Mountain Time)","value":"08:47:51"},{"id":151,"name":"Denver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402</v>
      </c>
      <c r="B43" s="7">
        <v>4014</v>
      </c>
      <c r="C43" s="24" t="s">
        <v>113</v>
      </c>
      <c r="D43" s="24" t="s">
        <v>176</v>
      </c>
      <c r="E43" s="15">
        <v>42610.308240740742</v>
      </c>
      <c r="F43" s="15">
        <v>42610.312881944446</v>
      </c>
      <c r="G43" s="7">
        <v>1</v>
      </c>
      <c r="H43" s="15" t="s">
        <v>299</v>
      </c>
      <c r="I43" s="15">
        <v>42610.339803240742</v>
      </c>
      <c r="J43" s="7">
        <v>0</v>
      </c>
      <c r="K43" s="132" t="str">
        <f t="shared" si="0"/>
        <v>4013/4014</v>
      </c>
      <c r="L43" s="24" t="str">
        <f>VLOOKUP(A43,'Trips&amp;Operators'!$C$1:$E$10000,3,FALSE)</f>
        <v>ACKERMAN</v>
      </c>
      <c r="M43" s="6">
        <f t="shared" si="1"/>
        <v>2.6921296295768116E-2</v>
      </c>
      <c r="N43" s="7">
        <f t="shared" si="2"/>
        <v>38.766666665906087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06:23:52-0600',mode:absolute,to:'2016-08-28 09:09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43" s="54" t="str">
        <f t="shared" si="6"/>
        <v>N</v>
      </c>
      <c r="X43" s="120">
        <f t="shared" si="7"/>
        <v>1</v>
      </c>
      <c r="Y43" s="69">
        <f t="shared" si="8"/>
        <v>4.7100000000000003E-2</v>
      </c>
      <c r="Z43" s="69">
        <f t="shared" si="9"/>
        <v>23.329699999999999</v>
      </c>
      <c r="AA43" s="69">
        <f t="shared" si="10"/>
        <v>23.282599999999999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11"/>
        <v>0131-28</v>
      </c>
      <c r="AE43" s="99" t="str">
        <f t="shared" si="12"/>
        <v>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 &amp; 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</v>
      </c>
      <c r="AF43" s="96" t="str">
        <f t="shared" si="13"/>
        <v>"C:\Program Files (x86)\AstroGrep\AstroGrep.exe" /spath="%USERPROFILE%\AppData\Local\Temp\OnboardLogs" /stypes="*4014*20160828*"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131-28 --locoid 4014 --swversion DE.1.0.7.0 --startMP 204:471 --initTime 2016-08-28T07:23:52 --startdatetime 2016-08-28T07:30:33 --delay 1 --endMP 204:233297 --enddatetime 2016-08-28T08:09:19 --enforcementcount 0 &gt;&gt;C:\Users\stu\Documents\GitHub\eaglep3-reporting\EC\2016-08-28-refined-times.txt</v>
      </c>
      <c r="AI43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{"issue":{"subject":"","project_id":79,"tracker_id":40,"status_id":1,"priority_id":2,"assigned_to_id":23,"start_date":"2016-08-28","description":"","custom_fields":[{"id":1,"name":"Subdivision","value":"EC"},{"id":4,"name":"Milepost","value":"23.2826"},{"id":17,"name":"Train ID","value":"131-28"},{"id":16,"name":"Locomotive ID","value":"4014"},{"id":130,"name":"Impact","value":""},{"id":150,"name":"Time of Event (Mountain Time)","value":"08:09:19"},{"id":151,"name":"Denver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359</v>
      </c>
      <c r="B44" s="7">
        <v>4013</v>
      </c>
      <c r="C44" s="24" t="s">
        <v>113</v>
      </c>
      <c r="D44" s="24" t="s">
        <v>289</v>
      </c>
      <c r="E44" s="15">
        <v>42610.345057870371</v>
      </c>
      <c r="F44" s="15">
        <v>42610.351631944446</v>
      </c>
      <c r="G44" s="7">
        <v>1</v>
      </c>
      <c r="H44" s="15" t="s">
        <v>200</v>
      </c>
      <c r="I44" s="15">
        <v>42610.378368055557</v>
      </c>
      <c r="J44" s="7">
        <v>0</v>
      </c>
      <c r="K44" s="132" t="str">
        <f t="shared" si="0"/>
        <v>4013/4014</v>
      </c>
      <c r="L44" s="24" t="str">
        <f>VLOOKUP(A44,'Trips&amp;Operators'!$C$1:$E$10000,3,FALSE)</f>
        <v>ACKERMAN</v>
      </c>
      <c r="M44" s="6">
        <f t="shared" si="1"/>
        <v>2.6736111110949423E-2</v>
      </c>
      <c r="N44" s="7">
        <f t="shared" si="2"/>
        <v>38.499999999767169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https://search-rtdc-monitor-bjffxe2xuh6vdkpspy63sjmuny.us-east-1.es.amazonaws.com/_plugin/kibana/#/discover/Steve-Slow-Train-Analysis-(2080s-and-2083s)?_g=(refreshInterval:(display:Off,section:0,value:0),time:(from:'2016-08-28 07:16:53-0600',mode:absolute,to:'2016-08-28 10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44" s="54" t="str">
        <f t="shared" si="6"/>
        <v>N</v>
      </c>
      <c r="X44" s="120">
        <f t="shared" si="7"/>
        <v>1</v>
      </c>
      <c r="Y44" s="69">
        <f t="shared" si="8"/>
        <v>23.298500000000001</v>
      </c>
      <c r="Z44" s="69">
        <f t="shared" si="9"/>
        <v>1.34E-2</v>
      </c>
      <c r="AA44" s="69">
        <f t="shared" si="10"/>
        <v>23.2851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si="11"/>
        <v>0132-28</v>
      </c>
      <c r="AE44" s="99" t="str">
        <f t="shared" si="12"/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AF44" s="96" t="str">
        <f t="shared" si="13"/>
        <v>"C:\Program Files (x86)\AstroGrep\AstroGrep.exe" /spath="%USERPROFILE%\AppData\Local\Temp\OnboardLogs" /stypes="*4013*20160828*"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132-28 --locoid 4013 --swversion DE.1.0.7.0 --startMP 204:232985 --initTime 2016-08-28T08:16:53 --startdatetime 2016-08-28T08:26:21 --delay 1 --endMP 204:134 --enddatetime 2016-08-28T09:04:51 --enforcementcount 0 &gt;&gt;C:\Users\stu\Documents\GitHub\eaglep3-reporting\EC\2016-08-28-refined-times.txt</v>
      </c>
      <c r="AI44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{"issue":{"subject":"","project_id":79,"tracker_id":40,"status_id":1,"priority_id":2,"assigned_to_id":23,"start_date":"2016-08-28","description":"","custom_fields":[{"id":1,"name":"Subdivision","value":"EC"},{"id":4,"name":"Milepost","value":"23.2851"},{"id":17,"name":"Train ID","value":"132-28"},{"id":16,"name":"Locomotive ID","value":"4013"},{"id":130,"name":"Impact","value":""},{"id":150,"name":"Time of Event (Mountain Time)","value":"09:04:51"},{"id":151,"name":"Denver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404</v>
      </c>
      <c r="B45" s="7">
        <v>4042</v>
      </c>
      <c r="C45" s="24" t="s">
        <v>113</v>
      </c>
      <c r="D45" s="24" t="s">
        <v>135</v>
      </c>
      <c r="E45" s="15">
        <v>42610.320393518516</v>
      </c>
      <c r="F45" s="15">
        <v>42610.323148148149</v>
      </c>
      <c r="G45" s="7">
        <v>1</v>
      </c>
      <c r="H45" s="15" t="s">
        <v>299</v>
      </c>
      <c r="I45" s="15">
        <v>42610.348182870373</v>
      </c>
      <c r="J45" s="7">
        <v>0</v>
      </c>
      <c r="K45" s="132" t="str">
        <f t="shared" ref="K45:K76" si="19">IF(ISEVEN(B45),(B45-1)&amp;"/"&amp;B45,B45&amp;"/"&amp;(B45+1))</f>
        <v>4041/4042</v>
      </c>
      <c r="L45" s="24" t="str">
        <f>VLOOKUP(A45,'Trips&amp;Operators'!$C$1:$E$10000,3,FALSE)</f>
        <v>SWANSON</v>
      </c>
      <c r="M45" s="6">
        <f t="shared" ref="M45:M76" si="20">I45-F45</f>
        <v>2.5034722224518191E-2</v>
      </c>
      <c r="N45" s="7">
        <f t="shared" ref="N45:N76" si="21">24*60*SUM($M45:$M45)</f>
        <v>36.050000003306195</v>
      </c>
      <c r="O45" s="7"/>
      <c r="P45" s="7"/>
      <c r="Q45" s="25"/>
      <c r="R45" s="25"/>
      <c r="S45" s="37">
        <f t="shared" ref="S45:S76" si="22">SUM(U45:U45)/IF(AG45="EC",12,1)</f>
        <v>1</v>
      </c>
      <c r="T45" s="52" t="str">
        <f t="shared" ref="T45:T76" si="23">IF(ISEVEN(LEFT(AD45,4)),"Southbound","NorthBound")</f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4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https://search-rtdc-monitor-bjffxe2xuh6vdkpspy63sjmuny.us-east-1.es.amazonaws.com/_plugin/kibana/#/discover/Steve-Slow-Train-Analysis-(2080s-and-2083s)?_g=(refreshInterval:(display:Off,section:0,value:0),time:(from:'2016-08-28 06:41:22-0600',mode:absolute,to:'2016-08-28 09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45" s="54" t="str">
        <f t="shared" ref="W45:W76" si="25">IF(AA45&lt;IF(AG45="EC",23,5.65),"Y","N")</f>
        <v>N</v>
      </c>
      <c r="X45" s="120">
        <f t="shared" ref="X45:X76" si="26">VALUE(LEFT(AD45,4))-VALUE(LEFT(AD44,4))</f>
        <v>1</v>
      </c>
      <c r="Y45" s="69">
        <f t="shared" ref="Y45:Y76" si="27">RIGHT(D45,LEN(D45)-4)/10000</f>
        <v>4.4900000000000002E-2</v>
      </c>
      <c r="Z45" s="69">
        <f t="shared" ref="Z45:Z76" si="28">RIGHT(H45,LEN(H45)-4)/10000</f>
        <v>23.329699999999999</v>
      </c>
      <c r="AA45" s="69">
        <f t="shared" ref="AA45:AA76" si="29">ABS(Z45-Y45)</f>
        <v>23.284800000000001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ref="AD45:AD76" si="30">IF(LEN(A45)=6,"0"&amp;A45,A45)</f>
        <v>0133-28</v>
      </c>
      <c r="AE45" s="99" t="str">
        <f t="shared" ref="AE45:AE76" si="31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 &amp; 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</v>
      </c>
      <c r="AF45" s="96" t="str">
        <f t="shared" ref="AF45:AF76" si="32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/stypes="*4042*20160828*" /stext=" 14:.+((SYSTEM_STATE.+slice.+state.+changed )|(ment ac)|(system.+state.+changed )|(\|lc)|(penalty)|(\[timeout)|(PRM\|1\|D)|(kpr)|(kdp))" /e /r /s</v>
      </c>
      <c r="AG45" s="1" t="str">
        <f t="shared" ref="AG45:AG76" si="33">IFERROR(IF(VALUE(LEFT(AD45,2))&lt;=2,"EC",IF(OR(VALUE(LEFT(AD45,2))=8,VALUE(LEFT(AD45,2))=18),"NW","Other")),"Other")</f>
        <v>EC</v>
      </c>
      <c r="AH45" s="100" t="str">
        <f t="shared" si="17"/>
        <v>"%USERPROFILE%\Documents\GitHub\eaglep3\Utilities\RefineRTDCRunTimes.py" --tripid 133-28 --locoid 4042 --swversion DE.1.0.7.0 --startMP 204:449 --initTime 2016-08-28T07:41:22 --startdatetime 2016-08-28T07:45:20 --delay 1 --endMP 204:233297 --enddatetime 2016-08-28T08:21:23 --enforcementcount 0 &gt;&gt;C:\Users\stu\Documents\GitHub\eaglep3-reporting\EC\2016-08-28-refined-times.txt</v>
      </c>
      <c r="AI45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{"issue":{"subject":"","project_id":79,"tracker_id":40,"status_id":1,"priority_id":2,"assigned_to_id":23,"start_date":"2016-08-28","description":"","custom_fields":[{"id":1,"name":"Subdivision","value":"EC"},{"id":4,"name":"Milepost","value":"23.2848"},{"id":17,"name":"Train ID","value":"133-28"},{"id":16,"name":"Locomotive ID","value":"4042"},{"id":130,"name":"Impact","value":""},{"id":150,"name":"Time of Event (Mountain Time)","value":"08:21:23"},{"id":151,"name":"Denver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410</v>
      </c>
      <c r="B46" s="7">
        <v>4041</v>
      </c>
      <c r="C46" s="24" t="s">
        <v>113</v>
      </c>
      <c r="D46" s="24" t="s">
        <v>244</v>
      </c>
      <c r="E46" s="15">
        <v>42610.355428240742</v>
      </c>
      <c r="F46" s="15">
        <v>42610.362013888887</v>
      </c>
      <c r="G46" s="7">
        <v>1</v>
      </c>
      <c r="H46" s="15" t="s">
        <v>132</v>
      </c>
      <c r="I46" s="15">
        <v>42610.390486111108</v>
      </c>
      <c r="J46" s="7">
        <v>0</v>
      </c>
      <c r="K46" s="132" t="str">
        <f t="shared" si="19"/>
        <v>4041/4042</v>
      </c>
      <c r="L46" s="24" t="str">
        <f>VLOOKUP(A46,'Trips&amp;Operators'!$C$1:$E$10000,3,FALSE)</f>
        <v>SWANSON</v>
      </c>
      <c r="M46" s="6">
        <f t="shared" si="20"/>
        <v>2.8472222220443655E-2</v>
      </c>
      <c r="N46" s="7">
        <f t="shared" si="21"/>
        <v>40.999999997438863</v>
      </c>
      <c r="O46" s="7"/>
      <c r="P46" s="7"/>
      <c r="Q46" s="25"/>
      <c r="R46" s="25"/>
      <c r="S46" s="37">
        <f t="shared" si="22"/>
        <v>1</v>
      </c>
      <c r="T46" s="52" t="str">
        <f t="shared" si="23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07:31:49-0600',mode:absolute,to:'2016-08-28 10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46" s="54" t="str">
        <f t="shared" si="25"/>
        <v>N</v>
      </c>
      <c r="X46" s="120">
        <f t="shared" si="26"/>
        <v>1</v>
      </c>
      <c r="Y46" s="69">
        <f t="shared" si="27"/>
        <v>23.297999999999998</v>
      </c>
      <c r="Z46" s="69">
        <f t="shared" si="28"/>
        <v>1.47E-2</v>
      </c>
      <c r="AA46" s="69">
        <f t="shared" si="29"/>
        <v>23.283299999999997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30"/>
        <v>0134-28</v>
      </c>
      <c r="AE46" s="99" t="str">
        <f t="shared" si="31"/>
        <v>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 &amp; aws s3 cp s3://rtdc.mdm.uploadarchive/RTDC4041/2016-08-29/ "%USERPROFILE%\AppData\Local\Temp\OnboardLogs"\RTDC4041\2016-08-29 --recursive &amp; "%USERPROFILE%\Documents\GitHub\mrs-test-scripts\Headless Mode &amp; Sideloading\WalkAndUnGZ.bat" "%USERPROFILE%\AppData\Local\Temp\OnboardLogs"\RTDC4041\2016-08-29</v>
      </c>
      <c r="AF46" s="96" t="str">
        <f t="shared" si="32"/>
        <v>"C:\Program Files (x86)\AstroGrep\AstroGrep.exe" /spath="%USERPROFILE%\AppData\Local\Temp\OnboardLogs" /stypes="*4041*20160828*" /stext=" 15:.+((SYSTEM_STATE.+slice.+state.+changed )|(ment ac)|(system.+state.+changed )|(\|lc)|(penalty)|(\[timeout)|(PRM\|1\|D)|(kpr)|(kdp))" /e /r /s</v>
      </c>
      <c r="AG46" s="1" t="str">
        <f t="shared" si="33"/>
        <v>EC</v>
      </c>
      <c r="AH46" s="100" t="str">
        <f t="shared" si="17"/>
        <v>"%USERPROFILE%\Documents\GitHub\eaglep3\Utilities\RefineRTDCRunTimes.py" --tripid 134-28 --locoid 4041 --swversion DE.1.0.7.0 --startMP 204:232980 --initTime 2016-08-28T08:31:49 --startdatetime 2016-08-28T08:41:18 --delay 1 --endMP 204:147 --enddatetime 2016-08-28T09:22:18 --enforcementcount 0 &gt;&gt;C:\Users\stu\Documents\GitHub\eaglep3-reporting\EC\2016-08-28-refined-times.txt</v>
      </c>
      <c r="AI46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{"issue":{"subject":"","project_id":79,"tracker_id":40,"status_id":1,"priority_id":2,"assigned_to_id":23,"start_date":"2016-08-28","description":"","custom_fields":[{"id":1,"name":"Subdivision","value":"EC"},{"id":4,"name":"Milepost","value":"23.2833"},{"id":17,"name":"Train ID","value":"134-28"},{"id":16,"name":"Locomotive ID","value":"4041"},{"id":130,"name":"Impact","value":""},{"id":150,"name":"Time of Event (Mountain Time)","value":"09:22:18"},{"id":151,"name":"Denver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406</v>
      </c>
      <c r="B47" s="7">
        <v>4038</v>
      </c>
      <c r="C47" s="24" t="s">
        <v>113</v>
      </c>
      <c r="D47" s="24" t="s">
        <v>133</v>
      </c>
      <c r="E47" s="15">
        <v>42610.329293981478</v>
      </c>
      <c r="F47" s="15">
        <v>42610.333749999998</v>
      </c>
      <c r="G47" s="7">
        <v>0</v>
      </c>
      <c r="H47" s="15" t="s">
        <v>563</v>
      </c>
      <c r="I47" s="15">
        <v>42610.3593287037</v>
      </c>
      <c r="J47" s="7">
        <v>0</v>
      </c>
      <c r="K47" s="132" t="str">
        <f t="shared" si="19"/>
        <v>4037/4038</v>
      </c>
      <c r="L47" s="24" t="str">
        <f>VLOOKUP(A47,'Trips&amp;Operators'!$C$1:$E$10000,3,FALSE)</f>
        <v>DAVIS</v>
      </c>
      <c r="M47" s="6">
        <f t="shared" si="20"/>
        <v>2.5578703702194616E-2</v>
      </c>
      <c r="N47" s="7">
        <f t="shared" si="21"/>
        <v>36.833333331160247</v>
      </c>
      <c r="O47" s="7"/>
      <c r="P47" s="7"/>
      <c r="Q47" s="25"/>
      <c r="R47" s="25"/>
      <c r="S47" s="37">
        <f t="shared" si="22"/>
        <v>1</v>
      </c>
      <c r="T47" s="52" t="str">
        <f t="shared" si="23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06:54:11-0600',mode:absolute,to:'2016-08-28 09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47" s="54" t="str">
        <f t="shared" si="25"/>
        <v>N</v>
      </c>
      <c r="X47" s="120">
        <f t="shared" si="26"/>
        <v>1</v>
      </c>
      <c r="Y47" s="69">
        <f t="shared" si="27"/>
        <v>4.53E-2</v>
      </c>
      <c r="Z47" s="69">
        <f t="shared" si="28"/>
        <v>23.331499999999998</v>
      </c>
      <c r="AA47" s="69">
        <f t="shared" si="29"/>
        <v>23.286199999999997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30"/>
        <v>0135-28</v>
      </c>
      <c r="AE47" s="99" t="str">
        <f t="shared" si="31"/>
        <v>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 &amp; 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</v>
      </c>
      <c r="AF47" s="96" t="str">
        <f t="shared" si="32"/>
        <v>"C:\Program Files (x86)\AstroGrep\AstroGrep.exe" /spath="%USERPROFILE%\AppData\Local\Temp\OnboardLogs" /stypes="*4038*20160828*" /stext=" 14:.+((SYSTEM_STATE.+slice.+state.+changed )|(ment ac)|(system.+state.+changed )|(\|lc)|(penalty)|(\[timeout)|(PRM\|1\|D)|(kpr)|(kdp))" /e /r /s</v>
      </c>
      <c r="AG47" s="1" t="str">
        <f t="shared" si="33"/>
        <v>EC</v>
      </c>
      <c r="AH47" s="100" t="str">
        <f t="shared" si="17"/>
        <v>"%USERPROFILE%\Documents\GitHub\eaglep3\Utilities\RefineRTDCRunTimes.py" --tripid 135-28 --locoid 4038 --swversion DE.1.0.7.0 --startMP 204:453 --initTime 2016-08-28T07:54:11 --startdatetime 2016-08-28T08:00:36 --delay 0 --endMP 204:233315 --enddatetime 2016-08-28T08:37:26 --enforcementcount 0 &gt;&gt;C:\Users\stu\Documents\GitHub\eaglep3-reporting\EC\2016-08-28-refined-times.txt</v>
      </c>
      <c r="AI47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{"issue":{"subject":"","project_id":79,"tracker_id":40,"status_id":1,"priority_id":2,"assigned_to_id":23,"start_date":"2016-08-28","description":"","custom_fields":[{"id":1,"name":"Subdivision","value":"EC"},{"id":4,"name":"Milepost","value":"23.2862"},{"id":17,"name":"Train ID","value":"135-28"},{"id":16,"name":"Locomotive ID","value":"4038"},{"id":130,"name":"Impact","value":""},{"id":150,"name":"Time of Event (Mountain Time)","value":"08:37:26"},{"id":151,"name":"Denver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414</v>
      </c>
      <c r="B48" s="7">
        <v>4037</v>
      </c>
      <c r="C48" s="24" t="s">
        <v>113</v>
      </c>
      <c r="D48" s="24" t="s">
        <v>253</v>
      </c>
      <c r="E48" s="15">
        <v>42610.368680555555</v>
      </c>
      <c r="F48" s="15">
        <v>42610.372395833336</v>
      </c>
      <c r="G48" s="7">
        <v>1</v>
      </c>
      <c r="H48" s="15" t="s">
        <v>131</v>
      </c>
      <c r="I48" s="15">
        <v>42610.400370370371</v>
      </c>
      <c r="J48" s="7">
        <v>0</v>
      </c>
      <c r="K48" s="132" t="str">
        <f t="shared" si="19"/>
        <v>4037/4038</v>
      </c>
      <c r="L48" s="24" t="str">
        <f>VLOOKUP(A48,'Trips&amp;Operators'!$C$1:$E$10000,3,FALSE)</f>
        <v>DAVIS</v>
      </c>
      <c r="M48" s="6">
        <f t="shared" si="20"/>
        <v>2.7974537035333924E-2</v>
      </c>
      <c r="N48" s="7">
        <f t="shared" si="21"/>
        <v>40.283333330880851</v>
      </c>
      <c r="O48" s="7"/>
      <c r="P48" s="7"/>
      <c r="Q48" s="25"/>
      <c r="R48" s="25"/>
      <c r="S48" s="37">
        <f t="shared" si="22"/>
        <v>1</v>
      </c>
      <c r="T48" s="52" t="str">
        <f t="shared" si="23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07:50:54-0600',mode:absolute,to:'2016-08-28 10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48" s="54" t="str">
        <f t="shared" si="25"/>
        <v>N</v>
      </c>
      <c r="X48" s="120">
        <f t="shared" si="26"/>
        <v>1</v>
      </c>
      <c r="Y48" s="69">
        <f t="shared" si="27"/>
        <v>23.299099999999999</v>
      </c>
      <c r="Z48" s="69">
        <f t="shared" si="28"/>
        <v>1.5800000000000002E-2</v>
      </c>
      <c r="AA48" s="69">
        <f t="shared" si="29"/>
        <v>23.283300000000001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30"/>
        <v>0136-28</v>
      </c>
      <c r="AE48" s="99" t="str">
        <f t="shared" si="31"/>
        <v>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 &amp; 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</v>
      </c>
      <c r="AF48" s="96" t="str">
        <f t="shared" si="32"/>
        <v>"C:\Program Files (x86)\AstroGrep\AstroGrep.exe" /spath="%USERPROFILE%\AppData\Local\Temp\OnboardLogs" /stypes="*4037*20160828*" /stext=" 15:.+((SYSTEM_STATE.+slice.+state.+changed )|(ment ac)|(system.+state.+changed )|(\|lc)|(penalty)|(\[timeout)|(PRM\|1\|D)|(kpr)|(kdp))" /e /r /s</v>
      </c>
      <c r="AG48" s="1" t="str">
        <f t="shared" si="33"/>
        <v>EC</v>
      </c>
      <c r="AH48" s="100" t="str">
        <f t="shared" si="17"/>
        <v>"%USERPROFILE%\Documents\GitHub\eaglep3\Utilities\RefineRTDCRunTimes.py" --tripid 136-28 --locoid 4037 --swversion DE.1.0.7.0 --startMP 204:232991 --initTime 2016-08-28T08:50:54 --startdatetime 2016-08-28T08:56:15 --delay 1 --endMP 204:158 --enddatetime 2016-08-28T09:36:32 --enforcementcount 0 &gt;&gt;C:\Users\stu\Documents\GitHub\eaglep3-reporting\EC\2016-08-28-refined-times.txt</v>
      </c>
      <c r="AI48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{"issue":{"subject":"","project_id":79,"tracker_id":40,"status_id":1,"priority_id":2,"assigned_to_id":23,"start_date":"2016-08-28","description":"","custom_fields":[{"id":1,"name":"Subdivision","value":"EC"},{"id":4,"name":"Milepost","value":"23.2833"},{"id":17,"name":"Train ID","value":"136-28"},{"id":16,"name":"Locomotive ID","value":"4037"},{"id":130,"name":"Impact","value":""},{"id":150,"name":"Time of Event (Mountain Time)","value":"09:36:32"},{"id":151,"name":"Denver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407</v>
      </c>
      <c r="B49" s="7">
        <v>4007</v>
      </c>
      <c r="C49" s="24" t="s">
        <v>113</v>
      </c>
      <c r="D49" s="24" t="s">
        <v>564</v>
      </c>
      <c r="E49" s="15">
        <v>42610.342523148145</v>
      </c>
      <c r="F49" s="15">
        <v>42610.344085648147</v>
      </c>
      <c r="G49" s="7">
        <v>1</v>
      </c>
      <c r="H49" s="15" t="s">
        <v>154</v>
      </c>
      <c r="I49" s="15">
        <v>42610.370335648149</v>
      </c>
      <c r="J49" s="7">
        <v>0</v>
      </c>
      <c r="K49" s="132" t="str">
        <f t="shared" si="19"/>
        <v>4007/4008</v>
      </c>
      <c r="L49" s="24" t="str">
        <f>VLOOKUP(A49,'Trips&amp;Operators'!$C$1:$E$10000,3,FALSE)</f>
        <v>MALAVE</v>
      </c>
      <c r="M49" s="6">
        <f t="shared" si="20"/>
        <v>2.6250000002619345E-2</v>
      </c>
      <c r="N49" s="7">
        <f t="shared" si="21"/>
        <v>37.800000003771856</v>
      </c>
      <c r="O49" s="7"/>
      <c r="P49" s="7"/>
      <c r="Q49" s="25"/>
      <c r="R49" s="25"/>
      <c r="S49" s="37">
        <f t="shared" si="22"/>
        <v>1</v>
      </c>
      <c r="T49" s="52" t="str">
        <f t="shared" si="23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07:13:14-0600',mode:absolute,to:'2016-08-28 09:53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9" s="54" t="str">
        <f t="shared" si="25"/>
        <v>N</v>
      </c>
      <c r="X49" s="120">
        <f t="shared" si="26"/>
        <v>1</v>
      </c>
      <c r="Y49" s="69">
        <f t="shared" si="27"/>
        <v>7.4300000000000005E-2</v>
      </c>
      <c r="Z49" s="69">
        <f t="shared" si="28"/>
        <v>23.3291</v>
      </c>
      <c r="AA49" s="69">
        <f t="shared" si="29"/>
        <v>23.254799999999999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30"/>
        <v>0137-28</v>
      </c>
      <c r="AE49" s="99" t="str">
        <f t="shared" si="31"/>
        <v>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 &amp; 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</v>
      </c>
      <c r="AF49" s="96" t="str">
        <f t="shared" si="32"/>
        <v>"C:\Program Files (x86)\AstroGrep\AstroGrep.exe" /spath="%USERPROFILE%\AppData\Local\Temp\OnboardLogs" /stypes="*4007*20160828*" /stext=" 14:.+((SYSTEM_STATE.+slice.+state.+changed )|(ment ac)|(system.+state.+changed )|(\|lc)|(penalty)|(\[timeout)|(PRM\|1\|D)|(kpr)|(kdp))" /e /r /s</v>
      </c>
      <c r="AG49" s="1" t="str">
        <f t="shared" si="33"/>
        <v>EC</v>
      </c>
      <c r="AH49" s="100" t="str">
        <f t="shared" si="17"/>
        <v>"%USERPROFILE%\Documents\GitHub\eaglep3\Utilities\RefineRTDCRunTimes.py" --tripid 137-28 --locoid 4007 --swversion DE.1.0.7.0 --startMP 204:743 --initTime 2016-08-28T08:13:14 --startdatetime 2016-08-28T08:15:29 --delay 1 --endMP 204:233291 --enddatetime 2016-08-28T08:53:17 --enforcementcount 0 &gt;&gt;C:\Users\stu\Documents\GitHub\eaglep3-reporting\EC\2016-08-28-refined-times.txt</v>
      </c>
      <c r="AI49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{"issue":{"subject":"","project_id":79,"tracker_id":40,"status_id":1,"priority_id":2,"assigned_to_id":23,"start_date":"2016-08-28","description":"","custom_fields":[{"id":1,"name":"Subdivision","value":"EC"},{"id":4,"name":"Milepost","value":"23.2548"},{"id":17,"name":"Train ID","value":"137-28"},{"id":16,"name":"Locomotive ID","value":"4007"},{"id":130,"name":"Impact","value":""},{"id":150,"name":"Time of Event (Mountain Time)","value":"08:53:17"},{"id":151,"name":"Denver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415</v>
      </c>
      <c r="B50" s="7">
        <v>4008</v>
      </c>
      <c r="C50" s="24" t="s">
        <v>113</v>
      </c>
      <c r="D50" s="24" t="s">
        <v>297</v>
      </c>
      <c r="E50" s="15">
        <v>42610.380740740744</v>
      </c>
      <c r="F50" s="15">
        <v>42610.382870370369</v>
      </c>
      <c r="G50" s="7">
        <v>2</v>
      </c>
      <c r="H50" s="15" t="s">
        <v>184</v>
      </c>
      <c r="I50" s="15">
        <v>42610.410196759258</v>
      </c>
      <c r="J50" s="7">
        <v>0</v>
      </c>
      <c r="K50" s="132" t="str">
        <f t="shared" si="19"/>
        <v>4007/4008</v>
      </c>
      <c r="L50" s="24" t="str">
        <f>VLOOKUP(A50,'Trips&amp;Operators'!$C$1:$E$10000,3,FALSE)</f>
        <v>MALAVE</v>
      </c>
      <c r="M50" s="6">
        <f t="shared" si="20"/>
        <v>2.73263888884685E-2</v>
      </c>
      <c r="N50" s="7">
        <f t="shared" si="21"/>
        <v>39.34999999939464</v>
      </c>
      <c r="O50" s="7"/>
      <c r="P50" s="7"/>
      <c r="Q50" s="25"/>
      <c r="R50" s="25"/>
      <c r="S50" s="37">
        <f t="shared" si="22"/>
        <v>1</v>
      </c>
      <c r="T50" s="52" t="str">
        <f t="shared" si="23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08:08:16-0600',mode:absolute,to:'2016-08-28 10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50" s="54" t="str">
        <f t="shared" si="25"/>
        <v>N</v>
      </c>
      <c r="X50" s="120">
        <f t="shared" si="26"/>
        <v>1</v>
      </c>
      <c r="Y50" s="69">
        <f t="shared" si="27"/>
        <v>23.2973</v>
      </c>
      <c r="Z50" s="69">
        <f t="shared" si="28"/>
        <v>1.6E-2</v>
      </c>
      <c r="AA50" s="69">
        <f t="shared" si="29"/>
        <v>23.281300000000002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 t="shared" si="30"/>
        <v>0138-28</v>
      </c>
      <c r="AE50" s="99" t="str">
        <f t="shared" si="31"/>
        <v>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 &amp; 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</v>
      </c>
      <c r="AF50" s="96" t="str">
        <f t="shared" si="32"/>
        <v>"C:\Program Files (x86)\AstroGrep\AstroGrep.exe" /spath="%USERPROFILE%\AppData\Local\Temp\OnboardLogs" /stypes="*4008*20160828*" /stext=" 15:.+((SYSTEM_STATE.+slice.+state.+changed )|(ment ac)|(system.+state.+changed )|(\|lc)|(penalty)|(\[timeout)|(PRM\|1\|D)|(kpr)|(kdp))" /e /r /s</v>
      </c>
      <c r="AG50" s="1" t="str">
        <f t="shared" si="33"/>
        <v>EC</v>
      </c>
      <c r="AH50" s="100" t="str">
        <f t="shared" si="17"/>
        <v>"%USERPROFILE%\Documents\GitHub\eaglep3\Utilities\RefineRTDCRunTimes.py" --tripid 138-28 --locoid 4008 --swversion DE.1.0.7.0 --startMP 204:232973 --initTime 2016-08-28T09:08:16 --startdatetime 2016-08-28T09:11:20 --delay 2 --endMP 204:160 --enddatetime 2016-08-28T09:50:41 --enforcementcount 0 &gt;&gt;C:\Users\stu\Documents\GitHub\eaglep3-reporting\EC\2016-08-28-refined-times.txt</v>
      </c>
      <c r="AI50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{"issue":{"subject":"","project_id":79,"tracker_id":40,"status_id":1,"priority_id":2,"assigned_to_id":23,"start_date":"2016-08-28","description":"","custom_fields":[{"id":1,"name":"Subdivision","value":"EC"},{"id":4,"name":"Milepost","value":"23.2813"},{"id":17,"name":"Train ID","value":"138-28"},{"id":16,"name":"Locomotive ID","value":"4008"},{"id":130,"name":"Impact","value":""},{"id":150,"name":"Time of Event (Mountain Time)","value":"09:50:41"},{"id":151,"name":"Denver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409</v>
      </c>
      <c r="B51" s="7">
        <v>4002</v>
      </c>
      <c r="C51" s="24" t="s">
        <v>113</v>
      </c>
      <c r="D51" s="24" t="s">
        <v>565</v>
      </c>
      <c r="E51" s="15">
        <v>42610.353298611109</v>
      </c>
      <c r="F51" s="15">
        <v>42610.354560185187</v>
      </c>
      <c r="G51" s="7">
        <v>1</v>
      </c>
      <c r="H51" s="15" t="s">
        <v>317</v>
      </c>
      <c r="I51" s="15">
        <v>42610.381562499999</v>
      </c>
      <c r="J51" s="7">
        <v>0</v>
      </c>
      <c r="K51" s="132" t="str">
        <f t="shared" si="19"/>
        <v>4001/4002</v>
      </c>
      <c r="L51" s="24" t="str">
        <f>VLOOKUP(A51,'Trips&amp;Operators'!$C$1:$E$10000,3,FALSE)</f>
        <v>STRICKLAND</v>
      </c>
      <c r="M51" s="6">
        <f t="shared" si="20"/>
        <v>2.700231481139781E-2</v>
      </c>
      <c r="N51" s="7">
        <f t="shared" si="21"/>
        <v>38.883333328412846</v>
      </c>
      <c r="O51" s="7"/>
      <c r="P51" s="7"/>
      <c r="Q51" s="25"/>
      <c r="R51" s="25"/>
      <c r="S51" s="37">
        <f t="shared" si="22"/>
        <v>1</v>
      </c>
      <c r="T51" s="52" t="str">
        <f t="shared" si="23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07:28:45-0600',mode:absolute,to:'2016-08-28 10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1" s="54" t="str">
        <f t="shared" si="25"/>
        <v>N</v>
      </c>
      <c r="X51" s="120">
        <f t="shared" si="26"/>
        <v>1</v>
      </c>
      <c r="Y51" s="69">
        <f t="shared" si="27"/>
        <v>5.5100000000000003E-2</v>
      </c>
      <c r="Z51" s="69">
        <f t="shared" si="28"/>
        <v>23.331700000000001</v>
      </c>
      <c r="AA51" s="69">
        <f t="shared" si="29"/>
        <v>23.276600000000002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30"/>
        <v>0139-28</v>
      </c>
      <c r="AE51" s="99" t="str">
        <f t="shared" si="31"/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51" s="96" t="str">
        <f t="shared" si="32"/>
        <v>"C:\Program Files (x86)\AstroGrep\AstroGrep.exe" /spath="%USERPROFILE%\AppData\Local\Temp\OnboardLogs" /stypes="*4002*20160828*" /stext=" 15:.+((SYSTEM_STATE.+slice.+state.+changed )|(ment ac)|(system.+state.+changed )|(\|lc)|(penalty)|(\[timeout)|(PRM\|1\|D)|(kpr)|(kdp))" /e /r /s</v>
      </c>
      <c r="AG51" s="1" t="str">
        <f t="shared" si="33"/>
        <v>EC</v>
      </c>
      <c r="AH51" s="100" t="str">
        <f t="shared" si="17"/>
        <v>"%USERPROFILE%\Documents\GitHub\eaglep3\Utilities\RefineRTDCRunTimes.py" --tripid 139-28 --locoid 4002 --swversion DE.1.0.7.0 --startMP 204:551 --initTime 2016-08-28T08:28:45 --startdatetime 2016-08-28T08:30:34 --delay 1 --endMP 204:233317 --enddatetime 2016-08-28T09:09:27 --enforcementcount 0 &gt;&gt;C:\Users\stu\Documents\GitHub\eaglep3-reporting\EC\2016-08-28-refined-times.txt</v>
      </c>
      <c r="AI51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{"issue":{"subject":"","project_id":79,"tracker_id":40,"status_id":1,"priority_id":2,"assigned_to_id":23,"start_date":"2016-08-28","description":"","custom_fields":[{"id":1,"name":"Subdivision","value":"EC"},{"id":4,"name":"Milepost","value":"23.2766"},{"id":17,"name":"Train ID","value":"139-28"},{"id":16,"name":"Locomotive ID","value":"4002"},{"id":130,"name":"Impact","value":""},{"id":150,"name":"Time of Event (Mountain Time)","value":"09:09:27"},{"id":151,"name":"Denver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360</v>
      </c>
      <c r="B52" s="7">
        <v>4001</v>
      </c>
      <c r="C52" s="24" t="s">
        <v>113</v>
      </c>
      <c r="D52" s="24" t="s">
        <v>302</v>
      </c>
      <c r="E52" s="15">
        <v>42610.386712962965</v>
      </c>
      <c r="F52" s="15">
        <v>42610.393333333333</v>
      </c>
      <c r="G52" s="7">
        <v>1</v>
      </c>
      <c r="H52" s="15" t="s">
        <v>151</v>
      </c>
      <c r="I52" s="15">
        <v>42610.420671296299</v>
      </c>
      <c r="J52" s="7">
        <v>0</v>
      </c>
      <c r="K52" s="132" t="str">
        <f t="shared" si="19"/>
        <v>4001/4002</v>
      </c>
      <c r="L52" s="24" t="str">
        <f>VLOOKUP(A52,'Trips&amp;Operators'!$C$1:$E$10000,3,FALSE)</f>
        <v>STRICKLAND</v>
      </c>
      <c r="M52" s="6">
        <f t="shared" si="20"/>
        <v>2.7337962965248153E-2</v>
      </c>
      <c r="N52" s="7">
        <f t="shared" si="21"/>
        <v>39.36666666995734</v>
      </c>
      <c r="O52" s="7"/>
      <c r="P52" s="7"/>
      <c r="Q52" s="25"/>
      <c r="R52" s="25"/>
      <c r="S52" s="37">
        <f t="shared" si="22"/>
        <v>1</v>
      </c>
      <c r="T52" s="52" t="str">
        <f t="shared" si="23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08:16:52-0600',mode:absolute,to:'2016-08-28 11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52" s="54" t="str">
        <f t="shared" si="25"/>
        <v>N</v>
      </c>
      <c r="X52" s="120">
        <f t="shared" si="26"/>
        <v>1</v>
      </c>
      <c r="Y52" s="69">
        <f t="shared" si="27"/>
        <v>23.298300000000001</v>
      </c>
      <c r="Z52" s="69">
        <f t="shared" si="28"/>
        <v>1.4999999999999999E-2</v>
      </c>
      <c r="AA52" s="69">
        <f t="shared" si="29"/>
        <v>23.283300000000001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30"/>
        <v>0140-28</v>
      </c>
      <c r="AE52" s="99" t="str">
        <f t="shared" si="31"/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AF52" s="96" t="str">
        <f t="shared" si="32"/>
        <v>"C:\Program Files (x86)\AstroGrep\AstroGrep.exe" /spath="%USERPROFILE%\AppData\Local\Temp\OnboardLogs" /stypes="*4001*20160828*" /stext=" 16:.+((SYSTEM_STATE.+slice.+state.+changed )|(ment ac)|(system.+state.+changed )|(\|lc)|(penalty)|(\[timeout)|(PRM\|1\|D)|(kpr)|(kdp))" /e /r /s</v>
      </c>
      <c r="AG52" s="1" t="str">
        <f t="shared" si="33"/>
        <v>EC</v>
      </c>
      <c r="AH52" s="100" t="str">
        <f t="shared" si="17"/>
        <v>"%USERPROFILE%\Documents\GitHub\eaglep3\Utilities\RefineRTDCRunTimes.py" --tripid 140-28 --locoid 4001 --swversion DE.1.0.7.0 --startMP 204:232983 --initTime 2016-08-28T09:16:52 --startdatetime 2016-08-28T09:26:24 --delay 1 --endMP 204:150 --enddatetime 2016-08-28T10:05:46 --enforcementcount 0 &gt;&gt;C:\Users\stu\Documents\GitHub\eaglep3-reporting\EC\2016-08-28-refined-times.txt</v>
      </c>
      <c r="AI52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{"issue":{"subject":"","project_id":79,"tracker_id":40,"status_id":1,"priority_id":2,"assigned_to_id":23,"start_date":"2016-08-28","description":"","custom_fields":[{"id":1,"name":"Subdivision","value":"EC"},{"id":4,"name":"Milepost","value":"23.2833"},{"id":17,"name":"Train ID","value":"140-28"},{"id":16,"name":"Locomotive ID","value":"4001"},{"id":130,"name":"Impact","value":""},{"id":150,"name":"Time of Event (Mountain Time)","value":"10:05:46"},{"id":151,"name":"Denver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412</v>
      </c>
      <c r="B53" s="7">
        <v>4027</v>
      </c>
      <c r="C53" s="24" t="s">
        <v>113</v>
      </c>
      <c r="D53" s="24" t="s">
        <v>125</v>
      </c>
      <c r="E53" s="15">
        <v>42610.361944444441</v>
      </c>
      <c r="F53" s="15">
        <v>42610.36478009259</v>
      </c>
      <c r="G53" s="7">
        <v>1</v>
      </c>
      <c r="H53" s="15" t="s">
        <v>566</v>
      </c>
      <c r="I53" s="15">
        <v>42610.38921296296</v>
      </c>
      <c r="J53" s="7">
        <v>0</v>
      </c>
      <c r="K53" s="132" t="str">
        <f t="shared" si="19"/>
        <v>4027/4028</v>
      </c>
      <c r="L53" s="24" t="str">
        <f>VLOOKUP(A53,'Trips&amp;Operators'!$C$1:$E$10000,3,FALSE)</f>
        <v>KILLION</v>
      </c>
      <c r="M53" s="6">
        <f t="shared" si="20"/>
        <v>2.4432870370219462E-2</v>
      </c>
      <c r="N53" s="7">
        <f t="shared" si="21"/>
        <v>35.183333333116025</v>
      </c>
      <c r="O53" s="7"/>
      <c r="P53" s="7"/>
      <c r="Q53" s="25"/>
      <c r="R53" s="25"/>
      <c r="S53" s="37">
        <f t="shared" si="22"/>
        <v>1</v>
      </c>
      <c r="T53" s="52" t="str">
        <f t="shared" si="23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07:41:12-0600',mode:absolute,to:'2016-08-28 10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53" s="54" t="str">
        <f t="shared" si="25"/>
        <v>N</v>
      </c>
      <c r="X53" s="120">
        <f t="shared" si="26"/>
        <v>1</v>
      </c>
      <c r="Y53" s="69">
        <f t="shared" si="27"/>
        <v>4.5499999999999999E-2</v>
      </c>
      <c r="Z53" s="69">
        <f t="shared" si="28"/>
        <v>23.326599999999999</v>
      </c>
      <c r="AA53" s="69">
        <f t="shared" si="29"/>
        <v>23.281099999999999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30"/>
        <v>0141-28</v>
      </c>
      <c r="AE53" s="99" t="str">
        <f t="shared" si="31"/>
        <v>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 &amp; 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</v>
      </c>
      <c r="AF53" s="96" t="str">
        <f t="shared" si="32"/>
        <v>"C:\Program Files (x86)\AstroGrep\AstroGrep.exe" /spath="%USERPROFILE%\AppData\Local\Temp\OnboardLogs" /stypes="*4027*20160828*" /stext=" 15:.+((SYSTEM_STATE.+slice.+state.+changed )|(ment ac)|(system.+state.+changed )|(\|lc)|(penalty)|(\[timeout)|(PRM\|1\|D)|(kpr)|(kdp))" /e /r /s</v>
      </c>
      <c r="AG53" s="1" t="str">
        <f t="shared" si="33"/>
        <v>EC</v>
      </c>
      <c r="AH53" s="100" t="str">
        <f t="shared" si="17"/>
        <v>"%USERPROFILE%\Documents\GitHub\eaglep3\Utilities\RefineRTDCRunTimes.py" --tripid 141-28 --locoid 4027 --swversion DE.1.0.7.0 --startMP 204:455 --initTime 2016-08-28T08:41:12 --startdatetime 2016-08-28T08:45:17 --delay 1 --endMP 204:233266 --enddatetime 2016-08-28T09:20:28 --enforcementcount 0 &gt;&gt;C:\Users\stu\Documents\GitHub\eaglep3-reporting\EC\2016-08-28-refined-times.txt</v>
      </c>
      <c r="AI53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{"issue":{"subject":"","project_id":79,"tracker_id":40,"status_id":1,"priority_id":2,"assigned_to_id":23,"start_date":"2016-08-28","description":"","custom_fields":[{"id":1,"name":"Subdivision","value":"EC"},{"id":4,"name":"Milepost","value":"23.2811"},{"id":17,"name":"Train ID","value":"141-28"},{"id":16,"name":"Locomotive ID","value":"4027"},{"id":130,"name":"Impact","value":""},{"id":150,"name":"Time of Event (Mountain Time)","value":"09:20:28"},{"id":151,"name":"Denver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419</v>
      </c>
      <c r="B54" s="7">
        <v>4028</v>
      </c>
      <c r="C54" s="24" t="s">
        <v>113</v>
      </c>
      <c r="D54" s="24" t="s">
        <v>297</v>
      </c>
      <c r="E54" s="15">
        <v>42610.396643518521</v>
      </c>
      <c r="F54" s="15">
        <v>42610.403668981482</v>
      </c>
      <c r="G54" s="7">
        <v>1</v>
      </c>
      <c r="H54" s="15" t="s">
        <v>171</v>
      </c>
      <c r="I54" s="15">
        <v>42610.430127314816</v>
      </c>
      <c r="J54" s="7">
        <v>0</v>
      </c>
      <c r="K54" s="132" t="str">
        <f t="shared" si="19"/>
        <v>4027/4028</v>
      </c>
      <c r="L54" s="24" t="str">
        <f>VLOOKUP(A54,'Trips&amp;Operators'!$C$1:$E$10000,3,FALSE)</f>
        <v>KILLION</v>
      </c>
      <c r="M54" s="6">
        <f t="shared" si="20"/>
        <v>2.6458333333721384E-2</v>
      </c>
      <c r="N54" s="7">
        <f t="shared" si="21"/>
        <v>38.100000000558794</v>
      </c>
      <c r="O54" s="7"/>
      <c r="P54" s="7"/>
      <c r="Q54" s="25"/>
      <c r="R54" s="25"/>
      <c r="S54" s="37">
        <f t="shared" si="22"/>
        <v>1</v>
      </c>
      <c r="T54" s="52" t="str">
        <f t="shared" si="23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08:31:10-0600',mode:absolute,to:'2016-08-28 11:19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4" s="54" t="str">
        <f t="shared" si="25"/>
        <v>N</v>
      </c>
      <c r="X54" s="120">
        <f t="shared" si="26"/>
        <v>1</v>
      </c>
      <c r="Y54" s="69">
        <f t="shared" si="27"/>
        <v>23.2973</v>
      </c>
      <c r="Z54" s="69">
        <f t="shared" si="28"/>
        <v>1.52E-2</v>
      </c>
      <c r="AA54" s="69">
        <f t="shared" si="29"/>
        <v>23.2821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30"/>
        <v>0142-28</v>
      </c>
      <c r="AE54" s="99" t="str">
        <f t="shared" si="31"/>
        <v>aws s3 cp s3://rtdc.mdm.uploadarchive/RTDC4028/2016-08-28/ "%USERPROFILE%\AppData\Local\Temp\OnboardLogs"\RTDC4028\2016-08-28 --recursive &amp; "%USERPROFILE%\Documents\GitHub\mrs-test-scripts\Headless Mode &amp; Sideloading\WalkAndUnGZ.bat" "%USERPROFILE%\AppData\Local\Temp\OnboardLogs"\RTDC4028\2016-08-28 &amp; 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</v>
      </c>
      <c r="AF54" s="96" t="str">
        <f t="shared" si="32"/>
        <v>"C:\Program Files (x86)\AstroGrep\AstroGrep.exe" /spath="%USERPROFILE%\AppData\Local\Temp\OnboardLogs" /stypes="*4028*20160828*" /stext=" 16:.+((SYSTEM_STATE.+slice.+state.+changed )|(ment ac)|(system.+state.+changed )|(\|lc)|(penalty)|(\[timeout)|(PRM\|1\|D)|(kpr)|(kdp))" /e /r /s</v>
      </c>
      <c r="AG54" s="1" t="str">
        <f t="shared" si="33"/>
        <v>EC</v>
      </c>
      <c r="AH54" s="100" t="str">
        <f t="shared" si="17"/>
        <v>"%USERPROFILE%\Documents\GitHub\eaglep3\Utilities\RefineRTDCRunTimes.py" --tripid 142-28 --locoid 4028 --swversion DE.1.0.7.0 --startMP 204:232973 --initTime 2016-08-28T09:31:10 --startdatetime 2016-08-28T09:41:17 --delay 1 --endMP 204:152 --enddatetime 2016-08-28T10:19:23 --enforcementcount 0 &gt;&gt;C:\Users\stu\Documents\GitHub\eaglep3-reporting\EC\2016-08-28-refined-times.txt</v>
      </c>
      <c r="AI54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{"issue":{"subject":"","project_id":79,"tracker_id":40,"status_id":1,"priority_id":2,"assigned_to_id":23,"start_date":"2016-08-28","description":"","custom_fields":[{"id":1,"name":"Subdivision","value":"EC"},{"id":4,"name":"Milepost","value":"23.2821"},{"id":17,"name":"Train ID","value":"142-28"},{"id":16,"name":"Locomotive ID","value":"4028"},{"id":130,"name":"Impact","value":""},{"id":150,"name":"Time of Event (Mountain Time)","value":"10:19:23"},{"id":151,"name":"Denver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413</v>
      </c>
      <c r="B55" s="7">
        <v>4040</v>
      </c>
      <c r="C55" s="24" t="s">
        <v>113</v>
      </c>
      <c r="D55" s="24" t="s">
        <v>201</v>
      </c>
      <c r="E55" s="15">
        <v>42610.367685185185</v>
      </c>
      <c r="F55" s="15">
        <v>42610.375277777777</v>
      </c>
      <c r="G55" s="7">
        <v>1</v>
      </c>
      <c r="H55" s="15" t="s">
        <v>148</v>
      </c>
      <c r="I55" s="15">
        <v>42610.399363425924</v>
      </c>
      <c r="J55" s="7">
        <v>0</v>
      </c>
      <c r="K55" s="132" t="str">
        <f t="shared" si="19"/>
        <v>4039/4040</v>
      </c>
      <c r="L55" s="24" t="str">
        <f>VLOOKUP(A55,'Trips&amp;Operators'!$C$1:$E$10000,3,FALSE)</f>
        <v>YORK</v>
      </c>
      <c r="M55" s="6">
        <f t="shared" si="20"/>
        <v>2.4085648146865424E-2</v>
      </c>
      <c r="N55" s="7">
        <f t="shared" si="21"/>
        <v>34.68333333148621</v>
      </c>
      <c r="O55" s="7"/>
      <c r="P55" s="7"/>
      <c r="Q55" s="25"/>
      <c r="R55" s="25"/>
      <c r="S55" s="37">
        <f t="shared" si="22"/>
        <v>1</v>
      </c>
      <c r="T55" s="52" t="str">
        <f t="shared" si="23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07:49:28-0600',mode:absolute,to:'2016-08-28 10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55" s="54" t="str">
        <f t="shared" si="25"/>
        <v>N</v>
      </c>
      <c r="X55" s="120">
        <f t="shared" si="26"/>
        <v>1</v>
      </c>
      <c r="Y55" s="69">
        <f t="shared" si="27"/>
        <v>4.6399999999999997E-2</v>
      </c>
      <c r="Z55" s="69">
        <f t="shared" si="28"/>
        <v>23.33</v>
      </c>
      <c r="AA55" s="69">
        <f t="shared" si="29"/>
        <v>23.2836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30"/>
        <v>0143-28</v>
      </c>
      <c r="AE55" s="99" t="str">
        <f t="shared" si="31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55" s="96" t="str">
        <f t="shared" si="32"/>
        <v>"C:\Program Files (x86)\AstroGrep\AstroGrep.exe" /spath="%USERPROFILE%\AppData\Local\Temp\OnboardLogs" /stypes="*4040*20160828*" /stext=" 15:.+((SYSTEM_STATE.+slice.+state.+changed )|(ment ac)|(system.+state.+changed )|(\|lc)|(penalty)|(\[timeout)|(PRM\|1\|D)|(kpr)|(kdp))" /e /r /s</v>
      </c>
      <c r="AG55" s="1" t="str">
        <f t="shared" si="33"/>
        <v>EC</v>
      </c>
      <c r="AH55" s="100" t="str">
        <f t="shared" si="17"/>
        <v>"%USERPROFILE%\Documents\GitHub\eaglep3\Utilities\RefineRTDCRunTimes.py" --tripid 143-28 --locoid 4040 --swversion DE.1.0.7.0 --startMP 204:464 --initTime 2016-08-28T08:49:28 --startdatetime 2016-08-28T09:00:24 --delay 1 --endMP 204:233300 --enddatetime 2016-08-28T09:35:05 --enforcementcount 0 &gt;&gt;C:\Users\stu\Documents\GitHub\eaglep3-reporting\EC\2016-08-28-refined-times.txt</v>
      </c>
      <c r="AI55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{"issue":{"subject":"","project_id":79,"tracker_id":40,"status_id":1,"priority_id":2,"assigned_to_id":23,"start_date":"2016-08-28","description":"","custom_fields":[{"id":1,"name":"Subdivision","value":"EC"},{"id":4,"name":"Milepost","value":"23.2836"},{"id":17,"name":"Train ID","value":"143-28"},{"id":16,"name":"Locomotive ID","value":"4040"},{"id":130,"name":"Impact","value":""},{"id":150,"name":"Time of Event (Mountain Time)","value":"09:35:05"},{"id":151,"name":"Denver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420</v>
      </c>
      <c r="B56" s="7">
        <v>4039</v>
      </c>
      <c r="C56" s="24" t="s">
        <v>113</v>
      </c>
      <c r="D56" s="24" t="s">
        <v>302</v>
      </c>
      <c r="E56" s="15">
        <v>42610.400717592594</v>
      </c>
      <c r="F56" s="15">
        <v>42610.414224537039</v>
      </c>
      <c r="G56" s="7">
        <v>1</v>
      </c>
      <c r="H56" s="15" t="s">
        <v>184</v>
      </c>
      <c r="I56" s="15">
        <v>42610.439918981479</v>
      </c>
      <c r="J56" s="7">
        <v>0</v>
      </c>
      <c r="K56" s="132" t="str">
        <f t="shared" si="19"/>
        <v>4039/4040</v>
      </c>
      <c r="L56" s="24" t="str">
        <f>VLOOKUP(A56,'Trips&amp;Operators'!$C$1:$E$10000,3,FALSE)</f>
        <v>YORK</v>
      </c>
      <c r="M56" s="6">
        <f t="shared" si="20"/>
        <v>2.569444444088731E-2</v>
      </c>
      <c r="N56" s="7">
        <f t="shared" si="21"/>
        <v>36.999999994877726</v>
      </c>
      <c r="O56" s="7"/>
      <c r="P56" s="7"/>
      <c r="Q56" s="25"/>
      <c r="R56" s="25"/>
      <c r="S56" s="37">
        <f t="shared" si="22"/>
        <v>1</v>
      </c>
      <c r="T56" s="52" t="str">
        <f t="shared" si="23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08:37:02-0600',mode:absolute,to:'2016-08-28 11:33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56" s="54" t="str">
        <f t="shared" si="25"/>
        <v>N</v>
      </c>
      <c r="X56" s="120">
        <f t="shared" si="26"/>
        <v>1</v>
      </c>
      <c r="Y56" s="69">
        <f t="shared" si="27"/>
        <v>23.298300000000001</v>
      </c>
      <c r="Z56" s="69">
        <f t="shared" si="28"/>
        <v>1.6E-2</v>
      </c>
      <c r="AA56" s="69">
        <f t="shared" si="29"/>
        <v>23.282300000000003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30"/>
        <v>0144-28</v>
      </c>
      <c r="AE56" s="99" t="str">
        <f t="shared" si="31"/>
        <v>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 &amp; 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</v>
      </c>
      <c r="AF56" s="96" t="str">
        <f t="shared" si="32"/>
        <v>"C:\Program Files (x86)\AstroGrep\AstroGrep.exe" /spath="%USERPROFILE%\AppData\Local\Temp\OnboardLogs" /stypes="*4039*20160828*" /stext=" 16:.+((SYSTEM_STATE.+slice.+state.+changed )|(ment ac)|(system.+state.+changed )|(\|lc)|(penalty)|(\[timeout)|(PRM\|1\|D)|(kpr)|(kdp))" /e /r /s</v>
      </c>
      <c r="AG56" s="1" t="str">
        <f t="shared" si="33"/>
        <v>EC</v>
      </c>
      <c r="AH56" s="100" t="str">
        <f t="shared" si="17"/>
        <v>"%USERPROFILE%\Documents\GitHub\eaglep3\Utilities\RefineRTDCRunTimes.py" --tripid 144-28 --locoid 4039 --swversion DE.1.0.7.0 --startMP 204:232983 --initTime 2016-08-28T09:37:02 --startdatetime 2016-08-28T09:56:29 --delay 1 --endMP 204:160 --enddatetime 2016-08-28T10:33:29 --enforcementcount 0 &gt;&gt;C:\Users\stu\Documents\GitHub\eaglep3-reporting\EC\2016-08-28-refined-times.txt</v>
      </c>
      <c r="AI56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{"issue":{"subject":"","project_id":79,"tracker_id":40,"status_id":1,"priority_id":2,"assigned_to_id":23,"start_date":"2016-08-28","description":"","custom_fields":[{"id":1,"name":"Subdivision","value":"EC"},{"id":4,"name":"Milepost","value":"23.2823"},{"id":17,"name":"Train ID","value":"144-28"},{"id":16,"name":"Locomotive ID","value":"4039"},{"id":130,"name":"Impact","value":""},{"id":150,"name":"Time of Event (Mountain Time)","value":"10:33:29"},{"id":151,"name":"Denver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416</v>
      </c>
      <c r="B57" s="7">
        <v>4014</v>
      </c>
      <c r="C57" s="24" t="s">
        <v>113</v>
      </c>
      <c r="D57" s="24" t="s">
        <v>141</v>
      </c>
      <c r="E57" s="15">
        <v>42610.380497685182</v>
      </c>
      <c r="F57" s="15">
        <v>42610.385636574072</v>
      </c>
      <c r="G57" s="7">
        <v>2</v>
      </c>
      <c r="H57" s="15" t="s">
        <v>286</v>
      </c>
      <c r="I57" s="15">
        <v>42610.41028935185</v>
      </c>
      <c r="J57" s="7">
        <v>0</v>
      </c>
      <c r="K57" s="132" t="str">
        <f t="shared" si="19"/>
        <v>4013/4014</v>
      </c>
      <c r="L57" s="24" t="str">
        <f>VLOOKUP(A57,'Trips&amp;Operators'!$C$1:$E$10000,3,FALSE)</f>
        <v>ACKERMAN</v>
      </c>
      <c r="M57" s="6">
        <f t="shared" si="20"/>
        <v>2.4652777778101154E-2</v>
      </c>
      <c r="N57" s="7">
        <f t="shared" si="21"/>
        <v>35.500000000465661</v>
      </c>
      <c r="O57" s="7"/>
      <c r="P57" s="7"/>
      <c r="Q57" s="25"/>
      <c r="R57" s="25"/>
      <c r="S57" s="37">
        <f t="shared" si="22"/>
        <v>1</v>
      </c>
      <c r="T57" s="52" t="str">
        <f t="shared" si="23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08:07:55-0600',mode:absolute,to:'2016-08-28 10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7" s="54" t="str">
        <f t="shared" si="25"/>
        <v>N</v>
      </c>
      <c r="X57" s="120">
        <f t="shared" si="26"/>
        <v>1</v>
      </c>
      <c r="Y57" s="69">
        <f t="shared" si="27"/>
        <v>4.5699999999999998E-2</v>
      </c>
      <c r="Z57" s="69">
        <f t="shared" si="28"/>
        <v>23.329499999999999</v>
      </c>
      <c r="AA57" s="69">
        <f t="shared" si="29"/>
        <v>23.283799999999999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30"/>
        <v>0145-28</v>
      </c>
      <c r="AE57" s="99" t="str">
        <f t="shared" si="31"/>
        <v>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 &amp; 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</v>
      </c>
      <c r="AF57" s="96" t="str">
        <f t="shared" si="32"/>
        <v>"C:\Program Files (x86)\AstroGrep\AstroGrep.exe" /spath="%USERPROFILE%\AppData\Local\Temp\OnboardLogs" /stypes="*4014*20160828*" /stext=" 15:.+((SYSTEM_STATE.+slice.+state.+changed )|(ment ac)|(system.+state.+changed )|(\|lc)|(penalty)|(\[timeout)|(PRM\|1\|D)|(kpr)|(kdp))" /e /r /s</v>
      </c>
      <c r="AG57" s="1" t="str">
        <f t="shared" si="33"/>
        <v>EC</v>
      </c>
      <c r="AH57" s="100" t="str">
        <f t="shared" si="17"/>
        <v>"%USERPROFILE%\Documents\GitHub\eaglep3\Utilities\RefineRTDCRunTimes.py" --tripid 145-28 --locoid 4014 --swversion DE.1.0.7.0 --startMP 204:457 --initTime 2016-08-28T09:07:55 --startdatetime 2016-08-28T09:15:19 --delay 2 --endMP 204:233295 --enddatetime 2016-08-28T09:50:49 --enforcementcount 0 &gt;&gt;C:\Users\stu\Documents\GitHub\eaglep3-reporting\EC\2016-08-28-refined-times.txt</v>
      </c>
      <c r="AI57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{"issue":{"subject":"","project_id":79,"tracker_id":40,"status_id":1,"priority_id":2,"assigned_to_id":23,"start_date":"2016-08-28","description":"","custom_fields":[{"id":1,"name":"Subdivision","value":"EC"},{"id":4,"name":"Milepost","value":"23.2838"},{"id":17,"name":"Train ID","value":"145-28"},{"id":16,"name":"Locomotive ID","value":"4014"},{"id":130,"name":"Impact","value":""},{"id":150,"name":"Time of Event (Mountain Time)","value":"09:50:49"},{"id":151,"name":"Denver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363</v>
      </c>
      <c r="B58" s="7">
        <v>4013</v>
      </c>
      <c r="C58" s="24" t="s">
        <v>113</v>
      </c>
      <c r="D58" s="24" t="s">
        <v>280</v>
      </c>
      <c r="E58" s="15">
        <v>42610.417986111112</v>
      </c>
      <c r="F58" s="15">
        <v>42610.424571759257</v>
      </c>
      <c r="G58" s="7">
        <v>1</v>
      </c>
      <c r="H58" s="15" t="s">
        <v>184</v>
      </c>
      <c r="I58" s="15">
        <v>42610.451817129629</v>
      </c>
      <c r="J58" s="7">
        <v>0</v>
      </c>
      <c r="K58" s="132" t="str">
        <f t="shared" si="19"/>
        <v>4013/4014</v>
      </c>
      <c r="L58" s="24" t="str">
        <f>VLOOKUP(A58,'Trips&amp;Operators'!$C$1:$E$10000,3,FALSE)</f>
        <v>ACKERMAN</v>
      </c>
      <c r="M58" s="6">
        <f t="shared" si="20"/>
        <v>2.7245370372838806E-2</v>
      </c>
      <c r="N58" s="7">
        <f t="shared" si="21"/>
        <v>39.233333336887881</v>
      </c>
      <c r="O58" s="7"/>
      <c r="P58" s="7"/>
      <c r="Q58" s="25"/>
      <c r="R58" s="25"/>
      <c r="S58" s="37">
        <f t="shared" si="22"/>
        <v>1</v>
      </c>
      <c r="T58" s="52" t="str">
        <f t="shared" si="23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09:01:54-0600',mode:absolute,to:'2016-08-28 11:50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8" s="54" t="str">
        <f t="shared" si="25"/>
        <v>N</v>
      </c>
      <c r="X58" s="120">
        <f t="shared" si="26"/>
        <v>1</v>
      </c>
      <c r="Y58" s="69">
        <f t="shared" si="27"/>
        <v>23.298400000000001</v>
      </c>
      <c r="Z58" s="69">
        <f t="shared" si="28"/>
        <v>1.6E-2</v>
      </c>
      <c r="AA58" s="69">
        <f t="shared" si="29"/>
        <v>23.282400000000003</v>
      </c>
      <c r="AB58" s="66" t="e">
        <f>VLOOKUP(A58,Enforcements!$C$7:$J$21,8,0)</f>
        <v>#N/A</v>
      </c>
      <c r="AC58" s="62" t="e">
        <f>VLOOKUP(A58,Enforcements!$C$7:$E$21,3,0)</f>
        <v>#N/A</v>
      </c>
      <c r="AD58" s="63" t="str">
        <f t="shared" si="30"/>
        <v>0146-28</v>
      </c>
      <c r="AE58" s="99" t="str">
        <f t="shared" si="31"/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AF58" s="96" t="str">
        <f t="shared" si="32"/>
        <v>"C:\Program Files (x86)\AstroGrep\AstroGrep.exe" /spath="%USERPROFILE%\AppData\Local\Temp\OnboardLogs" /stypes="*4013*20160828*" /stext=" 16:.+((SYSTEM_STATE.+slice.+state.+changed )|(ment ac)|(system.+state.+changed )|(\|lc)|(penalty)|(\[timeout)|(PRM\|1\|D)|(kpr)|(kdp))" /e /r /s</v>
      </c>
      <c r="AG58" s="1" t="str">
        <f t="shared" si="33"/>
        <v>EC</v>
      </c>
      <c r="AH58" s="100" t="str">
        <f t="shared" si="17"/>
        <v>"%USERPROFILE%\Documents\GitHub\eaglep3\Utilities\RefineRTDCRunTimes.py" --tripid 146-28 --locoid 4013 --swversion DE.1.0.7.0 --startMP 204:232984 --initTime 2016-08-28T10:01:54 --startdatetime 2016-08-28T10:11:23 --delay 1 --endMP 204:160 --enddatetime 2016-08-28T10:50:37 --enforcementcount 0 &gt;&gt;C:\Users\stu\Documents\GitHub\eaglep3-reporting\EC\2016-08-28-refined-times.txt</v>
      </c>
      <c r="AI58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{"issue":{"subject":"","project_id":79,"tracker_id":40,"status_id":1,"priority_id":2,"assigned_to_id":23,"start_date":"2016-08-28","description":"","custom_fields":[{"id":1,"name":"Subdivision","value":"EC"},{"id":4,"name":"Milepost","value":"23.2824"},{"id":17,"name":"Train ID","value":"146-28"},{"id":16,"name":"Locomotive ID","value":"4013"},{"id":130,"name":"Impact","value":""},{"id":150,"name":"Time of Event (Mountain Time)","value":"10:50:37"},{"id":151,"name":"Denver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418</v>
      </c>
      <c r="B59" s="7">
        <v>4042</v>
      </c>
      <c r="C59" s="24" t="s">
        <v>113</v>
      </c>
      <c r="D59" s="24" t="s">
        <v>176</v>
      </c>
      <c r="E59" s="15">
        <v>42610.392951388887</v>
      </c>
      <c r="F59" s="15">
        <v>42610.396261574075</v>
      </c>
      <c r="G59" s="7">
        <v>1</v>
      </c>
      <c r="H59" s="15" t="s">
        <v>567</v>
      </c>
      <c r="I59" s="15">
        <v>42610.422361111108</v>
      </c>
      <c r="J59" s="7">
        <v>0</v>
      </c>
      <c r="K59" s="132" t="str">
        <f t="shared" si="19"/>
        <v>4041/4042</v>
      </c>
      <c r="L59" s="24" t="str">
        <f>VLOOKUP(A59,'Trips&amp;Operators'!$C$1:$E$10000,3,FALSE)</f>
        <v>SWANSON</v>
      </c>
      <c r="M59" s="6">
        <f t="shared" si="20"/>
        <v>2.6099537033587694E-2</v>
      </c>
      <c r="N59" s="7">
        <f t="shared" si="21"/>
        <v>37.58333332836628</v>
      </c>
      <c r="O59" s="7"/>
      <c r="P59" s="7"/>
      <c r="Q59" s="25"/>
      <c r="R59" s="25"/>
      <c r="S59" s="37">
        <f t="shared" si="22"/>
        <v>1</v>
      </c>
      <c r="T59" s="52" t="str">
        <f t="shared" si="23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08:25:51-0600',mode:absolute,to:'2016-08-28 11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59" s="54" t="str">
        <f t="shared" si="25"/>
        <v>N</v>
      </c>
      <c r="X59" s="120">
        <f t="shared" si="26"/>
        <v>1</v>
      </c>
      <c r="Y59" s="69">
        <f t="shared" si="27"/>
        <v>4.7100000000000003E-2</v>
      </c>
      <c r="Z59" s="69">
        <f t="shared" si="28"/>
        <v>23.328299999999999</v>
      </c>
      <c r="AA59" s="69">
        <f t="shared" si="29"/>
        <v>23.281199999999998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30"/>
        <v>0147-28</v>
      </c>
      <c r="AE59" s="99" t="str">
        <f t="shared" si="31"/>
        <v>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 &amp; 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</v>
      </c>
      <c r="AF59" s="96" t="str">
        <f t="shared" si="32"/>
        <v>"C:\Program Files (x86)\AstroGrep\AstroGrep.exe" /spath="%USERPROFILE%\AppData\Local\Temp\OnboardLogs" /stypes="*4042*20160828*" /stext=" 16:.+((SYSTEM_STATE.+slice.+state.+changed )|(ment ac)|(system.+state.+changed )|(\|lc)|(penalty)|(\[timeout)|(PRM\|1\|D)|(kpr)|(kdp))" /e /r /s</v>
      </c>
      <c r="AG59" s="1" t="str">
        <f t="shared" si="33"/>
        <v>EC</v>
      </c>
      <c r="AH59" s="100" t="str">
        <f t="shared" si="17"/>
        <v>"%USERPROFILE%\Documents\GitHub\eaglep3\Utilities\RefineRTDCRunTimes.py" --tripid 147-28 --locoid 4042 --swversion DE.1.0.7.0 --startMP 204:471 --initTime 2016-08-28T09:25:51 --startdatetime 2016-08-28T09:30:37 --delay 1 --endMP 204:233283 --enddatetime 2016-08-28T10:08:12 --enforcementcount 0 &gt;&gt;C:\Users\stu\Documents\GitHub\eaglep3-reporting\EC\2016-08-28-refined-times.txt</v>
      </c>
      <c r="AI59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{"issue":{"subject":"","project_id":79,"tracker_id":40,"status_id":1,"priority_id":2,"assigned_to_id":23,"start_date":"2016-08-28","description":"","custom_fields":[{"id":1,"name":"Subdivision","value":"EC"},{"id":4,"name":"Milepost","value":"23.2812"},{"id":17,"name":"Train ID","value":"147-28"},{"id":16,"name":"Locomotive ID","value":"4042"},{"id":130,"name":"Impact","value":""},{"id":150,"name":"Time of Event (Mountain Time)","value":"10:08:12"},{"id":151,"name":"Denver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424</v>
      </c>
      <c r="B60" s="7">
        <v>4041</v>
      </c>
      <c r="C60" s="24" t="s">
        <v>113</v>
      </c>
      <c r="D60" s="24" t="s">
        <v>282</v>
      </c>
      <c r="E60" s="15">
        <v>42610.425254629627</v>
      </c>
      <c r="F60" s="15">
        <v>42610.434999999998</v>
      </c>
      <c r="G60" s="7">
        <v>1</v>
      </c>
      <c r="H60" s="15" t="s">
        <v>200</v>
      </c>
      <c r="I60" s="15">
        <v>42610.462731481479</v>
      </c>
      <c r="J60" s="7">
        <v>0</v>
      </c>
      <c r="K60" s="132" t="str">
        <f t="shared" si="19"/>
        <v>4041/4042</v>
      </c>
      <c r="L60" s="24" t="str">
        <f>VLOOKUP(A60,'Trips&amp;Operators'!$C$1:$E$10000,3,FALSE)</f>
        <v>SWANSON</v>
      </c>
      <c r="M60" s="6">
        <f t="shared" si="20"/>
        <v>2.7731481481168885E-2</v>
      </c>
      <c r="N60" s="7">
        <f t="shared" si="21"/>
        <v>39.933333332883194</v>
      </c>
      <c r="O60" s="7"/>
      <c r="P60" s="7"/>
      <c r="Q60" s="25"/>
      <c r="R60" s="25"/>
      <c r="S60" s="37">
        <f t="shared" si="22"/>
        <v>1</v>
      </c>
      <c r="T60" s="52" t="str">
        <f t="shared" si="23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09:12:22-0600',mode:absolute,to:'2016-08-28 12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60" s="54" t="str">
        <f t="shared" si="25"/>
        <v>N</v>
      </c>
      <c r="X60" s="120">
        <f t="shared" si="26"/>
        <v>1</v>
      </c>
      <c r="Y60" s="69">
        <f t="shared" si="27"/>
        <v>23.297000000000001</v>
      </c>
      <c r="Z60" s="69">
        <f t="shared" si="28"/>
        <v>1.34E-2</v>
      </c>
      <c r="AA60" s="69">
        <f t="shared" si="29"/>
        <v>23.2836</v>
      </c>
      <c r="AB60" s="66" t="e">
        <f>VLOOKUP(A60,Enforcements!$C$7:$J$21,8,0)</f>
        <v>#N/A</v>
      </c>
      <c r="AC60" s="62" t="e">
        <f>VLOOKUP(A60,Enforcements!$C$7:$E$21,3,0)</f>
        <v>#N/A</v>
      </c>
      <c r="AD60" s="63" t="str">
        <f t="shared" si="30"/>
        <v>0148-28</v>
      </c>
      <c r="AE60" s="99" t="str">
        <f t="shared" si="31"/>
        <v>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 &amp; aws s3 cp s3://rtdc.mdm.uploadarchive/RTDC4041/2016-08-29/ "%USERPROFILE%\AppData\Local\Temp\OnboardLogs"\RTDC4041\2016-08-29 --recursive &amp; "%USERPROFILE%\Documents\GitHub\mrs-test-scripts\Headless Mode &amp; Sideloading\WalkAndUnGZ.bat" "%USERPROFILE%\AppData\Local\Temp\OnboardLogs"\RTDC4041\2016-08-29</v>
      </c>
      <c r="AF60" s="96" t="str">
        <f t="shared" si="32"/>
        <v>"C:\Program Files (x86)\AstroGrep\AstroGrep.exe" /spath="%USERPROFILE%\AppData\Local\Temp\OnboardLogs" /stypes="*4041*20160828*" /stext=" 17:.+((SYSTEM_STATE.+slice.+state.+changed )|(ment ac)|(system.+state.+changed )|(\|lc)|(penalty)|(\[timeout)|(PRM\|1\|D)|(kpr)|(kdp))" /e /r /s</v>
      </c>
      <c r="AG60" s="1" t="str">
        <f t="shared" si="33"/>
        <v>EC</v>
      </c>
      <c r="AH60" s="100" t="str">
        <f t="shared" si="17"/>
        <v>"%USERPROFILE%\Documents\GitHub\eaglep3\Utilities\RefineRTDCRunTimes.py" --tripid 148-28 --locoid 4041 --swversion DE.1.0.7.0 --startMP 204:232970 --initTime 2016-08-28T10:12:22 --startdatetime 2016-08-28T10:26:24 --delay 1 --endMP 204:134 --enddatetime 2016-08-28T11:06:20 --enforcementcount 0 &gt;&gt;C:\Users\stu\Documents\GitHub\eaglep3-reporting\EC\2016-08-28-refined-times.txt</v>
      </c>
      <c r="AI60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{"issue":{"subject":"","project_id":79,"tracker_id":40,"status_id":1,"priority_id":2,"assigned_to_id":23,"start_date":"2016-08-28","description":"","custom_fields":[{"id":1,"name":"Subdivision","value":"EC"},{"id":4,"name":"Milepost","value":"23.2836"},{"id":17,"name":"Train ID","value":"148-28"},{"id":16,"name":"Locomotive ID","value":"4041"},{"id":130,"name":"Impact","value":""},{"id":150,"name":"Time of Event (Mountain Time)","value":"11:06:20"},{"id":151,"name":"Denver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422</v>
      </c>
      <c r="B61" s="7">
        <v>4038</v>
      </c>
      <c r="C61" s="24" t="s">
        <v>113</v>
      </c>
      <c r="D61" s="24" t="s">
        <v>252</v>
      </c>
      <c r="E61" s="15">
        <v>42610.401921296296</v>
      </c>
      <c r="F61" s="15">
        <v>42610.406423611108</v>
      </c>
      <c r="G61" s="7">
        <v>2</v>
      </c>
      <c r="H61" s="15" t="s">
        <v>185</v>
      </c>
      <c r="I61" s="15">
        <v>42610.431481481479</v>
      </c>
      <c r="J61" s="7">
        <v>0</v>
      </c>
      <c r="K61" s="132" t="str">
        <f t="shared" si="19"/>
        <v>4037/4038</v>
      </c>
      <c r="L61" s="24" t="str">
        <f>VLOOKUP(A61,'Trips&amp;Operators'!$C$1:$E$10000,3,FALSE)</f>
        <v>DAVIS</v>
      </c>
      <c r="M61" s="6">
        <f t="shared" si="20"/>
        <v>2.5057870370801538E-2</v>
      </c>
      <c r="N61" s="7">
        <f t="shared" si="21"/>
        <v>36.083333333954215</v>
      </c>
      <c r="O61" s="7"/>
      <c r="P61" s="7"/>
      <c r="Q61" s="25"/>
      <c r="R61" s="25"/>
      <c r="S61" s="37">
        <f t="shared" si="22"/>
        <v>1</v>
      </c>
      <c r="T61" s="52" t="str">
        <f t="shared" si="23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08:38:46-0600',mode:absolute,to:'2016-08-28 11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1" s="54" t="str">
        <f t="shared" si="25"/>
        <v>N</v>
      </c>
      <c r="X61" s="120">
        <f t="shared" si="26"/>
        <v>1</v>
      </c>
      <c r="Y61" s="69">
        <f t="shared" si="27"/>
        <v>4.3799999999999999E-2</v>
      </c>
      <c r="Z61" s="69">
        <f t="shared" si="28"/>
        <v>23.3293</v>
      </c>
      <c r="AA61" s="69">
        <f t="shared" si="29"/>
        <v>23.285499999999999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30"/>
        <v>0149-28</v>
      </c>
      <c r="AE61" s="99" t="str">
        <f t="shared" si="31"/>
        <v>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 &amp; 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</v>
      </c>
      <c r="AF61" s="96" t="str">
        <f t="shared" si="32"/>
        <v>"C:\Program Files (x86)\AstroGrep\AstroGrep.exe" /spath="%USERPROFILE%\AppData\Local\Temp\OnboardLogs" /stypes="*4038*20160828*" /stext=" 16:.+((SYSTEM_STATE.+slice.+state.+changed )|(ment ac)|(system.+state.+changed )|(\|lc)|(penalty)|(\[timeout)|(PRM\|1\|D)|(kpr)|(kdp))" /e /r /s</v>
      </c>
      <c r="AG61" s="1" t="str">
        <f t="shared" si="33"/>
        <v>EC</v>
      </c>
      <c r="AH61" s="100" t="str">
        <f t="shared" si="17"/>
        <v>"%USERPROFILE%\Documents\GitHub\eaglep3\Utilities\RefineRTDCRunTimes.py" --tripid 149-28 --locoid 4038 --swversion DE.1.0.7.0 --startMP 204:438 --initTime 2016-08-28T09:38:46 --startdatetime 2016-08-28T09:45:15 --delay 2 --endMP 204:233293 --enddatetime 2016-08-28T10:21:20 --enforcementcount 0 &gt;&gt;C:\Users\stu\Documents\GitHub\eaglep3-reporting\EC\2016-08-28-refined-times.txt</v>
      </c>
      <c r="AI61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{"issue":{"subject":"","project_id":79,"tracker_id":40,"status_id":1,"priority_id":2,"assigned_to_id":23,"start_date":"2016-08-28","description":"","custom_fields":[{"id":1,"name":"Subdivision","value":"EC"},{"id":4,"name":"Milepost","value":"23.2855"},{"id":17,"name":"Train ID","value":"149-28"},{"id":16,"name":"Locomotive ID","value":"4038"},{"id":130,"name":"Impact","value":""},{"id":150,"name":"Time of Event (Mountain Time)","value":"10:21:20"},{"id":151,"name":"Denver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427</v>
      </c>
      <c r="B62" s="7">
        <v>4037</v>
      </c>
      <c r="C62" s="24" t="s">
        <v>113</v>
      </c>
      <c r="D62" s="24" t="s">
        <v>568</v>
      </c>
      <c r="E62" s="15">
        <v>42610.437708333331</v>
      </c>
      <c r="F62" s="15">
        <v>42610.4453125</v>
      </c>
      <c r="G62" s="7">
        <v>1</v>
      </c>
      <c r="H62" s="15" t="s">
        <v>180</v>
      </c>
      <c r="I62" s="15">
        <v>42610.473333333335</v>
      </c>
      <c r="J62" s="7">
        <v>0</v>
      </c>
      <c r="K62" s="132" t="str">
        <f t="shared" si="19"/>
        <v>4037/4038</v>
      </c>
      <c r="L62" s="24" t="str">
        <f>VLOOKUP(A62,'Trips&amp;Operators'!$C$1:$E$10000,3,FALSE)</f>
        <v>DAVIS</v>
      </c>
      <c r="M62" s="6">
        <f t="shared" si="20"/>
        <v>2.8020833335176576E-2</v>
      </c>
      <c r="N62" s="7">
        <f t="shared" si="21"/>
        <v>40.350000002654269</v>
      </c>
      <c r="O62" s="7"/>
      <c r="P62" s="7"/>
      <c r="Q62" s="25"/>
      <c r="R62" s="25"/>
      <c r="S62" s="37">
        <f t="shared" si="22"/>
        <v>1</v>
      </c>
      <c r="T62" s="52" t="str">
        <f t="shared" si="23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09:30:18-0600',mode:absolute,to:'2016-08-28 12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2" s="54" t="str">
        <f t="shared" si="25"/>
        <v>N</v>
      </c>
      <c r="X62" s="120">
        <f t="shared" si="26"/>
        <v>1</v>
      </c>
      <c r="Y62" s="69">
        <f t="shared" si="27"/>
        <v>23.295500000000001</v>
      </c>
      <c r="Z62" s="69">
        <f t="shared" si="28"/>
        <v>1.4500000000000001E-2</v>
      </c>
      <c r="AA62" s="69">
        <f t="shared" si="29"/>
        <v>23.280999999999999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30"/>
        <v>0150-28</v>
      </c>
      <c r="AE62" s="99" t="str">
        <f t="shared" si="31"/>
        <v>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 &amp; 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</v>
      </c>
      <c r="AF62" s="96" t="str">
        <f t="shared" si="32"/>
        <v>"C:\Program Files (x86)\AstroGrep\AstroGrep.exe" /spath="%USERPROFILE%\AppData\Local\Temp\OnboardLogs" /stypes="*4037*20160828*" /stext=" 17:.+((SYSTEM_STATE.+slice.+state.+changed )|(ment ac)|(system.+state.+changed )|(\|lc)|(penalty)|(\[timeout)|(PRM\|1\|D)|(kpr)|(kdp))" /e /r /s</v>
      </c>
      <c r="AG62" s="1" t="str">
        <f t="shared" si="33"/>
        <v>EC</v>
      </c>
      <c r="AH62" s="100" t="str">
        <f t="shared" si="17"/>
        <v>"%USERPROFILE%\Documents\GitHub\eaglep3\Utilities\RefineRTDCRunTimes.py" --tripid 150-28 --locoid 4037 --swversion DE.1.0.7.0 --startMP 204:232955 --initTime 2016-08-28T10:30:18 --startdatetime 2016-08-28T10:41:15 --delay 1 --endMP 204:145 --enddatetime 2016-08-28T11:21:36 --enforcementcount 0 &gt;&gt;C:\Users\stu\Documents\GitHub\eaglep3-reporting\EC\2016-08-28-refined-times.txt</v>
      </c>
      <c r="AI62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{"issue":{"subject":"","project_id":79,"tracker_id":40,"status_id":1,"priority_id":2,"assigned_to_id":23,"start_date":"2016-08-28","description":"","custom_fields":[{"id":1,"name":"Subdivision","value":"EC"},{"id":4,"name":"Milepost","value":"23.281"},{"id":17,"name":"Train ID","value":"150-28"},{"id":16,"name":"Locomotive ID","value":"4037"},{"id":130,"name":"Impact","value":""},{"id":150,"name":"Time of Event (Mountain Time)","value":"11:21:36"},{"id":151,"name":"Denver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362</v>
      </c>
      <c r="B63" s="7">
        <v>4007</v>
      </c>
      <c r="C63" s="24" t="s">
        <v>113</v>
      </c>
      <c r="D63" s="24" t="s">
        <v>281</v>
      </c>
      <c r="E63" s="15">
        <v>42610.41510416667</v>
      </c>
      <c r="F63" s="15">
        <v>42610.416921296295</v>
      </c>
      <c r="G63" s="7">
        <v>0</v>
      </c>
      <c r="H63" s="15" t="s">
        <v>569</v>
      </c>
      <c r="I63" s="15">
        <v>42610.44326388889</v>
      </c>
      <c r="J63" s="7">
        <v>0</v>
      </c>
      <c r="K63" s="132" t="str">
        <f t="shared" si="19"/>
        <v>4007/4008</v>
      </c>
      <c r="L63" s="24" t="str">
        <f>VLOOKUP(A63,'Trips&amp;Operators'!$C$1:$E$10000,3,FALSE)</f>
        <v>MALAVE</v>
      </c>
      <c r="M63" s="6">
        <f t="shared" si="20"/>
        <v>2.6342592595028691E-2</v>
      </c>
      <c r="N63" s="7">
        <f t="shared" si="21"/>
        <v>37.933333336841315</v>
      </c>
      <c r="O63" s="7"/>
      <c r="P63" s="7"/>
      <c r="Q63" s="25"/>
      <c r="R63" s="25"/>
      <c r="S63" s="37">
        <f t="shared" si="22"/>
        <v>1</v>
      </c>
      <c r="T63" s="52" t="str">
        <f t="shared" si="23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08:57:45-0600',mode:absolute,to:'2016-08-28 11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63" s="54" t="str">
        <f t="shared" si="25"/>
        <v>N</v>
      </c>
      <c r="X63" s="120">
        <f t="shared" si="26"/>
        <v>1</v>
      </c>
      <c r="Y63" s="69">
        <f t="shared" si="27"/>
        <v>4.58E-2</v>
      </c>
      <c r="Z63" s="69">
        <v>23.3</v>
      </c>
      <c r="AA63" s="69">
        <f t="shared" si="29"/>
        <v>23.254200000000001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30"/>
        <v>0151-28</v>
      </c>
      <c r="AE63" s="99" t="str">
        <f t="shared" si="31"/>
        <v>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 &amp; 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</v>
      </c>
      <c r="AF63" s="96" t="str">
        <f t="shared" si="32"/>
        <v>"C:\Program Files (x86)\AstroGrep\AstroGrep.exe" /spath="%USERPROFILE%\AppData\Local\Temp\OnboardLogs" /stypes="*4007*20160828*" /stext=" 16:.+((SYSTEM_STATE.+slice.+state.+changed )|(ment ac)|(system.+state.+changed )|(\|lc)|(penalty)|(\[timeout)|(PRM\|1\|D)|(kpr)|(kdp))" /e /r /s</v>
      </c>
      <c r="AG63" s="1" t="str">
        <f t="shared" si="33"/>
        <v>EC</v>
      </c>
      <c r="AH63" s="100" t="str">
        <f t="shared" si="17"/>
        <v>"%USERPROFILE%\Documents\GitHub\eaglep3\Utilities\RefineRTDCRunTimes.py" --tripid 151-28 --locoid 4007 --swversion DE.1.0.7.0 --startMP 204:458 --initTime 2016-08-28T09:57:45 --startdatetime 2016-08-28T10:00:22 --delay 0 --endMP 204:126974 --enddatetime 2016-08-28T10:38:18 --enforcementcount 0 &gt;&gt;C:\Users\stu\Documents\GitHub\eaglep3-reporting\EC\2016-08-28-refined-times.txt</v>
      </c>
      <c r="AI63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{"issue":{"subject":"","project_id":79,"tracker_id":40,"status_id":1,"priority_id":2,"assigned_to_id":23,"start_date":"2016-08-28","description":"","custom_fields":[{"id":1,"name":"Subdivision","value":"EC"},{"id":4,"name":"Milepost","value":"23.2542"},{"id":17,"name":"Train ID","value":"151-28"},{"id":16,"name":"Locomotive ID","value":"4007"},{"id":130,"name":"Impact","value":""},{"id":150,"name":"Time of Event (Mountain Time)","value":"10:38:18"},{"id":151,"name":"Denver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430</v>
      </c>
      <c r="B64" s="7">
        <v>4008</v>
      </c>
      <c r="C64" s="24" t="s">
        <v>113</v>
      </c>
      <c r="D64" s="24" t="s">
        <v>570</v>
      </c>
      <c r="E64" s="15">
        <v>42610.453668981485</v>
      </c>
      <c r="F64" s="15">
        <v>42610.455821759257</v>
      </c>
      <c r="G64" s="7">
        <v>1</v>
      </c>
      <c r="H64" s="15" t="s">
        <v>155</v>
      </c>
      <c r="I64" s="15">
        <v>42610.485243055555</v>
      </c>
      <c r="J64" s="7">
        <v>0</v>
      </c>
      <c r="K64" s="132" t="str">
        <f t="shared" si="19"/>
        <v>4007/4008</v>
      </c>
      <c r="L64" s="24" t="str">
        <f>VLOOKUP(A64,'Trips&amp;Operators'!$C$1:$E$10000,3,FALSE)</f>
        <v>MALAVE</v>
      </c>
      <c r="M64" s="6">
        <f t="shared" si="20"/>
        <v>2.9421296298096422E-2</v>
      </c>
      <c r="N64" s="7">
        <f t="shared" si="21"/>
        <v>42.366666669258848</v>
      </c>
      <c r="O64" s="7"/>
      <c r="P64" s="7"/>
      <c r="Q64" s="25"/>
      <c r="R64" s="25"/>
      <c r="S64" s="37">
        <f t="shared" si="22"/>
        <v>1</v>
      </c>
      <c r="T64" s="52" t="str">
        <f t="shared" si="23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09:53:17-0600',mode:absolute,to:'2016-08-28 12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4" s="54" t="str">
        <f t="shared" si="25"/>
        <v>N</v>
      </c>
      <c r="X64" s="120">
        <f t="shared" si="26"/>
        <v>1</v>
      </c>
      <c r="Y64" s="69">
        <f t="shared" si="27"/>
        <v>23.293800000000001</v>
      </c>
      <c r="Z64" s="69">
        <f t="shared" si="28"/>
        <v>1.54E-2</v>
      </c>
      <c r="AA64" s="69">
        <f t="shared" si="29"/>
        <v>23.278400000000001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30"/>
        <v>0152-28</v>
      </c>
      <c r="AE64" s="99" t="str">
        <f t="shared" si="31"/>
        <v>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 &amp; 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</v>
      </c>
      <c r="AF64" s="96" t="str">
        <f t="shared" si="32"/>
        <v>"C:\Program Files (x86)\AstroGrep\AstroGrep.exe" /spath="%USERPROFILE%\AppData\Local\Temp\OnboardLogs" /stypes="*4008*20160828*" /stext=" 17:.+((SYSTEM_STATE.+slice.+state.+changed )|(ment ac)|(system.+state.+changed )|(\|lc)|(penalty)|(\[timeout)|(PRM\|1\|D)|(kpr)|(kdp))" /e /r /s</v>
      </c>
      <c r="AG64" s="1" t="str">
        <f t="shared" si="33"/>
        <v>EC</v>
      </c>
      <c r="AH64" s="100" t="str">
        <f t="shared" si="17"/>
        <v>"%USERPROFILE%\Documents\GitHub\eaglep3\Utilities\RefineRTDCRunTimes.py" --tripid 152-28 --locoid 4008 --swversion DE.1.0.7.0 --startMP 204:232938 --initTime 2016-08-28T10:53:17 --startdatetime 2016-08-28T10:56:23 --delay 1 --endMP 204:154 --enddatetime 2016-08-28T11:38:45 --enforcementcount 0 &gt;&gt;C:\Users\stu\Documents\GitHub\eaglep3-reporting\EC\2016-08-28-refined-times.txt</v>
      </c>
      <c r="AI64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{"issue":{"subject":"","project_id":79,"tracker_id":40,"status_id":1,"priority_id":2,"assigned_to_id":23,"start_date":"2016-08-28","description":"","custom_fields":[{"id":1,"name":"Subdivision","value":"EC"},{"id":4,"name":"Milepost","value":"23.2784"},{"id":17,"name":"Train ID","value":"152-28"},{"id":16,"name":"Locomotive ID","value":"4008"},{"id":130,"name":"Impact","value":""},{"id":150,"name":"Time of Event (Mountain Time)","value":"11:38:45"},{"id":151,"name":"Denver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423</v>
      </c>
      <c r="B65" s="7">
        <v>4002</v>
      </c>
      <c r="C65" s="24" t="s">
        <v>113</v>
      </c>
      <c r="D65" s="24" t="s">
        <v>309</v>
      </c>
      <c r="E65" s="15">
        <v>42610.422500000001</v>
      </c>
      <c r="F65" s="15">
        <v>42610.427453703705</v>
      </c>
      <c r="G65" s="7">
        <v>1</v>
      </c>
      <c r="H65" s="15" t="s">
        <v>249</v>
      </c>
      <c r="I65" s="15">
        <v>42610.454317129632</v>
      </c>
      <c r="J65" s="7">
        <v>0</v>
      </c>
      <c r="K65" s="132" t="str">
        <f t="shared" si="19"/>
        <v>4001/4002</v>
      </c>
      <c r="L65" s="24" t="str">
        <f>VLOOKUP(A65,'Trips&amp;Operators'!$C$1:$E$10000,3,FALSE)</f>
        <v>STRICKLAND</v>
      </c>
      <c r="M65" s="6">
        <f t="shared" si="20"/>
        <v>2.6863425926421769E-2</v>
      </c>
      <c r="N65" s="7">
        <f t="shared" si="21"/>
        <v>38.683333334047347</v>
      </c>
      <c r="O65" s="7"/>
      <c r="P65" s="7"/>
      <c r="Q65" s="25"/>
      <c r="R65" s="25"/>
      <c r="S65" s="37">
        <f t="shared" si="22"/>
        <v>1</v>
      </c>
      <c r="T65" s="52" t="str">
        <f t="shared" si="23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09:08:24-0600',mode:absolute,to:'2016-08-28 11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65" s="54" t="str">
        <f t="shared" si="25"/>
        <v>N</v>
      </c>
      <c r="X65" s="120">
        <f t="shared" si="26"/>
        <v>1</v>
      </c>
      <c r="Y65" s="69">
        <f t="shared" si="27"/>
        <v>4.7500000000000001E-2</v>
      </c>
      <c r="Z65" s="69">
        <f t="shared" si="28"/>
        <v>23.328600000000002</v>
      </c>
      <c r="AA65" s="69">
        <f t="shared" si="29"/>
        <v>23.281100000000002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30"/>
        <v>0153-28</v>
      </c>
      <c r="AE65" s="99" t="str">
        <f t="shared" si="31"/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65" s="96" t="str">
        <f t="shared" si="32"/>
        <v>"C:\Program Files (x86)\AstroGrep\AstroGrep.exe" /spath="%USERPROFILE%\AppData\Local\Temp\OnboardLogs" /stypes="*4002*20160828*" /stext=" 16:.+((SYSTEM_STATE.+slice.+state.+changed )|(ment ac)|(system.+state.+changed )|(\|lc)|(penalty)|(\[timeout)|(PRM\|1\|D)|(kpr)|(kdp))" /e /r /s</v>
      </c>
      <c r="AG65" s="1" t="str">
        <f t="shared" si="33"/>
        <v>EC</v>
      </c>
      <c r="AH65" s="100" t="str">
        <f t="shared" si="17"/>
        <v>"%USERPROFILE%\Documents\GitHub\eaglep3\Utilities\RefineRTDCRunTimes.py" --tripid 153-28 --locoid 4002 --swversion DE.1.0.7.0 --startMP 204:475 --initTime 2016-08-28T10:08:24 --startdatetime 2016-08-28T10:15:32 --delay 1 --endMP 204:233286 --enddatetime 2016-08-28T10:54:13 --enforcementcount 0 &gt;&gt;C:\Users\stu\Documents\GitHub\eaglep3-reporting\EC\2016-08-28-refined-times.txt</v>
      </c>
      <c r="AI65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{"issue":{"subject":"","project_id":79,"tracker_id":40,"status_id":1,"priority_id":2,"assigned_to_id":23,"start_date":"2016-08-28","description":"","custom_fields":[{"id":1,"name":"Subdivision","value":"EC"},{"id":4,"name":"Milepost","value":"23.2811"},{"id":17,"name":"Train ID","value":"153-28"},{"id":16,"name":"Locomotive ID","value":"4002"},{"id":130,"name":"Impact","value":""},{"id":150,"name":"Time of Event (Mountain Time)","value":"10:54:13"},{"id":151,"name":"Denver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364</v>
      </c>
      <c r="B66" s="7">
        <v>4001</v>
      </c>
      <c r="C66" s="24" t="s">
        <v>113</v>
      </c>
      <c r="D66" s="24" t="s">
        <v>571</v>
      </c>
      <c r="E66" s="15">
        <v>42610.461261574077</v>
      </c>
      <c r="F66" s="15">
        <v>42610.466562499998</v>
      </c>
      <c r="G66" s="7">
        <v>2</v>
      </c>
      <c r="H66" s="15" t="s">
        <v>132</v>
      </c>
      <c r="I66" s="15">
        <v>42610.495474537034</v>
      </c>
      <c r="J66" s="7">
        <v>0</v>
      </c>
      <c r="K66" s="132" t="str">
        <f t="shared" si="19"/>
        <v>4001/4002</v>
      </c>
      <c r="L66" s="24" t="str">
        <f>VLOOKUP(A66,'Trips&amp;Operators'!$C$1:$E$10000,3,FALSE)</f>
        <v>STRICKLAND</v>
      </c>
      <c r="M66" s="6">
        <f t="shared" si="20"/>
        <v>2.8912037036207039E-2</v>
      </c>
      <c r="N66" s="7">
        <f t="shared" si="21"/>
        <v>41.633333332138136</v>
      </c>
      <c r="O66" s="7"/>
      <c r="P66" s="7"/>
      <c r="Q66" s="25"/>
      <c r="R66" s="25"/>
      <c r="S66" s="37">
        <f t="shared" si="22"/>
        <v>1</v>
      </c>
      <c r="T66" s="52" t="str">
        <f t="shared" si="23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10:04:13-0600',mode:absolute,to:'2016-08-28 12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6" s="54" t="str">
        <f t="shared" si="25"/>
        <v>N</v>
      </c>
      <c r="X66" s="120">
        <f t="shared" si="26"/>
        <v>1</v>
      </c>
      <c r="Y66" s="69">
        <f t="shared" si="27"/>
        <v>23.296700000000001</v>
      </c>
      <c r="Z66" s="69">
        <f t="shared" si="28"/>
        <v>1.47E-2</v>
      </c>
      <c r="AA66" s="69">
        <f t="shared" si="29"/>
        <v>23.282</v>
      </c>
      <c r="AB66" s="66">
        <f>VLOOKUP(A66,Enforcements!$C$7:$J$21,8,0)</f>
        <v>21848</v>
      </c>
      <c r="AC66" s="62" t="str">
        <f>VLOOKUP(A66,Enforcements!$C$7:$E$21,3,0)</f>
        <v>PERMANENT SPEED RESTRICTION</v>
      </c>
      <c r="AD66" s="63" t="str">
        <f t="shared" si="30"/>
        <v>0154-28</v>
      </c>
      <c r="AE66" s="99" t="str">
        <f t="shared" si="31"/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AF66" s="96" t="str">
        <f t="shared" si="32"/>
        <v>"C:\Program Files (x86)\AstroGrep\AstroGrep.exe" /spath="%USERPROFILE%\AppData\Local\Temp\OnboardLogs" /stypes="*4001*20160828*" /stext=" 17:.+((SYSTEM_STATE.+slice.+state.+changed )|(ment ac)|(system.+state.+changed )|(\|lc)|(penalty)|(\[timeout)|(PRM\|1\|D)|(kpr)|(kdp))" /e /r /s</v>
      </c>
      <c r="AG66" s="1" t="str">
        <f t="shared" si="33"/>
        <v>EC</v>
      </c>
      <c r="AH66" s="100" t="str">
        <f t="shared" si="17"/>
        <v>"%USERPROFILE%\Documents\GitHub\eaglep3\Utilities\RefineRTDCRunTimes.py" --tripid 154-28 --locoid 4001 --swversion DE.1.0.7.0 --startMP 204:232967 --initTime 2016-08-28T11:04:13 --startdatetime 2016-08-28T11:11:51 --delay 2 --endMP 204:147 --enddatetime 2016-08-28T11:53:29 --enforcementcount 0 &gt;&gt;C:\Users\stu\Documents\GitHub\eaglep3-reporting\EC\2016-08-28-refined-times.txt</v>
      </c>
      <c r="AI66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{"issue":{"subject":"","project_id":79,"tracker_id":40,"status_id":1,"priority_id":2,"assigned_to_id":23,"start_date":"2016-08-28","description":"","custom_fields":[{"id":1,"name":"Subdivision","value":"EC"},{"id":4,"name":"Milepost","value":"23.282"},{"id":17,"name":"Train ID","value":"154-28"},{"id":16,"name":"Locomotive ID","value":"4001"},{"id":130,"name":"Impact","value":""},{"id":150,"name":"Time of Event (Mountain Time)","value":"11:53:29"},{"id":151,"name":"Denver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425</v>
      </c>
      <c r="B67" s="7">
        <v>4027</v>
      </c>
      <c r="C67" s="24" t="s">
        <v>113</v>
      </c>
      <c r="D67" s="24" t="s">
        <v>125</v>
      </c>
      <c r="E67" s="15">
        <v>42610.432928240742</v>
      </c>
      <c r="F67" s="15">
        <v>42610.437754629631</v>
      </c>
      <c r="G67" s="7">
        <v>1</v>
      </c>
      <c r="H67" s="15" t="s">
        <v>317</v>
      </c>
      <c r="I67" s="15">
        <v>42610.465104166666</v>
      </c>
      <c r="J67" s="7">
        <v>0</v>
      </c>
      <c r="K67" s="132" t="str">
        <f t="shared" si="19"/>
        <v>4027/4028</v>
      </c>
      <c r="L67" s="24" t="str">
        <f>VLOOKUP(A67,'Trips&amp;Operators'!$C$1:$E$10000,3,FALSE)</f>
        <v>CLARK</v>
      </c>
      <c r="M67" s="6">
        <f t="shared" si="20"/>
        <v>2.7349537034751847E-2</v>
      </c>
      <c r="N67" s="7">
        <f t="shared" si="21"/>
        <v>39.38333333004266</v>
      </c>
      <c r="O67" s="7"/>
      <c r="P67" s="7"/>
      <c r="Q67" s="25"/>
      <c r="R67" s="25"/>
      <c r="S67" s="37">
        <f t="shared" si="22"/>
        <v>1</v>
      </c>
      <c r="T67" s="52" t="str">
        <f t="shared" si="23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09:23:25-0600',mode:absolute,to:'2016-08-28 12:09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7" s="54" t="str">
        <f t="shared" si="25"/>
        <v>N</v>
      </c>
      <c r="X67" s="120">
        <f t="shared" si="26"/>
        <v>1</v>
      </c>
      <c r="Y67" s="69">
        <f t="shared" si="27"/>
        <v>4.5499999999999999E-2</v>
      </c>
      <c r="Z67" s="69">
        <f t="shared" si="28"/>
        <v>23.331700000000001</v>
      </c>
      <c r="AA67" s="69">
        <f t="shared" si="29"/>
        <v>23.286200000000001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30"/>
        <v>0155-28</v>
      </c>
      <c r="AE67" s="99" t="str">
        <f t="shared" si="31"/>
        <v>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 &amp; 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</v>
      </c>
      <c r="AF67" s="96" t="str">
        <f t="shared" si="32"/>
        <v>"C:\Program Files (x86)\AstroGrep\AstroGrep.exe" /spath="%USERPROFILE%\AppData\Local\Temp\OnboardLogs" /stypes="*4027*20160828*" /stext=" 17:.+((SYSTEM_STATE.+slice.+state.+changed )|(ment ac)|(system.+state.+changed )|(\|lc)|(penalty)|(\[timeout)|(PRM\|1\|D)|(kpr)|(kdp))" /e /r /s</v>
      </c>
      <c r="AG67" s="1" t="str">
        <f t="shared" si="33"/>
        <v>EC</v>
      </c>
      <c r="AH67" s="100" t="str">
        <f t="shared" si="17"/>
        <v>"%USERPROFILE%\Documents\GitHub\eaglep3\Utilities\RefineRTDCRunTimes.py" --tripid 155-28 --locoid 4027 --swversion DE.1.0.7.0 --startMP 204:455 --initTime 2016-08-28T10:23:25 --startdatetime 2016-08-28T10:30:22 --delay 1 --endMP 204:233317 --enddatetime 2016-08-28T11:09:45 --enforcementcount 0 &gt;&gt;C:\Users\stu\Documents\GitHub\eaglep3-reporting\EC\2016-08-28-refined-times.txt</v>
      </c>
      <c r="AI67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{"issue":{"subject":"","project_id":79,"tracker_id":40,"status_id":1,"priority_id":2,"assigned_to_id":23,"start_date":"2016-08-28","description":"","custom_fields":[{"id":1,"name":"Subdivision","value":"EC"},{"id":4,"name":"Milepost","value":"23.2862"},{"id":17,"name":"Train ID","value":"155-28"},{"id":16,"name":"Locomotive ID","value":"4027"},{"id":130,"name":"Impact","value":""},{"id":150,"name":"Time of Event (Mountain Time)","value":"11:09:45"},{"id":151,"name":"Denver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433</v>
      </c>
      <c r="B68" s="7">
        <v>4028</v>
      </c>
      <c r="C68" s="24" t="s">
        <v>113</v>
      </c>
      <c r="D68" s="24" t="s">
        <v>202</v>
      </c>
      <c r="E68" s="15">
        <v>42610.466203703705</v>
      </c>
      <c r="F68" s="15">
        <v>42610.477731481478</v>
      </c>
      <c r="G68" s="7">
        <v>1</v>
      </c>
      <c r="H68" s="15" t="s">
        <v>131</v>
      </c>
      <c r="I68" s="15">
        <v>42610.508321759262</v>
      </c>
      <c r="J68" s="7">
        <v>0</v>
      </c>
      <c r="K68" s="132" t="str">
        <f t="shared" si="19"/>
        <v>4027/4028</v>
      </c>
      <c r="L68" s="24" t="str">
        <f>VLOOKUP(A68,'Trips&amp;Operators'!$C$1:$E$10000,3,FALSE)</f>
        <v>CLARK</v>
      </c>
      <c r="M68" s="6">
        <f t="shared" si="20"/>
        <v>3.0590277783630881E-2</v>
      </c>
      <c r="N68" s="7">
        <f t="shared" si="21"/>
        <v>44.050000008428469</v>
      </c>
      <c r="O68" s="7"/>
      <c r="P68" s="7"/>
      <c r="Q68" s="25"/>
      <c r="R68" s="25"/>
      <c r="S68" s="37">
        <f t="shared" si="22"/>
        <v>1</v>
      </c>
      <c r="T68" s="52" t="str">
        <f t="shared" si="23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10:11:20-0600',mode:absolute,to:'2016-08-28 13:11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8" s="54" t="str">
        <f t="shared" si="25"/>
        <v>N</v>
      </c>
      <c r="X68" s="120">
        <f t="shared" si="26"/>
        <v>1</v>
      </c>
      <c r="Y68" s="69">
        <f t="shared" si="27"/>
        <v>23.2989</v>
      </c>
      <c r="Z68" s="69">
        <f t="shared" si="28"/>
        <v>1.5800000000000002E-2</v>
      </c>
      <c r="AA68" s="69">
        <f t="shared" si="29"/>
        <v>23.283100000000001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30"/>
        <v>0156-28</v>
      </c>
      <c r="AE68" s="99" t="str">
        <f t="shared" si="31"/>
        <v>aws s3 cp s3://rtdc.mdm.uploadarchive/RTDC4028/2016-08-28/ "%USERPROFILE%\AppData\Local\Temp\OnboardLogs"\RTDC4028\2016-08-28 --recursive &amp; "%USERPROFILE%\Documents\GitHub\mrs-test-scripts\Headless Mode &amp; Sideloading\WalkAndUnGZ.bat" "%USERPROFILE%\AppData\Local\Temp\OnboardLogs"\RTDC4028\2016-08-28 &amp; 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</v>
      </c>
      <c r="AF68" s="96" t="str">
        <f t="shared" si="32"/>
        <v>"C:\Program Files (x86)\AstroGrep\AstroGrep.exe" /spath="%USERPROFILE%\AppData\Local\Temp\OnboardLogs" /stypes="*4028*20160828*" /stext=" 18:.+((SYSTEM_STATE.+slice.+state.+changed )|(ment ac)|(system.+state.+changed )|(\|lc)|(penalty)|(\[timeout)|(PRM\|1\|D)|(kpr)|(kdp))" /e /r /s</v>
      </c>
      <c r="AG68" s="1" t="str">
        <f t="shared" si="33"/>
        <v>EC</v>
      </c>
      <c r="AH68" s="100" t="str">
        <f t="shared" si="17"/>
        <v>"%USERPROFILE%\Documents\GitHub\eaglep3\Utilities\RefineRTDCRunTimes.py" --tripid 156-28 --locoid 4028 --swversion DE.1.0.7.0 --startMP 204:232989 --initTime 2016-08-28T11:11:20 --startdatetime 2016-08-28T11:27:56 --delay 1 --endMP 204:158 --enddatetime 2016-08-28T12:11:59 --enforcementcount 0 &gt;&gt;C:\Users\stu\Documents\GitHub\eaglep3-reporting\EC\2016-08-28-refined-times.txt</v>
      </c>
      <c r="AI68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{"issue":{"subject":"","project_id":79,"tracker_id":40,"status_id":1,"priority_id":2,"assigned_to_id":23,"start_date":"2016-08-28","description":"","custom_fields":[{"id":1,"name":"Subdivision","value":"EC"},{"id":4,"name":"Milepost","value":"23.2831"},{"id":17,"name":"Train ID","value":"156-28"},{"id":16,"name":"Locomotive ID","value":"4028"},{"id":130,"name":"Impact","value":""},{"id":150,"name":"Time of Event (Mountain Time)","value":"12:11:59"},{"id":151,"name":"Denver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428</v>
      </c>
      <c r="B69" s="7">
        <v>4040</v>
      </c>
      <c r="C69" s="24" t="s">
        <v>113</v>
      </c>
      <c r="D69" s="24" t="s">
        <v>298</v>
      </c>
      <c r="E69" s="15">
        <v>42610.440960648149</v>
      </c>
      <c r="F69" s="15">
        <v>42610.448078703703</v>
      </c>
      <c r="G69" s="7">
        <v>1</v>
      </c>
      <c r="H69" s="15" t="s">
        <v>320</v>
      </c>
      <c r="I69" s="15">
        <v>42610.472083333334</v>
      </c>
      <c r="J69" s="7">
        <v>0</v>
      </c>
      <c r="K69" s="132" t="str">
        <f t="shared" si="19"/>
        <v>4039/4040</v>
      </c>
      <c r="L69" s="24" t="str">
        <f>VLOOKUP(A69,'Trips&amp;Operators'!$C$1:$E$10000,3,FALSE)</f>
        <v>YORK</v>
      </c>
      <c r="M69" s="6">
        <f t="shared" si="20"/>
        <v>2.400462963123573E-2</v>
      </c>
      <c r="N69" s="7">
        <f t="shared" si="21"/>
        <v>34.566666668979451</v>
      </c>
      <c r="O69" s="7"/>
      <c r="P69" s="7"/>
      <c r="Q69" s="25"/>
      <c r="R69" s="25"/>
      <c r="S69" s="37">
        <f t="shared" si="22"/>
        <v>1</v>
      </c>
      <c r="T69" s="52" t="str">
        <f t="shared" si="23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09:34:59-0600',mode:absolute,to:'2016-08-28 12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69" s="54" t="str">
        <f t="shared" si="25"/>
        <v>N</v>
      </c>
      <c r="X69" s="120">
        <f t="shared" si="26"/>
        <v>1</v>
      </c>
      <c r="Y69" s="69">
        <f t="shared" si="27"/>
        <v>4.6600000000000003E-2</v>
      </c>
      <c r="Z69" s="69">
        <f t="shared" si="28"/>
        <v>23.3278</v>
      </c>
      <c r="AA69" s="69">
        <f t="shared" si="29"/>
        <v>23.281199999999998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30"/>
        <v>0157-28</v>
      </c>
      <c r="AE69" s="99" t="str">
        <f t="shared" si="31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69" s="96" t="str">
        <f t="shared" si="32"/>
        <v>"C:\Program Files (x86)\AstroGrep\AstroGrep.exe" /spath="%USERPROFILE%\AppData\Local\Temp\OnboardLogs" /stypes="*4040*20160828*" /stext=" 17:.+((SYSTEM_STATE.+slice.+state.+changed )|(ment ac)|(system.+state.+changed )|(\|lc)|(penalty)|(\[timeout)|(PRM\|1\|D)|(kpr)|(kdp))" /e /r /s</v>
      </c>
      <c r="AG69" s="1" t="str">
        <f t="shared" si="33"/>
        <v>EC</v>
      </c>
      <c r="AH69" s="100" t="str">
        <f t="shared" si="17"/>
        <v>"%USERPROFILE%\Documents\GitHub\eaglep3\Utilities\RefineRTDCRunTimes.py" --tripid 157-28 --locoid 4040 --swversion DE.1.0.7.0 --startMP 204:466 --initTime 2016-08-28T10:34:59 --startdatetime 2016-08-28T10:45:14 --delay 1 --endMP 204:233278 --enddatetime 2016-08-28T11:19:48 --enforcementcount 0 &gt;&gt;C:\Users\stu\Documents\GitHub\eaglep3-reporting\EC\2016-08-28-refined-times.txt</v>
      </c>
      <c r="AI69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{"issue":{"subject":"","project_id":79,"tracker_id":40,"status_id":1,"priority_id":2,"assigned_to_id":23,"start_date":"2016-08-28","description":"","custom_fields":[{"id":1,"name":"Subdivision","value":"EC"},{"id":4,"name":"Milepost","value":"23.2812"},{"id":17,"name":"Train ID","value":"157-28"},{"id":16,"name":"Locomotive ID","value":"4040"},{"id":130,"name":"Impact","value":""},{"id":150,"name":"Time of Event (Mountain Time)","value":"11:19:48"},{"id":151,"name":"Denver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434</v>
      </c>
      <c r="B70" s="7">
        <v>4039</v>
      </c>
      <c r="C70" s="24" t="s">
        <v>113</v>
      </c>
      <c r="D70" s="24" t="s">
        <v>571</v>
      </c>
      <c r="E70" s="15">
        <v>42610.473437499997</v>
      </c>
      <c r="F70" s="15">
        <v>42610.487337962964</v>
      </c>
      <c r="G70" s="7">
        <v>1</v>
      </c>
      <c r="H70" s="15" t="s">
        <v>171</v>
      </c>
      <c r="I70" s="15">
        <v>42610.513449074075</v>
      </c>
      <c r="J70" s="7">
        <v>0</v>
      </c>
      <c r="K70" s="132" t="str">
        <f t="shared" si="19"/>
        <v>4039/4040</v>
      </c>
      <c r="L70" s="24" t="str">
        <f>VLOOKUP(A70,'Trips&amp;Operators'!$C$1:$E$10000,3,FALSE)</f>
        <v>YORK</v>
      </c>
      <c r="M70" s="6">
        <f t="shared" si="20"/>
        <v>2.6111111110367347E-2</v>
      </c>
      <c r="N70" s="7">
        <f t="shared" si="21"/>
        <v>37.599999998928979</v>
      </c>
      <c r="O70" s="7"/>
      <c r="P70" s="7"/>
      <c r="Q70" s="25"/>
      <c r="R70" s="25"/>
      <c r="S70" s="37">
        <f t="shared" si="22"/>
        <v>1</v>
      </c>
      <c r="T70" s="52" t="str">
        <f t="shared" si="23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10:21:45-0600',mode:absolute,to:'2016-08-28 13:19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70" s="54" t="str">
        <f t="shared" si="25"/>
        <v>N</v>
      </c>
      <c r="X70" s="120">
        <f t="shared" si="26"/>
        <v>1</v>
      </c>
      <c r="Y70" s="69">
        <f t="shared" si="27"/>
        <v>23.296700000000001</v>
      </c>
      <c r="Z70" s="69">
        <f t="shared" si="28"/>
        <v>1.52E-2</v>
      </c>
      <c r="AA70" s="69">
        <f t="shared" si="29"/>
        <v>23.281500000000001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30"/>
        <v>0158-28</v>
      </c>
      <c r="AE70" s="99" t="str">
        <f t="shared" si="31"/>
        <v>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 &amp; 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</v>
      </c>
      <c r="AF70" s="96" t="str">
        <f t="shared" si="32"/>
        <v>"C:\Program Files (x86)\AstroGrep\AstroGrep.exe" /spath="%USERPROFILE%\AppData\Local\Temp\OnboardLogs" /stypes="*4039*20160828*" /stext=" 18:.+((SYSTEM_STATE.+slice.+state.+changed )|(ment ac)|(system.+state.+changed )|(\|lc)|(penalty)|(\[timeout)|(PRM\|1\|D)|(kpr)|(kdp))" /e /r /s</v>
      </c>
      <c r="AG70" s="1" t="str">
        <f t="shared" si="33"/>
        <v>EC</v>
      </c>
      <c r="AH70" s="100" t="str">
        <f t="shared" si="17"/>
        <v>"%USERPROFILE%\Documents\GitHub\eaglep3\Utilities\RefineRTDCRunTimes.py" --tripid 158-28 --locoid 4039 --swversion DE.1.0.7.0 --startMP 204:232967 --initTime 2016-08-28T11:21:45 --startdatetime 2016-08-28T11:41:46 --delay 1 --endMP 204:152 --enddatetime 2016-08-28T12:19:22 --enforcementcount 0 &gt;&gt;C:\Users\stu\Documents\GitHub\eaglep3-reporting\EC\2016-08-28-refined-times.txt</v>
      </c>
      <c r="AI70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{"issue":{"subject":"","project_id":79,"tracker_id":40,"status_id":1,"priority_id":2,"assigned_to_id":23,"start_date":"2016-08-28","description":"","custom_fields":[{"id":1,"name":"Subdivision","value":"EC"},{"id":4,"name":"Milepost","value":"23.2815"},{"id":17,"name":"Train ID","value":"158-28"},{"id":16,"name":"Locomotive ID","value":"4039"},{"id":130,"name":"Impact","value":""},{"id":150,"name":"Time of Event (Mountain Time)","value":"12:19:22"},{"id":151,"name":"Denver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431</v>
      </c>
      <c r="B71" s="7">
        <v>4014</v>
      </c>
      <c r="C71" s="24" t="s">
        <v>113</v>
      </c>
      <c r="D71" s="24" t="s">
        <v>176</v>
      </c>
      <c r="E71" s="15">
        <v>42610.453993055555</v>
      </c>
      <c r="F71" s="15">
        <v>42610.458645833336</v>
      </c>
      <c r="G71" s="7">
        <v>1</v>
      </c>
      <c r="H71" s="15" t="s">
        <v>154</v>
      </c>
      <c r="I71" s="15">
        <v>42610.485092592593</v>
      </c>
      <c r="J71" s="7">
        <v>0</v>
      </c>
      <c r="K71" s="132" t="str">
        <f t="shared" si="19"/>
        <v>4013/4014</v>
      </c>
      <c r="L71" s="24" t="str">
        <f>VLOOKUP(A71,'Trips&amp;Operators'!$C$1:$E$10000,3,FALSE)</f>
        <v>STEWART</v>
      </c>
      <c r="M71" s="6">
        <f t="shared" si="20"/>
        <v>2.6446759256941732E-2</v>
      </c>
      <c r="N71" s="7">
        <f t="shared" si="21"/>
        <v>38.083333329996094</v>
      </c>
      <c r="O71" s="7"/>
      <c r="P71" s="7"/>
      <c r="Q71" s="25"/>
      <c r="R71" s="25"/>
      <c r="S71" s="37">
        <f t="shared" si="22"/>
        <v>1</v>
      </c>
      <c r="T71" s="52" t="str">
        <f t="shared" si="23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09:53:45-0600',mode:absolute,to:'2016-08-28 12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71" s="54" t="str">
        <f t="shared" si="25"/>
        <v>N</v>
      </c>
      <c r="X71" s="120">
        <f t="shared" si="26"/>
        <v>1</v>
      </c>
      <c r="Y71" s="69">
        <f t="shared" si="27"/>
        <v>4.7100000000000003E-2</v>
      </c>
      <c r="Z71" s="69">
        <f t="shared" si="28"/>
        <v>23.3291</v>
      </c>
      <c r="AA71" s="69">
        <f t="shared" si="29"/>
        <v>23.282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30"/>
        <v>0159-28</v>
      </c>
      <c r="AE71" s="99" t="str">
        <f t="shared" si="31"/>
        <v>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 &amp; 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</v>
      </c>
      <c r="AF71" s="96" t="str">
        <f t="shared" si="32"/>
        <v>"C:\Program Files (x86)\AstroGrep\AstroGrep.exe" /spath="%USERPROFILE%\AppData\Local\Temp\OnboardLogs" /stypes="*4014*20160828*" /stext=" 17:.+((SYSTEM_STATE.+slice.+state.+changed )|(ment ac)|(system.+state.+changed )|(\|lc)|(penalty)|(\[timeout)|(PRM\|1\|D)|(kpr)|(kdp))" /e /r /s</v>
      </c>
      <c r="AG71" s="1" t="str">
        <f t="shared" si="33"/>
        <v>EC</v>
      </c>
      <c r="AH71" s="100" t="str">
        <f t="shared" si="17"/>
        <v>"%USERPROFILE%\Documents\GitHub\eaglep3\Utilities\RefineRTDCRunTimes.py" --tripid 159-28 --locoid 4014 --swversion DE.1.0.7.0 --startMP 204:471 --initTime 2016-08-28T10:53:45 --startdatetime 2016-08-28T11:00:27 --delay 1 --endMP 204:233291 --enddatetime 2016-08-28T11:38:32 --enforcementcount 0 &gt;&gt;C:\Users\stu\Documents\GitHub\eaglep3-reporting\EC\2016-08-28-refined-times.txt</v>
      </c>
      <c r="AI71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{"issue":{"subject":"","project_id":79,"tracker_id":40,"status_id":1,"priority_id":2,"assigned_to_id":23,"start_date":"2016-08-28","description":"","custom_fields":[{"id":1,"name":"Subdivision","value":"EC"},{"id":4,"name":"Milepost","value":"23.282"},{"id":17,"name":"Train ID","value":"159-28"},{"id":16,"name":"Locomotive ID","value":"4014"},{"id":130,"name":"Impact","value":""},{"id":150,"name":"Time of Event (Mountain Time)","value":"11:38:32"},{"id":151,"name":"Denver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439</v>
      </c>
      <c r="B72" s="7">
        <v>4013</v>
      </c>
      <c r="C72" s="24" t="s">
        <v>113</v>
      </c>
      <c r="D72" s="24" t="s">
        <v>321</v>
      </c>
      <c r="E72" s="15">
        <v>42610.49322916667</v>
      </c>
      <c r="F72" s="15">
        <v>42610.497604166667</v>
      </c>
      <c r="G72" s="7">
        <v>1</v>
      </c>
      <c r="H72" s="15" t="s">
        <v>136</v>
      </c>
      <c r="I72" s="15">
        <v>42610.525868055556</v>
      </c>
      <c r="J72" s="7">
        <v>0</v>
      </c>
      <c r="K72" s="132" t="str">
        <f t="shared" si="19"/>
        <v>4013/4014</v>
      </c>
      <c r="L72" s="24" t="str">
        <f>VLOOKUP(A72,'Trips&amp;Operators'!$C$1:$E$10000,3,FALSE)</f>
        <v>STEWART</v>
      </c>
      <c r="M72" s="6">
        <f t="shared" si="20"/>
        <v>2.8263888889341615E-2</v>
      </c>
      <c r="N72" s="7">
        <f t="shared" si="21"/>
        <v>40.700000000651926</v>
      </c>
      <c r="O72" s="7"/>
      <c r="P72" s="7"/>
      <c r="Q72" s="25"/>
      <c r="R72" s="25"/>
      <c r="S72" s="37">
        <f t="shared" si="22"/>
        <v>1</v>
      </c>
      <c r="T72" s="52" t="str">
        <f t="shared" si="23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10:50:15-0600',mode:absolute,to:'2016-08-28 13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72" s="54" t="str">
        <f t="shared" si="25"/>
        <v>N</v>
      </c>
      <c r="X72" s="120">
        <f t="shared" si="26"/>
        <v>1</v>
      </c>
      <c r="Y72" s="69">
        <f t="shared" si="27"/>
        <v>23.298100000000002</v>
      </c>
      <c r="Z72" s="69">
        <f t="shared" si="28"/>
        <v>1.49E-2</v>
      </c>
      <c r="AA72" s="69">
        <f t="shared" si="29"/>
        <v>23.283200000000001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30"/>
        <v>0160-28</v>
      </c>
      <c r="AE72" s="99" t="str">
        <f t="shared" si="31"/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AF72" s="96" t="str">
        <f t="shared" si="32"/>
        <v>"C:\Program Files (x86)\AstroGrep\AstroGrep.exe" /spath="%USERPROFILE%\AppData\Local\Temp\OnboardLogs" /stypes="*4013*20160828*" /stext=" 18:.+((SYSTEM_STATE.+slice.+state.+changed )|(ment ac)|(system.+state.+changed )|(\|lc)|(penalty)|(\[timeout)|(PRM\|1\|D)|(kpr)|(kdp))" /e /r /s</v>
      </c>
      <c r="AG72" s="1" t="str">
        <f t="shared" si="33"/>
        <v>EC</v>
      </c>
      <c r="AH72" s="100" t="str">
        <f t="shared" si="17"/>
        <v>"%USERPROFILE%\Documents\GitHub\eaglep3\Utilities\RefineRTDCRunTimes.py" --tripid 160-28 --locoid 4013 --swversion DE.1.0.7.0 --startMP 204:232981 --initTime 2016-08-28T11:50:15 --startdatetime 2016-08-28T11:56:33 --delay 1 --endMP 204:149 --enddatetime 2016-08-28T12:37:15 --enforcementcount 0 &gt;&gt;C:\Users\stu\Documents\GitHub\eaglep3-reporting\EC\2016-08-28-refined-times.txt</v>
      </c>
      <c r="AI72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{"issue":{"subject":"","project_id":79,"tracker_id":40,"status_id":1,"priority_id":2,"assigned_to_id":23,"start_date":"2016-08-28","description":"","custom_fields":[{"id":1,"name":"Subdivision","value":"EC"},{"id":4,"name":"Milepost","value":"23.2832"},{"id":17,"name":"Train ID","value":"160-28"},{"id":16,"name":"Locomotive ID","value":"4013"},{"id":130,"name":"Impact","value":""},{"id":150,"name":"Time of Event (Mountain Time)","value":"12:37:15"},{"id":151,"name":"Denver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432</v>
      </c>
      <c r="B73" s="7">
        <v>4042</v>
      </c>
      <c r="C73" s="24" t="s">
        <v>113</v>
      </c>
      <c r="D73" s="24" t="s">
        <v>322</v>
      </c>
      <c r="E73" s="15">
        <v>42610.465555555558</v>
      </c>
      <c r="F73" s="15">
        <v>42610.468969907408</v>
      </c>
      <c r="G73" s="7">
        <v>1</v>
      </c>
      <c r="H73" s="15" t="s">
        <v>286</v>
      </c>
      <c r="I73" s="15">
        <v>42610.49423611111</v>
      </c>
      <c r="J73" s="7">
        <v>0</v>
      </c>
      <c r="K73" s="132" t="str">
        <f t="shared" si="19"/>
        <v>4041/4042</v>
      </c>
      <c r="L73" s="24" t="str">
        <f>VLOOKUP(A73,'Trips&amp;Operators'!$C$1:$E$10000,3,FALSE)</f>
        <v>BARTLETT</v>
      </c>
      <c r="M73" s="6">
        <f t="shared" si="20"/>
        <v>2.5266203701903578E-2</v>
      </c>
      <c r="N73" s="7">
        <f t="shared" si="21"/>
        <v>36.383333330741152</v>
      </c>
      <c r="O73" s="7"/>
      <c r="P73" s="7"/>
      <c r="Q73" s="25"/>
      <c r="R73" s="25"/>
      <c r="S73" s="37">
        <f t="shared" si="22"/>
        <v>1</v>
      </c>
      <c r="T73" s="52" t="str">
        <f t="shared" si="23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10:10:24-0600',mode:absolute,to:'2016-08-28 12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3" s="54" t="str">
        <f t="shared" si="25"/>
        <v>N</v>
      </c>
      <c r="X73" s="120">
        <f t="shared" si="26"/>
        <v>1</v>
      </c>
      <c r="Y73" s="69">
        <f t="shared" si="27"/>
        <v>4.3299999999999998E-2</v>
      </c>
      <c r="Z73" s="69">
        <f t="shared" si="28"/>
        <v>23.329499999999999</v>
      </c>
      <c r="AA73" s="69">
        <f t="shared" si="29"/>
        <v>23.286200000000001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30"/>
        <v>0161-28</v>
      </c>
      <c r="AE73" s="99" t="str">
        <f t="shared" si="31"/>
        <v>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 &amp; 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</v>
      </c>
      <c r="AF73" s="96" t="str">
        <f t="shared" si="32"/>
        <v>"C:\Program Files (x86)\AstroGrep\AstroGrep.exe" /spath="%USERPROFILE%\AppData\Local\Temp\OnboardLogs" /stypes="*4042*20160828*" /stext=" 17:.+((SYSTEM_STATE.+slice.+state.+changed )|(ment ac)|(system.+state.+changed )|(\|lc)|(penalty)|(\[timeout)|(PRM\|1\|D)|(kpr)|(kdp))" /e /r /s</v>
      </c>
      <c r="AG73" s="1" t="str">
        <f t="shared" si="33"/>
        <v>EC</v>
      </c>
      <c r="AH73" s="100" t="str">
        <f t="shared" si="17"/>
        <v>"%USERPROFILE%\Documents\GitHub\eaglep3\Utilities\RefineRTDCRunTimes.py" --tripid 161-28 --locoid 4042 --swversion DE.1.0.7.0 --startMP 204:433 --initTime 2016-08-28T11:10:24 --startdatetime 2016-08-28T11:15:19 --delay 1 --endMP 204:233295 --enddatetime 2016-08-28T11:51:42 --enforcementcount 0 &gt;&gt;C:\Users\stu\Documents\GitHub\eaglep3-reporting\EC\2016-08-28-refined-times.txt</v>
      </c>
      <c r="AI73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{"issue":{"subject":"","project_id":79,"tracker_id":40,"status_id":1,"priority_id":2,"assigned_to_id":23,"start_date":"2016-08-28","description":"","custom_fields":[{"id":1,"name":"Subdivision","value":"EC"},{"id":4,"name":"Milepost","value":"23.2862"},{"id":17,"name":"Train ID","value":"161-28"},{"id":16,"name":"Locomotive ID","value":"4042"},{"id":130,"name":"Impact","value":""},{"id":150,"name":"Time of Event (Mountain Time)","value":"11:51:42"},{"id":151,"name":"Denver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440</v>
      </c>
      <c r="B74" s="7">
        <v>4041</v>
      </c>
      <c r="C74" s="24" t="s">
        <v>113</v>
      </c>
      <c r="D74" s="24" t="s">
        <v>188</v>
      </c>
      <c r="E74" s="15">
        <v>42610.496527777781</v>
      </c>
      <c r="F74" s="15">
        <v>42610.507974537039</v>
      </c>
      <c r="G74" s="7">
        <v>1</v>
      </c>
      <c r="H74" s="15" t="s">
        <v>132</v>
      </c>
      <c r="I74" s="15">
        <v>42610.536608796298</v>
      </c>
      <c r="J74" s="7">
        <v>0</v>
      </c>
      <c r="K74" s="132" t="str">
        <f t="shared" si="19"/>
        <v>4041/4042</v>
      </c>
      <c r="L74" s="24" t="str">
        <f>VLOOKUP(A74,'Trips&amp;Operators'!$C$1:$E$10000,3,FALSE)</f>
        <v>BARTLETT</v>
      </c>
      <c r="M74" s="6">
        <f t="shared" si="20"/>
        <v>2.8634259258979E-2</v>
      </c>
      <c r="N74" s="7">
        <f t="shared" si="21"/>
        <v>41.23333333292976</v>
      </c>
      <c r="O74" s="7"/>
      <c r="P74" s="7"/>
      <c r="Q74" s="25"/>
      <c r="R74" s="25"/>
      <c r="S74" s="37">
        <f t="shared" si="22"/>
        <v>1</v>
      </c>
      <c r="T74" s="52" t="str">
        <f t="shared" si="23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10:55:00-0600',mode:absolute,to:'2016-08-28 13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74" s="54" t="str">
        <f t="shared" si="25"/>
        <v>N</v>
      </c>
      <c r="X74" s="120">
        <f t="shared" si="26"/>
        <v>1</v>
      </c>
      <c r="Y74" s="69">
        <f t="shared" si="27"/>
        <v>23.299199999999999</v>
      </c>
      <c r="Z74" s="69">
        <f t="shared" si="28"/>
        <v>1.47E-2</v>
      </c>
      <c r="AA74" s="69">
        <f t="shared" si="29"/>
        <v>23.284499999999998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30"/>
        <v>0162-28</v>
      </c>
      <c r="AE74" s="99" t="str">
        <f t="shared" si="31"/>
        <v>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 &amp; aws s3 cp s3://rtdc.mdm.uploadarchive/RTDC4041/2016-08-29/ "%USERPROFILE%\AppData\Local\Temp\OnboardLogs"\RTDC4041\2016-08-29 --recursive &amp; "%USERPROFILE%\Documents\GitHub\mrs-test-scripts\Headless Mode &amp; Sideloading\WalkAndUnGZ.bat" "%USERPROFILE%\AppData\Local\Temp\OnboardLogs"\RTDC4041\2016-08-29</v>
      </c>
      <c r="AF74" s="96" t="str">
        <f t="shared" si="32"/>
        <v>"C:\Program Files (x86)\AstroGrep\AstroGrep.exe" /spath="%USERPROFILE%\AppData\Local\Temp\OnboardLogs" /stypes="*4041*20160828*" /stext=" 18:.+((SYSTEM_STATE.+slice.+state.+changed )|(ment ac)|(system.+state.+changed )|(\|lc)|(penalty)|(\[timeout)|(PRM\|1\|D)|(kpr)|(kdp))" /e /r /s</v>
      </c>
      <c r="AG74" s="1" t="str">
        <f t="shared" si="33"/>
        <v>EC</v>
      </c>
      <c r="AH74" s="100" t="str">
        <f t="shared" si="17"/>
        <v>"%USERPROFILE%\Documents\GitHub\eaglep3\Utilities\RefineRTDCRunTimes.py" --tripid 162-28 --locoid 4041 --swversion DE.1.0.7.0 --startMP 204:232992 --initTime 2016-08-28T11:55:00 --startdatetime 2016-08-28T12:11:29 --delay 1 --endMP 204:147 --enddatetime 2016-08-28T12:52:43 --enforcementcount 0 &gt;&gt;C:\Users\stu\Documents\GitHub\eaglep3-reporting\EC\2016-08-28-refined-times.txt</v>
      </c>
      <c r="AI74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{"issue":{"subject":"","project_id":79,"tracker_id":40,"status_id":1,"priority_id":2,"assigned_to_id":23,"start_date":"2016-08-28","description":"","custom_fields":[{"id":1,"name":"Subdivision","value":"EC"},{"id":4,"name":"Milepost","value":"23.2845"},{"id":17,"name":"Train ID","value":"162-28"},{"id":16,"name":"Locomotive ID","value":"4041"},{"id":130,"name":"Impact","value":""},{"id":150,"name":"Time of Event (Mountain Time)","value":"12:52:43"},{"id":151,"name":"Denver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435</v>
      </c>
      <c r="B75" s="7">
        <v>4038</v>
      </c>
      <c r="C75" s="24" t="s">
        <v>113</v>
      </c>
      <c r="D75" s="24" t="s">
        <v>138</v>
      </c>
      <c r="E75" s="15">
        <v>42610.475740740738</v>
      </c>
      <c r="F75" s="15">
        <v>42610.479409722226</v>
      </c>
      <c r="G75" s="7">
        <v>2</v>
      </c>
      <c r="H75" s="15" t="s">
        <v>317</v>
      </c>
      <c r="I75" s="15">
        <v>42610.506435185183</v>
      </c>
      <c r="J75" s="7">
        <v>0</v>
      </c>
      <c r="K75" s="132" t="str">
        <f t="shared" si="19"/>
        <v>4037/4038</v>
      </c>
      <c r="L75" s="24" t="str">
        <f>VLOOKUP(A75,'Trips&amp;Operators'!$C$1:$E$10000,3,FALSE)</f>
        <v>BRUDER</v>
      </c>
      <c r="M75" s="6">
        <f t="shared" si="20"/>
        <v>2.7025462957681157E-2</v>
      </c>
      <c r="N75" s="7">
        <f t="shared" si="21"/>
        <v>38.916666659060866</v>
      </c>
      <c r="O75" s="7"/>
      <c r="P75" s="7"/>
      <c r="Q75" s="25"/>
      <c r="R75" s="25"/>
      <c r="S75" s="37">
        <f t="shared" si="22"/>
        <v>1</v>
      </c>
      <c r="T75" s="52" t="str">
        <f t="shared" si="23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10:25:04-0600',mode:absolute,to:'2016-08-28 13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5" s="54" t="str">
        <f t="shared" si="25"/>
        <v>N</v>
      </c>
      <c r="X75" s="120">
        <f t="shared" si="26"/>
        <v>1</v>
      </c>
      <c r="Y75" s="69">
        <f t="shared" si="27"/>
        <v>4.6899999999999997E-2</v>
      </c>
      <c r="Z75" s="69">
        <f t="shared" si="28"/>
        <v>23.331700000000001</v>
      </c>
      <c r="AA75" s="69">
        <f t="shared" si="29"/>
        <v>23.284800000000001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30"/>
        <v>0163-28</v>
      </c>
      <c r="AE75" s="99" t="str">
        <f t="shared" si="31"/>
        <v>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 &amp; 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</v>
      </c>
      <c r="AF75" s="96" t="str">
        <f t="shared" si="32"/>
        <v>"C:\Program Files (x86)\AstroGrep\AstroGrep.exe" /spath="%USERPROFILE%\AppData\Local\Temp\OnboardLogs" /stypes="*4038*20160828*" /stext=" 18:.+((SYSTEM_STATE.+slice.+state.+changed )|(ment ac)|(system.+state.+changed )|(\|lc)|(penalty)|(\[timeout)|(PRM\|1\|D)|(kpr)|(kdp))" /e /r /s</v>
      </c>
      <c r="AG75" s="1" t="str">
        <f t="shared" si="33"/>
        <v>EC</v>
      </c>
      <c r="AH75" s="100" t="str">
        <f t="shared" si="17"/>
        <v>"%USERPROFILE%\Documents\GitHub\eaglep3\Utilities\RefineRTDCRunTimes.py" --tripid 163-28 --locoid 4038 --swversion DE.1.0.7.0 --startMP 204:469 --initTime 2016-08-28T11:25:04 --startdatetime 2016-08-28T11:30:21 --delay 2 --endMP 204:233317 --enddatetime 2016-08-28T12:09:16 --enforcementcount 0 &gt;&gt;C:\Users\stu\Documents\GitHub\eaglep3-reporting\EC\2016-08-28-refined-times.txt</v>
      </c>
      <c r="AI75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{"issue":{"subject":"","project_id":79,"tracker_id":40,"status_id":1,"priority_id":2,"assigned_to_id":23,"start_date":"2016-08-28","description":"","custom_fields":[{"id":1,"name":"Subdivision","value":"EC"},{"id":4,"name":"Milepost","value":"23.2848"},{"id":17,"name":"Train ID","value":"163-28"},{"id":16,"name":"Locomotive ID","value":"4038"},{"id":130,"name":"Impact","value":""},{"id":150,"name":"Time of Event (Mountain Time)","value":"12:09:16"},{"id":151,"name":"Denver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x14ac:dyDescent="0.25">
      <c r="A76" s="39" t="s">
        <v>445</v>
      </c>
      <c r="B76" s="7">
        <v>4037</v>
      </c>
      <c r="C76" s="24" t="s">
        <v>113</v>
      </c>
      <c r="D76" s="24" t="s">
        <v>251</v>
      </c>
      <c r="E76" s="15">
        <v>42610.512685185182</v>
      </c>
      <c r="F76" s="15">
        <v>42610.518275462964</v>
      </c>
      <c r="G76" s="7">
        <v>6</v>
      </c>
      <c r="H76" s="15" t="s">
        <v>152</v>
      </c>
      <c r="I76" s="15">
        <v>42610.544409722221</v>
      </c>
      <c r="J76" s="7">
        <v>0</v>
      </c>
      <c r="K76" s="132" t="str">
        <f t="shared" si="19"/>
        <v>4037/4038</v>
      </c>
      <c r="L76" s="24" t="str">
        <f>VLOOKUP(A76,'Trips&amp;Operators'!$C$1:$E$10000,3,FALSE)</f>
        <v>BRUDER</v>
      </c>
      <c r="M76" s="6">
        <f t="shared" si="20"/>
        <v>2.6134259256650694E-2</v>
      </c>
      <c r="N76" s="7">
        <f t="shared" si="21"/>
        <v>37.633333329576999</v>
      </c>
      <c r="O76" s="7"/>
      <c r="P76" s="7"/>
      <c r="Q76" s="25"/>
      <c r="R76" s="25"/>
      <c r="S76" s="37">
        <f t="shared" si="22"/>
        <v>1</v>
      </c>
      <c r="T76" s="52" t="str">
        <f t="shared" si="23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https://search-rtdc-monitor-bjffxe2xuh6vdkpspy63sjmuny.us-east-1.es.amazonaws.com/_plugin/kibana/#/discover/Steve-Slow-Train-Analysis-(2080s-and-2083s)?_g=(refreshInterval:(display:Off,section:0,value:0),time:(from:'2016-08-28 11:18:16-0600',mode:absolute,to:'2016-08-28 14:03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76" s="54" t="str">
        <f t="shared" si="25"/>
        <v>N</v>
      </c>
      <c r="X76" s="120">
        <f t="shared" si="26"/>
        <v>1</v>
      </c>
      <c r="Y76" s="69">
        <f t="shared" si="27"/>
        <v>23.300999999999998</v>
      </c>
      <c r="Z76" s="69">
        <f t="shared" si="28"/>
        <v>1.5599999999999999E-2</v>
      </c>
      <c r="AA76" s="69">
        <f t="shared" si="29"/>
        <v>23.285399999999999</v>
      </c>
      <c r="AB76" s="66" t="e">
        <f>VLOOKUP(A76,Enforcements!$C$7:$J$21,8,0)</f>
        <v>#N/A</v>
      </c>
      <c r="AC76" s="62" t="e">
        <f>VLOOKUP(A76,Enforcements!$C$7:$E$21,3,0)</f>
        <v>#N/A</v>
      </c>
      <c r="AD76" s="63" t="str">
        <f t="shared" si="30"/>
        <v>0164-28</v>
      </c>
      <c r="AE76" s="99" t="str">
        <f t="shared" si="31"/>
        <v>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 &amp; 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</v>
      </c>
      <c r="AF76" s="96" t="str">
        <f t="shared" si="32"/>
        <v>"C:\Program Files (x86)\AstroGrep\AstroGrep.exe" /spath="%USERPROFILE%\AppData\Local\Temp\OnboardLogs" /stypes="*4037*20160828*" /stext=" 19:.+((SYSTEM_STATE.+slice.+state.+changed )|(ment ac)|(system.+state.+changed )|(\|lc)|(penalty)|(\[timeout)|(PRM\|1\|D)|(kpr)|(kdp))" /e /r /s</v>
      </c>
      <c r="AG76" s="1" t="str">
        <f t="shared" si="33"/>
        <v>EC</v>
      </c>
      <c r="AH76" s="100" t="str">
        <f t="shared" si="17"/>
        <v>"%USERPROFILE%\Documents\GitHub\eaglep3\Utilities\RefineRTDCRunTimes.py" --tripid 164-28 --locoid 4037 --swversion DE.1.0.7.0 --startMP 204:233010 --initTime 2016-08-28T12:18:16 --startdatetime 2016-08-28T12:26:19 --delay 6 --endMP 204:156 --enddatetime 2016-08-28T13:03:57 --enforcementcount 0 &gt;&gt;C:\Users\stu\Documents\GitHub\eaglep3-reporting\EC\2016-08-28-refined-times.txt</v>
      </c>
      <c r="AI76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{"issue":{"subject":"","project_id":79,"tracker_id":40,"status_id":1,"priority_id":2,"assigned_to_id":23,"start_date":"2016-08-28","description":"","custom_fields":[{"id":1,"name":"Subdivision","value":"EC"},{"id":4,"name":"Milepost","value":"23.2854"},{"id":17,"name":"Train ID","value":"164-28"},{"id":16,"name":"Locomotive ID","value":"4037"},{"id":130,"name":"Impact","value":""},{"id":150,"name":"Time of Event (Mountain Time)","value":"13:03:57"},{"id":151,"name":"Denver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438</v>
      </c>
      <c r="B77" s="7">
        <v>4007</v>
      </c>
      <c r="C77" s="24" t="s">
        <v>113</v>
      </c>
      <c r="D77" s="24" t="s">
        <v>181</v>
      </c>
      <c r="E77" s="15">
        <v>42610.487835648149</v>
      </c>
      <c r="F77" s="15">
        <v>42610.489976851852</v>
      </c>
      <c r="G77" s="7">
        <v>1</v>
      </c>
      <c r="H77" s="15" t="s">
        <v>285</v>
      </c>
      <c r="I77" s="15">
        <v>42610.517013888886</v>
      </c>
      <c r="J77" s="7">
        <v>0</v>
      </c>
      <c r="K77" s="132" t="str">
        <f t="shared" ref="K77:K111" si="34">IF(ISEVEN(B77),(B77-1)&amp;"/"&amp;B77,B77&amp;"/"&amp;(B77+1))</f>
        <v>4007/4008</v>
      </c>
      <c r="L77" s="24" t="str">
        <f>VLOOKUP(A77,'Trips&amp;Operators'!$C$1:$E$10000,3,FALSE)</f>
        <v>MOSES</v>
      </c>
      <c r="M77" s="6">
        <f t="shared" ref="M77:M111" si="35">I77-F77</f>
        <v>2.7037037034460809E-2</v>
      </c>
      <c r="N77" s="7">
        <f t="shared" ref="N77:N111" si="36">24*60*SUM($M77:$M77)</f>
        <v>38.933333329623565</v>
      </c>
      <c r="O77" s="7"/>
      <c r="P77" s="7"/>
      <c r="Q77" s="25"/>
      <c r="R77" s="25"/>
      <c r="S77" s="37">
        <f t="shared" ref="S77:S111" si="37">SUM(U77:U77)/IF(AG77="EC",12,1)</f>
        <v>1</v>
      </c>
      <c r="T77" s="52" t="str">
        <f t="shared" ref="T77:T111" si="38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11" si="3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https://search-rtdc-monitor-bjffxe2xuh6vdkpspy63sjmuny.us-east-1.es.amazonaws.com/_plugin/kibana/#/discover/Steve-Slow-Train-Analysis-(2080s-and-2083s)?_g=(refreshInterval:(display:Off,section:0,value:0),time:(from:'2016-08-28 10:42:29-0600',mode:absolute,to:'2016-08-28 13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7" s="54" t="str">
        <f t="shared" ref="W77:W111" si="40">IF(AA77&lt;IF(AG77="EC",23,5.65),"Y","N")</f>
        <v>N</v>
      </c>
      <c r="X77" s="120">
        <f t="shared" ref="X77:X111" si="41">VALUE(LEFT(AD77,4))-VALUE(LEFT(AD76,4))</f>
        <v>1</v>
      </c>
      <c r="Y77" s="69">
        <f t="shared" ref="Y77:Y111" si="42">RIGHT(D77,LEN(D77)-4)/10000</f>
        <v>4.4699999999999997E-2</v>
      </c>
      <c r="Z77" s="69">
        <f t="shared" ref="Z77:Z111" si="43">RIGHT(H77,LEN(H77)-4)/10000</f>
        <v>23.331600000000002</v>
      </c>
      <c r="AA77" s="69">
        <f t="shared" ref="AA77:AA111" si="44">ABS(Z77-Y77)</f>
        <v>23.286900000000003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ref="AD77:AD111" si="45">IF(LEN(A77)=6,"0"&amp;A77,A77)</f>
        <v>0165-28</v>
      </c>
      <c r="AE77" s="99" t="str">
        <f t="shared" ref="AE77:AE111" si="46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 &amp; 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</v>
      </c>
      <c r="AF77" s="96" t="str">
        <f t="shared" ref="AF77:AF111" si="47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/stypes="*4007*20160828*" /stext=" 18:.+((SYSTEM_STATE.+slice.+state.+changed )|(ment ac)|(system.+state.+changed )|(\|lc)|(penalty)|(\[timeout)|(PRM\|1\|D)|(kpr)|(kdp))" /e /r /s</v>
      </c>
      <c r="AG77" s="1" t="str">
        <f t="shared" ref="AG77:AG111" si="48">IFERROR(IF(VALUE(LEFT(AD77,2))&lt;=2,"EC",IF(OR(VALUE(LEFT(AD77,2))=8,VALUE(LEFT(AD77,2))=18),"NW","Other")),"Other")</f>
        <v>EC</v>
      </c>
      <c r="AH77" s="100" t="str">
        <f t="shared" si="17"/>
        <v>"%USERPROFILE%\Documents\GitHub\eaglep3\Utilities\RefineRTDCRunTimes.py" --tripid 165-28 --locoid 4007 --swversion DE.1.0.7.0 --startMP 204:447 --initTime 2016-08-28T11:42:29 --startdatetime 2016-08-28T11:45:34 --delay 1 --endMP 204:233316 --enddatetime 2016-08-28T12:24:30 --enforcementcount 0 &gt;&gt;C:\Users\stu\Documents\GitHub\eaglep3-reporting\EC\2016-08-28-refined-times.txt</v>
      </c>
      <c r="AI77" s="149" t="str">
        <f t="shared" si="18"/>
        <v>echo {"issue":{"subject":"","project_id":79,"tracker_id":40,"status_id":1,"priority_id":2,"assigned_to_id":23,"start_date":"2016-08-28","description":"","custom_fields":[{"id":1,"name":"Subdivision","value":"EC"},{"id":4,"name":"Milepost","value":"23.2869"},{"id":17,"name":"Train ID","value":"165-28"},{"id":16,"name":"Locomotive ID","value":"4007"},{"id":130,"name":"Impact","value":""},{"id":150,"name":"Time of Event (Mountain Time)","value":"12:24:30"},{"id":151,"name":"Denver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449</v>
      </c>
      <c r="B78" s="7">
        <v>4008</v>
      </c>
      <c r="C78" s="24" t="s">
        <v>113</v>
      </c>
      <c r="D78" s="24" t="s">
        <v>287</v>
      </c>
      <c r="E78" s="15">
        <v>42610.527129629627</v>
      </c>
      <c r="F78" s="15">
        <v>42610.52957175926</v>
      </c>
      <c r="G78" s="7">
        <v>1</v>
      </c>
      <c r="H78" s="15" t="s">
        <v>572</v>
      </c>
      <c r="I78" s="15">
        <v>42610.557210648149</v>
      </c>
      <c r="J78" s="7">
        <v>0</v>
      </c>
      <c r="K78" s="132" t="str">
        <f t="shared" si="34"/>
        <v>4007/4008</v>
      </c>
      <c r="L78" s="24" t="str">
        <f>VLOOKUP(A78,'Trips&amp;Operators'!$C$1:$E$10000,3,FALSE)</f>
        <v>MOSES</v>
      </c>
      <c r="M78" s="6">
        <f t="shared" si="35"/>
        <v>2.7638888888759539E-2</v>
      </c>
      <c r="N78" s="7">
        <f t="shared" si="36"/>
        <v>39.799999999813735</v>
      </c>
      <c r="O78" s="7"/>
      <c r="P78" s="7"/>
      <c r="Q78" s="25"/>
      <c r="R78" s="25"/>
      <c r="S78" s="37">
        <f t="shared" si="37"/>
        <v>1</v>
      </c>
      <c r="T78" s="52" t="str">
        <f t="shared" si="38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11:39:04-0600',mode:absolute,to:'2016-08-28 14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8" s="54" t="str">
        <f t="shared" si="40"/>
        <v>N</v>
      </c>
      <c r="X78" s="120">
        <f t="shared" si="41"/>
        <v>1</v>
      </c>
      <c r="Y78" s="69">
        <f t="shared" si="42"/>
        <v>23.2988</v>
      </c>
      <c r="Z78" s="69">
        <f t="shared" si="43"/>
        <v>1.29E-2</v>
      </c>
      <c r="AA78" s="69">
        <f t="shared" si="44"/>
        <v>23.285900000000002</v>
      </c>
      <c r="AB78" s="66" t="e">
        <f>VLOOKUP(A78,Enforcements!$C$7:$J$21,8,0)</f>
        <v>#N/A</v>
      </c>
      <c r="AC78" s="62" t="e">
        <f>VLOOKUP(A78,Enforcements!$C$7:$E$21,3,0)</f>
        <v>#N/A</v>
      </c>
      <c r="AD78" s="63" t="str">
        <f t="shared" si="45"/>
        <v>0166-28</v>
      </c>
      <c r="AE78" s="99" t="str">
        <f t="shared" si="46"/>
        <v>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 &amp; 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</v>
      </c>
      <c r="AF78" s="96" t="str">
        <f t="shared" si="47"/>
        <v>"C:\Program Files (x86)\AstroGrep\AstroGrep.exe" /spath="%USERPROFILE%\AppData\Local\Temp\OnboardLogs" /stypes="*4008*20160828*" /stext=" 19:.+((SYSTEM_STATE.+slice.+state.+changed )|(ment ac)|(system.+state.+changed )|(\|lc)|(penalty)|(\[timeout)|(PRM\|1\|D)|(kpr)|(kdp))" /e /r /s</v>
      </c>
      <c r="AG78" s="1" t="str">
        <f t="shared" si="48"/>
        <v>EC</v>
      </c>
      <c r="AH78" s="100" t="str">
        <f t="shared" ref="AH78:AH144" si="4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166-28 --locoid 4008 --swversion DE.1.0.7.0 --startMP 204:232988 --initTime 2016-08-28T12:39:04 --startdatetime 2016-08-28T12:42:35 --delay 1 --endMP 204:129 --enddatetime 2016-08-28T13:22:23 --enforcementcount 0 &gt;&gt;C:\Users\stu\Documents\GitHub\eaglep3-reporting\EC\2016-08-28-refined-times.txt</v>
      </c>
      <c r="AI78" s="149" t="str">
        <f t="shared" ref="AI78:AI144" si="5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AA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{"issue":{"subject":"","project_id":79,"tracker_id":40,"status_id":1,"priority_id":2,"assigned_to_id":23,"start_date":"2016-08-28","description":"","custom_fields":[{"id":1,"name":"Subdivision","value":"EC"},{"id":4,"name":"Milepost","value":"23.2859"},{"id":17,"name":"Train ID","value":"166-28"},{"id":16,"name":"Locomotive ID","value":"4008"},{"id":130,"name":"Impact","value":""},{"id":150,"name":"Time of Event (Mountain Time)","value":"13:22:23"},{"id":151,"name":"Denver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441</v>
      </c>
      <c r="B79" s="7">
        <v>4002</v>
      </c>
      <c r="C79" s="24" t="s">
        <v>113</v>
      </c>
      <c r="D79" s="24" t="s">
        <v>125</v>
      </c>
      <c r="E79" s="15">
        <v>42610.498148148145</v>
      </c>
      <c r="F79" s="15">
        <v>42610.500578703701</v>
      </c>
      <c r="G79" s="7">
        <v>1</v>
      </c>
      <c r="H79" s="15" t="s">
        <v>286</v>
      </c>
      <c r="I79" s="15">
        <v>42610.534942129627</v>
      </c>
      <c r="J79" s="7">
        <v>0</v>
      </c>
      <c r="K79" s="132" t="str">
        <f t="shared" si="34"/>
        <v>4001/4002</v>
      </c>
      <c r="L79" s="24" t="str">
        <f>VLOOKUP(A79,'Trips&amp;Operators'!$C$1:$E$10000,3,FALSE)</f>
        <v>YOUNG</v>
      </c>
      <c r="M79" s="6">
        <f t="shared" si="35"/>
        <v>3.4363425926130731E-2</v>
      </c>
      <c r="N79" s="7">
        <f t="shared" si="36"/>
        <v>49.483333333628252</v>
      </c>
      <c r="O79" s="7"/>
      <c r="P79" s="7"/>
      <c r="Q79" s="25"/>
      <c r="R79" s="25"/>
      <c r="S79" s="37">
        <f t="shared" si="37"/>
        <v>1</v>
      </c>
      <c r="T79" s="52" t="str">
        <f t="shared" si="38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10:57:20-0600',mode:absolute,to:'2016-08-28 13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9" s="54" t="str">
        <f t="shared" si="40"/>
        <v>N</v>
      </c>
      <c r="X79" s="120">
        <f t="shared" si="41"/>
        <v>1</v>
      </c>
      <c r="Y79" s="69">
        <f t="shared" si="42"/>
        <v>4.5499999999999999E-2</v>
      </c>
      <c r="Z79" s="69">
        <f t="shared" si="43"/>
        <v>23.329499999999999</v>
      </c>
      <c r="AA79" s="69">
        <f t="shared" si="44"/>
        <v>23.283999999999999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45"/>
        <v>0167-28</v>
      </c>
      <c r="AE79" s="99" t="str">
        <f t="shared" si="46"/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79" s="96" t="str">
        <f t="shared" si="47"/>
        <v>"C:\Program Files (x86)\AstroGrep\AstroGrep.exe" /spath="%USERPROFILE%\AppData\Local\Temp\OnboardLogs" /stypes="*4002*20160828*" /stext=" 18:.+((SYSTEM_STATE.+slice.+state.+changed )|(ment ac)|(system.+state.+changed )|(\|lc)|(penalty)|(\[timeout)|(PRM\|1\|D)|(kpr)|(kdp))" /e /r /s</v>
      </c>
      <c r="AG79" s="1" t="str">
        <f t="shared" si="48"/>
        <v>EC</v>
      </c>
      <c r="AH79" s="100" t="str">
        <f t="shared" si="49"/>
        <v>"%USERPROFILE%\Documents\GitHub\eaglep3\Utilities\RefineRTDCRunTimes.py" --tripid 167-28 --locoid 4002 --swversion DE.1.0.7.0 --startMP 204:455 --initTime 2016-08-28T11:57:20 --startdatetime 2016-08-28T12:00:50 --delay 1 --endMP 204:233295 --enddatetime 2016-08-28T12:50:19 --enforcementcount 0 &gt;&gt;C:\Users\stu\Documents\GitHub\eaglep3-reporting\EC\2016-08-28-refined-times.txt</v>
      </c>
      <c r="AI79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{"issue":{"subject":"","project_id":79,"tracker_id":40,"status_id":1,"priority_id":2,"assigned_to_id":23,"start_date":"2016-08-28","description":"","custom_fields":[{"id":1,"name":"Subdivision","value":"EC"},{"id":4,"name":"Milepost","value":"23.284"},{"id":17,"name":"Train ID","value":"167-28"},{"id":16,"name":"Locomotive ID","value":"4002"},{"id":130,"name":"Impact","value":""},{"id":150,"name":"Time of Event (Mountain Time)","value":"12:50:19"},{"id":151,"name":"Denver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x14ac:dyDescent="0.25">
      <c r="A80" s="39" t="s">
        <v>451</v>
      </c>
      <c r="B80" s="7">
        <v>4001</v>
      </c>
      <c r="C80" s="24" t="s">
        <v>113</v>
      </c>
      <c r="D80" s="24" t="s">
        <v>253</v>
      </c>
      <c r="E80" s="15">
        <v>42610.536516203705</v>
      </c>
      <c r="F80" s="15">
        <v>42610.539236111108</v>
      </c>
      <c r="G80" s="7">
        <v>1</v>
      </c>
      <c r="H80" s="15" t="s">
        <v>573</v>
      </c>
      <c r="I80" s="15">
        <v>42610.568935185183</v>
      </c>
      <c r="J80" s="7">
        <v>0</v>
      </c>
      <c r="K80" s="132" t="str">
        <f t="shared" si="34"/>
        <v>4001/4002</v>
      </c>
      <c r="L80" s="24" t="str">
        <f>VLOOKUP(A80,'Trips&amp;Operators'!$C$1:$E$10000,3,FALSE)</f>
        <v>YOUNG</v>
      </c>
      <c r="M80" s="6">
        <f t="shared" si="35"/>
        <v>2.9699074075324461E-2</v>
      </c>
      <c r="N80" s="7">
        <f t="shared" si="36"/>
        <v>42.766666668467224</v>
      </c>
      <c r="O80" s="7"/>
      <c r="P80" s="7"/>
      <c r="Q80" s="25"/>
      <c r="R80" s="25"/>
      <c r="S80" s="37">
        <f t="shared" si="37"/>
        <v>1</v>
      </c>
      <c r="T80" s="52" t="str">
        <f t="shared" si="38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11:52:35-0600',mode:absolute,to:'2016-08-28 14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0" s="54" t="str">
        <f t="shared" si="40"/>
        <v>N</v>
      </c>
      <c r="X80" s="120">
        <f t="shared" si="41"/>
        <v>1</v>
      </c>
      <c r="Y80" s="69">
        <f t="shared" si="42"/>
        <v>23.299099999999999</v>
      </c>
      <c r="Z80" s="69">
        <f t="shared" si="43"/>
        <v>1.83E-2</v>
      </c>
      <c r="AA80" s="69">
        <f t="shared" si="44"/>
        <v>23.280799999999999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45"/>
        <v>0168-28</v>
      </c>
      <c r="AE80" s="99" t="str">
        <f t="shared" si="46"/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AF80" s="96" t="str">
        <f t="shared" si="47"/>
        <v>"C:\Program Files (x86)\AstroGrep\AstroGrep.exe" /spath="%USERPROFILE%\AppData\Local\Temp\OnboardLogs" /stypes="*4001*20160828*" /stext=" 19:.+((SYSTEM_STATE.+slice.+state.+changed )|(ment ac)|(system.+state.+changed )|(\|lc)|(penalty)|(\[timeout)|(PRM\|1\|D)|(kpr)|(kdp))" /e /r /s</v>
      </c>
      <c r="AG80" s="1" t="str">
        <f t="shared" si="48"/>
        <v>EC</v>
      </c>
      <c r="AH80" s="100" t="str">
        <f t="shared" si="49"/>
        <v>"%USERPROFILE%\Documents\GitHub\eaglep3\Utilities\RefineRTDCRunTimes.py" --tripid 168-28 --locoid 4001 --swversion DE.1.0.7.0 --startMP 204:232991 --initTime 2016-08-28T12:52:35 --startdatetime 2016-08-28T12:56:30 --delay 1 --endMP 204:183 --enddatetime 2016-08-28T13:39:16 --enforcementcount 0 &gt;&gt;C:\Users\stu\Documents\GitHub\eaglep3-reporting\EC\2016-08-28-refined-times.txt</v>
      </c>
      <c r="AI80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{"issue":{"subject":"","project_id":79,"tracker_id":40,"status_id":1,"priority_id":2,"assigned_to_id":23,"start_date":"2016-08-28","description":"","custom_fields":[{"id":1,"name":"Subdivision","value":"EC"},{"id":4,"name":"Milepost","value":"23.2808"},{"id":17,"name":"Train ID","value":"168-28"},{"id":16,"name":"Locomotive ID","value":"4001"},{"id":130,"name":"Impact","value":""},{"id":150,"name":"Time of Event (Mountain Time)","value":"13:39:16"},{"id":151,"name":"Denver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23" customFormat="1" x14ac:dyDescent="0.25">
      <c r="A81" s="39" t="s">
        <v>443</v>
      </c>
      <c r="B81" s="7">
        <v>4027</v>
      </c>
      <c r="C81" s="24" t="s">
        <v>113</v>
      </c>
      <c r="D81" s="24" t="s">
        <v>284</v>
      </c>
      <c r="E81" s="15">
        <v>42610.509942129633</v>
      </c>
      <c r="F81" s="15">
        <v>42610.51185185185</v>
      </c>
      <c r="G81" s="7">
        <v>1</v>
      </c>
      <c r="H81" s="15" t="s">
        <v>255</v>
      </c>
      <c r="I81" s="15">
        <v>42610.543773148151</v>
      </c>
      <c r="J81" s="7">
        <v>0</v>
      </c>
      <c r="K81" s="132" t="str">
        <f t="shared" si="34"/>
        <v>4027/4028</v>
      </c>
      <c r="L81" s="24" t="str">
        <f>VLOOKUP(A81,'Trips&amp;Operators'!$C$1:$E$10000,3,FALSE)</f>
        <v>CLARK</v>
      </c>
      <c r="M81" s="6">
        <f t="shared" si="35"/>
        <v>3.1921296300424729E-2</v>
      </c>
      <c r="N81" s="7">
        <f t="shared" si="36"/>
        <v>45.966666672611609</v>
      </c>
      <c r="O81" s="7"/>
      <c r="P81" s="7"/>
      <c r="Q81" s="25"/>
      <c r="R81" s="25"/>
      <c r="S81" s="37">
        <f t="shared" si="37"/>
        <v>1</v>
      </c>
      <c r="T81" s="52" t="str">
        <f t="shared" si="38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11:14:19-0600',mode:absolute,to:'2016-08-28 14:03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81" s="54" t="str">
        <f t="shared" si="40"/>
        <v>N</v>
      </c>
      <c r="X81" s="120">
        <f t="shared" si="41"/>
        <v>1</v>
      </c>
      <c r="Y81" s="69">
        <f t="shared" si="42"/>
        <v>4.7300000000000002E-2</v>
      </c>
      <c r="Z81" s="69">
        <f t="shared" si="43"/>
        <v>23.330100000000002</v>
      </c>
      <c r="AA81" s="69">
        <f t="shared" si="44"/>
        <v>23.282800000000002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45"/>
        <v>0169-28</v>
      </c>
      <c r="AE81" s="99" t="str">
        <f t="shared" si="46"/>
        <v>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 &amp; 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</v>
      </c>
      <c r="AF81" s="96" t="str">
        <f t="shared" si="47"/>
        <v>"C:\Program Files (x86)\AstroGrep\AstroGrep.exe" /spath="%USERPROFILE%\AppData\Local\Temp\OnboardLogs" /stypes="*4027*20160828*" /stext=" 19:.+((SYSTEM_STATE.+slice.+state.+changed )|(ment ac)|(system.+state.+changed )|(\|lc)|(penalty)|(\[timeout)|(PRM\|1\|D)|(kpr)|(kdp))" /e /r /s</v>
      </c>
      <c r="AG81" s="1" t="str">
        <f t="shared" si="48"/>
        <v>EC</v>
      </c>
      <c r="AH81" s="100" t="str">
        <f t="shared" si="49"/>
        <v>"%USERPROFILE%\Documents\GitHub\eaglep3\Utilities\RefineRTDCRunTimes.py" --tripid 169-28 --locoid 4027 --swversion DE.1.0.7.0 --startMP 204:473 --initTime 2016-08-28T12:14:19 --startdatetime 2016-08-28T12:17:04 --delay 1 --endMP 204:233301 --enddatetime 2016-08-28T13:03:02 --enforcementcount 0 &gt;&gt;C:\Users\stu\Documents\GitHub\eaglep3-reporting\EC\2016-08-28-refined-times.txt</v>
      </c>
      <c r="AI81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{"issue":{"subject":"","project_id":79,"tracker_id":40,"status_id":1,"priority_id":2,"assigned_to_id":23,"start_date":"2016-08-28","description":"","custom_fields":[{"id":1,"name":"Subdivision","value":"EC"},{"id":4,"name":"Milepost","value":"23.2828"},{"id":17,"name":"Train ID","value":"169-28"},{"id":16,"name":"Locomotive ID","value":"4027"},{"id":130,"name":"Impact","value":""},{"id":150,"name":"Time of Event (Mountain Time)","value":"13:03:02"},{"id":151,"name":"Denver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23" customFormat="1" x14ac:dyDescent="0.25">
      <c r="A82" s="39" t="s">
        <v>453</v>
      </c>
      <c r="B82" s="7">
        <v>4028</v>
      </c>
      <c r="C82" s="24" t="s">
        <v>113</v>
      </c>
      <c r="D82" s="24" t="s">
        <v>284</v>
      </c>
      <c r="E82" s="15">
        <v>42610.509942129633</v>
      </c>
      <c r="F82" s="15">
        <v>42610.51185185185</v>
      </c>
      <c r="G82" s="7">
        <v>1</v>
      </c>
      <c r="H82" s="15" t="s">
        <v>255</v>
      </c>
      <c r="I82" s="15">
        <v>42610.543773148151</v>
      </c>
      <c r="J82" s="7">
        <v>0</v>
      </c>
      <c r="K82" s="132" t="str">
        <f t="shared" ref="K82" si="51">IF(ISEVEN(B82),(B82-1)&amp;"/"&amp;B82,B82&amp;"/"&amp;(B82+1))</f>
        <v>4027/4028</v>
      </c>
      <c r="L82" s="24" t="str">
        <f>VLOOKUP(A82,'Trips&amp;Operators'!$C$1:$E$10000,3,FALSE)</f>
        <v>CLARK</v>
      </c>
      <c r="M82" s="6">
        <f t="shared" ref="M82" si="52">I82-F82</f>
        <v>3.1921296300424729E-2</v>
      </c>
      <c r="N82" s="7"/>
      <c r="O82" s="7"/>
      <c r="P82" s="7">
        <v>1</v>
      </c>
      <c r="Q82" s="25"/>
      <c r="R82" s="25" t="s">
        <v>665</v>
      </c>
      <c r="S82" s="37">
        <f t="shared" ref="S82" si="53">SUM(U82:U82)/IF(AG82="EC",12,1)</f>
        <v>0</v>
      </c>
      <c r="T82" s="52" t="str">
        <f t="shared" ref="T82" si="54">IF(ISEVEN(LEFT(AD82,4)),"Southbound","NorthBound")</f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106" t="str">
        <f t="shared" ref="V82" si="55"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https://search-rtdc-monitor-bjffxe2xuh6vdkpspy63sjmuny.us-east-1.es.amazonaws.com/_plugin/kibana/#/discover/Steve-Slow-Train-Analysis-(2080s-and-2083s)?_g=(refreshInterval:(display:Off,section:0,value:0),time:(from:'2016-08-28 11:14:19-0600',mode:absolute,to:'2016-08-28 14:03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82" s="54" t="str">
        <f t="shared" ref="W82" si="56">IF(AA82&lt;IF(AG82="EC",23,5.65),"Y","N")</f>
        <v>N</v>
      </c>
      <c r="X82" s="120">
        <f t="shared" ref="X82:X83" si="57">VALUE(LEFT(AD82,4))-VALUE(LEFT(AD81,4))</f>
        <v>1</v>
      </c>
      <c r="Y82" s="69">
        <f t="shared" ref="Y82" si="58">RIGHT(D82,LEN(D82)-4)/10000</f>
        <v>4.7300000000000002E-2</v>
      </c>
      <c r="Z82" s="69">
        <f t="shared" ref="Z82" si="59">RIGHT(H82,LEN(H82)-4)/10000</f>
        <v>23.330100000000002</v>
      </c>
      <c r="AA82" s="69">
        <f t="shared" ref="AA82" si="60">ABS(Z82-Y82)</f>
        <v>23.282800000000002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ref="AD82" si="61">IF(LEN(A82)=6,"0"&amp;A82,A82)</f>
        <v>0170-28</v>
      </c>
      <c r="AE82" s="99" t="str">
        <f t="shared" ref="AE82" si="62">"aws s3 cp "&amp;s3_bucket&amp;"/RTDC"&amp;B82&amp;"/"&amp;TEXT(F82,"YYYY-MM-DD")&amp;"/ "&amp;search_path&amp;"\RTDC"&amp;B82&amp;"\"&amp;TEXT(F82,"YYYY-MM-DD")&amp;" --recursive &amp; """&amp;walkandungz&amp;""" "&amp;search_path&amp;"\RTDC"&amp;B82&amp;"\"&amp;TEXT(F82,"YYYY-MM-DD")
&amp;" &amp; "&amp;"aws s3 cp "&amp;s3_bucket&amp;"/RTDC"&amp;B82&amp;"/"&amp;TEXT(F82+1,"YYYY-MM-DD")&amp;"/ "&amp;search_path&amp;"\RTDC"&amp;B82&amp;"\"&amp;TEXT(F82+1,"YYYY-MM-DD")&amp;" --recursive &amp; """&amp;walkandungz&amp;""" "&amp;search_path&amp;"\RTDC"&amp;B82&amp;"\"&amp;TEXT(F82+1,"YYYY-MM-DD")</f>
        <v>aws s3 cp s3://rtdc.mdm.uploadarchive/RTDC4028/2016-08-28/ "%USERPROFILE%\AppData\Local\Temp\OnboardLogs"\RTDC4028\2016-08-28 --recursive &amp; "%USERPROFILE%\Documents\GitHub\mrs-test-scripts\Headless Mode &amp; Sideloading\WalkAndUnGZ.bat" "%USERPROFILE%\AppData\Local\Temp\OnboardLogs"\RTDC4028\2016-08-28 &amp; 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</v>
      </c>
      <c r="AF82" s="96" t="str">
        <f t="shared" ref="AF82" si="63">astrogrep_path&amp;" /spath="&amp;search_path&amp;" /stypes=""*"&amp;B82&amp;"*"&amp;TEXT(I82-utc_offset/24,"YYYYMMDD")&amp;"*"" /stext="" "&amp;TEXT(I82-utc_offset/24,"HH")&amp;search_regexp&amp;""" /e /r /s"</f>
        <v>"C:\Program Files (x86)\AstroGrep\AstroGrep.exe" /spath="%USERPROFILE%\AppData\Local\Temp\OnboardLogs" /stypes="*4028*20160828*" /stext=" 19:.+((SYSTEM_STATE.+slice.+state.+changed )|(ment ac)|(system.+state.+changed )|(\|lc)|(penalty)|(\[timeout)|(PRM\|1\|D)|(kpr)|(kdp))" /e /r /s</v>
      </c>
      <c r="AG82" s="1" t="str">
        <f t="shared" ref="AG82" si="64">IFERROR(IF(VALUE(LEFT(AD82,2))&lt;=2,"EC",IF(OR(VALUE(LEFT(AD82,2))=8,VALUE(LEFT(AD82,2))=18),"NW","Other")),"Other")</f>
        <v>EC</v>
      </c>
      <c r="AH82" s="100" t="str">
        <f t="shared" ref="AH82" si="65">refinertdcruntimes&amp;" --tripid "&amp;A82&amp;" --locoid "&amp;B82&amp;" --swversion "&amp;C82&amp;" --startMP "&amp;D82&amp;" --initTime "&amp;TEXT(E82,"yyyy-mm-ddTHH:MM:SS")&amp;" --startdatetime "&amp;TEXT(F82,"yyyy-mm-ddTHH:MM:SS")&amp;" --delay "&amp;G82&amp;" --endMP "&amp;H82&amp;" --enddatetime "&amp;TEXT(I82,"yyyy-mm-ddTHH:MM:SS")&amp;" --enforcementcount "&amp;J82&amp;IF(outputrefinedruntimes," &gt;&gt;"&amp;RefinedRTDCRunTimesOutputFile,"")</f>
        <v>"%USERPROFILE%\Documents\GitHub\eaglep3\Utilities\RefineRTDCRunTimes.py" --tripid 170-28 --locoid 4028 --swversion DE.1.0.7.0 --startMP 204:473 --initTime 2016-08-28T12:14:19 --startdatetime 2016-08-28T12:17:04 --delay 1 --endMP 204:233301 --enddatetime 2016-08-28T13:03:02 --enforcementcount 0 &gt;&gt;C:\Users\stu\Documents\GitHub\eaglep3-reporting\EC\2016-08-28-refined-times.txt</v>
      </c>
      <c r="AI82" s="149" t="str">
        <f t="shared" ref="AI82" si="66">"echo {""issue"":{""subject"":"""&amp;R82&amp;""",""project_id"":79,""tracker_id"":40,""status_id"":"&amp;redmine_status&amp;",""priority_id"":"&amp;redmine_priority&amp;",""assigned_to_id"":"&amp;redmine_assignee&amp;",""start_date"":"""&amp;TEXT(I82,"YYYY-mm-dd")&amp;""",""description"":"""&amp;AJ82&amp;""",""custom_fields"":[{""id"":1,""name"":""Subdivision"",""value"":"""&amp;AG82&amp;"""},{""id"":4,""name"":""Milepost"",""value"":"""&amp;AA82&amp;"""},{""id"":17,""name"":""Train ID"",""value"":"""&amp;A82&amp;"""},{""id"":16,""name"":""Locomotive ID"",""value"":"""&amp;B82&amp;"""},{""id"":130,""name"":""Impact"",""value"":"""&amp;AK82&amp;"""},{""id"":150,""name"":""Time of Event (Mountain Time)"",""value"":"""&amp;TEXT(I82,"hh:mm:ss")&amp;"""},{""id"":151,""name"":""Denver Issue ID"",""value"":"""&amp;"""},{""id"":178,""name"":""Operational Impact"",""value"":"""&amp;redmine_op_impact&amp;"""},{""id"":179,""name"":""Denver Segment Assigned"",""value"":"""&amp;AL82&amp;"""}]}}"&amp;" | curl -X POST -H ""Content-Type: application/json"" -H ""X-Redmine-API-Key: "&amp;redm_api_key&amp;""" "&amp;redm_url&amp;" --data @-"</f>
        <v>echo {"issue":{"subject":"Dispatcher error with consists - did not init","project_id":79,"tracker_id":40,"status_id":1,"priority_id":2,"assigned_to_id":23,"start_date":"2016-08-28","description":"","custom_fields":[{"id":1,"name":"Subdivision","value":"EC"},{"id":4,"name":"Milepost","value":"23.2828"},{"id":17,"name":"Train ID","value":"170-28"},{"id":16,"name":"Locomotive ID","value":"4028"},{"id":130,"name":"Impact","value":""},{"id":150,"name":"Time of Event (Mountain Time)","value":"13:03:02"},{"id":151,"name":"Denver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x14ac:dyDescent="0.25">
      <c r="A83" s="39" t="s">
        <v>446</v>
      </c>
      <c r="B83" s="7">
        <v>4040</v>
      </c>
      <c r="C83" s="24" t="s">
        <v>113</v>
      </c>
      <c r="D83" s="24" t="s">
        <v>125</v>
      </c>
      <c r="E83" s="15">
        <v>42610.516319444447</v>
      </c>
      <c r="F83" s="15">
        <v>42610.521018518521</v>
      </c>
      <c r="G83" s="7">
        <v>1</v>
      </c>
      <c r="H83" s="15" t="s">
        <v>193</v>
      </c>
      <c r="I83" s="15">
        <v>42610.54792824074</v>
      </c>
      <c r="J83" s="7">
        <v>0</v>
      </c>
      <c r="K83" s="132" t="str">
        <f t="shared" si="34"/>
        <v>4039/4040</v>
      </c>
      <c r="L83" s="24" t="str">
        <f>VLOOKUP(A83,'Trips&amp;Operators'!$C$1:$E$10000,3,FALSE)</f>
        <v>SHOOK</v>
      </c>
      <c r="M83" s="6">
        <f t="shared" si="35"/>
        <v>2.6909722218988463E-2</v>
      </c>
      <c r="N83" s="7">
        <f t="shared" si="36"/>
        <v>38.749999995343387</v>
      </c>
      <c r="O83" s="7"/>
      <c r="P83" s="7"/>
      <c r="Q83" s="25"/>
      <c r="R83" s="25"/>
      <c r="S83" s="37">
        <f t="shared" si="37"/>
        <v>1</v>
      </c>
      <c r="T83" s="52" t="str">
        <f t="shared" si="38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11:23:30-0600',mode:absolute,to:'2016-08-28 14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83" s="54" t="str">
        <f t="shared" si="40"/>
        <v>N</v>
      </c>
      <c r="X83" s="120">
        <f t="shared" si="57"/>
        <v>1</v>
      </c>
      <c r="Y83" s="69">
        <f t="shared" si="42"/>
        <v>4.5499999999999999E-2</v>
      </c>
      <c r="Z83" s="69">
        <f t="shared" si="43"/>
        <v>23.331199999999999</v>
      </c>
      <c r="AA83" s="69">
        <f t="shared" si="44"/>
        <v>23.285699999999999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45"/>
        <v>0171-28</v>
      </c>
      <c r="AE83" s="99" t="str">
        <f t="shared" si="46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83" s="96" t="str">
        <f t="shared" si="47"/>
        <v>"C:\Program Files (x86)\AstroGrep\AstroGrep.exe" /spath="%USERPROFILE%\AppData\Local\Temp\OnboardLogs" /stypes="*4040*20160828*" /stext=" 19:.+((SYSTEM_STATE.+slice.+state.+changed )|(ment ac)|(system.+state.+changed )|(\|lc)|(penalty)|(\[timeout)|(PRM\|1\|D)|(kpr)|(kdp))" /e /r /s</v>
      </c>
      <c r="AG83" s="1" t="str">
        <f t="shared" si="48"/>
        <v>EC</v>
      </c>
      <c r="AH83" s="100" t="str">
        <f t="shared" si="49"/>
        <v>"%USERPROFILE%\Documents\GitHub\eaglep3\Utilities\RefineRTDCRunTimes.py" --tripid 171-28 --locoid 4040 --swversion DE.1.0.7.0 --startMP 204:455 --initTime 2016-08-28T12:23:30 --startdatetime 2016-08-28T12:30:16 --delay 1 --endMP 204:233312 --enddatetime 2016-08-28T13:09:01 --enforcementcount 0 &gt;&gt;C:\Users\stu\Documents\GitHub\eaglep3-reporting\EC\2016-08-28-refined-times.txt</v>
      </c>
      <c r="AI83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{"issue":{"subject":"","project_id":79,"tracker_id":40,"status_id":1,"priority_id":2,"assigned_to_id":23,"start_date":"2016-08-28","description":"","custom_fields":[{"id":1,"name":"Subdivision","value":"EC"},{"id":4,"name":"Milepost","value":"23.2857"},{"id":17,"name":"Train ID","value":"171-28"},{"id":16,"name":"Locomotive ID","value":"4040"},{"id":130,"name":"Impact","value":""},{"id":150,"name":"Time of Event (Mountain Time)","value":"13:09:01"},{"id":151,"name":"Denver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455</v>
      </c>
      <c r="B84" s="7">
        <v>4039</v>
      </c>
      <c r="C84" s="24" t="s">
        <v>113</v>
      </c>
      <c r="D84" s="24" t="s">
        <v>311</v>
      </c>
      <c r="E84" s="15">
        <v>42610.554212962961</v>
      </c>
      <c r="F84" s="15">
        <v>42610.559884259259</v>
      </c>
      <c r="G84" s="7">
        <v>1</v>
      </c>
      <c r="H84" s="15" t="s">
        <v>308</v>
      </c>
      <c r="I84" s="15">
        <v>42610.586377314816</v>
      </c>
      <c r="J84" s="7">
        <v>0</v>
      </c>
      <c r="K84" s="132" t="str">
        <f t="shared" si="34"/>
        <v>4039/4040</v>
      </c>
      <c r="L84" s="24" t="str">
        <f>VLOOKUP(A84,'Trips&amp;Operators'!$C$1:$E$10000,3,FALSE)</f>
        <v>SHOOK</v>
      </c>
      <c r="M84" s="6">
        <f t="shared" si="35"/>
        <v>2.6493055556784384E-2</v>
      </c>
      <c r="N84" s="7">
        <f t="shared" si="36"/>
        <v>38.150000001769513</v>
      </c>
      <c r="O84" s="7"/>
      <c r="P84" s="7"/>
      <c r="Q84" s="25"/>
      <c r="R84" s="25"/>
      <c r="S84" s="37">
        <f t="shared" si="37"/>
        <v>1</v>
      </c>
      <c r="T84" s="52" t="str">
        <f t="shared" si="38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12:18:04-0600',mode:absolute,to:'2016-08-28 15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84" s="54" t="str">
        <f t="shared" si="40"/>
        <v>N</v>
      </c>
      <c r="X84" s="120">
        <f t="shared" si="41"/>
        <v>1</v>
      </c>
      <c r="Y84" s="69">
        <f t="shared" si="42"/>
        <v>23.305299999999999</v>
      </c>
      <c r="Z84" s="69">
        <f t="shared" si="43"/>
        <v>1.2699999999999999E-2</v>
      </c>
      <c r="AA84" s="69">
        <f t="shared" si="44"/>
        <v>23.2926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45"/>
        <v>0172-28</v>
      </c>
      <c r="AE84" s="99" t="str">
        <f t="shared" si="46"/>
        <v>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 &amp; 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</v>
      </c>
      <c r="AF84" s="96" t="str">
        <f t="shared" si="47"/>
        <v>"C:\Program Files (x86)\AstroGrep\AstroGrep.exe" /spath="%USERPROFILE%\AppData\Local\Temp\OnboardLogs" /stypes="*4039*20160828*" /stext=" 20:.+((SYSTEM_STATE.+slice.+state.+changed )|(ment ac)|(system.+state.+changed )|(\|lc)|(penalty)|(\[timeout)|(PRM\|1\|D)|(kpr)|(kdp))" /e /r /s</v>
      </c>
      <c r="AG84" s="1" t="str">
        <f t="shared" si="48"/>
        <v>EC</v>
      </c>
      <c r="AH84" s="100" t="str">
        <f t="shared" si="49"/>
        <v>"%USERPROFILE%\Documents\GitHub\eaglep3\Utilities\RefineRTDCRunTimes.py" --tripid 172-28 --locoid 4039 --swversion DE.1.0.7.0 --startMP 204:233053 --initTime 2016-08-28T13:18:04 --startdatetime 2016-08-28T13:26:14 --delay 1 --endMP 204:127 --enddatetime 2016-08-28T14:04:23 --enforcementcount 0 &gt;&gt;C:\Users\stu\Documents\GitHub\eaglep3-reporting\EC\2016-08-28-refined-times.txt</v>
      </c>
      <c r="AI84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{"issue":{"subject":"","project_id":79,"tracker_id":40,"status_id":1,"priority_id":2,"assigned_to_id":23,"start_date":"2016-08-28","description":"","custom_fields":[{"id":1,"name":"Subdivision","value":"EC"},{"id":4,"name":"Milepost","value":"23.2926"},{"id":17,"name":"Train ID","value":"172-28"},{"id":16,"name":"Locomotive ID","value":"4039"},{"id":130,"name":"Impact","value":""},{"id":150,"name":"Time of Event (Mountain Time)","value":"14:04:23"},{"id":151,"name":"Denver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23" customFormat="1" x14ac:dyDescent="0.25">
      <c r="A85" s="39" t="s">
        <v>450</v>
      </c>
      <c r="B85" s="7">
        <v>4014</v>
      </c>
      <c r="C85" s="24" t="s">
        <v>113</v>
      </c>
      <c r="D85" s="24" t="s">
        <v>281</v>
      </c>
      <c r="E85" s="15">
        <v>42610.527951388889</v>
      </c>
      <c r="F85" s="15">
        <v>42610.5315162037</v>
      </c>
      <c r="G85" s="7">
        <v>1</v>
      </c>
      <c r="H85" s="15" t="s">
        <v>574</v>
      </c>
      <c r="I85" s="15">
        <v>42610.556585648148</v>
      </c>
      <c r="J85" s="7">
        <v>0</v>
      </c>
      <c r="K85" s="132" t="str">
        <f t="shared" si="34"/>
        <v>4013/4014</v>
      </c>
      <c r="L85" s="24" t="str">
        <f>VLOOKUP(A85,'Trips&amp;Operators'!$C$1:$E$10000,3,FALSE)</f>
        <v>STEWART</v>
      </c>
      <c r="M85" s="6">
        <f t="shared" si="35"/>
        <v>2.5069444447581191E-2</v>
      </c>
      <c r="N85" s="7">
        <f t="shared" si="36"/>
        <v>36.100000004516914</v>
      </c>
      <c r="O85" s="7"/>
      <c r="P85" s="7"/>
      <c r="Q85" s="25"/>
      <c r="R85" s="25"/>
      <c r="S85" s="37">
        <f t="shared" si="37"/>
        <v>1</v>
      </c>
      <c r="T85" s="52" t="str">
        <f t="shared" si="38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11:40:15-0600',mode:absolute,to:'2016-08-28 14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85" s="54" t="str">
        <f t="shared" si="40"/>
        <v>N</v>
      </c>
      <c r="X85" s="120">
        <f t="shared" si="41"/>
        <v>1</v>
      </c>
      <c r="Y85" s="69">
        <f t="shared" si="42"/>
        <v>4.58E-2</v>
      </c>
      <c r="Z85" s="69">
        <f t="shared" si="43"/>
        <v>23.332799999999999</v>
      </c>
      <c r="AA85" s="69">
        <f t="shared" si="44"/>
        <v>23.286999999999999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 t="shared" si="45"/>
        <v>0173-28</v>
      </c>
      <c r="AE85" s="99" t="str">
        <f t="shared" si="46"/>
        <v>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 &amp; 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</v>
      </c>
      <c r="AF85" s="96" t="str">
        <f t="shared" si="47"/>
        <v>"C:\Program Files (x86)\AstroGrep\AstroGrep.exe" /spath="%USERPROFILE%\AppData\Local\Temp\OnboardLogs" /stypes="*4014*20160828*" /stext=" 19:.+((SYSTEM_STATE.+slice.+state.+changed )|(ment ac)|(system.+state.+changed )|(\|lc)|(penalty)|(\[timeout)|(PRM\|1\|D)|(kpr)|(kdp))" /e /r /s</v>
      </c>
      <c r="AG85" s="1" t="str">
        <f t="shared" si="48"/>
        <v>EC</v>
      </c>
      <c r="AH85" s="100" t="str">
        <f t="shared" si="49"/>
        <v>"%USERPROFILE%\Documents\GitHub\eaglep3\Utilities\RefineRTDCRunTimes.py" --tripid 173-28 --locoid 4014 --swversion DE.1.0.7.0 --startMP 204:458 --initTime 2016-08-28T12:40:15 --startdatetime 2016-08-28T12:45:23 --delay 1 --endMP 204:233328 --enddatetime 2016-08-28T13:21:29 --enforcementcount 0 &gt;&gt;C:\Users\stu\Documents\GitHub\eaglep3-reporting\EC\2016-08-28-refined-times.txt</v>
      </c>
      <c r="AI85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{"issue":{"subject":"","project_id":79,"tracker_id":40,"status_id":1,"priority_id":2,"assigned_to_id":23,"start_date":"2016-08-28","description":"","custom_fields":[{"id":1,"name":"Subdivision","value":"EC"},{"id":4,"name":"Milepost","value":"23.287"},{"id":17,"name":"Train ID","value":"173-28"},{"id":16,"name":"Locomotive ID","value":"4014"},{"id":130,"name":"Impact","value":""},{"id":150,"name":"Time of Event (Mountain Time)","value":"13:21:29"},{"id":151,"name":"Denver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366</v>
      </c>
      <c r="B86" s="7">
        <v>4013</v>
      </c>
      <c r="C86" s="24" t="s">
        <v>113</v>
      </c>
      <c r="D86" s="24" t="s">
        <v>575</v>
      </c>
      <c r="E86" s="15">
        <v>42610.566967592589</v>
      </c>
      <c r="F86" s="15">
        <v>42610.570405092592</v>
      </c>
      <c r="G86" s="7">
        <v>1</v>
      </c>
      <c r="H86" s="15" t="s">
        <v>174</v>
      </c>
      <c r="I86" s="15">
        <v>42610.599293981482</v>
      </c>
      <c r="J86" s="7">
        <v>0</v>
      </c>
      <c r="K86" s="132" t="str">
        <f t="shared" si="34"/>
        <v>4013/4014</v>
      </c>
      <c r="L86" s="24" t="str">
        <f>VLOOKUP(A86,'Trips&amp;Operators'!$C$1:$E$10000,3,FALSE)</f>
        <v>STEWART</v>
      </c>
      <c r="M86" s="6">
        <f t="shared" si="35"/>
        <v>2.8888888889923692E-2</v>
      </c>
      <c r="N86" s="7">
        <f t="shared" si="36"/>
        <v>41.600000001490116</v>
      </c>
      <c r="O86" s="7"/>
      <c r="P86" s="7"/>
      <c r="Q86" s="25"/>
      <c r="R86" s="25"/>
      <c r="S86" s="37">
        <f t="shared" si="37"/>
        <v>1</v>
      </c>
      <c r="T86" s="52" t="str">
        <f t="shared" si="38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12:36:26-0600',mode:absolute,to:'2016-08-28 15:22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86" s="54" t="str">
        <f t="shared" si="40"/>
        <v>N</v>
      </c>
      <c r="X86" s="120">
        <f t="shared" si="41"/>
        <v>1</v>
      </c>
      <c r="Y86" s="69">
        <f t="shared" si="42"/>
        <v>23.303599999999999</v>
      </c>
      <c r="Z86" s="69">
        <f t="shared" si="43"/>
        <v>1.41E-2</v>
      </c>
      <c r="AA86" s="69">
        <f t="shared" si="44"/>
        <v>23.2895</v>
      </c>
      <c r="AB86" s="66">
        <f>VLOOKUP(A86,Enforcements!$C$7:$J$21,8,0)</f>
        <v>127587</v>
      </c>
      <c r="AC86" s="62" t="str">
        <f>VLOOKUP(A86,Enforcements!$C$7:$E$21,3,0)</f>
        <v>SIGNAL</v>
      </c>
      <c r="AD86" s="63" t="str">
        <f t="shared" si="45"/>
        <v>0174-28</v>
      </c>
      <c r="AE86" s="99" t="str">
        <f t="shared" si="46"/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AF86" s="96" t="str">
        <f t="shared" si="47"/>
        <v>"C:\Program Files (x86)\AstroGrep\AstroGrep.exe" /spath="%USERPROFILE%\AppData\Local\Temp\OnboardLogs" /stypes="*4013*20160828*" /stext=" 20:.+((SYSTEM_STATE.+slice.+state.+changed )|(ment ac)|(system.+state.+changed )|(\|lc)|(penalty)|(\[timeout)|(PRM\|1\|D)|(kpr)|(kdp))" /e /r /s</v>
      </c>
      <c r="AG86" s="1" t="str">
        <f t="shared" si="48"/>
        <v>EC</v>
      </c>
      <c r="AH86" s="100" t="str">
        <f t="shared" si="49"/>
        <v>"%USERPROFILE%\Documents\GitHub\eaglep3\Utilities\RefineRTDCRunTimes.py" --tripid 174-28 --locoid 4013 --swversion DE.1.0.7.0 --startMP 204:233036 --initTime 2016-08-28T13:36:26 --startdatetime 2016-08-28T13:41:23 --delay 1 --endMP 204:141 --enddatetime 2016-08-28T14:22:59 --enforcementcount 0 &gt;&gt;C:\Users\stu\Documents\GitHub\eaglep3-reporting\EC\2016-08-28-refined-times.txt</v>
      </c>
      <c r="AI86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{"issue":{"subject":"","project_id":79,"tracker_id":40,"status_id":1,"priority_id":2,"assigned_to_id":23,"start_date":"2016-08-28","description":"","custom_fields":[{"id":1,"name":"Subdivision","value":"EC"},{"id":4,"name":"Milepost","value":"23.2895"},{"id":17,"name":"Train ID","value":"174-28"},{"id":16,"name":"Locomotive ID","value":"4013"},{"id":130,"name":"Impact","value":""},{"id":150,"name":"Time of Event (Mountain Time)","value":"14:22:59"},{"id":151,"name":"Denver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x14ac:dyDescent="0.25">
      <c r="A87" s="39" t="s">
        <v>452</v>
      </c>
      <c r="B87" s="7">
        <v>4042</v>
      </c>
      <c r="C87" s="24" t="s">
        <v>113</v>
      </c>
      <c r="D87" s="24" t="s">
        <v>125</v>
      </c>
      <c r="E87" s="15">
        <v>42610.537893518522</v>
      </c>
      <c r="F87" s="15">
        <v>42610.541990740741</v>
      </c>
      <c r="G87" s="7">
        <v>1</v>
      </c>
      <c r="H87" s="15" t="s">
        <v>576</v>
      </c>
      <c r="I87" s="15">
        <v>42610.567291666666</v>
      </c>
      <c r="J87" s="7">
        <v>0</v>
      </c>
      <c r="K87" s="132" t="str">
        <f t="shared" si="34"/>
        <v>4041/4042</v>
      </c>
      <c r="L87" s="24" t="str">
        <f>VLOOKUP(A87,'Trips&amp;Operators'!$C$1:$E$10000,3,FALSE)</f>
        <v>BARTLETT</v>
      </c>
      <c r="M87" s="6">
        <f t="shared" si="35"/>
        <v>2.5300925924966577E-2</v>
      </c>
      <c r="N87" s="7">
        <f t="shared" si="36"/>
        <v>36.433333331951872</v>
      </c>
      <c r="O87" s="7"/>
      <c r="P87" s="7"/>
      <c r="Q87" s="25"/>
      <c r="R87" s="25"/>
      <c r="S87" s="37">
        <f t="shared" si="37"/>
        <v>1</v>
      </c>
      <c r="T87" s="52" t="str">
        <f t="shared" si="38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11:54:34-0600',mode:absolute,to:'2016-08-28 14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87" s="54" t="str">
        <f t="shared" si="40"/>
        <v>N</v>
      </c>
      <c r="X87" s="120">
        <f t="shared" si="41"/>
        <v>1</v>
      </c>
      <c r="Y87" s="69">
        <f t="shared" si="42"/>
        <v>4.5499999999999999E-2</v>
      </c>
      <c r="Z87" s="69">
        <f t="shared" si="43"/>
        <v>23.3264</v>
      </c>
      <c r="AA87" s="69">
        <f t="shared" si="44"/>
        <v>23.280899999999999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45"/>
        <v>0175-28</v>
      </c>
      <c r="AE87" s="99" t="str">
        <f t="shared" si="46"/>
        <v>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 &amp; 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</v>
      </c>
      <c r="AF87" s="96" t="str">
        <f t="shared" si="47"/>
        <v>"C:\Program Files (x86)\AstroGrep\AstroGrep.exe" /spath="%USERPROFILE%\AppData\Local\Temp\OnboardLogs" /stypes="*4042*20160828*" /stext=" 19:.+((SYSTEM_STATE.+slice.+state.+changed )|(ment ac)|(system.+state.+changed )|(\|lc)|(penalty)|(\[timeout)|(PRM\|1\|D)|(kpr)|(kdp))" /e /r /s</v>
      </c>
      <c r="AG87" s="1" t="str">
        <f t="shared" si="48"/>
        <v>EC</v>
      </c>
      <c r="AH87" s="100" t="str">
        <f t="shared" si="49"/>
        <v>"%USERPROFILE%\Documents\GitHub\eaglep3\Utilities\RefineRTDCRunTimes.py" --tripid 175-28 --locoid 4042 --swversion DE.1.0.7.0 --startMP 204:455 --initTime 2016-08-28T12:54:34 --startdatetime 2016-08-28T13:00:28 --delay 1 --endMP 204:233264 --enddatetime 2016-08-28T13:36:54 --enforcementcount 0 &gt;&gt;C:\Users\stu\Documents\GitHub\eaglep3-reporting\EC\2016-08-28-refined-times.txt</v>
      </c>
      <c r="AI87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{"issue":{"subject":"","project_id":79,"tracker_id":40,"status_id":1,"priority_id":2,"assigned_to_id":23,"start_date":"2016-08-28","description":"","custom_fields":[{"id":1,"name":"Subdivision","value":"EC"},{"id":4,"name":"Milepost","value":"23.2809"},{"id":17,"name":"Train ID","value":"175-28"},{"id":16,"name":"Locomotive ID","value":"4042"},{"id":130,"name":"Impact","value":""},{"id":150,"name":"Time of Event (Mountain Time)","value":"13:36:54"},{"id":151,"name":"Denver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457</v>
      </c>
      <c r="B88" s="7">
        <v>4041</v>
      </c>
      <c r="C88" s="24" t="s">
        <v>113</v>
      </c>
      <c r="D88" s="24" t="s">
        <v>577</v>
      </c>
      <c r="E88" s="15">
        <v>42610.568912037037</v>
      </c>
      <c r="F88" s="15">
        <v>42610.580972222226</v>
      </c>
      <c r="G88" s="7">
        <v>1</v>
      </c>
      <c r="H88" s="15" t="s">
        <v>197</v>
      </c>
      <c r="I88" s="15">
        <v>42610.607488425929</v>
      </c>
      <c r="J88" s="7">
        <v>0</v>
      </c>
      <c r="K88" s="132" t="str">
        <f t="shared" si="34"/>
        <v>4041/4042</v>
      </c>
      <c r="L88" s="24" t="str">
        <f>VLOOKUP(A88,'Trips&amp;Operators'!$C$1:$E$10000,3,FALSE)</f>
        <v>BARTLETT</v>
      </c>
      <c r="M88" s="6">
        <f t="shared" si="35"/>
        <v>2.6516203703067731E-2</v>
      </c>
      <c r="N88" s="7">
        <f t="shared" si="36"/>
        <v>38.183333332417533</v>
      </c>
      <c r="O88" s="7"/>
      <c r="P88" s="7"/>
      <c r="Q88" s="25"/>
      <c r="R88" s="25"/>
      <c r="S88" s="37">
        <f t="shared" si="37"/>
        <v>1</v>
      </c>
      <c r="T88" s="52" t="str">
        <f t="shared" si="38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12:39:14-0600',mode:absolute,to:'2016-08-28 15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88" s="54" t="str">
        <f t="shared" si="40"/>
        <v>N</v>
      </c>
      <c r="X88" s="120">
        <f t="shared" si="41"/>
        <v>1</v>
      </c>
      <c r="Y88" s="69">
        <f t="shared" si="42"/>
        <v>23.294699999999999</v>
      </c>
      <c r="Z88" s="69">
        <f t="shared" si="43"/>
        <v>1.38E-2</v>
      </c>
      <c r="AA88" s="69">
        <f t="shared" si="44"/>
        <v>23.280899999999999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45"/>
        <v>0176-28</v>
      </c>
      <c r="AE88" s="99" t="str">
        <f t="shared" si="46"/>
        <v>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 &amp; aws s3 cp s3://rtdc.mdm.uploadarchive/RTDC4041/2016-08-29/ "%USERPROFILE%\AppData\Local\Temp\OnboardLogs"\RTDC4041\2016-08-29 --recursive &amp; "%USERPROFILE%\Documents\GitHub\mrs-test-scripts\Headless Mode &amp; Sideloading\WalkAndUnGZ.bat" "%USERPROFILE%\AppData\Local\Temp\OnboardLogs"\RTDC4041\2016-08-29</v>
      </c>
      <c r="AF88" s="96" t="str">
        <f t="shared" si="47"/>
        <v>"C:\Program Files (x86)\AstroGrep\AstroGrep.exe" /spath="%USERPROFILE%\AppData\Local\Temp\OnboardLogs" /stypes="*4041*20160828*" /stext=" 20:.+((SYSTEM_STATE.+slice.+state.+changed )|(ment ac)|(system.+state.+changed )|(\|lc)|(penalty)|(\[timeout)|(PRM\|1\|D)|(kpr)|(kdp))" /e /r /s</v>
      </c>
      <c r="AG88" s="1" t="str">
        <f t="shared" si="48"/>
        <v>EC</v>
      </c>
      <c r="AH88" s="100" t="str">
        <f t="shared" si="49"/>
        <v>"%USERPROFILE%\Documents\GitHub\eaglep3\Utilities\RefineRTDCRunTimes.py" --tripid 176-28 --locoid 4041 --swversion DE.1.0.7.0 --startMP 204:232947 --initTime 2016-08-28T13:39:14 --startdatetime 2016-08-28T13:56:36 --delay 1 --endMP 204:138 --enddatetime 2016-08-28T14:34:47 --enforcementcount 0 &gt;&gt;C:\Users\stu\Documents\GitHub\eaglep3-reporting\EC\2016-08-28-refined-times.txt</v>
      </c>
      <c r="AI88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{"issue":{"subject":"","project_id":79,"tracker_id":40,"status_id":1,"priority_id":2,"assigned_to_id":23,"start_date":"2016-08-28","description":"","custom_fields":[{"id":1,"name":"Subdivision","value":"EC"},{"id":4,"name":"Milepost","value":"23.2809"},{"id":17,"name":"Train ID","value":"176-28"},{"id":16,"name":"Locomotive ID","value":"4041"},{"id":130,"name":"Impact","value":""},{"id":150,"name":"Time of Event (Mountain Time)","value":"14:34:47"},{"id":151,"name":"Denver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454</v>
      </c>
      <c r="B89" s="7">
        <v>4038</v>
      </c>
      <c r="C89" s="24" t="s">
        <v>113</v>
      </c>
      <c r="D89" s="24" t="s">
        <v>138</v>
      </c>
      <c r="E89" s="15">
        <v>42610.546932870369</v>
      </c>
      <c r="F89" s="15">
        <v>42610.552291666667</v>
      </c>
      <c r="G89" s="7">
        <v>1</v>
      </c>
      <c r="H89" s="15" t="s">
        <v>578</v>
      </c>
      <c r="I89" s="15">
        <v>42610.577048611114</v>
      </c>
      <c r="J89" s="7">
        <v>0</v>
      </c>
      <c r="K89" s="132" t="str">
        <f t="shared" si="34"/>
        <v>4037/4038</v>
      </c>
      <c r="L89" s="24" t="str">
        <f>VLOOKUP(A89,'Trips&amp;Operators'!$C$1:$E$10000,3,FALSE)</f>
        <v>BRUDER</v>
      </c>
      <c r="M89" s="6">
        <f t="shared" si="35"/>
        <v>2.4756944447290152E-2</v>
      </c>
      <c r="N89" s="7">
        <f t="shared" si="36"/>
        <v>35.650000004097819</v>
      </c>
      <c r="O89" s="7"/>
      <c r="P89" s="7"/>
      <c r="Q89" s="25"/>
      <c r="R89" s="25"/>
      <c r="S89" s="37">
        <f t="shared" si="37"/>
        <v>1</v>
      </c>
      <c r="T89" s="52" t="str">
        <f t="shared" si="38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12:07:35-0600',mode:absolute,to:'2016-08-28 14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89" s="54" t="str">
        <f t="shared" si="40"/>
        <v>N</v>
      </c>
      <c r="X89" s="120">
        <f t="shared" si="41"/>
        <v>1</v>
      </c>
      <c r="Y89" s="69">
        <f t="shared" si="42"/>
        <v>4.6899999999999997E-2</v>
      </c>
      <c r="Z89" s="69">
        <f t="shared" si="43"/>
        <v>23.327400000000001</v>
      </c>
      <c r="AA89" s="69">
        <f t="shared" si="44"/>
        <v>23.2805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45"/>
        <v>0177-28</v>
      </c>
      <c r="AE89" s="99" t="str">
        <f t="shared" si="46"/>
        <v>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 &amp; 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</v>
      </c>
      <c r="AF89" s="96" t="str">
        <f t="shared" si="47"/>
        <v>"C:\Program Files (x86)\AstroGrep\AstroGrep.exe" /spath="%USERPROFILE%\AppData\Local\Temp\OnboardLogs" /stypes="*4038*20160828*" /stext=" 19:.+((SYSTEM_STATE.+slice.+state.+changed )|(ment ac)|(system.+state.+changed )|(\|lc)|(penalty)|(\[timeout)|(PRM\|1\|D)|(kpr)|(kdp))" /e /r /s</v>
      </c>
      <c r="AG89" s="1" t="str">
        <f t="shared" si="48"/>
        <v>EC</v>
      </c>
      <c r="AH89" s="100" t="str">
        <f t="shared" si="49"/>
        <v>"%USERPROFILE%\Documents\GitHub\eaglep3\Utilities\RefineRTDCRunTimes.py" --tripid 177-28 --locoid 4038 --swversion DE.1.0.7.0 --startMP 204:469 --initTime 2016-08-28T13:07:35 --startdatetime 2016-08-28T13:15:18 --delay 1 --endMP 204:233274 --enddatetime 2016-08-28T13:50:57 --enforcementcount 0 &gt;&gt;C:\Users\stu\Documents\GitHub\eaglep3-reporting\EC\2016-08-28-refined-times.txt</v>
      </c>
      <c r="AI89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{"issue":{"subject":"","project_id":79,"tracker_id":40,"status_id":1,"priority_id":2,"assigned_to_id":23,"start_date":"2016-08-28","description":"","custom_fields":[{"id":1,"name":"Subdivision","value":"EC"},{"id":4,"name":"Milepost","value":"23.2805"},{"id":17,"name":"Train ID","value":"177-28"},{"id":16,"name":"Locomotive ID","value":"4038"},{"id":130,"name":"Impact","value":""},{"id":150,"name":"Time of Event (Mountain Time)","value":"13:50:57"},{"id":151,"name":"Denver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460</v>
      </c>
      <c r="B90" s="7">
        <v>4037</v>
      </c>
      <c r="C90" s="24" t="s">
        <v>113</v>
      </c>
      <c r="D90" s="24" t="s">
        <v>579</v>
      </c>
      <c r="E90" s="15">
        <v>42610.585659722223</v>
      </c>
      <c r="F90" s="15">
        <v>42610.591180555559</v>
      </c>
      <c r="G90" s="7">
        <v>1</v>
      </c>
      <c r="H90" s="15" t="s">
        <v>136</v>
      </c>
      <c r="I90" s="15">
        <v>42610.617326388892</v>
      </c>
      <c r="J90" s="7">
        <v>0</v>
      </c>
      <c r="K90" s="132" t="str">
        <f t="shared" si="34"/>
        <v>4037/4038</v>
      </c>
      <c r="L90" s="24" t="str">
        <f>VLOOKUP(A90,'Trips&amp;Operators'!$C$1:$E$10000,3,FALSE)</f>
        <v>BRUDER</v>
      </c>
      <c r="M90" s="6">
        <f t="shared" si="35"/>
        <v>2.6145833333430346E-2</v>
      </c>
      <c r="N90" s="7">
        <f t="shared" si="36"/>
        <v>37.650000000139698</v>
      </c>
      <c r="O90" s="7"/>
      <c r="P90" s="7"/>
      <c r="Q90" s="25"/>
      <c r="R90" s="25"/>
      <c r="S90" s="37">
        <f t="shared" si="37"/>
        <v>1</v>
      </c>
      <c r="T90" s="52" t="str">
        <f t="shared" si="38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13:03:21-0600',mode:absolute,to:'2016-08-28 15:48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0" s="54" t="str">
        <f t="shared" si="40"/>
        <v>N</v>
      </c>
      <c r="X90" s="120">
        <f t="shared" si="41"/>
        <v>1</v>
      </c>
      <c r="Y90" s="69">
        <f t="shared" si="42"/>
        <v>23.296900000000001</v>
      </c>
      <c r="Z90" s="69">
        <f t="shared" si="43"/>
        <v>1.49E-2</v>
      </c>
      <c r="AA90" s="69">
        <f t="shared" si="44"/>
        <v>23.282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 t="shared" si="45"/>
        <v>0178-28</v>
      </c>
      <c r="AE90" s="99" t="str">
        <f t="shared" si="46"/>
        <v>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 &amp; 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</v>
      </c>
      <c r="AF90" s="96" t="str">
        <f t="shared" si="47"/>
        <v>"C:\Program Files (x86)\AstroGrep\AstroGrep.exe" /spath="%USERPROFILE%\AppData\Local\Temp\OnboardLogs" /stypes="*4037*20160828*" /stext=" 20:.+((SYSTEM_STATE.+slice.+state.+changed )|(ment ac)|(system.+state.+changed )|(\|lc)|(penalty)|(\[timeout)|(PRM\|1\|D)|(kpr)|(kdp))" /e /r /s</v>
      </c>
      <c r="AG90" s="1" t="str">
        <f t="shared" si="48"/>
        <v>EC</v>
      </c>
      <c r="AH90" s="100" t="str">
        <f t="shared" si="49"/>
        <v>"%USERPROFILE%\Documents\GitHub\eaglep3\Utilities\RefineRTDCRunTimes.py" --tripid 178-28 --locoid 4037 --swversion DE.1.0.7.0 --startMP 204:232969 --initTime 2016-08-28T14:03:21 --startdatetime 2016-08-28T14:11:18 --delay 1 --endMP 204:149 --enddatetime 2016-08-28T14:48:57 --enforcementcount 0 &gt;&gt;C:\Users\stu\Documents\GitHub\eaglep3-reporting\EC\2016-08-28-refined-times.txt</v>
      </c>
      <c r="AI90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{"issue":{"subject":"","project_id":79,"tracker_id":40,"status_id":1,"priority_id":2,"assigned_to_id":23,"start_date":"2016-08-28","description":"","custom_fields":[{"id":1,"name":"Subdivision","value":"EC"},{"id":4,"name":"Milepost","value":"23.282"},{"id":17,"name":"Train ID","value":"178-28"},{"id":16,"name":"Locomotive ID","value":"4037"},{"id":130,"name":"Impact","value":""},{"id":150,"name":"Time of Event (Mountain Time)","value":"14:48:57"},{"id":151,"name":"Denver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367</v>
      </c>
      <c r="B91" s="7">
        <v>4007</v>
      </c>
      <c r="C91" s="24" t="s">
        <v>113</v>
      </c>
      <c r="D91" s="24" t="s">
        <v>252</v>
      </c>
      <c r="E91" s="15">
        <v>42610.559421296297</v>
      </c>
      <c r="F91" s="15">
        <v>42610.562881944446</v>
      </c>
      <c r="G91" s="7">
        <v>1</v>
      </c>
      <c r="H91" s="15" t="s">
        <v>283</v>
      </c>
      <c r="I91" s="15">
        <v>42610.594722222224</v>
      </c>
      <c r="J91" s="7">
        <v>0</v>
      </c>
      <c r="K91" s="132" t="str">
        <f t="shared" si="34"/>
        <v>4007/4008</v>
      </c>
      <c r="L91" s="24" t="str">
        <f>VLOOKUP(A91,'Trips&amp;Operators'!$C$1:$E$10000,3,FALSE)</f>
        <v>MOSES</v>
      </c>
      <c r="M91" s="6">
        <f t="shared" si="35"/>
        <v>3.1840277777519077E-2</v>
      </c>
      <c r="N91" s="7">
        <f t="shared" si="36"/>
        <v>45.849999999627471</v>
      </c>
      <c r="O91" s="7"/>
      <c r="P91" s="7"/>
      <c r="Q91" s="25"/>
      <c r="R91" s="25"/>
      <c r="S91" s="37">
        <f t="shared" si="37"/>
        <v>1</v>
      </c>
      <c r="T91" s="52" t="str">
        <f t="shared" si="38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12:25:34-0600',mode:absolute,to:'2016-08-28 15:16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91" s="54" t="str">
        <f t="shared" si="40"/>
        <v>N</v>
      </c>
      <c r="X91" s="120">
        <f t="shared" si="41"/>
        <v>1</v>
      </c>
      <c r="Y91" s="69">
        <f t="shared" si="42"/>
        <v>4.3799999999999999E-2</v>
      </c>
      <c r="Z91" s="69">
        <f t="shared" si="43"/>
        <v>23.331900000000001</v>
      </c>
      <c r="AA91" s="69">
        <f t="shared" si="44"/>
        <v>23.2881</v>
      </c>
      <c r="AB91" s="66">
        <f>VLOOKUP(A91,Enforcements!$C$7:$J$21,8,0)</f>
        <v>190834</v>
      </c>
      <c r="AC91" s="62" t="str">
        <f>VLOOKUP(A91,Enforcements!$C$7:$E$21,3,0)</f>
        <v>PERMANENT SPEED RESTRICTION</v>
      </c>
      <c r="AD91" s="63" t="str">
        <f t="shared" si="45"/>
        <v>0179-28</v>
      </c>
      <c r="AE91" s="99" t="str">
        <f t="shared" si="46"/>
        <v>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 &amp; 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</v>
      </c>
      <c r="AF91" s="96" t="str">
        <f t="shared" si="47"/>
        <v>"C:\Program Files (x86)\AstroGrep\AstroGrep.exe" /spath="%USERPROFILE%\AppData\Local\Temp\OnboardLogs" /stypes="*4007*20160828*" /stext=" 20:.+((SYSTEM_STATE.+slice.+state.+changed )|(ment ac)|(system.+state.+changed )|(\|lc)|(penalty)|(\[timeout)|(PRM\|1\|D)|(kpr)|(kdp))" /e /r /s</v>
      </c>
      <c r="AG91" s="1" t="str">
        <f t="shared" si="48"/>
        <v>EC</v>
      </c>
      <c r="AH91" s="100" t="str">
        <f t="shared" si="49"/>
        <v>"%USERPROFILE%\Documents\GitHub\eaglep3\Utilities\RefineRTDCRunTimes.py" --tripid 179-28 --locoid 4007 --swversion DE.1.0.7.0 --startMP 204:438 --initTime 2016-08-28T13:25:34 --startdatetime 2016-08-28T13:30:33 --delay 1 --endMP 204:233319 --enddatetime 2016-08-28T14:16:24 --enforcementcount 0 &gt;&gt;C:\Users\stu\Documents\GitHub\eaglep3-reporting\EC\2016-08-28-refined-times.txt</v>
      </c>
      <c r="AI91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{"issue":{"subject":"","project_id":79,"tracker_id":40,"status_id":1,"priority_id":2,"assigned_to_id":23,"start_date":"2016-08-28","description":"","custom_fields":[{"id":1,"name":"Subdivision","value":"EC"},{"id":4,"name":"Milepost","value":"23.2881"},{"id":17,"name":"Train ID","value":"179-28"},{"id":16,"name":"Locomotive ID","value":"4007"},{"id":130,"name":"Impact","value":""},{"id":150,"name":"Time of Event (Mountain Time)","value":"14:16:24"},{"id":151,"name":"Denver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463</v>
      </c>
      <c r="B92" s="7">
        <v>4008</v>
      </c>
      <c r="C92" s="24" t="s">
        <v>113</v>
      </c>
      <c r="D92" s="24" t="s">
        <v>324</v>
      </c>
      <c r="E92" s="15">
        <v>42610.598749999997</v>
      </c>
      <c r="F92" s="15">
        <v>42610.601655092592</v>
      </c>
      <c r="G92" s="7">
        <v>1</v>
      </c>
      <c r="H92" s="15" t="s">
        <v>197</v>
      </c>
      <c r="I92" s="15">
        <v>42610.631851851853</v>
      </c>
      <c r="J92" s="7">
        <v>0</v>
      </c>
      <c r="K92" s="132" t="str">
        <f t="shared" si="34"/>
        <v>4007/4008</v>
      </c>
      <c r="L92" s="24" t="str">
        <f>VLOOKUP(A92,'Trips&amp;Operators'!$C$1:$E$10000,3,FALSE)</f>
        <v>MOSES</v>
      </c>
      <c r="M92" s="6">
        <f t="shared" si="35"/>
        <v>3.0196759260434192E-2</v>
      </c>
      <c r="N92" s="7">
        <f t="shared" si="36"/>
        <v>43.483333335025236</v>
      </c>
      <c r="O92" s="7"/>
      <c r="P92" s="7"/>
      <c r="Q92" s="25"/>
      <c r="R92" s="25"/>
      <c r="S92" s="37">
        <f t="shared" si="37"/>
        <v>1</v>
      </c>
      <c r="T92" s="52" t="str">
        <f t="shared" si="38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13:22:12-0600',mode:absolute,to:'2016-08-28 16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92" s="54" t="str">
        <f t="shared" si="40"/>
        <v>N</v>
      </c>
      <c r="X92" s="120">
        <f t="shared" si="41"/>
        <v>1</v>
      </c>
      <c r="Y92" s="69">
        <f t="shared" si="42"/>
        <v>23.303000000000001</v>
      </c>
      <c r="Z92" s="69">
        <f t="shared" si="43"/>
        <v>1.38E-2</v>
      </c>
      <c r="AA92" s="69">
        <f t="shared" si="44"/>
        <v>23.289200000000001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45"/>
        <v>0180-28</v>
      </c>
      <c r="AE92" s="99" t="str">
        <f t="shared" si="46"/>
        <v>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 &amp; 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</v>
      </c>
      <c r="AF92" s="96" t="str">
        <f t="shared" si="47"/>
        <v>"C:\Program Files (x86)\AstroGrep\AstroGrep.exe" /spath="%USERPROFILE%\AppData\Local\Temp\OnboardLogs" /stypes="*4008*20160828*" /stext=" 21:.+((SYSTEM_STATE.+slice.+state.+changed )|(ment ac)|(system.+state.+changed )|(\|lc)|(penalty)|(\[timeout)|(PRM\|1\|D)|(kpr)|(kdp))" /e /r /s</v>
      </c>
      <c r="AG92" s="1" t="str">
        <f t="shared" si="48"/>
        <v>EC</v>
      </c>
      <c r="AH92" s="100" t="str">
        <f t="shared" si="49"/>
        <v>"%USERPROFILE%\Documents\GitHub\eaglep3\Utilities\RefineRTDCRunTimes.py" --tripid 180-28 --locoid 4008 --swversion DE.1.0.7.0 --startMP 204:233030 --initTime 2016-08-28T14:22:12 --startdatetime 2016-08-28T14:26:23 --delay 1 --endMP 204:138 --enddatetime 2016-08-28T15:09:52 --enforcementcount 0 &gt;&gt;C:\Users\stu\Documents\GitHub\eaglep3-reporting\EC\2016-08-28-refined-times.txt</v>
      </c>
      <c r="AI92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{"issue":{"subject":"","project_id":79,"tracker_id":40,"status_id":1,"priority_id":2,"assigned_to_id":23,"start_date":"2016-08-28","description":"","custom_fields":[{"id":1,"name":"Subdivision","value":"EC"},{"id":4,"name":"Milepost","value":"23.2892"},{"id":17,"name":"Train ID","value":"180-28"},{"id":16,"name":"Locomotive ID","value":"4008"},{"id":130,"name":"Impact","value":""},{"id":150,"name":"Time of Event (Mountain Time)","value":"15:09:52"},{"id":151,"name":"Denver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458</v>
      </c>
      <c r="B93" s="7">
        <v>4002</v>
      </c>
      <c r="C93" s="24" t="s">
        <v>113</v>
      </c>
      <c r="D93" s="24" t="s">
        <v>305</v>
      </c>
      <c r="E93" s="15">
        <v>42610.570810185185</v>
      </c>
      <c r="F93" s="15">
        <v>42610.573206018518</v>
      </c>
      <c r="G93" s="7">
        <v>1</v>
      </c>
      <c r="H93" s="15" t="s">
        <v>254</v>
      </c>
      <c r="I93" s="15">
        <v>42610.604930555557</v>
      </c>
      <c r="J93" s="7">
        <v>0</v>
      </c>
      <c r="K93" s="132" t="str">
        <f t="shared" si="34"/>
        <v>4001/4002</v>
      </c>
      <c r="L93" s="24" t="str">
        <f>VLOOKUP(A93,'Trips&amp;Operators'!$C$1:$E$10000,3,FALSE)</f>
        <v>YOUNG</v>
      </c>
      <c r="M93" s="6">
        <f t="shared" si="35"/>
        <v>3.1724537038826384E-2</v>
      </c>
      <c r="N93" s="7">
        <f t="shared" si="36"/>
        <v>45.683333335909992</v>
      </c>
      <c r="O93" s="7"/>
      <c r="P93" s="7"/>
      <c r="Q93" s="25"/>
      <c r="R93" s="25"/>
      <c r="S93" s="37">
        <f t="shared" si="37"/>
        <v>1</v>
      </c>
      <c r="T93" s="52" t="str">
        <f t="shared" si="38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12:41:58-0600',mode:absolute,to:'2016-08-28 15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93" s="54" t="str">
        <f t="shared" si="40"/>
        <v>N</v>
      </c>
      <c r="X93" s="120">
        <f t="shared" si="41"/>
        <v>1</v>
      </c>
      <c r="Y93" s="69">
        <f t="shared" si="42"/>
        <v>0.05</v>
      </c>
      <c r="Z93" s="69">
        <f t="shared" si="43"/>
        <v>23.328199999999999</v>
      </c>
      <c r="AA93" s="69">
        <f t="shared" si="44"/>
        <v>23.278199999999998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45"/>
        <v>0181-28</v>
      </c>
      <c r="AE93" s="99" t="str">
        <f t="shared" si="46"/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93" s="96" t="str">
        <f t="shared" si="47"/>
        <v>"C:\Program Files (x86)\AstroGrep\AstroGrep.exe" /spath="%USERPROFILE%\AppData\Local\Temp\OnboardLogs" /stypes="*4002*20160828*" /stext=" 20:.+((SYSTEM_STATE.+slice.+state.+changed )|(ment ac)|(system.+state.+changed )|(\|lc)|(penalty)|(\[timeout)|(PRM\|1\|D)|(kpr)|(kdp))" /e /r /s</v>
      </c>
      <c r="AG93" s="1" t="str">
        <f t="shared" si="48"/>
        <v>EC</v>
      </c>
      <c r="AH93" s="100" t="str">
        <f t="shared" si="49"/>
        <v>"%USERPROFILE%\Documents\GitHub\eaglep3\Utilities\RefineRTDCRunTimes.py" --tripid 181-28 --locoid 4002 --swversion DE.1.0.7.0 --startMP 204:500 --initTime 2016-08-28T13:41:58 --startdatetime 2016-08-28T13:45:25 --delay 1 --endMP 204:233282 --enddatetime 2016-08-28T14:31:06 --enforcementcount 0 &gt;&gt;C:\Users\stu\Documents\GitHub\eaglep3-reporting\EC\2016-08-28-refined-times.txt</v>
      </c>
      <c r="AI93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{"issue":{"subject":"","project_id":79,"tracker_id":40,"status_id":1,"priority_id":2,"assigned_to_id":23,"start_date":"2016-08-28","description":"","custom_fields":[{"id":1,"name":"Subdivision","value":"EC"},{"id":4,"name":"Milepost","value":"23.2782"},{"id":17,"name":"Train ID","value":"181-28"},{"id":16,"name":"Locomotive ID","value":"4002"},{"id":130,"name":"Impact","value":""},{"id":150,"name":"Time of Event (Mountain Time)","value":"14:31:06"},{"id":151,"name":"Denver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467</v>
      </c>
      <c r="B94" s="7">
        <v>4001</v>
      </c>
      <c r="C94" s="24" t="s">
        <v>113</v>
      </c>
      <c r="D94" s="24" t="s">
        <v>188</v>
      </c>
      <c r="E94" s="15">
        <v>42610.610219907408</v>
      </c>
      <c r="F94" s="15">
        <v>42610.612187500003</v>
      </c>
      <c r="G94" s="7">
        <v>1</v>
      </c>
      <c r="H94" s="15" t="s">
        <v>131</v>
      </c>
      <c r="I94" s="15">
        <v>42610.644571759258</v>
      </c>
      <c r="J94" s="7">
        <v>0</v>
      </c>
      <c r="K94" s="132" t="str">
        <f t="shared" si="34"/>
        <v>4001/4002</v>
      </c>
      <c r="L94" s="24" t="str">
        <f>VLOOKUP(A94,'Trips&amp;Operators'!$C$1:$E$10000,3,FALSE)</f>
        <v>YOUNG</v>
      </c>
      <c r="M94" s="6">
        <f t="shared" si="35"/>
        <v>3.2384259255195502E-2</v>
      </c>
      <c r="N94" s="7">
        <f t="shared" si="36"/>
        <v>46.633333327481523</v>
      </c>
      <c r="O94" s="7"/>
      <c r="P94" s="7"/>
      <c r="Q94" s="25"/>
      <c r="R94" s="25"/>
      <c r="S94" s="37">
        <f t="shared" si="37"/>
        <v>1</v>
      </c>
      <c r="T94" s="52" t="str">
        <f t="shared" si="38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13:38:43-0600',mode:absolute,to:'2016-08-28 16:28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94" s="54" t="str">
        <f t="shared" si="40"/>
        <v>N</v>
      </c>
      <c r="X94" s="120">
        <f t="shared" si="41"/>
        <v>1</v>
      </c>
      <c r="Y94" s="69">
        <f t="shared" si="42"/>
        <v>23.299199999999999</v>
      </c>
      <c r="Z94" s="69">
        <f t="shared" si="43"/>
        <v>1.5800000000000002E-2</v>
      </c>
      <c r="AA94" s="69">
        <f t="shared" si="44"/>
        <v>23.2834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45"/>
        <v>0182-28</v>
      </c>
      <c r="AE94" s="99" t="str">
        <f t="shared" si="46"/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AF94" s="96" t="str">
        <f t="shared" si="47"/>
        <v>"C:\Program Files (x86)\AstroGrep\AstroGrep.exe" /spath="%USERPROFILE%\AppData\Local\Temp\OnboardLogs" /stypes="*4001*20160828*" /stext=" 21:.+((SYSTEM_STATE.+slice.+state.+changed )|(ment ac)|(system.+state.+changed )|(\|lc)|(penalty)|(\[timeout)|(PRM\|1\|D)|(kpr)|(kdp))" /e /r /s</v>
      </c>
      <c r="AG94" s="1" t="str">
        <f t="shared" si="48"/>
        <v>EC</v>
      </c>
      <c r="AH94" s="100" t="str">
        <f t="shared" si="49"/>
        <v>"%USERPROFILE%\Documents\GitHub\eaglep3\Utilities\RefineRTDCRunTimes.py" --tripid 182-28 --locoid 4001 --swversion DE.1.0.7.0 --startMP 204:232992 --initTime 2016-08-28T14:38:43 --startdatetime 2016-08-28T14:41:33 --delay 1 --endMP 204:158 --enddatetime 2016-08-28T15:28:11 --enforcementcount 0 &gt;&gt;C:\Users\stu\Documents\GitHub\eaglep3-reporting\EC\2016-08-28-refined-times.txt</v>
      </c>
      <c r="AI94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{"issue":{"subject":"","project_id":79,"tracker_id":40,"status_id":1,"priority_id":2,"assigned_to_id":23,"start_date":"2016-08-28","description":"","custom_fields":[{"id":1,"name":"Subdivision","value":"EC"},{"id":4,"name":"Milepost","value":"23.2834"},{"id":17,"name":"Train ID","value":"182-28"},{"id":16,"name":"Locomotive ID","value":"4001"},{"id":130,"name":"Impact","value":""},{"id":150,"name":"Time of Event (Mountain Time)","value":"15:28:11"},{"id":151,"name":"Denver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459</v>
      </c>
      <c r="B95" s="7">
        <v>4027</v>
      </c>
      <c r="C95" s="24" t="s">
        <v>113</v>
      </c>
      <c r="D95" s="24" t="s">
        <v>188</v>
      </c>
      <c r="E95" s="15">
        <v>42610.610219907408</v>
      </c>
      <c r="F95" s="15">
        <v>42610.612187500003</v>
      </c>
      <c r="G95" s="7">
        <v>1</v>
      </c>
      <c r="H95" s="15" t="s">
        <v>131</v>
      </c>
      <c r="I95" s="15">
        <v>42610.644571759258</v>
      </c>
      <c r="J95" s="7">
        <v>0</v>
      </c>
      <c r="K95" s="132" t="str">
        <f t="shared" ref="K95:K96" si="67">IF(ISEVEN(B95),(B95-1)&amp;"/"&amp;B95,B95&amp;"/"&amp;(B95+1))</f>
        <v>4027/4028</v>
      </c>
      <c r="L95" s="24" t="str">
        <f>VLOOKUP(A95,'Trips&amp;Operators'!$C$1:$E$10000,3,FALSE)</f>
        <v>CLARK</v>
      </c>
      <c r="M95" s="6">
        <f t="shared" ref="M95:M96" si="68">I95-F95</f>
        <v>3.2384259255195502E-2</v>
      </c>
      <c r="N95" s="7"/>
      <c r="O95" s="7"/>
      <c r="P95" s="7">
        <v>1</v>
      </c>
      <c r="Q95" s="25"/>
      <c r="R95" s="25" t="s">
        <v>665</v>
      </c>
      <c r="S95" s="37">
        <f t="shared" ref="S95:S96" si="69">SUM(U95:U95)/IF(AG95="EC",12,1)</f>
        <v>0</v>
      </c>
      <c r="T95" s="52" t="str">
        <f t="shared" ref="T95:T96" si="70">IF(ISEVEN(LEFT(AD95,4)),"Southbound","NorthBound")</f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0</v>
      </c>
      <c r="V95" s="106" t="str">
        <f t="shared" ref="V95:V96" si="71"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https://search-rtdc-monitor-bjffxe2xuh6vdkpspy63sjmuny.us-east-1.es.amazonaws.com/_plugin/kibana/#/discover/Steve-Slow-Train-Analysis-(2080s-and-2083s)?_g=(refreshInterval:(display:Off,section:0,value:0),time:(from:'2016-08-28 13:38:43-0600',mode:absolute,to:'2016-08-28 16:28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5" s="54" t="str">
        <f t="shared" ref="W95:W96" si="72">IF(AA95&lt;IF(AG95="EC",23,5.65),"Y","N")</f>
        <v>N</v>
      </c>
      <c r="X95" s="120">
        <f t="shared" ref="X95:X98" si="73">VALUE(LEFT(AD95,4))-VALUE(LEFT(AD94,4))</f>
        <v>1</v>
      </c>
      <c r="Y95" s="69">
        <f t="shared" ref="Y95:Y96" si="74">RIGHT(D95,LEN(D95)-4)/10000</f>
        <v>23.299199999999999</v>
      </c>
      <c r="Z95" s="69">
        <f t="shared" ref="Z95:Z96" si="75">RIGHT(H95,LEN(H95)-4)/10000</f>
        <v>1.5800000000000002E-2</v>
      </c>
      <c r="AA95" s="69">
        <f t="shared" ref="AA95:AA96" si="76">ABS(Z95-Y95)</f>
        <v>23.2834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ref="AD95:AD96" si="77">IF(LEN(A95)=6,"0"&amp;A95,A95)</f>
        <v>0183-28</v>
      </c>
      <c r="AE95" s="99" t="str">
        <f t="shared" ref="AE95:AE96" si="78">"aws s3 cp "&amp;s3_bucket&amp;"/RTDC"&amp;B95&amp;"/"&amp;TEXT(F95,"YYYY-MM-DD")&amp;"/ "&amp;search_path&amp;"\RTDC"&amp;B95&amp;"\"&amp;TEXT(F95,"YYYY-MM-DD")&amp;" --recursive &amp; """&amp;walkandungz&amp;""" "&amp;search_path&amp;"\RTDC"&amp;B95&amp;"\"&amp;TEXT(F95,"YYYY-MM-DD")
&amp;" &amp; "&amp;"aws s3 cp "&amp;s3_bucket&amp;"/RTDC"&amp;B95&amp;"/"&amp;TEXT(F95+1,"YYYY-MM-DD")&amp;"/ "&amp;search_path&amp;"\RTDC"&amp;B95&amp;"\"&amp;TEXT(F95+1,"YYYY-MM-DD")&amp;" --recursive &amp; """&amp;walkandungz&amp;""" "&amp;search_path&amp;"\RTDC"&amp;B95&amp;"\"&amp;TEXT(F95+1,"YYYY-MM-DD")</f>
        <v>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 &amp; 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</v>
      </c>
      <c r="AF95" s="96" t="str">
        <f t="shared" ref="AF95:AF96" si="79">astrogrep_path&amp;" /spath="&amp;search_path&amp;" /stypes=""*"&amp;B95&amp;"*"&amp;TEXT(I95-utc_offset/24,"YYYYMMDD")&amp;"*"" /stext="" "&amp;TEXT(I95-utc_offset/24,"HH")&amp;search_regexp&amp;""" /e /r /s"</f>
        <v>"C:\Program Files (x86)\AstroGrep\AstroGrep.exe" /spath="%USERPROFILE%\AppData\Local\Temp\OnboardLogs" /stypes="*4027*20160828*" /stext=" 21:.+((SYSTEM_STATE.+slice.+state.+changed )|(ment ac)|(system.+state.+changed )|(\|lc)|(penalty)|(\[timeout)|(PRM\|1\|D)|(kpr)|(kdp))" /e /r /s</v>
      </c>
      <c r="AG95" s="1" t="str">
        <f t="shared" ref="AG95:AG96" si="80">IFERROR(IF(VALUE(LEFT(AD95,2))&lt;=2,"EC",IF(OR(VALUE(LEFT(AD95,2))=8,VALUE(LEFT(AD95,2))=18),"NW","Other")),"Other")</f>
        <v>EC</v>
      </c>
      <c r="AH95" s="100" t="str">
        <f t="shared" ref="AH95:AH96" si="81">refinertdcruntimes&amp;" --tripid "&amp;A95&amp;" --locoid "&amp;B95&amp;" --swversion "&amp;C95&amp;" --startMP "&amp;D95&amp;" --initTime "&amp;TEXT(E95,"yyyy-mm-ddTHH:MM:SS")&amp;" --startdatetime "&amp;TEXT(F95,"yyyy-mm-ddTHH:MM:SS")&amp;" --delay "&amp;G95&amp;" --endMP "&amp;H95&amp;" --enddatetime "&amp;TEXT(I95,"yyyy-mm-ddTHH:MM:SS")&amp;" --enforcementcount "&amp;J95&amp;IF(outputrefinedruntimes," &gt;&gt;"&amp;RefinedRTDCRunTimesOutputFile,"")</f>
        <v>"%USERPROFILE%\Documents\GitHub\eaglep3\Utilities\RefineRTDCRunTimes.py" --tripid 183-28 --locoid 4027 --swversion DE.1.0.7.0 --startMP 204:232992 --initTime 2016-08-28T14:38:43 --startdatetime 2016-08-28T14:41:33 --delay 1 --endMP 204:158 --enddatetime 2016-08-28T15:28:11 --enforcementcount 0 &gt;&gt;C:\Users\stu\Documents\GitHub\eaglep3-reporting\EC\2016-08-28-refined-times.txt</v>
      </c>
      <c r="AI95" s="149" t="str">
        <f t="shared" ref="AI95:AI96" si="82">"echo {""issue"":{""subject"":"""&amp;R95&amp;""",""project_id"":79,""tracker_id"":40,""status_id"":"&amp;redmine_status&amp;",""priority_id"":"&amp;redmine_priority&amp;",""assigned_to_id"":"&amp;redmine_assignee&amp;",""start_date"":"""&amp;TEXT(I95,"YYYY-mm-dd")&amp;""",""description"":"""&amp;AJ95&amp;""",""custom_fields"":[{""id"":1,""name"":""Subdivision"",""value"":"""&amp;AG95&amp;"""},{""id"":4,""name"":""Milepost"",""value"":"""&amp;AA95&amp;"""},{""id"":17,""name"":""Train ID"",""value"":"""&amp;A95&amp;"""},{""id"":16,""name"":""Locomotive ID"",""value"":"""&amp;B95&amp;"""},{""id"":130,""name"":""Impact"",""value"":"""&amp;AK95&amp;"""},{""id"":150,""name"":""Time of Event (Mountain Time)"",""value"":"""&amp;TEXT(I95,"hh:mm:ss")&amp;"""},{""id"":151,""name"":""Denver Issue ID"",""value"":"""&amp;"""},{""id"":178,""name"":""Operational Impact"",""value"":"""&amp;redmine_op_impact&amp;"""},{""id"":179,""name"":""Denver Segment Assigned"",""value"":"""&amp;AL95&amp;"""}]}}"&amp;" | curl -X POST -H ""Content-Type: application/json"" -H ""X-Redmine-API-Key: "&amp;redm_api_key&amp;""" "&amp;redm_url&amp;" --data @-"</f>
        <v>echo {"issue":{"subject":"Dispatcher error with consists - did not init","project_id":79,"tracker_id":40,"status_id":1,"priority_id":2,"assigned_to_id":23,"start_date":"2016-08-28","description":"","custom_fields":[{"id":1,"name":"Subdivision","value":"EC"},{"id":4,"name":"Milepost","value":"23.2834"},{"id":17,"name":"Train ID","value":"183-28"},{"id":16,"name":"Locomotive ID","value":"4027"},{"id":130,"name":"Impact","value":""},{"id":150,"name":"Time of Event (Mountain Time)","value":"15:28:11"},{"id":151,"name":"Denver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663</v>
      </c>
      <c r="B96" s="7">
        <v>4028</v>
      </c>
      <c r="C96" s="24" t="s">
        <v>113</v>
      </c>
      <c r="D96" s="24" t="s">
        <v>188</v>
      </c>
      <c r="E96" s="15">
        <v>42610.610219907408</v>
      </c>
      <c r="F96" s="15">
        <v>42610.612187500003</v>
      </c>
      <c r="G96" s="7">
        <v>1</v>
      </c>
      <c r="H96" s="15" t="s">
        <v>131</v>
      </c>
      <c r="I96" s="15">
        <v>42610.644571759258</v>
      </c>
      <c r="J96" s="7">
        <v>0</v>
      </c>
      <c r="K96" s="132" t="str">
        <f t="shared" si="67"/>
        <v>4027/4028</v>
      </c>
      <c r="L96" s="24" t="e">
        <f>VLOOKUP(A96,'Trips&amp;Operators'!$C$1:$E$10000,3,FALSE)</f>
        <v>#N/A</v>
      </c>
      <c r="M96" s="6">
        <f t="shared" si="68"/>
        <v>3.2384259255195502E-2</v>
      </c>
      <c r="N96" s="7"/>
      <c r="O96" s="7"/>
      <c r="P96" s="7">
        <v>1</v>
      </c>
      <c r="Q96" s="25"/>
      <c r="R96" s="25" t="s">
        <v>666</v>
      </c>
      <c r="S96" s="37">
        <f t="shared" si="69"/>
        <v>1</v>
      </c>
      <c r="T96" s="52" t="str">
        <f t="shared" si="70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https://search-rtdc-monitor-bjffxe2xuh6vdkpspy63sjmuny.us-east-1.es.amazonaws.com/_plugin/kibana/#/discover/Steve-Slow-Train-Analysis-(2080s-and-2083s)?_g=(refreshInterval:(display:Off,section:0,value:0),time:(from:'2016-08-28 13:38:43-0600',mode:absolute,to:'2016-08-28 16:28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6" s="54" t="str">
        <f t="shared" si="72"/>
        <v>N</v>
      </c>
      <c r="X96" s="120">
        <f t="shared" si="73"/>
        <v>1</v>
      </c>
      <c r="Y96" s="69">
        <f t="shared" si="74"/>
        <v>23.299199999999999</v>
      </c>
      <c r="Z96" s="69">
        <f t="shared" si="75"/>
        <v>1.5800000000000002E-2</v>
      </c>
      <c r="AA96" s="69">
        <f t="shared" si="76"/>
        <v>23.2834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77"/>
        <v>0184-28</v>
      </c>
      <c r="AE96" s="99" t="str">
        <f t="shared" si="78"/>
        <v>aws s3 cp s3://rtdc.mdm.uploadarchive/RTDC4028/2016-08-28/ "%USERPROFILE%\AppData\Local\Temp\OnboardLogs"\RTDC4028\2016-08-28 --recursive &amp; "%USERPROFILE%\Documents\GitHub\mrs-test-scripts\Headless Mode &amp; Sideloading\WalkAndUnGZ.bat" "%USERPROFILE%\AppData\Local\Temp\OnboardLogs"\RTDC4028\2016-08-28 &amp; 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</v>
      </c>
      <c r="AF96" s="96" t="str">
        <f t="shared" si="79"/>
        <v>"C:\Program Files (x86)\AstroGrep\AstroGrep.exe" /spath="%USERPROFILE%\AppData\Local\Temp\OnboardLogs" /stypes="*4028*20160828*" /stext=" 21:.+((SYSTEM_STATE.+slice.+state.+changed )|(ment ac)|(system.+state.+changed )|(\|lc)|(penalty)|(\[timeout)|(PRM\|1\|D)|(kpr)|(kdp))" /e /r /s</v>
      </c>
      <c r="AG96" s="1" t="str">
        <f t="shared" si="80"/>
        <v>EC</v>
      </c>
      <c r="AH96" s="100" t="str">
        <f t="shared" si="81"/>
        <v>"%USERPROFILE%\Documents\GitHub\eaglep3\Utilities\RefineRTDCRunTimes.py" --tripid 184-28 --locoid 4028 --swversion DE.1.0.7.0 --startMP 204:232992 --initTime 2016-08-28T14:38:43 --startdatetime 2016-08-28T14:41:33 --delay 1 --endMP 204:158 --enddatetime 2016-08-28T15:28:11 --enforcementcount 0 &gt;&gt;C:\Users\stu\Documents\GitHub\eaglep3-reporting\EC\2016-08-28-refined-times.txt</v>
      </c>
      <c r="AI96" s="149" t="str">
        <f t="shared" si="82"/>
        <v>echo {"issue":{"subject":"Did not initialize","project_id":79,"tracker_id":40,"status_id":1,"priority_id":2,"assigned_to_id":23,"start_date":"2016-08-28","description":"","custom_fields":[{"id":1,"name":"Subdivision","value":"EC"},{"id":4,"name":"Milepost","value":"23.2834"},{"id":17,"name":"Train ID","value":"184-28"},{"id":16,"name":"Locomotive ID","value":"4028"},{"id":130,"name":"Impact","value":""},{"id":150,"name":"Time of Event (Mountain Time)","value":"15:28:11"},{"id":151,"name":"Denver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462</v>
      </c>
      <c r="B97" s="7">
        <v>4040</v>
      </c>
      <c r="C97" s="24" t="s">
        <v>113</v>
      </c>
      <c r="D97" s="24" t="s">
        <v>281</v>
      </c>
      <c r="E97" s="15">
        <v>42610.588495370372</v>
      </c>
      <c r="F97" s="15">
        <v>42610.597407407404</v>
      </c>
      <c r="G97" s="7">
        <v>1</v>
      </c>
      <c r="H97" s="15" t="s">
        <v>627</v>
      </c>
      <c r="I97" s="15">
        <v>42610.624398148146</v>
      </c>
      <c r="J97" s="7">
        <v>0</v>
      </c>
      <c r="K97" s="132" t="str">
        <f t="shared" si="34"/>
        <v>4039/4040</v>
      </c>
      <c r="L97" s="24" t="str">
        <f>VLOOKUP(A97,'Trips&amp;Operators'!$C$1:$E$10000,3,FALSE)</f>
        <v>SHOOK</v>
      </c>
      <c r="M97" s="6">
        <f t="shared" si="35"/>
        <v>2.6990740741894115E-2</v>
      </c>
      <c r="N97" s="7">
        <f t="shared" si="36"/>
        <v>38.866666668327525</v>
      </c>
      <c r="O97" s="7"/>
      <c r="P97" s="7"/>
      <c r="Q97" s="25"/>
      <c r="R97" s="25"/>
      <c r="S97" s="37">
        <f t="shared" si="37"/>
        <v>1</v>
      </c>
      <c r="T97" s="52" t="str">
        <f t="shared" si="38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13:07:26-0600',mode:absolute,to:'2016-08-28 15:59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97" s="54" t="str">
        <f t="shared" si="40"/>
        <v>N</v>
      </c>
      <c r="X97" s="120">
        <f t="shared" si="73"/>
        <v>1</v>
      </c>
      <c r="Y97" s="69">
        <f t="shared" si="42"/>
        <v>4.58E-2</v>
      </c>
      <c r="Z97" s="69">
        <f t="shared" si="43"/>
        <v>23.337</v>
      </c>
      <c r="AA97" s="69">
        <f t="shared" si="44"/>
        <v>23.2912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45"/>
        <v>0185-28</v>
      </c>
      <c r="AE97" s="99" t="str">
        <f t="shared" si="46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97" s="96" t="str">
        <f t="shared" si="47"/>
        <v>"C:\Program Files (x86)\AstroGrep\AstroGrep.exe" /spath="%USERPROFILE%\AppData\Local\Temp\OnboardLogs" /stypes="*4040*20160828*" /stext=" 20:.+((SYSTEM_STATE.+slice.+state.+changed )|(ment ac)|(system.+state.+changed )|(\|lc)|(penalty)|(\[timeout)|(PRM\|1\|D)|(kpr)|(kdp))" /e /r /s</v>
      </c>
      <c r="AG97" s="1" t="str">
        <f t="shared" si="48"/>
        <v>EC</v>
      </c>
      <c r="AH97" s="100" t="str">
        <f t="shared" si="49"/>
        <v>"%USERPROFILE%\Documents\GitHub\eaglep3\Utilities\RefineRTDCRunTimes.py" --tripid 185-28 --locoid 4040 --swversion DE.1.0.7.0 --startMP 204:458 --initTime 2016-08-28T14:07:26 --startdatetime 2016-08-28T14:20:16 --delay 1 --endMP 204:233370 --enddatetime 2016-08-28T14:59:08 --enforcementcount 0 &gt;&gt;C:\Users\stu\Documents\GitHub\eaglep3-reporting\EC\2016-08-28-refined-times.txt</v>
      </c>
      <c r="AI97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{"issue":{"subject":"","project_id":79,"tracker_id":40,"status_id":1,"priority_id":2,"assigned_to_id":23,"start_date":"2016-08-28","description":"","custom_fields":[{"id":1,"name":"Subdivision","value":"EC"},{"id":4,"name":"Milepost","value":"23.2912"},{"id":17,"name":"Train ID","value":"185-28"},{"id":16,"name":"Locomotive ID","value":"4040"},{"id":130,"name":"Impact","value":""},{"id":150,"name":"Time of Event (Mountain Time)","value":"14:59:08"},{"id":151,"name":"Denver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469</v>
      </c>
      <c r="B98" s="7">
        <v>4039</v>
      </c>
      <c r="C98" s="24" t="s">
        <v>113</v>
      </c>
      <c r="D98" s="24" t="s">
        <v>628</v>
      </c>
      <c r="E98" s="15">
        <v>42610.629467592589</v>
      </c>
      <c r="F98" s="15">
        <v>42610.632835648146</v>
      </c>
      <c r="G98" s="7">
        <v>1</v>
      </c>
      <c r="H98" s="15" t="s">
        <v>197</v>
      </c>
      <c r="I98" s="15">
        <v>42610.66065972222</v>
      </c>
      <c r="J98" s="7">
        <v>0</v>
      </c>
      <c r="K98" s="132" t="str">
        <f t="shared" si="34"/>
        <v>4039/4040</v>
      </c>
      <c r="L98" s="24" t="str">
        <f>VLOOKUP(A98,'Trips&amp;Operators'!$C$1:$E$10000,3,FALSE)</f>
        <v>SHOOK</v>
      </c>
      <c r="M98" s="6">
        <f t="shared" si="35"/>
        <v>2.7824074073578231E-2</v>
      </c>
      <c r="N98" s="7">
        <f t="shared" si="36"/>
        <v>40.066666665952653</v>
      </c>
      <c r="O98" s="7"/>
      <c r="P98" s="7"/>
      <c r="Q98" s="25"/>
      <c r="R98" s="25"/>
      <c r="S98" s="37">
        <f t="shared" si="37"/>
        <v>1</v>
      </c>
      <c r="T98" s="52" t="str">
        <f t="shared" si="38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14:06:26-0600',mode:absolute,to:'2016-08-28 16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98" s="54" t="str">
        <f t="shared" si="40"/>
        <v>N</v>
      </c>
      <c r="X98" s="120">
        <f t="shared" si="73"/>
        <v>1</v>
      </c>
      <c r="Y98" s="69">
        <f t="shared" si="42"/>
        <v>23.304400000000001</v>
      </c>
      <c r="Z98" s="69">
        <f t="shared" si="43"/>
        <v>1.38E-2</v>
      </c>
      <c r="AA98" s="69">
        <f t="shared" si="44"/>
        <v>23.290600000000001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45"/>
        <v>0186-28</v>
      </c>
      <c r="AE98" s="99" t="str">
        <f t="shared" si="46"/>
        <v>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 &amp; 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</v>
      </c>
      <c r="AF98" s="96" t="str">
        <f t="shared" si="47"/>
        <v>"C:\Program Files (x86)\AstroGrep\AstroGrep.exe" /spath="%USERPROFILE%\AppData\Local\Temp\OnboardLogs" /stypes="*4039*20160828*" /stext=" 21:.+((SYSTEM_STATE.+slice.+state.+changed )|(ment ac)|(system.+state.+changed )|(\|lc)|(penalty)|(\[timeout)|(PRM\|1\|D)|(kpr)|(kdp))" /e /r /s</v>
      </c>
      <c r="AG98" s="1" t="str">
        <f t="shared" si="48"/>
        <v>EC</v>
      </c>
      <c r="AH98" s="100" t="str">
        <f t="shared" si="49"/>
        <v>"%USERPROFILE%\Documents\GitHub\eaglep3\Utilities\RefineRTDCRunTimes.py" --tripid 186-28 --locoid 4039 --swversion DE.1.0.7.0 --startMP 204:233044 --initTime 2016-08-28T15:06:26 --startdatetime 2016-08-28T15:11:17 --delay 1 --endMP 204:138 --enddatetime 2016-08-28T15:51:21 --enforcementcount 0 &gt;&gt;C:\Users\stu\Documents\GitHub\eaglep3-reporting\EC\2016-08-28-refined-times.txt</v>
      </c>
      <c r="AI98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{"issue":{"subject":"","project_id":79,"tracker_id":40,"status_id":1,"priority_id":2,"assigned_to_id":23,"start_date":"2016-08-28","description":"","custom_fields":[{"id":1,"name":"Subdivision","value":"EC"},{"id":4,"name":"Milepost","value":"23.2906"},{"id":17,"name":"Train ID","value":"186-28"},{"id":16,"name":"Locomotive ID","value":"4039"},{"id":130,"name":"Impact","value":""},{"id":150,"name":"Time of Event (Mountain Time)","value":"15:51:21"},{"id":151,"name":"Denver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464</v>
      </c>
      <c r="B99" s="7">
        <v>4014</v>
      </c>
      <c r="C99" s="24" t="s">
        <v>113</v>
      </c>
      <c r="D99" s="24" t="s">
        <v>133</v>
      </c>
      <c r="E99" s="15">
        <v>42610.602037037039</v>
      </c>
      <c r="F99" s="15">
        <v>42610.604444444441</v>
      </c>
      <c r="G99" s="7">
        <v>1</v>
      </c>
      <c r="H99" s="15" t="s">
        <v>192</v>
      </c>
      <c r="I99" s="15">
        <v>42610.631365740737</v>
      </c>
      <c r="J99" s="7">
        <v>0</v>
      </c>
      <c r="K99" s="132" t="str">
        <f t="shared" si="34"/>
        <v>4013/4014</v>
      </c>
      <c r="L99" s="24" t="str">
        <f>VLOOKUP(A99,'Trips&amp;Operators'!$C$1:$E$10000,3,FALSE)</f>
        <v>STEWART</v>
      </c>
      <c r="M99" s="6">
        <f t="shared" si="35"/>
        <v>2.6921296295768116E-2</v>
      </c>
      <c r="N99" s="7">
        <f t="shared" si="36"/>
        <v>38.766666665906087</v>
      </c>
      <c r="O99" s="7"/>
      <c r="P99" s="7"/>
      <c r="Q99" s="25"/>
      <c r="R99" s="25"/>
      <c r="S99" s="37">
        <f t="shared" si="37"/>
        <v>1</v>
      </c>
      <c r="T99" s="52" t="str">
        <f t="shared" si="38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13:26:56-0600',mode:absolute,to:'2016-08-28 16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99" s="54" t="str">
        <f t="shared" si="40"/>
        <v>N</v>
      </c>
      <c r="X99" s="120">
        <f t="shared" si="41"/>
        <v>1</v>
      </c>
      <c r="Y99" s="69">
        <f t="shared" si="42"/>
        <v>4.53E-2</v>
      </c>
      <c r="Z99" s="69">
        <f t="shared" si="43"/>
        <v>23.332699999999999</v>
      </c>
      <c r="AA99" s="69">
        <f t="shared" si="44"/>
        <v>23.287399999999998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45"/>
        <v>0187-28</v>
      </c>
      <c r="AE99" s="99" t="str">
        <f t="shared" si="46"/>
        <v>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 &amp; 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</v>
      </c>
      <c r="AF99" s="96" t="str">
        <f t="shared" si="47"/>
        <v>"C:\Program Files (x86)\AstroGrep\AstroGrep.exe" /spath="%USERPROFILE%\AppData\Local\Temp\OnboardLogs" /stypes="*4014*20160828*" /stext=" 21:.+((SYSTEM_STATE.+slice.+state.+changed )|(ment ac)|(system.+state.+changed )|(\|lc)|(penalty)|(\[timeout)|(PRM\|1\|D)|(kpr)|(kdp))" /e /r /s</v>
      </c>
      <c r="AG99" s="1" t="str">
        <f t="shared" si="48"/>
        <v>EC</v>
      </c>
      <c r="AH99" s="100" t="str">
        <f t="shared" si="49"/>
        <v>"%USERPROFILE%\Documents\GitHub\eaglep3\Utilities\RefineRTDCRunTimes.py" --tripid 187-28 --locoid 4014 --swversion DE.1.0.7.0 --startMP 204:453 --initTime 2016-08-28T14:26:56 --startdatetime 2016-08-28T14:30:24 --delay 1 --endMP 204:233327 --enddatetime 2016-08-28T15:09:10 --enforcementcount 0 &gt;&gt;C:\Users\stu\Documents\GitHub\eaglep3-reporting\EC\2016-08-28-refined-times.txt</v>
      </c>
      <c r="AI99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{"issue":{"subject":"","project_id":79,"tracker_id":40,"status_id":1,"priority_id":2,"assigned_to_id":23,"start_date":"2016-08-28","description":"","custom_fields":[{"id":1,"name":"Subdivision","value":"EC"},{"id":4,"name":"Milepost","value":"23.2874"},{"id":17,"name":"Train ID","value":"187-28"},{"id":16,"name":"Locomotive ID","value":"4014"},{"id":130,"name":"Impact","value":""},{"id":150,"name":"Time of Event (Mountain Time)","value":"15:09:10"},{"id":151,"name":"Denver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472</v>
      </c>
      <c r="B100" s="7">
        <v>4013</v>
      </c>
      <c r="C100" s="24" t="s">
        <v>113</v>
      </c>
      <c r="D100" s="24" t="s">
        <v>629</v>
      </c>
      <c r="E100" s="15">
        <v>42610.639953703707</v>
      </c>
      <c r="F100" s="15">
        <v>42610.64335648148</v>
      </c>
      <c r="G100" s="7">
        <v>1</v>
      </c>
      <c r="H100" s="15" t="s">
        <v>89</v>
      </c>
      <c r="I100" s="15">
        <v>42610.670763888891</v>
      </c>
      <c r="J100" s="7">
        <v>0</v>
      </c>
      <c r="K100" s="132" t="str">
        <f t="shared" si="34"/>
        <v>4013/4014</v>
      </c>
      <c r="L100" s="24" t="str">
        <f>VLOOKUP(A100,'Trips&amp;Operators'!$C$1:$E$10000,3,FALSE)</f>
        <v>STEWART</v>
      </c>
      <c r="M100" s="6">
        <f t="shared" si="35"/>
        <v>2.7407407411374152E-2</v>
      </c>
      <c r="N100" s="7">
        <f t="shared" si="36"/>
        <v>39.466666672378778</v>
      </c>
      <c r="O100" s="7"/>
      <c r="P100" s="7"/>
      <c r="Q100" s="25"/>
      <c r="R100" s="25"/>
      <c r="S100" s="37">
        <f t="shared" si="37"/>
        <v>1</v>
      </c>
      <c r="T100" s="52" t="str">
        <f t="shared" si="38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14:21:32-0600',mode:absolute,to:'2016-08-28 17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00" s="54" t="str">
        <f t="shared" si="40"/>
        <v>N</v>
      </c>
      <c r="X100" s="120">
        <f t="shared" si="41"/>
        <v>1</v>
      </c>
      <c r="Y100" s="69">
        <f t="shared" si="42"/>
        <v>23.300599999999999</v>
      </c>
      <c r="Z100" s="69">
        <f t="shared" si="43"/>
        <v>1.43E-2</v>
      </c>
      <c r="AA100" s="69">
        <f t="shared" si="44"/>
        <v>23.286300000000001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45"/>
        <v>0188-28</v>
      </c>
      <c r="AE100" s="99" t="str">
        <f t="shared" si="46"/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AF100" s="96" t="str">
        <f t="shared" si="47"/>
        <v>"C:\Program Files (x86)\AstroGrep\AstroGrep.exe" /spath="%USERPROFILE%\AppData\Local\Temp\OnboardLogs" /stypes="*4013*20160828*" /stext=" 22:.+((SYSTEM_STATE.+slice.+state.+changed )|(ment ac)|(system.+state.+changed )|(\|lc)|(penalty)|(\[timeout)|(PRM\|1\|D)|(kpr)|(kdp))" /e /r /s</v>
      </c>
      <c r="AG100" s="1" t="str">
        <f t="shared" si="48"/>
        <v>EC</v>
      </c>
      <c r="AH100" s="100" t="str">
        <f t="shared" si="49"/>
        <v>"%USERPROFILE%\Documents\GitHub\eaglep3\Utilities\RefineRTDCRunTimes.py" --tripid 188-28 --locoid 4013 --swversion DE.1.0.7.0 --startMP 204:233006 --initTime 2016-08-28T15:21:32 --startdatetime 2016-08-28T15:26:26 --delay 1 --endMP 204:143 --enddatetime 2016-08-28T16:05:54 --enforcementcount 0 &gt;&gt;C:\Users\stu\Documents\GitHub\eaglep3-reporting\EC\2016-08-28-refined-times.txt</v>
      </c>
      <c r="AI100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{"issue":{"subject":"","project_id":79,"tracker_id":40,"status_id":1,"priority_id":2,"assigned_to_id":23,"start_date":"2016-08-28","description":"","custom_fields":[{"id":1,"name":"Subdivision","value":"EC"},{"id":4,"name":"Milepost","value":"23.2863"},{"id":17,"name":"Train ID","value":"188-28"},{"id":16,"name":"Locomotive ID","value":"4013"},{"id":130,"name":"Impact","value":""},{"id":150,"name":"Time of Event (Mountain Time)","value":"16:05:54"},{"id":151,"name":"Denver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466</v>
      </c>
      <c r="B101" s="7">
        <v>4042</v>
      </c>
      <c r="C101" s="24" t="s">
        <v>113</v>
      </c>
      <c r="D101" s="24" t="s">
        <v>138</v>
      </c>
      <c r="E101" s="15">
        <v>42610.610173611109</v>
      </c>
      <c r="F101" s="15">
        <v>42610.614733796298</v>
      </c>
      <c r="G101" s="7">
        <v>1</v>
      </c>
      <c r="H101" s="15" t="s">
        <v>306</v>
      </c>
      <c r="I101" s="15">
        <v>42610.641701388886</v>
      </c>
      <c r="J101" s="7">
        <v>0</v>
      </c>
      <c r="K101" s="132" t="str">
        <f t="shared" si="34"/>
        <v>4041/4042</v>
      </c>
      <c r="L101" s="24" t="str">
        <f>VLOOKUP(A101,'Trips&amp;Operators'!$C$1:$E$10000,3,FALSE)</f>
        <v>BARTLETT</v>
      </c>
      <c r="M101" s="6">
        <f t="shared" si="35"/>
        <v>2.696759258833481E-2</v>
      </c>
      <c r="N101" s="7">
        <f t="shared" si="36"/>
        <v>38.833333327202126</v>
      </c>
      <c r="O101" s="7"/>
      <c r="P101" s="7"/>
      <c r="Q101" s="25"/>
      <c r="R101" s="25"/>
      <c r="S101" s="37">
        <f t="shared" si="37"/>
        <v>1</v>
      </c>
      <c r="T101" s="52" t="str">
        <f t="shared" si="38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13:38:39-0600',mode:absolute,to:'2016-08-28 16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1" s="54" t="str">
        <f t="shared" si="40"/>
        <v>N</v>
      </c>
      <c r="X101" s="120">
        <f t="shared" si="41"/>
        <v>1</v>
      </c>
      <c r="Y101" s="69">
        <f t="shared" si="42"/>
        <v>4.6899999999999997E-2</v>
      </c>
      <c r="Z101" s="69">
        <f t="shared" si="43"/>
        <v>23.330500000000001</v>
      </c>
      <c r="AA101" s="69">
        <f t="shared" si="44"/>
        <v>23.2836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45"/>
        <v>0189-28</v>
      </c>
      <c r="AE101" s="99" t="str">
        <f t="shared" si="46"/>
        <v>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 &amp; 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</v>
      </c>
      <c r="AF101" s="96" t="str">
        <f t="shared" si="47"/>
        <v>"C:\Program Files (x86)\AstroGrep\AstroGrep.exe" /spath="%USERPROFILE%\AppData\Local\Temp\OnboardLogs" /stypes="*4042*20160828*" /stext=" 21:.+((SYSTEM_STATE.+slice.+state.+changed )|(ment ac)|(system.+state.+changed )|(\|lc)|(penalty)|(\[timeout)|(PRM\|1\|D)|(kpr)|(kdp))" /e /r /s</v>
      </c>
      <c r="AG101" s="1" t="str">
        <f t="shared" si="48"/>
        <v>EC</v>
      </c>
      <c r="AH101" s="100" t="str">
        <f t="shared" si="49"/>
        <v>"%USERPROFILE%\Documents\GitHub\eaglep3\Utilities\RefineRTDCRunTimes.py" --tripid 189-28 --locoid 4042 --swversion DE.1.0.7.0 --startMP 204:469 --initTime 2016-08-28T14:38:39 --startdatetime 2016-08-28T14:45:13 --delay 1 --endMP 204:233305 --enddatetime 2016-08-28T15:24:03 --enforcementcount 0 &gt;&gt;C:\Users\stu\Documents\GitHub\eaglep3-reporting\EC\2016-08-28-refined-times.txt</v>
      </c>
      <c r="AI101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{"issue":{"subject":"","project_id":79,"tracker_id":40,"status_id":1,"priority_id":2,"assigned_to_id":23,"start_date":"2016-08-28","description":"","custom_fields":[{"id":1,"name":"Subdivision","value":"EC"},{"id":4,"name":"Milepost","value":"23.2836"},{"id":17,"name":"Train ID","value":"189-28"},{"id":16,"name":"Locomotive ID","value":"4042"},{"id":130,"name":"Impact","value":""},{"id":150,"name":"Time of Event (Mountain Time)","value":"15:24:03"},{"id":151,"name":"Denver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473</v>
      </c>
      <c r="B102" s="7">
        <v>4041</v>
      </c>
      <c r="C102" s="24" t="s">
        <v>113</v>
      </c>
      <c r="D102" s="24" t="s">
        <v>630</v>
      </c>
      <c r="E102" s="15">
        <v>42610.643587962964</v>
      </c>
      <c r="F102" s="15">
        <v>42610.653807870367</v>
      </c>
      <c r="G102" s="7">
        <v>1</v>
      </c>
      <c r="H102" s="15" t="s">
        <v>132</v>
      </c>
      <c r="I102" s="15">
        <v>42610.682291666664</v>
      </c>
      <c r="J102" s="7">
        <v>0</v>
      </c>
      <c r="K102" s="132" t="str">
        <f t="shared" si="34"/>
        <v>4041/4042</v>
      </c>
      <c r="L102" s="24" t="str">
        <f>VLOOKUP(A102,'Trips&amp;Operators'!$C$1:$E$10000,3,FALSE)</f>
        <v>BARTLETT</v>
      </c>
      <c r="M102" s="6">
        <f t="shared" si="35"/>
        <v>2.8483796297223307E-2</v>
      </c>
      <c r="N102" s="7">
        <f t="shared" si="36"/>
        <v>41.016666668001562</v>
      </c>
      <c r="O102" s="7"/>
      <c r="P102" s="7"/>
      <c r="Q102" s="25"/>
      <c r="R102" s="25"/>
      <c r="S102" s="37">
        <f t="shared" si="37"/>
        <v>1</v>
      </c>
      <c r="T102" s="52" t="str">
        <f t="shared" si="38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14:26:46-0600',mode:absolute,to:'2016-08-28 17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02" s="54" t="str">
        <f t="shared" si="40"/>
        <v>N</v>
      </c>
      <c r="X102" s="120">
        <f t="shared" si="41"/>
        <v>1</v>
      </c>
      <c r="Y102" s="69">
        <f t="shared" si="42"/>
        <v>23.299800000000001</v>
      </c>
      <c r="Z102" s="69">
        <f t="shared" si="43"/>
        <v>1.47E-2</v>
      </c>
      <c r="AA102" s="69">
        <f t="shared" si="44"/>
        <v>23.2851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 t="shared" si="45"/>
        <v>0190-28</v>
      </c>
      <c r="AE102" s="99" t="str">
        <f t="shared" si="46"/>
        <v>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 &amp; aws s3 cp s3://rtdc.mdm.uploadarchive/RTDC4041/2016-08-29/ "%USERPROFILE%\AppData\Local\Temp\OnboardLogs"\RTDC4041\2016-08-29 --recursive &amp; "%USERPROFILE%\Documents\GitHub\mrs-test-scripts\Headless Mode &amp; Sideloading\WalkAndUnGZ.bat" "%USERPROFILE%\AppData\Local\Temp\OnboardLogs"\RTDC4041\2016-08-29</v>
      </c>
      <c r="AF102" s="96" t="str">
        <f t="shared" si="47"/>
        <v>"C:\Program Files (x86)\AstroGrep\AstroGrep.exe" /spath="%USERPROFILE%\AppData\Local\Temp\OnboardLogs" /stypes="*4041*20160828*" /stext=" 22:.+((SYSTEM_STATE.+slice.+state.+changed )|(ment ac)|(system.+state.+changed )|(\|lc)|(penalty)|(\[timeout)|(PRM\|1\|D)|(kpr)|(kdp))" /e /r /s</v>
      </c>
      <c r="AG102" s="1" t="str">
        <f t="shared" si="48"/>
        <v>EC</v>
      </c>
      <c r="AH102" s="100" t="str">
        <f t="shared" si="49"/>
        <v>"%USERPROFILE%\Documents\GitHub\eaglep3\Utilities\RefineRTDCRunTimes.py" --tripid 190-28 --locoid 4041 --swversion DE.1.0.7.0 --startMP 204:232998 --initTime 2016-08-28T15:26:46 --startdatetime 2016-08-28T15:41:29 --delay 1 --endMP 204:147 --enddatetime 2016-08-28T16:22:30 --enforcementcount 0 &gt;&gt;C:\Users\stu\Documents\GitHub\eaglep3-reporting\EC\2016-08-28-refined-times.txt</v>
      </c>
      <c r="AI102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{"issue":{"subject":"","project_id":79,"tracker_id":40,"status_id":1,"priority_id":2,"assigned_to_id":23,"start_date":"2016-08-28","description":"","custom_fields":[{"id":1,"name":"Subdivision","value":"EC"},{"id":4,"name":"Milepost","value":"23.2851"},{"id":17,"name":"Train ID","value":"190-28"},{"id":16,"name":"Locomotive ID","value":"4041"},{"id":130,"name":"Impact","value":""},{"id":150,"name":"Time of Event (Mountain Time)","value":"16:22:30"},{"id":151,"name":"Denver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468</v>
      </c>
      <c r="B103" s="7">
        <v>4038</v>
      </c>
      <c r="C103" s="24" t="s">
        <v>113</v>
      </c>
      <c r="D103" s="24" t="s">
        <v>133</v>
      </c>
      <c r="E103" s="15">
        <v>42610.618784722225</v>
      </c>
      <c r="F103" s="15">
        <v>42610.625196759262</v>
      </c>
      <c r="G103" s="7">
        <v>1</v>
      </c>
      <c r="H103" s="15" t="s">
        <v>633</v>
      </c>
      <c r="I103" s="15">
        <v>42610.650208333333</v>
      </c>
      <c r="J103" s="7">
        <v>0</v>
      </c>
      <c r="K103" s="132" t="str">
        <f t="shared" si="34"/>
        <v>4037/4038</v>
      </c>
      <c r="L103" s="24" t="str">
        <f>VLOOKUP(A103,'Trips&amp;Operators'!$C$1:$E$10000,3,FALSE)</f>
        <v>BRUDER</v>
      </c>
      <c r="M103" s="6">
        <f t="shared" si="35"/>
        <v>2.5011574070958886E-2</v>
      </c>
      <c r="N103" s="7">
        <f t="shared" si="36"/>
        <v>36.016666662180796</v>
      </c>
      <c r="O103" s="7"/>
      <c r="P103" s="7"/>
      <c r="Q103" s="25"/>
      <c r="R103" s="25"/>
      <c r="S103" s="37">
        <f t="shared" si="37"/>
        <v>1</v>
      </c>
      <c r="T103" s="52" t="str">
        <f t="shared" si="38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13:51:03-0600',mode:absolute,to:'2016-08-28 16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3" s="54" t="str">
        <f t="shared" si="40"/>
        <v>N</v>
      </c>
      <c r="X103" s="120">
        <f t="shared" si="41"/>
        <v>1</v>
      </c>
      <c r="Y103" s="69">
        <f t="shared" si="42"/>
        <v>4.53E-2</v>
      </c>
      <c r="Z103" s="69">
        <f t="shared" si="43"/>
        <v>23.3308</v>
      </c>
      <c r="AA103" s="69">
        <f t="shared" si="44"/>
        <v>23.285499999999999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45"/>
        <v>0191-28</v>
      </c>
      <c r="AE103" s="99" t="str">
        <f t="shared" si="46"/>
        <v>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 &amp; 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</v>
      </c>
      <c r="AF103" s="96" t="str">
        <f t="shared" si="47"/>
        <v>"C:\Program Files (x86)\AstroGrep\AstroGrep.exe" /spath="%USERPROFILE%\AppData\Local\Temp\OnboardLogs" /stypes="*4038*20160828*" /stext=" 21:.+((SYSTEM_STATE.+slice.+state.+changed )|(ment ac)|(system.+state.+changed )|(\|lc)|(penalty)|(\[timeout)|(PRM\|1\|D)|(kpr)|(kdp))" /e /r /s</v>
      </c>
      <c r="AG103" s="1" t="str">
        <f t="shared" si="48"/>
        <v>EC</v>
      </c>
      <c r="AH103" s="100" t="str">
        <f t="shared" si="49"/>
        <v>"%USERPROFILE%\Documents\GitHub\eaglep3\Utilities\RefineRTDCRunTimes.py" --tripid 191-28 --locoid 4038 --swversion DE.1.0.7.0 --startMP 204:453 --initTime 2016-08-28T14:51:03 --startdatetime 2016-08-28T15:00:17 --delay 1 --endMP 204:233308 --enddatetime 2016-08-28T15:36:18 --enforcementcount 0 &gt;&gt;C:\Users\stu\Documents\GitHub\eaglep3-reporting\EC\2016-08-28-refined-times.txt</v>
      </c>
      <c r="AI103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{"issue":{"subject":"","project_id":79,"tracker_id":40,"status_id":1,"priority_id":2,"assigned_to_id":23,"start_date":"2016-08-28","description":"","custom_fields":[{"id":1,"name":"Subdivision","value":"EC"},{"id":4,"name":"Milepost","value":"23.2855"},{"id":17,"name":"Train ID","value":"191-28"},{"id":16,"name":"Locomotive ID","value":"4038"},{"id":130,"name":"Impact","value":""},{"id":150,"name":"Time of Event (Mountain Time)","value":"15:36:18"},{"id":151,"name":"Denver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476</v>
      </c>
      <c r="B104" s="7">
        <v>4037</v>
      </c>
      <c r="C104" s="24" t="s">
        <v>113</v>
      </c>
      <c r="D104" s="24" t="s">
        <v>630</v>
      </c>
      <c r="E104" s="15">
        <v>42610.658067129632</v>
      </c>
      <c r="F104" s="15">
        <v>42610.664143518516</v>
      </c>
      <c r="G104" s="7">
        <v>1</v>
      </c>
      <c r="H104" s="15" t="s">
        <v>136</v>
      </c>
      <c r="I104" s="15">
        <v>42610.692916666667</v>
      </c>
      <c r="J104" s="7">
        <v>0</v>
      </c>
      <c r="K104" s="132" t="str">
        <f t="shared" si="34"/>
        <v>4037/4038</v>
      </c>
      <c r="L104" s="24" t="str">
        <f>VLOOKUP(A104,'Trips&amp;Operators'!$C$1:$E$10000,3,FALSE)</f>
        <v>BRUDER</v>
      </c>
      <c r="M104" s="6">
        <f t="shared" si="35"/>
        <v>2.8773148151230998E-2</v>
      </c>
      <c r="N104" s="7">
        <f t="shared" si="36"/>
        <v>41.433333337772638</v>
      </c>
      <c r="O104" s="7"/>
      <c r="P104" s="7"/>
      <c r="Q104" s="25"/>
      <c r="R104" s="25"/>
      <c r="S104" s="37">
        <f t="shared" si="37"/>
        <v>1</v>
      </c>
      <c r="T104" s="52" t="str">
        <f t="shared" si="38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14:47:37-0600',mode:absolute,to:'2016-08-28 17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4" s="54" t="str">
        <f t="shared" si="40"/>
        <v>N</v>
      </c>
      <c r="X104" s="120">
        <f t="shared" si="41"/>
        <v>1</v>
      </c>
      <c r="Y104" s="69">
        <f t="shared" si="42"/>
        <v>23.299800000000001</v>
      </c>
      <c r="Z104" s="69">
        <f t="shared" si="43"/>
        <v>1.49E-2</v>
      </c>
      <c r="AA104" s="69">
        <f t="shared" si="44"/>
        <v>23.2849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45"/>
        <v>0192-28</v>
      </c>
      <c r="AE104" s="99" t="str">
        <f t="shared" si="46"/>
        <v>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 &amp; 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</v>
      </c>
      <c r="AF104" s="96" t="str">
        <f t="shared" si="47"/>
        <v>"C:\Program Files (x86)\AstroGrep\AstroGrep.exe" /spath="%USERPROFILE%\AppData\Local\Temp\OnboardLogs" /stypes="*4037*20160828*" /stext=" 22:.+((SYSTEM_STATE.+slice.+state.+changed )|(ment ac)|(system.+state.+changed )|(\|lc)|(penalty)|(\[timeout)|(PRM\|1\|D)|(kpr)|(kdp))" /e /r /s</v>
      </c>
      <c r="AG104" s="1" t="str">
        <f t="shared" si="48"/>
        <v>EC</v>
      </c>
      <c r="AH104" s="100" t="str">
        <f t="shared" si="49"/>
        <v>"%USERPROFILE%\Documents\GitHub\eaglep3\Utilities\RefineRTDCRunTimes.py" --tripid 192-28 --locoid 4037 --swversion DE.1.0.7.0 --startMP 204:232998 --initTime 2016-08-28T15:47:37 --startdatetime 2016-08-28T15:56:22 --delay 1 --endMP 204:149 --enddatetime 2016-08-28T16:37:48 --enforcementcount 0 &gt;&gt;C:\Users\stu\Documents\GitHub\eaglep3-reporting\EC\2016-08-28-refined-times.txt</v>
      </c>
      <c r="AI104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{"issue":{"subject":"","project_id":79,"tracker_id":40,"status_id":1,"priority_id":2,"assigned_to_id":23,"start_date":"2016-08-28","description":"","custom_fields":[{"id":1,"name":"Subdivision","value":"EC"},{"id":4,"name":"Milepost","value":"23.2849"},{"id":17,"name":"Train ID","value":"192-28"},{"id":16,"name":"Locomotive ID","value":"4037"},{"id":130,"name":"Impact","value":""},{"id":150,"name":"Time of Event (Mountain Time)","value":"16:37:48"},{"id":151,"name":"Denver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471</v>
      </c>
      <c r="B105" s="7">
        <v>4007</v>
      </c>
      <c r="C105" s="24" t="s">
        <v>113</v>
      </c>
      <c r="D105" s="24" t="s">
        <v>295</v>
      </c>
      <c r="E105" s="15">
        <v>42610.633564814816</v>
      </c>
      <c r="F105" s="15">
        <v>42610.636469907404</v>
      </c>
      <c r="G105" s="7">
        <v>1</v>
      </c>
      <c r="H105" s="15" t="s">
        <v>574</v>
      </c>
      <c r="I105" s="15">
        <v>42610.661562499998</v>
      </c>
      <c r="J105" s="7">
        <v>0</v>
      </c>
      <c r="K105" s="132" t="str">
        <f t="shared" si="34"/>
        <v>4007/4008</v>
      </c>
      <c r="L105" s="24" t="str">
        <f>VLOOKUP(A105,'Trips&amp;Operators'!$C$1:$E$10000,3,FALSE)</f>
        <v>MOSES</v>
      </c>
      <c r="M105" s="6">
        <f t="shared" si="35"/>
        <v>2.5092592593864538E-2</v>
      </c>
      <c r="N105" s="7">
        <f t="shared" si="36"/>
        <v>36.133333335164934</v>
      </c>
      <c r="O105" s="7"/>
      <c r="P105" s="7"/>
      <c r="Q105" s="25"/>
      <c r="R105" s="25"/>
      <c r="S105" s="37">
        <f t="shared" si="37"/>
        <v>1</v>
      </c>
      <c r="T105" s="52" t="str">
        <f t="shared" si="38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14:12:20-0600',mode:absolute,to:'2016-08-28 16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05" s="54" t="str">
        <f t="shared" si="40"/>
        <v>N</v>
      </c>
      <c r="X105" s="120">
        <f t="shared" si="41"/>
        <v>1</v>
      </c>
      <c r="Y105" s="69">
        <f t="shared" si="42"/>
        <v>4.3700000000000003E-2</v>
      </c>
      <c r="Z105" s="69">
        <f t="shared" si="43"/>
        <v>23.332799999999999</v>
      </c>
      <c r="AA105" s="69">
        <f t="shared" si="44"/>
        <v>23.289099999999998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45"/>
        <v>0193-28</v>
      </c>
      <c r="AE105" s="99" t="str">
        <f t="shared" si="46"/>
        <v>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 &amp; 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</v>
      </c>
      <c r="AF105" s="96" t="str">
        <f t="shared" si="47"/>
        <v>"C:\Program Files (x86)\AstroGrep\AstroGrep.exe" /spath="%USERPROFILE%\AppData\Local\Temp\OnboardLogs" /stypes="*4007*20160828*" /stext=" 21:.+((SYSTEM_STATE.+slice.+state.+changed )|(ment ac)|(system.+state.+changed )|(\|lc)|(penalty)|(\[timeout)|(PRM\|1\|D)|(kpr)|(kdp))" /e /r /s</v>
      </c>
      <c r="AG105" s="1" t="str">
        <f t="shared" si="48"/>
        <v>EC</v>
      </c>
      <c r="AH105" s="100" t="str">
        <f t="shared" si="49"/>
        <v>"%USERPROFILE%\Documents\GitHub\eaglep3\Utilities\RefineRTDCRunTimes.py" --tripid 193-28 --locoid 4007 --swversion DE.1.0.7.0 --startMP 204:437 --initTime 2016-08-28T15:12:20 --startdatetime 2016-08-28T15:16:31 --delay 1 --endMP 204:233328 --enddatetime 2016-08-28T15:52:39 --enforcementcount 0 &gt;&gt;C:\Users\stu\Documents\GitHub\eaglep3-reporting\EC\2016-08-28-refined-times.txt</v>
      </c>
      <c r="AI105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{"issue":{"subject":"","project_id":79,"tracker_id":40,"status_id":1,"priority_id":2,"assigned_to_id":23,"start_date":"2016-08-28","description":"","custom_fields":[{"id":1,"name":"Subdivision","value":"EC"},{"id":4,"name":"Milepost","value":"23.2891"},{"id":17,"name":"Train ID","value":"193-28"},{"id":16,"name":"Locomotive ID","value":"4007"},{"id":130,"name":"Impact","value":""},{"id":150,"name":"Time of Event (Mountain Time)","value":"15:52:39"},{"id":151,"name":"Denver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479</v>
      </c>
      <c r="B106" s="7">
        <v>4008</v>
      </c>
      <c r="C106" s="24" t="s">
        <v>113</v>
      </c>
      <c r="D106" s="24" t="s">
        <v>634</v>
      </c>
      <c r="E106" s="15">
        <v>42610.668900462966</v>
      </c>
      <c r="F106" s="15">
        <v>42610.674525462964</v>
      </c>
      <c r="G106" s="7">
        <v>2</v>
      </c>
      <c r="H106" s="15" t="s">
        <v>195</v>
      </c>
      <c r="I106" s="15">
        <v>42610.704444444447</v>
      </c>
      <c r="J106" s="7">
        <v>0</v>
      </c>
      <c r="K106" s="132" t="str">
        <f t="shared" si="34"/>
        <v>4007/4008</v>
      </c>
      <c r="L106" s="24" t="str">
        <f>VLOOKUP(A106,'Trips&amp;Operators'!$C$1:$E$10000,3,FALSE)</f>
        <v>MOSES</v>
      </c>
      <c r="M106" s="6">
        <f t="shared" si="35"/>
        <v>2.9918981483206153E-2</v>
      </c>
      <c r="N106" s="7">
        <f t="shared" si="36"/>
        <v>43.08333333581686</v>
      </c>
      <c r="O106" s="7"/>
      <c r="P106" s="7"/>
      <c r="Q106" s="25"/>
      <c r="R106" s="25"/>
      <c r="S106" s="37">
        <f t="shared" si="37"/>
        <v>1</v>
      </c>
      <c r="T106" s="52" t="str">
        <f t="shared" si="38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15:03:13-0600',mode:absolute,to:'2016-08-28 17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6" s="54" t="str">
        <f t="shared" si="40"/>
        <v>N</v>
      </c>
      <c r="X106" s="120">
        <f t="shared" si="41"/>
        <v>1</v>
      </c>
      <c r="Y106" s="69">
        <f t="shared" si="42"/>
        <v>23.301500000000001</v>
      </c>
      <c r="Z106" s="69">
        <f t="shared" si="43"/>
        <v>1.3899999999999999E-2</v>
      </c>
      <c r="AA106" s="69">
        <f t="shared" si="44"/>
        <v>23.287600000000001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45"/>
        <v>0194-28</v>
      </c>
      <c r="AE106" s="99" t="str">
        <f t="shared" si="46"/>
        <v>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 &amp; 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</v>
      </c>
      <c r="AF106" s="96" t="str">
        <f t="shared" si="47"/>
        <v>"C:\Program Files (x86)\AstroGrep\AstroGrep.exe" /spath="%USERPROFILE%\AppData\Local\Temp\OnboardLogs" /stypes="*4008*20160828*" /stext=" 22:.+((SYSTEM_STATE.+slice.+state.+changed )|(ment ac)|(system.+state.+changed )|(\|lc)|(penalty)|(\[timeout)|(PRM\|1\|D)|(kpr)|(kdp))" /e /r /s</v>
      </c>
      <c r="AG106" s="1" t="str">
        <f t="shared" si="48"/>
        <v>EC</v>
      </c>
      <c r="AH106" s="100" t="str">
        <f t="shared" si="49"/>
        <v>"%USERPROFILE%\Documents\GitHub\eaglep3\Utilities\RefineRTDCRunTimes.py" --tripid 194-28 --locoid 4008 --swversion DE.1.0.7.0 --startMP 204:233015 --initTime 2016-08-28T16:03:13 --startdatetime 2016-08-28T16:11:19 --delay 2 --endMP 204:139 --enddatetime 2016-08-28T16:54:24 --enforcementcount 0 &gt;&gt;C:\Users\stu\Documents\GitHub\eaglep3-reporting\EC\2016-08-28-refined-times.txt</v>
      </c>
      <c r="AI106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{"issue":{"subject":"","project_id":79,"tracker_id":40,"status_id":1,"priority_id":2,"assigned_to_id":23,"start_date":"2016-08-28","description":"","custom_fields":[{"id":1,"name":"Subdivision","value":"EC"},{"id":4,"name":"Milepost","value":"23.2876"},{"id":17,"name":"Train ID","value":"194-28"},{"id":16,"name":"Locomotive ID","value":"4008"},{"id":130,"name":"Impact","value":""},{"id":150,"name":"Time of Event (Mountain Time)","value":"16:54:24"},{"id":151,"name":"Denver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474</v>
      </c>
      <c r="B107" s="7">
        <v>4002</v>
      </c>
      <c r="C107" s="24" t="s">
        <v>113</v>
      </c>
      <c r="D107" s="24" t="s">
        <v>135</v>
      </c>
      <c r="E107" s="15">
        <v>42610.64644675926</v>
      </c>
      <c r="F107" s="15">
        <v>42610.647858796299</v>
      </c>
      <c r="G107" s="7">
        <v>1</v>
      </c>
      <c r="H107" s="15" t="s">
        <v>635</v>
      </c>
      <c r="I107" s="15">
        <v>42610.673773148148</v>
      </c>
      <c r="J107" s="7">
        <v>0</v>
      </c>
      <c r="K107" s="132" t="str">
        <f t="shared" si="34"/>
        <v>4001/4002</v>
      </c>
      <c r="L107" s="24" t="str">
        <f>VLOOKUP(A107,'Trips&amp;Operators'!$C$1:$E$10000,3,FALSE)</f>
        <v>YOUNG</v>
      </c>
      <c r="M107" s="6">
        <f t="shared" si="35"/>
        <v>2.5914351848769002E-2</v>
      </c>
      <c r="N107" s="7">
        <f t="shared" si="36"/>
        <v>37.316666662227362</v>
      </c>
      <c r="O107" s="7"/>
      <c r="P107" s="7"/>
      <c r="Q107" s="25"/>
      <c r="R107" s="25"/>
      <c r="S107" s="37">
        <f t="shared" si="37"/>
        <v>1</v>
      </c>
      <c r="T107" s="52" t="str">
        <f t="shared" si="38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14:30:53-0600',mode:absolute,to:'2016-08-28 17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07" s="54" t="str">
        <f t="shared" si="40"/>
        <v>N</v>
      </c>
      <c r="X107" s="120">
        <f t="shared" si="41"/>
        <v>1</v>
      </c>
      <c r="Y107" s="69">
        <f t="shared" si="42"/>
        <v>4.4900000000000002E-2</v>
      </c>
      <c r="Z107" s="69">
        <f t="shared" si="43"/>
        <v>23.334199999999999</v>
      </c>
      <c r="AA107" s="69">
        <f t="shared" si="44"/>
        <v>23.289300000000001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45"/>
        <v>0195-28</v>
      </c>
      <c r="AE107" s="99" t="str">
        <f t="shared" si="46"/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107" s="96" t="str">
        <f t="shared" si="47"/>
        <v>"C:\Program Files (x86)\AstroGrep\AstroGrep.exe" /spath="%USERPROFILE%\AppData\Local\Temp\OnboardLogs" /stypes="*4002*20160828*" /stext=" 22:.+((SYSTEM_STATE.+slice.+state.+changed )|(ment ac)|(system.+state.+changed )|(\|lc)|(penalty)|(\[timeout)|(PRM\|1\|D)|(kpr)|(kdp))" /e /r /s</v>
      </c>
      <c r="AG107" s="1" t="str">
        <f t="shared" si="48"/>
        <v>EC</v>
      </c>
      <c r="AH107" s="100" t="str">
        <f t="shared" si="49"/>
        <v>"%USERPROFILE%\Documents\GitHub\eaglep3\Utilities\RefineRTDCRunTimes.py" --tripid 195-28 --locoid 4002 --swversion DE.1.0.7.0 --startMP 204:449 --initTime 2016-08-28T15:30:53 --startdatetime 2016-08-28T15:32:55 --delay 1 --endMP 204:233342 --enddatetime 2016-08-28T16:10:14 --enforcementcount 0 &gt;&gt;C:\Users\stu\Documents\GitHub\eaglep3-reporting\EC\2016-08-28-refined-times.txt</v>
      </c>
      <c r="AI107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{"issue":{"subject":"","project_id":79,"tracker_id":40,"status_id":1,"priority_id":2,"assigned_to_id":23,"start_date":"2016-08-28","description":"","custom_fields":[{"id":1,"name":"Subdivision","value":"EC"},{"id":4,"name":"Milepost","value":"23.2893"},{"id":17,"name":"Train ID","value":"195-28"},{"id":16,"name":"Locomotive ID","value":"4002"},{"id":130,"name":"Impact","value":""},{"id":150,"name":"Time of Event (Mountain Time)","value":"16:10:14"},{"id":151,"name":"Denver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481</v>
      </c>
      <c r="B108" s="7">
        <v>4001</v>
      </c>
      <c r="C108" s="24" t="s">
        <v>113</v>
      </c>
      <c r="D108" s="24" t="s">
        <v>636</v>
      </c>
      <c r="E108" s="15">
        <v>42610.678842592592</v>
      </c>
      <c r="F108" s="15">
        <v>42610.68513888889</v>
      </c>
      <c r="G108" s="7">
        <v>1</v>
      </c>
      <c r="H108" s="15" t="s">
        <v>174</v>
      </c>
      <c r="I108" s="15">
        <v>42610.713912037034</v>
      </c>
      <c r="J108" s="7">
        <v>0</v>
      </c>
      <c r="K108" s="132" t="str">
        <f t="shared" si="34"/>
        <v>4001/4002</v>
      </c>
      <c r="L108" s="24" t="str">
        <f>VLOOKUP(A108,'Trips&amp;Operators'!$C$1:$E$10000,3,FALSE)</f>
        <v>YOUNG</v>
      </c>
      <c r="M108" s="6">
        <f t="shared" si="35"/>
        <v>2.8773148143955041E-2</v>
      </c>
      <c r="N108" s="7">
        <f t="shared" si="36"/>
        <v>41.433333327295259</v>
      </c>
      <c r="O108" s="7"/>
      <c r="P108" s="7"/>
      <c r="Q108" s="25"/>
      <c r="R108" s="25"/>
      <c r="S108" s="37">
        <f t="shared" si="37"/>
        <v>1</v>
      </c>
      <c r="T108" s="52" t="str">
        <f t="shared" si="38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15:17:32-0600',mode:absolute,to:'2016-08-28 18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08" s="54" t="str">
        <f t="shared" si="40"/>
        <v>N</v>
      </c>
      <c r="X108" s="120">
        <f t="shared" si="41"/>
        <v>1</v>
      </c>
      <c r="Y108" s="69">
        <f t="shared" si="42"/>
        <v>23.3004</v>
      </c>
      <c r="Z108" s="69">
        <f t="shared" si="43"/>
        <v>1.41E-2</v>
      </c>
      <c r="AA108" s="69">
        <f t="shared" si="44"/>
        <v>23.286300000000001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45"/>
        <v>0196-28</v>
      </c>
      <c r="AE108" s="99" t="str">
        <f t="shared" si="46"/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AF108" s="96" t="str">
        <f t="shared" si="47"/>
        <v>"C:\Program Files (x86)\AstroGrep\AstroGrep.exe" /spath="%USERPROFILE%\AppData\Local\Temp\OnboardLogs" /stypes="*4001*20160828*" /stext=" 23:.+((SYSTEM_STATE.+slice.+state.+changed )|(ment ac)|(system.+state.+changed )|(\|lc)|(penalty)|(\[timeout)|(PRM\|1\|D)|(kpr)|(kdp))" /e /r /s</v>
      </c>
      <c r="AG108" s="1" t="str">
        <f t="shared" si="48"/>
        <v>EC</v>
      </c>
      <c r="AH108" s="100" t="str">
        <f t="shared" si="49"/>
        <v>"%USERPROFILE%\Documents\GitHub\eaglep3\Utilities\RefineRTDCRunTimes.py" --tripid 196-28 --locoid 4001 --swversion DE.1.0.7.0 --startMP 204:233004 --initTime 2016-08-28T16:17:32 --startdatetime 2016-08-28T16:26:36 --delay 1 --endMP 204:141 --enddatetime 2016-08-28T17:08:02 --enforcementcount 0 &gt;&gt;C:\Users\stu\Documents\GitHub\eaglep3-reporting\EC\2016-08-28-refined-times.txt</v>
      </c>
      <c r="AI108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{"issue":{"subject":"","project_id":79,"tracker_id":40,"status_id":1,"priority_id":2,"assigned_to_id":23,"start_date":"2016-08-28","description":"","custom_fields":[{"id":1,"name":"Subdivision","value":"EC"},{"id":4,"name":"Milepost","value":"23.2863"},{"id":17,"name":"Train ID","value":"196-28"},{"id":16,"name":"Locomotive ID","value":"4001"},{"id":130,"name":"Impact","value":""},{"id":150,"name":"Time of Event (Mountain Time)","value":"17:08:02"},{"id":151,"name":"Denver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477</v>
      </c>
      <c r="B109" s="7">
        <v>4003</v>
      </c>
      <c r="C109" s="24" t="s">
        <v>113</v>
      </c>
      <c r="D109" s="24" t="s">
        <v>125</v>
      </c>
      <c r="E109" s="15">
        <v>42610.645671296297</v>
      </c>
      <c r="F109" s="15">
        <v>42610.659872685188</v>
      </c>
      <c r="G109" s="7">
        <v>19</v>
      </c>
      <c r="H109" s="15" t="s">
        <v>637</v>
      </c>
      <c r="I109" s="15">
        <v>42610.684328703705</v>
      </c>
      <c r="J109" s="7">
        <v>0</v>
      </c>
      <c r="K109" s="132" t="str">
        <f t="shared" si="34"/>
        <v>4003/4004</v>
      </c>
      <c r="L109" s="24" t="str">
        <f>VLOOKUP(A109,'Trips&amp;Operators'!$C$1:$E$10000,3,FALSE)</f>
        <v>DE LA ROSA</v>
      </c>
      <c r="M109" s="6">
        <f t="shared" si="35"/>
        <v>2.4456018516502809E-2</v>
      </c>
      <c r="N109" s="7">
        <f t="shared" si="36"/>
        <v>35.216666663764045</v>
      </c>
      <c r="O109" s="7"/>
      <c r="P109" s="7"/>
      <c r="Q109" s="25"/>
      <c r="R109" s="25"/>
      <c r="S109" s="37">
        <f t="shared" si="37"/>
        <v>1</v>
      </c>
      <c r="T109" s="52" t="str">
        <f t="shared" si="38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14:29:46-0600',mode:absolute,to:'2016-08-28 17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09" s="54" t="str">
        <f t="shared" si="40"/>
        <v>N</v>
      </c>
      <c r="X109" s="120">
        <f t="shared" si="41"/>
        <v>1</v>
      </c>
      <c r="Y109" s="69">
        <f t="shared" si="42"/>
        <v>4.5499999999999999E-2</v>
      </c>
      <c r="Z109" s="69">
        <f t="shared" si="43"/>
        <v>23.327200000000001</v>
      </c>
      <c r="AA109" s="69">
        <f t="shared" si="44"/>
        <v>23.281700000000001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si="45"/>
        <v>0197-28</v>
      </c>
      <c r="AE109" s="99" t="str">
        <f t="shared" si="46"/>
        <v>aws s3 cp s3://rtdc.mdm.uploadarchive/RTDC4003/2016-08-28/ "%USERPROFILE%\AppData\Local\Temp\OnboardLogs"\RTDC4003\2016-08-28 --recursive &amp; "%USERPROFILE%\Documents\GitHub\mrs-test-scripts\Headless Mode &amp; Sideloading\WalkAndUnGZ.bat" "%USERPROFILE%\AppData\Local\Temp\OnboardLogs"\RTDC4003\2016-08-28 &amp; 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</v>
      </c>
      <c r="AF109" s="96" t="str">
        <f t="shared" si="47"/>
        <v>"C:\Program Files (x86)\AstroGrep\AstroGrep.exe" /spath="%USERPROFILE%\AppData\Local\Temp\OnboardLogs" /stypes="*4003*20160828*" /stext=" 22:.+((SYSTEM_STATE.+slice.+state.+changed )|(ment ac)|(system.+state.+changed )|(\|lc)|(penalty)|(\[timeout)|(PRM\|1\|D)|(kpr)|(kdp))" /e /r /s</v>
      </c>
      <c r="AG109" s="1" t="str">
        <f t="shared" si="48"/>
        <v>EC</v>
      </c>
      <c r="AH109" s="100" t="str">
        <f t="shared" si="49"/>
        <v>"%USERPROFILE%\Documents\GitHub\eaglep3\Utilities\RefineRTDCRunTimes.py" --tripid 197-28 --locoid 4003 --swversion DE.1.0.7.0 --startMP 204:455 --initTime 2016-08-28T15:29:46 --startdatetime 2016-08-28T15:50:13 --delay 19 --endMP 204:233272 --enddatetime 2016-08-28T16:25:26 --enforcementcount 0 &gt;&gt;C:\Users\stu\Documents\GitHub\eaglep3-reporting\EC\2016-08-28-refined-times.txt</v>
      </c>
      <c r="AI109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{"issue":{"subject":"","project_id":79,"tracker_id":40,"status_id":1,"priority_id":2,"assigned_to_id":23,"start_date":"2016-08-28","description":"","custom_fields":[{"id":1,"name":"Subdivision","value":"EC"},{"id":4,"name":"Milepost","value":"23.2817"},{"id":17,"name":"Train ID","value":"197-28"},{"id":16,"name":"Locomotive ID","value":"4003"},{"id":130,"name":"Impact","value":""},{"id":150,"name":"Time of Event (Mountain Time)","value":"16:25:26"},{"id":151,"name":"Denver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483</v>
      </c>
      <c r="B110" s="7">
        <v>4004</v>
      </c>
      <c r="C110" s="24" t="s">
        <v>113</v>
      </c>
      <c r="D110" s="24" t="s">
        <v>244</v>
      </c>
      <c r="E110" s="15">
        <v>42610.693020833336</v>
      </c>
      <c r="F110" s="15">
        <v>42610.695555555554</v>
      </c>
      <c r="G110" s="7">
        <v>1</v>
      </c>
      <c r="H110" s="15" t="s">
        <v>155</v>
      </c>
      <c r="I110" s="15">
        <v>42610.722430555557</v>
      </c>
      <c r="J110" s="7">
        <v>0</v>
      </c>
      <c r="K110" s="132" t="str">
        <f t="shared" si="34"/>
        <v>4003/4004</v>
      </c>
      <c r="L110" s="24" t="str">
        <f>VLOOKUP(A110,'Trips&amp;Operators'!$C$1:$E$10000,3,FALSE)</f>
        <v>DE LA ROSA</v>
      </c>
      <c r="M110" s="6">
        <f t="shared" si="35"/>
        <v>2.6875000003201421E-2</v>
      </c>
      <c r="N110" s="7">
        <f t="shared" si="36"/>
        <v>38.700000004610047</v>
      </c>
      <c r="O110" s="7"/>
      <c r="P110" s="7"/>
      <c r="Q110" s="25"/>
      <c r="R110" s="25"/>
      <c r="S110" s="37">
        <f t="shared" si="37"/>
        <v>1</v>
      </c>
      <c r="T110" s="52" t="str">
        <f t="shared" si="38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15:37:57-0600',mode:absolute,to:'2016-08-28 18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10" s="54" t="str">
        <f t="shared" si="40"/>
        <v>N</v>
      </c>
      <c r="X110" s="120">
        <f t="shared" si="41"/>
        <v>1</v>
      </c>
      <c r="Y110" s="69">
        <f t="shared" si="42"/>
        <v>23.297999999999998</v>
      </c>
      <c r="Z110" s="69">
        <f t="shared" si="43"/>
        <v>1.54E-2</v>
      </c>
      <c r="AA110" s="69">
        <f t="shared" si="44"/>
        <v>23.282599999999999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45"/>
        <v>0198-28</v>
      </c>
      <c r="AE110" s="99" t="str">
        <f t="shared" si="46"/>
        <v>aws s3 cp s3://rtdc.mdm.uploadarchive/RTDC4004/2016-08-28/ "%USERPROFILE%\AppData\Local\Temp\OnboardLogs"\RTDC4004\2016-08-28 --recursive &amp; "%USERPROFILE%\Documents\GitHub\mrs-test-scripts\Headless Mode &amp; Sideloading\WalkAndUnGZ.bat" "%USERPROFILE%\AppData\Local\Temp\OnboardLogs"\RTDC4004\2016-08-28 &amp; 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</v>
      </c>
      <c r="AF110" s="96" t="str">
        <f t="shared" si="47"/>
        <v>"C:\Program Files (x86)\AstroGrep\AstroGrep.exe" /spath="%USERPROFILE%\AppData\Local\Temp\OnboardLogs" /stypes="*4004*20160828*" /stext=" 23:.+((SYSTEM_STATE.+slice.+state.+changed )|(ment ac)|(system.+state.+changed )|(\|lc)|(penalty)|(\[timeout)|(PRM\|1\|D)|(kpr)|(kdp))" /e /r /s</v>
      </c>
      <c r="AG110" s="1" t="str">
        <f t="shared" si="48"/>
        <v>EC</v>
      </c>
      <c r="AH110" s="100" t="str">
        <f t="shared" si="49"/>
        <v>"%USERPROFILE%\Documents\GitHub\eaglep3\Utilities\RefineRTDCRunTimes.py" --tripid 198-28 --locoid 4004 --swversion DE.1.0.7.0 --startMP 204:232980 --initTime 2016-08-28T16:37:57 --startdatetime 2016-08-28T16:41:36 --delay 1 --endMP 204:154 --enddatetime 2016-08-28T17:20:18 --enforcementcount 0 &gt;&gt;C:\Users\stu\Documents\GitHub\eaglep3-reporting\EC\2016-08-28-refined-times.txt</v>
      </c>
      <c r="AI110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{"issue":{"subject":"","project_id":79,"tracker_id":40,"status_id":1,"priority_id":2,"assigned_to_id":23,"start_date":"2016-08-28","description":"","custom_fields":[{"id":1,"name":"Subdivision","value":"EC"},{"id":4,"name":"Milepost","value":"23.2826"},{"id":17,"name":"Train ID","value":"198-28"},{"id":16,"name":"Locomotive ID","value":"4004"},{"id":130,"name":"Impact","value":""},{"id":150,"name":"Time of Event (Mountain Time)","value":"17:20:18"},{"id":151,"name":"Denver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478</v>
      </c>
      <c r="B111" s="7">
        <v>4040</v>
      </c>
      <c r="C111" s="24" t="s">
        <v>113</v>
      </c>
      <c r="D111" s="24" t="s">
        <v>638</v>
      </c>
      <c r="E111" s="15">
        <v>42610.663298611114</v>
      </c>
      <c r="F111" s="15">
        <v>42610.66684027778</v>
      </c>
      <c r="G111" s="7">
        <v>1</v>
      </c>
      <c r="H111" s="15" t="s">
        <v>639</v>
      </c>
      <c r="I111" s="15">
        <v>42610.693009259259</v>
      </c>
      <c r="J111" s="7">
        <v>0</v>
      </c>
      <c r="K111" s="132" t="str">
        <f t="shared" si="34"/>
        <v>4039/4040</v>
      </c>
      <c r="L111" s="24" t="str">
        <f>VLOOKUP(A111,'Trips&amp;Operators'!$C$1:$E$10000,3,FALSE)</f>
        <v>SHOOK</v>
      </c>
      <c r="M111" s="6">
        <f t="shared" si="35"/>
        <v>2.6168981479713693E-2</v>
      </c>
      <c r="N111" s="7">
        <f t="shared" si="36"/>
        <v>37.683333330787718</v>
      </c>
      <c r="O111" s="7"/>
      <c r="P111" s="7"/>
      <c r="Q111" s="25"/>
      <c r="R111" s="25"/>
      <c r="S111" s="37">
        <f t="shared" si="37"/>
        <v>1</v>
      </c>
      <c r="T111" s="52" t="str">
        <f t="shared" si="38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https://search-rtdc-monitor-bjffxe2xuh6vdkpspy63sjmuny.us-east-1.es.amazonaws.com/_plugin/kibana/#/discover/Steve-Slow-Train-Analysis-(2080s-and-2083s)?_g=(refreshInterval:(display:Off,section:0,value:0),time:(from:'2016-08-28 14:55:09-0600',mode:absolute,to:'2016-08-28 17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11" s="54" t="str">
        <f t="shared" si="40"/>
        <v>N</v>
      </c>
      <c r="X111" s="120">
        <f t="shared" si="41"/>
        <v>1</v>
      </c>
      <c r="Y111" s="69">
        <f t="shared" si="42"/>
        <v>4.4200000000000003E-2</v>
      </c>
      <c r="Z111" s="69">
        <f t="shared" si="43"/>
        <v>23.337800000000001</v>
      </c>
      <c r="AA111" s="69">
        <f t="shared" si="44"/>
        <v>23.293600000000001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45"/>
        <v>0199-28</v>
      </c>
      <c r="AE111" s="99" t="str">
        <f t="shared" si="46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111" s="96" t="str">
        <f t="shared" si="47"/>
        <v>"C:\Program Files (x86)\AstroGrep\AstroGrep.exe" /spath="%USERPROFILE%\AppData\Local\Temp\OnboardLogs" /stypes="*4040*20160828*" /stext=" 22:.+((SYSTEM_STATE.+slice.+state.+changed )|(ment ac)|(system.+state.+changed )|(\|lc)|(penalty)|(\[timeout)|(PRM\|1\|D)|(kpr)|(kdp))" /e /r /s</v>
      </c>
      <c r="AG111" s="1" t="str">
        <f t="shared" si="48"/>
        <v>EC</v>
      </c>
      <c r="AH111" s="100" t="str">
        <f t="shared" si="49"/>
        <v>"%USERPROFILE%\Documents\GitHub\eaglep3\Utilities\RefineRTDCRunTimes.py" --tripid 199-28 --locoid 4040 --swversion DE.1.0.7.0 --startMP 204:442 --initTime 2016-08-28T15:55:09 --startdatetime 2016-08-28T16:00:15 --delay 1 --endMP 204:233378 --enddatetime 2016-08-28T16:37:56 --enforcementcount 0 &gt;&gt;C:\Users\stu\Documents\GitHub\eaglep3-reporting\EC\2016-08-28-refined-times.txt</v>
      </c>
      <c r="AI111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{"issue":{"subject":"","project_id":79,"tracker_id":40,"status_id":1,"priority_id":2,"assigned_to_id":23,"start_date":"2016-08-28","description":"","custom_fields":[{"id":1,"name":"Subdivision","value":"EC"},{"id":4,"name":"Milepost","value":"23.2936"},{"id":17,"name":"Train ID","value":"199-28"},{"id":16,"name":"Locomotive ID","value":"4040"},{"id":130,"name":"Impact","value":""},{"id":150,"name":"Time of Event (Mountain Time)","value":"16:37:56"},{"id":151,"name":"Denver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487</v>
      </c>
      <c r="B112" s="7">
        <v>4039</v>
      </c>
      <c r="C112" s="24" t="s">
        <v>113</v>
      </c>
      <c r="D112" s="24" t="s">
        <v>640</v>
      </c>
      <c r="E112" s="15">
        <v>42610.699826388889</v>
      </c>
      <c r="F112" s="15">
        <v>42610.705717592595</v>
      </c>
      <c r="G112" s="7">
        <v>1</v>
      </c>
      <c r="H112" s="15" t="s">
        <v>195</v>
      </c>
      <c r="I112" s="15">
        <v>42610.732708333337</v>
      </c>
      <c r="J112" s="7">
        <v>0</v>
      </c>
      <c r="K112" s="132" t="str">
        <f t="shared" ref="K112:K143" si="83">IF(ISEVEN(B112),(B112-1)&amp;"/"&amp;B112,B112&amp;"/"&amp;(B112+1))</f>
        <v>4039/4040</v>
      </c>
      <c r="L112" s="24" t="str">
        <f>VLOOKUP(A112,'Trips&amp;Operators'!$C$1:$E$10000,3,FALSE)</f>
        <v>SHOOK</v>
      </c>
      <c r="M112" s="6">
        <f t="shared" ref="M112:M143" si="84">I112-F112</f>
        <v>2.6990740741894115E-2</v>
      </c>
      <c r="N112" s="7">
        <f t="shared" ref="N112:N143" si="85">24*60*SUM($M112:$M112)</f>
        <v>38.866666668327525</v>
      </c>
      <c r="O112" s="7"/>
      <c r="P112" s="7"/>
      <c r="Q112" s="25"/>
      <c r="R112" s="25"/>
      <c r="S112" s="37">
        <f t="shared" ref="S112:S143" si="86">SUM(U112:U112)/IF(AG112="EC",12,1)</f>
        <v>1</v>
      </c>
      <c r="T112" s="52" t="str">
        <f t="shared" ref="T112:T143" si="87">IF(ISEVEN(LEFT(AD112,4)),"Southbound","NorthBound")</f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ref="V112:V143" si="88"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https://search-rtdc-monitor-bjffxe2xuh6vdkpspy63sjmuny.us-east-1.es.amazonaws.com/_plugin/kibana/#/discover/Steve-Slow-Train-Analysis-(2080s-and-2083s)?_g=(refreshInterval:(display:Off,section:0,value:0),time:(from:'2016-08-28 15:47:45-0600',mode:absolute,to:'2016-08-28 18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12" s="54" t="str">
        <f t="shared" ref="W112:W143" si="89">IF(AA112&lt;IF(AG112="EC",23,5.65),"Y","N")</f>
        <v>N</v>
      </c>
      <c r="X112" s="120">
        <f t="shared" ref="X112:X143" si="90">VALUE(LEFT(AD112,4))-VALUE(LEFT(AD111,4))</f>
        <v>1</v>
      </c>
      <c r="Y112" s="69">
        <f t="shared" ref="Y112:Y143" si="91">RIGHT(D112,LEN(D112)-4)/10000</f>
        <v>23.306799999999999</v>
      </c>
      <c r="Z112" s="69">
        <f t="shared" ref="Z112:Z143" si="92">RIGHT(H112,LEN(H112)-4)/10000</f>
        <v>1.3899999999999999E-2</v>
      </c>
      <c r="AA112" s="69">
        <f t="shared" ref="AA112:AA143" si="93">ABS(Z112-Y112)</f>
        <v>23.292899999999999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ref="AD112:AD143" si="94">IF(LEN(A112)=6,"0"&amp;A112,A112)</f>
        <v>0200-28</v>
      </c>
      <c r="AE112" s="99" t="str">
        <f t="shared" ref="AE112:AE143" si="95">"aws s3 cp "&amp;s3_bucket&amp;"/RTDC"&amp;B112&amp;"/"&amp;TEXT(F112,"YYYY-MM-DD")&amp;"/ "&amp;search_path&amp;"\RTDC"&amp;B112&amp;"\"&amp;TEXT(F112,"YYYY-MM-DD")&amp;" --recursive &amp; """&amp;walkandungz&amp;""" "&amp;search_path&amp;"\RTDC"&amp;B112&amp;"\"&amp;TEXT(F112,"YYYY-MM-DD")
&amp;" &amp; "&amp;"aws s3 cp "&amp;s3_bucket&amp;"/RTDC"&amp;B112&amp;"/"&amp;TEXT(F112+1,"YYYY-MM-DD")&amp;"/ "&amp;search_path&amp;"\RTDC"&amp;B112&amp;"\"&amp;TEXT(F112+1,"YYYY-MM-DD")&amp;" --recursive &amp; """&amp;walkandungz&amp;""" "&amp;search_path&amp;"\RTDC"&amp;B112&amp;"\"&amp;TEXT(F112+1,"YYYY-MM-DD")</f>
        <v>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 &amp; 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</v>
      </c>
      <c r="AF112" s="96" t="str">
        <f t="shared" ref="AF112:AF143" si="96">astrogrep_path&amp;" /spath="&amp;search_path&amp;" /stypes=""*"&amp;B112&amp;"*"&amp;TEXT(I112-utc_offset/24,"YYYYMMDD")&amp;"*"" /stext="" "&amp;TEXT(I112-utc_offset/24,"HH")&amp;search_regexp&amp;""" /e /r /s"</f>
        <v>"C:\Program Files (x86)\AstroGrep\AstroGrep.exe" /spath="%USERPROFILE%\AppData\Local\Temp\OnboardLogs" /stypes="*4039*20160828*" /stext=" 23:.+((SYSTEM_STATE.+slice.+state.+changed )|(ment ac)|(system.+state.+changed )|(\|lc)|(penalty)|(\[timeout)|(PRM\|1\|D)|(kpr)|(kdp))" /e /r /s</v>
      </c>
      <c r="AG112" s="1" t="str">
        <f t="shared" ref="AG112:AG143" si="97">IFERROR(IF(VALUE(LEFT(AD112,2))&lt;=2,"EC",IF(OR(VALUE(LEFT(AD112,2))=8,VALUE(LEFT(AD112,2))=18),"NW","Other")),"Other")</f>
        <v>EC</v>
      </c>
      <c r="AH112" s="100" t="str">
        <f t="shared" si="49"/>
        <v>"%USERPROFILE%\Documents\GitHub\eaglep3\Utilities\RefineRTDCRunTimes.py" --tripid 200-28 --locoid 4039 --swversion DE.1.0.7.0 --startMP 204:233068 --initTime 2016-08-28T16:47:45 --startdatetime 2016-08-28T16:56:14 --delay 1 --endMP 204:139 --enddatetime 2016-08-28T17:35:06 --enforcementcount 0 &gt;&gt;C:\Users\stu\Documents\GitHub\eaglep3-reporting\EC\2016-08-28-refined-times.txt</v>
      </c>
      <c r="AI112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{"issue":{"subject":"","project_id":79,"tracker_id":40,"status_id":1,"priority_id":2,"assigned_to_id":23,"start_date":"2016-08-28","description":"","custom_fields":[{"id":1,"name":"Subdivision","value":"EC"},{"id":4,"name":"Milepost","value":"23.2929"},{"id":17,"name":"Train ID","value":"200-28"},{"id":16,"name":"Locomotive ID","value":"4039"},{"id":130,"name":"Impact","value":""},{"id":150,"name":"Time of Event (Mountain Time)","value":"17:35:06"},{"id":151,"name":"Denver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368</v>
      </c>
      <c r="B113" s="7">
        <v>4014</v>
      </c>
      <c r="C113" s="24" t="s">
        <v>113</v>
      </c>
      <c r="D113" s="24" t="s">
        <v>109</v>
      </c>
      <c r="E113" s="15">
        <v>42610.673379629632</v>
      </c>
      <c r="F113" s="15">
        <v>42610.677476851852</v>
      </c>
      <c r="G113" s="7">
        <v>1</v>
      </c>
      <c r="H113" s="15" t="s">
        <v>310</v>
      </c>
      <c r="I113" s="15">
        <v>42610.703460648147</v>
      </c>
      <c r="J113" s="7">
        <v>0</v>
      </c>
      <c r="K113" s="132" t="str">
        <f t="shared" si="83"/>
        <v>4013/4014</v>
      </c>
      <c r="L113" s="24" t="str">
        <f>VLOOKUP(A113,'Trips&amp;Operators'!$C$1:$E$10000,3,FALSE)</f>
        <v>STEWART</v>
      </c>
      <c r="M113" s="6">
        <f t="shared" si="84"/>
        <v>2.5983796294895001E-2</v>
      </c>
      <c r="N113" s="7">
        <f t="shared" si="85"/>
        <v>37.416666664648801</v>
      </c>
      <c r="O113" s="7"/>
      <c r="P113" s="7"/>
      <c r="Q113" s="25"/>
      <c r="R113" s="25"/>
      <c r="S113" s="37">
        <f t="shared" si="86"/>
        <v>1</v>
      </c>
      <c r="T113" s="52" t="str">
        <f t="shared" si="87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15:09:40-0600',mode:absolute,to:'2016-08-28 17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3" s="54" t="str">
        <f t="shared" si="89"/>
        <v>N</v>
      </c>
      <c r="X113" s="120">
        <f t="shared" si="90"/>
        <v>1</v>
      </c>
      <c r="Y113" s="69">
        <f t="shared" si="91"/>
        <v>4.6199999999999998E-2</v>
      </c>
      <c r="Z113" s="69">
        <f t="shared" si="92"/>
        <v>23.335899999999999</v>
      </c>
      <c r="AA113" s="69">
        <f t="shared" si="93"/>
        <v>23.2897</v>
      </c>
      <c r="AB113" s="66">
        <f>VLOOKUP(A113,Enforcements!$C$7:$J$21,8,0)</f>
        <v>33137</v>
      </c>
      <c r="AC113" s="62" t="str">
        <f>VLOOKUP(A113,Enforcements!$C$7:$E$21,3,0)</f>
        <v>GRADE CROSSING</v>
      </c>
      <c r="AD113" s="63" t="str">
        <f t="shared" si="94"/>
        <v>0201-28</v>
      </c>
      <c r="AE113" s="99" t="str">
        <f t="shared" si="95"/>
        <v>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 &amp; 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</v>
      </c>
      <c r="AF113" s="96" t="str">
        <f t="shared" si="96"/>
        <v>"C:\Program Files (x86)\AstroGrep\AstroGrep.exe" /spath="%USERPROFILE%\AppData\Local\Temp\OnboardLogs" /stypes="*4014*20160828*" /stext=" 22:.+((SYSTEM_STATE.+slice.+state.+changed )|(ment ac)|(system.+state.+changed )|(\|lc)|(penalty)|(\[timeout)|(PRM\|1\|D)|(kpr)|(kdp))" /e /r /s</v>
      </c>
      <c r="AG113" s="1" t="str">
        <f t="shared" si="97"/>
        <v>EC</v>
      </c>
      <c r="AH113" s="100" t="str">
        <f t="shared" si="49"/>
        <v>"%USERPROFILE%\Documents\GitHub\eaglep3\Utilities\RefineRTDCRunTimes.py" --tripid 201-28 --locoid 4014 --swversion DE.1.0.7.0 --startMP 204:462 --initTime 2016-08-28T16:09:40 --startdatetime 2016-08-28T16:15:34 --delay 1 --endMP 204:233359 --enddatetime 2016-08-28T16:52:59 --enforcementcount 0 &gt;&gt;C:\Users\stu\Documents\GitHub\eaglep3-reporting\EC\2016-08-28-refined-times.txt</v>
      </c>
      <c r="AI113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{"issue":{"subject":"","project_id":79,"tracker_id":40,"status_id":1,"priority_id":2,"assigned_to_id":23,"start_date":"2016-08-28","description":"","custom_fields":[{"id":1,"name":"Subdivision","value":"EC"},{"id":4,"name":"Milepost","value":"23.2897"},{"id":17,"name":"Train ID","value":"201-28"},{"id":16,"name":"Locomotive ID","value":"4014"},{"id":130,"name":"Impact","value":""},{"id":150,"name":"Time of Event (Mountain Time)","value":"16:52:59"},{"id":151,"name":"Denver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489</v>
      </c>
      <c r="B114" s="7">
        <v>4013</v>
      </c>
      <c r="C114" s="24" t="s">
        <v>113</v>
      </c>
      <c r="D114" s="24" t="s">
        <v>641</v>
      </c>
      <c r="E114" s="15">
        <v>42610.714907407404</v>
      </c>
      <c r="F114" s="15">
        <v>42610.716412037036</v>
      </c>
      <c r="G114" s="7">
        <v>1</v>
      </c>
      <c r="H114" s="15" t="s">
        <v>131</v>
      </c>
      <c r="I114" s="15">
        <v>42610.743206018517</v>
      </c>
      <c r="J114" s="7">
        <v>0</v>
      </c>
      <c r="K114" s="132" t="str">
        <f t="shared" si="83"/>
        <v>4013/4014</v>
      </c>
      <c r="L114" s="24" t="str">
        <f>VLOOKUP(A114,'Trips&amp;Operators'!$C$1:$E$10000,3,FALSE)</f>
        <v>STEWART</v>
      </c>
      <c r="M114" s="6">
        <f t="shared" si="84"/>
        <v>2.679398148029577E-2</v>
      </c>
      <c r="N114" s="7">
        <f t="shared" si="85"/>
        <v>38.583333331625909</v>
      </c>
      <c r="O114" s="7"/>
      <c r="P114" s="7"/>
      <c r="Q114" s="25"/>
      <c r="R114" s="25"/>
      <c r="S114" s="37">
        <f t="shared" si="86"/>
        <v>1</v>
      </c>
      <c r="T114" s="52" t="str">
        <f t="shared" si="87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16:09:28-0600',mode:absolute,to:'2016-08-28 18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4" s="54" t="str">
        <f t="shared" si="89"/>
        <v>N</v>
      </c>
      <c r="X114" s="120">
        <f t="shared" si="90"/>
        <v>1</v>
      </c>
      <c r="Y114" s="69">
        <f t="shared" si="91"/>
        <v>23.3049</v>
      </c>
      <c r="Z114" s="69">
        <f t="shared" si="92"/>
        <v>1.5800000000000002E-2</v>
      </c>
      <c r="AA114" s="69">
        <f t="shared" si="93"/>
        <v>23.289100000000001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94"/>
        <v>0202-28</v>
      </c>
      <c r="AE114" s="99" t="str">
        <f t="shared" si="95"/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AF114" s="96" t="str">
        <f t="shared" si="96"/>
        <v>"C:\Program Files (x86)\AstroGrep\AstroGrep.exe" /spath="%USERPROFILE%\AppData\Local\Temp\OnboardLogs" /stypes="*4013*20160828*" /stext=" 23:.+((SYSTEM_STATE.+slice.+state.+changed )|(ment ac)|(system.+state.+changed )|(\|lc)|(penalty)|(\[timeout)|(PRM\|1\|D)|(kpr)|(kdp))" /e /r /s</v>
      </c>
      <c r="AG114" s="1" t="str">
        <f t="shared" si="97"/>
        <v>EC</v>
      </c>
      <c r="AH114" s="100" t="str">
        <f t="shared" si="49"/>
        <v>"%USERPROFILE%\Documents\GitHub\eaglep3\Utilities\RefineRTDCRunTimes.py" --tripid 202-28 --locoid 4013 --swversion DE.1.0.7.0 --startMP 204:233049 --initTime 2016-08-28T17:09:28 --startdatetime 2016-08-28T17:11:38 --delay 1 --endMP 204:158 --enddatetime 2016-08-28T17:50:13 --enforcementcount 0 &gt;&gt;C:\Users\stu\Documents\GitHub\eaglep3-reporting\EC\2016-08-28-refined-times.txt</v>
      </c>
      <c r="AI114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{"issue":{"subject":"","project_id":79,"tracker_id":40,"status_id":1,"priority_id":2,"assigned_to_id":23,"start_date":"2016-08-28","description":"","custom_fields":[{"id":1,"name":"Subdivision","value":"EC"},{"id":4,"name":"Milepost","value":"23.2891"},{"id":17,"name":"Train ID","value":"202-28"},{"id":16,"name":"Locomotive ID","value":"4013"},{"id":130,"name":"Impact","value":""},{"id":150,"name":"Time of Event (Mountain Time)","value":"17:50:13"},{"id":151,"name":"Denver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482</v>
      </c>
      <c r="B115" s="7">
        <v>4042</v>
      </c>
      <c r="C115" s="24" t="s">
        <v>113</v>
      </c>
      <c r="D115" s="24" t="s">
        <v>638</v>
      </c>
      <c r="E115" s="15">
        <v>42610.684618055559</v>
      </c>
      <c r="F115" s="15">
        <v>42610.687835648147</v>
      </c>
      <c r="G115" s="7">
        <v>2</v>
      </c>
      <c r="H115" s="15" t="s">
        <v>642</v>
      </c>
      <c r="I115" s="15">
        <v>42610.713634259257</v>
      </c>
      <c r="J115" s="7">
        <v>0</v>
      </c>
      <c r="K115" s="132" t="str">
        <f t="shared" si="83"/>
        <v>4041/4042</v>
      </c>
      <c r="L115" s="24" t="str">
        <f>VLOOKUP(A115,'Trips&amp;Operators'!$C$1:$E$10000,3,FALSE)</f>
        <v>BARTLETT</v>
      </c>
      <c r="M115" s="6">
        <f t="shared" si="84"/>
        <v>2.5798611110076308E-2</v>
      </c>
      <c r="N115" s="7">
        <f t="shared" si="85"/>
        <v>37.149999998509884</v>
      </c>
      <c r="O115" s="7"/>
      <c r="P115" s="7"/>
      <c r="Q115" s="25"/>
      <c r="R115" s="25"/>
      <c r="S115" s="37">
        <f t="shared" si="86"/>
        <v>1</v>
      </c>
      <c r="T115" s="52" t="str">
        <f t="shared" si="87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15:25:51-0600',mode:absolute,to:'2016-08-28 18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5" s="54" t="str">
        <f t="shared" si="89"/>
        <v>N</v>
      </c>
      <c r="X115" s="120">
        <f t="shared" si="90"/>
        <v>1</v>
      </c>
      <c r="Y115" s="69">
        <f t="shared" si="91"/>
        <v>4.4200000000000003E-2</v>
      </c>
      <c r="Z115" s="69">
        <f t="shared" si="92"/>
        <v>23.334</v>
      </c>
      <c r="AA115" s="69">
        <f t="shared" si="93"/>
        <v>23.2898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94"/>
        <v>0203-28</v>
      </c>
      <c r="AE115" s="99" t="str">
        <f t="shared" si="95"/>
        <v>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 &amp; 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</v>
      </c>
      <c r="AF115" s="96" t="str">
        <f t="shared" si="96"/>
        <v>"C:\Program Files (x86)\AstroGrep\AstroGrep.exe" /spath="%USERPROFILE%\AppData\Local\Temp\OnboardLogs" /stypes="*4042*20160828*" /stext=" 23:.+((SYSTEM_STATE.+slice.+state.+changed )|(ment ac)|(system.+state.+changed )|(\|lc)|(penalty)|(\[timeout)|(PRM\|1\|D)|(kpr)|(kdp))" /e /r /s</v>
      </c>
      <c r="AG115" s="1" t="str">
        <f t="shared" si="97"/>
        <v>EC</v>
      </c>
      <c r="AH115" s="100" t="str">
        <f t="shared" si="49"/>
        <v>"%USERPROFILE%\Documents\GitHub\eaglep3\Utilities\RefineRTDCRunTimes.py" --tripid 203-28 --locoid 4042 --swversion DE.1.0.7.0 --startMP 204:442 --initTime 2016-08-28T16:25:51 --startdatetime 2016-08-28T16:30:29 --delay 2 --endMP 204:233340 --enddatetime 2016-08-28T17:07:38 --enforcementcount 0 &gt;&gt;C:\Users\stu\Documents\GitHub\eaglep3-reporting\EC\2016-08-28-refined-times.txt</v>
      </c>
      <c r="AI115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{"issue":{"subject":"","project_id":79,"tracker_id":40,"status_id":1,"priority_id":2,"assigned_to_id":23,"start_date":"2016-08-28","description":"","custom_fields":[{"id":1,"name":"Subdivision","value":"EC"},{"id":4,"name":"Milepost","value":"23.2898"},{"id":17,"name":"Train ID","value":"203-28"},{"id":16,"name":"Locomotive ID","value":"4042"},{"id":130,"name":"Impact","value":""},{"id":150,"name":"Time of Event (Mountain Time)","value":"17:07:38"},{"id":151,"name":"Denver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490</v>
      </c>
      <c r="B116" s="7">
        <v>4041</v>
      </c>
      <c r="C116" s="24" t="s">
        <v>113</v>
      </c>
      <c r="D116" s="24" t="s">
        <v>324</v>
      </c>
      <c r="E116" s="15">
        <v>42610.715729166666</v>
      </c>
      <c r="F116" s="15">
        <v>42610.726840277777</v>
      </c>
      <c r="G116" s="7">
        <v>0</v>
      </c>
      <c r="H116" s="15" t="s">
        <v>195</v>
      </c>
      <c r="I116" s="15">
        <v>42610.754224537035</v>
      </c>
      <c r="J116" s="7">
        <v>0</v>
      </c>
      <c r="K116" s="132" t="str">
        <f t="shared" si="83"/>
        <v>4041/4042</v>
      </c>
      <c r="L116" s="24" t="str">
        <f>VLOOKUP(A116,'Trips&amp;Operators'!$C$1:$E$10000,3,FALSE)</f>
        <v>BARTLETT</v>
      </c>
      <c r="M116" s="6">
        <f t="shared" si="84"/>
        <v>2.7384259257814847E-2</v>
      </c>
      <c r="N116" s="7">
        <f t="shared" si="85"/>
        <v>39.43333333125338</v>
      </c>
      <c r="O116" s="7"/>
      <c r="P116" s="7"/>
      <c r="Q116" s="25"/>
      <c r="R116" s="25"/>
      <c r="S116" s="37">
        <f t="shared" si="86"/>
        <v>1</v>
      </c>
      <c r="T116" s="52" t="str">
        <f t="shared" si="87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16:10:39-0600',mode:absolute,to:'2016-08-28 19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16" s="54" t="str">
        <f t="shared" si="89"/>
        <v>N</v>
      </c>
      <c r="X116" s="120">
        <f t="shared" si="90"/>
        <v>1</v>
      </c>
      <c r="Y116" s="69">
        <f t="shared" si="91"/>
        <v>23.303000000000001</v>
      </c>
      <c r="Z116" s="69">
        <f t="shared" si="92"/>
        <v>1.3899999999999999E-2</v>
      </c>
      <c r="AA116" s="69">
        <f t="shared" si="93"/>
        <v>23.289100000000001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94"/>
        <v>0204-28</v>
      </c>
      <c r="AE116" s="99" t="str">
        <f t="shared" si="95"/>
        <v>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 &amp; aws s3 cp s3://rtdc.mdm.uploadarchive/RTDC4041/2016-08-29/ "%USERPROFILE%\AppData\Local\Temp\OnboardLogs"\RTDC4041\2016-08-29 --recursive &amp; "%USERPROFILE%\Documents\GitHub\mrs-test-scripts\Headless Mode &amp; Sideloading\WalkAndUnGZ.bat" "%USERPROFILE%\AppData\Local\Temp\OnboardLogs"\RTDC4041\2016-08-29</v>
      </c>
      <c r="AF116" s="96" t="str">
        <f t="shared" si="96"/>
        <v>"C:\Program Files (x86)\AstroGrep\AstroGrep.exe" /spath="%USERPROFILE%\AppData\Local\Temp\OnboardLogs" /stypes="*4041*20160829*" /stext=" 00:.+((SYSTEM_STATE.+slice.+state.+changed )|(ment ac)|(system.+state.+changed )|(\|lc)|(penalty)|(\[timeout)|(PRM\|1\|D)|(kpr)|(kdp))" /e /r /s</v>
      </c>
      <c r="AG116" s="1" t="str">
        <f t="shared" si="97"/>
        <v>EC</v>
      </c>
      <c r="AH116" s="100" t="str">
        <f t="shared" si="49"/>
        <v>"%USERPROFILE%\Documents\GitHub\eaglep3\Utilities\RefineRTDCRunTimes.py" --tripid 204-28 --locoid 4041 --swversion DE.1.0.7.0 --startMP 204:233030 --initTime 2016-08-28T17:10:39 --startdatetime 2016-08-28T17:26:39 --delay 0 --endMP 204:139 --enddatetime 2016-08-28T18:06:05 --enforcementcount 0 &gt;&gt;C:\Users\stu\Documents\GitHub\eaglep3-reporting\EC\2016-08-28-refined-times.txt</v>
      </c>
      <c r="AI116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{"issue":{"subject":"","project_id":79,"tracker_id":40,"status_id":1,"priority_id":2,"assigned_to_id":23,"start_date":"2016-08-28","description":"","custom_fields":[{"id":1,"name":"Subdivision","value":"EC"},{"id":4,"name":"Milepost","value":"23.2891"},{"id":17,"name":"Train ID","value":"204-28"},{"id":16,"name":"Locomotive ID","value":"4041"},{"id":130,"name":"Impact","value":""},{"id":150,"name":"Time of Event (Mountain Time)","value":"18:06:05"},{"id":151,"name":"Denver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485</v>
      </c>
      <c r="B117" s="7">
        <v>4038</v>
      </c>
      <c r="C117" s="24" t="s">
        <v>113</v>
      </c>
      <c r="D117" s="24" t="s">
        <v>187</v>
      </c>
      <c r="E117" s="15">
        <v>42610.694363425922</v>
      </c>
      <c r="F117" s="15">
        <v>42610.698101851849</v>
      </c>
      <c r="G117" s="7">
        <v>1</v>
      </c>
      <c r="H117" s="15" t="s">
        <v>286</v>
      </c>
      <c r="I117" s="15">
        <v>42610.722256944442</v>
      </c>
      <c r="J117" s="7">
        <v>0</v>
      </c>
      <c r="K117" s="132" t="str">
        <f t="shared" si="83"/>
        <v>4037/4038</v>
      </c>
      <c r="L117" s="24" t="str">
        <f>VLOOKUP(A117,'Trips&amp;Operators'!$C$1:$E$10000,3,FALSE)</f>
        <v>BRUDER</v>
      </c>
      <c r="M117" s="6">
        <f t="shared" si="84"/>
        <v>2.4155092592991423E-2</v>
      </c>
      <c r="N117" s="7">
        <f t="shared" si="85"/>
        <v>34.783333333907649</v>
      </c>
      <c r="O117" s="7"/>
      <c r="P117" s="7"/>
      <c r="Q117" s="25"/>
      <c r="R117" s="25"/>
      <c r="S117" s="37">
        <f t="shared" si="86"/>
        <v>1</v>
      </c>
      <c r="T117" s="52" t="str">
        <f t="shared" si="87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15:39:53-0600',mode:absolute,to:'2016-08-28 18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17" s="54" t="str">
        <f t="shared" si="89"/>
        <v>N</v>
      </c>
      <c r="X117" s="120">
        <f t="shared" si="90"/>
        <v>1</v>
      </c>
      <c r="Y117" s="69">
        <f t="shared" si="91"/>
        <v>4.5999999999999999E-2</v>
      </c>
      <c r="Z117" s="69">
        <f t="shared" si="92"/>
        <v>23.329499999999999</v>
      </c>
      <c r="AA117" s="69">
        <f t="shared" si="93"/>
        <v>23.2835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94"/>
        <v>0205-28</v>
      </c>
      <c r="AE117" s="99" t="str">
        <f t="shared" si="95"/>
        <v>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 &amp; 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</v>
      </c>
      <c r="AF117" s="96" t="str">
        <f t="shared" si="96"/>
        <v>"C:\Program Files (x86)\AstroGrep\AstroGrep.exe" /spath="%USERPROFILE%\AppData\Local\Temp\OnboardLogs" /stypes="*4038*20160828*" /stext=" 23:.+((SYSTEM_STATE.+slice.+state.+changed )|(ment ac)|(system.+state.+changed )|(\|lc)|(penalty)|(\[timeout)|(PRM\|1\|D)|(kpr)|(kdp))" /e /r /s</v>
      </c>
      <c r="AG117" s="1" t="str">
        <f t="shared" si="97"/>
        <v>EC</v>
      </c>
      <c r="AH117" s="100" t="str">
        <f t="shared" si="49"/>
        <v>"%USERPROFILE%\Documents\GitHub\eaglep3\Utilities\RefineRTDCRunTimes.py" --tripid 205-28 --locoid 4038 --swversion DE.1.0.7.0 --startMP 204:460 --initTime 2016-08-28T16:39:53 --startdatetime 2016-08-28T16:45:16 --delay 1 --endMP 204:233295 --enddatetime 2016-08-28T17:20:03 --enforcementcount 0 &gt;&gt;C:\Users\stu\Documents\GitHub\eaglep3-reporting\EC\2016-08-28-refined-times.txt</v>
      </c>
      <c r="AI117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{"issue":{"subject":"","project_id":79,"tracker_id":40,"status_id":1,"priority_id":2,"assigned_to_id":23,"start_date":"2016-08-28","description":"","custom_fields":[{"id":1,"name":"Subdivision","value":"EC"},{"id":4,"name":"Milepost","value":"23.2835"},{"id":17,"name":"Train ID","value":"205-28"},{"id":16,"name":"Locomotive ID","value":"4038"},{"id":130,"name":"Impact","value":""},{"id":150,"name":"Time of Event (Mountain Time)","value":"17:20:03"},{"id":151,"name":"Denver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496</v>
      </c>
      <c r="B118" s="7">
        <v>4037</v>
      </c>
      <c r="C118" s="24" t="s">
        <v>113</v>
      </c>
      <c r="D118" s="24" t="s">
        <v>279</v>
      </c>
      <c r="E118" s="15">
        <v>42610.731261574074</v>
      </c>
      <c r="F118" s="15">
        <v>42610.737013888887</v>
      </c>
      <c r="G118" s="7">
        <v>1</v>
      </c>
      <c r="H118" s="15" t="s">
        <v>132</v>
      </c>
      <c r="I118" s="15">
        <v>42610.763553240744</v>
      </c>
      <c r="J118" s="7">
        <v>0</v>
      </c>
      <c r="K118" s="132" t="str">
        <f t="shared" si="83"/>
        <v>4037/4038</v>
      </c>
      <c r="L118" s="24" t="str">
        <f>VLOOKUP(A118,'Trips&amp;Operators'!$C$1:$E$10000,3,FALSE)</f>
        <v>BRUDER</v>
      </c>
      <c r="M118" s="6">
        <f t="shared" si="84"/>
        <v>2.6539351856627036E-2</v>
      </c>
      <c r="N118" s="7">
        <f t="shared" si="85"/>
        <v>38.216666673542932</v>
      </c>
      <c r="O118" s="7"/>
      <c r="P118" s="7"/>
      <c r="Q118" s="25"/>
      <c r="R118" s="25"/>
      <c r="S118" s="37">
        <f t="shared" si="86"/>
        <v>1</v>
      </c>
      <c r="T118" s="52" t="str">
        <f t="shared" si="87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16:33:01-0600',mode:absolute,to:'2016-08-28 19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18" s="54" t="str">
        <f t="shared" si="89"/>
        <v>N</v>
      </c>
      <c r="X118" s="120">
        <f t="shared" si="90"/>
        <v>1</v>
      </c>
      <c r="Y118" s="69">
        <f t="shared" si="91"/>
        <v>23.2971</v>
      </c>
      <c r="Z118" s="69">
        <f t="shared" si="92"/>
        <v>1.47E-2</v>
      </c>
      <c r="AA118" s="69">
        <f t="shared" si="93"/>
        <v>23.282399999999999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94"/>
        <v>0206-28</v>
      </c>
      <c r="AE118" s="99" t="str">
        <f t="shared" si="95"/>
        <v>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 &amp; 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</v>
      </c>
      <c r="AF118" s="96" t="str">
        <f t="shared" si="96"/>
        <v>"C:\Program Files (x86)\AstroGrep\AstroGrep.exe" /spath="%USERPROFILE%\AppData\Local\Temp\OnboardLogs" /stypes="*4037*20160829*" /stext=" 00:.+((SYSTEM_STATE.+slice.+state.+changed )|(ment ac)|(system.+state.+changed )|(\|lc)|(penalty)|(\[timeout)|(PRM\|1\|D)|(kpr)|(kdp))" /e /r /s</v>
      </c>
      <c r="AG118" s="1" t="str">
        <f t="shared" si="97"/>
        <v>EC</v>
      </c>
      <c r="AH118" s="100" t="str">
        <f t="shared" si="49"/>
        <v>"%USERPROFILE%\Documents\GitHub\eaglep3\Utilities\RefineRTDCRunTimes.py" --tripid 206-28 --locoid 4037 --swversion DE.1.0.7.0 --startMP 204:232971 --initTime 2016-08-28T17:33:01 --startdatetime 2016-08-28T17:41:18 --delay 1 --endMP 204:147 --enddatetime 2016-08-28T18:19:31 --enforcementcount 0 &gt;&gt;C:\Users\stu\Documents\GitHub\eaglep3-reporting\EC\2016-08-28-refined-times.txt</v>
      </c>
      <c r="AI118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{"issue":{"subject":"","project_id":79,"tracker_id":40,"status_id":1,"priority_id":2,"assigned_to_id":23,"start_date":"2016-08-28","description":"","custom_fields":[{"id":1,"name":"Subdivision","value":"EC"},{"id":4,"name":"Milepost","value":"23.2824"},{"id":17,"name":"Train ID","value":"206-28"},{"id":16,"name":"Locomotive ID","value":"4037"},{"id":130,"name":"Impact","value":""},{"id":150,"name":"Time of Event (Mountain Time)","value":"18:19:31"},{"id":151,"name":"Denver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488</v>
      </c>
      <c r="B119" s="7">
        <v>4007</v>
      </c>
      <c r="C119" s="24" t="s">
        <v>113</v>
      </c>
      <c r="D119" s="24" t="s">
        <v>153</v>
      </c>
      <c r="E119" s="15">
        <v>42610.707268518519</v>
      </c>
      <c r="F119" s="15">
        <v>42610.709004629629</v>
      </c>
      <c r="G119" s="7">
        <v>1</v>
      </c>
      <c r="H119" s="15" t="s">
        <v>643</v>
      </c>
      <c r="I119" s="15">
        <v>42610.734490740739</v>
      </c>
      <c r="J119" s="7">
        <v>0</v>
      </c>
      <c r="K119" s="132" t="str">
        <f t="shared" si="83"/>
        <v>4007/4008</v>
      </c>
      <c r="L119" s="24" t="str">
        <f>VLOOKUP(A119,'Trips&amp;Operators'!$C$1:$E$10000,3,FALSE)</f>
        <v>MOSES</v>
      </c>
      <c r="M119" s="6">
        <f t="shared" si="84"/>
        <v>2.548611110978527E-2</v>
      </c>
      <c r="N119" s="7">
        <f t="shared" si="85"/>
        <v>36.699999998090789</v>
      </c>
      <c r="O119" s="7"/>
      <c r="P119" s="7"/>
      <c r="Q119" s="25"/>
      <c r="R119" s="25"/>
      <c r="S119" s="37">
        <f t="shared" si="86"/>
        <v>1</v>
      </c>
      <c r="T119" s="52" t="str">
        <f t="shared" si="87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15:58:28-0600',mode:absolute,to:'2016-08-28 18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19" s="54" t="str">
        <f t="shared" si="89"/>
        <v>N</v>
      </c>
      <c r="X119" s="120">
        <f t="shared" si="90"/>
        <v>1</v>
      </c>
      <c r="Y119" s="69">
        <f t="shared" si="91"/>
        <v>4.5100000000000001E-2</v>
      </c>
      <c r="Z119" s="69">
        <f t="shared" si="92"/>
        <v>23.335699999999999</v>
      </c>
      <c r="AA119" s="69">
        <f t="shared" si="93"/>
        <v>23.290599999999998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94"/>
        <v>0207-28</v>
      </c>
      <c r="AE119" s="99" t="str">
        <f t="shared" si="95"/>
        <v>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 &amp; 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</v>
      </c>
      <c r="AF119" s="96" t="str">
        <f t="shared" si="96"/>
        <v>"C:\Program Files (x86)\AstroGrep\AstroGrep.exe" /spath="%USERPROFILE%\AppData\Local\Temp\OnboardLogs" /stypes="*4007*20160828*" /stext=" 23:.+((SYSTEM_STATE.+slice.+state.+changed )|(ment ac)|(system.+state.+changed )|(\|lc)|(penalty)|(\[timeout)|(PRM\|1\|D)|(kpr)|(kdp))" /e /r /s</v>
      </c>
      <c r="AG119" s="1" t="str">
        <f t="shared" si="97"/>
        <v>EC</v>
      </c>
      <c r="AH119" s="100" t="str">
        <f t="shared" si="49"/>
        <v>"%USERPROFILE%\Documents\GitHub\eaglep3\Utilities\RefineRTDCRunTimes.py" --tripid 207-28 --locoid 4007 --swversion DE.1.0.7.0 --startMP 204:451 --initTime 2016-08-28T16:58:28 --startdatetime 2016-08-28T17:00:58 --delay 1 --endMP 204:233357 --enddatetime 2016-08-28T17:37:40 --enforcementcount 0 &gt;&gt;C:\Users\stu\Documents\GitHub\eaglep3-reporting\EC\2016-08-28-refined-times.txt</v>
      </c>
      <c r="AI119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{"issue":{"subject":"","project_id":79,"tracker_id":40,"status_id":1,"priority_id":2,"assigned_to_id":23,"start_date":"2016-08-28","description":"","custom_fields":[{"id":1,"name":"Subdivision","value":"EC"},{"id":4,"name":"Milepost","value":"23.2906"},{"id":17,"name":"Train ID","value":"207-28"},{"id":16,"name":"Locomotive ID","value":"4007"},{"id":130,"name":"Impact","value":""},{"id":150,"name":"Time of Event (Mountain Time)","value":"17:37:40"},{"id":151,"name":"Denver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499</v>
      </c>
      <c r="B120" s="7">
        <v>4008</v>
      </c>
      <c r="C120" s="24" t="s">
        <v>113</v>
      </c>
      <c r="D120" s="24" t="s">
        <v>311</v>
      </c>
      <c r="E120" s="15">
        <v>42610.744421296295</v>
      </c>
      <c r="F120" s="15">
        <v>42610.747453703705</v>
      </c>
      <c r="G120" s="7">
        <v>1</v>
      </c>
      <c r="H120" s="15" t="s">
        <v>89</v>
      </c>
      <c r="I120" s="15">
        <v>42610.775497685187</v>
      </c>
      <c r="J120" s="7">
        <v>0</v>
      </c>
      <c r="K120" s="132" t="str">
        <f t="shared" si="83"/>
        <v>4007/4008</v>
      </c>
      <c r="L120" s="24" t="str">
        <f>VLOOKUP(A120,'Trips&amp;Operators'!$C$1:$E$10000,3,FALSE)</f>
        <v>MOSES</v>
      </c>
      <c r="M120" s="6">
        <f t="shared" si="84"/>
        <v>2.8043981481459923E-2</v>
      </c>
      <c r="N120" s="7">
        <f t="shared" si="85"/>
        <v>40.383333333302289</v>
      </c>
      <c r="O120" s="7"/>
      <c r="P120" s="7"/>
      <c r="Q120" s="25"/>
      <c r="R120" s="25"/>
      <c r="S120" s="37">
        <f t="shared" si="86"/>
        <v>1</v>
      </c>
      <c r="T120" s="52" t="str">
        <f t="shared" si="87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16:51:58-0600',mode:absolute,to:'2016-08-28 19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20" s="54" t="str">
        <f t="shared" si="89"/>
        <v>N</v>
      </c>
      <c r="X120" s="120">
        <f t="shared" si="90"/>
        <v>1</v>
      </c>
      <c r="Y120" s="69">
        <f t="shared" si="91"/>
        <v>23.305299999999999</v>
      </c>
      <c r="Z120" s="69">
        <f t="shared" si="92"/>
        <v>1.43E-2</v>
      </c>
      <c r="AA120" s="69">
        <f t="shared" si="93"/>
        <v>23.291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 t="shared" si="94"/>
        <v>0208-28</v>
      </c>
      <c r="AE120" s="99" t="str">
        <f t="shared" si="95"/>
        <v>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 &amp; 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</v>
      </c>
      <c r="AF120" s="96" t="str">
        <f t="shared" si="96"/>
        <v>"C:\Program Files (x86)\AstroGrep\AstroGrep.exe" /spath="%USERPROFILE%\AppData\Local\Temp\OnboardLogs" /stypes="*4008*20160829*" /stext=" 00:.+((SYSTEM_STATE.+slice.+state.+changed )|(ment ac)|(system.+state.+changed )|(\|lc)|(penalty)|(\[timeout)|(PRM\|1\|D)|(kpr)|(kdp))" /e /r /s</v>
      </c>
      <c r="AG120" s="1" t="str">
        <f t="shared" si="97"/>
        <v>EC</v>
      </c>
      <c r="AH120" s="100" t="str">
        <f t="shared" si="49"/>
        <v>"%USERPROFILE%\Documents\GitHub\eaglep3\Utilities\RefineRTDCRunTimes.py" --tripid 208-28 --locoid 4008 --swversion DE.1.0.7.0 --startMP 204:233053 --initTime 2016-08-28T17:51:58 --startdatetime 2016-08-28T17:56:20 --delay 1 --endMP 204:143 --enddatetime 2016-08-28T18:36:43 --enforcementcount 0 &gt;&gt;C:\Users\stu\Documents\GitHub\eaglep3-reporting\EC\2016-08-28-refined-times.txt</v>
      </c>
      <c r="AI120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{"issue":{"subject":"","project_id":79,"tracker_id":40,"status_id":1,"priority_id":2,"assigned_to_id":23,"start_date":"2016-08-28","description":"","custom_fields":[{"id":1,"name":"Subdivision","value":"EC"},{"id":4,"name":"Milepost","value":"23.291"},{"id":17,"name":"Train ID","value":"208-28"},{"id":16,"name":"Locomotive ID","value":"4008"},{"id":130,"name":"Impact","value":""},{"id":150,"name":"Time of Event (Mountain Time)","value":"18:36:43"},{"id":151,"name":"Denver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491</v>
      </c>
      <c r="B121" s="7">
        <v>4002</v>
      </c>
      <c r="C121" s="24" t="s">
        <v>113</v>
      </c>
      <c r="D121" s="24" t="s">
        <v>323</v>
      </c>
      <c r="E121" s="15">
        <v>42610.716412037036</v>
      </c>
      <c r="F121" s="15">
        <v>42610.718946759262</v>
      </c>
      <c r="G121" s="7">
        <v>1</v>
      </c>
      <c r="H121" s="15" t="s">
        <v>290</v>
      </c>
      <c r="I121" s="15">
        <v>42610.743726851855</v>
      </c>
      <c r="J121" s="7">
        <v>0</v>
      </c>
      <c r="K121" s="132" t="str">
        <f t="shared" si="83"/>
        <v>4001/4002</v>
      </c>
      <c r="L121" s="24" t="str">
        <f>VLOOKUP(A121,'Trips&amp;Operators'!$C$1:$E$10000,3,FALSE)</f>
        <v>LEVERE</v>
      </c>
      <c r="M121" s="6">
        <f t="shared" si="84"/>
        <v>2.4780092593573499E-2</v>
      </c>
      <c r="N121" s="7">
        <f t="shared" si="85"/>
        <v>35.683333334745839</v>
      </c>
      <c r="O121" s="7"/>
      <c r="P121" s="7"/>
      <c r="Q121" s="25"/>
      <c r="R121" s="25"/>
      <c r="S121" s="37">
        <f t="shared" si="86"/>
        <v>1</v>
      </c>
      <c r="T121" s="52" t="str">
        <f t="shared" si="87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16:11:38-0600',mode:absolute,to:'2016-08-28 18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1" s="54" t="str">
        <f t="shared" si="89"/>
        <v>N</v>
      </c>
      <c r="X121" s="120">
        <f t="shared" si="90"/>
        <v>1</v>
      </c>
      <c r="Y121" s="69">
        <f t="shared" si="91"/>
        <v>4.7699999999999999E-2</v>
      </c>
      <c r="Z121" s="69">
        <f t="shared" si="92"/>
        <v>23.329899999999999</v>
      </c>
      <c r="AA121" s="69">
        <f t="shared" si="93"/>
        <v>23.2822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94"/>
        <v>0209-28</v>
      </c>
      <c r="AE121" s="99" t="str">
        <f t="shared" si="95"/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121" s="96" t="str">
        <f t="shared" si="96"/>
        <v>"C:\Program Files (x86)\AstroGrep\AstroGrep.exe" /spath="%USERPROFILE%\AppData\Local\Temp\OnboardLogs" /stypes="*4002*20160828*" /stext=" 23:.+((SYSTEM_STATE.+slice.+state.+changed )|(ment ac)|(system.+state.+changed )|(\|lc)|(penalty)|(\[timeout)|(PRM\|1\|D)|(kpr)|(kdp))" /e /r /s</v>
      </c>
      <c r="AG121" s="1" t="str">
        <f t="shared" si="97"/>
        <v>EC</v>
      </c>
      <c r="AH121" s="100" t="str">
        <f t="shared" si="49"/>
        <v>"%USERPROFILE%\Documents\GitHub\eaglep3\Utilities\RefineRTDCRunTimes.py" --tripid 209-28 --locoid 4002 --swversion DE.1.0.7.0 --startMP 204:477 --initTime 2016-08-28T17:11:38 --startdatetime 2016-08-28T17:15:17 --delay 1 --endMP 204:233299 --enddatetime 2016-08-28T17:50:58 --enforcementcount 0 &gt;&gt;C:\Users\stu\Documents\GitHub\eaglep3-reporting\EC\2016-08-28-refined-times.txt</v>
      </c>
      <c r="AI121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{"issue":{"subject":"","project_id":79,"tracker_id":40,"status_id":1,"priority_id":2,"assigned_to_id":23,"start_date":"2016-08-28","description":"","custom_fields":[{"id":1,"name":"Subdivision","value":"EC"},{"id":4,"name":"Milepost","value":"23.2822"},{"id":17,"name":"Train ID","value":"209-28"},{"id":16,"name":"Locomotive ID","value":"4002"},{"id":130,"name":"Impact","value":""},{"id":150,"name":"Time of Event (Mountain Time)","value":"17:50:58"},{"id":151,"name":"Denver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500</v>
      </c>
      <c r="B122" s="7">
        <v>4001</v>
      </c>
      <c r="C122" s="24" t="s">
        <v>113</v>
      </c>
      <c r="D122" s="24" t="s">
        <v>279</v>
      </c>
      <c r="E122" s="15">
        <v>42610.753159722219</v>
      </c>
      <c r="F122" s="15">
        <v>42610.758148148147</v>
      </c>
      <c r="G122" s="7">
        <v>1</v>
      </c>
      <c r="H122" s="15" t="s">
        <v>155</v>
      </c>
      <c r="I122" s="15">
        <v>42610.784571759257</v>
      </c>
      <c r="J122" s="7">
        <v>0</v>
      </c>
      <c r="K122" s="132" t="str">
        <f t="shared" si="83"/>
        <v>4001/4002</v>
      </c>
      <c r="L122" s="24" t="str">
        <f>VLOOKUP(A122,'Trips&amp;Operators'!$C$1:$E$10000,3,FALSE)</f>
        <v>LEVERE</v>
      </c>
      <c r="M122" s="6">
        <f t="shared" si="84"/>
        <v>2.6423611110658385E-2</v>
      </c>
      <c r="N122" s="7">
        <f t="shared" si="85"/>
        <v>38.049999999348074</v>
      </c>
      <c r="O122" s="7"/>
      <c r="P122" s="7"/>
      <c r="Q122" s="25"/>
      <c r="R122" s="25"/>
      <c r="S122" s="37">
        <f t="shared" si="86"/>
        <v>1</v>
      </c>
      <c r="T122" s="52" t="str">
        <f t="shared" si="87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17:04:33-0600',mode:absolute,to:'2016-08-28 19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22" s="54" t="str">
        <f t="shared" si="89"/>
        <v>N</v>
      </c>
      <c r="X122" s="120">
        <f t="shared" si="90"/>
        <v>1</v>
      </c>
      <c r="Y122" s="69">
        <f t="shared" si="91"/>
        <v>23.2971</v>
      </c>
      <c r="Z122" s="69">
        <f t="shared" si="92"/>
        <v>1.54E-2</v>
      </c>
      <c r="AA122" s="69">
        <f t="shared" si="93"/>
        <v>23.281700000000001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94"/>
        <v>0210-28</v>
      </c>
      <c r="AE122" s="99" t="str">
        <f t="shared" si="95"/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AF122" s="96" t="str">
        <f t="shared" si="96"/>
        <v>"C:\Program Files (x86)\AstroGrep\AstroGrep.exe" /spath="%USERPROFILE%\AppData\Local\Temp\OnboardLogs" /stypes="*4001*20160829*" /stext=" 00:.+((SYSTEM_STATE.+slice.+state.+changed )|(ment ac)|(system.+state.+changed )|(\|lc)|(penalty)|(\[timeout)|(PRM\|1\|D)|(kpr)|(kdp))" /e /r /s</v>
      </c>
      <c r="AG122" s="1" t="str">
        <f t="shared" si="97"/>
        <v>EC</v>
      </c>
      <c r="AH122" s="100" t="str">
        <f t="shared" si="49"/>
        <v>"%USERPROFILE%\Documents\GitHub\eaglep3\Utilities\RefineRTDCRunTimes.py" --tripid 210-28 --locoid 4001 --swversion DE.1.0.7.0 --startMP 204:232971 --initTime 2016-08-28T18:04:33 --startdatetime 2016-08-28T18:11:44 --delay 1 --endMP 204:154 --enddatetime 2016-08-28T18:49:47 --enforcementcount 0 &gt;&gt;C:\Users\stu\Documents\GitHub\eaglep3-reporting\EC\2016-08-28-refined-times.txt</v>
      </c>
      <c r="AI122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{"issue":{"subject":"","project_id":79,"tracker_id":40,"status_id":1,"priority_id":2,"assigned_to_id":23,"start_date":"2016-08-28","description":"","custom_fields":[{"id":1,"name":"Subdivision","value":"EC"},{"id":4,"name":"Milepost","value":"23.2817"},{"id":17,"name":"Train ID","value":"210-28"},{"id":16,"name":"Locomotive ID","value":"4001"},{"id":130,"name":"Impact","value":""},{"id":150,"name":"Time of Event (Mountain Time)","value":"18:49:47"},{"id":151,"name":"Denver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494</v>
      </c>
      <c r="B123" s="7">
        <v>4003</v>
      </c>
      <c r="C123" s="24" t="s">
        <v>113</v>
      </c>
      <c r="D123" s="24" t="s">
        <v>125</v>
      </c>
      <c r="E123" s="15">
        <v>42610.72457175926</v>
      </c>
      <c r="F123" s="15">
        <v>42610.729537037034</v>
      </c>
      <c r="G123" s="7">
        <v>1</v>
      </c>
      <c r="H123" s="15" t="s">
        <v>644</v>
      </c>
      <c r="I123" s="15">
        <v>42610.755173611113</v>
      </c>
      <c r="J123" s="7">
        <v>0</v>
      </c>
      <c r="K123" s="132" t="str">
        <f t="shared" si="83"/>
        <v>4003/4004</v>
      </c>
      <c r="L123" s="24" t="str">
        <f>VLOOKUP(A123,'Trips&amp;Operators'!$C$1:$E$10000,3,FALSE)</f>
        <v>YOUNG</v>
      </c>
      <c r="M123" s="6">
        <f t="shared" si="84"/>
        <v>2.5636574078816921E-2</v>
      </c>
      <c r="N123" s="7">
        <f t="shared" si="85"/>
        <v>36.916666673496366</v>
      </c>
      <c r="O123" s="7"/>
      <c r="P123" s="7"/>
      <c r="Q123" s="25"/>
      <c r="R123" s="25"/>
      <c r="S123" s="37">
        <f t="shared" si="86"/>
        <v>1</v>
      </c>
      <c r="T123" s="52" t="str">
        <f t="shared" si="87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16:23:23-0600',mode:absolute,to:'2016-08-28 19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23" s="54" t="str">
        <f t="shared" si="89"/>
        <v>N</v>
      </c>
      <c r="X123" s="120">
        <f t="shared" si="90"/>
        <v>1</v>
      </c>
      <c r="Y123" s="69">
        <f t="shared" si="91"/>
        <v>4.5499999999999999E-2</v>
      </c>
      <c r="Z123" s="69">
        <f t="shared" si="92"/>
        <v>23.3325</v>
      </c>
      <c r="AA123" s="69">
        <f t="shared" si="93"/>
        <v>23.286999999999999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94"/>
        <v>0211-28</v>
      </c>
      <c r="AE123" s="99" t="str">
        <f t="shared" si="95"/>
        <v>aws s3 cp s3://rtdc.mdm.uploadarchive/RTDC4003/2016-08-28/ "%USERPROFILE%\AppData\Local\Temp\OnboardLogs"\RTDC4003\2016-08-28 --recursive &amp; "%USERPROFILE%\Documents\GitHub\mrs-test-scripts\Headless Mode &amp; Sideloading\WalkAndUnGZ.bat" "%USERPROFILE%\AppData\Local\Temp\OnboardLogs"\RTDC4003\2016-08-28 &amp; 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</v>
      </c>
      <c r="AF123" s="96" t="str">
        <f t="shared" si="96"/>
        <v>"C:\Program Files (x86)\AstroGrep\AstroGrep.exe" /spath="%USERPROFILE%\AppData\Local\Temp\OnboardLogs" /stypes="*4003*20160829*" /stext=" 00:.+((SYSTEM_STATE.+slice.+state.+changed )|(ment ac)|(system.+state.+changed )|(\|lc)|(penalty)|(\[timeout)|(PRM\|1\|D)|(kpr)|(kdp))" /e /r /s</v>
      </c>
      <c r="AG123" s="1" t="str">
        <f t="shared" si="97"/>
        <v>EC</v>
      </c>
      <c r="AH123" s="100" t="str">
        <f t="shared" si="49"/>
        <v>"%USERPROFILE%\Documents\GitHub\eaglep3\Utilities\RefineRTDCRunTimes.py" --tripid 211-28 --locoid 4003 --swversion DE.1.0.7.0 --startMP 204:455 --initTime 2016-08-28T17:23:23 --startdatetime 2016-08-28T17:30:32 --delay 1 --endMP 204:233325 --enddatetime 2016-08-28T18:07:27 --enforcementcount 0 &gt;&gt;C:\Users\stu\Documents\GitHub\eaglep3-reporting\EC\2016-08-28-refined-times.txt</v>
      </c>
      <c r="AI123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{"issue":{"subject":"","project_id":79,"tracker_id":40,"status_id":1,"priority_id":2,"assigned_to_id":23,"start_date":"2016-08-28","description":"","custom_fields":[{"id":1,"name":"Subdivision","value":"EC"},{"id":4,"name":"Milepost","value":"23.287"},{"id":17,"name":"Train ID","value":"211-28"},{"id":16,"name":"Locomotive ID","value":"4003"},{"id":130,"name":"Impact","value":""},{"id":150,"name":"Time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504</v>
      </c>
      <c r="B124" s="7">
        <v>4004</v>
      </c>
      <c r="C124" s="24" t="s">
        <v>113</v>
      </c>
      <c r="D124" s="24" t="s">
        <v>645</v>
      </c>
      <c r="E124" s="15">
        <v>42610.761030092595</v>
      </c>
      <c r="F124" s="15">
        <v>42610.76835648148</v>
      </c>
      <c r="G124" s="7">
        <v>2</v>
      </c>
      <c r="H124" s="15" t="s">
        <v>292</v>
      </c>
      <c r="I124" s="15">
        <v>42610.797164351854</v>
      </c>
      <c r="J124" s="7">
        <v>0</v>
      </c>
      <c r="K124" s="132" t="str">
        <f t="shared" si="83"/>
        <v>4003/4004</v>
      </c>
      <c r="L124" s="24" t="str">
        <f>VLOOKUP(A124,'Trips&amp;Operators'!$C$1:$E$10000,3,FALSE)</f>
        <v>YOUNG</v>
      </c>
      <c r="M124" s="6">
        <f t="shared" si="84"/>
        <v>2.8807870374293998E-2</v>
      </c>
      <c r="N124" s="7">
        <f t="shared" si="85"/>
        <v>41.483333338983357</v>
      </c>
      <c r="O124" s="7"/>
      <c r="P124" s="7"/>
      <c r="Q124" s="25"/>
      <c r="R124" s="25"/>
      <c r="S124" s="37">
        <f t="shared" si="86"/>
        <v>1</v>
      </c>
      <c r="T124" s="52" t="str">
        <f t="shared" si="87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17:15:53-0600',mode:absolute,to:'2016-08-28 20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24" s="54" t="str">
        <f t="shared" si="89"/>
        <v>N</v>
      </c>
      <c r="X124" s="120">
        <f t="shared" si="90"/>
        <v>1</v>
      </c>
      <c r="Y124" s="69">
        <f t="shared" si="91"/>
        <v>23.300799999999999</v>
      </c>
      <c r="Z124" s="69">
        <f t="shared" si="92"/>
        <v>1.72E-2</v>
      </c>
      <c r="AA124" s="69">
        <f t="shared" si="93"/>
        <v>23.2836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94"/>
        <v>0212-28</v>
      </c>
      <c r="AE124" s="99" t="str">
        <f t="shared" si="95"/>
        <v>aws s3 cp s3://rtdc.mdm.uploadarchive/RTDC4004/2016-08-28/ "%USERPROFILE%\AppData\Local\Temp\OnboardLogs"\RTDC4004\2016-08-28 --recursive &amp; "%USERPROFILE%\Documents\GitHub\mrs-test-scripts\Headless Mode &amp; Sideloading\WalkAndUnGZ.bat" "%USERPROFILE%\AppData\Local\Temp\OnboardLogs"\RTDC4004\2016-08-28 &amp; 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</v>
      </c>
      <c r="AF124" s="96" t="str">
        <f t="shared" si="96"/>
        <v>"C:\Program Files (x86)\AstroGrep\AstroGrep.exe" /spath="%USERPROFILE%\AppData\Local\Temp\OnboardLogs" /stypes="*4004*20160829*" /stext=" 01:.+((SYSTEM_STATE.+slice.+state.+changed )|(ment ac)|(system.+state.+changed )|(\|lc)|(penalty)|(\[timeout)|(PRM\|1\|D)|(kpr)|(kdp))" /e /r /s</v>
      </c>
      <c r="AG124" s="1" t="str">
        <f t="shared" si="97"/>
        <v>EC</v>
      </c>
      <c r="AH124" s="100" t="str">
        <f t="shared" si="49"/>
        <v>"%USERPROFILE%\Documents\GitHub\eaglep3\Utilities\RefineRTDCRunTimes.py" --tripid 212-28 --locoid 4004 --swversion DE.1.0.7.0 --startMP 204:233008 --initTime 2016-08-28T18:15:53 --startdatetime 2016-08-28T18:26:26 --delay 2 --endMP 204:172 --enddatetime 2016-08-28T19:07:55 --enforcementcount 0 &gt;&gt;C:\Users\stu\Documents\GitHub\eaglep3-reporting\EC\2016-08-28-refined-times.txt</v>
      </c>
      <c r="AI124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{"issue":{"subject":"","project_id":79,"tracker_id":40,"status_id":1,"priority_id":2,"assigned_to_id":23,"start_date":"2016-08-28","description":"","custom_fields":[{"id":1,"name":"Subdivision","value":"EC"},{"id":4,"name":"Milepost","value":"23.2836"},{"id":17,"name":"Train ID","value":"212-28"},{"id":16,"name":"Locomotive ID","value":"4004"},{"id":130,"name":"Impact","value":""},{"id":150,"name":"Time of Event (Mountain Time)","value":"19:07:55"},{"id":151,"name":"Denver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370</v>
      </c>
      <c r="B125" s="7">
        <v>4040</v>
      </c>
      <c r="C125" s="24" t="s">
        <v>113</v>
      </c>
      <c r="D125" s="24" t="s">
        <v>646</v>
      </c>
      <c r="E125" s="15">
        <v>42610.734432870369</v>
      </c>
      <c r="F125" s="15">
        <v>42610.739768518521</v>
      </c>
      <c r="G125" s="7">
        <v>1</v>
      </c>
      <c r="H125" s="15" t="s">
        <v>199</v>
      </c>
      <c r="I125" s="15">
        <v>42610.765173611115</v>
      </c>
      <c r="J125" s="7">
        <v>0</v>
      </c>
      <c r="K125" s="132" t="str">
        <f t="shared" si="83"/>
        <v>4039/4040</v>
      </c>
      <c r="L125" s="24" t="str">
        <f>VLOOKUP(A125,'Trips&amp;Operators'!$C$1:$E$10000,3,FALSE)</f>
        <v>COOLAHAN</v>
      </c>
      <c r="M125" s="6">
        <f t="shared" si="84"/>
        <v>2.5405092594155576E-2</v>
      </c>
      <c r="N125" s="7">
        <f t="shared" si="85"/>
        <v>36.58333333558403</v>
      </c>
      <c r="O125" s="7"/>
      <c r="P125" s="7"/>
      <c r="Q125" s="25"/>
      <c r="R125" s="25"/>
      <c r="S125" s="37">
        <f t="shared" si="86"/>
        <v>1</v>
      </c>
      <c r="T125" s="52" t="str">
        <f t="shared" si="87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16:37:35-0600',mode:absolute,to:'2016-08-28 19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25" s="54" t="str">
        <f t="shared" si="89"/>
        <v>N</v>
      </c>
      <c r="X125" s="120">
        <f t="shared" si="90"/>
        <v>1</v>
      </c>
      <c r="Y125" s="69">
        <f t="shared" si="91"/>
        <v>4.3099999999999999E-2</v>
      </c>
      <c r="Z125" s="69">
        <f t="shared" si="92"/>
        <v>23.332000000000001</v>
      </c>
      <c r="AA125" s="69">
        <f t="shared" si="93"/>
        <v>23.288900000000002</v>
      </c>
      <c r="AB125" s="66">
        <f>VLOOKUP(A125,Enforcements!$C$7:$J$21,8,0)</f>
        <v>63069</v>
      </c>
      <c r="AC125" s="62" t="str">
        <f>VLOOKUP(A125,Enforcements!$C$7:$E$21,3,0)</f>
        <v>GRADE CROSSING</v>
      </c>
      <c r="AD125" s="63" t="str">
        <f t="shared" si="94"/>
        <v>0213-28</v>
      </c>
      <c r="AE125" s="99" t="str">
        <f t="shared" si="95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125" s="96" t="str">
        <f t="shared" si="96"/>
        <v>"C:\Program Files (x86)\AstroGrep\AstroGrep.exe" /spath="%USERPROFILE%\AppData\Local\Temp\OnboardLogs" /stypes="*4040*20160829*" /stext=" 00:.+((SYSTEM_STATE.+slice.+state.+changed )|(ment ac)|(system.+state.+changed )|(\|lc)|(penalty)|(\[timeout)|(PRM\|1\|D)|(kpr)|(kdp))" /e /r /s</v>
      </c>
      <c r="AG125" s="1" t="str">
        <f t="shared" si="97"/>
        <v>EC</v>
      </c>
      <c r="AH125" s="100" t="str">
        <f t="shared" si="49"/>
        <v>"%USERPROFILE%\Documents\GitHub\eaglep3\Utilities\RefineRTDCRunTimes.py" --tripid 213-28 --locoid 4040 --swversion DE.1.0.7.0 --startMP 204:431 --initTime 2016-08-28T17:37:35 --startdatetime 2016-08-28T17:45:16 --delay 1 --endMP 204:233320 --enddatetime 2016-08-28T18:21:51 --enforcementcount 0 &gt;&gt;C:\Users\stu\Documents\GitHub\eaglep3-reporting\EC\2016-08-28-refined-times.txt</v>
      </c>
      <c r="AI125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{"issue":{"subject":"","project_id":79,"tracker_id":40,"status_id":1,"priority_id":2,"assigned_to_id":23,"start_date":"2016-08-28","description":"","custom_fields":[{"id":1,"name":"Subdivision","value":"EC"},{"id":4,"name":"Milepost","value":"23.2889"},{"id":17,"name":"Train ID","value":"213-28"},{"id":16,"name":"Locomotive ID","value":"4040"},{"id":130,"name":"Impact","value":""},{"id":150,"name":"Time of Event (Mountain Time)","value":"18:21:51"},{"id":151,"name":"Denver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373</v>
      </c>
      <c r="B126" s="7">
        <v>4039</v>
      </c>
      <c r="C126" s="24" t="s">
        <v>113</v>
      </c>
      <c r="D126" s="24" t="s">
        <v>341</v>
      </c>
      <c r="E126" s="15">
        <v>42610.774652777778</v>
      </c>
      <c r="F126" s="15">
        <v>42610.778807870367</v>
      </c>
      <c r="G126" s="7">
        <v>2</v>
      </c>
      <c r="H126" s="15" t="s">
        <v>131</v>
      </c>
      <c r="I126" s="15">
        <v>42610.805196759262</v>
      </c>
      <c r="J126" s="7">
        <v>0</v>
      </c>
      <c r="K126" s="132" t="str">
        <f t="shared" si="83"/>
        <v>4039/4040</v>
      </c>
      <c r="L126" s="24" t="str">
        <f>VLOOKUP(A126,'Trips&amp;Operators'!$C$1:$E$10000,3,FALSE)</f>
        <v>COOLAHAN</v>
      </c>
      <c r="M126" s="6">
        <f t="shared" si="84"/>
        <v>2.6388888894871343E-2</v>
      </c>
      <c r="N126" s="7">
        <f t="shared" si="85"/>
        <v>38.000000008614734</v>
      </c>
      <c r="O126" s="7"/>
      <c r="P126" s="7"/>
      <c r="Q126" s="25"/>
      <c r="R126" s="25"/>
      <c r="S126" s="37">
        <f t="shared" si="86"/>
        <v>1</v>
      </c>
      <c r="T126" s="52" t="str">
        <f t="shared" si="87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17:35:30-0600',mode:absolute,to:'2016-08-28 20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26" s="54" t="str">
        <f t="shared" si="89"/>
        <v>N</v>
      </c>
      <c r="X126" s="120">
        <f t="shared" si="90"/>
        <v>1</v>
      </c>
      <c r="Y126" s="69">
        <f t="shared" si="91"/>
        <v>23.298999999999999</v>
      </c>
      <c r="Z126" s="69">
        <f t="shared" si="92"/>
        <v>1.5800000000000002E-2</v>
      </c>
      <c r="AA126" s="69">
        <f t="shared" si="93"/>
        <v>23.283200000000001</v>
      </c>
      <c r="AB126" s="66">
        <f>VLOOKUP(A126,Enforcements!$C$7:$J$21,8,0)</f>
        <v>58904</v>
      </c>
      <c r="AC126" s="62" t="str">
        <f>VLOOKUP(A126,Enforcements!$C$7:$E$21,3,0)</f>
        <v>GRADE CROSSING</v>
      </c>
      <c r="AD126" s="63" t="str">
        <f t="shared" si="94"/>
        <v>0214-28</v>
      </c>
      <c r="AE126" s="99" t="str">
        <f t="shared" si="95"/>
        <v>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 &amp; 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</v>
      </c>
      <c r="AF126" s="96" t="str">
        <f t="shared" si="96"/>
        <v>"C:\Program Files (x86)\AstroGrep\AstroGrep.exe" /spath="%USERPROFILE%\AppData\Local\Temp\OnboardLogs" /stypes="*4039*20160829*" /stext=" 01:.+((SYSTEM_STATE.+slice.+state.+changed )|(ment ac)|(system.+state.+changed )|(\|lc)|(penalty)|(\[timeout)|(PRM\|1\|D)|(kpr)|(kdp))" /e /r /s</v>
      </c>
      <c r="AG126" s="1" t="str">
        <f t="shared" si="97"/>
        <v>EC</v>
      </c>
      <c r="AH126" s="100" t="str">
        <f t="shared" si="49"/>
        <v>"%USERPROFILE%\Documents\GitHub\eaglep3\Utilities\RefineRTDCRunTimes.py" --tripid 214-28 --locoid 4039 --swversion DE.1.0.7.0 --startMP 204:232990 --initTime 2016-08-28T18:35:30 --startdatetime 2016-08-28T18:41:29 --delay 2 --endMP 204:158 --enddatetime 2016-08-28T19:19:29 --enforcementcount 0 &gt;&gt;C:\Users\stu\Documents\GitHub\eaglep3-reporting\EC\2016-08-28-refined-times.txt</v>
      </c>
      <c r="AI126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{"issue":{"subject":"","project_id":79,"tracker_id":40,"status_id":1,"priority_id":2,"assigned_to_id":23,"start_date":"2016-08-28","description":"","custom_fields":[{"id":1,"name":"Subdivision","value":"EC"},{"id":4,"name":"Milepost","value":"23.2832"},{"id":17,"name":"Train ID","value":"214-28"},{"id":16,"name":"Locomotive ID","value":"4039"},{"id":130,"name":"Impact","value":""},{"id":150,"name":"Time of Event (Mountain Time)","value":"19:19:29"},{"id":151,"name":"Denver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372</v>
      </c>
      <c r="B127" s="7">
        <v>4014</v>
      </c>
      <c r="C127" s="24" t="s">
        <v>113</v>
      </c>
      <c r="D127" s="24" t="s">
        <v>281</v>
      </c>
      <c r="E127" s="15">
        <v>42610.744895833333</v>
      </c>
      <c r="F127" s="15">
        <v>42610.750277777777</v>
      </c>
      <c r="G127" s="7">
        <v>1</v>
      </c>
      <c r="H127" s="15" t="s">
        <v>647</v>
      </c>
      <c r="I127" s="15">
        <v>42610.776099537034</v>
      </c>
      <c r="J127" s="7">
        <v>0</v>
      </c>
      <c r="K127" s="132" t="str">
        <f t="shared" si="83"/>
        <v>4013/4014</v>
      </c>
      <c r="L127" s="24" t="str">
        <f>VLOOKUP(A127,'Trips&amp;Operators'!$C$1:$E$10000,3,FALSE)</f>
        <v>SHOOK</v>
      </c>
      <c r="M127" s="6">
        <f t="shared" si="84"/>
        <v>2.5821759256359655E-2</v>
      </c>
      <c r="N127" s="7">
        <f t="shared" si="85"/>
        <v>37.183333329157904</v>
      </c>
      <c r="O127" s="7"/>
      <c r="P127" s="7"/>
      <c r="Q127" s="25"/>
      <c r="R127" s="25"/>
      <c r="S127" s="37">
        <f t="shared" si="86"/>
        <v>1</v>
      </c>
      <c r="T127" s="52" t="str">
        <f t="shared" si="87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16:52:39-0600',mode:absolute,to:'2016-08-28 19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27" s="54" t="str">
        <f t="shared" si="89"/>
        <v>N</v>
      </c>
      <c r="X127" s="120">
        <f t="shared" si="90"/>
        <v>1</v>
      </c>
      <c r="Y127" s="69">
        <f t="shared" si="91"/>
        <v>4.58E-2</v>
      </c>
      <c r="Z127" s="69">
        <f t="shared" si="92"/>
        <v>23.334399999999999</v>
      </c>
      <c r="AA127" s="69">
        <f t="shared" si="93"/>
        <v>23.288599999999999</v>
      </c>
      <c r="AB127" s="66">
        <f>VLOOKUP(A127,Enforcements!$C$7:$J$21,8,0)</f>
        <v>230436</v>
      </c>
      <c r="AC127" s="62" t="str">
        <f>VLOOKUP(A127,Enforcements!$C$7:$E$21,3,0)</f>
        <v>PERMANENT SPEED RESTRICTION</v>
      </c>
      <c r="AD127" s="63" t="str">
        <f t="shared" si="94"/>
        <v>0215-28</v>
      </c>
      <c r="AE127" s="99" t="str">
        <f t="shared" si="95"/>
        <v>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 &amp; 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</v>
      </c>
      <c r="AF127" s="96" t="str">
        <f t="shared" si="96"/>
        <v>"C:\Program Files (x86)\AstroGrep\AstroGrep.exe" /spath="%USERPROFILE%\AppData\Local\Temp\OnboardLogs" /stypes="*4014*20160829*" /stext=" 00:.+((SYSTEM_STATE.+slice.+state.+changed )|(ment ac)|(system.+state.+changed )|(\|lc)|(penalty)|(\[timeout)|(PRM\|1\|D)|(kpr)|(kdp))" /e /r /s</v>
      </c>
      <c r="AG127" s="1" t="str">
        <f t="shared" si="97"/>
        <v>EC</v>
      </c>
      <c r="AH127" s="100" t="str">
        <f t="shared" si="49"/>
        <v>"%USERPROFILE%\Documents\GitHub\eaglep3\Utilities\RefineRTDCRunTimes.py" --tripid 215-28 --locoid 4014 --swversion DE.1.0.7.0 --startMP 204:458 --initTime 2016-08-28T17:52:39 --startdatetime 2016-08-28T18:00:24 --delay 1 --endMP 204:233344 --enddatetime 2016-08-28T18:37:35 --enforcementcount 0 &gt;&gt;C:\Users\stu\Documents\GitHub\eaglep3-reporting\EC\2016-08-28-refined-times.txt</v>
      </c>
      <c r="AI127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{"issue":{"subject":"","project_id":79,"tracker_id":40,"status_id":1,"priority_id":2,"assigned_to_id":23,"start_date":"2016-08-28","description":"","custom_fields":[{"id":1,"name":"Subdivision","value":"EC"},{"id":4,"name":"Milepost","value":"23.2886"},{"id":17,"name":"Train ID","value":"215-28"},{"id":16,"name":"Locomotive ID","value":"4014"},{"id":130,"name":"Impact","value":""},{"id":150,"name":"Time of Event (Mountain Time)","value":"18:37:35"},{"id":151,"name":"Denver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508</v>
      </c>
      <c r="B128" s="7">
        <v>4013</v>
      </c>
      <c r="C128" s="24" t="s">
        <v>113</v>
      </c>
      <c r="D128" s="24" t="s">
        <v>307</v>
      </c>
      <c r="E128" s="15">
        <v>42610.78465277778</v>
      </c>
      <c r="F128" s="15">
        <v>42610.789097222223</v>
      </c>
      <c r="G128" s="7">
        <v>1</v>
      </c>
      <c r="H128" s="15" t="s">
        <v>247</v>
      </c>
      <c r="I128" s="15">
        <v>42610.815451388888</v>
      </c>
      <c r="J128" s="7">
        <v>0</v>
      </c>
      <c r="K128" s="132" t="str">
        <f t="shared" si="83"/>
        <v>4013/4014</v>
      </c>
      <c r="L128" s="24" t="str">
        <f>VLOOKUP(A128,'Trips&amp;Operators'!$C$1:$E$10000,3,FALSE)</f>
        <v>SHOOK</v>
      </c>
      <c r="M128" s="6">
        <f t="shared" si="84"/>
        <v>2.6354166664532386E-2</v>
      </c>
      <c r="N128" s="7">
        <f t="shared" si="85"/>
        <v>37.949999996926636</v>
      </c>
      <c r="O128" s="7"/>
      <c r="P128" s="7"/>
      <c r="Q128" s="25"/>
      <c r="R128" s="25"/>
      <c r="S128" s="37">
        <f t="shared" si="86"/>
        <v>1</v>
      </c>
      <c r="T128" s="52" t="str">
        <f t="shared" si="87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17:49:54-0600',mode:absolute,to:'2016-08-28 20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28" s="54" t="str">
        <f t="shared" si="89"/>
        <v>N</v>
      </c>
      <c r="X128" s="120">
        <f t="shared" si="90"/>
        <v>1</v>
      </c>
      <c r="Y128" s="69">
        <f t="shared" si="91"/>
        <v>23.3034</v>
      </c>
      <c r="Z128" s="69">
        <f t="shared" si="92"/>
        <v>1.7000000000000001E-2</v>
      </c>
      <c r="AA128" s="69">
        <f t="shared" si="93"/>
        <v>23.2864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94"/>
        <v>0216-28</v>
      </c>
      <c r="AE128" s="99" t="str">
        <f t="shared" si="95"/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AF128" s="96" t="str">
        <f t="shared" si="96"/>
        <v>"C:\Program Files (x86)\AstroGrep\AstroGrep.exe" /spath="%USERPROFILE%\AppData\Local\Temp\OnboardLogs" /stypes="*4013*20160829*" /stext=" 01:.+((SYSTEM_STATE.+slice.+state.+changed )|(ment ac)|(system.+state.+changed )|(\|lc)|(penalty)|(\[timeout)|(PRM\|1\|D)|(kpr)|(kdp))" /e /r /s</v>
      </c>
      <c r="AG128" s="1" t="str">
        <f t="shared" si="97"/>
        <v>EC</v>
      </c>
      <c r="AH128" s="100" t="str">
        <f t="shared" si="49"/>
        <v>"%USERPROFILE%\Documents\GitHub\eaglep3\Utilities\RefineRTDCRunTimes.py" --tripid 216-28 --locoid 4013 --swversion DE.1.0.7.0 --startMP 204:233034 --initTime 2016-08-28T18:49:54 --startdatetime 2016-08-28T18:56:18 --delay 1 --endMP 204:170 --enddatetime 2016-08-28T19:34:15 --enforcementcount 0 &gt;&gt;C:\Users\stu\Documents\GitHub\eaglep3-reporting\EC\2016-08-28-refined-times.txt</v>
      </c>
      <c r="AI128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{"issue":{"subject":"","project_id":79,"tracker_id":40,"status_id":1,"priority_id":2,"assigned_to_id":23,"start_date":"2016-08-28","description":"","custom_fields":[{"id":1,"name":"Subdivision","value":"EC"},{"id":4,"name":"Milepost","value":"23.2864"},{"id":17,"name":"Train ID","value":"216-28"},{"id":16,"name":"Locomotive ID","value":"4013"},{"id":130,"name":"Impact","value":""},{"id":150,"name":"Time of Event (Mountain Time)","value":"19:34:15"},{"id":151,"name":"Denver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501</v>
      </c>
      <c r="B129" s="7">
        <v>4042</v>
      </c>
      <c r="C129" s="24" t="s">
        <v>113</v>
      </c>
      <c r="D129" s="24" t="s">
        <v>309</v>
      </c>
      <c r="E129" s="15">
        <v>42610.756331018521</v>
      </c>
      <c r="F129" s="15">
        <v>42610.760567129626</v>
      </c>
      <c r="G129" s="7">
        <v>1</v>
      </c>
      <c r="H129" s="15" t="s">
        <v>245</v>
      </c>
      <c r="I129" s="15">
        <v>42610.785219907404</v>
      </c>
      <c r="J129" s="7">
        <v>0</v>
      </c>
      <c r="K129" s="132" t="str">
        <f t="shared" si="83"/>
        <v>4041/4042</v>
      </c>
      <c r="L129" s="24" t="str">
        <f>VLOOKUP(A129,'Trips&amp;Operators'!$C$1:$E$10000,3,FALSE)</f>
        <v>NEWELL</v>
      </c>
      <c r="M129" s="6">
        <f t="shared" si="84"/>
        <v>2.4652777778101154E-2</v>
      </c>
      <c r="N129" s="7">
        <f t="shared" si="85"/>
        <v>35.500000000465661</v>
      </c>
      <c r="O129" s="7"/>
      <c r="P129" s="7"/>
      <c r="Q129" s="25"/>
      <c r="R129" s="25"/>
      <c r="S129" s="37">
        <f t="shared" si="86"/>
        <v>1</v>
      </c>
      <c r="T129" s="52" t="str">
        <f t="shared" si="87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17:09:07-0600',mode:absolute,to:'2016-08-28 19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29" s="54" t="str">
        <f t="shared" si="89"/>
        <v>N</v>
      </c>
      <c r="X129" s="120">
        <f t="shared" si="90"/>
        <v>1</v>
      </c>
      <c r="Y129" s="69">
        <f t="shared" si="91"/>
        <v>4.7500000000000001E-2</v>
      </c>
      <c r="Z129" s="69">
        <f t="shared" si="92"/>
        <v>23.333200000000001</v>
      </c>
      <c r="AA129" s="69">
        <f t="shared" si="93"/>
        <v>23.285700000000002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94"/>
        <v>0217-28</v>
      </c>
      <c r="AE129" s="99" t="str">
        <f t="shared" si="95"/>
        <v>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 &amp; 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</v>
      </c>
      <c r="AF129" s="96" t="str">
        <f t="shared" si="96"/>
        <v>"C:\Program Files (x86)\AstroGrep\AstroGrep.exe" /spath="%USERPROFILE%\AppData\Local\Temp\OnboardLogs" /stypes="*4042*20160829*" /stext=" 00:.+((SYSTEM_STATE.+slice.+state.+changed )|(ment ac)|(system.+state.+changed )|(\|lc)|(penalty)|(\[timeout)|(PRM\|1\|D)|(kpr)|(kdp))" /e /r /s</v>
      </c>
      <c r="AG129" s="1" t="str">
        <f t="shared" si="97"/>
        <v>EC</v>
      </c>
      <c r="AH129" s="100" t="str">
        <f t="shared" si="49"/>
        <v>"%USERPROFILE%\Documents\GitHub\eaglep3\Utilities\RefineRTDCRunTimes.py" --tripid 217-28 --locoid 4042 --swversion DE.1.0.7.0 --startMP 204:475 --initTime 2016-08-28T18:09:07 --startdatetime 2016-08-28T18:15:13 --delay 1 --endMP 204:233332 --enddatetime 2016-08-28T18:50:43 --enforcementcount 0 &gt;&gt;C:\Users\stu\Documents\GitHub\eaglep3-reporting\EC\2016-08-28-refined-times.txt</v>
      </c>
      <c r="AI129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{"issue":{"subject":"","project_id":79,"tracker_id":40,"status_id":1,"priority_id":2,"assigned_to_id":23,"start_date":"2016-08-28","description":"","custom_fields":[{"id":1,"name":"Subdivision","value":"EC"},{"id":4,"name":"Milepost","value":"23.2857"},{"id":17,"name":"Train ID","value":"217-28"},{"id":16,"name":"Locomotive ID","value":"4042"},{"id":130,"name":"Impact","value":""},{"id":150,"name":"Time of Event (Mountain Time)","value":"18:50:43"},{"id":151,"name":"Denver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510</v>
      </c>
      <c r="B130" s="7">
        <v>4041</v>
      </c>
      <c r="C130" s="24" t="s">
        <v>113</v>
      </c>
      <c r="D130" s="24" t="s">
        <v>648</v>
      </c>
      <c r="E130" s="15">
        <v>42610.787372685183</v>
      </c>
      <c r="F130" s="15">
        <v>42610.799456018518</v>
      </c>
      <c r="G130" s="7">
        <v>1</v>
      </c>
      <c r="H130" s="15" t="s">
        <v>197</v>
      </c>
      <c r="I130" s="15">
        <v>42610.825636574074</v>
      </c>
      <c r="J130" s="7">
        <v>0</v>
      </c>
      <c r="K130" s="132" t="str">
        <f t="shared" si="83"/>
        <v>4041/4042</v>
      </c>
      <c r="L130" s="24" t="str">
        <f>VLOOKUP(A130,'Trips&amp;Operators'!$C$1:$E$10000,3,FALSE)</f>
        <v>NEWELL</v>
      </c>
      <c r="M130" s="6">
        <f t="shared" si="84"/>
        <v>2.6180555556493346E-2</v>
      </c>
      <c r="N130" s="7">
        <f t="shared" si="85"/>
        <v>37.700000001350418</v>
      </c>
      <c r="O130" s="7"/>
      <c r="P130" s="7"/>
      <c r="Q130" s="25"/>
      <c r="R130" s="25"/>
      <c r="S130" s="37">
        <f t="shared" si="86"/>
        <v>1</v>
      </c>
      <c r="T130" s="52" t="str">
        <f t="shared" si="87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17:53:49-0600',mode:absolute,to:'2016-08-28 20:48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0" s="54" t="str">
        <f t="shared" si="89"/>
        <v>N</v>
      </c>
      <c r="X130" s="120">
        <f t="shared" si="90"/>
        <v>1</v>
      </c>
      <c r="Y130" s="69">
        <f t="shared" si="91"/>
        <v>23.301300000000001</v>
      </c>
      <c r="Z130" s="69">
        <f t="shared" si="92"/>
        <v>1.38E-2</v>
      </c>
      <c r="AA130" s="69">
        <f t="shared" si="93"/>
        <v>23.287500000000001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94"/>
        <v>0218-28</v>
      </c>
      <c r="AE130" s="99" t="str">
        <f t="shared" si="95"/>
        <v>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 &amp; aws s3 cp s3://rtdc.mdm.uploadarchive/RTDC4041/2016-08-29/ "%USERPROFILE%\AppData\Local\Temp\OnboardLogs"\RTDC4041\2016-08-29 --recursive &amp; "%USERPROFILE%\Documents\GitHub\mrs-test-scripts\Headless Mode &amp; Sideloading\WalkAndUnGZ.bat" "%USERPROFILE%\AppData\Local\Temp\OnboardLogs"\RTDC4041\2016-08-29</v>
      </c>
      <c r="AF130" s="96" t="str">
        <f t="shared" si="96"/>
        <v>"C:\Program Files (x86)\AstroGrep\AstroGrep.exe" /spath="%USERPROFILE%\AppData\Local\Temp\OnboardLogs" /stypes="*4041*20160829*" /stext=" 01:.+((SYSTEM_STATE.+slice.+state.+changed )|(ment ac)|(system.+state.+changed )|(\|lc)|(penalty)|(\[timeout)|(PRM\|1\|D)|(kpr)|(kdp))" /e /r /s</v>
      </c>
      <c r="AG130" s="1" t="str">
        <f t="shared" si="97"/>
        <v>EC</v>
      </c>
      <c r="AH130" s="100" t="str">
        <f t="shared" si="49"/>
        <v>"%USERPROFILE%\Documents\GitHub\eaglep3\Utilities\RefineRTDCRunTimes.py" --tripid 218-28 --locoid 4041 --swversion DE.1.0.7.0 --startMP 204:233013 --initTime 2016-08-28T18:53:49 --startdatetime 2016-08-28T19:11:13 --delay 1 --endMP 204:138 --enddatetime 2016-08-28T19:48:55 --enforcementcount 0 &gt;&gt;C:\Users\stu\Documents\GitHub\eaglep3-reporting\EC\2016-08-28-refined-times.txt</v>
      </c>
      <c r="AI130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{"issue":{"subject":"","project_id":79,"tracker_id":40,"status_id":1,"priority_id":2,"assigned_to_id":23,"start_date":"2016-08-28","description":"","custom_fields":[{"id":1,"name":"Subdivision","value":"EC"},{"id":4,"name":"Milepost","value":"23.2875"},{"id":17,"name":"Train ID","value":"218-28"},{"id":16,"name":"Locomotive ID","value":"4041"},{"id":130,"name":"Impact","value":""},{"id":150,"name":"Time of Event (Mountain Time)","value":"19:48:55"},{"id":151,"name":"Denver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505</v>
      </c>
      <c r="B131" s="7">
        <v>4038</v>
      </c>
      <c r="C131" s="24" t="s">
        <v>113</v>
      </c>
      <c r="D131" s="24" t="s">
        <v>176</v>
      </c>
      <c r="E131" s="15">
        <v>42610.76871527778</v>
      </c>
      <c r="F131" s="15">
        <v>42610.77107638889</v>
      </c>
      <c r="G131" s="7">
        <v>1</v>
      </c>
      <c r="H131" s="15" t="s">
        <v>633</v>
      </c>
      <c r="I131" s="15">
        <v>42610.797025462962</v>
      </c>
      <c r="J131" s="7">
        <v>0</v>
      </c>
      <c r="K131" s="132" t="str">
        <f t="shared" si="83"/>
        <v>4037/4038</v>
      </c>
      <c r="L131" s="24" t="str">
        <f>VLOOKUP(A131,'Trips&amp;Operators'!$C$1:$E$10000,3,FALSE)</f>
        <v>CHANDLER</v>
      </c>
      <c r="M131" s="6">
        <f t="shared" si="84"/>
        <v>2.5949074071832001E-2</v>
      </c>
      <c r="N131" s="7">
        <f t="shared" si="85"/>
        <v>37.366666663438082</v>
      </c>
      <c r="O131" s="7"/>
      <c r="P131" s="7"/>
      <c r="Q131" s="25"/>
      <c r="R131" s="25"/>
      <c r="S131" s="37">
        <f t="shared" si="86"/>
        <v>1</v>
      </c>
      <c r="T131" s="52" t="str">
        <f t="shared" si="87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17:26:57-0600',mode:absolute,to:'2016-08-28 20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1" s="54" t="str">
        <f t="shared" si="89"/>
        <v>N</v>
      </c>
      <c r="X131" s="120">
        <f t="shared" si="90"/>
        <v>1</v>
      </c>
      <c r="Y131" s="69">
        <f t="shared" si="91"/>
        <v>4.7100000000000003E-2</v>
      </c>
      <c r="Z131" s="69">
        <f t="shared" si="92"/>
        <v>23.3308</v>
      </c>
      <c r="AA131" s="69">
        <f t="shared" si="93"/>
        <v>23.2837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94"/>
        <v>0219-28</v>
      </c>
      <c r="AE131" s="99" t="str">
        <f t="shared" si="95"/>
        <v>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 &amp; 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</v>
      </c>
      <c r="AF131" s="96" t="str">
        <f t="shared" si="96"/>
        <v>"C:\Program Files (x86)\AstroGrep\AstroGrep.exe" /spath="%USERPROFILE%\AppData\Local\Temp\OnboardLogs" /stypes="*4038*20160829*" /stext=" 01:.+((SYSTEM_STATE.+slice.+state.+changed )|(ment ac)|(system.+state.+changed )|(\|lc)|(penalty)|(\[timeout)|(PRM\|1\|D)|(kpr)|(kdp))" /e /r /s</v>
      </c>
      <c r="AG131" s="1" t="str">
        <f t="shared" si="97"/>
        <v>EC</v>
      </c>
      <c r="AH131" s="100" t="str">
        <f t="shared" si="49"/>
        <v>"%USERPROFILE%\Documents\GitHub\eaglep3\Utilities\RefineRTDCRunTimes.py" --tripid 219-28 --locoid 4038 --swversion DE.1.0.7.0 --startMP 204:471 --initTime 2016-08-28T18:26:57 --startdatetime 2016-08-28T18:30:21 --delay 1 --endMP 204:233308 --enddatetime 2016-08-28T19:07:43 --enforcementcount 0 &gt;&gt;C:\Users\stu\Documents\GitHub\eaglep3-reporting\EC\2016-08-28-refined-times.txt</v>
      </c>
      <c r="AI131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{"issue":{"subject":"","project_id":79,"tracker_id":40,"status_id":1,"priority_id":2,"assigned_to_id":23,"start_date":"2016-08-28","description":"","custom_fields":[{"id":1,"name":"Subdivision","value":"EC"},{"id":4,"name":"Milepost","value":"23.2837"},{"id":17,"name":"Train ID","value":"219-28"},{"id":16,"name":"Locomotive ID","value":"4038"},{"id":130,"name":"Impact","value":""},{"id":150,"name":"Time of Event (Mountain Time)","value":"19:07:43"},{"id":151,"name":"Denver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512</v>
      </c>
      <c r="B132" s="7">
        <v>4037</v>
      </c>
      <c r="C132" s="24" t="s">
        <v>113</v>
      </c>
      <c r="D132" s="24" t="s">
        <v>202</v>
      </c>
      <c r="E132" s="15">
        <v>42610.808831018519</v>
      </c>
      <c r="F132" s="15">
        <v>42610.810289351852</v>
      </c>
      <c r="G132" s="7">
        <v>1</v>
      </c>
      <c r="H132" s="15" t="s">
        <v>184</v>
      </c>
      <c r="I132" s="15">
        <v>42610.838020833333</v>
      </c>
      <c r="J132" s="7">
        <v>0</v>
      </c>
      <c r="K132" s="132" t="str">
        <f t="shared" si="83"/>
        <v>4037/4038</v>
      </c>
      <c r="L132" s="24" t="str">
        <f>VLOOKUP(A132,'Trips&amp;Operators'!$C$1:$E$10000,3,FALSE)</f>
        <v>CHANDLER</v>
      </c>
      <c r="M132" s="6">
        <f t="shared" si="84"/>
        <v>2.7731481481168885E-2</v>
      </c>
      <c r="N132" s="7">
        <f t="shared" si="85"/>
        <v>39.933333332883194</v>
      </c>
      <c r="O132" s="7"/>
      <c r="P132" s="7"/>
      <c r="Q132" s="25"/>
      <c r="R132" s="25"/>
      <c r="S132" s="37">
        <f t="shared" si="86"/>
        <v>1</v>
      </c>
      <c r="T132" s="52" t="str">
        <f t="shared" si="87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18:24:43-0600',mode:absolute,to:'2016-08-28 21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32" s="54" t="str">
        <f t="shared" si="89"/>
        <v>N</v>
      </c>
      <c r="X132" s="120">
        <f t="shared" si="90"/>
        <v>1</v>
      </c>
      <c r="Y132" s="69">
        <f t="shared" si="91"/>
        <v>23.2989</v>
      </c>
      <c r="Z132" s="69">
        <f t="shared" si="92"/>
        <v>1.6E-2</v>
      </c>
      <c r="AA132" s="69">
        <f t="shared" si="93"/>
        <v>23.282900000000001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94"/>
        <v>0220-28</v>
      </c>
      <c r="AE132" s="99" t="str">
        <f t="shared" si="95"/>
        <v>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 &amp; 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</v>
      </c>
      <c r="AF132" s="96" t="str">
        <f t="shared" si="96"/>
        <v>"C:\Program Files (x86)\AstroGrep\AstroGrep.exe" /spath="%USERPROFILE%\AppData\Local\Temp\OnboardLogs" /stypes="*4037*20160829*" /stext=" 02:.+((SYSTEM_STATE.+slice.+state.+changed )|(ment ac)|(system.+state.+changed )|(\|lc)|(penalty)|(\[timeout)|(PRM\|1\|D)|(kpr)|(kdp))" /e /r /s</v>
      </c>
      <c r="AG132" s="1" t="str">
        <f t="shared" si="97"/>
        <v>EC</v>
      </c>
      <c r="AH132" s="100" t="str">
        <f t="shared" si="49"/>
        <v>"%USERPROFILE%\Documents\GitHub\eaglep3\Utilities\RefineRTDCRunTimes.py" --tripid 220-28 --locoid 4037 --swversion DE.1.0.7.0 --startMP 204:232989 --initTime 2016-08-28T19:24:43 --startdatetime 2016-08-28T19:26:49 --delay 1 --endMP 204:160 --enddatetime 2016-08-28T20:06:45 --enforcementcount 0 &gt;&gt;C:\Users\stu\Documents\GitHub\eaglep3-reporting\EC\2016-08-28-refined-times.txt</v>
      </c>
      <c r="AI132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{"issue":{"subject":"","project_id":79,"tracker_id":40,"status_id":1,"priority_id":2,"assigned_to_id":23,"start_date":"2016-08-28","description":"","custom_fields":[{"id":1,"name":"Subdivision","value":"EC"},{"id":4,"name":"Milepost","value":"23.2829"},{"id":17,"name":"Train ID","value":"220-28"},{"id":16,"name":"Locomotive ID","value":"4037"},{"id":130,"name":"Impact","value":""},{"id":150,"name":"Time of Event (Mountain Time)","value":"20:06:45"},{"id":151,"name":"Denver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509</v>
      </c>
      <c r="B133" s="7">
        <v>4002</v>
      </c>
      <c r="C133" s="24" t="s">
        <v>113</v>
      </c>
      <c r="D133" s="24" t="s">
        <v>139</v>
      </c>
      <c r="E133" s="15">
        <v>42610.786516203705</v>
      </c>
      <c r="F133" s="15">
        <v>42610.791990740741</v>
      </c>
      <c r="G133" s="7">
        <v>1</v>
      </c>
      <c r="H133" s="15" t="s">
        <v>255</v>
      </c>
      <c r="I133" s="15">
        <v>42610.816574074073</v>
      </c>
      <c r="J133" s="7">
        <v>0</v>
      </c>
      <c r="K133" s="132" t="str">
        <f t="shared" si="83"/>
        <v>4001/4002</v>
      </c>
      <c r="L133" s="24" t="str">
        <f>VLOOKUP(A133,'Trips&amp;Operators'!$C$1:$E$10000,3,FALSE)</f>
        <v>LEVERE</v>
      </c>
      <c r="M133" s="6">
        <f t="shared" si="84"/>
        <v>2.4583333331975155E-2</v>
      </c>
      <c r="N133" s="7">
        <f t="shared" si="85"/>
        <v>35.399999998044223</v>
      </c>
      <c r="O133" s="7"/>
      <c r="P133" s="7"/>
      <c r="Q133" s="25"/>
      <c r="R133" s="25"/>
      <c r="S133" s="37">
        <f t="shared" si="86"/>
        <v>1</v>
      </c>
      <c r="T133" s="52" t="str">
        <f t="shared" si="87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17:52:35-0600',mode:absolute,to:'2016-08-28 20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33" s="54" t="str">
        <f t="shared" si="89"/>
        <v>N</v>
      </c>
      <c r="X133" s="120">
        <f t="shared" si="90"/>
        <v>1</v>
      </c>
      <c r="Y133" s="69">
        <f t="shared" si="91"/>
        <v>4.6699999999999998E-2</v>
      </c>
      <c r="Z133" s="69">
        <f t="shared" si="92"/>
        <v>23.330100000000002</v>
      </c>
      <c r="AA133" s="69">
        <f t="shared" si="93"/>
        <v>23.2834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94"/>
        <v>0221-28</v>
      </c>
      <c r="AE133" s="99" t="str">
        <f t="shared" si="95"/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133" s="96" t="str">
        <f t="shared" si="96"/>
        <v>"C:\Program Files (x86)\AstroGrep\AstroGrep.exe" /spath="%USERPROFILE%\AppData\Local\Temp\OnboardLogs" /stypes="*4002*20160829*" /stext=" 01:.+((SYSTEM_STATE.+slice.+state.+changed )|(ment ac)|(system.+state.+changed )|(\|lc)|(penalty)|(\[timeout)|(PRM\|1\|D)|(kpr)|(kdp))" /e /r /s</v>
      </c>
      <c r="AG133" s="1" t="str">
        <f t="shared" si="97"/>
        <v>EC</v>
      </c>
      <c r="AH133" s="100" t="str">
        <f t="shared" si="49"/>
        <v>"%USERPROFILE%\Documents\GitHub\eaglep3\Utilities\RefineRTDCRunTimes.py" --tripid 221-28 --locoid 4002 --swversion DE.1.0.7.0 --startMP 204:467 --initTime 2016-08-28T18:52:35 --startdatetime 2016-08-28T19:00:28 --delay 1 --endMP 204:233301 --enddatetime 2016-08-28T19:35:52 --enforcementcount 0 &gt;&gt;C:\Users\stu\Documents\GitHub\eaglep3-reporting\EC\2016-08-28-refined-times.txt</v>
      </c>
      <c r="AI133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{"issue":{"subject":"","project_id":79,"tracker_id":40,"status_id":1,"priority_id":2,"assigned_to_id":23,"start_date":"2016-08-28","description":"","custom_fields":[{"id":1,"name":"Subdivision","value":"EC"},{"id":4,"name":"Milepost","value":"23.2834"},{"id":17,"name":"Train ID","value":"221-28"},{"id":16,"name":"Locomotive ID","value":"4002"},{"id":130,"name":"Impact","value":""},{"id":150,"name":"Time of Event (Mountain Time)","value":"19:35:52"},{"id":151,"name":"Denver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517</v>
      </c>
      <c r="B134" s="7">
        <v>4001</v>
      </c>
      <c r="C134" s="24" t="s">
        <v>113</v>
      </c>
      <c r="D134" s="24" t="s">
        <v>246</v>
      </c>
      <c r="E134" s="15">
        <v>42610.82503472222</v>
      </c>
      <c r="F134" s="15">
        <v>42610.830740740741</v>
      </c>
      <c r="G134" s="7">
        <v>1</v>
      </c>
      <c r="H134" s="15" t="s">
        <v>136</v>
      </c>
      <c r="I134" s="15">
        <v>42610.857407407406</v>
      </c>
      <c r="J134" s="7">
        <v>0</v>
      </c>
      <c r="K134" s="132" t="str">
        <f t="shared" si="83"/>
        <v>4001/4002</v>
      </c>
      <c r="L134" s="24" t="str">
        <f>VLOOKUP(A134,'Trips&amp;Operators'!$C$1:$E$10000,3,FALSE)</f>
        <v>LEVERE</v>
      </c>
      <c r="M134" s="6">
        <f t="shared" si="84"/>
        <v>2.6666666664823424E-2</v>
      </c>
      <c r="N134" s="7">
        <f t="shared" si="85"/>
        <v>38.399999997345731</v>
      </c>
      <c r="O134" s="7"/>
      <c r="P134" s="7"/>
      <c r="Q134" s="25"/>
      <c r="R134" s="25"/>
      <c r="S134" s="37">
        <f t="shared" si="86"/>
        <v>1</v>
      </c>
      <c r="T134" s="52" t="str">
        <f t="shared" si="87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18:48:03-0600',mode:absolute,to:'2016-08-28 21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4" s="54" t="str">
        <f t="shared" si="89"/>
        <v>N</v>
      </c>
      <c r="X134" s="120">
        <f t="shared" si="90"/>
        <v>1</v>
      </c>
      <c r="Y134" s="69">
        <f t="shared" si="91"/>
        <v>23.297699999999999</v>
      </c>
      <c r="Z134" s="69">
        <f t="shared" si="92"/>
        <v>1.49E-2</v>
      </c>
      <c r="AA134" s="69">
        <f t="shared" si="93"/>
        <v>23.282799999999998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94"/>
        <v>0222-28</v>
      </c>
      <c r="AE134" s="99" t="str">
        <f t="shared" si="95"/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AF134" s="96" t="str">
        <f t="shared" si="96"/>
        <v>"C:\Program Files (x86)\AstroGrep\AstroGrep.exe" /spath="%USERPROFILE%\AppData\Local\Temp\OnboardLogs" /stypes="*4001*20160829*" /stext=" 02:.+((SYSTEM_STATE.+slice.+state.+changed )|(ment ac)|(system.+state.+changed )|(\|lc)|(penalty)|(\[timeout)|(PRM\|1\|D)|(kpr)|(kdp))" /e /r /s</v>
      </c>
      <c r="AG134" s="1" t="str">
        <f t="shared" si="97"/>
        <v>EC</v>
      </c>
      <c r="AH134" s="100" t="str">
        <f t="shared" si="49"/>
        <v>"%USERPROFILE%\Documents\GitHub\eaglep3\Utilities\RefineRTDCRunTimes.py" --tripid 222-28 --locoid 4001 --swversion DE.1.0.7.0 --startMP 204:232977 --initTime 2016-08-28T19:48:03 --startdatetime 2016-08-28T19:56:16 --delay 1 --endMP 204:149 --enddatetime 2016-08-28T20:34:40 --enforcementcount 0 &gt;&gt;C:\Users\stu\Documents\GitHub\eaglep3-reporting\EC\2016-08-28-refined-times.txt</v>
      </c>
      <c r="AI134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{"issue":{"subject":"","project_id":79,"tracker_id":40,"status_id":1,"priority_id":2,"assigned_to_id":23,"start_date":"2016-08-28","description":"","custom_fields":[{"id":1,"name":"Subdivision","value":"EC"},{"id":4,"name":"Milepost","value":"23.2828"},{"id":17,"name":"Train ID","value":"222-28"},{"id":16,"name":"Locomotive ID","value":"4001"},{"id":130,"name":"Impact","value":""},{"id":150,"name":"Time of Event (Mountain Time)","value":"20:34:40"},{"id":151,"name":"Denver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513</v>
      </c>
      <c r="B135" s="7">
        <v>4040</v>
      </c>
      <c r="C135" s="24" t="s">
        <v>113</v>
      </c>
      <c r="D135" s="24" t="s">
        <v>201</v>
      </c>
      <c r="E135" s="15">
        <v>42610.809606481482</v>
      </c>
      <c r="F135" s="15">
        <v>42610.812708333331</v>
      </c>
      <c r="G135" s="7">
        <v>1</v>
      </c>
      <c r="H135" s="15" t="s">
        <v>185</v>
      </c>
      <c r="I135" s="15">
        <v>42610.837696759256</v>
      </c>
      <c r="J135" s="7">
        <v>0</v>
      </c>
      <c r="K135" s="132" t="str">
        <f t="shared" si="83"/>
        <v>4039/4040</v>
      </c>
      <c r="L135" s="24" t="str">
        <f>VLOOKUP(A135,'Trips&amp;Operators'!$C$1:$E$10000,3,FALSE)</f>
        <v>COOLAHAN</v>
      </c>
      <c r="M135" s="6">
        <f t="shared" si="84"/>
        <v>2.4988425924675539E-2</v>
      </c>
      <c r="N135" s="7">
        <f t="shared" si="85"/>
        <v>35.983333331532776</v>
      </c>
      <c r="O135" s="7"/>
      <c r="P135" s="7"/>
      <c r="Q135" s="25"/>
      <c r="R135" s="25"/>
      <c r="S135" s="37">
        <f t="shared" si="86"/>
        <v>1</v>
      </c>
      <c r="T135" s="52" t="str">
        <f t="shared" si="87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18:25:50-0600',mode:absolute,to:'2016-08-28 21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35" s="54" t="str">
        <f t="shared" si="89"/>
        <v>N</v>
      </c>
      <c r="X135" s="120">
        <f t="shared" si="90"/>
        <v>1</v>
      </c>
      <c r="Y135" s="69">
        <f t="shared" si="91"/>
        <v>4.6399999999999997E-2</v>
      </c>
      <c r="Z135" s="69">
        <f t="shared" si="92"/>
        <v>23.3293</v>
      </c>
      <c r="AA135" s="69">
        <f t="shared" si="93"/>
        <v>23.282900000000001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94"/>
        <v>0223-28</v>
      </c>
      <c r="AE135" s="99" t="str">
        <f t="shared" si="95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135" s="96" t="str">
        <f t="shared" si="96"/>
        <v>"C:\Program Files (x86)\AstroGrep\AstroGrep.exe" /spath="%USERPROFILE%\AppData\Local\Temp\OnboardLogs" /stypes="*4040*20160829*" /stext=" 02:.+((SYSTEM_STATE.+slice.+state.+changed )|(ment ac)|(system.+state.+changed )|(\|lc)|(penalty)|(\[timeout)|(PRM\|1\|D)|(kpr)|(kdp))" /e /r /s</v>
      </c>
      <c r="AG135" s="1" t="str">
        <f t="shared" si="97"/>
        <v>EC</v>
      </c>
      <c r="AH135" s="100" t="str">
        <f t="shared" si="49"/>
        <v>"%USERPROFILE%\Documents\GitHub\eaglep3\Utilities\RefineRTDCRunTimes.py" --tripid 223-28 --locoid 4040 --swversion DE.1.0.7.0 --startMP 204:464 --initTime 2016-08-28T19:25:50 --startdatetime 2016-08-28T19:30:18 --delay 1 --endMP 204:233293 --enddatetime 2016-08-28T20:06:17 --enforcementcount 0 &gt;&gt;C:\Users\stu\Documents\GitHub\eaglep3-reporting\EC\2016-08-28-refined-times.txt</v>
      </c>
      <c r="AI135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{"issue":{"subject":"","project_id":79,"tracker_id":40,"status_id":1,"priority_id":2,"assigned_to_id":23,"start_date":"2016-08-28","description":"","custom_fields":[{"id":1,"name":"Subdivision","value":"EC"},{"id":4,"name":"Milepost","value":"23.2829"},{"id":17,"name":"Train ID","value":"223-28"},{"id":16,"name":"Locomotive ID","value":"4040"},{"id":130,"name":"Impact","value":""},{"id":150,"name":"Time of Event (Mountain Time)","value":"20:06:17"},{"id":151,"name":"Denver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519</v>
      </c>
      <c r="B136" s="7">
        <v>4039</v>
      </c>
      <c r="C136" s="24" t="s">
        <v>113</v>
      </c>
      <c r="D136" s="24" t="s">
        <v>649</v>
      </c>
      <c r="E136" s="15">
        <v>42610.845752314817</v>
      </c>
      <c r="F136" s="15">
        <v>42610.851770833331</v>
      </c>
      <c r="G136" s="7">
        <v>2</v>
      </c>
      <c r="H136" s="15" t="s">
        <v>197</v>
      </c>
      <c r="I136" s="15">
        <v>42610.877442129633</v>
      </c>
      <c r="J136" s="7">
        <v>0</v>
      </c>
      <c r="K136" s="132" t="str">
        <f t="shared" si="83"/>
        <v>4039/4040</v>
      </c>
      <c r="L136" s="24" t="str">
        <f>VLOOKUP(A136,'Trips&amp;Operators'!$C$1:$E$10000,3,FALSE)</f>
        <v>COOLAHAN</v>
      </c>
      <c r="M136" s="6">
        <f t="shared" si="84"/>
        <v>2.567129630187992E-2</v>
      </c>
      <c r="N136" s="7">
        <f t="shared" si="85"/>
        <v>36.966666674707085</v>
      </c>
      <c r="O136" s="7"/>
      <c r="P136" s="7"/>
      <c r="Q136" s="25"/>
      <c r="R136" s="25"/>
      <c r="S136" s="37">
        <f t="shared" si="86"/>
        <v>1</v>
      </c>
      <c r="T136" s="52" t="str">
        <f t="shared" si="87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19:17:53-0600',mode:absolute,to:'2016-08-28 22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36" s="54" t="str">
        <f t="shared" si="89"/>
        <v>N</v>
      </c>
      <c r="X136" s="120">
        <f t="shared" si="90"/>
        <v>1</v>
      </c>
      <c r="Y136" s="69">
        <f t="shared" si="91"/>
        <v>23.296800000000001</v>
      </c>
      <c r="Z136" s="69">
        <f t="shared" si="92"/>
        <v>1.38E-2</v>
      </c>
      <c r="AA136" s="69">
        <f t="shared" si="93"/>
        <v>23.283000000000001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94"/>
        <v>0224-28</v>
      </c>
      <c r="AE136" s="99" t="str">
        <f t="shared" si="95"/>
        <v>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 &amp; 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</v>
      </c>
      <c r="AF136" s="96" t="str">
        <f t="shared" si="96"/>
        <v>"C:\Program Files (x86)\AstroGrep\AstroGrep.exe" /spath="%USERPROFILE%\AppData\Local\Temp\OnboardLogs" /stypes="*4039*20160829*" /stext=" 03:.+((SYSTEM_STATE.+slice.+state.+changed )|(ment ac)|(system.+state.+changed )|(\|lc)|(penalty)|(\[timeout)|(PRM\|1\|D)|(kpr)|(kdp))" /e /r /s</v>
      </c>
      <c r="AG136" s="1" t="str">
        <f t="shared" si="97"/>
        <v>EC</v>
      </c>
      <c r="AH136" s="100" t="str">
        <f t="shared" si="49"/>
        <v>"%USERPROFILE%\Documents\GitHub\eaglep3\Utilities\RefineRTDCRunTimes.py" --tripid 224-28 --locoid 4039 --swversion DE.1.0.7.0 --startMP 204:232968 --initTime 2016-08-28T20:17:53 --startdatetime 2016-08-28T20:26:33 --delay 2 --endMP 204:138 --enddatetime 2016-08-28T21:03:31 --enforcementcount 0 &gt;&gt;C:\Users\stu\Documents\GitHub\eaglep3-reporting\EC\2016-08-28-refined-times.txt</v>
      </c>
      <c r="AI136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{"issue":{"subject":"","project_id":79,"tracker_id":40,"status_id":1,"priority_id":2,"assigned_to_id":23,"start_date":"2016-08-28","description":"","custom_fields":[{"id":1,"name":"Subdivision","value":"EC"},{"id":4,"name":"Milepost","value":"23.283"},{"id":17,"name":"Train ID","value":"224-28"},{"id":16,"name":"Locomotive ID","value":"4039"},{"id":130,"name":"Impact","value":""},{"id":150,"name":"Time of Event (Mountain Time)","value":"21:03:31"},{"id":151,"name":"Denver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518</v>
      </c>
      <c r="B137" s="7">
        <v>4042</v>
      </c>
      <c r="C137" s="24" t="s">
        <v>113</v>
      </c>
      <c r="D137" s="24" t="s">
        <v>248</v>
      </c>
      <c r="E137" s="15">
        <v>42610.827835648146</v>
      </c>
      <c r="F137" s="15">
        <v>42610.833495370367</v>
      </c>
      <c r="G137" s="7">
        <v>1</v>
      </c>
      <c r="H137" s="15" t="s">
        <v>650</v>
      </c>
      <c r="I137" s="15">
        <v>42610.858229166668</v>
      </c>
      <c r="J137" s="7">
        <v>0</v>
      </c>
      <c r="K137" s="132" t="str">
        <f t="shared" si="83"/>
        <v>4041/4042</v>
      </c>
      <c r="L137" s="24" t="str">
        <f>VLOOKUP(A137,'Trips&amp;Operators'!$C$1:$E$10000,3,FALSE)</f>
        <v>NEWELL</v>
      </c>
      <c r="M137" s="6">
        <f t="shared" si="84"/>
        <v>2.4733796301006805E-2</v>
      </c>
      <c r="N137" s="7">
        <f t="shared" si="85"/>
        <v>35.616666673449799</v>
      </c>
      <c r="O137" s="7"/>
      <c r="P137" s="7"/>
      <c r="Q137" s="25"/>
      <c r="R137" s="25"/>
      <c r="S137" s="37">
        <f t="shared" si="86"/>
        <v>1</v>
      </c>
      <c r="T137" s="52" t="str">
        <f t="shared" si="87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18:52:05-0600',mode:absolute,to:'2016-08-28 21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7" s="54" t="str">
        <f t="shared" si="89"/>
        <v>N</v>
      </c>
      <c r="X137" s="120">
        <f t="shared" si="90"/>
        <v>1</v>
      </c>
      <c r="Y137" s="69">
        <f t="shared" si="91"/>
        <v>4.3999999999999997E-2</v>
      </c>
      <c r="Z137" s="69">
        <f t="shared" si="92"/>
        <v>23.333100000000002</v>
      </c>
      <c r="AA137" s="69">
        <f t="shared" si="93"/>
        <v>23.289100000000001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94"/>
        <v>0225-28</v>
      </c>
      <c r="AE137" s="99" t="str">
        <f t="shared" si="95"/>
        <v>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 &amp; 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</v>
      </c>
      <c r="AF137" s="96" t="str">
        <f t="shared" si="96"/>
        <v>"C:\Program Files (x86)\AstroGrep\AstroGrep.exe" /spath="%USERPROFILE%\AppData\Local\Temp\OnboardLogs" /stypes="*4042*20160829*" /stext=" 02:.+((SYSTEM_STATE.+slice.+state.+changed )|(ment ac)|(system.+state.+changed )|(\|lc)|(penalty)|(\[timeout)|(PRM\|1\|D)|(kpr)|(kdp))" /e /r /s</v>
      </c>
      <c r="AG137" s="1" t="str">
        <f t="shared" si="97"/>
        <v>EC</v>
      </c>
      <c r="AH137" s="100" t="str">
        <f t="shared" si="49"/>
        <v>"%USERPROFILE%\Documents\GitHub\eaglep3\Utilities\RefineRTDCRunTimes.py" --tripid 225-28 --locoid 4042 --swversion DE.1.0.7.0 --startMP 204:440 --initTime 2016-08-28T19:52:05 --startdatetime 2016-08-28T20:00:14 --delay 1 --endMP 204:233331 --enddatetime 2016-08-28T20:35:51 --enforcementcount 0 &gt;&gt;C:\Users\stu\Documents\GitHub\eaglep3-reporting\EC\2016-08-28-refined-times.txt</v>
      </c>
      <c r="AI137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{"issue":{"subject":"","project_id":79,"tracker_id":40,"status_id":1,"priority_id":2,"assigned_to_id":23,"start_date":"2016-08-28","description":"","custom_fields":[{"id":1,"name":"Subdivision","value":"EC"},{"id":4,"name":"Milepost","value":"23.2891"},{"id":17,"name":"Train ID","value":"225-28"},{"id":16,"name":"Locomotive ID","value":"4042"},{"id":130,"name":"Impact","value":""},{"id":150,"name":"Time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521</v>
      </c>
      <c r="B138" s="7">
        <v>4041</v>
      </c>
      <c r="C138" s="24" t="s">
        <v>113</v>
      </c>
      <c r="D138" s="24" t="s">
        <v>251</v>
      </c>
      <c r="E138" s="15">
        <v>42610.8596412037</v>
      </c>
      <c r="F138" s="15">
        <v>42610.872384259259</v>
      </c>
      <c r="G138" s="7">
        <v>1</v>
      </c>
      <c r="H138" s="15" t="s">
        <v>184</v>
      </c>
      <c r="I138" s="15">
        <v>42610.898715277777</v>
      </c>
      <c r="J138" s="7">
        <v>0</v>
      </c>
      <c r="K138" s="132" t="str">
        <f t="shared" si="83"/>
        <v>4041/4042</v>
      </c>
      <c r="L138" s="24" t="str">
        <f>VLOOKUP(A138,'Trips&amp;Operators'!$C$1:$E$10000,3,FALSE)</f>
        <v>NEWELL</v>
      </c>
      <c r="M138" s="6">
        <f t="shared" si="84"/>
        <v>2.6331018518249039E-2</v>
      </c>
      <c r="N138" s="7">
        <f t="shared" si="85"/>
        <v>37.916666666278616</v>
      </c>
      <c r="O138" s="7"/>
      <c r="P138" s="7"/>
      <c r="Q138" s="25"/>
      <c r="R138" s="25"/>
      <c r="S138" s="37">
        <f t="shared" si="86"/>
        <v>1</v>
      </c>
      <c r="T138" s="52" t="str">
        <f t="shared" si="87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19:37:53-0600',mode:absolute,to:'2016-08-28 22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8" s="54" t="str">
        <f t="shared" si="89"/>
        <v>N</v>
      </c>
      <c r="X138" s="120">
        <f t="shared" si="90"/>
        <v>1</v>
      </c>
      <c r="Y138" s="69">
        <f t="shared" si="91"/>
        <v>23.300999999999998</v>
      </c>
      <c r="Z138" s="69">
        <f t="shared" si="92"/>
        <v>1.6E-2</v>
      </c>
      <c r="AA138" s="69">
        <f t="shared" si="93"/>
        <v>23.285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94"/>
        <v>0226-28</v>
      </c>
      <c r="AE138" s="99" t="str">
        <f t="shared" si="95"/>
        <v>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 &amp; aws s3 cp s3://rtdc.mdm.uploadarchive/RTDC4041/2016-08-29/ "%USERPROFILE%\AppData\Local\Temp\OnboardLogs"\RTDC4041\2016-08-29 --recursive &amp; "%USERPROFILE%\Documents\GitHub\mrs-test-scripts\Headless Mode &amp; Sideloading\WalkAndUnGZ.bat" "%USERPROFILE%\AppData\Local\Temp\OnboardLogs"\RTDC4041\2016-08-29</v>
      </c>
      <c r="AF138" s="96" t="str">
        <f t="shared" si="96"/>
        <v>"C:\Program Files (x86)\AstroGrep\AstroGrep.exe" /spath="%USERPROFILE%\AppData\Local\Temp\OnboardLogs" /stypes="*4041*20160829*" /stext=" 03:.+((SYSTEM_STATE.+slice.+state.+changed )|(ment ac)|(system.+state.+changed )|(\|lc)|(penalty)|(\[timeout)|(PRM\|1\|D)|(kpr)|(kdp))" /e /r /s</v>
      </c>
      <c r="AG138" s="1" t="str">
        <f t="shared" si="97"/>
        <v>EC</v>
      </c>
      <c r="AH138" s="100" t="str">
        <f t="shared" si="49"/>
        <v>"%USERPROFILE%\Documents\GitHub\eaglep3\Utilities\RefineRTDCRunTimes.py" --tripid 226-28 --locoid 4041 --swversion DE.1.0.7.0 --startMP 204:233010 --initTime 2016-08-28T20:37:53 --startdatetime 2016-08-28T20:56:14 --delay 1 --endMP 204:160 --enddatetime 2016-08-28T21:34:09 --enforcementcount 0 &gt;&gt;C:\Users\stu\Documents\GitHub\eaglep3-reporting\EC\2016-08-28-refined-times.txt</v>
      </c>
      <c r="AI138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{"issue":{"subject":"","project_id":79,"tracker_id":40,"status_id":1,"priority_id":2,"assigned_to_id":23,"start_date":"2016-08-28","description":"","custom_fields":[{"id":1,"name":"Subdivision","value":"EC"},{"id":4,"name":"Milepost","value":"23.285"},{"id":17,"name":"Train ID","value":"226-28"},{"id":16,"name":"Locomotive ID","value":"4041"},{"id":130,"name":"Impact","value":""},{"id":150,"name":"Time of Event (Mountain Time)","value":"21:34:09"},{"id":151,"name":"Denver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520</v>
      </c>
      <c r="B139" s="7">
        <v>4038</v>
      </c>
      <c r="C139" s="24" t="s">
        <v>113</v>
      </c>
      <c r="D139" s="24" t="s">
        <v>176</v>
      </c>
      <c r="E139" s="15">
        <v>42610.852025462962</v>
      </c>
      <c r="F139" s="15">
        <v>42610.854432870372</v>
      </c>
      <c r="G139" s="7">
        <v>1</v>
      </c>
      <c r="H139" s="15" t="s">
        <v>330</v>
      </c>
      <c r="I139" s="15">
        <v>42610.880300925928</v>
      </c>
      <c r="J139" s="7">
        <v>0</v>
      </c>
      <c r="K139" s="132" t="str">
        <f t="shared" si="83"/>
        <v>4037/4038</v>
      </c>
      <c r="L139" s="24" t="str">
        <f>VLOOKUP(A139,'Trips&amp;Operators'!$C$1:$E$10000,3,FALSE)</f>
        <v>CHANDLER</v>
      </c>
      <c r="M139" s="6">
        <f t="shared" si="84"/>
        <v>2.5868055556202307E-2</v>
      </c>
      <c r="N139" s="7">
        <f t="shared" si="85"/>
        <v>37.250000000931323</v>
      </c>
      <c r="O139" s="7"/>
      <c r="P139" s="7"/>
      <c r="Q139" s="25"/>
      <c r="R139" s="25"/>
      <c r="S139" s="37">
        <f t="shared" si="86"/>
        <v>1</v>
      </c>
      <c r="T139" s="52" t="str">
        <f t="shared" si="87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19:26:55-0600',mode:absolute,to:'2016-08-28 22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9" s="54" t="str">
        <f t="shared" si="89"/>
        <v>N</v>
      </c>
      <c r="X139" s="120">
        <f t="shared" si="90"/>
        <v>1</v>
      </c>
      <c r="Y139" s="69">
        <f t="shared" si="91"/>
        <v>4.7100000000000003E-2</v>
      </c>
      <c r="Z139" s="69">
        <f t="shared" si="92"/>
        <v>23.328499999999998</v>
      </c>
      <c r="AA139" s="69">
        <f t="shared" si="93"/>
        <v>23.281399999999998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94"/>
        <v>0227-28</v>
      </c>
      <c r="AE139" s="99" t="str">
        <f t="shared" si="95"/>
        <v>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 &amp; 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</v>
      </c>
      <c r="AF139" s="96" t="str">
        <f t="shared" si="96"/>
        <v>"C:\Program Files (x86)\AstroGrep\AstroGrep.exe" /spath="%USERPROFILE%\AppData\Local\Temp\OnboardLogs" /stypes="*4038*20160829*" /stext=" 03:.+((SYSTEM_STATE.+slice.+state.+changed )|(ment ac)|(system.+state.+changed )|(\|lc)|(penalty)|(\[timeout)|(PRM\|1\|D)|(kpr)|(kdp))" /e /r /s</v>
      </c>
      <c r="AG139" s="1" t="str">
        <f t="shared" si="97"/>
        <v>EC</v>
      </c>
      <c r="AH139" s="100" t="str">
        <f t="shared" si="49"/>
        <v>"%USERPROFILE%\Documents\GitHub\eaglep3\Utilities\RefineRTDCRunTimes.py" --tripid 227-28 --locoid 4038 --swversion DE.1.0.7.0 --startMP 204:471 --initTime 2016-08-28T20:26:55 --startdatetime 2016-08-28T20:30:23 --delay 1 --endMP 204:233285 --enddatetime 2016-08-28T21:07:38 --enforcementcount 0 &gt;&gt;C:\Users\stu\Documents\GitHub\eaglep3-reporting\EC\2016-08-28-refined-times.txt</v>
      </c>
      <c r="AI139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{"issue":{"subject":"","project_id":79,"tracker_id":40,"status_id":1,"priority_id":2,"assigned_to_id":23,"start_date":"2016-08-28","description":"","custom_fields":[{"id":1,"name":"Subdivision","value":"EC"},{"id":4,"name":"Milepost","value":"23.2814"},{"id":17,"name":"Train ID","value":"227-28"},{"id":16,"name":"Locomotive ID","value":"4038"},{"id":130,"name":"Impact","value":""},{"id":150,"name":"Time of Event (Mountain Time)","value":"21:07:38"},{"id":151,"name":"Denver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524</v>
      </c>
      <c r="B140" s="7">
        <v>4037</v>
      </c>
      <c r="C140" s="24" t="s">
        <v>113</v>
      </c>
      <c r="D140" s="24" t="s">
        <v>300</v>
      </c>
      <c r="E140" s="15">
        <v>42610.891469907408</v>
      </c>
      <c r="F140" s="15">
        <v>42610.893333333333</v>
      </c>
      <c r="G140" s="7">
        <v>1</v>
      </c>
      <c r="H140" s="15" t="s">
        <v>651</v>
      </c>
      <c r="I140" s="15">
        <v>42610.9215625</v>
      </c>
      <c r="J140" s="7">
        <v>0</v>
      </c>
      <c r="K140" s="132" t="str">
        <f t="shared" si="83"/>
        <v>4037/4038</v>
      </c>
      <c r="L140" s="24" t="str">
        <f>VLOOKUP(A140,'Trips&amp;Operators'!$C$1:$E$10000,3,FALSE)</f>
        <v>CHANDLER</v>
      </c>
      <c r="M140" s="6">
        <f t="shared" si="84"/>
        <v>2.8229166666278616E-2</v>
      </c>
      <c r="N140" s="7">
        <f t="shared" si="85"/>
        <v>40.649999999441206</v>
      </c>
      <c r="O140" s="7"/>
      <c r="P140" s="7"/>
      <c r="Q140" s="25"/>
      <c r="R140" s="25"/>
      <c r="S140" s="37">
        <f t="shared" si="86"/>
        <v>1</v>
      </c>
      <c r="T140" s="52" t="str">
        <f t="shared" si="87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20:23:43-0600',mode:absolute,to:'2016-08-28 23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40" s="54" t="str">
        <f t="shared" si="89"/>
        <v>N</v>
      </c>
      <c r="X140" s="120">
        <f t="shared" si="90"/>
        <v>1</v>
      </c>
      <c r="Y140" s="69">
        <f t="shared" si="91"/>
        <v>23.2972</v>
      </c>
      <c r="Z140" s="69">
        <f t="shared" si="92"/>
        <v>1.61E-2</v>
      </c>
      <c r="AA140" s="69">
        <f t="shared" si="93"/>
        <v>23.281099999999999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94"/>
        <v>0228-28</v>
      </c>
      <c r="AE140" s="99" t="str">
        <f t="shared" si="95"/>
        <v>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 &amp; 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</v>
      </c>
      <c r="AF140" s="96" t="str">
        <f t="shared" si="96"/>
        <v>"C:\Program Files (x86)\AstroGrep\AstroGrep.exe" /spath="%USERPROFILE%\AppData\Local\Temp\OnboardLogs" /stypes="*4037*20160829*" /stext=" 04:.+((SYSTEM_STATE.+slice.+state.+changed )|(ment ac)|(system.+state.+changed )|(\|lc)|(penalty)|(\[timeout)|(PRM\|1\|D)|(kpr)|(kdp))" /e /r /s</v>
      </c>
      <c r="AG140" s="1" t="str">
        <f t="shared" si="97"/>
        <v>EC</v>
      </c>
      <c r="AH140" s="100" t="str">
        <f t="shared" si="49"/>
        <v>"%USERPROFILE%\Documents\GitHub\eaglep3\Utilities\RefineRTDCRunTimes.py" --tripid 228-28 --locoid 4037 --swversion DE.1.0.7.0 --startMP 204:232972 --initTime 2016-08-28T21:23:43 --startdatetime 2016-08-28T21:26:24 --delay 1 --endMP 204:161 --enddatetime 2016-08-28T22:07:03 --enforcementcount 0 &gt;&gt;C:\Users\stu\Documents\GitHub\eaglep3-reporting\EC\2016-08-28-refined-times.txt</v>
      </c>
      <c r="AI140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{"issue":{"subject":"","project_id":79,"tracker_id":40,"status_id":1,"priority_id":2,"assigned_to_id":23,"start_date":"2016-08-28","description":"","custom_fields":[{"id":1,"name":"Subdivision","value":"EC"},{"id":4,"name":"Milepost","value":"23.2811"},{"id":17,"name":"Train ID","value":"228-28"},{"id":16,"name":"Locomotive ID","value":"4037"},{"id":130,"name":"Impact","value":""},{"id":150,"name":"Time of Event (Mountain Time)","value":"22:07:03"},{"id":151,"name":"Denver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523</v>
      </c>
      <c r="B141" s="7">
        <v>4002</v>
      </c>
      <c r="C141" s="24" t="s">
        <v>113</v>
      </c>
      <c r="D141" s="24" t="s">
        <v>139</v>
      </c>
      <c r="E141" s="15">
        <v>42610.867094907408</v>
      </c>
      <c r="F141" s="15">
        <v>42610.875208333331</v>
      </c>
      <c r="G141" s="7">
        <v>1</v>
      </c>
      <c r="H141" s="15" t="s">
        <v>148</v>
      </c>
      <c r="I141" s="15">
        <v>42610.900868055556</v>
      </c>
      <c r="J141" s="7">
        <v>0</v>
      </c>
      <c r="K141" s="132" t="str">
        <f t="shared" si="83"/>
        <v>4001/4002</v>
      </c>
      <c r="L141" s="24" t="str">
        <f>VLOOKUP(A141,'Trips&amp;Operators'!$C$1:$E$10000,3,FALSE)</f>
        <v>LEVERE</v>
      </c>
      <c r="M141" s="6">
        <f t="shared" si="84"/>
        <v>2.5659722225100268E-2</v>
      </c>
      <c r="N141" s="7">
        <f t="shared" si="85"/>
        <v>36.950000004144385</v>
      </c>
      <c r="O141" s="7"/>
      <c r="P141" s="7"/>
      <c r="Q141" s="25"/>
      <c r="R141" s="25"/>
      <c r="S141" s="37">
        <f t="shared" si="86"/>
        <v>1</v>
      </c>
      <c r="T141" s="52" t="str">
        <f t="shared" si="87"/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19:48:37-0600',mode:absolute,to:'2016-08-28 22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41" s="54" t="str">
        <f t="shared" si="89"/>
        <v>N</v>
      </c>
      <c r="X141" s="120">
        <f t="shared" si="90"/>
        <v>1</v>
      </c>
      <c r="Y141" s="69">
        <f t="shared" si="91"/>
        <v>4.6699999999999998E-2</v>
      </c>
      <c r="Z141" s="69">
        <f t="shared" si="92"/>
        <v>23.33</v>
      </c>
      <c r="AA141" s="69">
        <f t="shared" si="93"/>
        <v>23.283299999999997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si="94"/>
        <v>0229-28</v>
      </c>
      <c r="AE141" s="99" t="str">
        <f t="shared" si="95"/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141" s="96" t="str">
        <f t="shared" si="96"/>
        <v>"C:\Program Files (x86)\AstroGrep\AstroGrep.exe" /spath="%USERPROFILE%\AppData\Local\Temp\OnboardLogs" /stypes="*4002*20160829*" /stext=" 03:.+((SYSTEM_STATE.+slice.+state.+changed )|(ment ac)|(system.+state.+changed )|(\|lc)|(penalty)|(\[timeout)|(PRM\|1\|D)|(kpr)|(kdp))" /e /r /s</v>
      </c>
      <c r="AG141" s="1" t="str">
        <f t="shared" si="97"/>
        <v>EC</v>
      </c>
      <c r="AH141" s="100" t="str">
        <f t="shared" si="49"/>
        <v>"%USERPROFILE%\Documents\GitHub\eaglep3\Utilities\RefineRTDCRunTimes.py" --tripid 229-28 --locoid 4002 --swversion DE.1.0.7.0 --startMP 204:467 --initTime 2016-08-28T20:48:37 --startdatetime 2016-08-28T21:00:18 --delay 1 --endMP 204:233300 --enddatetime 2016-08-28T21:37:15 --enforcementcount 0 &gt;&gt;C:\Users\stu\Documents\GitHub\eaglep3-reporting\EC\2016-08-28-refined-times.txt</v>
      </c>
      <c r="AI141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{"issue":{"subject":"","project_id":79,"tracker_id":40,"status_id":1,"priority_id":2,"assigned_to_id":23,"start_date":"2016-08-28","description":"","custom_fields":[{"id":1,"name":"Subdivision","value":"EC"},{"id":4,"name":"Milepost","value":"23.2833"},{"id":17,"name":"Train ID","value":"229-28"},{"id":16,"name":"Locomotive ID","value":"4002"},{"id":130,"name":"Impact","value":""},{"id":150,"name":"Time of Event (Mountain Time)","value":"21:37:15"},{"id":151,"name":"Denver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528</v>
      </c>
      <c r="B142" s="7">
        <v>4001</v>
      </c>
      <c r="C142" s="24" t="s">
        <v>113</v>
      </c>
      <c r="D142" s="24" t="s">
        <v>630</v>
      </c>
      <c r="E142" s="15">
        <v>42610.908252314817</v>
      </c>
      <c r="F142" s="15">
        <v>42610.914305555554</v>
      </c>
      <c r="G142" s="7">
        <v>1</v>
      </c>
      <c r="H142" s="15" t="s">
        <v>155</v>
      </c>
      <c r="I142" s="15">
        <v>42610.94059027778</v>
      </c>
      <c r="J142" s="7">
        <v>0</v>
      </c>
      <c r="K142" s="132" t="str">
        <f t="shared" si="83"/>
        <v>4001/4002</v>
      </c>
      <c r="L142" s="24" t="str">
        <f>VLOOKUP(A142,'Trips&amp;Operators'!$C$1:$E$10000,3,FALSE)</f>
        <v>LEVERE</v>
      </c>
      <c r="M142" s="6">
        <f t="shared" si="84"/>
        <v>2.6284722225682344E-2</v>
      </c>
      <c r="N142" s="7">
        <f t="shared" si="85"/>
        <v>37.850000004982576</v>
      </c>
      <c r="O142" s="7"/>
      <c r="P142" s="7"/>
      <c r="Q142" s="25"/>
      <c r="R142" s="25"/>
      <c r="S142" s="37">
        <f t="shared" si="86"/>
        <v>1</v>
      </c>
      <c r="T142" s="52" t="str">
        <f t="shared" si="87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20:47:53-0600',mode:absolute,to:'2016-08-28 23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2" s="54" t="str">
        <f t="shared" si="89"/>
        <v>N</v>
      </c>
      <c r="X142" s="120">
        <f t="shared" si="90"/>
        <v>1</v>
      </c>
      <c r="Y142" s="69">
        <f t="shared" si="91"/>
        <v>23.299800000000001</v>
      </c>
      <c r="Z142" s="69">
        <f t="shared" si="92"/>
        <v>1.54E-2</v>
      </c>
      <c r="AA142" s="69">
        <f t="shared" si="93"/>
        <v>23.284400000000002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94"/>
        <v>0230-28</v>
      </c>
      <c r="AE142" s="99" t="str">
        <f t="shared" si="95"/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AF142" s="96" t="str">
        <f t="shared" si="96"/>
        <v>"C:\Program Files (x86)\AstroGrep\AstroGrep.exe" /spath="%USERPROFILE%\AppData\Local\Temp\OnboardLogs" /stypes="*4001*20160829*" /stext=" 04:.+((SYSTEM_STATE.+slice.+state.+changed )|(ment ac)|(system.+state.+changed )|(\|lc)|(penalty)|(\[timeout)|(PRM\|1\|D)|(kpr)|(kdp))" /e /r /s</v>
      </c>
      <c r="AG142" s="1" t="str">
        <f t="shared" si="97"/>
        <v>EC</v>
      </c>
      <c r="AH142" s="100" t="str">
        <f t="shared" si="49"/>
        <v>"%USERPROFILE%\Documents\GitHub\eaglep3\Utilities\RefineRTDCRunTimes.py" --tripid 230-28 --locoid 4001 --swversion DE.1.0.7.0 --startMP 204:232998 --initTime 2016-08-28T21:47:53 --startdatetime 2016-08-28T21:56:36 --delay 1 --endMP 204:154 --enddatetime 2016-08-28T22:34:27 --enforcementcount 0 &gt;&gt;C:\Users\stu\Documents\GitHub\eaglep3-reporting\EC\2016-08-28-refined-times.txt</v>
      </c>
      <c r="AI142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{"issue":{"subject":"","project_id":79,"tracker_id":40,"status_id":1,"priority_id":2,"assigned_to_id":23,"start_date":"2016-08-28","description":"","custom_fields":[{"id":1,"name":"Subdivision","value":"EC"},{"id":4,"name":"Milepost","value":"23.2844"},{"id":17,"name":"Train ID","value":"230-28"},{"id":16,"name":"Locomotive ID","value":"4001"},{"id":130,"name":"Impact","value":""},{"id":150,"name":"Time of Event (Mountain Time)","value":"22:34:27"},{"id":151,"name":"Denver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525</v>
      </c>
      <c r="B143" s="7">
        <v>4040</v>
      </c>
      <c r="C143" s="24" t="s">
        <v>113</v>
      </c>
      <c r="D143" s="24" t="s">
        <v>191</v>
      </c>
      <c r="E143" s="15">
        <v>42610.893865740742</v>
      </c>
      <c r="F143" s="15">
        <v>42610.896041666667</v>
      </c>
      <c r="G143" s="7">
        <v>1</v>
      </c>
      <c r="H143" s="15" t="s">
        <v>193</v>
      </c>
      <c r="I143" s="15">
        <v>42610.921006944445</v>
      </c>
      <c r="J143" s="7">
        <v>0</v>
      </c>
      <c r="K143" s="132" t="str">
        <f t="shared" si="83"/>
        <v>4039/4040</v>
      </c>
      <c r="L143" s="24" t="str">
        <f>VLOOKUP(A143,'Trips&amp;Operators'!$C$1:$E$10000,3,FALSE)</f>
        <v>COOLAHAN</v>
      </c>
      <c r="M143" s="6">
        <f t="shared" si="84"/>
        <v>2.4965277778392192E-2</v>
      </c>
      <c r="N143" s="7">
        <f t="shared" si="85"/>
        <v>35.950000000884756</v>
      </c>
      <c r="O143" s="7"/>
      <c r="P143" s="7"/>
      <c r="Q143" s="25"/>
      <c r="R143" s="25"/>
      <c r="S143" s="37">
        <f t="shared" si="86"/>
        <v>1</v>
      </c>
      <c r="T143" s="52" t="str">
        <f t="shared" si="87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https://search-rtdc-monitor-bjffxe2xuh6vdkpspy63sjmuny.us-east-1.es.amazonaws.com/_plugin/kibana/#/discover/Steve-Slow-Train-Analysis-(2080s-and-2083s)?_g=(refreshInterval:(display:Off,section:0,value:0),time:(from:'2016-08-28 20:27:10-0600',mode:absolute,to:'2016-08-28 23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43" s="54" t="str">
        <f t="shared" si="89"/>
        <v>N</v>
      </c>
      <c r="X143" s="120">
        <f t="shared" si="90"/>
        <v>1</v>
      </c>
      <c r="Y143" s="69">
        <f t="shared" si="91"/>
        <v>4.3499999999999997E-2</v>
      </c>
      <c r="Z143" s="69">
        <f t="shared" si="92"/>
        <v>23.331199999999999</v>
      </c>
      <c r="AA143" s="69">
        <f t="shared" si="93"/>
        <v>23.287699999999997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 t="shared" si="94"/>
        <v>0231-28</v>
      </c>
      <c r="AE143" s="99" t="str">
        <f t="shared" si="95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143" s="96" t="str">
        <f t="shared" si="96"/>
        <v>"C:\Program Files (x86)\AstroGrep\AstroGrep.exe" /spath="%USERPROFILE%\AppData\Local\Temp\OnboardLogs" /stypes="*4040*20160829*" /stext=" 04:.+((SYSTEM_STATE.+slice.+state.+changed )|(ment ac)|(system.+state.+changed )|(\|lc)|(penalty)|(\[timeout)|(PRM\|1\|D)|(kpr)|(kdp))" /e /r /s</v>
      </c>
      <c r="AG143" s="1" t="str">
        <f t="shared" si="97"/>
        <v>EC</v>
      </c>
      <c r="AH143" s="100" t="str">
        <f t="shared" si="49"/>
        <v>"%USERPROFILE%\Documents\GitHub\eaglep3\Utilities\RefineRTDCRunTimes.py" --tripid 231-28 --locoid 4040 --swversion DE.1.0.7.0 --startMP 204:435 --initTime 2016-08-28T21:27:10 --startdatetime 2016-08-28T21:30:18 --delay 1 --endMP 204:233312 --enddatetime 2016-08-28T22:06:15 --enforcementcount 0 &gt;&gt;C:\Users\stu\Documents\GitHub\eaglep3-reporting\EC\2016-08-28-refined-times.txt</v>
      </c>
      <c r="AI143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{"issue":{"subject":"","project_id":79,"tracker_id":40,"status_id":1,"priority_id":2,"assigned_to_id":23,"start_date":"2016-08-28","description":"","custom_fields":[{"id":1,"name":"Subdivision","value":"EC"},{"id":4,"name":"Milepost","value":"23.2877"},{"id":17,"name":"Train ID","value":"231-28"},{"id":16,"name":"Locomotive ID","value":"4040"},{"id":130,"name":"Impact","value":""},{"id":150,"name":"Time of Event (Mountain Time)","value":"22:06:15"},{"id":151,"name":"Denver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530</v>
      </c>
      <c r="B144" s="7">
        <v>4039</v>
      </c>
      <c r="C144" s="24" t="s">
        <v>113</v>
      </c>
      <c r="D144" s="24" t="s">
        <v>630</v>
      </c>
      <c r="E144" s="15">
        <v>42610.930520833332</v>
      </c>
      <c r="F144" s="15">
        <v>42610.935219907406</v>
      </c>
      <c r="G144" s="7">
        <v>1</v>
      </c>
      <c r="H144" s="15" t="s">
        <v>132</v>
      </c>
      <c r="I144" s="15">
        <v>42610.961168981485</v>
      </c>
      <c r="J144" s="7">
        <v>0</v>
      </c>
      <c r="K144" s="132" t="str">
        <f t="shared" ref="K144:K176" si="98">IF(ISEVEN(B144),(B144-1)&amp;"/"&amp;B144,B144&amp;"/"&amp;(B144+1))</f>
        <v>4039/4040</v>
      </c>
      <c r="L144" s="24" t="str">
        <f>VLOOKUP(A144,'Trips&amp;Operators'!$C$1:$E$10000,3,FALSE)</f>
        <v>COOLAHAN</v>
      </c>
      <c r="M144" s="6">
        <f t="shared" ref="M144:M176" si="99">I144-F144</f>
        <v>2.5949074079107959E-2</v>
      </c>
      <c r="N144" s="7">
        <f t="shared" ref="N144:N176" si="100">24*60*SUM($M144:$M144)</f>
        <v>37.366666673915461</v>
      </c>
      <c r="O144" s="7"/>
      <c r="P144" s="7"/>
      <c r="Q144" s="25"/>
      <c r="R144" s="25"/>
      <c r="S144" s="37">
        <f t="shared" ref="S144:S176" si="101">SUM(U144:U144)/IF(AG144="EC",12,1)</f>
        <v>1</v>
      </c>
      <c r="T144" s="52" t="str">
        <f t="shared" ref="T144:T176" si="102">IF(ISEVEN(LEFT(AD144,4)),"Southbound","NorthBound")</f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ref="V144:V176" si="103"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https://search-rtdc-monitor-bjffxe2xuh6vdkpspy63sjmuny.us-east-1.es.amazonaws.com/_plugin/kibana/#/discover/Steve-Slow-Train-Analysis-(2080s-and-2083s)?_g=(refreshInterval:(display:Off,section:0,value:0),time:(from:'2016-08-28 21:19:57-0600',mode:absolute,to:'2016-08-29 00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44" s="54" t="str">
        <f t="shared" ref="W144:W176" si="104">IF(AA144&lt;IF(AG144="EC",23,5.65),"Y","N")</f>
        <v>N</v>
      </c>
      <c r="X144" s="120">
        <f t="shared" ref="X144:X176" si="105">VALUE(LEFT(AD144,4))-VALUE(LEFT(AD143,4))</f>
        <v>1</v>
      </c>
      <c r="Y144" s="69">
        <f t="shared" ref="Y144:Y176" si="106">RIGHT(D144,LEN(D144)-4)/10000</f>
        <v>23.299800000000001</v>
      </c>
      <c r="Z144" s="69">
        <f t="shared" ref="Z144:Z176" si="107">RIGHT(H144,LEN(H144)-4)/10000</f>
        <v>1.47E-2</v>
      </c>
      <c r="AA144" s="69">
        <f t="shared" ref="AA144:AA176" si="108">ABS(Z144-Y144)</f>
        <v>23.2851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ref="AD144:AD176" si="109">IF(LEN(A144)=6,"0"&amp;A144,A144)</f>
        <v>0232-28</v>
      </c>
      <c r="AE144" s="99" t="str">
        <f t="shared" ref="AE144:AE176" si="110">"aws s3 cp "&amp;s3_bucket&amp;"/RTDC"&amp;B144&amp;"/"&amp;TEXT(F144,"YYYY-MM-DD")&amp;"/ "&amp;search_path&amp;"\RTDC"&amp;B144&amp;"\"&amp;TEXT(F144,"YYYY-MM-DD")&amp;" --recursive &amp; """&amp;walkandungz&amp;""" "&amp;search_path&amp;"\RTDC"&amp;B144&amp;"\"&amp;TEXT(F144,"YYYY-MM-DD")
&amp;" &amp; "&amp;"aws s3 cp "&amp;s3_bucket&amp;"/RTDC"&amp;B144&amp;"/"&amp;TEXT(F144+1,"YYYY-MM-DD")&amp;"/ "&amp;search_path&amp;"\RTDC"&amp;B144&amp;"\"&amp;TEXT(F144+1,"YYYY-MM-DD")&amp;" --recursive &amp; """&amp;walkandungz&amp;""" "&amp;search_path&amp;"\RTDC"&amp;B144&amp;"\"&amp;TEXT(F144+1,"YYYY-MM-DD")</f>
        <v>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 &amp; 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</v>
      </c>
      <c r="AF144" s="96" t="str">
        <f t="shared" ref="AF144:AF176" si="111">astrogrep_path&amp;" /spath="&amp;search_path&amp;" /stypes=""*"&amp;B144&amp;"*"&amp;TEXT(I144-utc_offset/24,"YYYYMMDD")&amp;"*"" /stext="" "&amp;TEXT(I144-utc_offset/24,"HH")&amp;search_regexp&amp;""" /e /r /s"</f>
        <v>"C:\Program Files (x86)\AstroGrep\AstroGrep.exe" /spath="%USERPROFILE%\AppData\Local\Temp\OnboardLogs" /stypes="*4039*20160829*" /stext=" 05:.+((SYSTEM_STATE.+slice.+state.+changed )|(ment ac)|(system.+state.+changed )|(\|lc)|(penalty)|(\[timeout)|(PRM\|1\|D)|(kpr)|(kdp))" /e /r /s</v>
      </c>
      <c r="AG144" s="1" t="str">
        <f t="shared" ref="AG144:AG176" si="112">IFERROR(IF(VALUE(LEFT(AD144,2))&lt;=2,"EC",IF(OR(VALUE(LEFT(AD144,2))=8,VALUE(LEFT(AD144,2))=18),"NW","Other")),"Other")</f>
        <v>EC</v>
      </c>
      <c r="AH144" s="100" t="str">
        <f t="shared" si="49"/>
        <v>"%USERPROFILE%\Documents\GitHub\eaglep3\Utilities\RefineRTDCRunTimes.py" --tripid 232-28 --locoid 4039 --swversion DE.1.0.7.0 --startMP 204:232998 --initTime 2016-08-28T22:19:57 --startdatetime 2016-08-28T22:26:43 --delay 1 --endMP 204:147 --enddatetime 2016-08-28T23:04:05 --enforcementcount 0 &gt;&gt;C:\Users\stu\Documents\GitHub\eaglep3-reporting\EC\2016-08-28-refined-times.txt</v>
      </c>
      <c r="AI144" s="149" t="str">
        <f t="shared" si="50"/>
        <v>echo {"issue":{"subject":"","project_id":79,"tracker_id":40,"status_id":1,"priority_id":2,"assigned_to_id":23,"start_date":"2016-08-28","description":"","custom_fields":[{"id":1,"name":"Subdivision","value":"EC"},{"id":4,"name":"Milepost","value":"23.2851"},{"id":17,"name":"Train ID","value":"232-28"},{"id":16,"name":"Locomotive ID","value":"4039"},{"id":130,"name":"Impact","value":""},{"id":150,"name":"Time of Event (Mountain Time)","value":"23:04:05"},{"id":151,"name":"Denver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527</v>
      </c>
      <c r="B145" s="7">
        <v>4042</v>
      </c>
      <c r="C145" s="24" t="s">
        <v>113</v>
      </c>
      <c r="D145" s="24" t="s">
        <v>309</v>
      </c>
      <c r="E145" s="15">
        <v>42610.903946759259</v>
      </c>
      <c r="F145" s="15">
        <v>42610.91684027778</v>
      </c>
      <c r="G145" s="7">
        <v>1</v>
      </c>
      <c r="H145" s="15" t="s">
        <v>644</v>
      </c>
      <c r="I145" s="15">
        <v>42610.941469907404</v>
      </c>
      <c r="J145" s="7">
        <v>0</v>
      </c>
      <c r="K145" s="132" t="str">
        <f t="shared" si="98"/>
        <v>4041/4042</v>
      </c>
      <c r="L145" s="24" t="str">
        <f>VLOOKUP(A145,'Trips&amp;Operators'!$C$1:$E$10000,3,FALSE)</f>
        <v>NEWELL</v>
      </c>
      <c r="M145" s="6">
        <f t="shared" si="99"/>
        <v>2.4629629624541849E-2</v>
      </c>
      <c r="N145" s="7">
        <f t="shared" si="100"/>
        <v>35.466666659340262</v>
      </c>
      <c r="O145" s="7"/>
      <c r="P145" s="7"/>
      <c r="Q145" s="25"/>
      <c r="R145" s="25"/>
      <c r="S145" s="37">
        <f t="shared" si="101"/>
        <v>1</v>
      </c>
      <c r="T145" s="52" t="str">
        <f t="shared" si="102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20:41:41-0600',mode:absolute,to:'2016-08-28 23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5" s="54" t="str">
        <f t="shared" si="104"/>
        <v>N</v>
      </c>
      <c r="X145" s="120">
        <f t="shared" si="105"/>
        <v>1</v>
      </c>
      <c r="Y145" s="69">
        <f t="shared" si="106"/>
        <v>4.7500000000000001E-2</v>
      </c>
      <c r="Z145" s="69">
        <f t="shared" si="107"/>
        <v>23.3325</v>
      </c>
      <c r="AA145" s="69">
        <f t="shared" si="108"/>
        <v>23.285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109"/>
        <v>0233-28</v>
      </c>
      <c r="AE145" s="99" t="str">
        <f t="shared" si="110"/>
        <v>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 &amp; 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</v>
      </c>
      <c r="AF145" s="96" t="str">
        <f t="shared" si="111"/>
        <v>"C:\Program Files (x86)\AstroGrep\AstroGrep.exe" /spath="%USERPROFILE%\AppData\Local\Temp\OnboardLogs" /stypes="*4042*20160829*" /stext=" 04:.+((SYSTEM_STATE.+slice.+state.+changed )|(ment ac)|(system.+state.+changed )|(\|lc)|(penalty)|(\[timeout)|(PRM\|1\|D)|(kpr)|(kdp))" /e /r /s</v>
      </c>
      <c r="AG145" s="1" t="str">
        <f t="shared" si="112"/>
        <v>EC</v>
      </c>
      <c r="AH145" s="100" t="str">
        <f t="shared" ref="AH145:AH201" si="113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233-28 --locoid 4042 --swversion DE.1.0.7.0 --startMP 204:475 --initTime 2016-08-28T21:41:41 --startdatetime 2016-08-28T22:00:15 --delay 1 --endMP 204:233325 --enddatetime 2016-08-28T22:35:43 --enforcementcount 0 &gt;&gt;C:\Users\stu\Documents\GitHub\eaglep3-reporting\EC\2016-08-28-refined-times.txt</v>
      </c>
      <c r="AI145" s="149" t="str">
        <f t="shared" ref="AI145:AI201" si="114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AA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{"issue":{"subject":"","project_id":79,"tracker_id":40,"status_id":1,"priority_id":2,"assigned_to_id":23,"start_date":"2016-08-28","description":"","custom_fields":[{"id":1,"name":"Subdivision","value":"EC"},{"id":4,"name":"Milepost","value":"23.285"},{"id":17,"name":"Train ID","value":"233-28"},{"id":16,"name":"Locomotive ID","value":"4042"},{"id":130,"name":"Impact","value":""},{"id":150,"name":"Time of Event (Mountain Time)","value":"22:35:43"},{"id":151,"name":"Denver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533</v>
      </c>
      <c r="B146" s="7">
        <v>4041</v>
      </c>
      <c r="C146" s="24" t="s">
        <v>113</v>
      </c>
      <c r="D146" s="24" t="s">
        <v>194</v>
      </c>
      <c r="E146" s="15">
        <v>42610.951666666668</v>
      </c>
      <c r="F146" s="15">
        <v>42610.955717592595</v>
      </c>
      <c r="G146" s="7">
        <v>1</v>
      </c>
      <c r="H146" s="15" t="s">
        <v>131</v>
      </c>
      <c r="I146" s="15">
        <v>42610.982233796298</v>
      </c>
      <c r="J146" s="7">
        <v>0</v>
      </c>
      <c r="K146" s="132" t="str">
        <f t="shared" si="98"/>
        <v>4041/4042</v>
      </c>
      <c r="L146" s="24" t="str">
        <f>VLOOKUP(A146,'Trips&amp;Operators'!$C$1:$E$10000,3,FALSE)</f>
        <v>NEWELL</v>
      </c>
      <c r="M146" s="6">
        <f t="shared" si="99"/>
        <v>2.6516203703067731E-2</v>
      </c>
      <c r="N146" s="7">
        <f t="shared" si="100"/>
        <v>38.183333332417533</v>
      </c>
      <c r="O146" s="7"/>
      <c r="P146" s="7"/>
      <c r="Q146" s="25"/>
      <c r="R146" s="25"/>
      <c r="S146" s="37">
        <f t="shared" si="101"/>
        <v>1</v>
      </c>
      <c r="T146" s="52" t="str">
        <f t="shared" si="102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21:50:24-0600',mode:absolute,to:'2016-08-29 00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6" s="54" t="str">
        <f t="shared" si="104"/>
        <v>N</v>
      </c>
      <c r="X146" s="120">
        <f t="shared" si="105"/>
        <v>1</v>
      </c>
      <c r="Y146" s="69">
        <f t="shared" si="106"/>
        <v>23.3</v>
      </c>
      <c r="Z146" s="69">
        <f t="shared" si="107"/>
        <v>1.5800000000000002E-2</v>
      </c>
      <c r="AA146" s="69">
        <f t="shared" si="108"/>
        <v>23.284200000000002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109"/>
        <v>0234-28</v>
      </c>
      <c r="AE146" s="99" t="str">
        <f t="shared" si="110"/>
        <v>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 &amp; aws s3 cp s3://rtdc.mdm.uploadarchive/RTDC4041/2016-08-29/ "%USERPROFILE%\AppData\Local\Temp\OnboardLogs"\RTDC4041\2016-08-29 --recursive &amp; "%USERPROFILE%\Documents\GitHub\mrs-test-scripts\Headless Mode &amp; Sideloading\WalkAndUnGZ.bat" "%USERPROFILE%\AppData\Local\Temp\OnboardLogs"\RTDC4041\2016-08-29</v>
      </c>
      <c r="AF146" s="96" t="str">
        <f t="shared" si="111"/>
        <v>"C:\Program Files (x86)\AstroGrep\AstroGrep.exe" /spath="%USERPROFILE%\AppData\Local\Temp\OnboardLogs" /stypes="*4041*20160829*" /stext=" 05:.+((SYSTEM_STATE.+slice.+state.+changed )|(ment ac)|(system.+state.+changed )|(\|lc)|(penalty)|(\[timeout)|(PRM\|1\|D)|(kpr)|(kdp))" /e /r /s</v>
      </c>
      <c r="AG146" s="1" t="str">
        <f t="shared" si="112"/>
        <v>EC</v>
      </c>
      <c r="AH146" s="100" t="str">
        <f t="shared" si="113"/>
        <v>"%USERPROFILE%\Documents\GitHub\eaglep3\Utilities\RefineRTDCRunTimes.py" --tripid 234-28 --locoid 4041 --swversion DE.1.0.7.0 --startMP 204:233000 --initTime 2016-08-28T22:50:24 --startdatetime 2016-08-28T22:56:14 --delay 1 --endMP 204:158 --enddatetime 2016-08-28T23:34:25 --enforcementcount 0 &gt;&gt;C:\Users\stu\Documents\GitHub\eaglep3-reporting\EC\2016-08-28-refined-times.txt</v>
      </c>
      <c r="AI146" s="149" t="str">
        <f t="shared" si="114"/>
        <v>echo {"issue":{"subject":"","project_id":79,"tracker_id":40,"status_id":1,"priority_id":2,"assigned_to_id":23,"start_date":"2016-08-28","description":"","custom_fields":[{"id":1,"name":"Subdivision","value":"EC"},{"id":4,"name":"Milepost","value":"23.2842"},{"id":17,"name":"Train ID","value":"234-28"},{"id":16,"name":"Locomotive ID","value":"4041"},{"id":130,"name":"Impact","value":""},{"id":150,"name":"Time of Event (Mountain Time)","value":"23:34:25"},{"id":151,"name":"Denver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531</v>
      </c>
      <c r="B147" s="7">
        <v>4038</v>
      </c>
      <c r="C147" s="24" t="s">
        <v>113</v>
      </c>
      <c r="D147" s="24" t="s">
        <v>109</v>
      </c>
      <c r="E147" s="15">
        <v>42610.935972222222</v>
      </c>
      <c r="F147" s="15">
        <v>42610.937997685185</v>
      </c>
      <c r="G147" s="7">
        <v>1</v>
      </c>
      <c r="H147" s="15" t="s">
        <v>185</v>
      </c>
      <c r="I147" s="15">
        <v>42610.963634259257</v>
      </c>
      <c r="J147" s="7">
        <v>0</v>
      </c>
      <c r="K147" s="132" t="str">
        <f t="shared" si="98"/>
        <v>4037/4038</v>
      </c>
      <c r="L147" s="24" t="str">
        <f>VLOOKUP(A147,'Trips&amp;Operators'!$C$1:$E$10000,3,FALSE)</f>
        <v>CHANDLER</v>
      </c>
      <c r="M147" s="6">
        <f t="shared" si="99"/>
        <v>2.5636574071540963E-2</v>
      </c>
      <c r="N147" s="7">
        <f t="shared" si="100"/>
        <v>36.916666663018987</v>
      </c>
      <c r="O147" s="7"/>
      <c r="P147" s="7"/>
      <c r="Q147" s="25"/>
      <c r="R147" s="25"/>
      <c r="S147" s="37">
        <f t="shared" si="101"/>
        <v>1</v>
      </c>
      <c r="T147" s="52" t="str">
        <f t="shared" si="102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21:27:48-0600',mode:absolute,to:'2016-08-29 00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47" s="54" t="str">
        <f t="shared" si="104"/>
        <v>N</v>
      </c>
      <c r="X147" s="120">
        <f t="shared" si="105"/>
        <v>1</v>
      </c>
      <c r="Y147" s="69">
        <f t="shared" si="106"/>
        <v>4.6199999999999998E-2</v>
      </c>
      <c r="Z147" s="69">
        <f t="shared" si="107"/>
        <v>23.3293</v>
      </c>
      <c r="AA147" s="69">
        <f t="shared" si="108"/>
        <v>23.283100000000001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si="109"/>
        <v>0235-28</v>
      </c>
      <c r="AE147" s="99" t="str">
        <f t="shared" si="110"/>
        <v>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 &amp; 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</v>
      </c>
      <c r="AF147" s="96" t="str">
        <f t="shared" si="111"/>
        <v>"C:\Program Files (x86)\AstroGrep\AstroGrep.exe" /spath="%USERPROFILE%\AppData\Local\Temp\OnboardLogs" /stypes="*4038*20160829*" /stext=" 05:.+((SYSTEM_STATE.+slice.+state.+changed )|(ment ac)|(system.+state.+changed )|(\|lc)|(penalty)|(\[timeout)|(PRM\|1\|D)|(kpr)|(kdp))" /e /r /s</v>
      </c>
      <c r="AG147" s="1" t="str">
        <f t="shared" si="112"/>
        <v>EC</v>
      </c>
      <c r="AH147" s="100" t="str">
        <f t="shared" si="113"/>
        <v>"%USERPROFILE%\Documents\GitHub\eaglep3\Utilities\RefineRTDCRunTimes.py" --tripid 235-28 --locoid 4038 --swversion DE.1.0.7.0 --startMP 204:462 --initTime 2016-08-28T22:27:48 --startdatetime 2016-08-28T22:30:43 --delay 1 --endMP 204:233293 --enddatetime 2016-08-28T23:07:38 --enforcementcount 0 &gt;&gt;C:\Users\stu\Documents\GitHub\eaglep3-reporting\EC\2016-08-28-refined-times.txt</v>
      </c>
      <c r="AI147" s="149" t="str">
        <f t="shared" si="114"/>
        <v>echo {"issue":{"subject":"","project_id":79,"tracker_id":40,"status_id":1,"priority_id":2,"assigned_to_id":23,"start_date":"2016-08-28","description":"","custom_fields":[{"id":1,"name":"Subdivision","value":"EC"},{"id":4,"name":"Milepost","value":"23.2831"},{"id":17,"name":"Train ID","value":"235-28"},{"id":16,"name":"Locomotive ID","value":"4038"},{"id":130,"name":"Impact","value":""},{"id":150,"name":"Time of Event (Mountain Time)","value":"23:07:38"},{"id":151,"name":"Denver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535</v>
      </c>
      <c r="B148" s="7">
        <v>4037</v>
      </c>
      <c r="C148" s="24" t="s">
        <v>113</v>
      </c>
      <c r="D148" s="24" t="s">
        <v>289</v>
      </c>
      <c r="E148" s="15">
        <v>42610.975601851853</v>
      </c>
      <c r="F148" s="15">
        <v>42610.976759259262</v>
      </c>
      <c r="G148" s="7">
        <v>1</v>
      </c>
      <c r="H148" s="15" t="s">
        <v>184</v>
      </c>
      <c r="I148" s="15">
        <v>42611.006041666667</v>
      </c>
      <c r="J148" s="7">
        <v>0</v>
      </c>
      <c r="K148" s="132" t="str">
        <f t="shared" si="98"/>
        <v>4037/4038</v>
      </c>
      <c r="L148" s="24" t="str">
        <f>VLOOKUP(A148,'Trips&amp;Operators'!$C$1:$E$10000,3,FALSE)</f>
        <v>CHANDLER</v>
      </c>
      <c r="M148" s="6">
        <f t="shared" si="99"/>
        <v>2.9282407405844424E-2</v>
      </c>
      <c r="N148" s="7">
        <f t="shared" si="100"/>
        <v>42.16666666441597</v>
      </c>
      <c r="O148" s="7"/>
      <c r="P148" s="7"/>
      <c r="Q148" s="25"/>
      <c r="R148" s="25"/>
      <c r="S148" s="37">
        <f t="shared" si="101"/>
        <v>1</v>
      </c>
      <c r="T148" s="52" t="str">
        <f t="shared" si="102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22:24:52-0600',mode:absolute,to:'2016-08-29 01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48" s="54" t="str">
        <f t="shared" si="104"/>
        <v>N</v>
      </c>
      <c r="X148" s="120">
        <f t="shared" si="105"/>
        <v>1</v>
      </c>
      <c r="Y148" s="69">
        <f t="shared" si="106"/>
        <v>23.298500000000001</v>
      </c>
      <c r="Z148" s="69">
        <f t="shared" si="107"/>
        <v>1.6E-2</v>
      </c>
      <c r="AA148" s="69">
        <f t="shared" si="108"/>
        <v>23.282500000000002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109"/>
        <v>0236-28</v>
      </c>
      <c r="AE148" s="99" t="str">
        <f t="shared" si="110"/>
        <v>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 &amp; 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</v>
      </c>
      <c r="AF148" s="96" t="str">
        <f t="shared" si="111"/>
        <v>"C:\Program Files (x86)\AstroGrep\AstroGrep.exe" /spath="%USERPROFILE%\AppData\Local\Temp\OnboardLogs" /stypes="*4037*20160829*" /stext=" 06:.+((SYSTEM_STATE.+slice.+state.+changed )|(ment ac)|(system.+state.+changed )|(\|lc)|(penalty)|(\[timeout)|(PRM\|1\|D)|(kpr)|(kdp))" /e /r /s</v>
      </c>
      <c r="AG148" s="1" t="str">
        <f t="shared" si="112"/>
        <v>EC</v>
      </c>
      <c r="AH148" s="100" t="str">
        <f t="shared" si="113"/>
        <v>"%USERPROFILE%\Documents\GitHub\eaglep3\Utilities\RefineRTDCRunTimes.py" --tripid 236-28 --locoid 4037 --swversion DE.1.0.7.0 --startMP 204:232985 --initTime 2016-08-28T23:24:52 --startdatetime 2016-08-28T23:26:32 --delay 1 --endMP 204:160 --enddatetime 2016-08-29T00:08:42 --enforcementcount 0 &gt;&gt;C:\Users\stu\Documents\GitHub\eaglep3-reporting\EC\2016-08-28-refined-times.txt</v>
      </c>
      <c r="AI148" s="149" t="str">
        <f t="shared" si="114"/>
        <v>echo {"issue":{"subject":"","project_id":79,"tracker_id":40,"status_id":1,"priority_id":2,"assigned_to_id":23,"start_date":"2016-08-29","description":"","custom_fields":[{"id":1,"name":"Subdivision","value":"EC"},{"id":4,"name":"Milepost","value":"23.2825"},{"id":17,"name":"Train ID","value":"236-28"},{"id":16,"name":"Locomotive ID","value":"4037"},{"id":130,"name":"Impact","value":""},{"id":150,"name":"Time of Event (Mountain Time)","value":"00:08:42"},{"id":151,"name":"Denver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534</v>
      </c>
      <c r="B149" s="7">
        <v>4002</v>
      </c>
      <c r="C149" s="24" t="s">
        <v>113</v>
      </c>
      <c r="D149" s="24" t="s">
        <v>135</v>
      </c>
      <c r="E149" s="15">
        <v>42610.955613425926</v>
      </c>
      <c r="F149" s="15">
        <v>42610.95857638889</v>
      </c>
      <c r="G149" s="7">
        <v>1</v>
      </c>
      <c r="H149" s="15" t="s">
        <v>301</v>
      </c>
      <c r="I149" s="15">
        <v>42610.984143518515</v>
      </c>
      <c r="J149" s="7">
        <v>0</v>
      </c>
      <c r="K149" s="132" t="str">
        <f t="shared" si="98"/>
        <v>4001/4002</v>
      </c>
      <c r="L149" s="24" t="str">
        <f>VLOOKUP(A149,'Trips&amp;Operators'!$C$1:$E$10000,3,FALSE)</f>
        <v>LEVERE</v>
      </c>
      <c r="M149" s="6">
        <f t="shared" si="99"/>
        <v>2.5567129625414964E-2</v>
      </c>
      <c r="N149" s="7">
        <f t="shared" si="100"/>
        <v>36.816666660597548</v>
      </c>
      <c r="O149" s="7"/>
      <c r="P149" s="7"/>
      <c r="Q149" s="25"/>
      <c r="R149" s="25"/>
      <c r="S149" s="37">
        <f t="shared" si="101"/>
        <v>1</v>
      </c>
      <c r="T149" s="52" t="str">
        <f t="shared" si="102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21:56:05-0600',mode:absolute,to:'2016-08-29 00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49" s="54" t="str">
        <f t="shared" si="104"/>
        <v>N</v>
      </c>
      <c r="X149" s="120">
        <f t="shared" si="105"/>
        <v>1</v>
      </c>
      <c r="Y149" s="69">
        <f t="shared" si="106"/>
        <v>4.4900000000000002E-2</v>
      </c>
      <c r="Z149" s="69">
        <f t="shared" si="107"/>
        <v>23.331099999999999</v>
      </c>
      <c r="AA149" s="69">
        <f t="shared" si="108"/>
        <v>23.286200000000001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109"/>
        <v>0237-28</v>
      </c>
      <c r="AE149" s="99" t="str">
        <f t="shared" si="110"/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AF149" s="96" t="str">
        <f t="shared" si="111"/>
        <v>"C:\Program Files (x86)\AstroGrep\AstroGrep.exe" /spath="%USERPROFILE%\AppData\Local\Temp\OnboardLogs" /stypes="*4002*20160829*" /stext=" 05:.+((SYSTEM_STATE.+slice.+state.+changed )|(ment ac)|(system.+state.+changed )|(\|lc)|(penalty)|(\[timeout)|(PRM\|1\|D)|(kpr)|(kdp))" /e /r /s</v>
      </c>
      <c r="AG149" s="1" t="str">
        <f t="shared" si="112"/>
        <v>EC</v>
      </c>
      <c r="AH149" s="100" t="str">
        <f t="shared" si="113"/>
        <v>"%USERPROFILE%\Documents\GitHub\eaglep3\Utilities\RefineRTDCRunTimes.py" --tripid 237-28 --locoid 4002 --swversion DE.1.0.7.0 --startMP 204:449 --initTime 2016-08-28T22:56:05 --startdatetime 2016-08-28T23:00:21 --delay 1 --endMP 204:233311 --enddatetime 2016-08-28T23:37:10 --enforcementcount 0 &gt;&gt;C:\Users\stu\Documents\GitHub\eaglep3-reporting\EC\2016-08-28-refined-times.txt</v>
      </c>
      <c r="AI149" s="149" t="str">
        <f t="shared" si="114"/>
        <v>echo {"issue":{"subject":"","project_id":79,"tracker_id":40,"status_id":1,"priority_id":2,"assigned_to_id":23,"start_date":"2016-08-28","description":"","custom_fields":[{"id":1,"name":"Subdivision","value":"EC"},{"id":4,"name":"Milepost","value":"23.2862"},{"id":17,"name":"Train ID","value":"237-28"},{"id":16,"name":"Locomotive ID","value":"4002"},{"id":130,"name":"Impact","value":""},{"id":150,"name":"Time of Event (Mountain Time)","value":"23:37:10"},{"id":151,"name":"Denver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538</v>
      </c>
      <c r="B150" s="7">
        <v>4001</v>
      </c>
      <c r="C150" s="24" t="s">
        <v>113</v>
      </c>
      <c r="D150" s="24" t="s">
        <v>189</v>
      </c>
      <c r="E150" s="15">
        <v>42610.991238425922</v>
      </c>
      <c r="F150" s="15">
        <v>42610.997696759259</v>
      </c>
      <c r="G150" s="7">
        <v>1</v>
      </c>
      <c r="H150" s="15" t="s">
        <v>652</v>
      </c>
      <c r="I150" s="15">
        <v>42611.022361111114</v>
      </c>
      <c r="J150" s="7">
        <v>0</v>
      </c>
      <c r="K150" s="132" t="str">
        <f t="shared" si="98"/>
        <v>4001/4002</v>
      </c>
      <c r="L150" s="24" t="str">
        <f>VLOOKUP(A150,'Trips&amp;Operators'!$C$1:$E$10000,3,FALSE)</f>
        <v>LEVERE</v>
      </c>
      <c r="M150" s="6">
        <f t="shared" si="99"/>
        <v>2.4664351854880806E-2</v>
      </c>
      <c r="N150" s="7">
        <f t="shared" si="100"/>
        <v>35.516666671028361</v>
      </c>
      <c r="O150" s="7"/>
      <c r="P150" s="7"/>
      <c r="Q150" s="25"/>
      <c r="R150" s="25"/>
      <c r="S150" s="37">
        <f t="shared" si="101"/>
        <v>1</v>
      </c>
      <c r="T150" s="52" t="str">
        <f t="shared" si="102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22:47:23-0600',mode:absolute,to:'2016-08-29 01:32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0" s="54" t="str">
        <f t="shared" si="104"/>
        <v>Y</v>
      </c>
      <c r="X150" s="120">
        <f t="shared" si="105"/>
        <v>1</v>
      </c>
      <c r="Y150" s="69">
        <f t="shared" si="106"/>
        <v>23.2986</v>
      </c>
      <c r="Z150" s="69">
        <f t="shared" si="107"/>
        <v>0.49020000000000002</v>
      </c>
      <c r="AA150" s="69">
        <f t="shared" si="108"/>
        <v>22.808399999999999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109"/>
        <v>0238-28</v>
      </c>
      <c r="AE150" s="99" t="str">
        <f t="shared" si="110"/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AF150" s="96" t="str">
        <f t="shared" si="111"/>
        <v>"C:\Program Files (x86)\AstroGrep\AstroGrep.exe" /spath="%USERPROFILE%\AppData\Local\Temp\OnboardLogs" /stypes="*4001*20160829*" /stext=" 06:.+((SYSTEM_STATE.+slice.+state.+changed )|(ment ac)|(system.+state.+changed )|(\|lc)|(penalty)|(\[timeout)|(PRM\|1\|D)|(kpr)|(kdp))" /e /r /s</v>
      </c>
      <c r="AG150" s="1" t="str">
        <f t="shared" si="112"/>
        <v>EC</v>
      </c>
      <c r="AH150" s="100" t="str">
        <f t="shared" si="113"/>
        <v>"%USERPROFILE%\Documents\GitHub\eaglep3\Utilities\RefineRTDCRunTimes.py" --tripid 238-28 --locoid 4001 --swversion DE.1.0.7.0 --startMP 204:232986 --initTime 2016-08-28T23:47:23 --startdatetime 2016-08-28T23:56:41 --delay 1 --endMP 204:4902 --enddatetime 2016-08-29T00:32:12 --enforcementcount 0 &gt;&gt;C:\Users\stu\Documents\GitHub\eaglep3-reporting\EC\2016-08-28-refined-times.txt</v>
      </c>
      <c r="AI150" s="149" t="str">
        <f t="shared" si="114"/>
        <v>echo {"issue":{"subject":"","project_id":79,"tracker_id":40,"status_id":1,"priority_id":2,"assigned_to_id":23,"start_date":"2016-08-29","description":"","custom_fields":[{"id":1,"name":"Subdivision","value":"EC"},{"id":4,"name":"Milepost","value":"22.8084"},{"id":17,"name":"Train ID","value":"238-28"},{"id":16,"name":"Locomotive ID","value":"4001"},{"id":130,"name":"Impact","value":""},{"id":150,"name":"Time of Event (Mountain Time)","value":"00:32:12"},{"id":151,"name":"Denver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536</v>
      </c>
      <c r="B151" s="7">
        <v>4040</v>
      </c>
      <c r="C151" s="24" t="s">
        <v>113</v>
      </c>
      <c r="D151" s="24" t="s">
        <v>133</v>
      </c>
      <c r="E151" s="15">
        <v>42610.976319444446</v>
      </c>
      <c r="F151" s="15">
        <v>42610.979421296295</v>
      </c>
      <c r="G151" s="7">
        <v>1</v>
      </c>
      <c r="H151" s="15" t="s">
        <v>255</v>
      </c>
      <c r="I151" s="15">
        <v>42611.004363425927</v>
      </c>
      <c r="J151" s="7">
        <v>0</v>
      </c>
      <c r="K151" s="132" t="str">
        <f t="shared" si="98"/>
        <v>4039/4040</v>
      </c>
      <c r="L151" s="24" t="str">
        <f>VLOOKUP(A151,'Trips&amp;Operators'!$C$1:$E$10000,3,FALSE)</f>
        <v>COOLAHAN</v>
      </c>
      <c r="M151" s="6">
        <f t="shared" si="99"/>
        <v>2.4942129632108845E-2</v>
      </c>
      <c r="N151" s="7">
        <f t="shared" si="100"/>
        <v>35.916666670236737</v>
      </c>
      <c r="O151" s="7"/>
      <c r="P151" s="7"/>
      <c r="Q151" s="25"/>
      <c r="R151" s="25"/>
      <c r="S151" s="37">
        <f t="shared" si="101"/>
        <v>1</v>
      </c>
      <c r="T151" s="52" t="str">
        <f t="shared" si="102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22:25:54-0600',mode:absolute,to:'2016-08-29 01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51" s="54" t="str">
        <f t="shared" si="104"/>
        <v>N</v>
      </c>
      <c r="X151" s="120">
        <f t="shared" si="105"/>
        <v>1</v>
      </c>
      <c r="Y151" s="69">
        <f t="shared" si="106"/>
        <v>4.53E-2</v>
      </c>
      <c r="Z151" s="69">
        <f t="shared" si="107"/>
        <v>23.330100000000002</v>
      </c>
      <c r="AA151" s="69">
        <f t="shared" si="108"/>
        <v>23.284800000000001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109"/>
        <v>0239-28</v>
      </c>
      <c r="AE151" s="99" t="str">
        <f t="shared" si="110"/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AF151" s="96" t="str">
        <f t="shared" si="111"/>
        <v>"C:\Program Files (x86)\AstroGrep\AstroGrep.exe" /spath="%USERPROFILE%\AppData\Local\Temp\OnboardLogs" /stypes="*4040*20160829*" /stext=" 06:.+((SYSTEM_STATE.+slice.+state.+changed )|(ment ac)|(system.+state.+changed )|(\|lc)|(penalty)|(\[timeout)|(PRM\|1\|D)|(kpr)|(kdp))" /e /r /s</v>
      </c>
      <c r="AG151" s="1" t="str">
        <f t="shared" si="112"/>
        <v>EC</v>
      </c>
      <c r="AH151" s="100" t="str">
        <f t="shared" si="113"/>
        <v>"%USERPROFILE%\Documents\GitHub\eaglep3\Utilities\RefineRTDCRunTimes.py" --tripid 239-28 --locoid 4040 --swversion DE.1.0.7.0 --startMP 204:453 --initTime 2016-08-28T23:25:54 --startdatetime 2016-08-28T23:30:22 --delay 1 --endMP 204:233301 --enddatetime 2016-08-29T00:06:17 --enforcementcount 0 &gt;&gt;C:\Users\stu\Documents\GitHub\eaglep3-reporting\EC\2016-08-28-refined-times.txt</v>
      </c>
      <c r="AI151" s="149" t="str">
        <f t="shared" si="114"/>
        <v>echo {"issue":{"subject":"","project_id":79,"tracker_id":40,"status_id":1,"priority_id":2,"assigned_to_id":23,"start_date":"2016-08-29","description":"","custom_fields":[{"id":1,"name":"Subdivision","value":"EC"},{"id":4,"name":"Milepost","value":"23.2848"},{"id":17,"name":"Train ID","value":"239-28"},{"id":16,"name":"Locomotive ID","value":"4040"},{"id":130,"name":"Impact","value":""},{"id":150,"name":"Time of Event (Mountain Time)","value":"00:06:17"},{"id":151,"name":"Denver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539</v>
      </c>
      <c r="B152" s="7">
        <v>4039</v>
      </c>
      <c r="C152" s="24" t="s">
        <v>113</v>
      </c>
      <c r="D152" s="24" t="s">
        <v>287</v>
      </c>
      <c r="E152" s="15">
        <v>42611.013472222221</v>
      </c>
      <c r="F152" s="15">
        <v>42611.018240740741</v>
      </c>
      <c r="G152" s="7">
        <v>1</v>
      </c>
      <c r="H152" s="15" t="s">
        <v>653</v>
      </c>
      <c r="I152" s="15">
        <v>42611.043715277781</v>
      </c>
      <c r="J152" s="7">
        <v>0</v>
      </c>
      <c r="K152" s="132" t="str">
        <f t="shared" si="98"/>
        <v>4039/4040</v>
      </c>
      <c r="L152" s="24" t="str">
        <f>VLOOKUP(A152,'Trips&amp;Operators'!$C$1:$E$10000,3,FALSE)</f>
        <v>COOLAHAN</v>
      </c>
      <c r="M152" s="6">
        <f t="shared" si="99"/>
        <v>2.5474537040281575E-2</v>
      </c>
      <c r="N152" s="7">
        <f t="shared" si="100"/>
        <v>36.683333338005468</v>
      </c>
      <c r="O152" s="7"/>
      <c r="P152" s="7"/>
      <c r="Q152" s="25"/>
      <c r="R152" s="25"/>
      <c r="S152" s="37">
        <f t="shared" si="101"/>
        <v>1</v>
      </c>
      <c r="T152" s="52" t="str">
        <f t="shared" si="102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23:19:24-0600',mode:absolute,to:'2016-08-29 02:02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52" s="54" t="str">
        <f t="shared" si="104"/>
        <v>N</v>
      </c>
      <c r="X152" s="120">
        <f t="shared" si="105"/>
        <v>1</v>
      </c>
      <c r="Y152" s="69">
        <f t="shared" si="106"/>
        <v>23.2988</v>
      </c>
      <c r="Z152" s="69">
        <f t="shared" si="107"/>
        <v>9.5600000000000004E-2</v>
      </c>
      <c r="AA152" s="69">
        <f t="shared" si="108"/>
        <v>23.203199999999999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109"/>
        <v>0240-28</v>
      </c>
      <c r="AE152" s="99" t="str">
        <f t="shared" si="110"/>
        <v>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 &amp; aws s3 cp s3://rtdc.mdm.uploadarchive/RTDC4039/2016-08-30/ "%USERPROFILE%\AppData\Local\Temp\OnboardLogs"\RTDC4039\2016-08-30 --recursive &amp; "%USERPROFILE%\Documents\GitHub\mrs-test-scripts\Headless Mode &amp; Sideloading\WalkAndUnGZ.bat" "%USERPROFILE%\AppData\Local\Temp\OnboardLogs"\RTDC4039\2016-08-30</v>
      </c>
      <c r="AF152" s="96" t="str">
        <f t="shared" si="111"/>
        <v>"C:\Program Files (x86)\AstroGrep\AstroGrep.exe" /spath="%USERPROFILE%\AppData\Local\Temp\OnboardLogs" /stypes="*4039*20160829*" /stext=" 07:.+((SYSTEM_STATE.+slice.+state.+changed )|(ment ac)|(system.+state.+changed )|(\|lc)|(penalty)|(\[timeout)|(PRM\|1\|D)|(kpr)|(kdp))" /e /r /s</v>
      </c>
      <c r="AG152" s="1" t="str">
        <f t="shared" si="112"/>
        <v>EC</v>
      </c>
      <c r="AH152" s="100" t="str">
        <f t="shared" si="113"/>
        <v>"%USERPROFILE%\Documents\GitHub\eaglep3\Utilities\RefineRTDCRunTimes.py" --tripid 240-28 --locoid 4039 --swversion DE.1.0.7.0 --startMP 204:232988 --initTime 2016-08-29T00:19:24 --startdatetime 2016-08-29T00:26:16 --delay 1 --endMP 204:956 --enddatetime 2016-08-29T01:02:57 --enforcementcount 0 &gt;&gt;C:\Users\stu\Documents\GitHub\eaglep3-reporting\EC\2016-08-28-refined-times.txt</v>
      </c>
      <c r="AI152" s="149" t="str">
        <f t="shared" si="114"/>
        <v>echo {"issue":{"subject":"","project_id":79,"tracker_id":40,"status_id":1,"priority_id":2,"assigned_to_id":23,"start_date":"2016-08-29","description":"","custom_fields":[{"id":1,"name":"Subdivision","value":"EC"},{"id":4,"name":"Milepost","value":"23.2032"},{"id":17,"name":"Train ID","value":"240-28"},{"id":16,"name":"Locomotive ID","value":"4039"},{"id":130,"name":"Impact","value":""},{"id":150,"name":"Time of Event (Mountain Time)","value":"01:02:57"},{"id":151,"name":"Denver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537</v>
      </c>
      <c r="B153" s="7">
        <v>4042</v>
      </c>
      <c r="C153" s="24" t="s">
        <v>113</v>
      </c>
      <c r="D153" s="24" t="s">
        <v>654</v>
      </c>
      <c r="E153" s="15">
        <v>42610.983969907407</v>
      </c>
      <c r="F153" s="15">
        <v>42611.000162037039</v>
      </c>
      <c r="G153" s="7">
        <v>1</v>
      </c>
      <c r="H153" s="15" t="s">
        <v>655</v>
      </c>
      <c r="I153" s="15">
        <v>42611.024768518517</v>
      </c>
      <c r="J153" s="7">
        <v>0</v>
      </c>
      <c r="K153" s="132" t="str">
        <f t="shared" si="98"/>
        <v>4041/4042</v>
      </c>
      <c r="L153" s="24" t="str">
        <f>VLOOKUP(A153,'Trips&amp;Operators'!$C$1:$E$10000,3,FALSE)</f>
        <v>NEWELL</v>
      </c>
      <c r="M153" s="6">
        <f t="shared" si="99"/>
        <v>2.4606481478258502E-2</v>
      </c>
      <c r="N153" s="7">
        <f t="shared" si="100"/>
        <v>35.433333328692243</v>
      </c>
      <c r="O153" s="7"/>
      <c r="P153" s="7"/>
      <c r="Q153" s="25"/>
      <c r="R153" s="25"/>
      <c r="S153" s="37">
        <f t="shared" si="101"/>
        <v>1</v>
      </c>
      <c r="T153" s="52" t="str">
        <f t="shared" si="102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22:36:55-0600',mode:absolute,to:'2016-08-29 01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3" s="54" t="str">
        <f t="shared" si="104"/>
        <v>N</v>
      </c>
      <c r="X153" s="120">
        <f t="shared" si="105"/>
        <v>1</v>
      </c>
      <c r="Y153" s="69">
        <f t="shared" si="106"/>
        <v>4.4600000000000001E-2</v>
      </c>
      <c r="Z153" s="69">
        <f t="shared" si="107"/>
        <v>23.3324</v>
      </c>
      <c r="AA153" s="69">
        <f t="shared" si="108"/>
        <v>23.287800000000001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109"/>
        <v>0241-28</v>
      </c>
      <c r="AE153" s="99" t="str">
        <f t="shared" si="110"/>
        <v>aws s3 cp s3://rtdc.mdm.uploadarchive/RTDC4042/2016-08-29/ "%USERPROFILE%\AppData\Local\Temp\OnboardLogs"\RTDC4042\2016-08-29 --recursive &amp; "%USERPROFILE%\Documents\GitHub\mrs-test-scripts\Headless Mode &amp; Sideloading\WalkAndUnGZ.bat" "%USERPROFILE%\AppData\Local\Temp\OnboardLogs"\RTDC4042\2016-08-29 &amp; aws s3 cp s3://rtdc.mdm.uploadarchive/RTDC4042/2016-08-30/ "%USERPROFILE%\AppData\Local\Temp\OnboardLogs"\RTDC4042\2016-08-30 --recursive &amp; "%USERPROFILE%\Documents\GitHub\mrs-test-scripts\Headless Mode &amp; Sideloading\WalkAndUnGZ.bat" "%USERPROFILE%\AppData\Local\Temp\OnboardLogs"\RTDC4042\2016-08-30</v>
      </c>
      <c r="AF153" s="96" t="str">
        <f t="shared" si="111"/>
        <v>"C:\Program Files (x86)\AstroGrep\AstroGrep.exe" /spath="%USERPROFILE%\AppData\Local\Temp\OnboardLogs" /stypes="*4042*20160829*" /stext=" 06:.+((SYSTEM_STATE.+slice.+state.+changed )|(ment ac)|(system.+state.+changed )|(\|lc)|(penalty)|(\[timeout)|(PRM\|1\|D)|(kpr)|(kdp))" /e /r /s</v>
      </c>
      <c r="AG153" s="1" t="str">
        <f t="shared" si="112"/>
        <v>EC</v>
      </c>
      <c r="AH153" s="100" t="str">
        <f t="shared" si="113"/>
        <v>"%USERPROFILE%\Documents\GitHub\eaglep3\Utilities\RefineRTDCRunTimes.py" --tripid 241-28 --locoid 4042 --swversion DE.1.0.7.0 --startMP 204:446 --initTime 2016-08-28T23:36:55 --startdatetime 2016-08-29T00:00:14 --delay 1 --endMP 204:233324 --enddatetime 2016-08-29T00:35:40 --enforcementcount 0 &gt;&gt;C:\Users\stu\Documents\GitHub\eaglep3-reporting\EC\2016-08-28-refined-times.txt</v>
      </c>
      <c r="AI153" s="149" t="str">
        <f t="shared" si="114"/>
        <v>echo {"issue":{"subject":"","project_id":79,"tracker_id":40,"status_id":1,"priority_id":2,"assigned_to_id":23,"start_date":"2016-08-29","description":"","custom_fields":[{"id":1,"name":"Subdivision","value":"EC"},{"id":4,"name":"Milepost","value":"23.2878"},{"id":17,"name":"Train ID","value":"241-28"},{"id":16,"name":"Locomotive ID","value":"4042"},{"id":130,"name":"Impact","value":""},{"id":150,"name":"Time of Event (Mountain Time)","value":"00:35:40"},{"id":151,"name":"Denver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541</v>
      </c>
      <c r="B154" s="7">
        <v>4041</v>
      </c>
      <c r="C154" s="24" t="s">
        <v>113</v>
      </c>
      <c r="D154" s="24" t="s">
        <v>630</v>
      </c>
      <c r="E154" s="15">
        <v>42611.036712962959</v>
      </c>
      <c r="F154" s="15">
        <v>42611.039050925923</v>
      </c>
      <c r="G154" s="7">
        <v>1</v>
      </c>
      <c r="H154" s="15" t="s">
        <v>656</v>
      </c>
      <c r="I154" s="15">
        <v>42611.065381944441</v>
      </c>
      <c r="J154" s="7">
        <v>0</v>
      </c>
      <c r="K154" s="132" t="str">
        <f t="shared" si="98"/>
        <v>4041/4042</v>
      </c>
      <c r="L154" s="24" t="str">
        <f>VLOOKUP(A154,'Trips&amp;Operators'!$C$1:$E$10000,3,FALSE)</f>
        <v>NEWELL</v>
      </c>
      <c r="M154" s="6">
        <f t="shared" si="99"/>
        <v>2.6331018518249039E-2</v>
      </c>
      <c r="N154" s="7">
        <f t="shared" si="100"/>
        <v>37.916666666278616</v>
      </c>
      <c r="O154" s="7"/>
      <c r="P154" s="7"/>
      <c r="Q154" s="25"/>
      <c r="R154" s="25"/>
      <c r="S154" s="37">
        <f t="shared" si="101"/>
        <v>1</v>
      </c>
      <c r="T154" s="52" t="str">
        <f t="shared" si="102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23:52:52-0600',mode:absolute,to:'2016-08-29 02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4" s="54" t="str">
        <f t="shared" si="104"/>
        <v>N</v>
      </c>
      <c r="X154" s="120">
        <f t="shared" si="105"/>
        <v>1</v>
      </c>
      <c r="Y154" s="69">
        <f t="shared" si="106"/>
        <v>23.299800000000001</v>
      </c>
      <c r="Z154" s="69">
        <f t="shared" si="107"/>
        <v>1.44E-2</v>
      </c>
      <c r="AA154" s="69">
        <f t="shared" si="108"/>
        <v>23.285400000000003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109"/>
        <v>0242-28</v>
      </c>
      <c r="AE154" s="99" t="str">
        <f t="shared" si="110"/>
        <v>aws s3 cp s3://rtdc.mdm.uploadarchive/RTDC4041/2016-08-29/ "%USERPROFILE%\AppData\Local\Temp\OnboardLogs"\RTDC4041\2016-08-29 --recursive &amp; "%USERPROFILE%\Documents\GitHub\mrs-test-scripts\Headless Mode &amp; Sideloading\WalkAndUnGZ.bat" "%USERPROFILE%\AppData\Local\Temp\OnboardLogs"\RTDC4041\2016-08-29 &amp; aws s3 cp s3://rtdc.mdm.uploadarchive/RTDC4041/2016-08-30/ "%USERPROFILE%\AppData\Local\Temp\OnboardLogs"\RTDC4041\2016-08-30 --recursive &amp; "%USERPROFILE%\Documents\GitHub\mrs-test-scripts\Headless Mode &amp; Sideloading\WalkAndUnGZ.bat" "%USERPROFILE%\AppData\Local\Temp\OnboardLogs"\RTDC4041\2016-08-30</v>
      </c>
      <c r="AF154" s="96" t="str">
        <f t="shared" si="111"/>
        <v>"C:\Program Files (x86)\AstroGrep\AstroGrep.exe" /spath="%USERPROFILE%\AppData\Local\Temp\OnboardLogs" /stypes="*4041*20160829*" /stext=" 07:.+((SYSTEM_STATE.+slice.+state.+changed )|(ment ac)|(system.+state.+changed )|(\|lc)|(penalty)|(\[timeout)|(PRM\|1\|D)|(kpr)|(kdp))" /e /r /s</v>
      </c>
      <c r="AG154" s="1" t="str">
        <f t="shared" si="112"/>
        <v>EC</v>
      </c>
      <c r="AH154" s="100" t="str">
        <f t="shared" si="113"/>
        <v>"%USERPROFILE%\Documents\GitHub\eaglep3\Utilities\RefineRTDCRunTimes.py" --tripid 242-28 --locoid 4041 --swversion DE.1.0.7.0 --startMP 204:232998 --initTime 2016-08-29T00:52:52 --startdatetime 2016-08-29T00:56:14 --delay 1 --endMP 204:144 --enddatetime 2016-08-29T01:34:09 --enforcementcount 0 &gt;&gt;C:\Users\stu\Documents\GitHub\eaglep3-reporting\EC\2016-08-28-refined-times.txt</v>
      </c>
      <c r="AI154" s="149" t="str">
        <f t="shared" si="114"/>
        <v>echo {"issue":{"subject":"","project_id":79,"tracker_id":40,"status_id":1,"priority_id":2,"assigned_to_id":23,"start_date":"2016-08-29","description":"","custom_fields":[{"id":1,"name":"Subdivision","value":"EC"},{"id":4,"name":"Milepost","value":"23.2854"},{"id":17,"name":"Train ID","value":"242-28"},{"id":16,"name":"Locomotive ID","value":"4041"},{"id":130,"name":"Impact","value":""},{"id":150,"name":"Time of Event (Mountain Time)","value":"01:34:09"},{"id":151,"name":"Denver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540</v>
      </c>
      <c r="B155" s="7">
        <v>4038</v>
      </c>
      <c r="C155" s="24" t="s">
        <v>113</v>
      </c>
      <c r="D155" s="24" t="s">
        <v>125</v>
      </c>
      <c r="E155" s="15">
        <v>42611.017256944448</v>
      </c>
      <c r="F155" s="15">
        <v>42611.02103009259</v>
      </c>
      <c r="G155" s="7">
        <v>1</v>
      </c>
      <c r="H155" s="15" t="s">
        <v>552</v>
      </c>
      <c r="I155" s="15">
        <v>42611.046435185184</v>
      </c>
      <c r="J155" s="7">
        <v>0</v>
      </c>
      <c r="K155" s="132" t="str">
        <f t="shared" si="98"/>
        <v>4037/4038</v>
      </c>
      <c r="L155" s="24" t="str">
        <f>VLOOKUP(A155,'Trips&amp;Operators'!$C$1:$E$10000,3,FALSE)</f>
        <v>CHANDLER</v>
      </c>
      <c r="M155" s="6">
        <f t="shared" si="99"/>
        <v>2.5405092594155576E-2</v>
      </c>
      <c r="N155" s="7">
        <f t="shared" si="100"/>
        <v>36.58333333558403</v>
      </c>
      <c r="O155" s="7"/>
      <c r="P155" s="7"/>
      <c r="Q155" s="25"/>
      <c r="R155" s="25"/>
      <c r="S155" s="37">
        <f t="shared" si="101"/>
        <v>1</v>
      </c>
      <c r="T155" s="52" t="str">
        <f t="shared" si="102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23:24:51-0600',mode:absolute,to:'2016-08-29 02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55" s="54" t="str">
        <f t="shared" si="104"/>
        <v>N</v>
      </c>
      <c r="X155" s="120">
        <f t="shared" si="105"/>
        <v>1</v>
      </c>
      <c r="Y155" s="69">
        <f t="shared" si="106"/>
        <v>4.5499999999999999E-2</v>
      </c>
      <c r="Z155" s="69">
        <f t="shared" si="107"/>
        <v>23.327000000000002</v>
      </c>
      <c r="AA155" s="69">
        <f t="shared" si="108"/>
        <v>23.281500000000001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109"/>
        <v>0243-28</v>
      </c>
      <c r="AE155" s="99" t="str">
        <f t="shared" si="110"/>
        <v>aws s3 cp s3://rtdc.mdm.uploadarchive/RTDC4038/2016-08-29/ "%USERPROFILE%\AppData\Local\Temp\OnboardLogs"\RTDC4038\2016-08-29 --recursive &amp; "%USERPROFILE%\Documents\GitHub\mrs-test-scripts\Headless Mode &amp; Sideloading\WalkAndUnGZ.bat" "%USERPROFILE%\AppData\Local\Temp\OnboardLogs"\RTDC4038\2016-08-29 &amp; aws s3 cp s3://rtdc.mdm.uploadarchive/RTDC4038/2016-08-30/ "%USERPROFILE%\AppData\Local\Temp\OnboardLogs"\RTDC4038\2016-08-30 --recursive &amp; "%USERPROFILE%\Documents\GitHub\mrs-test-scripts\Headless Mode &amp; Sideloading\WalkAndUnGZ.bat" "%USERPROFILE%\AppData\Local\Temp\OnboardLogs"\RTDC4038\2016-08-30</v>
      </c>
      <c r="AF155" s="96" t="str">
        <f t="shared" si="111"/>
        <v>"C:\Program Files (x86)\AstroGrep\AstroGrep.exe" /spath="%USERPROFILE%\AppData\Local\Temp\OnboardLogs" /stypes="*4038*20160829*" /stext=" 07:.+((SYSTEM_STATE.+slice.+state.+changed )|(ment ac)|(system.+state.+changed )|(\|lc)|(penalty)|(\[timeout)|(PRM\|1\|D)|(kpr)|(kdp))" /e /r /s</v>
      </c>
      <c r="AG155" s="1" t="str">
        <f t="shared" si="112"/>
        <v>EC</v>
      </c>
      <c r="AH155" s="100" t="str">
        <f t="shared" si="113"/>
        <v>"%USERPROFILE%\Documents\GitHub\eaglep3\Utilities\RefineRTDCRunTimes.py" --tripid 243-28 --locoid 4038 --swversion DE.1.0.7.0 --startMP 204:455 --initTime 2016-08-29T00:24:51 --startdatetime 2016-08-29T00:30:17 --delay 1 --endMP 204:233270 --enddatetime 2016-08-29T01:06:52 --enforcementcount 0 &gt;&gt;C:\Users\stu\Documents\GitHub\eaglep3-reporting\EC\2016-08-28-refined-times.txt</v>
      </c>
      <c r="AI155" s="149" t="str">
        <f t="shared" si="114"/>
        <v>echo {"issue":{"subject":"","project_id":79,"tracker_id":40,"status_id":1,"priority_id":2,"assigned_to_id":23,"start_date":"2016-08-29","description":"","custom_fields":[{"id":1,"name":"Subdivision","value":"EC"},{"id":4,"name":"Milepost","value":"23.2815"},{"id":17,"name":"Train ID","value":"243-28"},{"id":16,"name":"Locomotive ID","value":"4038"},{"id":130,"name":"Impact","value":""},{"id":150,"name":"Time of Event (Mountain Time)","value":"01:06:52"},{"id":151,"name":"Denver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543</v>
      </c>
      <c r="B156" s="7">
        <v>4037</v>
      </c>
      <c r="C156" s="24" t="s">
        <v>113</v>
      </c>
      <c r="D156" s="24" t="s">
        <v>657</v>
      </c>
      <c r="E156" s="15">
        <v>42611.059884259259</v>
      </c>
      <c r="F156" s="15">
        <v>42611.060798611114</v>
      </c>
      <c r="G156" s="7">
        <v>1</v>
      </c>
      <c r="H156" s="15" t="s">
        <v>131</v>
      </c>
      <c r="I156" s="15">
        <v>42611.090451388889</v>
      </c>
      <c r="J156" s="7">
        <v>0</v>
      </c>
      <c r="K156" s="132" t="str">
        <f t="shared" si="98"/>
        <v>4037/4038</v>
      </c>
      <c r="L156" s="24" t="str">
        <f>VLOOKUP(A156,'Trips&amp;Operators'!$C$1:$E$10000,3,FALSE)</f>
        <v>CHANDLER</v>
      </c>
      <c r="M156" s="6">
        <f t="shared" si="99"/>
        <v>2.9652777775481809E-2</v>
      </c>
      <c r="N156" s="7">
        <f t="shared" si="100"/>
        <v>42.699999996693805</v>
      </c>
      <c r="O156" s="7"/>
      <c r="P156" s="7"/>
      <c r="Q156" s="25"/>
      <c r="R156" s="25"/>
      <c r="S156" s="37">
        <f t="shared" si="101"/>
        <v>1</v>
      </c>
      <c r="T156" s="52" t="str">
        <f t="shared" si="102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https://search-rtdc-monitor-bjffxe2xuh6vdkpspy63sjmuny.us-east-1.es.amazonaws.com/_plugin/kibana/#/discover/Steve-Slow-Train-Analysis-(2080s-and-2083s)?_g=(refreshInterval:(display:Off,section:0,value:0),time:(from:'2016-08-29 00:26:14-0600',mode:absolute,to:'2016-08-29 03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6" s="54" t="str">
        <f t="shared" si="104"/>
        <v>N</v>
      </c>
      <c r="X156" s="120">
        <f t="shared" si="105"/>
        <v>1</v>
      </c>
      <c r="Y156" s="69">
        <f t="shared" si="106"/>
        <v>23.195900000000002</v>
      </c>
      <c r="Z156" s="69">
        <f t="shared" si="107"/>
        <v>1.5800000000000002E-2</v>
      </c>
      <c r="AA156" s="69">
        <f t="shared" si="108"/>
        <v>23.180100000000003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109"/>
        <v>0244-28</v>
      </c>
      <c r="AE156" s="99" t="str">
        <f t="shared" si="110"/>
        <v>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 &amp; aws s3 cp s3://rtdc.mdm.uploadarchive/RTDC4037/2016-08-30/ "%USERPROFILE%\AppData\Local\Temp\OnboardLogs"\RTDC4037\2016-08-30 --recursive &amp; "%USERPROFILE%\Documents\GitHub\mrs-test-scripts\Headless Mode &amp; Sideloading\WalkAndUnGZ.bat" "%USERPROFILE%\AppData\Local\Temp\OnboardLogs"\RTDC4037\2016-08-30</v>
      </c>
      <c r="AF156" s="96" t="str">
        <f t="shared" si="111"/>
        <v>"C:\Program Files (x86)\AstroGrep\AstroGrep.exe" /spath="%USERPROFILE%\AppData\Local\Temp\OnboardLogs" /stypes="*4037*20160829*" /stext=" 08:.+((SYSTEM_STATE.+slice.+state.+changed )|(ment ac)|(system.+state.+changed )|(\|lc)|(penalty)|(\[timeout)|(PRM\|1\|D)|(kpr)|(kdp))" /e /r /s</v>
      </c>
      <c r="AG156" s="1" t="str">
        <f t="shared" si="112"/>
        <v>EC</v>
      </c>
      <c r="AH156" s="100" t="str">
        <f t="shared" si="113"/>
        <v>"%USERPROFILE%\Documents\GitHub\eaglep3\Utilities\RefineRTDCRunTimes.py" --tripid 244-28 --locoid 4037 --swversion DE.1.0.7.0 --startMP 204:231959 --initTime 2016-08-29T01:26:14 --startdatetime 2016-08-29T01:27:33 --delay 1 --endMP 204:158 --enddatetime 2016-08-29T02:10:15 --enforcementcount 0 &gt;&gt;C:\Users\stu\Documents\GitHub\eaglep3-reporting\EC\2016-08-28-refined-times.txt</v>
      </c>
      <c r="AI156" s="149" t="str">
        <f t="shared" si="114"/>
        <v>echo {"issue":{"subject":"","project_id":79,"tracker_id":40,"status_id":1,"priority_id":2,"assigned_to_id":23,"start_date":"2016-08-29","description":"","custom_fields":[{"id":1,"name":"Subdivision","value":"EC"},{"id":4,"name":"Milepost","value":"23.1801"},{"id":17,"name":"Train ID","value":"244-28"},{"id":16,"name":"Locomotive ID","value":"4037"},{"id":130,"name":"Impact","value":""},{"id":150,"name":"Time of Event (Mountain Time)","value":"02:10:15"},{"id":151,"name":"Denver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667</v>
      </c>
      <c r="B157" s="7">
        <v>4037</v>
      </c>
      <c r="C157" s="24" t="s">
        <v>113</v>
      </c>
      <c r="D157" s="24" t="s">
        <v>657</v>
      </c>
      <c r="E157" s="15">
        <v>42611.059884259259</v>
      </c>
      <c r="F157" s="15">
        <v>42611.060798611114</v>
      </c>
      <c r="G157" s="7">
        <v>1</v>
      </c>
      <c r="H157" s="15" t="s">
        <v>131</v>
      </c>
      <c r="I157" s="15">
        <v>42611.090451388889</v>
      </c>
      <c r="J157" s="7">
        <v>0</v>
      </c>
      <c r="K157" s="132" t="str">
        <f t="shared" ref="K157" si="115">IF(ISEVEN(B157),(B157-1)&amp;"/"&amp;B157,B157&amp;"/"&amp;(B157+1))</f>
        <v>4037/4038</v>
      </c>
      <c r="L157" s="24" t="e">
        <f>VLOOKUP(A157,'Trips&amp;Operators'!$C$1:$E$10000,3,FALSE)</f>
        <v>#N/A</v>
      </c>
      <c r="M157" s="6">
        <f t="shared" ref="M157" si="116">I157-F157</f>
        <v>2.9652777775481809E-2</v>
      </c>
      <c r="N157" s="7"/>
      <c r="O157" s="7"/>
      <c r="P157" s="7">
        <v>1</v>
      </c>
      <c r="Q157" s="25"/>
      <c r="R157" s="25" t="s">
        <v>666</v>
      </c>
      <c r="S157" s="37">
        <f t="shared" ref="S157" si="117">SUM(U157:U157)/IF(AG157="EC",12,1)</f>
        <v>0</v>
      </c>
      <c r="T157" s="52" t="str">
        <f t="shared" ref="T157" si="118">IF(ISEVEN(LEFT(AD157,4)),"Southbound","NorthBound")</f>
        <v>NorthBound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106" t="str">
        <f t="shared" ref="V157" si="119"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https://search-rtdc-monitor-bjffxe2xuh6vdkpspy63sjmuny.us-east-1.es.amazonaws.com/_plugin/kibana/#/discover/Steve-Slow-Train-Analysis-(2080s-and-2083s)?_g=(refreshInterval:(display:Off,section:0,value:0),time:(from:'2016-08-29 00:26:14-0600',mode:absolute,to:'2016-08-29 03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7" s="54" t="str">
        <f t="shared" ref="W157" si="120">IF(AA157&lt;IF(AG157="EC",23,5.65),"Y","N")</f>
        <v>N</v>
      </c>
      <c r="X157" s="120">
        <f t="shared" si="105"/>
        <v>1</v>
      </c>
      <c r="Y157" s="69">
        <f t="shared" ref="Y157" si="121">RIGHT(D157,LEN(D157)-4)/10000</f>
        <v>23.195900000000002</v>
      </c>
      <c r="Z157" s="69">
        <f t="shared" ref="Z157" si="122">RIGHT(H157,LEN(H157)-4)/10000</f>
        <v>1.5800000000000002E-2</v>
      </c>
      <c r="AA157" s="69">
        <f t="shared" ref="AA157" si="123">ABS(Z157-Y157)</f>
        <v>23.180100000000003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ref="AD157" si="124">IF(LEN(A157)=6,"0"&amp;A157,A157)</f>
        <v>0245-28</v>
      </c>
      <c r="AE157" s="99" t="str">
        <f t="shared" ref="AE157" si="125">"aws s3 cp "&amp;s3_bucket&amp;"/RTDC"&amp;B157&amp;"/"&amp;TEXT(F157,"YYYY-MM-DD")&amp;"/ "&amp;search_path&amp;"\RTDC"&amp;B157&amp;"\"&amp;TEXT(F157,"YYYY-MM-DD")&amp;" --recursive &amp; """&amp;walkandungz&amp;""" "&amp;search_path&amp;"\RTDC"&amp;B157&amp;"\"&amp;TEXT(F157,"YYYY-MM-DD")
&amp;" &amp; "&amp;"aws s3 cp "&amp;s3_bucket&amp;"/RTDC"&amp;B157&amp;"/"&amp;TEXT(F157+1,"YYYY-MM-DD")&amp;"/ "&amp;search_path&amp;"\RTDC"&amp;B157&amp;"\"&amp;TEXT(F157+1,"YYYY-MM-DD")&amp;" --recursive &amp; """&amp;walkandungz&amp;""" "&amp;search_path&amp;"\RTDC"&amp;B157&amp;"\"&amp;TEXT(F157+1,"YYYY-MM-DD")</f>
        <v>aws s3 cp s3://rtdc.mdm.uploadarchive/RTDC4037/2016-08-29/ "%USERPROFILE%\AppData\Local\Temp\OnboardLogs"\RTDC4037\2016-08-29 --recursive &amp; "%USERPROFILE%\Documents\GitHub\mrs-test-scripts\Headless Mode &amp; Sideloading\WalkAndUnGZ.bat" "%USERPROFILE%\AppData\Local\Temp\OnboardLogs"\RTDC4037\2016-08-29 &amp; aws s3 cp s3://rtdc.mdm.uploadarchive/RTDC4037/2016-08-30/ "%USERPROFILE%\AppData\Local\Temp\OnboardLogs"\RTDC4037\2016-08-30 --recursive &amp; "%USERPROFILE%\Documents\GitHub\mrs-test-scripts\Headless Mode &amp; Sideloading\WalkAndUnGZ.bat" "%USERPROFILE%\AppData\Local\Temp\OnboardLogs"\RTDC4037\2016-08-30</v>
      </c>
      <c r="AF157" s="96" t="str">
        <f t="shared" ref="AF157" si="126">astrogrep_path&amp;" /spath="&amp;search_path&amp;" /stypes=""*"&amp;B157&amp;"*"&amp;TEXT(I157-utc_offset/24,"YYYYMMDD")&amp;"*"" /stext="" "&amp;TEXT(I157-utc_offset/24,"HH")&amp;search_regexp&amp;""" /e /r /s"</f>
        <v>"C:\Program Files (x86)\AstroGrep\AstroGrep.exe" /spath="%USERPROFILE%\AppData\Local\Temp\OnboardLogs" /stypes="*4037*20160829*" /stext=" 08:.+((SYSTEM_STATE.+slice.+state.+changed )|(ment ac)|(system.+state.+changed )|(\|lc)|(penalty)|(\[timeout)|(PRM\|1\|D)|(kpr)|(kdp))" /e /r /s</v>
      </c>
      <c r="AG157" s="1" t="str">
        <f t="shared" ref="AG157" si="127">IFERROR(IF(VALUE(LEFT(AD157,2))&lt;=2,"EC",IF(OR(VALUE(LEFT(AD157,2))=8,VALUE(LEFT(AD157,2))=18),"NW","Other")),"Other")</f>
        <v>EC</v>
      </c>
      <c r="AH157" s="100" t="str">
        <f t="shared" ref="AH157" si="128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245-28 --locoid 4037 --swversion DE.1.0.7.0 --startMP 204:231959 --initTime 2016-08-29T01:26:14 --startdatetime 2016-08-29T01:27:33 --delay 1 --endMP 204:158 --enddatetime 2016-08-29T02:10:15 --enforcementcount 0 &gt;&gt;C:\Users\stu\Documents\GitHub\eaglep3-reporting\EC\2016-08-28-refined-times.txt</v>
      </c>
      <c r="AI157" s="149" t="str">
        <f t="shared" ref="AI157" si="129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AA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initialize","project_id":79,"tracker_id":40,"status_id":1,"priority_id":2,"assigned_to_id":23,"start_date":"2016-08-29","description":"","custom_fields":[{"id":1,"name":"Subdivision","value":"EC"},{"id":4,"name":"Milepost","value":"23.1801"},{"id":17,"name":"Train ID","value":"245-28"},{"id":16,"name":"Locomotive ID","value":"4037"},{"id":130,"name":"Impact","value":""},{"id":150,"name":"Time of Event (Mountain Time)","value":"02:10:15"},{"id":151,"name":"Denver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333</v>
      </c>
      <c r="B158" s="7">
        <v>4030</v>
      </c>
      <c r="C158" s="24" t="s">
        <v>113</v>
      </c>
      <c r="D158" s="24" t="s">
        <v>251</v>
      </c>
      <c r="E158" s="15">
        <v>42610.074999999997</v>
      </c>
      <c r="F158" s="15">
        <v>42610.080995370372</v>
      </c>
      <c r="G158" s="7">
        <v>1</v>
      </c>
      <c r="H158" s="15" t="s">
        <v>190</v>
      </c>
      <c r="I158" s="15">
        <v>42610.106909722221</v>
      </c>
      <c r="J158" s="7">
        <v>0</v>
      </c>
      <c r="K158" s="132" t="str">
        <f t="shared" si="98"/>
        <v>4029/4030</v>
      </c>
      <c r="L158" s="24" t="str">
        <f>VLOOKUP(A158,'Trips&amp;Operators'!$C$1:$E$10000,3,FALSE)</f>
        <v>STAMBAUGH</v>
      </c>
      <c r="M158" s="6">
        <f t="shared" si="99"/>
        <v>2.5914351848769002E-2</v>
      </c>
      <c r="N158" s="7">
        <f t="shared" si="100"/>
        <v>37.316666662227362</v>
      </c>
      <c r="O158" s="7"/>
      <c r="P158" s="7"/>
      <c r="Q158" s="25"/>
      <c r="R158" s="25"/>
      <c r="S158" s="37">
        <f t="shared" si="101"/>
        <v>1</v>
      </c>
      <c r="T158" s="52" t="str">
        <f t="shared" si="102"/>
        <v>Southbound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00:48:00-0600',mode:absolute,to:'2016-08-28 03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58" s="54" t="str">
        <f t="shared" si="104"/>
        <v>N</v>
      </c>
      <c r="X158" s="120">
        <f t="shared" si="105"/>
        <v>1</v>
      </c>
      <c r="Y158" s="69">
        <f t="shared" si="106"/>
        <v>23.300999999999998</v>
      </c>
      <c r="Z158" s="69">
        <f t="shared" si="107"/>
        <v>1.6500000000000001E-2</v>
      </c>
      <c r="AA158" s="69">
        <f t="shared" si="108"/>
        <v>23.284499999999998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109"/>
        <v>0246-27</v>
      </c>
      <c r="AE158" s="99" t="str">
        <f t="shared" si="110"/>
        <v>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 &amp; 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</v>
      </c>
      <c r="AF158" s="96" t="str">
        <f t="shared" si="111"/>
        <v>"C:\Program Files (x86)\AstroGrep\AstroGrep.exe" /spath="%USERPROFILE%\AppData\Local\Temp\OnboardLogs" /stypes="*4030*20160828*" /stext=" 08:.+((SYSTEM_STATE.+slice.+state.+changed )|(ment ac)|(system.+state.+changed )|(\|lc)|(penalty)|(\[timeout)|(PRM\|1\|D)|(kpr)|(kdp))" /e /r /s</v>
      </c>
      <c r="AG158" s="1" t="str">
        <f t="shared" si="112"/>
        <v>EC</v>
      </c>
      <c r="AH158" s="100" t="str">
        <f t="shared" si="113"/>
        <v>"%USERPROFILE%\Documents\GitHub\eaglep3\Utilities\RefineRTDCRunTimes.py" --tripid 246-27 --locoid 4030 --swversion DE.1.0.7.0 --startMP 204:233010 --initTime 2016-08-28T01:48:00 --startdatetime 2016-08-28T01:56:38 --delay 1 --endMP 204:165 --enddatetime 2016-08-28T02:33:57 --enforcementcount 0 &gt;&gt;C:\Users\stu\Documents\GitHub\eaglep3-reporting\EC\2016-08-28-refined-times.txt</v>
      </c>
      <c r="AI158" s="149" t="str">
        <f t="shared" si="114"/>
        <v>echo {"issue":{"subject":"","project_id":79,"tracker_id":40,"status_id":1,"priority_id":2,"assigned_to_id":23,"start_date":"2016-08-28","description":"","custom_fields":[{"id":1,"name":"Subdivision","value":"EC"},{"id":4,"name":"Milepost","value":"23.2845"},{"id":17,"name":"Train ID","value":"246-27"},{"id":16,"name":"Locomotive ID","value":"4030"},{"id":130,"name":"Impact","value":""},{"id":150,"name":"Time of Event (Mountain Time)","value":"02:33:57"},{"id":151,"name":"Denver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387</v>
      </c>
      <c r="B159" s="7">
        <v>4010</v>
      </c>
      <c r="C159" s="24" t="s">
        <v>113</v>
      </c>
      <c r="D159" s="24" t="s">
        <v>580</v>
      </c>
      <c r="E159" s="15">
        <v>42610.234212962961</v>
      </c>
      <c r="F159" s="15">
        <v>42610.277685185189</v>
      </c>
      <c r="G159" s="7">
        <v>2</v>
      </c>
      <c r="H159" s="15" t="s">
        <v>580</v>
      </c>
      <c r="I159" s="15">
        <v>42610.289097222223</v>
      </c>
      <c r="J159" s="7">
        <v>0</v>
      </c>
      <c r="K159" s="132" t="str">
        <f t="shared" si="98"/>
        <v>4009/4010</v>
      </c>
      <c r="L159" s="24" t="str">
        <f>VLOOKUP(A159,'Trips&amp;Operators'!$C$1:$E$10000,3,FALSE)</f>
        <v>STARKS</v>
      </c>
      <c r="M159" s="6">
        <f t="shared" si="99"/>
        <v>1.1412037034460809E-2</v>
      </c>
      <c r="N159" s="7">
        <f t="shared" si="100"/>
        <v>16.433333329623565</v>
      </c>
      <c r="O159" s="7"/>
      <c r="P159" s="7"/>
      <c r="Q159" s="25"/>
      <c r="R159" s="25"/>
      <c r="S159" s="37">
        <f t="shared" si="101"/>
        <v>0</v>
      </c>
      <c r="T159" s="52" t="str">
        <f t="shared" si="102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04:37:16-0600',mode:absolute,to:'2016-08-28 07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9" s="54" t="str">
        <f t="shared" si="104"/>
        <v>Y</v>
      </c>
      <c r="X159" s="120">
        <f t="shared" si="105"/>
        <v>1554</v>
      </c>
      <c r="Y159" s="69">
        <f t="shared" si="106"/>
        <v>5.8611000000000004</v>
      </c>
      <c r="Z159" s="69">
        <f t="shared" si="107"/>
        <v>5.8611000000000004</v>
      </c>
      <c r="AA159" s="69">
        <f t="shared" si="108"/>
        <v>0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109"/>
        <v>1800-28</v>
      </c>
      <c r="AE159" s="99" t="str">
        <f t="shared" si="110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59" s="96" t="str">
        <f t="shared" si="111"/>
        <v>"C:\Program Files (x86)\AstroGrep\AstroGrep.exe" /spath="%USERPROFILE%\AppData\Local\Temp\OnboardLogs" /stypes="*4010*20160828*" /stext=" 12:.+((SYSTEM_STATE.+slice.+state.+changed )|(ment ac)|(system.+state.+changed )|(\|lc)|(penalty)|(\[timeout)|(PRM\|1\|D)|(kpr)|(kdp))" /e /r /s</v>
      </c>
      <c r="AG159" s="1" t="str">
        <f t="shared" si="112"/>
        <v>NW</v>
      </c>
      <c r="AH159" s="100" t="str">
        <f t="shared" si="113"/>
        <v>"%USERPROFILE%\Documents\GitHub\eaglep3\Utilities\RefineRTDCRunTimes.py" --tripid 1800-28 --locoid 4010 --swversion DE.1.0.7.0 --startMP 300:58611 --initTime 2016-08-28T05:37:16 --startdatetime 2016-08-28T06:39:52 --delay 2 --endMP 300:58611 --enddatetime 2016-08-28T06:56:18 --enforcementcount 0 &gt;&gt;C:\Users\stu\Documents\GitHub\eaglep3-reporting\EC\2016-08-28-refined-times.txt</v>
      </c>
      <c r="AI159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{"issue":{"subject":"","project_id":79,"tracker_id":40,"status_id":1,"priority_id":2,"assigned_to_id":23,"start_date":"2016-08-28","description":"","custom_fields":[{"id":1,"name":"Subdivision","value":"NW"},{"id":4,"name":"Milepost","value":"0"},{"id":17,"name":"Train ID","value":"1800-28"},{"id":16,"name":"Locomotive ID","value":"4010"},{"id":130,"name":"Impact","value":""},{"id":150,"name":"Time of Event (Mountain Time)","value":"06:56:18"},{"id":151,"name":"Denver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393</v>
      </c>
      <c r="B160" s="7">
        <v>4009</v>
      </c>
      <c r="C160" s="24" t="s">
        <v>113</v>
      </c>
      <c r="D160" s="24" t="s">
        <v>581</v>
      </c>
      <c r="E160" s="15">
        <v>42610.262685185182</v>
      </c>
      <c r="F160" s="15">
        <v>42610.264849537038</v>
      </c>
      <c r="G160" s="7">
        <v>1</v>
      </c>
      <c r="H160" s="15" t="s">
        <v>582</v>
      </c>
      <c r="I160" s="15">
        <v>42610.274768518517</v>
      </c>
      <c r="J160" s="7">
        <v>0</v>
      </c>
      <c r="K160" s="132" t="str">
        <f t="shared" si="98"/>
        <v>4009/4010</v>
      </c>
      <c r="L160" s="24" t="str">
        <f>VLOOKUP(A160,'Trips&amp;Operators'!$C$1:$E$10000,3,FALSE)</f>
        <v>STARKS</v>
      </c>
      <c r="M160" s="6">
        <f t="shared" si="99"/>
        <v>9.9189814791316167E-3</v>
      </c>
      <c r="N160" s="7">
        <f t="shared" si="100"/>
        <v>14.283333329949528</v>
      </c>
      <c r="O160" s="7"/>
      <c r="P160" s="7"/>
      <c r="Q160" s="25"/>
      <c r="R160" s="25"/>
      <c r="S160" s="37">
        <f t="shared" si="101"/>
        <v>1</v>
      </c>
      <c r="T160" s="52" t="str">
        <f t="shared" si="102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05:18:16-0600',mode:absolute,to:'2016-08-28 07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0" s="54" t="str">
        <f t="shared" si="104"/>
        <v>N</v>
      </c>
      <c r="X160" s="120">
        <f t="shared" si="105"/>
        <v>1</v>
      </c>
      <c r="Y160" s="69">
        <f t="shared" si="106"/>
        <v>0.1023</v>
      </c>
      <c r="Z160" s="69">
        <f t="shared" si="107"/>
        <v>5.8929</v>
      </c>
      <c r="AA160" s="69">
        <f t="shared" si="108"/>
        <v>5.7906000000000004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109"/>
        <v>1801-28</v>
      </c>
      <c r="AE160" s="99" t="str">
        <f t="shared" si="110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60" s="96" t="str">
        <f t="shared" si="111"/>
        <v>"C:\Program Files (x86)\AstroGrep\AstroGrep.exe" /spath="%USERPROFILE%\AppData\Local\Temp\OnboardLogs" /stypes="*4009*20160828*" /stext=" 12:.+((SYSTEM_STATE.+slice.+state.+changed )|(ment ac)|(system.+state.+changed )|(\|lc)|(penalty)|(\[timeout)|(PRM\|1\|D)|(kpr)|(kdp))" /e /r /s</v>
      </c>
      <c r="AG160" s="1" t="str">
        <f t="shared" si="112"/>
        <v>NW</v>
      </c>
      <c r="AH160" s="100" t="str">
        <f t="shared" si="113"/>
        <v>"%USERPROFILE%\Documents\GitHub\eaglep3\Utilities\RefineRTDCRunTimes.py" --tripid 1801-28 --locoid 4009 --swversion DE.1.0.7.0 --startMP 204:1023 --initTime 2016-08-28T06:18:16 --startdatetime 2016-08-28T06:21:23 --delay 1 --endMP 300:58929 --enddatetime 2016-08-28T06:35:40 --enforcementcount 0 &gt;&gt;C:\Users\stu\Documents\GitHub\eaglep3-reporting\EC\2016-08-28-refined-times.txt</v>
      </c>
      <c r="AI160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{"issue":{"subject":"","project_id":79,"tracker_id":40,"status_id":1,"priority_id":2,"assigned_to_id":23,"start_date":"2016-08-28","description":"","custom_fields":[{"id":1,"name":"Subdivision","value":"NW"},{"id":4,"name":"Milepost","value":"5.7906"},{"id":17,"name":"Train ID","value":"1801-28"},{"id":16,"name":"Locomotive ID","value":"4009"},{"id":130,"name":"Impact","value":""},{"id":150,"name":"Time of Event (Mountain Time)","value":"06:35:40"},{"id":151,"name":"Denver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396</v>
      </c>
      <c r="B161" s="7">
        <v>4010</v>
      </c>
      <c r="C161" s="24" t="s">
        <v>113</v>
      </c>
      <c r="D161" s="24" t="s">
        <v>583</v>
      </c>
      <c r="E161" s="15">
        <v>42610.276226851849</v>
      </c>
      <c r="F161" s="15">
        <v>42610.277685185189</v>
      </c>
      <c r="G161" s="7">
        <v>1</v>
      </c>
      <c r="H161" s="15" t="s">
        <v>584</v>
      </c>
      <c r="I161" s="15">
        <v>42610.289097222223</v>
      </c>
      <c r="J161" s="7">
        <v>0</v>
      </c>
      <c r="K161" s="132" t="str">
        <f t="shared" si="98"/>
        <v>4009/4010</v>
      </c>
      <c r="L161" s="24" t="str">
        <f>VLOOKUP(A161,'Trips&amp;Operators'!$C$1:$E$10000,3,FALSE)</f>
        <v>STARKS</v>
      </c>
      <c r="M161" s="6">
        <f t="shared" si="99"/>
        <v>1.1412037034460809E-2</v>
      </c>
      <c r="N161" s="7">
        <f t="shared" si="100"/>
        <v>16.433333329623565</v>
      </c>
      <c r="O161" s="7"/>
      <c r="P161" s="7"/>
      <c r="Q161" s="25"/>
      <c r="R161" s="25"/>
      <c r="S161" s="37">
        <f t="shared" si="101"/>
        <v>1</v>
      </c>
      <c r="T161" s="52" t="str">
        <f t="shared" si="102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05:37:46-0600',mode:absolute,to:'2016-08-28 07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1" s="54" t="str">
        <f t="shared" si="104"/>
        <v>N</v>
      </c>
      <c r="X161" s="120">
        <f t="shared" si="105"/>
        <v>1</v>
      </c>
      <c r="Y161" s="69">
        <f t="shared" si="106"/>
        <v>5.8613</v>
      </c>
      <c r="Z161" s="69">
        <f t="shared" si="107"/>
        <v>7.17E-2</v>
      </c>
      <c r="AA161" s="69">
        <f t="shared" si="108"/>
        <v>5.7896000000000001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109"/>
        <v>1802-28</v>
      </c>
      <c r="AE161" s="99" t="str">
        <f t="shared" si="110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61" s="96" t="str">
        <f t="shared" si="111"/>
        <v>"C:\Program Files (x86)\AstroGrep\AstroGrep.exe" /spath="%USERPROFILE%\AppData\Local\Temp\OnboardLogs" /stypes="*4010*20160828*" /stext=" 12:.+((SYSTEM_STATE.+slice.+state.+changed )|(ment ac)|(system.+state.+changed )|(\|lc)|(penalty)|(\[timeout)|(PRM\|1\|D)|(kpr)|(kdp))" /e /r /s</v>
      </c>
      <c r="AG161" s="1" t="str">
        <f t="shared" si="112"/>
        <v>NW</v>
      </c>
      <c r="AH161" s="100" t="str">
        <f t="shared" si="113"/>
        <v>"%USERPROFILE%\Documents\GitHub\eaglep3\Utilities\RefineRTDCRunTimes.py" --tripid 1802-28 --locoid 4010 --swversion DE.1.0.7.0 --startMP 300:58613 --initTime 2016-08-28T06:37:46 --startdatetime 2016-08-28T06:39:52 --delay 1 --endMP 204:717 --enddatetime 2016-08-28T06:56:18 --enforcementcount 0 &gt;&gt;C:\Users\stu\Documents\GitHub\eaglep3-reporting\EC\2016-08-28-refined-times.txt</v>
      </c>
      <c r="AI161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{"issue":{"subject":"","project_id":79,"tracker_id":40,"status_id":1,"priority_id":2,"assigned_to_id":23,"start_date":"2016-08-28","description":"","custom_fields":[{"id":1,"name":"Subdivision","value":"NW"},{"id":4,"name":"Milepost","value":"5.7896"},{"id":17,"name":"Train ID","value":"1802-28"},{"id":16,"name":"Locomotive ID","value":"4010"},{"id":130,"name":"Impact","value":""},{"id":150,"name":"Time of Event (Mountain Time)","value":"06:56:18"},{"id":151,"name":"Denver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401</v>
      </c>
      <c r="B162" s="7">
        <v>4009</v>
      </c>
      <c r="C162" s="24" t="s">
        <v>113</v>
      </c>
      <c r="D162" s="24" t="s">
        <v>585</v>
      </c>
      <c r="E162" s="15">
        <v>42610.304456018515</v>
      </c>
      <c r="F162" s="15">
        <v>42610.320277777777</v>
      </c>
      <c r="G162" s="7">
        <v>1</v>
      </c>
      <c r="H162" s="15" t="s">
        <v>586</v>
      </c>
      <c r="I162" s="15">
        <v>42610.331203703703</v>
      </c>
      <c r="J162" s="7">
        <v>0</v>
      </c>
      <c r="K162" s="132" t="str">
        <f t="shared" si="98"/>
        <v>4009/4010</v>
      </c>
      <c r="L162" s="24" t="str">
        <f>VLOOKUP(A162,'Trips&amp;Operators'!$C$1:$E$10000,3,FALSE)</f>
        <v>STARKS</v>
      </c>
      <c r="M162" s="6">
        <f t="shared" si="99"/>
        <v>1.0925925926130731E-2</v>
      </c>
      <c r="N162" s="7">
        <f t="shared" si="100"/>
        <v>15.733333333628252</v>
      </c>
      <c r="O162" s="7"/>
      <c r="P162" s="7"/>
      <c r="Q162" s="25"/>
      <c r="R162" s="25"/>
      <c r="S162" s="37">
        <f t="shared" si="101"/>
        <v>1</v>
      </c>
      <c r="T162" s="52" t="str">
        <f t="shared" si="102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06:18:25-0600',mode:absolute,to:'2016-08-28 08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2" s="54" t="str">
        <f t="shared" si="104"/>
        <v>N</v>
      </c>
      <c r="X162" s="120">
        <f t="shared" si="105"/>
        <v>1</v>
      </c>
      <c r="Y162" s="69">
        <f t="shared" si="106"/>
        <v>0.10249999999999999</v>
      </c>
      <c r="Z162" s="69">
        <f t="shared" si="107"/>
        <v>5.8936999999999999</v>
      </c>
      <c r="AA162" s="69">
        <f t="shared" si="108"/>
        <v>5.7911999999999999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109"/>
        <v>1803-28</v>
      </c>
      <c r="AE162" s="99" t="str">
        <f t="shared" si="110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62" s="96" t="str">
        <f t="shared" si="111"/>
        <v>"C:\Program Files (x86)\AstroGrep\AstroGrep.exe" /spath="%USERPROFILE%\AppData\Local\Temp\OnboardLogs" /stypes="*4009*20160828*" /stext=" 13:.+((SYSTEM_STATE.+slice.+state.+changed )|(ment ac)|(system.+state.+changed )|(\|lc)|(penalty)|(\[timeout)|(PRM\|1\|D)|(kpr)|(kdp))" /e /r /s</v>
      </c>
      <c r="AG162" s="1" t="str">
        <f t="shared" si="112"/>
        <v>NW</v>
      </c>
      <c r="AH162" s="100" t="str">
        <f t="shared" si="113"/>
        <v>"%USERPROFILE%\Documents\GitHub\eaglep3\Utilities\RefineRTDCRunTimes.py" --tripid 1803-28 --locoid 4009 --swversion DE.1.0.7.0 --startMP 204:1025 --initTime 2016-08-28T07:18:25 --startdatetime 2016-08-28T07:41:12 --delay 1 --endMP 300:58937 --enddatetime 2016-08-28T07:56:56 --enforcementcount 0 &gt;&gt;C:\Users\stu\Documents\GitHub\eaglep3-reporting\EC\2016-08-28-refined-times.txt</v>
      </c>
      <c r="AI162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{"issue":{"subject":"","project_id":79,"tracker_id":40,"status_id":1,"priority_id":2,"assigned_to_id":23,"start_date":"2016-08-28","description":"","custom_fields":[{"id":1,"name":"Subdivision","value":"NW"},{"id":4,"name":"Milepost","value":"5.7912"},{"id":17,"name":"Train ID","value":"1803-28"},{"id":16,"name":"Locomotive ID","value":"4009"},{"id":130,"name":"Impact","value":""},{"id":150,"name":"Time of Event (Mountain Time)","value":"07:56:56"},{"id":151,"name":"Denver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403</v>
      </c>
      <c r="B163" s="7">
        <v>4010</v>
      </c>
      <c r="C163" s="24" t="s">
        <v>113</v>
      </c>
      <c r="D163" s="24" t="s">
        <v>587</v>
      </c>
      <c r="E163" s="15">
        <v>42610.318298611113</v>
      </c>
      <c r="F163" s="15">
        <v>42610.320277777777</v>
      </c>
      <c r="G163" s="7">
        <v>1</v>
      </c>
      <c r="H163" s="15" t="s">
        <v>564</v>
      </c>
      <c r="I163" s="15">
        <v>42610.331203703703</v>
      </c>
      <c r="J163" s="7">
        <v>0</v>
      </c>
      <c r="K163" s="132" t="str">
        <f t="shared" si="98"/>
        <v>4009/4010</v>
      </c>
      <c r="L163" s="24" t="str">
        <f>VLOOKUP(A163,'Trips&amp;Operators'!$C$1:$E$10000,3,FALSE)</f>
        <v>STARKS</v>
      </c>
      <c r="M163" s="6">
        <f t="shared" si="99"/>
        <v>1.0925925926130731E-2</v>
      </c>
      <c r="N163" s="7">
        <f t="shared" si="100"/>
        <v>15.733333333628252</v>
      </c>
      <c r="O163" s="7"/>
      <c r="P163" s="7"/>
      <c r="Q163" s="25"/>
      <c r="R163" s="25"/>
      <c r="S163" s="37">
        <f t="shared" si="101"/>
        <v>1</v>
      </c>
      <c r="T163" s="52" t="str">
        <f t="shared" si="102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06:38:21-0600',mode:absolute,to:'2016-08-28 08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3" s="54" t="str">
        <f t="shared" si="104"/>
        <v>N</v>
      </c>
      <c r="X163" s="120">
        <f t="shared" si="105"/>
        <v>1</v>
      </c>
      <c r="Y163" s="69">
        <f t="shared" si="106"/>
        <v>5.8615000000000004</v>
      </c>
      <c r="Z163" s="69">
        <f t="shared" si="107"/>
        <v>7.4300000000000005E-2</v>
      </c>
      <c r="AA163" s="69">
        <f t="shared" si="108"/>
        <v>5.7872000000000003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109"/>
        <v>1804-28</v>
      </c>
      <c r="AE163" s="99" t="str">
        <f t="shared" si="110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63" s="96" t="str">
        <f t="shared" si="111"/>
        <v>"C:\Program Files (x86)\AstroGrep\AstroGrep.exe" /spath="%USERPROFILE%\AppData\Local\Temp\OnboardLogs" /stypes="*4010*20160828*" /stext=" 13:.+((SYSTEM_STATE.+slice.+state.+changed )|(ment ac)|(system.+state.+changed )|(\|lc)|(penalty)|(\[timeout)|(PRM\|1\|D)|(kpr)|(kdp))" /e /r /s</v>
      </c>
      <c r="AG163" s="1" t="str">
        <f t="shared" si="112"/>
        <v>NW</v>
      </c>
      <c r="AH163" s="100" t="str">
        <f t="shared" si="113"/>
        <v>"%USERPROFILE%\Documents\GitHub\eaglep3\Utilities\RefineRTDCRunTimes.py" --tripid 1804-28 --locoid 4010 --swversion DE.1.0.7.0 --startMP 300:58615 --initTime 2016-08-28T07:38:21 --startdatetime 2016-08-28T07:41:12 --delay 1 --endMP 204:743 --enddatetime 2016-08-28T07:56:56 --enforcementcount 0 &gt;&gt;C:\Users\stu\Documents\GitHub\eaglep3-reporting\EC\2016-08-28-refined-times.txt</v>
      </c>
      <c r="AI163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{"issue":{"subject":"","project_id":79,"tracker_id":40,"status_id":1,"priority_id":2,"assigned_to_id":23,"start_date":"2016-08-28","description":"","custom_fields":[{"id":1,"name":"Subdivision","value":"NW"},{"id":4,"name":"Milepost","value":"5.7872"},{"id":17,"name":"Train ID","value":"1804-28"},{"id":16,"name":"Locomotive ID","value":"4010"},{"id":130,"name":"Impact","value":""},{"id":150,"name":"Time of Event (Mountain Time)","value":"07:56:56"},{"id":151,"name":"Denver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408</v>
      </c>
      <c r="B164" s="7">
        <v>4009</v>
      </c>
      <c r="C164" s="24" t="s">
        <v>113</v>
      </c>
      <c r="D164" s="24" t="s">
        <v>319</v>
      </c>
      <c r="E164" s="15">
        <v>42610.345277777778</v>
      </c>
      <c r="F164" s="15">
        <v>42610.348078703704</v>
      </c>
      <c r="G164" s="7">
        <v>1</v>
      </c>
      <c r="H164" s="15" t="s">
        <v>312</v>
      </c>
      <c r="I164" s="15">
        <v>42610.358078703706</v>
      </c>
      <c r="J164" s="7">
        <v>0</v>
      </c>
      <c r="K164" s="132" t="str">
        <f t="shared" si="98"/>
        <v>4009/4010</v>
      </c>
      <c r="L164" s="24" t="str">
        <f>VLOOKUP(A164,'Trips&amp;Operators'!$C$1:$E$10000,3,FALSE)</f>
        <v>STARKS</v>
      </c>
      <c r="M164" s="6">
        <f t="shared" si="99"/>
        <v>1.0000000002037268E-2</v>
      </c>
      <c r="N164" s="7">
        <f t="shared" si="100"/>
        <v>14.400000002933666</v>
      </c>
      <c r="O164" s="7"/>
      <c r="P164" s="7"/>
      <c r="Q164" s="25"/>
      <c r="R164" s="25"/>
      <c r="S164" s="37">
        <f t="shared" si="101"/>
        <v>1</v>
      </c>
      <c r="T164" s="52" t="str">
        <f t="shared" si="102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07:17:12-0600',mode:absolute,to:'2016-08-28 09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4" s="54" t="str">
        <f t="shared" si="104"/>
        <v>N</v>
      </c>
      <c r="X164" s="120">
        <f t="shared" si="105"/>
        <v>1</v>
      </c>
      <c r="Y164" s="69">
        <f t="shared" si="106"/>
        <v>0.1014</v>
      </c>
      <c r="Z164" s="69">
        <f t="shared" si="107"/>
        <v>5.8933</v>
      </c>
      <c r="AA164" s="69">
        <f t="shared" si="108"/>
        <v>5.7919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109"/>
        <v>1805-28</v>
      </c>
      <c r="AE164" s="99" t="str">
        <f t="shared" si="110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64" s="96" t="str">
        <f t="shared" si="111"/>
        <v>"C:\Program Files (x86)\AstroGrep\AstroGrep.exe" /spath="%USERPROFILE%\AppData\Local\Temp\OnboardLogs" /stypes="*4009*20160828*" /stext=" 14:.+((SYSTEM_STATE.+slice.+state.+changed )|(ment ac)|(system.+state.+changed )|(\|lc)|(penalty)|(\[timeout)|(PRM\|1\|D)|(kpr)|(kdp))" /e /r /s</v>
      </c>
      <c r="AG164" s="1" t="str">
        <f t="shared" si="112"/>
        <v>NW</v>
      </c>
      <c r="AH164" s="100" t="str">
        <f t="shared" si="113"/>
        <v>"%USERPROFILE%\Documents\GitHub\eaglep3\Utilities\RefineRTDCRunTimes.py" --tripid 1805-28 --locoid 4009 --swversion DE.1.0.7.0 --startMP 204:1014 --initTime 2016-08-28T08:17:12 --startdatetime 2016-08-28T08:21:14 --delay 1 --endMP 300:58933 --enddatetime 2016-08-28T08:35:38 --enforcementcount 0 &gt;&gt;C:\Users\stu\Documents\GitHub\eaglep3-reporting\EC\2016-08-28-refined-times.txt</v>
      </c>
      <c r="AI164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{"issue":{"subject":"","project_id":79,"tracker_id":40,"status_id":1,"priority_id":2,"assigned_to_id":23,"start_date":"2016-08-28","description":"","custom_fields":[{"id":1,"name":"Subdivision","value":"NW"},{"id":4,"name":"Milepost","value":"5.7919"},{"id":17,"name":"Train ID","value":"1805-28"},{"id":16,"name":"Locomotive ID","value":"4009"},{"id":130,"name":"Impact","value":""},{"id":150,"name":"Time of Event (Mountain Time)","value":"08:35:38"},{"id":151,"name":"Denver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411</v>
      </c>
      <c r="B165" s="7">
        <v>4010</v>
      </c>
      <c r="C165" s="24" t="s">
        <v>113</v>
      </c>
      <c r="D165" s="24" t="s">
        <v>588</v>
      </c>
      <c r="E165" s="15">
        <v>42610.359247685185</v>
      </c>
      <c r="F165" s="15">
        <v>42610.361111111109</v>
      </c>
      <c r="G165" s="7">
        <v>1</v>
      </c>
      <c r="H165" s="15" t="s">
        <v>589</v>
      </c>
      <c r="I165" s="15">
        <v>42610.372337962966</v>
      </c>
      <c r="J165" s="7">
        <v>0</v>
      </c>
      <c r="K165" s="132" t="str">
        <f t="shared" si="98"/>
        <v>4009/4010</v>
      </c>
      <c r="L165" s="24" t="str">
        <f>VLOOKUP(A165,'Trips&amp;Operators'!$C$1:$E$10000,3,FALSE)</f>
        <v>STARKS</v>
      </c>
      <c r="M165" s="6">
        <f t="shared" si="99"/>
        <v>1.1226851856918074E-2</v>
      </c>
      <c r="N165" s="7">
        <f t="shared" si="100"/>
        <v>16.166666673962027</v>
      </c>
      <c r="O165" s="7"/>
      <c r="P165" s="7"/>
      <c r="Q165" s="25"/>
      <c r="R165" s="25"/>
      <c r="S165" s="37">
        <f t="shared" si="101"/>
        <v>1</v>
      </c>
      <c r="T165" s="52" t="str">
        <f t="shared" si="102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07:37:19-0600',mode:absolute,to:'2016-08-28 09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5" s="54" t="str">
        <f t="shared" si="104"/>
        <v>N</v>
      </c>
      <c r="X165" s="120">
        <f t="shared" si="105"/>
        <v>1</v>
      </c>
      <c r="Y165" s="69">
        <f t="shared" si="106"/>
        <v>5.8609</v>
      </c>
      <c r="Z165" s="69">
        <f t="shared" si="107"/>
        <v>7.3400000000000007E-2</v>
      </c>
      <c r="AA165" s="69">
        <f t="shared" si="108"/>
        <v>5.7874999999999996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109"/>
        <v>1806-28</v>
      </c>
      <c r="AE165" s="99" t="str">
        <f t="shared" si="110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65" s="96" t="str">
        <f t="shared" si="111"/>
        <v>"C:\Program Files (x86)\AstroGrep\AstroGrep.exe" /spath="%USERPROFILE%\AppData\Local\Temp\OnboardLogs" /stypes="*4010*20160828*" /stext=" 14:.+((SYSTEM_STATE.+slice.+state.+changed )|(ment ac)|(system.+state.+changed )|(\|lc)|(penalty)|(\[timeout)|(PRM\|1\|D)|(kpr)|(kdp))" /e /r /s</v>
      </c>
      <c r="AG165" s="1" t="str">
        <f t="shared" si="112"/>
        <v>NW</v>
      </c>
      <c r="AH165" s="100" t="str">
        <f t="shared" si="113"/>
        <v>"%USERPROFILE%\Documents\GitHub\eaglep3\Utilities\RefineRTDCRunTimes.py" --tripid 1806-28 --locoid 4010 --swversion DE.1.0.7.0 --startMP 300:58609 --initTime 2016-08-28T08:37:19 --startdatetime 2016-08-28T08:40:00 --delay 1 --endMP 204:734 --enddatetime 2016-08-28T08:56:10 --enforcementcount 0 &gt;&gt;C:\Users\stu\Documents\GitHub\eaglep3-reporting\EC\2016-08-28-refined-times.txt</v>
      </c>
      <c r="AI165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{"issue":{"subject":"","project_id":79,"tracker_id":40,"status_id":1,"priority_id":2,"assigned_to_id":23,"start_date":"2016-08-28","description":"","custom_fields":[{"id":1,"name":"Subdivision","value":"NW"},{"id":4,"name":"Milepost","value":"5.7875"},{"id":17,"name":"Train ID","value":"1806-28"},{"id":16,"name":"Locomotive ID","value":"4010"},{"id":130,"name":"Impact","value":""},{"id":150,"name":"Time of Event (Mountain Time)","value":"08:56:10"},{"id":151,"name":"Denver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417</v>
      </c>
      <c r="B166" s="7">
        <v>4009</v>
      </c>
      <c r="C166" s="24" t="s">
        <v>113</v>
      </c>
      <c r="D166" s="24" t="s">
        <v>590</v>
      </c>
      <c r="E166" s="15">
        <v>42610.386423611111</v>
      </c>
      <c r="F166" s="15">
        <v>42610.389745370368</v>
      </c>
      <c r="G166" s="7">
        <v>1</v>
      </c>
      <c r="H166" s="15" t="s">
        <v>591</v>
      </c>
      <c r="I166" s="15">
        <v>42610.400300925925</v>
      </c>
      <c r="J166" s="7">
        <v>0</v>
      </c>
      <c r="K166" s="132" t="str">
        <f t="shared" si="98"/>
        <v>4009/4010</v>
      </c>
      <c r="L166" s="24" t="str">
        <f>VLOOKUP(A166,'Trips&amp;Operators'!$C$1:$E$10000,3,FALSE)</f>
        <v>STARKS</v>
      </c>
      <c r="M166" s="6">
        <f t="shared" si="99"/>
        <v>1.0555555556493346E-2</v>
      </c>
      <c r="N166" s="7">
        <f t="shared" si="100"/>
        <v>15.200000001350418</v>
      </c>
      <c r="O166" s="7"/>
      <c r="P166" s="7"/>
      <c r="Q166" s="25"/>
      <c r="R166" s="25"/>
      <c r="S166" s="37">
        <f t="shared" si="101"/>
        <v>1</v>
      </c>
      <c r="T166" s="52" t="str">
        <f t="shared" si="102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08:16:27-0600',mode:absolute,to:'2016-08-28 10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6" s="54" t="str">
        <f t="shared" si="104"/>
        <v>N</v>
      </c>
      <c r="X166" s="120">
        <f t="shared" si="105"/>
        <v>1</v>
      </c>
      <c r="Y166" s="69">
        <f t="shared" si="106"/>
        <v>0.1028</v>
      </c>
      <c r="Z166" s="69">
        <f t="shared" si="107"/>
        <v>5.8930999999999996</v>
      </c>
      <c r="AA166" s="69">
        <f t="shared" si="108"/>
        <v>5.7902999999999993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109"/>
        <v>1807-28</v>
      </c>
      <c r="AE166" s="99" t="str">
        <f t="shared" si="110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66" s="96" t="str">
        <f t="shared" si="111"/>
        <v>"C:\Program Files (x86)\AstroGrep\AstroGrep.exe" /spath="%USERPROFILE%\AppData\Local\Temp\OnboardLogs" /stypes="*4009*20160828*" /stext=" 15:.+((SYSTEM_STATE.+slice.+state.+changed )|(ment ac)|(system.+state.+changed )|(\|lc)|(penalty)|(\[timeout)|(PRM\|1\|D)|(kpr)|(kdp))" /e /r /s</v>
      </c>
      <c r="AG166" s="1" t="str">
        <f t="shared" si="112"/>
        <v>NW</v>
      </c>
      <c r="AH166" s="100" t="str">
        <f t="shared" si="113"/>
        <v>"%USERPROFILE%\Documents\GitHub\eaglep3\Utilities\RefineRTDCRunTimes.py" --tripid 1807-28 --locoid 4009 --swversion DE.1.0.7.0 --startMP 204:1028 --initTime 2016-08-28T09:16:27 --startdatetime 2016-08-28T09:21:14 --delay 1 --endMP 300:58931 --enddatetime 2016-08-28T09:36:26 --enforcementcount 0 &gt;&gt;C:\Users\stu\Documents\GitHub\eaglep3-reporting\EC\2016-08-28-refined-times.txt</v>
      </c>
      <c r="AI166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{"issue":{"subject":"","project_id":79,"tracker_id":40,"status_id":1,"priority_id":2,"assigned_to_id":23,"start_date":"2016-08-28","description":"","custom_fields":[{"id":1,"name":"Subdivision","value":"NW"},{"id":4,"name":"Milepost","value":"5.7903"},{"id":17,"name":"Train ID","value":"1807-28"},{"id":16,"name":"Locomotive ID","value":"4009"},{"id":130,"name":"Impact","value":""},{"id":150,"name":"Time of Event (Mountain Time)","value":"09:36:26"},{"id":151,"name":"Denver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421</v>
      </c>
      <c r="B167" s="7">
        <v>4010</v>
      </c>
      <c r="C167" s="24" t="s">
        <v>113</v>
      </c>
      <c r="D167" s="24" t="s">
        <v>583</v>
      </c>
      <c r="E167" s="15">
        <v>42610.401226851849</v>
      </c>
      <c r="F167" s="15">
        <v>42610.402361111112</v>
      </c>
      <c r="G167" s="7">
        <v>1</v>
      </c>
      <c r="H167" s="15" t="s">
        <v>584</v>
      </c>
      <c r="I167" s="15">
        <v>42610.414085648146</v>
      </c>
      <c r="J167" s="7">
        <v>0</v>
      </c>
      <c r="K167" s="132" t="str">
        <f t="shared" si="98"/>
        <v>4009/4010</v>
      </c>
      <c r="L167" s="24" t="str">
        <f>VLOOKUP(A167,'Trips&amp;Operators'!$C$1:$E$10000,3,FALSE)</f>
        <v>STARKS</v>
      </c>
      <c r="M167" s="6">
        <f t="shared" si="99"/>
        <v>1.1724537034751847E-2</v>
      </c>
      <c r="N167" s="7">
        <f t="shared" si="100"/>
        <v>16.88333333004266</v>
      </c>
      <c r="O167" s="7"/>
      <c r="P167" s="7"/>
      <c r="Q167" s="25"/>
      <c r="R167" s="25"/>
      <c r="S167" s="37">
        <f t="shared" si="101"/>
        <v>1</v>
      </c>
      <c r="T167" s="52" t="str">
        <f t="shared" si="102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08:37:46-0600',mode:absolute,to:'2016-08-28 10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7" s="54" t="str">
        <f t="shared" si="104"/>
        <v>N</v>
      </c>
      <c r="X167" s="120">
        <f t="shared" si="105"/>
        <v>1</v>
      </c>
      <c r="Y167" s="69">
        <f t="shared" si="106"/>
        <v>5.8613</v>
      </c>
      <c r="Z167" s="69">
        <f t="shared" si="107"/>
        <v>7.17E-2</v>
      </c>
      <c r="AA167" s="69">
        <f t="shared" si="108"/>
        <v>5.7896000000000001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109"/>
        <v>1808-28</v>
      </c>
      <c r="AE167" s="99" t="str">
        <f t="shared" si="110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67" s="96" t="str">
        <f t="shared" si="111"/>
        <v>"C:\Program Files (x86)\AstroGrep\AstroGrep.exe" /spath="%USERPROFILE%\AppData\Local\Temp\OnboardLogs" /stypes="*4010*20160828*" /stext=" 15:.+((SYSTEM_STATE.+slice.+state.+changed )|(ment ac)|(system.+state.+changed )|(\|lc)|(penalty)|(\[timeout)|(PRM\|1\|D)|(kpr)|(kdp))" /e /r /s</v>
      </c>
      <c r="AG167" s="1" t="str">
        <f t="shared" si="112"/>
        <v>NW</v>
      </c>
      <c r="AH167" s="100" t="str">
        <f t="shared" si="113"/>
        <v>"%USERPROFILE%\Documents\GitHub\eaglep3\Utilities\RefineRTDCRunTimes.py" --tripid 1808-28 --locoid 4010 --swversion DE.1.0.7.0 --startMP 300:58613 --initTime 2016-08-28T09:37:46 --startdatetime 2016-08-28T09:39:24 --delay 1 --endMP 204:717 --enddatetime 2016-08-28T09:56:17 --enforcementcount 0 &gt;&gt;C:\Users\stu\Documents\GitHub\eaglep3-reporting\EC\2016-08-28-refined-times.txt</v>
      </c>
      <c r="AI167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{"issue":{"subject":"","project_id":79,"tracker_id":40,"status_id":1,"priority_id":2,"assigned_to_id":23,"start_date":"2016-08-28","description":"","custom_fields":[{"id":1,"name":"Subdivision","value":"NW"},{"id":4,"name":"Milepost","value":"5.7896"},{"id":17,"name":"Train ID","value":"1808-28"},{"id":16,"name":"Locomotive ID","value":"4010"},{"id":130,"name":"Impact","value":""},{"id":150,"name":"Time of Event (Mountain Time)","value":"09:56:17"},{"id":151,"name":"Denver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361</v>
      </c>
      <c r="B168" s="7">
        <v>4009</v>
      </c>
      <c r="C168" s="24" t="s">
        <v>113</v>
      </c>
      <c r="D168" s="24" t="s">
        <v>316</v>
      </c>
      <c r="E168" s="15">
        <v>42610.429432870369</v>
      </c>
      <c r="F168" s="15">
        <v>42610.431493055556</v>
      </c>
      <c r="G168" s="7">
        <v>1</v>
      </c>
      <c r="H168" s="15" t="s">
        <v>591</v>
      </c>
      <c r="I168" s="15">
        <v>42610.442118055558</v>
      </c>
      <c r="J168" s="7">
        <v>0</v>
      </c>
      <c r="K168" s="132" t="str">
        <f t="shared" si="98"/>
        <v>4009/4010</v>
      </c>
      <c r="L168" s="24" t="str">
        <f>VLOOKUP(A168,'Trips&amp;Operators'!$C$1:$E$10000,3,FALSE)</f>
        <v>STARKS</v>
      </c>
      <c r="M168" s="6">
        <f t="shared" si="99"/>
        <v>1.0625000002619345E-2</v>
      </c>
      <c r="N168" s="7">
        <f t="shared" si="100"/>
        <v>15.300000003771856</v>
      </c>
      <c r="O168" s="7"/>
      <c r="P168" s="7"/>
      <c r="Q168" s="25"/>
      <c r="R168" s="25"/>
      <c r="S168" s="37">
        <f t="shared" si="101"/>
        <v>1</v>
      </c>
      <c r="T168" s="52" t="str">
        <f t="shared" si="102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09:18:23-0600',mode:absolute,to:'2016-08-28 11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8" s="54" t="str">
        <f t="shared" si="104"/>
        <v>N</v>
      </c>
      <c r="X168" s="120">
        <f t="shared" si="105"/>
        <v>1</v>
      </c>
      <c r="Y168" s="69">
        <f t="shared" si="106"/>
        <v>0.1009</v>
      </c>
      <c r="Z168" s="69">
        <f t="shared" si="107"/>
        <v>5.8930999999999996</v>
      </c>
      <c r="AA168" s="69">
        <f t="shared" si="108"/>
        <v>5.7921999999999993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109"/>
        <v>1809-28</v>
      </c>
      <c r="AE168" s="99" t="str">
        <f t="shared" si="110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68" s="96" t="str">
        <f t="shared" si="111"/>
        <v>"C:\Program Files (x86)\AstroGrep\AstroGrep.exe" /spath="%USERPROFILE%\AppData\Local\Temp\OnboardLogs" /stypes="*4009*20160828*" /stext=" 16:.+((SYSTEM_STATE.+slice.+state.+changed )|(ment ac)|(system.+state.+changed )|(\|lc)|(penalty)|(\[timeout)|(PRM\|1\|D)|(kpr)|(kdp))" /e /r /s</v>
      </c>
      <c r="AG168" s="1" t="str">
        <f t="shared" si="112"/>
        <v>NW</v>
      </c>
      <c r="AH168" s="100" t="str">
        <f t="shared" si="113"/>
        <v>"%USERPROFILE%\Documents\GitHub\eaglep3\Utilities\RefineRTDCRunTimes.py" --tripid 1809-28 --locoid 4009 --swversion DE.1.0.7.0 --startMP 204:1009 --initTime 2016-08-28T10:18:23 --startdatetime 2016-08-28T10:21:21 --delay 1 --endMP 300:58931 --enddatetime 2016-08-28T10:36:39 --enforcementcount 0 &gt;&gt;C:\Users\stu\Documents\GitHub\eaglep3-reporting\EC\2016-08-28-refined-times.txt</v>
      </c>
      <c r="AI168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{"issue":{"subject":"","project_id":79,"tracker_id":40,"status_id":1,"priority_id":2,"assigned_to_id":23,"start_date":"2016-08-28","description":"","custom_fields":[{"id":1,"name":"Subdivision","value":"NW"},{"id":4,"name":"Milepost","value":"5.7922"},{"id":17,"name":"Train ID","value":"1809-28"},{"id":16,"name":"Locomotive ID","value":"4009"},{"id":130,"name":"Impact","value":""},{"id":150,"name":"Time of Event (Mountain Time)","value":"10:36:39"},{"id":151,"name":"Denver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429</v>
      </c>
      <c r="B169" s="7">
        <v>4010</v>
      </c>
      <c r="C169" s="24" t="s">
        <v>113</v>
      </c>
      <c r="D169" s="24" t="s">
        <v>587</v>
      </c>
      <c r="E169" s="15">
        <v>42610.443055555559</v>
      </c>
      <c r="F169" s="15">
        <v>42610.444351851853</v>
      </c>
      <c r="G169" s="7">
        <v>1</v>
      </c>
      <c r="H169" s="15" t="s">
        <v>315</v>
      </c>
      <c r="I169" s="15">
        <v>42610.456284722219</v>
      </c>
      <c r="J169" s="7">
        <v>0</v>
      </c>
      <c r="K169" s="132" t="str">
        <f t="shared" si="98"/>
        <v>4009/4010</v>
      </c>
      <c r="L169" s="24" t="str">
        <f>VLOOKUP(A169,'Trips&amp;Operators'!$C$1:$E$10000,3,FALSE)</f>
        <v>STARKS</v>
      </c>
      <c r="M169" s="6">
        <f t="shared" si="99"/>
        <v>1.1932870365853887E-2</v>
      </c>
      <c r="N169" s="7">
        <f t="shared" si="100"/>
        <v>17.183333326829597</v>
      </c>
      <c r="O169" s="7"/>
      <c r="P169" s="7"/>
      <c r="Q169" s="25"/>
      <c r="R169" s="25"/>
      <c r="S169" s="37">
        <f t="shared" si="101"/>
        <v>1</v>
      </c>
      <c r="T169" s="52" t="str">
        <f t="shared" si="102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09:38:00-0600',mode:absolute,to:'2016-08-28 11:57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9" s="54" t="str">
        <f t="shared" si="104"/>
        <v>N</v>
      </c>
      <c r="X169" s="120">
        <f t="shared" si="105"/>
        <v>1</v>
      </c>
      <c r="Y169" s="69">
        <f t="shared" si="106"/>
        <v>5.8615000000000004</v>
      </c>
      <c r="Z169" s="69">
        <f t="shared" si="107"/>
        <v>7.3300000000000004E-2</v>
      </c>
      <c r="AA169" s="69">
        <f t="shared" si="108"/>
        <v>5.7882000000000007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109"/>
        <v>1810-28</v>
      </c>
      <c r="AE169" s="99" t="str">
        <f t="shared" si="110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69" s="96" t="str">
        <f t="shared" si="111"/>
        <v>"C:\Program Files (x86)\AstroGrep\AstroGrep.exe" /spath="%USERPROFILE%\AppData\Local\Temp\OnboardLogs" /stypes="*4010*20160828*" /stext=" 16:.+((SYSTEM_STATE.+slice.+state.+changed )|(ment ac)|(system.+state.+changed )|(\|lc)|(penalty)|(\[timeout)|(PRM\|1\|D)|(kpr)|(kdp))" /e /r /s</v>
      </c>
      <c r="AG169" s="1" t="str">
        <f t="shared" si="112"/>
        <v>NW</v>
      </c>
      <c r="AH169" s="100" t="str">
        <f t="shared" si="113"/>
        <v>"%USERPROFILE%\Documents\GitHub\eaglep3\Utilities\RefineRTDCRunTimes.py" --tripid 1810-28 --locoid 4010 --swversion DE.1.0.7.0 --startMP 300:58615 --initTime 2016-08-28T10:38:00 --startdatetime 2016-08-28T10:39:52 --delay 1 --endMP 204:733 --enddatetime 2016-08-28T10:57:03 --enforcementcount 0 &gt;&gt;C:\Users\stu\Documents\GitHub\eaglep3-reporting\EC\2016-08-28-refined-times.txt</v>
      </c>
      <c r="AI169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{"issue":{"subject":"","project_id":79,"tracker_id":40,"status_id":1,"priority_id":2,"assigned_to_id":23,"start_date":"2016-08-28","description":"","custom_fields":[{"id":1,"name":"Subdivision","value":"NW"},{"id":4,"name":"Milepost","value":"5.7882"},{"id":17,"name":"Train ID","value":"1810-28"},{"id":16,"name":"Locomotive ID","value":"4010"},{"id":130,"name":"Impact","value":""},{"id":150,"name":"Time of Event (Mountain Time)","value":"10:57:03"},{"id":151,"name":"Denver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365</v>
      </c>
      <c r="B170" s="7">
        <v>4009</v>
      </c>
      <c r="C170" s="24" t="s">
        <v>113</v>
      </c>
      <c r="D170" s="24" t="s">
        <v>592</v>
      </c>
      <c r="E170" s="15">
        <v>42610.469189814816</v>
      </c>
      <c r="F170" s="15">
        <v>42610.473090277781</v>
      </c>
      <c r="G170" s="7">
        <v>1</v>
      </c>
      <c r="H170" s="15" t="s">
        <v>593</v>
      </c>
      <c r="I170" s="15">
        <v>42610.483460648145</v>
      </c>
      <c r="J170" s="7">
        <v>0</v>
      </c>
      <c r="K170" s="132" t="str">
        <f t="shared" si="98"/>
        <v>4009/4010</v>
      </c>
      <c r="L170" s="24" t="str">
        <f>VLOOKUP(A170,'Trips&amp;Operators'!$C$1:$E$10000,3,FALSE)</f>
        <v>STARKS</v>
      </c>
      <c r="M170" s="6">
        <f t="shared" si="99"/>
        <v>1.0370370364398696E-2</v>
      </c>
      <c r="N170" s="7">
        <f t="shared" si="100"/>
        <v>14.933333324734122</v>
      </c>
      <c r="O170" s="7"/>
      <c r="P170" s="7"/>
      <c r="Q170" s="25"/>
      <c r="R170" s="25"/>
      <c r="S170" s="37">
        <f t="shared" si="101"/>
        <v>1</v>
      </c>
      <c r="T170" s="52" t="str">
        <f t="shared" si="102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10:15:38-0600',mode:absolute,to:'2016-08-28 12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70" s="54" t="str">
        <f t="shared" si="104"/>
        <v>N</v>
      </c>
      <c r="X170" s="120">
        <f t="shared" si="105"/>
        <v>1</v>
      </c>
      <c r="Y170" s="69">
        <f t="shared" si="106"/>
        <v>0.10199999999999999</v>
      </c>
      <c r="Z170" s="69">
        <f t="shared" si="107"/>
        <v>5.8935000000000004</v>
      </c>
      <c r="AA170" s="69">
        <f t="shared" si="108"/>
        <v>5.7915000000000001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109"/>
        <v>1811-28</v>
      </c>
      <c r="AE170" s="99" t="str">
        <f t="shared" si="110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70" s="96" t="str">
        <f t="shared" si="111"/>
        <v>"C:\Program Files (x86)\AstroGrep\AstroGrep.exe" /spath="%USERPROFILE%\AppData\Local\Temp\OnboardLogs" /stypes="*4009*20160828*" /stext=" 17:.+((SYSTEM_STATE.+slice.+state.+changed )|(ment ac)|(system.+state.+changed )|(\|lc)|(penalty)|(\[timeout)|(PRM\|1\|D)|(kpr)|(kdp))" /e /r /s</v>
      </c>
      <c r="AG170" s="1" t="str">
        <f t="shared" si="112"/>
        <v>NW</v>
      </c>
      <c r="AH170" s="100" t="str">
        <f t="shared" si="113"/>
        <v>"%USERPROFILE%\Documents\GitHub\eaglep3\Utilities\RefineRTDCRunTimes.py" --tripid 1811-28 --locoid 4009 --swversion DE.1.0.7.0 --startMP 204:1020 --initTime 2016-08-28T11:15:38 --startdatetime 2016-08-28T11:21:15 --delay 1 --endMP 300:58935 --enddatetime 2016-08-28T11:36:11 --enforcementcount 0 &gt;&gt;C:\Users\stu\Documents\GitHub\eaglep3-reporting\EC\2016-08-28-refined-times.txt</v>
      </c>
      <c r="AI170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{"issue":{"subject":"","project_id":79,"tracker_id":40,"status_id":1,"priority_id":2,"assigned_to_id":23,"start_date":"2016-08-28","description":"","custom_fields":[{"id":1,"name":"Subdivision","value":"NW"},{"id":4,"name":"Milepost","value":"5.7915"},{"id":17,"name":"Train ID","value":"1811-28"},{"id":16,"name":"Locomotive ID","value":"4009"},{"id":130,"name":"Impact","value":""},{"id":150,"name":"Time of Event (Mountain Time)","value":"11:36:11"},{"id":151,"name":"Denver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437</v>
      </c>
      <c r="B171" s="7">
        <v>4010</v>
      </c>
      <c r="C171" s="24" t="s">
        <v>113</v>
      </c>
      <c r="D171" s="24" t="s">
        <v>594</v>
      </c>
      <c r="E171" s="15">
        <v>42610.484918981485</v>
      </c>
      <c r="F171" s="15">
        <v>42610.486215277779</v>
      </c>
      <c r="G171" s="7">
        <v>1</v>
      </c>
      <c r="H171" s="15" t="s">
        <v>584</v>
      </c>
      <c r="I171" s="15">
        <v>42610.497546296298</v>
      </c>
      <c r="J171" s="7">
        <v>0</v>
      </c>
      <c r="K171" s="132" t="str">
        <f t="shared" si="98"/>
        <v>4009/4010</v>
      </c>
      <c r="L171" s="24" t="str">
        <f>VLOOKUP(A171,'Trips&amp;Operators'!$C$1:$E$10000,3,FALSE)</f>
        <v>STARKS</v>
      </c>
      <c r="M171" s="6">
        <f t="shared" si="99"/>
        <v>1.1331018518831115E-2</v>
      </c>
      <c r="N171" s="7">
        <f t="shared" si="100"/>
        <v>16.316666667116806</v>
      </c>
      <c r="O171" s="7"/>
      <c r="P171" s="7"/>
      <c r="Q171" s="25"/>
      <c r="R171" s="25"/>
      <c r="S171" s="37">
        <f t="shared" si="101"/>
        <v>1</v>
      </c>
      <c r="T171" s="52" t="str">
        <f t="shared" si="102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10:38:17-0600',mode:absolute,to:'2016-08-28 12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71" s="54" t="str">
        <f t="shared" si="104"/>
        <v>N</v>
      </c>
      <c r="X171" s="120">
        <f t="shared" si="105"/>
        <v>1</v>
      </c>
      <c r="Y171" s="69">
        <f t="shared" si="106"/>
        <v>5.8620999999999999</v>
      </c>
      <c r="Z171" s="69">
        <f t="shared" si="107"/>
        <v>7.17E-2</v>
      </c>
      <c r="AA171" s="69">
        <f t="shared" si="108"/>
        <v>5.7904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109"/>
        <v>1812-28</v>
      </c>
      <c r="AE171" s="99" t="str">
        <f t="shared" si="110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71" s="96" t="str">
        <f t="shared" si="111"/>
        <v>"C:\Program Files (x86)\AstroGrep\AstroGrep.exe" /spath="%USERPROFILE%\AppData\Local\Temp\OnboardLogs" /stypes="*4010*20160828*" /stext=" 17:.+((SYSTEM_STATE.+slice.+state.+changed )|(ment ac)|(system.+state.+changed )|(\|lc)|(penalty)|(\[timeout)|(PRM\|1\|D)|(kpr)|(kdp))" /e /r /s</v>
      </c>
      <c r="AG171" s="1" t="str">
        <f t="shared" si="112"/>
        <v>NW</v>
      </c>
      <c r="AH171" s="100" t="str">
        <f t="shared" si="113"/>
        <v>"%USERPROFILE%\Documents\GitHub\eaglep3\Utilities\RefineRTDCRunTimes.py" --tripid 1812-28 --locoid 4010 --swversion DE.1.0.7.0 --startMP 300:58621 --initTime 2016-08-28T11:38:17 --startdatetime 2016-08-28T11:40:09 --delay 1 --endMP 204:717 --enddatetime 2016-08-28T11:56:28 --enforcementcount 0 &gt;&gt;C:\Users\stu\Documents\GitHub\eaglep3-reporting\EC\2016-08-28-refined-times.txt</v>
      </c>
      <c r="AI171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{"issue":{"subject":"","project_id":79,"tracker_id":40,"status_id":1,"priority_id":2,"assigned_to_id":23,"start_date":"2016-08-28","description":"","custom_fields":[{"id":1,"name":"Subdivision","value":"NW"},{"id":4,"name":"Milepost","value":"5.7904"},{"id":17,"name":"Train ID","value":"1812-28"},{"id":16,"name":"Locomotive ID","value":"4010"},{"id":130,"name":"Impact","value":""},{"id":150,"name":"Time of Event (Mountain Time)","value":"11:56:28"},{"id":151,"name":"Denver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444</v>
      </c>
      <c r="B172" s="7">
        <v>4009</v>
      </c>
      <c r="C172" s="24" t="s">
        <v>113</v>
      </c>
      <c r="D172" s="24" t="s">
        <v>595</v>
      </c>
      <c r="E172" s="15">
        <v>42610.510092592594</v>
      </c>
      <c r="F172" s="15">
        <v>42610.514791666668</v>
      </c>
      <c r="G172" s="7">
        <v>1</v>
      </c>
      <c r="H172" s="15" t="s">
        <v>593</v>
      </c>
      <c r="I172" s="15">
        <v>42610.525034722225</v>
      </c>
      <c r="J172" s="7">
        <v>0</v>
      </c>
      <c r="K172" s="132" t="str">
        <f t="shared" si="98"/>
        <v>4009/4010</v>
      </c>
      <c r="L172" s="24" t="str">
        <f>VLOOKUP(A172,'Trips&amp;Operators'!$C$1:$E$10000,3,FALSE)</f>
        <v>STARKS</v>
      </c>
      <c r="M172" s="6">
        <f t="shared" si="99"/>
        <v>1.0243055556202307E-2</v>
      </c>
      <c r="N172" s="7">
        <f t="shared" si="100"/>
        <v>14.750000000931323</v>
      </c>
      <c r="O172" s="7"/>
      <c r="P172" s="7"/>
      <c r="Q172" s="25"/>
      <c r="R172" s="25"/>
      <c r="S172" s="37">
        <f t="shared" si="101"/>
        <v>1</v>
      </c>
      <c r="T172" s="52" t="str">
        <f t="shared" si="102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11:14:32-0600',mode:absolute,to:'2016-08-28 13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72" s="54" t="str">
        <f t="shared" si="104"/>
        <v>N</v>
      </c>
      <c r="X172" s="120">
        <f t="shared" si="105"/>
        <v>1</v>
      </c>
      <c r="Y172" s="69">
        <f t="shared" si="106"/>
        <v>0.1018</v>
      </c>
      <c r="Z172" s="69">
        <f t="shared" si="107"/>
        <v>5.8935000000000004</v>
      </c>
      <c r="AA172" s="69">
        <f t="shared" si="108"/>
        <v>5.7917000000000005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109"/>
        <v>1813-28</v>
      </c>
      <c r="AE172" s="99" t="str">
        <f t="shared" si="110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72" s="96" t="str">
        <f t="shared" si="111"/>
        <v>"C:\Program Files (x86)\AstroGrep\AstroGrep.exe" /spath="%USERPROFILE%\AppData\Local\Temp\OnboardLogs" /stypes="*4009*20160828*" /stext=" 18:.+((SYSTEM_STATE.+slice.+state.+changed )|(ment ac)|(system.+state.+changed )|(\|lc)|(penalty)|(\[timeout)|(PRM\|1\|D)|(kpr)|(kdp))" /e /r /s</v>
      </c>
      <c r="AG172" s="1" t="str">
        <f t="shared" si="112"/>
        <v>NW</v>
      </c>
      <c r="AH172" s="100" t="str">
        <f t="shared" si="113"/>
        <v>"%USERPROFILE%\Documents\GitHub\eaglep3\Utilities\RefineRTDCRunTimes.py" --tripid 1813-28 --locoid 4009 --swversion DE.1.0.7.0 --startMP 204:1018 --initTime 2016-08-28T12:14:32 --startdatetime 2016-08-28T12:21:18 --delay 1 --endMP 300:58935 --enddatetime 2016-08-28T12:36:03 --enforcementcount 0 &gt;&gt;C:\Users\stu\Documents\GitHub\eaglep3-reporting\EC\2016-08-28-refined-times.txt</v>
      </c>
      <c r="AI172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{"issue":{"subject":"","project_id":79,"tracker_id":40,"status_id":1,"priority_id":2,"assigned_to_id":23,"start_date":"2016-08-28","description":"","custom_fields":[{"id":1,"name":"Subdivision","value":"NW"},{"id":4,"name":"Milepost","value":"5.7917"},{"id":17,"name":"Train ID","value":"1813-28"},{"id":16,"name":"Locomotive ID","value":"4009"},{"id":130,"name":"Impact","value":""},{"id":150,"name":"Time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448</v>
      </c>
      <c r="B173" s="7">
        <v>4010</v>
      </c>
      <c r="C173" s="24" t="s">
        <v>113</v>
      </c>
      <c r="D173" s="24" t="s">
        <v>596</v>
      </c>
      <c r="E173" s="15">
        <v>42610.527430555558</v>
      </c>
      <c r="F173" s="15">
        <v>42610.528564814813</v>
      </c>
      <c r="G173" s="7">
        <v>1</v>
      </c>
      <c r="H173" s="15" t="s">
        <v>597</v>
      </c>
      <c r="I173" s="15">
        <v>42610.540277777778</v>
      </c>
      <c r="J173" s="7">
        <v>0</v>
      </c>
      <c r="K173" s="132" t="str">
        <f t="shared" si="98"/>
        <v>4009/4010</v>
      </c>
      <c r="L173" s="24" t="str">
        <f>VLOOKUP(A173,'Trips&amp;Operators'!$C$1:$E$10000,3,FALSE)</f>
        <v>STARKS</v>
      </c>
      <c r="M173" s="6">
        <f t="shared" si="99"/>
        <v>1.1712962965248153E-2</v>
      </c>
      <c r="N173" s="7">
        <f t="shared" si="100"/>
        <v>16.86666666995734</v>
      </c>
      <c r="O173" s="7"/>
      <c r="P173" s="7"/>
      <c r="Q173" s="25"/>
      <c r="R173" s="25"/>
      <c r="S173" s="37">
        <f t="shared" si="101"/>
        <v>1</v>
      </c>
      <c r="T173" s="52" t="str">
        <f t="shared" si="102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11:39:30-0600',mode:absolute,to:'2016-08-28 13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73" s="54" t="str">
        <f t="shared" si="104"/>
        <v>N</v>
      </c>
      <c r="X173" s="120">
        <f t="shared" si="105"/>
        <v>1</v>
      </c>
      <c r="Y173" s="69">
        <f t="shared" si="106"/>
        <v>5.8616999999999999</v>
      </c>
      <c r="Z173" s="69">
        <f t="shared" si="107"/>
        <v>7.0099999999999996E-2</v>
      </c>
      <c r="AA173" s="69">
        <f t="shared" si="108"/>
        <v>5.7915999999999999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109"/>
        <v>1814-28</v>
      </c>
      <c r="AE173" s="99" t="str">
        <f t="shared" si="110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73" s="96" t="str">
        <f t="shared" si="111"/>
        <v>"C:\Program Files (x86)\AstroGrep\AstroGrep.exe" /spath="%USERPROFILE%\AppData\Local\Temp\OnboardLogs" /stypes="*4010*20160828*" /stext=" 18:.+((SYSTEM_STATE.+slice.+state.+changed )|(ment ac)|(system.+state.+changed )|(\|lc)|(penalty)|(\[timeout)|(PRM\|1\|D)|(kpr)|(kdp))" /e /r /s</v>
      </c>
      <c r="AG173" s="1" t="str">
        <f t="shared" si="112"/>
        <v>NW</v>
      </c>
      <c r="AH173" s="100" t="str">
        <f t="shared" si="113"/>
        <v>"%USERPROFILE%\Documents\GitHub\eaglep3\Utilities\RefineRTDCRunTimes.py" --tripid 1814-28 --locoid 4010 --swversion DE.1.0.7.0 --startMP 300:58617 --initTime 2016-08-28T12:39:30 --startdatetime 2016-08-28T12:41:08 --delay 1 --endMP 204:701 --enddatetime 2016-08-28T12:58:00 --enforcementcount 0 &gt;&gt;C:\Users\stu\Documents\GitHub\eaglep3-reporting\EC\2016-08-28-refined-times.txt</v>
      </c>
      <c r="AI173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{"issue":{"subject":"","project_id":79,"tracker_id":40,"status_id":1,"priority_id":2,"assigned_to_id":23,"start_date":"2016-08-28","description":"","custom_fields":[{"id":1,"name":"Subdivision","value":"NW"},{"id":4,"name":"Milepost","value":"5.7916"},{"id":17,"name":"Train ID","value":"1814-28"},{"id":16,"name":"Locomotive ID","value":"4010"},{"id":130,"name":"Impact","value":""},{"id":150,"name":"Time of Event (Mountain Time)","value":"12:58:00"},{"id":151,"name":"Denver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447</v>
      </c>
      <c r="B174" s="7">
        <v>4009</v>
      </c>
      <c r="C174" s="24" t="s">
        <v>113</v>
      </c>
      <c r="D174" s="24" t="s">
        <v>318</v>
      </c>
      <c r="E174" s="15">
        <v>42610.552708333336</v>
      </c>
      <c r="F174" s="15">
        <v>42610.556435185186</v>
      </c>
      <c r="G174" s="7">
        <v>1</v>
      </c>
      <c r="H174" s="15" t="s">
        <v>598</v>
      </c>
      <c r="I174" s="15">
        <v>42610.566793981481</v>
      </c>
      <c r="J174" s="7">
        <v>0</v>
      </c>
      <c r="K174" s="132" t="str">
        <f t="shared" si="98"/>
        <v>4009/4010</v>
      </c>
      <c r="L174" s="24" t="str">
        <f>VLOOKUP(A174,'Trips&amp;Operators'!$C$1:$E$10000,3,FALSE)</f>
        <v>STARKS</v>
      </c>
      <c r="M174" s="6">
        <f t="shared" si="99"/>
        <v>1.0358796294895001E-2</v>
      </c>
      <c r="N174" s="7">
        <f t="shared" si="100"/>
        <v>14.916666664648801</v>
      </c>
      <c r="O174" s="7"/>
      <c r="P174" s="7"/>
      <c r="Q174" s="25"/>
      <c r="R174" s="25"/>
      <c r="S174" s="37">
        <f t="shared" si="101"/>
        <v>1</v>
      </c>
      <c r="T174" s="52" t="str">
        <f t="shared" si="102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12:15:54-0600',mode:absolute,to:'2016-08-28 14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74" s="54" t="str">
        <f t="shared" si="104"/>
        <v>N</v>
      </c>
      <c r="X174" s="120">
        <f t="shared" si="105"/>
        <v>1</v>
      </c>
      <c r="Y174" s="69">
        <f t="shared" si="106"/>
        <v>0.10059999999999999</v>
      </c>
      <c r="Z174" s="69">
        <f t="shared" si="107"/>
        <v>5.8928000000000003</v>
      </c>
      <c r="AA174" s="69">
        <f t="shared" si="108"/>
        <v>5.7922000000000002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109"/>
        <v>1815-28</v>
      </c>
      <c r="AE174" s="99" t="str">
        <f t="shared" si="110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74" s="96" t="str">
        <f t="shared" si="111"/>
        <v>"C:\Program Files (x86)\AstroGrep\AstroGrep.exe" /spath="%USERPROFILE%\AppData\Local\Temp\OnboardLogs" /stypes="*4009*20160828*" /stext=" 19:.+((SYSTEM_STATE.+slice.+state.+changed )|(ment ac)|(system.+state.+changed )|(\|lc)|(penalty)|(\[timeout)|(PRM\|1\|D)|(kpr)|(kdp))" /e /r /s</v>
      </c>
      <c r="AG174" s="1" t="str">
        <f t="shared" si="112"/>
        <v>NW</v>
      </c>
      <c r="AH174" s="100" t="str">
        <f t="shared" si="113"/>
        <v>"%USERPROFILE%\Documents\GitHub\eaglep3\Utilities\RefineRTDCRunTimes.py" --tripid 1815-28 --locoid 4009 --swversion DE.1.0.7.0 --startMP 204:1006 --initTime 2016-08-28T13:15:54 --startdatetime 2016-08-28T13:21:16 --delay 1 --endMP 300:58928 --enddatetime 2016-08-28T13:36:11 --enforcementcount 0 &gt;&gt;C:\Users\stu\Documents\GitHub\eaglep3-reporting\EC\2016-08-28-refined-times.txt</v>
      </c>
      <c r="AI174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{"issue":{"subject":"","project_id":79,"tracker_id":40,"status_id":1,"priority_id":2,"assigned_to_id":23,"start_date":"2016-08-28","description":"","custom_fields":[{"id":1,"name":"Subdivision","value":"NW"},{"id":4,"name":"Milepost","value":"5.7922"},{"id":17,"name":"Train ID","value":"1815-28"},{"id":16,"name":"Locomotive ID","value":"4009"},{"id":130,"name":"Impact","value":""},{"id":150,"name":"Time of Event (Mountain Time)","value":"13:36:11"},{"id":151,"name":"Denver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456</v>
      </c>
      <c r="B175" s="7">
        <v>4010</v>
      </c>
      <c r="C175" s="24" t="s">
        <v>113</v>
      </c>
      <c r="D175" s="24" t="s">
        <v>599</v>
      </c>
      <c r="E175" s="15">
        <v>42610.567685185182</v>
      </c>
      <c r="F175" s="15">
        <v>42610.568715277775</v>
      </c>
      <c r="G175" s="7">
        <v>0</v>
      </c>
      <c r="H175" s="15" t="s">
        <v>600</v>
      </c>
      <c r="I175" s="15">
        <v>42610.580937500003</v>
      </c>
      <c r="J175" s="7">
        <v>0</v>
      </c>
      <c r="K175" s="132" t="str">
        <f t="shared" si="98"/>
        <v>4009/4010</v>
      </c>
      <c r="L175" s="24" t="str">
        <f>VLOOKUP(A175,'Trips&amp;Operators'!$C$1:$E$10000,3,FALSE)</f>
        <v>STARKS</v>
      </c>
      <c r="M175" s="6">
        <f t="shared" si="99"/>
        <v>1.2222222227137536E-2</v>
      </c>
      <c r="N175" s="7">
        <f t="shared" si="100"/>
        <v>17.600000007078052</v>
      </c>
      <c r="O175" s="7"/>
      <c r="P175" s="7"/>
      <c r="Q175" s="25"/>
      <c r="R175" s="25"/>
      <c r="S175" s="37">
        <f t="shared" si="101"/>
        <v>1</v>
      </c>
      <c r="T175" s="52" t="str">
        <f t="shared" si="102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12:37:28-0600',mode:absolute,to:'2016-08-28 14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75" s="54" t="str">
        <f t="shared" si="104"/>
        <v>N</v>
      </c>
      <c r="X175" s="120">
        <f t="shared" si="105"/>
        <v>1</v>
      </c>
      <c r="Y175" s="69">
        <f t="shared" si="106"/>
        <v>5.8605999999999998</v>
      </c>
      <c r="Z175" s="69">
        <f t="shared" si="107"/>
        <v>7.22E-2</v>
      </c>
      <c r="AA175" s="69">
        <f t="shared" si="108"/>
        <v>5.7884000000000002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109"/>
        <v>1816-28</v>
      </c>
      <c r="AE175" s="99" t="str">
        <f t="shared" si="110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75" s="96" t="str">
        <f t="shared" si="111"/>
        <v>"C:\Program Files (x86)\AstroGrep\AstroGrep.exe" /spath="%USERPROFILE%\AppData\Local\Temp\OnboardLogs" /stypes="*4010*20160828*" /stext=" 19:.+((SYSTEM_STATE.+slice.+state.+changed )|(ment ac)|(system.+state.+changed )|(\|lc)|(penalty)|(\[timeout)|(PRM\|1\|D)|(kpr)|(kdp))" /e /r /s</v>
      </c>
      <c r="AG175" s="1" t="str">
        <f t="shared" si="112"/>
        <v>NW</v>
      </c>
      <c r="AH175" s="100" t="str">
        <f t="shared" si="113"/>
        <v>"%USERPROFILE%\Documents\GitHub\eaglep3\Utilities\RefineRTDCRunTimes.py" --tripid 1816-28 --locoid 4010 --swversion DE.1.0.7.0 --startMP 300:58606 --initTime 2016-08-28T13:37:28 --startdatetime 2016-08-28T13:38:57 --delay 0 --endMP 204:722 --enddatetime 2016-08-28T13:56:33 --enforcementcount 0 &gt;&gt;C:\Users\stu\Documents\GitHub\eaglep3-reporting\EC\2016-08-28-refined-times.txt</v>
      </c>
      <c r="AI175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{"issue":{"subject":"","project_id":79,"tracker_id":40,"status_id":1,"priority_id":2,"assigned_to_id":23,"start_date":"2016-08-28","description":"","custom_fields":[{"id":1,"name":"Subdivision","value":"NW"},{"id":4,"name":"Milepost","value":"5.7884"},{"id":17,"name":"Train ID","value":"1816-28"},{"id":16,"name":"Locomotive ID","value":"4010"},{"id":130,"name":"Impact","value":""},{"id":150,"name":"Time of Event (Mountain Time)","value":"13:56:33"},{"id":151,"name":"Denver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461</v>
      </c>
      <c r="B176" s="7">
        <v>4009</v>
      </c>
      <c r="C176" s="24" t="s">
        <v>113</v>
      </c>
      <c r="D176" s="24" t="s">
        <v>319</v>
      </c>
      <c r="E176" s="15">
        <v>42610.585324074076</v>
      </c>
      <c r="F176" s="15">
        <v>42610.598090277781</v>
      </c>
      <c r="G176" s="7">
        <v>2</v>
      </c>
      <c r="H176" s="15" t="s">
        <v>601</v>
      </c>
      <c r="I176" s="15">
        <v>42610.608020833337</v>
      </c>
      <c r="J176" s="7">
        <v>0</v>
      </c>
      <c r="K176" s="132" t="str">
        <f t="shared" si="98"/>
        <v>4009/4010</v>
      </c>
      <c r="L176" s="24" t="str">
        <f>VLOOKUP(A176,'Trips&amp;Operators'!$C$1:$E$10000,3,FALSE)</f>
        <v>ISHMAEL</v>
      </c>
      <c r="M176" s="6">
        <f t="shared" si="99"/>
        <v>9.930555555911269E-3</v>
      </c>
      <c r="N176" s="7">
        <f t="shared" si="100"/>
        <v>14.300000000512227</v>
      </c>
      <c r="O176" s="7"/>
      <c r="P176" s="7"/>
      <c r="Q176" s="25"/>
      <c r="R176" s="25"/>
      <c r="S176" s="37">
        <f t="shared" si="101"/>
        <v>1</v>
      </c>
      <c r="T176" s="52" t="str">
        <f t="shared" si="102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103"/>
        <v>https://search-rtdc-monitor-bjffxe2xuh6vdkpspy63sjmuny.us-east-1.es.amazonaws.com/_plugin/kibana/#/discover/Steve-Slow-Train-Analysis-(2080s-and-2083s)?_g=(refreshInterval:(display:Off,section:0,value:0),time:(from:'2016-08-28 13:02:52-0600',mode:absolute,to:'2016-08-28 15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76" s="54" t="str">
        <f t="shared" si="104"/>
        <v>N</v>
      </c>
      <c r="X176" s="120">
        <f t="shared" si="105"/>
        <v>1</v>
      </c>
      <c r="Y176" s="69">
        <f t="shared" si="106"/>
        <v>0.1014</v>
      </c>
      <c r="Z176" s="69">
        <f t="shared" si="107"/>
        <v>5.8914</v>
      </c>
      <c r="AA176" s="69">
        <f t="shared" si="108"/>
        <v>5.79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109"/>
        <v>1817-28</v>
      </c>
      <c r="AE176" s="99" t="str">
        <f t="shared" si="110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76" s="96" t="str">
        <f t="shared" si="111"/>
        <v>"C:\Program Files (x86)\AstroGrep\AstroGrep.exe" /spath="%USERPROFILE%\AppData\Local\Temp\OnboardLogs" /stypes="*4009*20160828*" /stext=" 20:.+((SYSTEM_STATE.+slice.+state.+changed )|(ment ac)|(system.+state.+changed )|(\|lc)|(penalty)|(\[timeout)|(PRM\|1\|D)|(kpr)|(kdp))" /e /r /s</v>
      </c>
      <c r="AG176" s="1" t="str">
        <f t="shared" si="112"/>
        <v>NW</v>
      </c>
      <c r="AH176" s="100" t="str">
        <f t="shared" si="113"/>
        <v>"%USERPROFILE%\Documents\GitHub\eaglep3\Utilities\RefineRTDCRunTimes.py" --tripid 1817-28 --locoid 4009 --swversion DE.1.0.7.0 --startMP 204:1014 --initTime 2016-08-28T14:02:52 --startdatetime 2016-08-28T14:21:15 --delay 2 --endMP 300:58914 --enddatetime 2016-08-28T14:35:33 --enforcementcount 0 &gt;&gt;C:\Users\stu\Documents\GitHub\eaglep3-reporting\EC\2016-08-28-refined-times.txt</v>
      </c>
      <c r="AI176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{"issue":{"subject":"","project_id":79,"tracker_id":40,"status_id":1,"priority_id":2,"assigned_to_id":23,"start_date":"2016-08-28","description":"","custom_fields":[{"id":1,"name":"Subdivision","value":"NW"},{"id":4,"name":"Milepost","value":"5.79"},{"id":17,"name":"Train ID","value":"1817-28"},{"id":16,"name":"Locomotive ID","value":"4009"},{"id":130,"name":"Impact","value":""},{"id":150,"name":"Time of Event (Mountain Time)","value":"14:35:33"},{"id":151,"name":"Denver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465</v>
      </c>
      <c r="B177" s="7">
        <v>4010</v>
      </c>
      <c r="C177" s="24" t="s">
        <v>113</v>
      </c>
      <c r="D177" s="24" t="s">
        <v>602</v>
      </c>
      <c r="E177" s="15">
        <v>42610.609398148146</v>
      </c>
      <c r="F177" s="15">
        <v>42610.61105324074</v>
      </c>
      <c r="G177" s="7">
        <v>1</v>
      </c>
      <c r="H177" s="15" t="s">
        <v>603</v>
      </c>
      <c r="I177" s="15">
        <v>42610.621944444443</v>
      </c>
      <c r="J177" s="7">
        <v>0</v>
      </c>
      <c r="K177" s="132" t="str">
        <f t="shared" ref="K177:K201" si="130">IF(ISEVEN(B177),(B177-1)&amp;"/"&amp;B177,B177&amp;"/"&amp;(B177+1))</f>
        <v>4009/4010</v>
      </c>
      <c r="L177" s="24" t="str">
        <f>VLOOKUP(A177,'Trips&amp;Operators'!$C$1:$E$10000,3,FALSE)</f>
        <v>ISHMAEL</v>
      </c>
      <c r="M177" s="6">
        <f t="shared" ref="M177:M201" si="131">I177-F177</f>
        <v>1.0891203703067731E-2</v>
      </c>
      <c r="N177" s="7">
        <f t="shared" ref="N177:N201" si="132">24*60*SUM($M177:$M177)</f>
        <v>15.683333332417533</v>
      </c>
      <c r="O177" s="7"/>
      <c r="P177" s="7"/>
      <c r="Q177" s="25"/>
      <c r="R177" s="25"/>
      <c r="S177" s="37">
        <f t="shared" ref="S177:S201" si="133">SUM(U177:U177)/IF(AG177="EC",12,1)</f>
        <v>1</v>
      </c>
      <c r="T177" s="52" t="str">
        <f t="shared" ref="T177:T201" si="134">IF(ISEVEN(LEFT(AD177,4)),"Southbound","NorthBound")</f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ref="V177:V201" si="135"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https://search-rtdc-monitor-bjffxe2xuh6vdkpspy63sjmuny.us-east-1.es.amazonaws.com/_plugin/kibana/#/discover/Steve-Slow-Train-Analysis-(2080s-and-2083s)?_g=(refreshInterval:(display:Off,section:0,value:0),time:(from:'2016-08-28 13:37:32-0600',mode:absolute,to:'2016-08-28 15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77" s="54" t="str">
        <f t="shared" ref="W177:W201" si="136">IF(AA177&lt;IF(AG177="EC",23,5.65),"Y","N")</f>
        <v>N</v>
      </c>
      <c r="X177" s="120">
        <f t="shared" ref="X177:X201" si="137">VALUE(LEFT(AD177,4))-VALUE(LEFT(AD176,4))</f>
        <v>1</v>
      </c>
      <c r="Y177" s="69">
        <f t="shared" ref="Y177:Y201" si="138">RIGHT(D177,LEN(D177)-4)/10000</f>
        <v>5.8597999999999999</v>
      </c>
      <c r="Z177" s="69">
        <f t="shared" ref="Z177:Z201" si="139">RIGHT(H177,LEN(H177)-4)/10000</f>
        <v>6.7100000000000007E-2</v>
      </c>
      <c r="AA177" s="69">
        <f t="shared" ref="AA177:AA201" si="140">ABS(Z177-Y177)</f>
        <v>5.7927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ref="AD177:AD201" si="141">IF(LEN(A177)=6,"0"&amp;A177,A177)</f>
        <v>1818-28</v>
      </c>
      <c r="AE177" s="99" t="str">
        <f t="shared" ref="AE177:AE201" si="142">"aws s3 cp "&amp;s3_bucket&amp;"/RTDC"&amp;B177&amp;"/"&amp;TEXT(F177,"YYYY-MM-DD")&amp;"/ "&amp;search_path&amp;"\RTDC"&amp;B177&amp;"\"&amp;TEXT(F177,"YYYY-MM-DD")&amp;" --recursive &amp; """&amp;walkandungz&amp;""" "&amp;search_path&amp;"\RTDC"&amp;B177&amp;"\"&amp;TEXT(F177,"YYYY-MM-DD")
&amp;" &amp; "&amp;"aws s3 cp "&amp;s3_bucket&amp;"/RTDC"&amp;B177&amp;"/"&amp;TEXT(F177+1,"YYYY-MM-DD")&amp;"/ "&amp;search_path&amp;"\RTDC"&amp;B177&amp;"\"&amp;TEXT(F177+1,"YYYY-MM-DD")&amp;" --recursive &amp; """&amp;walkandungz&amp;""" "&amp;search_path&amp;"\RTDC"&amp;B177&amp;"\"&amp;TEXT(F177+1,"YYYY-MM-DD")</f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77" s="96" t="str">
        <f t="shared" ref="AF177:AF201" si="143">astrogrep_path&amp;" /spath="&amp;search_path&amp;" /stypes=""*"&amp;B177&amp;"*"&amp;TEXT(I177-utc_offset/24,"YYYYMMDD")&amp;"*"" /stext="" "&amp;TEXT(I177-utc_offset/24,"HH")&amp;search_regexp&amp;""" /e /r /s"</f>
        <v>"C:\Program Files (x86)\AstroGrep\AstroGrep.exe" /spath="%USERPROFILE%\AppData\Local\Temp\OnboardLogs" /stypes="*4010*20160828*" /stext=" 20:.+((SYSTEM_STATE.+slice.+state.+changed )|(ment ac)|(system.+state.+changed )|(\|lc)|(penalty)|(\[timeout)|(PRM\|1\|D)|(kpr)|(kdp))" /e /r /s</v>
      </c>
      <c r="AG177" s="1" t="str">
        <f t="shared" ref="AG177:AG201" si="144">IFERROR(IF(VALUE(LEFT(AD177,2))&lt;=2,"EC",IF(OR(VALUE(LEFT(AD177,2))=8,VALUE(LEFT(AD177,2))=18),"NW","Other")),"Other")</f>
        <v>NW</v>
      </c>
      <c r="AH177" s="100" t="str">
        <f t="shared" si="113"/>
        <v>"%USERPROFILE%\Documents\GitHub\eaglep3\Utilities\RefineRTDCRunTimes.py" --tripid 1818-28 --locoid 4010 --swversion DE.1.0.7.0 --startMP 300:58598 --initTime 2016-08-28T14:37:32 --startdatetime 2016-08-28T14:39:55 --delay 1 --endMP 204:671 --enddatetime 2016-08-28T14:55:36 --enforcementcount 0 &gt;&gt;C:\Users\stu\Documents\GitHub\eaglep3-reporting\EC\2016-08-28-refined-times.txt</v>
      </c>
      <c r="AI177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{"issue":{"subject":"","project_id":79,"tracker_id":40,"status_id":1,"priority_id":2,"assigned_to_id":23,"start_date":"2016-08-28","description":"","custom_fields":[{"id":1,"name":"Subdivision","value":"NW"},{"id":4,"name":"Milepost","value":"5.7927"},{"id":17,"name":"Train ID","value":"1818-28"},{"id":16,"name":"Locomotive ID","value":"4010"},{"id":130,"name":"Impact","value":""},{"id":150,"name":"Time of Event (Mountain Time)","value":"14:55:36"},{"id":151,"name":"Denver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470</v>
      </c>
      <c r="B178" s="7">
        <v>4009</v>
      </c>
      <c r="C178" s="24" t="s">
        <v>113</v>
      </c>
      <c r="D178" s="24" t="s">
        <v>604</v>
      </c>
      <c r="E178" s="15">
        <v>42610.632245370369</v>
      </c>
      <c r="F178" s="15">
        <v>42610.639768518522</v>
      </c>
      <c r="G178" s="7">
        <v>1</v>
      </c>
      <c r="H178" s="15" t="s">
        <v>601</v>
      </c>
      <c r="I178" s="15">
        <v>42610.649756944447</v>
      </c>
      <c r="J178" s="7">
        <v>0</v>
      </c>
      <c r="K178" s="132" t="str">
        <f t="shared" si="130"/>
        <v>4009/4010</v>
      </c>
      <c r="L178" s="24" t="str">
        <f>VLOOKUP(A178,'Trips&amp;Operators'!$C$1:$E$10000,3,FALSE)</f>
        <v>ISHMAEL</v>
      </c>
      <c r="M178" s="6">
        <f t="shared" si="131"/>
        <v>9.9884259252576157E-3</v>
      </c>
      <c r="N178" s="7">
        <f t="shared" si="132"/>
        <v>14.383333332370967</v>
      </c>
      <c r="O178" s="7"/>
      <c r="P178" s="7"/>
      <c r="Q178" s="25"/>
      <c r="R178" s="25"/>
      <c r="S178" s="37">
        <f t="shared" si="133"/>
        <v>1</v>
      </c>
      <c r="T178" s="52" t="str">
        <f t="shared" si="134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14:10:26-0600',mode:absolute,to:'2016-08-28 16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78" s="54" t="str">
        <f t="shared" si="136"/>
        <v>N</v>
      </c>
      <c r="X178" s="120">
        <f t="shared" si="137"/>
        <v>1</v>
      </c>
      <c r="Y178" s="69">
        <f t="shared" si="138"/>
        <v>9.74E-2</v>
      </c>
      <c r="Z178" s="69">
        <f t="shared" si="139"/>
        <v>5.8914</v>
      </c>
      <c r="AA178" s="69">
        <f t="shared" si="140"/>
        <v>5.7939999999999996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141"/>
        <v>1819-28</v>
      </c>
      <c r="AE178" s="99" t="str">
        <f t="shared" si="142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78" s="96" t="str">
        <f t="shared" si="143"/>
        <v>"C:\Program Files (x86)\AstroGrep\AstroGrep.exe" /spath="%USERPROFILE%\AppData\Local\Temp\OnboardLogs" /stypes="*4009*20160828*" /stext=" 21:.+((SYSTEM_STATE.+slice.+state.+changed )|(ment ac)|(system.+state.+changed )|(\|lc)|(penalty)|(\[timeout)|(PRM\|1\|D)|(kpr)|(kdp))" /e /r /s</v>
      </c>
      <c r="AG178" s="1" t="str">
        <f t="shared" si="144"/>
        <v>NW</v>
      </c>
      <c r="AH178" s="100" t="str">
        <f t="shared" si="113"/>
        <v>"%USERPROFILE%\Documents\GitHub\eaglep3\Utilities\RefineRTDCRunTimes.py" --tripid 1819-28 --locoid 4009 --swversion DE.1.0.7.0 --startMP 204:974 --initTime 2016-08-28T15:10:26 --startdatetime 2016-08-28T15:21:16 --delay 1 --endMP 300:58914 --enddatetime 2016-08-28T15:35:39 --enforcementcount 0 &gt;&gt;C:\Users\stu\Documents\GitHub\eaglep3-reporting\EC\2016-08-28-refined-times.txt</v>
      </c>
      <c r="AI178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{"issue":{"subject":"","project_id":79,"tracker_id":40,"status_id":1,"priority_id":2,"assigned_to_id":23,"start_date":"2016-08-28","description":"","custom_fields":[{"id":1,"name":"Subdivision","value":"NW"},{"id":4,"name":"Milepost","value":"5.794"},{"id":17,"name":"Train ID","value":"1819-28"},{"id":16,"name":"Locomotive ID","value":"4009"},{"id":130,"name":"Impact","value":""},{"id":150,"name":"Time of Event (Mountain Time)","value":"15:35:39"},{"id":151,"name":"Denver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475</v>
      </c>
      <c r="B179" s="7">
        <v>4010</v>
      </c>
      <c r="C179" s="24" t="s">
        <v>113</v>
      </c>
      <c r="D179" s="24" t="s">
        <v>605</v>
      </c>
      <c r="E179" s="15">
        <v>42610.650868055556</v>
      </c>
      <c r="F179" s="15">
        <v>42610.65221064815</v>
      </c>
      <c r="G179" s="7">
        <v>0</v>
      </c>
      <c r="H179" s="15" t="s">
        <v>606</v>
      </c>
      <c r="I179" s="15">
        <v>42610.665659722225</v>
      </c>
      <c r="J179" s="7">
        <v>0</v>
      </c>
      <c r="K179" s="132" t="str">
        <f t="shared" si="130"/>
        <v>4009/4010</v>
      </c>
      <c r="L179" s="24" t="str">
        <f>VLOOKUP(A179,'Trips&amp;Operators'!$C$1:$E$10000,3,FALSE)</f>
        <v>ISHMAEL</v>
      </c>
      <c r="M179" s="6">
        <f t="shared" si="131"/>
        <v>1.3449074074742384E-2</v>
      </c>
      <c r="N179" s="7">
        <f t="shared" si="132"/>
        <v>19.366666667629033</v>
      </c>
      <c r="O179" s="7"/>
      <c r="P179" s="7"/>
      <c r="Q179" s="25"/>
      <c r="R179" s="25"/>
      <c r="S179" s="37">
        <f t="shared" si="133"/>
        <v>1</v>
      </c>
      <c r="T179" s="52" t="str">
        <f t="shared" si="134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14:37:15-0600',mode:absolute,to:'2016-08-28 16:58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79" s="54" t="str">
        <f t="shared" si="136"/>
        <v>N</v>
      </c>
      <c r="X179" s="120">
        <f t="shared" si="137"/>
        <v>1</v>
      </c>
      <c r="Y179" s="69">
        <f t="shared" si="138"/>
        <v>5.86</v>
      </c>
      <c r="Z179" s="69">
        <f t="shared" si="139"/>
        <v>6.7699999999999996E-2</v>
      </c>
      <c r="AA179" s="69">
        <f t="shared" si="140"/>
        <v>5.7923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141"/>
        <v>1820-28</v>
      </c>
      <c r="AE179" s="99" t="str">
        <f t="shared" si="142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79" s="96" t="str">
        <f t="shared" si="143"/>
        <v>"C:\Program Files (x86)\AstroGrep\AstroGrep.exe" /spath="%USERPROFILE%\AppData\Local\Temp\OnboardLogs" /stypes="*4010*20160828*" /stext=" 21:.+((SYSTEM_STATE.+slice.+state.+changed )|(ment ac)|(system.+state.+changed )|(\|lc)|(penalty)|(\[timeout)|(PRM\|1\|D)|(kpr)|(kdp))" /e /r /s</v>
      </c>
      <c r="AG179" s="1" t="str">
        <f t="shared" si="144"/>
        <v>NW</v>
      </c>
      <c r="AH179" s="100" t="str">
        <f t="shared" si="113"/>
        <v>"%USERPROFILE%\Documents\GitHub\eaglep3\Utilities\RefineRTDCRunTimes.py" --tripid 1820-28 --locoid 4010 --swversion DE.1.0.7.0 --startMP 300:58600 --initTime 2016-08-28T15:37:15 --startdatetime 2016-08-28T15:39:11 --delay 0 --endMP 204:677 --enddatetime 2016-08-28T15:58:33 --enforcementcount 0 &gt;&gt;C:\Users\stu\Documents\GitHub\eaglep3-reporting\EC\2016-08-28-refined-times.txt</v>
      </c>
      <c r="AI179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{"issue":{"subject":"","project_id":79,"tracker_id":40,"status_id":1,"priority_id":2,"assigned_to_id":23,"start_date":"2016-08-28","description":"","custom_fields":[{"id":1,"name":"Subdivision","value":"NW"},{"id":4,"name":"Milepost","value":"5.7923"},{"id":17,"name":"Train ID","value":"1820-28"},{"id":16,"name":"Locomotive ID","value":"4010"},{"id":130,"name":"Impact","value":""},{"id":150,"name":"Time of Event (Mountain Time)","value":"15:58:33"},{"id":151,"name":"Denver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369</v>
      </c>
      <c r="B180" s="7">
        <v>4009</v>
      </c>
      <c r="C180" s="24" t="s">
        <v>113</v>
      </c>
      <c r="D180" s="24" t="s">
        <v>607</v>
      </c>
      <c r="E180" s="15">
        <v>42610.676898148151</v>
      </c>
      <c r="F180" s="15">
        <v>42610.681585648148</v>
      </c>
      <c r="G180" s="7">
        <v>1</v>
      </c>
      <c r="H180" s="15" t="s">
        <v>608</v>
      </c>
      <c r="I180" s="15">
        <v>42610.691874999997</v>
      </c>
      <c r="J180" s="7">
        <v>0</v>
      </c>
      <c r="K180" s="132" t="str">
        <f t="shared" si="130"/>
        <v>4009/4010</v>
      </c>
      <c r="L180" s="24" t="str">
        <f>VLOOKUP(A180,'Trips&amp;Operators'!$C$1:$E$10000,3,FALSE)</f>
        <v>ISHMAEL</v>
      </c>
      <c r="M180" s="6">
        <f t="shared" si="131"/>
        <v>1.0289351848769002E-2</v>
      </c>
      <c r="N180" s="7">
        <f t="shared" si="132"/>
        <v>14.816666662227362</v>
      </c>
      <c r="O180" s="7"/>
      <c r="P180" s="7"/>
      <c r="Q180" s="25"/>
      <c r="R180" s="25"/>
      <c r="S180" s="37">
        <f t="shared" si="133"/>
        <v>1</v>
      </c>
      <c r="T180" s="52" t="str">
        <f t="shared" si="134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15:14:44-0600',mode:absolute,to:'2016-08-28 17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0" s="54" t="str">
        <f t="shared" si="136"/>
        <v>N</v>
      </c>
      <c r="X180" s="120">
        <f t="shared" si="137"/>
        <v>1</v>
      </c>
      <c r="Y180" s="69">
        <f t="shared" si="138"/>
        <v>9.7100000000000006E-2</v>
      </c>
      <c r="Z180" s="69">
        <f t="shared" si="139"/>
        <v>5.8916000000000004</v>
      </c>
      <c r="AA180" s="69">
        <f t="shared" si="140"/>
        <v>5.7945000000000002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141"/>
        <v>1821-28</v>
      </c>
      <c r="AE180" s="99" t="str">
        <f t="shared" si="142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80" s="96" t="str">
        <f t="shared" si="143"/>
        <v>"C:\Program Files (x86)\AstroGrep\AstroGrep.exe" /spath="%USERPROFILE%\AppData\Local\Temp\OnboardLogs" /stypes="*4009*20160828*" /stext=" 22:.+((SYSTEM_STATE.+slice.+state.+changed )|(ment ac)|(system.+state.+changed )|(\|lc)|(penalty)|(\[timeout)|(PRM\|1\|D)|(kpr)|(kdp))" /e /r /s</v>
      </c>
      <c r="AG180" s="1" t="str">
        <f t="shared" si="144"/>
        <v>NW</v>
      </c>
      <c r="AH180" s="100" t="str">
        <f t="shared" si="113"/>
        <v>"%USERPROFILE%\Documents\GitHub\eaglep3\Utilities\RefineRTDCRunTimes.py" --tripid 1821-28 --locoid 4009 --swversion DE.1.0.7.0 --startMP 204:971 --initTime 2016-08-28T16:14:44 --startdatetime 2016-08-28T16:21:29 --delay 1 --endMP 300:58916 --enddatetime 2016-08-28T16:36:18 --enforcementcount 0 &gt;&gt;C:\Users\stu\Documents\GitHub\eaglep3-reporting\EC\2016-08-28-refined-times.txt</v>
      </c>
      <c r="AI180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{"issue":{"subject":"","project_id":79,"tracker_id":40,"status_id":1,"priority_id":2,"assigned_to_id":23,"start_date":"2016-08-28","description":"","custom_fields":[{"id":1,"name":"Subdivision","value":"NW"},{"id":4,"name":"Milepost","value":"5.7945"},{"id":17,"name":"Train ID","value":"1821-28"},{"id":16,"name":"Locomotive ID","value":"4009"},{"id":130,"name":"Impact","value":""},{"id":150,"name":"Time of Event (Mountain Time)","value":"16:36:18"},{"id":151,"name":"Denver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484</v>
      </c>
      <c r="B181" s="7">
        <v>4010</v>
      </c>
      <c r="C181" s="24" t="s">
        <v>113</v>
      </c>
      <c r="D181" s="24" t="s">
        <v>605</v>
      </c>
      <c r="E181" s="15">
        <v>42610.692881944444</v>
      </c>
      <c r="F181" s="15">
        <v>42610.694687499999</v>
      </c>
      <c r="G181" s="7">
        <v>1</v>
      </c>
      <c r="H181" s="15" t="s">
        <v>609</v>
      </c>
      <c r="I181" s="15">
        <v>42610.706435185188</v>
      </c>
      <c r="J181" s="7">
        <v>0</v>
      </c>
      <c r="K181" s="132" t="str">
        <f t="shared" si="130"/>
        <v>4009/4010</v>
      </c>
      <c r="L181" s="24" t="str">
        <f>VLOOKUP(A181,'Trips&amp;Operators'!$C$1:$E$10000,3,FALSE)</f>
        <v>ISHMAEL</v>
      </c>
      <c r="M181" s="6">
        <f t="shared" si="131"/>
        <v>1.1747685188311152E-2</v>
      </c>
      <c r="N181" s="7">
        <f t="shared" si="132"/>
        <v>16.916666671168059</v>
      </c>
      <c r="O181" s="7"/>
      <c r="P181" s="7"/>
      <c r="Q181" s="25"/>
      <c r="R181" s="25"/>
      <c r="S181" s="37">
        <f t="shared" si="133"/>
        <v>1</v>
      </c>
      <c r="T181" s="52" t="str">
        <f t="shared" si="134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15:37:45-0600',mode:absolute,to:'2016-08-28 17:57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1" s="54" t="str">
        <f t="shared" si="136"/>
        <v>N</v>
      </c>
      <c r="X181" s="120">
        <f t="shared" si="137"/>
        <v>1</v>
      </c>
      <c r="Y181" s="69">
        <f t="shared" si="138"/>
        <v>5.86</v>
      </c>
      <c r="Z181" s="69">
        <f t="shared" si="139"/>
        <v>6.7299999999999999E-2</v>
      </c>
      <c r="AA181" s="69">
        <f t="shared" si="140"/>
        <v>5.7927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141"/>
        <v>1822-28</v>
      </c>
      <c r="AE181" s="99" t="str">
        <f t="shared" si="142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81" s="96" t="str">
        <f t="shared" si="143"/>
        <v>"C:\Program Files (x86)\AstroGrep\AstroGrep.exe" /spath="%USERPROFILE%\AppData\Local\Temp\OnboardLogs" /stypes="*4010*20160828*" /stext=" 22:.+((SYSTEM_STATE.+slice.+state.+changed )|(ment ac)|(system.+state.+changed )|(\|lc)|(penalty)|(\[timeout)|(PRM\|1\|D)|(kpr)|(kdp))" /e /r /s</v>
      </c>
      <c r="AG181" s="1" t="str">
        <f t="shared" si="144"/>
        <v>NW</v>
      </c>
      <c r="AH181" s="100" t="str">
        <f t="shared" si="113"/>
        <v>"%USERPROFILE%\Documents\GitHub\eaglep3\Utilities\RefineRTDCRunTimes.py" --tripid 1822-28 --locoid 4010 --swversion DE.1.0.7.0 --startMP 300:58600 --initTime 2016-08-28T16:37:45 --startdatetime 2016-08-28T16:40:21 --delay 1 --endMP 204:673 --enddatetime 2016-08-28T16:57:16 --enforcementcount 0 &gt;&gt;C:\Users\stu\Documents\GitHub\eaglep3-reporting\EC\2016-08-28-refined-times.txt</v>
      </c>
      <c r="AI181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{"issue":{"subject":"","project_id":79,"tracker_id":40,"status_id":1,"priority_id":2,"assigned_to_id":23,"start_date":"2016-08-28","description":"","custom_fields":[{"id":1,"name":"Subdivision","value":"NW"},{"id":4,"name":"Milepost","value":"5.7927"},{"id":17,"name":"Train ID","value":"1822-28"},{"id":16,"name":"Locomotive ID","value":"4010"},{"id":130,"name":"Impact","value":""},{"id":150,"name":"Time of Event (Mountain Time)","value":"16:57:16"},{"id":151,"name":"Denver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493</v>
      </c>
      <c r="B182" s="7">
        <v>4009</v>
      </c>
      <c r="C182" s="24" t="s">
        <v>113</v>
      </c>
      <c r="D182" s="24" t="s">
        <v>610</v>
      </c>
      <c r="E182" s="15">
        <v>42610.718344907407</v>
      </c>
      <c r="F182" s="15">
        <v>42610.723368055558</v>
      </c>
      <c r="G182" s="7">
        <v>2</v>
      </c>
      <c r="H182" s="15" t="s">
        <v>611</v>
      </c>
      <c r="I182" s="15">
        <v>42610.733171296299</v>
      </c>
      <c r="J182" s="7">
        <v>0</v>
      </c>
      <c r="K182" s="132" t="str">
        <f t="shared" si="130"/>
        <v>4009/4010</v>
      </c>
      <c r="L182" s="24" t="str">
        <f>VLOOKUP(A182,'Trips&amp;Operators'!$C$1:$E$10000,3,FALSE)</f>
        <v>ISHMAEL</v>
      </c>
      <c r="M182" s="6">
        <f t="shared" si="131"/>
        <v>9.8032407404389232E-3</v>
      </c>
      <c r="N182" s="7">
        <f t="shared" si="132"/>
        <v>14.116666666232049</v>
      </c>
      <c r="O182" s="7"/>
      <c r="P182" s="7"/>
      <c r="Q182" s="25"/>
      <c r="R182" s="25"/>
      <c r="S182" s="37">
        <f t="shared" si="133"/>
        <v>1</v>
      </c>
      <c r="T182" s="52" t="str">
        <f t="shared" si="134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16:14:25-0600',mode:absolute,to:'2016-08-28 18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2" s="54" t="str">
        <f t="shared" si="136"/>
        <v>N</v>
      </c>
      <c r="X182" s="120">
        <f t="shared" si="137"/>
        <v>1</v>
      </c>
      <c r="Y182" s="69">
        <f t="shared" si="138"/>
        <v>9.6199999999999994E-2</v>
      </c>
      <c r="Z182" s="69">
        <f t="shared" si="139"/>
        <v>5.8960999999999997</v>
      </c>
      <c r="AA182" s="69">
        <f t="shared" si="140"/>
        <v>5.7999000000000001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141"/>
        <v>1823-28</v>
      </c>
      <c r="AE182" s="99" t="str">
        <f t="shared" si="142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82" s="96" t="str">
        <f t="shared" si="143"/>
        <v>"C:\Program Files (x86)\AstroGrep\AstroGrep.exe" /spath="%USERPROFILE%\AppData\Local\Temp\OnboardLogs" /stypes="*4009*20160828*" /stext=" 23:.+((SYSTEM_STATE.+slice.+state.+changed )|(ment ac)|(system.+state.+changed )|(\|lc)|(penalty)|(\[timeout)|(PRM\|1\|D)|(kpr)|(kdp))" /e /r /s</v>
      </c>
      <c r="AG182" s="1" t="str">
        <f t="shared" si="144"/>
        <v>NW</v>
      </c>
      <c r="AH182" s="100" t="str">
        <f t="shared" si="113"/>
        <v>"%USERPROFILE%\Documents\GitHub\eaglep3\Utilities\RefineRTDCRunTimes.py" --tripid 1823-28 --locoid 4009 --swversion DE.1.0.7.0 --startMP 204:962 --initTime 2016-08-28T17:14:25 --startdatetime 2016-08-28T17:21:39 --delay 2 --endMP 300:58961 --enddatetime 2016-08-28T17:35:46 --enforcementcount 0 &gt;&gt;C:\Users\stu\Documents\GitHub\eaglep3-reporting\EC\2016-08-28-refined-times.txt</v>
      </c>
      <c r="AI182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{"issue":{"subject":"","project_id":79,"tracker_id":40,"status_id":1,"priority_id":2,"assigned_to_id":23,"start_date":"2016-08-28","description":"","custom_fields":[{"id":1,"name":"Subdivision","value":"NW"},{"id":4,"name":"Milepost","value":"5.7999"},{"id":17,"name":"Train ID","value":"1823-28"},{"id":16,"name":"Locomotive ID","value":"4009"},{"id":130,"name":"Impact","value":""},{"id":150,"name":"Time of Event (Mountain Time)","value":"17:35:46"},{"id":151,"name":"Denver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497</v>
      </c>
      <c r="B183" s="7">
        <v>4010</v>
      </c>
      <c r="C183" s="24" t="s">
        <v>113</v>
      </c>
      <c r="D183" s="24" t="s">
        <v>314</v>
      </c>
      <c r="E183" s="15">
        <v>42610.734085648146</v>
      </c>
      <c r="F183" s="15">
        <v>42610.735763888886</v>
      </c>
      <c r="G183" s="7">
        <v>1</v>
      </c>
      <c r="H183" s="15" t="s">
        <v>609</v>
      </c>
      <c r="I183" s="15">
        <v>42610.748553240737</v>
      </c>
      <c r="J183" s="7">
        <v>0</v>
      </c>
      <c r="K183" s="132" t="str">
        <f t="shared" si="130"/>
        <v>4009/4010</v>
      </c>
      <c r="L183" s="24" t="str">
        <f>VLOOKUP(A183,'Trips&amp;Operators'!$C$1:$E$10000,3,FALSE)</f>
        <v>ISHMAEL</v>
      </c>
      <c r="M183" s="6">
        <f t="shared" si="131"/>
        <v>1.2789351851097308E-2</v>
      </c>
      <c r="N183" s="7">
        <f t="shared" si="132"/>
        <v>18.416666665580124</v>
      </c>
      <c r="O183" s="7"/>
      <c r="P183" s="7"/>
      <c r="Q183" s="25"/>
      <c r="R183" s="25"/>
      <c r="S183" s="37">
        <f t="shared" si="133"/>
        <v>1</v>
      </c>
      <c r="T183" s="52" t="str">
        <f t="shared" si="134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16:37:05-0600',mode:absolute,to:'2016-08-28 18:57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3" s="54" t="str">
        <f t="shared" si="136"/>
        <v>N</v>
      </c>
      <c r="X183" s="120">
        <f t="shared" si="137"/>
        <v>1</v>
      </c>
      <c r="Y183" s="69">
        <f t="shared" si="138"/>
        <v>5.8638000000000003</v>
      </c>
      <c r="Z183" s="69">
        <f t="shared" si="139"/>
        <v>6.7299999999999999E-2</v>
      </c>
      <c r="AA183" s="69">
        <f t="shared" si="140"/>
        <v>5.7965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141"/>
        <v>1824-28</v>
      </c>
      <c r="AE183" s="99" t="str">
        <f t="shared" si="142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83" s="96" t="str">
        <f t="shared" si="143"/>
        <v>"C:\Program Files (x86)\AstroGrep\AstroGrep.exe" /spath="%USERPROFILE%\AppData\Local\Temp\OnboardLogs" /stypes="*4010*20160828*" /stext=" 23:.+((SYSTEM_STATE.+slice.+state.+changed )|(ment ac)|(system.+state.+changed )|(\|lc)|(penalty)|(\[timeout)|(PRM\|1\|D)|(kpr)|(kdp))" /e /r /s</v>
      </c>
      <c r="AG183" s="1" t="str">
        <f t="shared" si="144"/>
        <v>NW</v>
      </c>
      <c r="AH183" s="100" t="str">
        <f t="shared" si="113"/>
        <v>"%USERPROFILE%\Documents\GitHub\eaglep3\Utilities\RefineRTDCRunTimes.py" --tripid 1824-28 --locoid 4010 --swversion DE.1.0.7.0 --startMP 300:58638 --initTime 2016-08-28T17:37:05 --startdatetime 2016-08-28T17:39:30 --delay 1 --endMP 204:673 --enddatetime 2016-08-28T17:57:55 --enforcementcount 0 &gt;&gt;C:\Users\stu\Documents\GitHub\eaglep3-reporting\EC\2016-08-28-refined-times.txt</v>
      </c>
      <c r="AI183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{"issue":{"subject":"","project_id":79,"tracker_id":40,"status_id":1,"priority_id":2,"assigned_to_id":23,"start_date":"2016-08-28","description":"","custom_fields":[{"id":1,"name":"Subdivision","value":"NW"},{"id":4,"name":"Milepost","value":"5.7965"},{"id":17,"name":"Train ID","value":"1824-28"},{"id":16,"name":"Locomotive ID","value":"4010"},{"id":130,"name":"Impact","value":""},{"id":150,"name":"Time of Event (Mountain Time)","value":"17:57:55"},{"id":151,"name":"Denver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503</v>
      </c>
      <c r="B184" s="7">
        <v>4009</v>
      </c>
      <c r="C184" s="24" t="s">
        <v>113</v>
      </c>
      <c r="D184" s="24" t="s">
        <v>612</v>
      </c>
      <c r="E184" s="15">
        <v>42610.760763888888</v>
      </c>
      <c r="F184" s="15">
        <v>42610.764756944445</v>
      </c>
      <c r="G184" s="7">
        <v>1</v>
      </c>
      <c r="H184" s="15" t="s">
        <v>613</v>
      </c>
      <c r="I184" s="15">
        <v>42610.774317129632</v>
      </c>
      <c r="J184" s="7">
        <v>0</v>
      </c>
      <c r="K184" s="132" t="str">
        <f t="shared" si="130"/>
        <v>4009/4010</v>
      </c>
      <c r="L184" s="24" t="str">
        <f>VLOOKUP(A184,'Trips&amp;Operators'!$C$1:$E$10000,3,FALSE)</f>
        <v>ISHMAEL</v>
      </c>
      <c r="M184" s="6">
        <f t="shared" si="131"/>
        <v>9.560185186273884E-3</v>
      </c>
      <c r="N184" s="7">
        <f t="shared" si="132"/>
        <v>13.766666668234393</v>
      </c>
      <c r="O184" s="7"/>
      <c r="P184" s="7"/>
      <c r="Q184" s="25"/>
      <c r="R184" s="25"/>
      <c r="S184" s="37">
        <f t="shared" si="133"/>
        <v>1</v>
      </c>
      <c r="T184" s="52" t="str">
        <f t="shared" si="134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17:15:30-0600',mode:absolute,to:'2016-08-28 19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4" s="54" t="str">
        <f t="shared" si="136"/>
        <v>N</v>
      </c>
      <c r="X184" s="120">
        <f t="shared" si="137"/>
        <v>1</v>
      </c>
      <c r="Y184" s="69">
        <f t="shared" si="138"/>
        <v>9.69E-2</v>
      </c>
      <c r="Z184" s="69">
        <f t="shared" si="139"/>
        <v>5.8964999999999996</v>
      </c>
      <c r="AA184" s="69">
        <f t="shared" si="140"/>
        <v>5.7995999999999999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141"/>
        <v>1825-28</v>
      </c>
      <c r="AE184" s="99" t="str">
        <f t="shared" si="142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84" s="96" t="str">
        <f t="shared" si="143"/>
        <v>"C:\Program Files (x86)\AstroGrep\AstroGrep.exe" /spath="%USERPROFILE%\AppData\Local\Temp\OnboardLogs" /stypes="*4009*20160829*" /stext=" 00:.+((SYSTEM_STATE.+slice.+state.+changed )|(ment ac)|(system.+state.+changed )|(\|lc)|(penalty)|(\[timeout)|(PRM\|1\|D)|(kpr)|(kdp))" /e /r /s</v>
      </c>
      <c r="AG184" s="1" t="str">
        <f t="shared" si="144"/>
        <v>NW</v>
      </c>
      <c r="AH184" s="100" t="str">
        <f t="shared" si="113"/>
        <v>"%USERPROFILE%\Documents\GitHub\eaglep3\Utilities\RefineRTDCRunTimes.py" --tripid 1825-28 --locoid 4009 --swversion DE.1.0.7.0 --startMP 204:969 --initTime 2016-08-28T18:15:30 --startdatetime 2016-08-28T18:21:15 --delay 1 --endMP 300:58965 --enddatetime 2016-08-28T18:35:01 --enforcementcount 0 &gt;&gt;C:\Users\stu\Documents\GitHub\eaglep3-reporting\EC\2016-08-28-refined-times.txt</v>
      </c>
      <c r="AI184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{"issue":{"subject":"","project_id":79,"tracker_id":40,"status_id":1,"priority_id":2,"assigned_to_id":23,"start_date":"2016-08-28","description":"","custom_fields":[{"id":1,"name":"Subdivision","value":"NW"},{"id":4,"name":"Milepost","value":"5.7996"},{"id":17,"name":"Train ID","value":"1825-28"},{"id":16,"name":"Locomotive ID","value":"4009"},{"id":130,"name":"Impact","value":""},{"id":150,"name":"Time of Event (Mountain Time)","value":"18:35:01"},{"id":151,"name":"Denver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506</v>
      </c>
      <c r="B185" s="7">
        <v>4010</v>
      </c>
      <c r="C185" s="24" t="s">
        <v>113</v>
      </c>
      <c r="D185" s="24" t="s">
        <v>614</v>
      </c>
      <c r="E185" s="15">
        <v>42610.775752314818</v>
      </c>
      <c r="F185" s="15">
        <v>42610.777118055557</v>
      </c>
      <c r="G185" s="7">
        <v>1</v>
      </c>
      <c r="H185" s="15" t="s">
        <v>615</v>
      </c>
      <c r="I185" s="15">
        <v>42610.788310185184</v>
      </c>
      <c r="J185" s="7">
        <v>0</v>
      </c>
      <c r="K185" s="132" t="str">
        <f t="shared" si="130"/>
        <v>4009/4010</v>
      </c>
      <c r="L185" s="24" t="str">
        <f>VLOOKUP(A185,'Trips&amp;Operators'!$C$1:$E$10000,3,FALSE)</f>
        <v>ISHMAEL</v>
      </c>
      <c r="M185" s="6">
        <f t="shared" si="131"/>
        <v>1.1192129626579117E-2</v>
      </c>
      <c r="N185" s="7">
        <f t="shared" si="132"/>
        <v>16.116666662273929</v>
      </c>
      <c r="O185" s="7"/>
      <c r="P185" s="7"/>
      <c r="Q185" s="25"/>
      <c r="R185" s="25"/>
      <c r="S185" s="37">
        <f t="shared" si="133"/>
        <v>1</v>
      </c>
      <c r="T185" s="52" t="str">
        <f t="shared" si="134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17:37:05-0600',mode:absolute,to:'2016-08-28 19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5" s="54" t="str">
        <f t="shared" si="136"/>
        <v>N</v>
      </c>
      <c r="X185" s="120">
        <f t="shared" si="137"/>
        <v>1</v>
      </c>
      <c r="Y185" s="69">
        <f t="shared" si="138"/>
        <v>5.8644999999999996</v>
      </c>
      <c r="Z185" s="69">
        <f t="shared" si="139"/>
        <v>6.7500000000000004E-2</v>
      </c>
      <c r="AA185" s="69">
        <f t="shared" si="140"/>
        <v>5.7969999999999997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141"/>
        <v>1826-28</v>
      </c>
      <c r="AE185" s="99" t="str">
        <f t="shared" si="142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85" s="96" t="str">
        <f t="shared" si="143"/>
        <v>"C:\Program Files (x86)\AstroGrep\AstroGrep.exe" /spath="%USERPROFILE%\AppData\Local\Temp\OnboardLogs" /stypes="*4010*20160829*" /stext=" 00:.+((SYSTEM_STATE.+slice.+state.+changed )|(ment ac)|(system.+state.+changed )|(\|lc)|(penalty)|(\[timeout)|(PRM\|1\|D)|(kpr)|(kdp))" /e /r /s</v>
      </c>
      <c r="AG185" s="1" t="str">
        <f t="shared" si="144"/>
        <v>NW</v>
      </c>
      <c r="AH185" s="100" t="str">
        <f t="shared" si="113"/>
        <v>"%USERPROFILE%\Documents\GitHub\eaglep3\Utilities\RefineRTDCRunTimes.py" --tripid 1826-28 --locoid 4010 --swversion DE.1.0.7.0 --startMP 300:58645 --initTime 2016-08-28T18:37:05 --startdatetime 2016-08-28T18:39:03 --delay 1 --endMP 204:675 --enddatetime 2016-08-28T18:55:10 --enforcementcount 0 &gt;&gt;C:\Users\stu\Documents\GitHub\eaglep3-reporting\EC\2016-08-28-refined-times.txt</v>
      </c>
      <c r="AI185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{"issue":{"subject":"","project_id":79,"tracker_id":40,"status_id":1,"priority_id":2,"assigned_to_id":23,"start_date":"2016-08-28","description":"","custom_fields":[{"id":1,"name":"Subdivision","value":"NW"},{"id":4,"name":"Milepost","value":"5.797"},{"id":17,"name":"Train ID","value":"1826-28"},{"id":16,"name":"Locomotive ID","value":"4010"},{"id":130,"name":"Impact","value":""},{"id":150,"name":"Time of Event (Mountain Time)","value":"18:55:10"},{"id":151,"name":"Denver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511</v>
      </c>
      <c r="B186" s="7">
        <v>4009</v>
      </c>
      <c r="C186" s="24" t="s">
        <v>113</v>
      </c>
      <c r="D186" s="24" t="s">
        <v>616</v>
      </c>
      <c r="E186" s="15">
        <v>42610.801423611112</v>
      </c>
      <c r="F186" s="15">
        <v>42610.806643518517</v>
      </c>
      <c r="G186" s="7">
        <v>0</v>
      </c>
      <c r="H186" s="15" t="s">
        <v>313</v>
      </c>
      <c r="I186" s="15">
        <v>42610.816608796296</v>
      </c>
      <c r="J186" s="7">
        <v>0</v>
      </c>
      <c r="K186" s="132" t="str">
        <f t="shared" si="130"/>
        <v>4009/4010</v>
      </c>
      <c r="L186" s="24" t="str">
        <f>VLOOKUP(A186,'Trips&amp;Operators'!$C$1:$E$10000,3,FALSE)</f>
        <v>ISHMAEL</v>
      </c>
      <c r="M186" s="6">
        <f t="shared" si="131"/>
        <v>9.9652777789742686E-3</v>
      </c>
      <c r="N186" s="7">
        <f t="shared" si="132"/>
        <v>14.350000001722947</v>
      </c>
      <c r="O186" s="7"/>
      <c r="P186" s="7"/>
      <c r="Q186" s="25"/>
      <c r="R186" s="25"/>
      <c r="S186" s="37">
        <f t="shared" si="133"/>
        <v>1</v>
      </c>
      <c r="T186" s="52" t="str">
        <f t="shared" si="134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18:14:03-0600',mode:absolute,to:'2016-08-28 20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6" s="54" t="str">
        <f t="shared" si="136"/>
        <v>N</v>
      </c>
      <c r="X186" s="120">
        <f t="shared" si="137"/>
        <v>1</v>
      </c>
      <c r="Y186" s="69">
        <f t="shared" si="138"/>
        <v>9.7199999999999995E-2</v>
      </c>
      <c r="Z186" s="69">
        <f t="shared" si="139"/>
        <v>5.8952</v>
      </c>
      <c r="AA186" s="69">
        <f t="shared" si="140"/>
        <v>5.798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141"/>
        <v>1827-28</v>
      </c>
      <c r="AE186" s="99" t="str">
        <f t="shared" si="142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86" s="96" t="str">
        <f t="shared" si="143"/>
        <v>"C:\Program Files (x86)\AstroGrep\AstroGrep.exe" /spath="%USERPROFILE%\AppData\Local\Temp\OnboardLogs" /stypes="*4009*20160829*" /stext=" 01:.+((SYSTEM_STATE.+slice.+state.+changed )|(ment ac)|(system.+state.+changed )|(\|lc)|(penalty)|(\[timeout)|(PRM\|1\|D)|(kpr)|(kdp))" /e /r /s</v>
      </c>
      <c r="AG186" s="1" t="str">
        <f t="shared" si="144"/>
        <v>NW</v>
      </c>
      <c r="AH186" s="100" t="str">
        <f t="shared" si="113"/>
        <v>"%USERPROFILE%\Documents\GitHub\eaglep3\Utilities\RefineRTDCRunTimes.py" --tripid 1827-28 --locoid 4009 --swversion DE.1.0.7.0 --startMP 204:972 --initTime 2016-08-28T19:14:03 --startdatetime 2016-08-28T19:21:34 --delay 0 --endMP 300:58952 --enddatetime 2016-08-28T19:35:55 --enforcementcount 0 &gt;&gt;C:\Users\stu\Documents\GitHub\eaglep3-reporting\EC\2016-08-28-refined-times.txt</v>
      </c>
      <c r="AI186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{"issue":{"subject":"","project_id":79,"tracker_id":40,"status_id":1,"priority_id":2,"assigned_to_id":23,"start_date":"2016-08-28","description":"","custom_fields":[{"id":1,"name":"Subdivision","value":"NW"},{"id":4,"name":"Milepost","value":"5.798"},{"id":17,"name":"Train ID","value":"1827-28"},{"id":16,"name":"Locomotive ID","value":"4009"},{"id":130,"name":"Impact","value":""},{"id":150,"name":"Time of Event (Mountain Time)","value":"19:35:55"},{"id":151,"name":"Denver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516</v>
      </c>
      <c r="B187" s="7">
        <v>4010</v>
      </c>
      <c r="C187" s="24" t="s">
        <v>113</v>
      </c>
      <c r="D187" s="24" t="s">
        <v>294</v>
      </c>
      <c r="E187" s="15">
        <v>42610.818842592591</v>
      </c>
      <c r="F187" s="15">
        <v>42610.820960648147</v>
      </c>
      <c r="G187" s="7">
        <v>1</v>
      </c>
      <c r="H187" s="15" t="s">
        <v>617</v>
      </c>
      <c r="I187" s="15">
        <v>42610.832442129627</v>
      </c>
      <c r="J187" s="7">
        <v>0</v>
      </c>
      <c r="K187" s="132" t="str">
        <f t="shared" si="130"/>
        <v>4009/4010</v>
      </c>
      <c r="L187" s="24" t="str">
        <f>VLOOKUP(A187,'Trips&amp;Operators'!$C$1:$E$10000,3,FALSE)</f>
        <v>ISHMAEL</v>
      </c>
      <c r="M187" s="6">
        <f t="shared" si="131"/>
        <v>1.1481481480586808E-2</v>
      </c>
      <c r="N187" s="7">
        <f t="shared" si="132"/>
        <v>16.533333332045004</v>
      </c>
      <c r="O187" s="7"/>
      <c r="P187" s="7"/>
      <c r="Q187" s="25"/>
      <c r="R187" s="25"/>
      <c r="S187" s="37">
        <f t="shared" si="133"/>
        <v>1</v>
      </c>
      <c r="T187" s="52" t="str">
        <f t="shared" si="134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18:39:08-0600',mode:absolute,to:'2016-08-28 20:58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7" s="54" t="str">
        <f t="shared" si="136"/>
        <v>N</v>
      </c>
      <c r="X187" s="120">
        <f t="shared" si="137"/>
        <v>1</v>
      </c>
      <c r="Y187" s="69">
        <f t="shared" si="138"/>
        <v>5.8635999999999999</v>
      </c>
      <c r="Z187" s="69">
        <f t="shared" si="139"/>
        <v>6.9599999999999995E-2</v>
      </c>
      <c r="AA187" s="69">
        <f t="shared" si="140"/>
        <v>5.7939999999999996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141"/>
        <v>1828-28</v>
      </c>
      <c r="AE187" s="99" t="str">
        <f t="shared" si="142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87" s="96" t="str">
        <f t="shared" si="143"/>
        <v>"C:\Program Files (x86)\AstroGrep\AstroGrep.exe" /spath="%USERPROFILE%\AppData\Local\Temp\OnboardLogs" /stypes="*4010*20160829*" /stext=" 01:.+((SYSTEM_STATE.+slice.+state.+changed )|(ment ac)|(system.+state.+changed )|(\|lc)|(penalty)|(\[timeout)|(PRM\|1\|D)|(kpr)|(kdp))" /e /r /s</v>
      </c>
      <c r="AG187" s="1" t="str">
        <f t="shared" si="144"/>
        <v>NW</v>
      </c>
      <c r="AH187" s="100" t="str">
        <f t="shared" si="113"/>
        <v>"%USERPROFILE%\Documents\GitHub\eaglep3\Utilities\RefineRTDCRunTimes.py" --tripid 1828-28 --locoid 4010 --swversion DE.1.0.7.0 --startMP 300:58636 --initTime 2016-08-28T19:39:08 --startdatetime 2016-08-28T19:42:11 --delay 1 --endMP 204:696 --enddatetime 2016-08-28T19:58:43 --enforcementcount 0 &gt;&gt;C:\Users\stu\Documents\GitHub\eaglep3-reporting\EC\2016-08-28-refined-times.txt</v>
      </c>
      <c r="AI187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{"issue":{"subject":"","project_id":79,"tracker_id":40,"status_id":1,"priority_id":2,"assigned_to_id":23,"start_date":"2016-08-28","description":"","custom_fields":[{"id":1,"name":"Subdivision","value":"NW"},{"id":4,"name":"Milepost","value":"5.794"},{"id":17,"name":"Train ID","value":"1828-28"},{"id":16,"name":"Locomotive ID","value":"4010"},{"id":130,"name":"Impact","value":""},{"id":150,"name":"Time of Event (Mountain Time)","value":"19:58:43"},{"id":151,"name":"Denver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515</v>
      </c>
      <c r="B188" s="7">
        <v>4009</v>
      </c>
      <c r="C188" s="24" t="s">
        <v>113</v>
      </c>
      <c r="D188" s="24" t="s">
        <v>618</v>
      </c>
      <c r="E188" s="15">
        <v>42610.842175925929</v>
      </c>
      <c r="F188" s="15">
        <v>42610.848194444443</v>
      </c>
      <c r="G188" s="7">
        <v>1</v>
      </c>
      <c r="H188" s="15" t="s">
        <v>619</v>
      </c>
      <c r="I188" s="15">
        <v>42610.858425925922</v>
      </c>
      <c r="J188" s="7">
        <v>0</v>
      </c>
      <c r="K188" s="132" t="str">
        <f t="shared" si="130"/>
        <v>4009/4010</v>
      </c>
      <c r="L188" s="24" t="str">
        <f>VLOOKUP(A188,'Trips&amp;Operators'!$C$1:$E$10000,3,FALSE)</f>
        <v>ISHMAEL</v>
      </c>
      <c r="M188" s="6">
        <f t="shared" si="131"/>
        <v>1.0231481479422655E-2</v>
      </c>
      <c r="N188" s="7">
        <f t="shared" si="132"/>
        <v>14.733333330368623</v>
      </c>
      <c r="O188" s="7"/>
      <c r="P188" s="7"/>
      <c r="Q188" s="25"/>
      <c r="R188" s="25"/>
      <c r="S188" s="37">
        <f t="shared" si="133"/>
        <v>1</v>
      </c>
      <c r="T188" s="52" t="str">
        <f t="shared" si="134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19:12:44-0600',mode:absolute,to:'2016-08-28 21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8" s="54" t="str">
        <f t="shared" si="136"/>
        <v>N</v>
      </c>
      <c r="X188" s="120">
        <f t="shared" si="137"/>
        <v>1</v>
      </c>
      <c r="Y188" s="69">
        <f t="shared" si="138"/>
        <v>9.6500000000000002E-2</v>
      </c>
      <c r="Z188" s="69">
        <f t="shared" si="139"/>
        <v>5.8987999999999996</v>
      </c>
      <c r="AA188" s="69">
        <f t="shared" si="140"/>
        <v>5.8022999999999998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141"/>
        <v>1829-28</v>
      </c>
      <c r="AE188" s="99" t="str">
        <f t="shared" si="142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88" s="96" t="str">
        <f t="shared" si="143"/>
        <v>"C:\Program Files (x86)\AstroGrep\AstroGrep.exe" /spath="%USERPROFILE%\AppData\Local\Temp\OnboardLogs" /stypes="*4009*20160829*" /stext=" 02:.+((SYSTEM_STATE.+slice.+state.+changed )|(ment ac)|(system.+state.+changed )|(\|lc)|(penalty)|(\[timeout)|(PRM\|1\|D)|(kpr)|(kdp))" /e /r /s</v>
      </c>
      <c r="AG188" s="1" t="str">
        <f t="shared" si="144"/>
        <v>NW</v>
      </c>
      <c r="AH188" s="100" t="str">
        <f t="shared" si="113"/>
        <v>"%USERPROFILE%\Documents\GitHub\eaglep3\Utilities\RefineRTDCRunTimes.py" --tripid 1829-28 --locoid 4009 --swversion DE.1.0.7.0 --startMP 204:965 --initTime 2016-08-28T20:12:44 --startdatetime 2016-08-28T20:21:24 --delay 1 --endMP 300:58988 --enddatetime 2016-08-28T20:36:08 --enforcementcount 0 &gt;&gt;C:\Users\stu\Documents\GitHub\eaglep3-reporting\EC\2016-08-28-refined-times.txt</v>
      </c>
      <c r="AI188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{"issue":{"subject":"","project_id":79,"tracker_id":40,"status_id":1,"priority_id":2,"assigned_to_id":23,"start_date":"2016-08-28","description":"","custom_fields":[{"id":1,"name":"Subdivision","value":"NW"},{"id":4,"name":"Milepost","value":"5.8023"},{"id":17,"name":"Train ID","value":"1829-28"},{"id":16,"name":"Locomotive ID","value":"4009"},{"id":130,"name":"Impact","value":""},{"id":150,"name":"Time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522</v>
      </c>
      <c r="B189" s="7">
        <v>4010</v>
      </c>
      <c r="C189" s="24" t="s">
        <v>113</v>
      </c>
      <c r="D189" s="24" t="s">
        <v>620</v>
      </c>
      <c r="E189" s="15">
        <v>42610.8594212963</v>
      </c>
      <c r="F189" s="15">
        <v>42610.861828703702</v>
      </c>
      <c r="G189" s="7">
        <v>2</v>
      </c>
      <c r="H189" s="15" t="s">
        <v>621</v>
      </c>
      <c r="I189" s="15">
        <v>42610.871921296297</v>
      </c>
      <c r="J189" s="7">
        <v>0</v>
      </c>
      <c r="K189" s="132" t="str">
        <f t="shared" si="130"/>
        <v>4009/4010</v>
      </c>
      <c r="L189" s="24" t="str">
        <f>VLOOKUP(A189,'Trips&amp;Operators'!$C$1:$E$10000,3,FALSE)</f>
        <v>ISHMAEL</v>
      </c>
      <c r="M189" s="6">
        <f t="shared" si="131"/>
        <v>1.0092592594446614E-2</v>
      </c>
      <c r="N189" s="7">
        <f t="shared" si="132"/>
        <v>14.533333336003125</v>
      </c>
      <c r="O189" s="7"/>
      <c r="P189" s="7"/>
      <c r="Q189" s="25"/>
      <c r="R189" s="25"/>
      <c r="S189" s="37">
        <f t="shared" si="133"/>
        <v>1</v>
      </c>
      <c r="T189" s="52" t="str">
        <f t="shared" si="134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19:37:34-0600',mode:absolute,to:'2016-08-28 21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9" s="54" t="str">
        <f t="shared" si="136"/>
        <v>N</v>
      </c>
      <c r="X189" s="120">
        <f t="shared" si="137"/>
        <v>1</v>
      </c>
      <c r="Y189" s="69">
        <f t="shared" si="138"/>
        <v>5.8676000000000004</v>
      </c>
      <c r="Z189" s="69">
        <f t="shared" si="139"/>
        <v>6.8000000000000005E-2</v>
      </c>
      <c r="AA189" s="69">
        <f t="shared" si="140"/>
        <v>5.7996000000000008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141"/>
        <v>1830-28</v>
      </c>
      <c r="AE189" s="99" t="str">
        <f t="shared" si="142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89" s="96" t="str">
        <f t="shared" si="143"/>
        <v>"C:\Program Files (x86)\AstroGrep\AstroGrep.exe" /spath="%USERPROFILE%\AppData\Local\Temp\OnboardLogs" /stypes="*4010*20160829*" /stext=" 02:.+((SYSTEM_STATE.+slice.+state.+changed )|(ment ac)|(system.+state.+changed )|(\|lc)|(penalty)|(\[timeout)|(PRM\|1\|D)|(kpr)|(kdp))" /e /r /s</v>
      </c>
      <c r="AG189" s="1" t="str">
        <f t="shared" si="144"/>
        <v>NW</v>
      </c>
      <c r="AH189" s="100" t="str">
        <f t="shared" si="113"/>
        <v>"%USERPROFILE%\Documents\GitHub\eaglep3\Utilities\RefineRTDCRunTimes.py" --tripid 1830-28 --locoid 4010 --swversion DE.1.0.7.0 --startMP 300:58676 --initTime 2016-08-28T20:37:34 --startdatetime 2016-08-28T20:41:02 --delay 2 --endMP 204:680 --enddatetime 2016-08-28T20:55:34 --enforcementcount 0 &gt;&gt;C:\Users\stu\Documents\GitHub\eaglep3-reporting\EC\2016-08-28-refined-times.txt</v>
      </c>
      <c r="AI189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{"issue":{"subject":"","project_id":79,"tracker_id":40,"status_id":1,"priority_id":2,"assigned_to_id":23,"start_date":"2016-08-28","description":"","custom_fields":[{"id":1,"name":"Subdivision","value":"NW"},{"id":4,"name":"Milepost","value":"5.7996"},{"id":17,"name":"Train ID","value":"1830-28"},{"id":16,"name":"Locomotive ID","value":"4010"},{"id":130,"name":"Impact","value":""},{"id":150,"name":"Time of Event (Mountain Time)","value":"20:55:34"},{"id":151,"name":"Denver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374</v>
      </c>
      <c r="B190" s="7">
        <v>4009</v>
      </c>
      <c r="C190" s="24" t="s">
        <v>113</v>
      </c>
      <c r="D190" s="24" t="s">
        <v>616</v>
      </c>
      <c r="E190" s="15">
        <v>42610.88652777778</v>
      </c>
      <c r="F190" s="15">
        <v>42610.889791666668</v>
      </c>
      <c r="G190" s="7">
        <v>1</v>
      </c>
      <c r="H190" s="15" t="s">
        <v>622</v>
      </c>
      <c r="I190" s="15">
        <v>42610.899340277778</v>
      </c>
      <c r="J190" s="7">
        <v>0</v>
      </c>
      <c r="K190" s="132" t="str">
        <f t="shared" si="130"/>
        <v>4009/4010</v>
      </c>
      <c r="L190" s="24" t="str">
        <f>VLOOKUP(A190,'Trips&amp;Operators'!$C$1:$E$10000,3,FALSE)</f>
        <v>ISHMAEL</v>
      </c>
      <c r="M190" s="6">
        <f t="shared" si="131"/>
        <v>9.5486111094942316E-3</v>
      </c>
      <c r="N190" s="7">
        <f t="shared" si="132"/>
        <v>13.749999997671694</v>
      </c>
      <c r="O190" s="7"/>
      <c r="P190" s="7"/>
      <c r="Q190" s="25"/>
      <c r="R190" s="25"/>
      <c r="S190" s="37">
        <f t="shared" si="133"/>
        <v>1</v>
      </c>
      <c r="T190" s="52" t="str">
        <f t="shared" si="134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20:16:36-0600',mode:absolute,to:'2016-08-28 22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0" s="54" t="str">
        <f t="shared" si="136"/>
        <v>N</v>
      </c>
      <c r="X190" s="120">
        <f t="shared" si="137"/>
        <v>1</v>
      </c>
      <c r="Y190" s="69">
        <f t="shared" si="138"/>
        <v>9.7199999999999995E-2</v>
      </c>
      <c r="Z190" s="69">
        <f t="shared" si="139"/>
        <v>5.8996000000000004</v>
      </c>
      <c r="AA190" s="69">
        <f t="shared" si="140"/>
        <v>5.8024000000000004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141"/>
        <v>1831-28</v>
      </c>
      <c r="AE190" s="99" t="str">
        <f t="shared" si="142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90" s="96" t="str">
        <f t="shared" si="143"/>
        <v>"C:\Program Files (x86)\AstroGrep\AstroGrep.exe" /spath="%USERPROFILE%\AppData\Local\Temp\OnboardLogs" /stypes="*4009*20160829*" /stext=" 03:.+((SYSTEM_STATE.+slice.+state.+changed )|(ment ac)|(system.+state.+changed )|(\|lc)|(penalty)|(\[timeout)|(PRM\|1\|D)|(kpr)|(kdp))" /e /r /s</v>
      </c>
      <c r="AG190" s="1" t="str">
        <f t="shared" si="144"/>
        <v>NW</v>
      </c>
      <c r="AH190" s="100" t="str">
        <f t="shared" si="113"/>
        <v>"%USERPROFILE%\Documents\GitHub\eaglep3\Utilities\RefineRTDCRunTimes.py" --tripid 1831-28 --locoid 4009 --swversion DE.1.0.7.0 --startMP 204:972 --initTime 2016-08-28T21:16:36 --startdatetime 2016-08-28T21:21:18 --delay 1 --endMP 300:58996 --enddatetime 2016-08-28T21:35:03 --enforcementcount 0 &gt;&gt;C:\Users\stu\Documents\GitHub\eaglep3-reporting\EC\2016-08-28-refined-times.txt</v>
      </c>
      <c r="AI190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{"issue":{"subject":"","project_id":79,"tracker_id":40,"status_id":1,"priority_id":2,"assigned_to_id":23,"start_date":"2016-08-28","description":"","custom_fields":[{"id":1,"name":"Subdivision","value":"NW"},{"id":4,"name":"Milepost","value":"5.8024"},{"id":17,"name":"Train ID","value":"1831-28"},{"id":16,"name":"Locomotive ID","value":"4009"},{"id":130,"name":"Impact","value":""},{"id":150,"name":"Time of Event (Mountain Time)","value":"21:35:03"},{"id":151,"name":"Denver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526</v>
      </c>
      <c r="B191" s="7">
        <v>4010</v>
      </c>
      <c r="C191" s="24" t="s">
        <v>113</v>
      </c>
      <c r="D191" s="24" t="s">
        <v>623</v>
      </c>
      <c r="E191" s="15">
        <v>42610.900254629632</v>
      </c>
      <c r="F191" s="15">
        <v>42610.901689814818</v>
      </c>
      <c r="G191" s="7">
        <v>1</v>
      </c>
      <c r="H191" s="15" t="s">
        <v>624</v>
      </c>
      <c r="I191" s="15">
        <v>42610.913449074076</v>
      </c>
      <c r="J191" s="7">
        <v>0</v>
      </c>
      <c r="K191" s="132" t="str">
        <f t="shared" si="130"/>
        <v>4009/4010</v>
      </c>
      <c r="L191" s="24" t="str">
        <f>VLOOKUP(A191,'Trips&amp;Operators'!$C$1:$E$10000,3,FALSE)</f>
        <v>ISHMAEL</v>
      </c>
      <c r="M191" s="6">
        <f t="shared" si="131"/>
        <v>1.1759259257814847E-2</v>
      </c>
      <c r="N191" s="7">
        <f t="shared" si="132"/>
        <v>16.93333333125338</v>
      </c>
      <c r="O191" s="7"/>
      <c r="P191" s="7"/>
      <c r="Q191" s="25"/>
      <c r="R191" s="25"/>
      <c r="S191" s="37">
        <f t="shared" si="133"/>
        <v>1</v>
      </c>
      <c r="T191" s="52" t="str">
        <f t="shared" si="134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20:36:22-0600',mode:absolute,to:'2016-08-28 22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91" s="54" t="str">
        <f t="shared" si="136"/>
        <v>N</v>
      </c>
      <c r="X191" s="120">
        <f t="shared" si="137"/>
        <v>1</v>
      </c>
      <c r="Y191" s="69">
        <f t="shared" si="138"/>
        <v>5.8678999999999997</v>
      </c>
      <c r="Z191" s="69">
        <f t="shared" si="139"/>
        <v>6.8500000000000005E-2</v>
      </c>
      <c r="AA191" s="69">
        <f t="shared" si="140"/>
        <v>5.7993999999999994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141"/>
        <v>1832-28</v>
      </c>
      <c r="AE191" s="99" t="str">
        <f t="shared" si="142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91" s="96" t="str">
        <f t="shared" si="143"/>
        <v>"C:\Program Files (x86)\AstroGrep\AstroGrep.exe" /spath="%USERPROFILE%\AppData\Local\Temp\OnboardLogs" /stypes="*4010*20160829*" /stext=" 03:.+((SYSTEM_STATE.+slice.+state.+changed )|(ment ac)|(system.+state.+changed )|(\|lc)|(penalty)|(\[timeout)|(PRM\|1\|D)|(kpr)|(kdp))" /e /r /s</v>
      </c>
      <c r="AG191" s="1" t="str">
        <f t="shared" si="144"/>
        <v>NW</v>
      </c>
      <c r="AH191" s="100" t="str">
        <f t="shared" si="113"/>
        <v>"%USERPROFILE%\Documents\GitHub\eaglep3\Utilities\RefineRTDCRunTimes.py" --tripid 1832-28 --locoid 4010 --swversion DE.1.0.7.0 --startMP 300:58679 --initTime 2016-08-28T21:36:22 --startdatetime 2016-08-28T21:38:26 --delay 1 --endMP 204:685 --enddatetime 2016-08-28T21:55:22 --enforcementcount 0 &gt;&gt;C:\Users\stu\Documents\GitHub\eaglep3-reporting\EC\2016-08-28-refined-times.txt</v>
      </c>
      <c r="AI191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{"issue":{"subject":"","project_id":79,"tracker_id":40,"status_id":1,"priority_id":2,"assigned_to_id":23,"start_date":"2016-08-28","description":"","custom_fields":[{"id":1,"name":"Subdivision","value":"NW"},{"id":4,"name":"Milepost","value":"5.7994"},{"id":17,"name":"Train ID","value":"1832-28"},{"id":16,"name":"Locomotive ID","value":"4010"},{"id":130,"name":"Impact","value":""},{"id":150,"name":"Time of Event (Mountain Time)","value":"21:55:22"},{"id":151,"name":"Denver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529</v>
      </c>
      <c r="B192" s="7">
        <v>4009</v>
      </c>
      <c r="C192" s="24" t="s">
        <v>113</v>
      </c>
      <c r="D192" s="24" t="s">
        <v>625</v>
      </c>
      <c r="E192" s="15">
        <v>42610.928078703706</v>
      </c>
      <c r="F192" s="15">
        <v>42610.931620370371</v>
      </c>
      <c r="G192" s="7">
        <v>1</v>
      </c>
      <c r="H192" s="15" t="s">
        <v>626</v>
      </c>
      <c r="I192" s="15">
        <v>42610.941458333335</v>
      </c>
      <c r="J192" s="7">
        <v>0</v>
      </c>
      <c r="K192" s="132" t="str">
        <f t="shared" si="130"/>
        <v>4009/4010</v>
      </c>
      <c r="L192" s="24" t="str">
        <f>VLOOKUP(A192,'Trips&amp;Operators'!$C$1:$E$10000,3,FALSE)</f>
        <v>ISHMAEL</v>
      </c>
      <c r="M192" s="6">
        <f t="shared" si="131"/>
        <v>9.8379629635019228E-3</v>
      </c>
      <c r="N192" s="7">
        <f t="shared" si="132"/>
        <v>14.166666667442769</v>
      </c>
      <c r="O192" s="7"/>
      <c r="P192" s="7"/>
      <c r="Q192" s="25"/>
      <c r="R192" s="25"/>
      <c r="S192" s="37">
        <f t="shared" si="133"/>
        <v>1</v>
      </c>
      <c r="T192" s="52" t="str">
        <f t="shared" si="134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21:16:26-0600',mode:absolute,to:'2016-08-28 23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2" s="54" t="str">
        <f t="shared" si="136"/>
        <v>N</v>
      </c>
      <c r="X192" s="120">
        <f t="shared" si="137"/>
        <v>1</v>
      </c>
      <c r="Y192" s="69">
        <f t="shared" si="138"/>
        <v>9.8500000000000004E-2</v>
      </c>
      <c r="Z192" s="69">
        <f t="shared" si="139"/>
        <v>5.8978000000000002</v>
      </c>
      <c r="AA192" s="69">
        <f t="shared" si="140"/>
        <v>5.7993000000000006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141"/>
        <v>1833-28</v>
      </c>
      <c r="AE192" s="99" t="str">
        <f t="shared" si="142"/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AF192" s="96" t="str">
        <f t="shared" si="143"/>
        <v>"C:\Program Files (x86)\AstroGrep\AstroGrep.exe" /spath="%USERPROFILE%\AppData\Local\Temp\OnboardLogs" /stypes="*4009*20160829*" /stext=" 04:.+((SYSTEM_STATE.+slice.+state.+changed )|(ment ac)|(system.+state.+changed )|(\|lc)|(penalty)|(\[timeout)|(PRM\|1\|D)|(kpr)|(kdp))" /e /r /s</v>
      </c>
      <c r="AG192" s="1" t="str">
        <f t="shared" si="144"/>
        <v>NW</v>
      </c>
      <c r="AH192" s="100" t="str">
        <f t="shared" si="113"/>
        <v>"%USERPROFILE%\Documents\GitHub\eaglep3\Utilities\RefineRTDCRunTimes.py" --tripid 1833-28 --locoid 4009 --swversion DE.1.0.7.0 --startMP 204:985 --initTime 2016-08-28T22:16:26 --startdatetime 2016-08-28T22:21:32 --delay 1 --endMP 300:58978 --enddatetime 2016-08-28T22:35:42 --enforcementcount 0 &gt;&gt;C:\Users\stu\Documents\GitHub\eaglep3-reporting\EC\2016-08-28-refined-times.txt</v>
      </c>
      <c r="AI192" s="149" t="str">
        <f t="shared" si="114"/>
        <v>echo {"issue":{"subject":"","project_id":79,"tracker_id":40,"status_id":1,"priority_id":2,"assigned_to_id":23,"start_date":"2016-08-28","description":"","custom_fields":[{"id":1,"name":"Subdivision","value":"NW"},{"id":4,"name":"Milepost","value":"5.7993"},{"id":17,"name":"Train ID","value":"1833-28"},{"id":16,"name":"Locomotive ID","value":"4009"},{"id":130,"name":"Impact","value":""},{"id":150,"name":"Time of Event (Mountain Time)","value":"22:35:42"},{"id":151,"name":"Denver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507</v>
      </c>
      <c r="B193" s="7">
        <v>4007</v>
      </c>
      <c r="C193" s="24" t="s">
        <v>113</v>
      </c>
      <c r="D193" s="24" t="s">
        <v>638</v>
      </c>
      <c r="E193" s="15">
        <v>42610.777465277781</v>
      </c>
      <c r="F193" s="15">
        <v>25568.958333333332</v>
      </c>
      <c r="G193" s="7">
        <v>1</v>
      </c>
      <c r="H193" s="15" t="s">
        <v>337</v>
      </c>
      <c r="I193" s="15">
        <v>25568.958333333332</v>
      </c>
      <c r="J193" s="7">
        <v>0</v>
      </c>
      <c r="K193" s="132" t="str">
        <f t="shared" si="130"/>
        <v>4007/4008</v>
      </c>
      <c r="L193" s="24" t="str">
        <f>VLOOKUP(A193,'Trips&amp;Operators'!$C$1:$E$10000,3,FALSE)</f>
        <v>MOSES</v>
      </c>
      <c r="M193" s="6">
        <f t="shared" si="131"/>
        <v>0</v>
      </c>
      <c r="N193" s="7">
        <f t="shared" si="132"/>
        <v>0</v>
      </c>
      <c r="O193" s="7"/>
      <c r="P193" s="7"/>
      <c r="Q193" s="25"/>
      <c r="R193" s="25"/>
      <c r="S193" s="37">
        <f t="shared" si="133"/>
        <v>1</v>
      </c>
      <c r="T193" s="52" t="str">
        <f t="shared" si="134"/>
        <v>NorthBound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17:39:33-0600',mode:absolute,to:'1970-01-01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3" s="54" t="str">
        <f t="shared" si="136"/>
        <v>Y</v>
      </c>
      <c r="X193" s="120">
        <f t="shared" si="137"/>
        <v>-1530</v>
      </c>
      <c r="Y193" s="69">
        <f t="shared" si="138"/>
        <v>4.4200000000000003E-2</v>
      </c>
      <c r="Z193" s="69">
        <f t="shared" si="139"/>
        <v>2.3311999999999999</v>
      </c>
      <c r="AA193" s="69">
        <f t="shared" si="140"/>
        <v>2.2869999999999999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141"/>
        <v>0303-28</v>
      </c>
      <c r="AE193" s="99" t="str">
        <f t="shared" si="142"/>
        <v>aws s3 cp s3://rtdc.mdm.uploadarchive/RTDC4007/1969-12-31/ "%USERPROFILE%\AppData\Local\Temp\OnboardLogs"\RTDC4007\1969-12-31 --recursive &amp; "%USERPROFILE%\Documents\GitHub\mrs-test-scripts\Headless Mode &amp; Sideloading\WalkAndUnGZ.bat" "%USERPROFILE%\AppData\Local\Temp\OnboardLogs"\RTDC4007\1969-12-31 &amp; aws s3 cp s3://rtdc.mdm.uploadarchive/RTDC4007/1970-01-01/ "%USERPROFILE%\AppData\Local\Temp\OnboardLogs"\RTDC4007\1970-01-01 --recursive &amp; "%USERPROFILE%\Documents\GitHub\mrs-test-scripts\Headless Mode &amp; Sideloading\WalkAndUnGZ.bat" "%USERPROFILE%\AppData\Local\Temp\OnboardLogs"\RTDC4007\1970-01-01</v>
      </c>
      <c r="AF193" s="96" t="str">
        <f t="shared" si="143"/>
        <v>"C:\Program Files (x86)\AstroGrep\AstroGrep.exe" /spath="%USERPROFILE%\AppData\Local\Temp\OnboardLogs" /stypes="*4007*19700101*" /stext=" 05:.+((SYSTEM_STATE.+slice.+state.+changed )|(ment ac)|(system.+state.+changed )|(\|lc)|(penalty)|(\[timeout)|(PRM\|1\|D)|(kpr)|(kdp))" /e /r /s</v>
      </c>
      <c r="AG193" s="1" t="str">
        <f t="shared" si="144"/>
        <v>Other</v>
      </c>
      <c r="AH193" s="100" t="str">
        <f t="shared" si="113"/>
        <v>"%USERPROFILE%\Documents\GitHub\eaglep3\Utilities\RefineRTDCRunTimes.py" --tripid 303-28 --locoid 4007 --swversion DE.1.0.7.0 --startMP 204:442 --initTime 2016-08-28T18:39:33 --startdatetime 1969-12-31T23:00:00 --delay 1 --endMP 300:23312 --enddatetime 1969-12-31T23:00:00 --enforcementcount 0 &gt;&gt;C:\Users\stu\Documents\GitHub\eaglep3-reporting\EC\2016-08-28-refined-times.txt</v>
      </c>
      <c r="AI193" s="149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{"issue":{"subject":"","project_id":79,"tracker_id":40,"status_id":1,"priority_id":2,"assigned_to_id":23,"start_date":"1969-12-31","description":"","custom_fields":[{"id":1,"name":"Subdivision","value":"Other"},{"id":4,"name":"Milepost","value":"2.287"},{"id":17,"name":"Train ID","value":"303-28"},{"id":16,"name":"Locomotive ID","value":"4007"},{"id":130,"name":"Impact","value":""},{"id":150,"name":"Time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514</v>
      </c>
      <c r="B194" s="7">
        <v>4014</v>
      </c>
      <c r="C194" s="24" t="s">
        <v>113</v>
      </c>
      <c r="D194" s="24" t="s">
        <v>281</v>
      </c>
      <c r="E194" s="15">
        <v>42610.817118055558</v>
      </c>
      <c r="F194" s="15">
        <v>25568.958333333332</v>
      </c>
      <c r="G194" s="7">
        <v>1</v>
      </c>
      <c r="H194" s="15" t="s">
        <v>334</v>
      </c>
      <c r="I194" s="15">
        <v>25568.958333333332</v>
      </c>
      <c r="J194" s="7">
        <v>0</v>
      </c>
      <c r="K194" s="132" t="str">
        <f t="shared" si="130"/>
        <v>4013/4014</v>
      </c>
      <c r="L194" s="24" t="str">
        <f>VLOOKUP(A194,'Trips&amp;Operators'!$C$1:$E$10000,3,FALSE)</f>
        <v>SHOOK</v>
      </c>
      <c r="M194" s="6">
        <f t="shared" si="131"/>
        <v>0</v>
      </c>
      <c r="N194" s="7">
        <f t="shared" si="132"/>
        <v>0</v>
      </c>
      <c r="O194" s="7"/>
      <c r="P194" s="7"/>
      <c r="Q194" s="25"/>
      <c r="R194" s="25"/>
      <c r="S194" s="37">
        <f t="shared" si="133"/>
        <v>1</v>
      </c>
      <c r="T194" s="52" t="str">
        <f t="shared" si="134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18:36:39-0600',mode:absolute,to:'1970-01-01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4" s="54" t="str">
        <f t="shared" si="136"/>
        <v>Y</v>
      </c>
      <c r="X194" s="120">
        <f t="shared" si="137"/>
        <v>4</v>
      </c>
      <c r="Y194" s="69">
        <f t="shared" si="138"/>
        <v>4.58E-2</v>
      </c>
      <c r="Z194" s="69">
        <f t="shared" si="139"/>
        <v>2.3296999999999999</v>
      </c>
      <c r="AA194" s="69">
        <f t="shared" si="140"/>
        <v>2.2839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141"/>
        <v>0307-28</v>
      </c>
      <c r="AE194" s="99" t="str">
        <f t="shared" si="142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194" s="96" t="str">
        <f t="shared" si="143"/>
        <v>"C:\Program Files (x86)\AstroGrep\AstroGrep.exe" /spath="%USERPROFILE%\AppData\Local\Temp\OnboardLogs" /stypes="*4014*19700101*" /stext=" 05:.+((SYSTEM_STATE.+slice.+state.+changed )|(ment ac)|(system.+state.+changed )|(\|lc)|(penalty)|(\[timeout)|(PRM\|1\|D)|(kpr)|(kdp))" /e /r /s</v>
      </c>
      <c r="AG194" s="1" t="str">
        <f t="shared" si="144"/>
        <v>Other</v>
      </c>
      <c r="AH194" s="100" t="str">
        <f t="shared" si="113"/>
        <v>"%USERPROFILE%\Documents\GitHub\eaglep3\Utilities\RefineRTDCRunTimes.py" --tripid 307-28 --locoid 4014 --swversion DE.1.0.7.0 --startMP 204:458 --initTime 2016-08-28T19:36:39 --startdatetime 1969-12-31T23:00:00 --delay 1 --endMP 300:23297 --enddatetime 1969-12-31T23:00:00 --enforcementcount 0 &gt;&gt;C:\Users\stu\Documents\GitHub\eaglep3-reporting\EC\2016-08-28-refined-times.txt</v>
      </c>
      <c r="AI194" s="149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{"issue":{"subject":"","project_id":79,"tracker_id":40,"status_id":1,"priority_id":2,"assigned_to_id":23,"start_date":"1969-12-31","description":"","custom_fields":[{"id":1,"name":"Subdivision","value":"Other"},{"id":4,"name":"Milepost","value":"2.2839"},{"id":17,"name":"Train ID","value":"307-28"},{"id":16,"name":"Locomotive ID","value":"4014"},{"id":130,"name":"Impact","value":""},{"id":150,"name":"Time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375</v>
      </c>
      <c r="B195" s="7">
        <v>4025</v>
      </c>
      <c r="C195" s="24" t="s">
        <v>113</v>
      </c>
      <c r="D195" s="24" t="s">
        <v>125</v>
      </c>
      <c r="E195" s="15">
        <v>42610.122141203705</v>
      </c>
      <c r="F195" s="15">
        <v>42610.124467592592</v>
      </c>
      <c r="G195" s="7">
        <v>2</v>
      </c>
      <c r="H195" s="15" t="s">
        <v>658</v>
      </c>
      <c r="I195" s="15">
        <v>42610.133101851854</v>
      </c>
      <c r="J195" s="7">
        <v>0</v>
      </c>
      <c r="K195" s="132" t="str">
        <f t="shared" si="130"/>
        <v>4025/4026</v>
      </c>
      <c r="L195" s="24" t="str">
        <f>VLOOKUP(A195,'Trips&amp;Operators'!$C$1:$E$10000,3,FALSE)</f>
        <v>GOLIGHTLY</v>
      </c>
      <c r="M195" s="6">
        <f t="shared" si="131"/>
        <v>8.6342592621804215E-3</v>
      </c>
      <c r="N195" s="7">
        <f t="shared" si="132"/>
        <v>12.433333337539807</v>
      </c>
      <c r="O195" s="7"/>
      <c r="P195" s="7"/>
      <c r="Q195" s="25"/>
      <c r="R195" s="25"/>
      <c r="S195" s="37">
        <f t="shared" si="133"/>
        <v>1</v>
      </c>
      <c r="T195" s="52" t="str">
        <f t="shared" si="134"/>
        <v>NorthBound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01:55:53-0600',mode:absolute,to:'2016-08-28 04:11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95" s="54" t="str">
        <f t="shared" si="136"/>
        <v>Y</v>
      </c>
      <c r="X195" s="120">
        <f t="shared" si="137"/>
        <v>2</v>
      </c>
      <c r="Y195" s="69">
        <f t="shared" si="138"/>
        <v>4.5499999999999999E-2</v>
      </c>
      <c r="Z195" s="69">
        <f t="shared" si="139"/>
        <v>2.2498999999999998</v>
      </c>
      <c r="AA195" s="69">
        <f t="shared" si="140"/>
        <v>2.2043999999999997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141"/>
        <v>0309-27</v>
      </c>
      <c r="AE195" s="99" t="str">
        <f t="shared" si="142"/>
        <v>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 &amp; aws s3 cp s3://rtdc.mdm.uploadarchive/RTDC4025/2016-08-29/ "%USERPROFILE%\AppData\Local\Temp\OnboardLogs"\RTDC4025\2016-08-29 --recursive &amp; "%USERPROFILE%\Documents\GitHub\mrs-test-scripts\Headless Mode &amp; Sideloading\WalkAndUnGZ.bat" "%USERPROFILE%\AppData\Local\Temp\OnboardLogs"\RTDC4025\2016-08-29</v>
      </c>
      <c r="AF195" s="96" t="str">
        <f t="shared" si="143"/>
        <v>"C:\Program Files (x86)\AstroGrep\AstroGrep.exe" /spath="%USERPROFILE%\AppData\Local\Temp\OnboardLogs" /stypes="*4025*20160828*" /stext=" 09:.+((SYSTEM_STATE.+slice.+state.+changed )|(ment ac)|(system.+state.+changed )|(\|lc)|(penalty)|(\[timeout)|(PRM\|1\|D)|(kpr)|(kdp))" /e /r /s</v>
      </c>
      <c r="AG195" s="1" t="str">
        <f t="shared" si="144"/>
        <v>Other</v>
      </c>
      <c r="AH195" s="100" t="str">
        <f t="shared" si="113"/>
        <v>"%USERPROFILE%\Documents\GitHub\eaglep3\Utilities\RefineRTDCRunTimes.py" --tripid 309-27 --locoid 4025 --swversion DE.1.0.7.0 --startMP 204:455 --initTime 2016-08-28T02:55:53 --startdatetime 2016-08-28T02:59:14 --delay 2 --endMP 300:22499 --enddatetime 2016-08-28T03:11:40 --enforcementcount 0 &gt;&gt;C:\Users\stu\Documents\GitHub\eaglep3-reporting\EC\2016-08-28-refined-times.txt</v>
      </c>
      <c r="AI195" s="149" t="str">
        <f t="shared" si="114"/>
        <v>echo {"issue":{"subject":"","project_id":79,"tracker_id":40,"status_id":1,"priority_id":2,"assigned_to_id":23,"start_date":"2016-08-28","description":"","custom_fields":[{"id":1,"name":"Subdivision","value":"Other"},{"id":4,"name":"Milepost","value":"2.2044"},{"id":17,"name":"Train ID","value":"309-27"},{"id":16,"name":"Locomotive ID","value":"4025"},{"id":130,"name":"Impact","value":""},{"id":150,"name":"Time of Event (Mountain Time)","value":"03:11:40"},{"id":151,"name":"Denver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335</v>
      </c>
      <c r="B196" s="7">
        <v>4020</v>
      </c>
      <c r="C196" s="24" t="s">
        <v>113</v>
      </c>
      <c r="D196" s="24" t="s">
        <v>304</v>
      </c>
      <c r="E196" s="15">
        <v>42610.072314814817</v>
      </c>
      <c r="F196" s="15">
        <v>25568.958333333332</v>
      </c>
      <c r="G196" s="7">
        <v>1</v>
      </c>
      <c r="H196" s="15" t="s">
        <v>293</v>
      </c>
      <c r="I196" s="15">
        <v>25568.958333333332</v>
      </c>
      <c r="J196" s="7">
        <v>0</v>
      </c>
      <c r="K196" s="132" t="str">
        <f t="shared" si="130"/>
        <v>4019/4020</v>
      </c>
      <c r="L196" s="24" t="str">
        <f>VLOOKUP(A196,'Trips&amp;Operators'!$C$1:$E$10000,3,FALSE)</f>
        <v>CHANDLER</v>
      </c>
      <c r="M196" s="6">
        <f t="shared" si="131"/>
        <v>0</v>
      </c>
      <c r="N196" s="7">
        <f t="shared" si="132"/>
        <v>0</v>
      </c>
      <c r="O196" s="7"/>
      <c r="P196" s="7"/>
      <c r="Q196" s="25"/>
      <c r="R196" s="25"/>
      <c r="S196" s="37">
        <f t="shared" si="133"/>
        <v>1</v>
      </c>
      <c r="T196" s="52" t="str">
        <f t="shared" si="134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00:44:08-0600',mode:absolute,to:'1970-01-01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6" s="54" t="str">
        <f t="shared" si="136"/>
        <v>Y</v>
      </c>
      <c r="X196" s="120">
        <f t="shared" si="137"/>
        <v>2</v>
      </c>
      <c r="Y196" s="69">
        <f t="shared" si="138"/>
        <v>5.04E-2</v>
      </c>
      <c r="Z196" s="69">
        <f t="shared" si="139"/>
        <v>2.3298999999999999</v>
      </c>
      <c r="AA196" s="69">
        <f t="shared" si="140"/>
        <v>2.2794999999999996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141"/>
        <v>0311-27</v>
      </c>
      <c r="AE196" s="99" t="str">
        <f t="shared" si="142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196" s="96" t="str">
        <f t="shared" si="143"/>
        <v>"C:\Program Files (x86)\AstroGrep\AstroGrep.exe" /spath="%USERPROFILE%\AppData\Local\Temp\OnboardLogs" /stypes="*4020*19700101*" /stext=" 05:.+((SYSTEM_STATE.+slice.+state.+changed )|(ment ac)|(system.+state.+changed )|(\|lc)|(penalty)|(\[timeout)|(PRM\|1\|D)|(kpr)|(kdp))" /e /r /s</v>
      </c>
      <c r="AG196" s="1" t="str">
        <f t="shared" si="144"/>
        <v>Other</v>
      </c>
      <c r="AH196" s="100" t="str">
        <f t="shared" si="113"/>
        <v>"%USERPROFILE%\Documents\GitHub\eaglep3\Utilities\RefineRTDCRunTimes.py" --tripid 311-27 --locoid 4020 --swversion DE.1.0.7.0 --startMP 204:504 --initTime 2016-08-28T01:44:08 --startdatetime 1969-12-31T23:00:00 --delay 1 --endMP 300:23299 --enddatetime 1969-12-31T23:00:00 --enforcementcount 0 &gt;&gt;C:\Users\stu\Documents\GitHub\eaglep3-reporting\EC\2016-08-28-refined-times.txt</v>
      </c>
      <c r="AI196" s="149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{"issue":{"subject":"","project_id":79,"tracker_id":40,"status_id":1,"priority_id":2,"assigned_to_id":23,"start_date":"1969-12-31","description":"","custom_fields":[{"id":1,"name":"Subdivision","value":"Other"},{"id":4,"name":"Milepost","value":"2.2795"},{"id":17,"name":"Train ID","value":"311-27"},{"id":16,"name":"Locomotive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336</v>
      </c>
      <c r="B197" s="7">
        <v>4031</v>
      </c>
      <c r="C197" s="24" t="s">
        <v>113</v>
      </c>
      <c r="D197" s="24" t="s">
        <v>288</v>
      </c>
      <c r="E197" s="15">
        <v>42610.096250000002</v>
      </c>
      <c r="F197" s="15">
        <v>42610.09778935185</v>
      </c>
      <c r="G197" s="7">
        <v>1</v>
      </c>
      <c r="H197" s="15" t="s">
        <v>337</v>
      </c>
      <c r="I197" s="15">
        <v>42610.103831018518</v>
      </c>
      <c r="J197" s="7">
        <v>0</v>
      </c>
      <c r="K197" s="132" t="str">
        <f t="shared" si="130"/>
        <v>4031/4032</v>
      </c>
      <c r="L197" s="24" t="str">
        <f>VLOOKUP(A197,'Trips&amp;Operators'!$C$1:$E$10000,3,FALSE)</f>
        <v>STURGEON</v>
      </c>
      <c r="M197" s="6">
        <f t="shared" si="131"/>
        <v>6.0416666674427688E-3</v>
      </c>
      <c r="N197" s="7">
        <f t="shared" si="132"/>
        <v>8.7000000011175871</v>
      </c>
      <c r="O197" s="7"/>
      <c r="P197" s="7"/>
      <c r="Q197" s="25"/>
      <c r="R197" s="25"/>
      <c r="S197" s="37">
        <f t="shared" si="133"/>
        <v>1</v>
      </c>
      <c r="T197" s="52" t="str">
        <f t="shared" si="134"/>
        <v>NorthBound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01:18:36-0600',mode:absolute,to:'2016-08-28 03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97" s="54" t="str">
        <f t="shared" si="136"/>
        <v>Y</v>
      </c>
      <c r="X197" s="120">
        <f t="shared" si="137"/>
        <v>2</v>
      </c>
      <c r="Y197" s="69">
        <f t="shared" si="138"/>
        <v>4.82E-2</v>
      </c>
      <c r="Z197" s="69">
        <f t="shared" si="139"/>
        <v>2.3311999999999999</v>
      </c>
      <c r="AA197" s="69">
        <f t="shared" si="140"/>
        <v>2.2829999999999999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141"/>
        <v>0313-27</v>
      </c>
      <c r="AE197" s="99" t="str">
        <f t="shared" si="142"/>
        <v>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 &amp; 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</v>
      </c>
      <c r="AF197" s="96" t="str">
        <f t="shared" si="143"/>
        <v>"C:\Program Files (x86)\AstroGrep\AstroGrep.exe" /spath="%USERPROFILE%\AppData\Local\Temp\OnboardLogs" /stypes="*4031*20160828*" /stext=" 08:.+((SYSTEM_STATE.+slice.+state.+changed )|(ment ac)|(system.+state.+changed )|(\|lc)|(penalty)|(\[timeout)|(PRM\|1\|D)|(kpr)|(kdp))" /e /r /s</v>
      </c>
      <c r="AG197" s="1" t="str">
        <f t="shared" si="144"/>
        <v>Other</v>
      </c>
      <c r="AH197" s="100" t="str">
        <f t="shared" si="113"/>
        <v>"%USERPROFILE%\Documents\GitHub\eaglep3\Utilities\RefineRTDCRunTimes.py" --tripid 313-27 --locoid 4031 --swversion DE.1.0.7.0 --startMP 204:482 --initTime 2016-08-28T02:18:36 --startdatetime 2016-08-28T02:20:49 --delay 1 --endMP 300:23312 --enddatetime 2016-08-28T02:29:31 --enforcementcount 0 &gt;&gt;C:\Users\stu\Documents\GitHub\eaglep3-reporting\EC\2016-08-28-refined-times.txt</v>
      </c>
      <c r="AI197" s="149" t="str">
        <f t="shared" si="114"/>
        <v>echo {"issue":{"subject":"","project_id":79,"tracker_id":40,"status_id":1,"priority_id":2,"assigned_to_id":23,"start_date":"2016-08-28","description":"","custom_fields":[{"id":1,"name":"Subdivision","value":"Other"},{"id":4,"name":"Milepost","value":"2.283"},{"id":17,"name":"Train ID","value":"313-27"},{"id":16,"name":"Locomotive ID","value":"4031"},{"id":130,"name":"Impact","value":""},{"id":150,"name":"Time of Event (Mountain Time)","value":"02:29:31"},{"id":151,"name":"Denver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532</v>
      </c>
      <c r="B198" s="7">
        <v>4010</v>
      </c>
      <c r="C198" s="24" t="s">
        <v>113</v>
      </c>
      <c r="D198" s="24" t="s">
        <v>631</v>
      </c>
      <c r="E198" s="15">
        <v>42610.94263888889</v>
      </c>
      <c r="F198" s="15">
        <v>42610.944756944446</v>
      </c>
      <c r="G198" s="7">
        <v>1</v>
      </c>
      <c r="H198" s="15" t="s">
        <v>632</v>
      </c>
      <c r="I198" s="15">
        <v>42610.960416666669</v>
      </c>
      <c r="J198" s="7">
        <v>0</v>
      </c>
      <c r="K198" s="132" t="str">
        <f t="shared" si="130"/>
        <v>4009/4010</v>
      </c>
      <c r="L198" s="24" t="str">
        <f>VLOOKUP(A198,'Trips&amp;Operators'!$C$1:$E$10000,3,FALSE)</f>
        <v>ISHMAEL</v>
      </c>
      <c r="M198" s="6">
        <f t="shared" si="131"/>
        <v>1.5659722223063E-2</v>
      </c>
      <c r="N198" s="7">
        <f t="shared" si="132"/>
        <v>22.550000001210719</v>
      </c>
      <c r="O198" s="7"/>
      <c r="P198" s="7"/>
      <c r="Q198" s="25"/>
      <c r="R198" s="25"/>
      <c r="S198" s="37">
        <f t="shared" si="133"/>
        <v>0</v>
      </c>
      <c r="T198" s="52" t="str">
        <f t="shared" si="134"/>
        <v>Southbound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21:37:24-0600',mode:absolute,to:'2016-08-29 00:03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98" s="54" t="str">
        <f t="shared" si="136"/>
        <v>Y</v>
      </c>
      <c r="X198" s="120">
        <f t="shared" si="137"/>
        <v>1589</v>
      </c>
      <c r="Y198" s="69">
        <f t="shared" si="138"/>
        <v>5.8661000000000003</v>
      </c>
      <c r="Z198" s="69">
        <f t="shared" si="139"/>
        <v>2.8089</v>
      </c>
      <c r="AA198" s="69">
        <f t="shared" si="140"/>
        <v>3.0572000000000004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141"/>
        <v>1902-28</v>
      </c>
      <c r="AE198" s="99" t="str">
        <f t="shared" si="142"/>
        <v>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 &amp; 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</v>
      </c>
      <c r="AF198" s="96" t="str">
        <f t="shared" si="143"/>
        <v>"C:\Program Files (x86)\AstroGrep\AstroGrep.exe" /spath="%USERPROFILE%\AppData\Local\Temp\OnboardLogs" /stypes="*4010*20160829*" /stext=" 05:.+((SYSTEM_STATE.+slice.+state.+changed )|(ment ac)|(system.+state.+changed )|(\|lc)|(penalty)|(\[timeout)|(PRM\|1\|D)|(kpr)|(kdp))" /e /r /s</v>
      </c>
      <c r="AG198" s="1" t="str">
        <f t="shared" si="144"/>
        <v>Other</v>
      </c>
      <c r="AH198" s="100" t="str">
        <f t="shared" si="113"/>
        <v>"%USERPROFILE%\Documents\GitHub\eaglep3\Utilities\RefineRTDCRunTimes.py" --tripid 1902-28 --locoid 4010 --swversion DE.1.0.7.0 --startMP 300:58661 --initTime 2016-08-28T22:37:24 --startdatetime 2016-08-28T22:40:27 --delay 1 --endMP 300:28089 --enddatetime 2016-08-28T23:03:00 --enforcementcount 0 &gt;&gt;C:\Users\stu\Documents\GitHub\eaglep3-reporting\EC\2016-08-28-refined-times.txt</v>
      </c>
      <c r="AI198" s="149" t="str">
        <f t="shared" si="114"/>
        <v>echo {"issue":{"subject":"","project_id":79,"tracker_id":40,"status_id":1,"priority_id":2,"assigned_to_id":23,"start_date":"2016-08-28","description":"","custom_fields":[{"id":1,"name":"Subdivision","value":"Other"},{"id":4,"name":"Milepost","value":"3.0572"},{"id":17,"name":"Train ID","value":"1902-28"},{"id":16,"name":"Locomotive ID","value":"4010"},{"id":130,"name":"Impact","value":""},{"id":150,"name":"Time of Event (Mountain Time)","value":"23:03:00"},{"id":151,"name":"Denver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495</v>
      </c>
      <c r="B199" s="7">
        <v>4027</v>
      </c>
      <c r="C199" s="24" t="s">
        <v>113</v>
      </c>
      <c r="D199" s="24" t="s">
        <v>659</v>
      </c>
      <c r="E199" s="15">
        <v>42610.730567129627</v>
      </c>
      <c r="F199" s="15">
        <v>42610.732569444444</v>
      </c>
      <c r="G199" s="7">
        <v>1</v>
      </c>
      <c r="H199" s="15" t="s">
        <v>660</v>
      </c>
      <c r="I199" s="15">
        <v>42610.737766203703</v>
      </c>
      <c r="J199" s="7">
        <v>0</v>
      </c>
      <c r="K199" s="132" t="str">
        <f t="shared" si="130"/>
        <v>4027/4028</v>
      </c>
      <c r="L199" s="24" t="str">
        <f>VLOOKUP(A199,'Trips&amp;Operators'!$C$1:$E$10000,3,FALSE)</f>
        <v>DE LA ROSA</v>
      </c>
      <c r="M199" s="6">
        <f t="shared" si="131"/>
        <v>5.1967592589790002E-3</v>
      </c>
      <c r="N199" s="7">
        <f t="shared" si="132"/>
        <v>7.4833333329297602</v>
      </c>
      <c r="O199" s="7"/>
      <c r="P199" s="7"/>
      <c r="Q199" s="25"/>
      <c r="R199" s="25"/>
      <c r="S199" s="37">
        <f t="shared" si="133"/>
        <v>0</v>
      </c>
      <c r="T199" s="52" t="e">
        <f t="shared" si="134"/>
        <v>#VALUE!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16:32:01-0600',mode:absolute,to:'2016-08-28 18:42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99" s="54" t="str">
        <f t="shared" si="136"/>
        <v>Y</v>
      </c>
      <c r="X199" s="120" t="e">
        <f t="shared" si="137"/>
        <v>#VALUE!</v>
      </c>
      <c r="Y199" s="69">
        <f t="shared" si="138"/>
        <v>0.14810000000000001</v>
      </c>
      <c r="Z199" s="69">
        <f t="shared" si="139"/>
        <v>2.2995999999999999</v>
      </c>
      <c r="AA199" s="69">
        <f t="shared" si="140"/>
        <v>2.1515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141"/>
        <v>53-28</v>
      </c>
      <c r="AE199" s="99" t="str">
        <f t="shared" si="142"/>
        <v>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 &amp; 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</v>
      </c>
      <c r="AF199" s="96" t="str">
        <f t="shared" si="143"/>
        <v>"C:\Program Files (x86)\AstroGrep\AstroGrep.exe" /spath="%USERPROFILE%\AppData\Local\Temp\OnboardLogs" /stypes="*4027*20160828*" /stext=" 23:.+((SYSTEM_STATE.+slice.+state.+changed )|(ment ac)|(system.+state.+changed )|(\|lc)|(penalty)|(\[timeout)|(PRM\|1\|D)|(kpr)|(kdp))" /e /r /s</v>
      </c>
      <c r="AG199" s="1" t="str">
        <f t="shared" si="144"/>
        <v>Other</v>
      </c>
      <c r="AH199" s="100" t="str">
        <f t="shared" si="113"/>
        <v>"%USERPROFILE%\Documents\GitHub\eaglep3\Utilities\RefineRTDCRunTimes.py" --tripid 53-28 --locoid 4027 --swversion DE.1.0.7.0 --startMP 204:1481 --initTime 2016-08-28T17:32:01 --startdatetime 2016-08-28T17:34:54 --delay 1 --endMP 300:22996 --enddatetime 2016-08-28T17:42:23 --enforcementcount 0 &gt;&gt;C:\Users\stu\Documents\GitHub\eaglep3-reporting\EC\2016-08-28-refined-times.txt</v>
      </c>
      <c r="AI199" s="149" t="str">
        <f t="shared" si="114"/>
        <v>echo {"issue":{"subject":"","project_id":79,"tracker_id":40,"status_id":1,"priority_id":2,"assigned_to_id":23,"start_date":"2016-08-28","description":"","custom_fields":[{"id":1,"name":"Subdivision","value":"Other"},{"id":4,"name":"Milepost","value":"2.1515"},{"id":17,"name":"Train ID","value":"53-28"},{"id":16,"name":"Locomotive ID","value":"4027"},{"id":130,"name":"Impact","value":""},{"id":150,"name":"Time of Event (Mountain Time)","value":"17:42:23"},{"id":151,"name":"Denver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486</v>
      </c>
      <c r="B200" s="7">
        <v>4027</v>
      </c>
      <c r="C200" s="24" t="s">
        <v>113</v>
      </c>
      <c r="D200" s="24" t="s">
        <v>661</v>
      </c>
      <c r="E200" s="15">
        <v>42610.700787037036</v>
      </c>
      <c r="F200" s="15">
        <v>25568.958333333332</v>
      </c>
      <c r="G200" s="7">
        <v>1</v>
      </c>
      <c r="H200" s="15" t="s">
        <v>662</v>
      </c>
      <c r="I200" s="15">
        <v>25568.958333333332</v>
      </c>
      <c r="J200" s="7">
        <v>0</v>
      </c>
      <c r="K200" s="132" t="str">
        <f t="shared" si="130"/>
        <v>4027/4028</v>
      </c>
      <c r="L200" s="24" t="str">
        <f>VLOOKUP(A200,'Trips&amp;Operators'!$C$1:$E$10000,3,FALSE)</f>
        <v>CLARK</v>
      </c>
      <c r="M200" s="6">
        <f t="shared" si="131"/>
        <v>0</v>
      </c>
      <c r="N200" s="7">
        <f t="shared" si="132"/>
        <v>0</v>
      </c>
      <c r="O200" s="7"/>
      <c r="P200" s="7"/>
      <c r="Q200" s="25"/>
      <c r="R200" s="25"/>
      <c r="S200" s="37">
        <f t="shared" si="133"/>
        <v>0</v>
      </c>
      <c r="T200" s="52" t="e">
        <f t="shared" si="134"/>
        <v>#VALUE!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15:49:08-0600',mode:absolute,to:'1970-01-01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0" s="54" t="str">
        <f t="shared" si="136"/>
        <v>Y</v>
      </c>
      <c r="X200" s="120" t="e">
        <f t="shared" si="137"/>
        <v>#VALUE!</v>
      </c>
      <c r="Y200" s="69">
        <f t="shared" si="138"/>
        <v>0.14960000000000001</v>
      </c>
      <c r="Z200" s="69">
        <f t="shared" si="139"/>
        <v>0.15090000000000001</v>
      </c>
      <c r="AA200" s="69">
        <f t="shared" si="140"/>
        <v>1.2999999999999956E-3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141"/>
        <v>54-28</v>
      </c>
      <c r="AE200" s="99" t="str">
        <f t="shared" si="142"/>
        <v>aws s3 cp s3://rtdc.mdm.uploadarchive/RTDC4027/1969-12-31/ "%USERPROFILE%\AppData\Local\Temp\OnboardLogs"\RTDC4027\1969-12-31 --recursive &amp; "%USERPROFILE%\Documents\GitHub\mrs-test-scripts\Headless Mode &amp; Sideloading\WalkAndUnGZ.bat" "%USERPROFILE%\AppData\Local\Temp\OnboardLogs"\RTDC4027\1969-12-31 &amp; aws s3 cp s3://rtdc.mdm.uploadarchive/RTDC4027/1970-01-01/ "%USERPROFILE%\AppData\Local\Temp\OnboardLogs"\RTDC4027\1970-01-01 --recursive &amp; "%USERPROFILE%\Documents\GitHub\mrs-test-scripts\Headless Mode &amp; Sideloading\WalkAndUnGZ.bat" "%USERPROFILE%\AppData\Local\Temp\OnboardLogs"\RTDC4027\1970-01-01</v>
      </c>
      <c r="AF200" s="96" t="str">
        <f t="shared" si="143"/>
        <v>"C:\Program Files (x86)\AstroGrep\AstroGrep.exe" /spath="%USERPROFILE%\AppData\Local\Temp\OnboardLogs" /stypes="*4027*19700101*" /stext=" 05:.+((SYSTEM_STATE.+slice.+state.+changed )|(ment ac)|(system.+state.+changed )|(\|lc)|(penalty)|(\[timeout)|(PRM\|1\|D)|(kpr)|(kdp))" /e /r /s</v>
      </c>
      <c r="AG200" s="1" t="str">
        <f t="shared" si="144"/>
        <v>Other</v>
      </c>
      <c r="AH200" s="100" t="str">
        <f t="shared" si="113"/>
        <v>"%USERPROFILE%\Documents\GitHub\eaglep3\Utilities\RefineRTDCRunTimes.py" --tripid 54-28 --locoid 4027 --swversion DE.1.0.7.0 --startMP 204:1496 --initTime 2016-08-28T16:49:08 --startdatetime 1969-12-31T23:00:00 --delay 1 --endMP 204:1509 --enddatetime 1969-12-31T23:00:00 --enforcementcount 0 &gt;&gt;C:\Users\stu\Documents\GitHub\eaglep3-reporting\EC\2016-08-28-refined-times.txt</v>
      </c>
      <c r="AI200" s="149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{"issue":{"subject":"","project_id":79,"tracker_id":40,"status_id":1,"priority_id":2,"assigned_to_id":23,"start_date":"1969-12-31","description":"","custom_fields":[{"id":1,"name":"Subdivision","value":"Other"},{"id":4,"name":"Milepost","value":"0.0013"},{"id":17,"name":"Train ID","value":"54-28"},{"id":16,"name":"Locomotive ID","value":"4027"},{"id":130,"name":"Impact","value":""},{"id":150,"name":"Time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340</v>
      </c>
      <c r="B201" s="7">
        <v>4026</v>
      </c>
      <c r="C201" s="24" t="s">
        <v>113</v>
      </c>
      <c r="D201" s="24" t="s">
        <v>341</v>
      </c>
      <c r="E201" s="15">
        <v>42610.087685185186</v>
      </c>
      <c r="F201" s="15">
        <v>42610.091168981482</v>
      </c>
      <c r="G201" s="7">
        <v>1</v>
      </c>
      <c r="H201" s="15" t="s">
        <v>132</v>
      </c>
      <c r="I201" s="15">
        <v>42610.119398148148</v>
      </c>
      <c r="J201" s="7">
        <v>0</v>
      </c>
      <c r="K201" s="132" t="str">
        <f t="shared" si="130"/>
        <v>4025/4026</v>
      </c>
      <c r="L201" s="24" t="str">
        <f>VLOOKUP(A201,'Trips&amp;Operators'!$C$1:$E$10000,3,FALSE)</f>
        <v>GOLIGHTLY</v>
      </c>
      <c r="M201" s="6">
        <f t="shared" si="131"/>
        <v>2.8229166666278616E-2</v>
      </c>
      <c r="N201" s="7">
        <f t="shared" si="132"/>
        <v>40.649999999441206</v>
      </c>
      <c r="O201" s="7"/>
      <c r="P201" s="7"/>
      <c r="Q201" s="25"/>
      <c r="R201" s="25"/>
      <c r="S201" s="37">
        <f t="shared" si="133"/>
        <v>0</v>
      </c>
      <c r="T201" s="52" t="e">
        <f t="shared" si="134"/>
        <v>#VALUE!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6" t="str">
        <f t="shared" si="135"/>
        <v>https://search-rtdc-monitor-bjffxe2xuh6vdkpspy63sjmuny.us-east-1.es.amazonaws.com/_plugin/kibana/#/discover/Steve-Slow-Train-Analysis-(2080s-and-2083s)?_g=(refreshInterval:(display:Off,section:0,value:0),time:(from:'2016-08-28 01:06:16-0600',mode:absolute,to:'2016-08-28 03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01" s="54" t="str">
        <f t="shared" si="136"/>
        <v>N</v>
      </c>
      <c r="X201" s="120" t="e">
        <f t="shared" si="137"/>
        <v>#VALUE!</v>
      </c>
      <c r="Y201" s="69">
        <f t="shared" si="138"/>
        <v>23.298999999999999</v>
      </c>
      <c r="Z201" s="69">
        <f t="shared" si="139"/>
        <v>1.47E-2</v>
      </c>
      <c r="AA201" s="69">
        <f t="shared" si="140"/>
        <v>23.284299999999998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141"/>
        <v>64-27</v>
      </c>
      <c r="AE201" s="99" t="str">
        <f t="shared" si="142"/>
        <v>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 &amp; aws s3 cp s3://rtdc.mdm.uploadarchive/RTDC4026/2016-08-29/ "%USERPROFILE%\AppData\Local\Temp\OnboardLogs"\RTDC4026\2016-08-29 --recursive &amp; "%USERPROFILE%\Documents\GitHub\mrs-test-scripts\Headless Mode &amp; Sideloading\WalkAndUnGZ.bat" "%USERPROFILE%\AppData\Local\Temp\OnboardLogs"\RTDC4026\2016-08-29</v>
      </c>
      <c r="AF201" s="96" t="str">
        <f t="shared" si="143"/>
        <v>"C:\Program Files (x86)\AstroGrep\AstroGrep.exe" /spath="%USERPROFILE%\AppData\Local\Temp\OnboardLogs" /stypes="*4026*20160828*" /stext=" 08:.+((SYSTEM_STATE.+slice.+state.+changed )|(ment ac)|(system.+state.+changed )|(\|lc)|(penalty)|(\[timeout)|(PRM\|1\|D)|(kpr)|(kdp))" /e /r /s</v>
      </c>
      <c r="AG201" s="1" t="str">
        <f t="shared" si="144"/>
        <v>Other</v>
      </c>
      <c r="AH201" s="100" t="str">
        <f t="shared" si="113"/>
        <v>"%USERPROFILE%\Documents\GitHub\eaglep3\Utilities\RefineRTDCRunTimes.py" --tripid 64-27 --locoid 4026 --swversion DE.1.0.7.0 --startMP 204:232990 --initTime 2016-08-28T02:06:16 --startdatetime 2016-08-28T02:11:17 --delay 1 --endMP 204:147 --enddatetime 2016-08-28T02:51:56 --enforcementcount 0 &gt;&gt;C:\Users\stu\Documents\GitHub\eaglep3-reporting\EC\2016-08-28-refined-times.txt</v>
      </c>
      <c r="AI201" s="149" t="str">
        <f t="shared" si="114"/>
        <v>echo {"issue":{"subject":"","project_id":79,"tracker_id":40,"status_id":1,"priority_id":2,"assigned_to_id":23,"start_date":"2016-08-28","description":"","custom_fields":[{"id":1,"name":"Subdivision","value":"Other"},{"id":4,"name":"Milepost","value":"23.2843"},{"id":17,"name":"Train ID","value":"64-27"},{"id":16,"name":"Locomotive ID","value":"4026"},{"id":130,"name":"Impact","value":""},{"id":150,"name":"Time of Event (Mountain Time)","value":"02:51:56"},{"id":151,"name":"Denver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/>
      <c r="B202" s="7"/>
      <c r="C202" s="24"/>
      <c r="D202" s="24"/>
      <c r="E202" s="15"/>
      <c r="F202" s="15"/>
      <c r="G202" s="7"/>
      <c r="H202" s="15"/>
      <c r="I202" s="15"/>
      <c r="J202" s="7"/>
      <c r="K202" s="132"/>
      <c r="L202" s="24"/>
      <c r="M202" s="6"/>
      <c r="N202" s="7"/>
      <c r="O202" s="7"/>
      <c r="P202" s="7"/>
      <c r="Q202" s="25"/>
      <c r="R202" s="25"/>
      <c r="S202" s="37"/>
      <c r="T202" s="52"/>
      <c r="U202" s="126"/>
      <c r="V202" s="106"/>
      <c r="W202" s="54"/>
      <c r="X202" s="120"/>
      <c r="Y202" s="69"/>
      <c r="Z202" s="69"/>
      <c r="AA202" s="69"/>
      <c r="AB202" s="66"/>
      <c r="AC202" s="62"/>
      <c r="AD202" s="63"/>
      <c r="AE202" s="99"/>
      <c r="AF202" s="96"/>
      <c r="AG202" s="1"/>
      <c r="AI202" s="149"/>
      <c r="AJ202" s="55"/>
      <c r="AK202" s="55"/>
      <c r="AL202" s="55"/>
    </row>
    <row r="203" spans="1:38" x14ac:dyDescent="0.25">
      <c r="A203" s="39"/>
      <c r="B203" s="7"/>
      <c r="C203" s="24"/>
      <c r="D203" s="24"/>
      <c r="E203" s="15"/>
      <c r="F203" s="15"/>
      <c r="G203" s="7"/>
      <c r="H203" s="15"/>
      <c r="I203" s="15"/>
      <c r="J203" s="7"/>
      <c r="K203" s="132"/>
      <c r="L203" s="24"/>
      <c r="M203" s="6"/>
      <c r="N203" s="7"/>
      <c r="O203" s="7"/>
      <c r="P203" s="7"/>
      <c r="Q203" s="25"/>
      <c r="R203" s="25"/>
      <c r="S203" s="37"/>
      <c r="T203" s="52"/>
      <c r="U203" s="126"/>
      <c r="V203" s="106"/>
      <c r="W203" s="54"/>
      <c r="X203" s="120"/>
      <c r="Y203" s="69"/>
      <c r="Z203" s="69"/>
      <c r="AA203" s="69"/>
      <c r="AB203" s="66"/>
      <c r="AC203" s="62"/>
      <c r="AD203" s="63"/>
      <c r="AE203" s="99"/>
      <c r="AF203" s="96"/>
      <c r="AG203" s="1"/>
      <c r="AI203" s="149"/>
      <c r="AJ203" s="55"/>
      <c r="AK203" s="55"/>
      <c r="AL203" s="55"/>
    </row>
    <row r="204" spans="1:38" x14ac:dyDescent="0.25">
      <c r="A204" s="39"/>
      <c r="B204" s="7"/>
      <c r="C204" s="24"/>
      <c r="D204" s="24"/>
      <c r="E204" s="15"/>
      <c r="F204" s="15"/>
      <c r="G204" s="7"/>
      <c r="H204" s="15"/>
      <c r="I204" s="15"/>
      <c r="J204" s="7"/>
      <c r="K204" s="132"/>
      <c r="L204" s="24"/>
      <c r="M204" s="6"/>
      <c r="N204" s="7"/>
      <c r="O204" s="7"/>
      <c r="P204" s="7"/>
      <c r="Q204" s="25"/>
      <c r="R204" s="25"/>
      <c r="S204" s="37"/>
      <c r="T204" s="52"/>
      <c r="U204" s="126"/>
      <c r="V204" s="106"/>
      <c r="W204" s="54"/>
      <c r="X204" s="120"/>
      <c r="Y204" s="69"/>
      <c r="Z204" s="69"/>
      <c r="AA204" s="69"/>
      <c r="AB204" s="66"/>
      <c r="AC204" s="62"/>
      <c r="AD204" s="63"/>
      <c r="AE204" s="99"/>
      <c r="AF204" s="96"/>
      <c r="AG204" s="1"/>
      <c r="AI204" s="149"/>
      <c r="AJ204" s="55"/>
      <c r="AK204" s="55"/>
      <c r="AL204" s="55"/>
    </row>
    <row r="205" spans="1:38" x14ac:dyDescent="0.25">
      <c r="A205" s="39"/>
      <c r="B205" s="7"/>
      <c r="C205" s="24"/>
      <c r="D205" s="24"/>
      <c r="E205" s="15"/>
      <c r="F205" s="15"/>
      <c r="G205" s="7"/>
      <c r="H205" s="15"/>
      <c r="I205" s="15"/>
      <c r="J205" s="7"/>
      <c r="K205" s="132"/>
      <c r="L205" s="24"/>
      <c r="M205" s="6"/>
      <c r="N205" s="7"/>
      <c r="O205" s="7"/>
      <c r="P205" s="7"/>
      <c r="Q205" s="25"/>
      <c r="R205" s="25"/>
      <c r="S205" s="37"/>
      <c r="T205" s="52"/>
      <c r="U205" s="126"/>
      <c r="V205" s="106"/>
      <c r="W205" s="54"/>
      <c r="X205" s="120"/>
      <c r="Y205" s="69"/>
      <c r="Z205" s="69"/>
      <c r="AA205" s="69"/>
      <c r="AB205" s="66"/>
      <c r="AC205" s="62"/>
      <c r="AD205" s="63"/>
      <c r="AE205" s="99"/>
      <c r="AF205" s="96"/>
      <c r="AG205" s="1"/>
      <c r="AI205" s="149"/>
      <c r="AJ205" s="55"/>
      <c r="AK205" s="55"/>
      <c r="AL205" s="55"/>
    </row>
    <row r="206" spans="1:38" x14ac:dyDescent="0.25">
      <c r="A206" s="39"/>
      <c r="B206" s="7"/>
      <c r="C206" s="24"/>
      <c r="D206" s="24"/>
      <c r="E206" s="15"/>
      <c r="F206" s="15"/>
      <c r="G206" s="7"/>
      <c r="H206" s="15"/>
      <c r="I206" s="15"/>
      <c r="J206" s="7"/>
      <c r="K206" s="132"/>
      <c r="L206" s="24"/>
      <c r="M206" s="6"/>
      <c r="N206" s="7"/>
      <c r="O206" s="7"/>
      <c r="P206" s="7"/>
      <c r="Q206" s="25"/>
      <c r="R206" s="25"/>
      <c r="S206" s="37"/>
      <c r="T206" s="52"/>
      <c r="U206" s="126"/>
      <c r="V206" s="106"/>
      <c r="W206" s="54"/>
      <c r="X206" s="120"/>
      <c r="Y206" s="69"/>
      <c r="Z206" s="69"/>
      <c r="AA206" s="69"/>
      <c r="AB206" s="66"/>
      <c r="AC206" s="62"/>
      <c r="AD206" s="63"/>
      <c r="AE206" s="99"/>
      <c r="AF206" s="96"/>
      <c r="AG206" s="1"/>
      <c r="AI206" s="149"/>
      <c r="AJ206" s="55"/>
      <c r="AK206" s="55"/>
      <c r="AL206" s="55"/>
    </row>
    <row r="207" spans="1:38" x14ac:dyDescent="0.25">
      <c r="A207" s="39"/>
      <c r="B207" s="7"/>
      <c r="C207" s="24"/>
      <c r="D207" s="24"/>
      <c r="E207" s="15"/>
      <c r="F207" s="15"/>
      <c r="G207" s="7"/>
      <c r="H207" s="15"/>
      <c r="I207" s="15"/>
      <c r="J207" s="7"/>
      <c r="K207" s="132"/>
      <c r="L207" s="24"/>
      <c r="M207" s="6"/>
      <c r="N207" s="7"/>
      <c r="O207" s="7"/>
      <c r="P207" s="7"/>
      <c r="Q207" s="25"/>
      <c r="R207" s="25"/>
      <c r="S207" s="37"/>
      <c r="T207" s="52"/>
      <c r="U207" s="126"/>
      <c r="V207" s="106"/>
      <c r="W207" s="54"/>
      <c r="X207" s="120"/>
      <c r="Y207" s="69"/>
      <c r="Z207" s="69"/>
      <c r="AA207" s="69"/>
      <c r="AB207" s="66"/>
      <c r="AC207" s="62"/>
      <c r="AD207" s="63"/>
      <c r="AE207" s="99"/>
      <c r="AF207" s="96"/>
      <c r="AG207" s="1"/>
      <c r="AI207" s="149"/>
      <c r="AJ207" s="55"/>
      <c r="AK207" s="55"/>
      <c r="AL207" s="55"/>
    </row>
    <row r="208" spans="1:38" x14ac:dyDescent="0.25">
      <c r="A208" s="39"/>
      <c r="B208" s="7"/>
      <c r="C208" s="24"/>
      <c r="D208" s="24"/>
      <c r="E208" s="15"/>
      <c r="F208" s="15"/>
      <c r="G208" s="7"/>
      <c r="H208" s="15"/>
      <c r="I208" s="15"/>
      <c r="J208" s="7"/>
      <c r="K208" s="132"/>
      <c r="L208" s="24"/>
      <c r="M208" s="6"/>
      <c r="N208" s="7"/>
      <c r="O208" s="7"/>
      <c r="P208" s="7"/>
      <c r="Q208" s="25"/>
      <c r="R208" s="25"/>
      <c r="S208" s="37"/>
      <c r="T208" s="52"/>
      <c r="U208" s="126"/>
      <c r="V208" s="106"/>
      <c r="W208" s="54"/>
      <c r="X208" s="120"/>
      <c r="Y208" s="69"/>
      <c r="Z208" s="69"/>
      <c r="AA208" s="69"/>
      <c r="AB208" s="66"/>
      <c r="AC208" s="62"/>
      <c r="AD208" s="63"/>
      <c r="AE208" s="99"/>
      <c r="AF208" s="96"/>
      <c r="AG208" s="1"/>
      <c r="AI208" s="149"/>
      <c r="AJ208" s="55"/>
      <c r="AK208" s="55"/>
      <c r="AL208" s="55"/>
    </row>
    <row r="209" spans="1:38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32"/>
      <c r="L209" s="24"/>
      <c r="M209" s="6"/>
      <c r="N209" s="7"/>
      <c r="O209" s="7"/>
      <c r="P209" s="7"/>
      <c r="Q209" s="25"/>
      <c r="R209" s="25"/>
      <c r="S209" s="37"/>
      <c r="T209" s="52"/>
      <c r="U209" s="126"/>
      <c r="V209" s="106"/>
      <c r="W209" s="54"/>
      <c r="X209" s="120"/>
      <c r="Y209" s="69"/>
      <c r="Z209" s="69"/>
      <c r="AA209" s="69"/>
      <c r="AB209" s="66"/>
      <c r="AC209" s="62"/>
      <c r="AD209" s="63"/>
      <c r="AE209" s="99"/>
      <c r="AF209" s="96"/>
      <c r="AG209" s="1"/>
      <c r="AI209" s="149"/>
      <c r="AJ209" s="55"/>
      <c r="AK209" s="55"/>
      <c r="AL209" s="55"/>
    </row>
    <row r="210" spans="1:38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32"/>
      <c r="L210" s="24"/>
      <c r="M210" s="6"/>
      <c r="N210" s="7"/>
      <c r="O210" s="7"/>
      <c r="P210" s="7"/>
      <c r="Q210" s="25"/>
      <c r="R210" s="25"/>
      <c r="S210" s="37"/>
      <c r="T210" s="52"/>
      <c r="U210" s="126"/>
      <c r="V210" s="106"/>
      <c r="W210" s="54"/>
      <c r="X210" s="120"/>
      <c r="Y210" s="69"/>
      <c r="Z210" s="69"/>
      <c r="AA210" s="69"/>
      <c r="AB210" s="66"/>
      <c r="AC210" s="62"/>
      <c r="AD210" s="63"/>
      <c r="AE210" s="99"/>
      <c r="AF210" s="96"/>
      <c r="AG210" s="1"/>
      <c r="AI210" s="149"/>
      <c r="AJ210" s="55"/>
      <c r="AK210" s="55"/>
      <c r="AL210" s="55"/>
    </row>
    <row r="211" spans="1:38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32"/>
      <c r="L211" s="24"/>
      <c r="M211" s="6"/>
      <c r="N211" s="7"/>
      <c r="O211" s="7"/>
      <c r="P211" s="7"/>
      <c r="Q211" s="25"/>
      <c r="R211" s="25"/>
      <c r="S211" s="37"/>
      <c r="T211" s="52"/>
      <c r="U211" s="126"/>
      <c r="V211" s="106"/>
      <c r="W211" s="54"/>
      <c r="X211" s="120"/>
      <c r="Y211" s="69"/>
      <c r="Z211" s="69"/>
      <c r="AA211" s="69"/>
      <c r="AB211" s="66"/>
      <c r="AC211" s="62"/>
      <c r="AD211" s="63"/>
      <c r="AE211" s="99"/>
      <c r="AF211" s="96"/>
      <c r="AG211" s="1"/>
      <c r="AI211" s="149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32"/>
      <c r="L212" s="24"/>
      <c r="M212" s="6"/>
      <c r="N212" s="7"/>
      <c r="O212" s="7"/>
      <c r="P212" s="7"/>
      <c r="Q212" s="25"/>
      <c r="R212" s="25"/>
      <c r="S212" s="37"/>
      <c r="T212" s="52"/>
      <c r="U212" s="126"/>
      <c r="V212" s="106"/>
      <c r="W212" s="54"/>
      <c r="X212" s="120"/>
      <c r="Y212" s="69"/>
      <c r="Z212" s="69"/>
      <c r="AA212" s="69"/>
      <c r="AB212" s="66"/>
      <c r="AC212" s="62"/>
      <c r="AD212" s="63"/>
      <c r="AE212" s="99"/>
      <c r="AF212" s="96"/>
      <c r="AG212" s="1"/>
      <c r="AI212" s="149"/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32"/>
      <c r="L213" s="24"/>
      <c r="M213" s="6"/>
      <c r="N213" s="7"/>
      <c r="O213" s="7"/>
      <c r="P213" s="7"/>
      <c r="Q213" s="25"/>
      <c r="R213" s="25"/>
      <c r="S213" s="37"/>
      <c r="T213" s="52"/>
      <c r="U213" s="126"/>
      <c r="V213" s="106"/>
      <c r="W213" s="54"/>
      <c r="X213" s="120"/>
      <c r="Y213" s="69"/>
      <c r="Z213" s="69"/>
      <c r="AA213" s="69"/>
      <c r="AB213" s="66"/>
      <c r="AC213" s="62"/>
      <c r="AD213" s="63"/>
      <c r="AE213" s="99"/>
      <c r="AF213" s="96"/>
      <c r="AG213" s="1"/>
      <c r="AI213" s="149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32"/>
      <c r="L214" s="24"/>
      <c r="M214" s="6"/>
      <c r="N214" s="7"/>
      <c r="O214" s="7"/>
      <c r="P214" s="7"/>
      <c r="Q214" s="25"/>
      <c r="R214" s="25"/>
      <c r="S214" s="37"/>
      <c r="T214" s="52"/>
      <c r="U214" s="126"/>
      <c r="V214" s="106"/>
      <c r="W214" s="54"/>
      <c r="X214" s="120"/>
      <c r="Y214" s="69"/>
      <c r="Z214" s="69"/>
      <c r="AA214" s="69"/>
      <c r="AB214" s="66"/>
      <c r="AC214" s="62"/>
      <c r="AD214" s="63"/>
      <c r="AE214" s="99"/>
      <c r="AF214" s="96"/>
      <c r="AG214" s="1"/>
      <c r="AI214" s="149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32"/>
      <c r="L215" s="24"/>
      <c r="M215" s="6"/>
      <c r="N215" s="7"/>
      <c r="O215" s="7"/>
      <c r="P215" s="7"/>
      <c r="Q215" s="25"/>
      <c r="R215" s="25"/>
      <c r="S215" s="37"/>
      <c r="T215" s="52"/>
      <c r="U215" s="126"/>
      <c r="V215" s="106"/>
      <c r="W215" s="54"/>
      <c r="X215" s="120"/>
      <c r="Y215" s="69"/>
      <c r="Z215" s="69"/>
      <c r="AA215" s="69"/>
      <c r="AB215" s="66"/>
      <c r="AC215" s="62"/>
      <c r="AD215" s="63"/>
      <c r="AE215" s="99"/>
      <c r="AF215" s="96"/>
      <c r="AG215" s="1"/>
      <c r="AI215" s="149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32"/>
      <c r="L216" s="24"/>
      <c r="M216" s="6"/>
      <c r="N216" s="7"/>
      <c r="O216" s="7"/>
      <c r="P216" s="7"/>
      <c r="Q216" s="25"/>
      <c r="R216" s="25"/>
      <c r="S216" s="37"/>
      <c r="T216" s="52"/>
      <c r="U216" s="126"/>
      <c r="V216" s="106"/>
      <c r="W216" s="54"/>
      <c r="X216" s="120"/>
      <c r="Y216" s="69"/>
      <c r="Z216" s="69"/>
      <c r="AA216" s="69"/>
      <c r="AB216" s="66"/>
      <c r="AC216" s="62"/>
      <c r="AD216" s="63"/>
      <c r="AE216" s="99"/>
      <c r="AF216" s="96"/>
      <c r="AG216" s="1"/>
      <c r="AI216" s="149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32"/>
      <c r="L217" s="24"/>
      <c r="M217" s="6"/>
      <c r="N217" s="7"/>
      <c r="O217" s="7"/>
      <c r="P217" s="7"/>
      <c r="Q217" s="25"/>
      <c r="R217" s="25"/>
      <c r="S217" s="37"/>
      <c r="T217" s="52"/>
      <c r="U217" s="126"/>
      <c r="V217" s="106"/>
      <c r="W217" s="54"/>
      <c r="X217" s="120"/>
      <c r="Y217" s="69"/>
      <c r="Z217" s="69"/>
      <c r="AA217" s="69"/>
      <c r="AB217" s="66"/>
      <c r="AC217" s="62"/>
      <c r="AD217" s="63"/>
      <c r="AE217" s="99"/>
      <c r="AF217" s="96"/>
      <c r="AG217" s="1"/>
      <c r="AI217" s="149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32"/>
      <c r="L218" s="24"/>
      <c r="M218" s="6"/>
      <c r="N218" s="7"/>
      <c r="O218" s="7"/>
      <c r="P218" s="7"/>
      <c r="Q218" s="25"/>
      <c r="R218" s="25"/>
      <c r="S218" s="37"/>
      <c r="T218" s="52"/>
      <c r="U218" s="126"/>
      <c r="V218" s="106"/>
      <c r="W218" s="54"/>
      <c r="X218" s="120"/>
      <c r="Y218" s="69"/>
      <c r="Z218" s="69"/>
      <c r="AA218" s="69"/>
      <c r="AB218" s="66"/>
      <c r="AC218" s="62"/>
      <c r="AD218" s="63"/>
      <c r="AE218" s="99"/>
      <c r="AF218" s="96"/>
      <c r="AG218" s="1"/>
      <c r="AI218" s="149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32"/>
      <c r="L219" s="24"/>
      <c r="M219" s="6"/>
      <c r="N219" s="7"/>
      <c r="O219" s="7"/>
      <c r="P219" s="7"/>
      <c r="Q219" s="25"/>
      <c r="R219" s="25"/>
      <c r="S219" s="37"/>
      <c r="T219" s="52"/>
      <c r="U219" s="126"/>
      <c r="V219" s="106"/>
      <c r="W219" s="54"/>
      <c r="X219" s="120"/>
      <c r="Y219" s="69"/>
      <c r="Z219" s="69"/>
      <c r="AA219" s="69"/>
      <c r="AB219" s="66"/>
      <c r="AC219" s="62"/>
      <c r="AD219" s="63"/>
      <c r="AE219" s="99"/>
      <c r="AF219" s="96"/>
      <c r="AG219" s="1"/>
      <c r="AI219" s="149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32"/>
      <c r="L220" s="24"/>
      <c r="M220" s="6"/>
      <c r="N220" s="7"/>
      <c r="O220" s="7"/>
      <c r="P220" s="7"/>
      <c r="Q220" s="25"/>
      <c r="R220" s="25"/>
      <c r="S220" s="37"/>
      <c r="T220" s="52"/>
      <c r="U220" s="126"/>
      <c r="V220" s="106"/>
      <c r="W220" s="54"/>
      <c r="X220" s="120"/>
      <c r="Y220" s="69"/>
      <c r="Z220" s="69"/>
      <c r="AA220" s="69"/>
      <c r="AB220" s="66"/>
      <c r="AC220" s="62"/>
      <c r="AD220" s="63"/>
      <c r="AE220" s="99"/>
      <c r="AF220" s="96"/>
      <c r="AG220" s="1"/>
      <c r="AI220" s="149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32"/>
      <c r="L221" s="24"/>
      <c r="M221" s="6"/>
      <c r="N221" s="7"/>
      <c r="O221" s="7"/>
      <c r="P221" s="7"/>
      <c r="Q221" s="25"/>
      <c r="R221" s="25"/>
      <c r="S221" s="37"/>
      <c r="T221" s="52"/>
      <c r="U221" s="126"/>
      <c r="V221" s="106"/>
      <c r="W221" s="54"/>
      <c r="X221" s="120"/>
      <c r="Y221" s="69"/>
      <c r="Z221" s="69"/>
      <c r="AA221" s="69"/>
      <c r="AB221" s="66"/>
      <c r="AC221" s="62"/>
      <c r="AD221" s="63"/>
      <c r="AE221" s="99"/>
      <c r="AF221" s="96"/>
      <c r="AG221" s="1"/>
      <c r="AI221" s="14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32"/>
      <c r="L222" s="24"/>
      <c r="M222" s="6"/>
      <c r="N222" s="7"/>
      <c r="O222" s="7"/>
      <c r="P222" s="7"/>
      <c r="Q222" s="25"/>
      <c r="R222" s="25"/>
      <c r="S222" s="37"/>
      <c r="T222" s="52"/>
      <c r="U222" s="126"/>
      <c r="V222" s="106"/>
      <c r="W222" s="54"/>
      <c r="X222" s="120"/>
      <c r="Y222" s="69"/>
      <c r="Z222" s="69"/>
      <c r="AA222" s="69"/>
      <c r="AB222" s="66"/>
      <c r="AC222" s="62"/>
      <c r="AD222" s="63"/>
      <c r="AE222" s="99"/>
      <c r="AF222" s="96"/>
      <c r="AG222" s="1"/>
      <c r="AI222" s="14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  <c r="AI223" s="14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  <c r="AI224" s="149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  <c r="AI225" s="14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  <c r="AI226" s="149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  <c r="AI227" s="14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32"/>
      <c r="L228" s="24"/>
      <c r="M228" s="6"/>
      <c r="N228" s="7"/>
      <c r="O228" s="7"/>
      <c r="P228" s="7"/>
      <c r="Q228" s="25"/>
      <c r="R228" s="25"/>
      <c r="S228" s="37"/>
      <c r="T228" s="52"/>
      <c r="U228" s="126"/>
      <c r="V228" s="106"/>
      <c r="W228" s="54"/>
      <c r="X228" s="120"/>
      <c r="Y228" s="69"/>
      <c r="Z228" s="69"/>
      <c r="AA228" s="69"/>
      <c r="AB228" s="66"/>
      <c r="AC228" s="62"/>
      <c r="AD228" s="63"/>
      <c r="AE228" s="99"/>
      <c r="AF228" s="96"/>
      <c r="AG228" s="1"/>
      <c r="AI228" s="14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32"/>
      <c r="L229" s="24"/>
      <c r="M229" s="6"/>
      <c r="N229" s="7"/>
      <c r="O229" s="7"/>
      <c r="P229" s="7"/>
      <c r="Q229" s="25"/>
      <c r="R229" s="25"/>
      <c r="S229" s="37"/>
      <c r="T229" s="52"/>
      <c r="U229" s="126"/>
      <c r="V229" s="106"/>
      <c r="W229" s="54"/>
      <c r="X229" s="120"/>
      <c r="Y229" s="69"/>
      <c r="Z229" s="69"/>
      <c r="AA229" s="69"/>
      <c r="AB229" s="66"/>
      <c r="AC229" s="62"/>
      <c r="AD229" s="63"/>
      <c r="AE229" s="99"/>
      <c r="AF229" s="96"/>
      <c r="AG229" s="1"/>
      <c r="AI229" s="14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32"/>
      <c r="L230" s="24"/>
      <c r="M230" s="6"/>
      <c r="N230" s="7"/>
      <c r="O230" s="7"/>
      <c r="P230" s="7"/>
      <c r="Q230" s="25"/>
      <c r="R230" s="25"/>
      <c r="S230" s="37"/>
      <c r="T230" s="52"/>
      <c r="U230" s="126"/>
      <c r="V230" s="106"/>
      <c r="W230" s="54"/>
      <c r="X230" s="120"/>
      <c r="Y230" s="69"/>
      <c r="Z230" s="69"/>
      <c r="AA230" s="69"/>
      <c r="AB230" s="66"/>
      <c r="AC230" s="62"/>
      <c r="AD230" s="63"/>
      <c r="AE230" s="99"/>
      <c r="AF230" s="96"/>
      <c r="AG230" s="1"/>
      <c r="AI230" s="14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  <c r="AI231" s="14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32"/>
      <c r="L232" s="24"/>
      <c r="M232" s="6"/>
      <c r="N232" s="7"/>
      <c r="O232" s="7"/>
      <c r="P232" s="7"/>
      <c r="Q232" s="25"/>
      <c r="R232" s="25"/>
      <c r="S232" s="37"/>
      <c r="T232" s="52"/>
      <c r="U232" s="126"/>
      <c r="V232" s="106"/>
      <c r="W232" s="54"/>
      <c r="X232" s="120"/>
      <c r="Y232" s="69"/>
      <c r="Z232" s="69"/>
      <c r="AA232" s="69"/>
      <c r="AB232" s="66"/>
      <c r="AC232" s="62"/>
      <c r="AD232" s="63"/>
      <c r="AE232" s="99"/>
      <c r="AF232" s="96"/>
      <c r="AG232" s="1"/>
      <c r="AI232" s="14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32"/>
      <c r="L233" s="24"/>
      <c r="M233" s="6"/>
      <c r="N233" s="7"/>
      <c r="O233" s="7"/>
      <c r="P233" s="7"/>
      <c r="Q233" s="25"/>
      <c r="R233" s="25"/>
      <c r="S233" s="37"/>
      <c r="T233" s="52"/>
      <c r="U233" s="126"/>
      <c r="V233" s="106"/>
      <c r="W233" s="54"/>
      <c r="X233" s="120"/>
      <c r="Y233" s="69"/>
      <c r="Z233" s="69"/>
      <c r="AA233" s="69"/>
      <c r="AB233" s="66"/>
      <c r="AC233" s="62"/>
      <c r="AD233" s="63"/>
      <c r="AE233" s="99"/>
      <c r="AF233" s="96"/>
      <c r="AG233" s="1"/>
      <c r="AI233" s="14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32"/>
      <c r="L234" s="24"/>
      <c r="M234" s="6"/>
      <c r="N234" s="7"/>
      <c r="O234" s="7"/>
      <c r="P234" s="7"/>
      <c r="Q234" s="25"/>
      <c r="R234" s="25"/>
      <c r="S234" s="37"/>
      <c r="T234" s="52"/>
      <c r="U234" s="126"/>
      <c r="V234" s="106"/>
      <c r="W234" s="54"/>
      <c r="X234" s="120"/>
      <c r="Y234" s="69"/>
      <c r="Z234" s="69"/>
      <c r="AA234" s="69"/>
      <c r="AB234" s="66"/>
      <c r="AC234" s="62"/>
      <c r="AD234" s="63"/>
      <c r="AE234" s="99"/>
      <c r="AF234" s="96"/>
      <c r="AG234" s="1"/>
      <c r="AI234" s="14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32"/>
      <c r="L235" s="24"/>
      <c r="M235" s="6"/>
      <c r="N235" s="7"/>
      <c r="O235" s="7"/>
      <c r="P235" s="7"/>
      <c r="Q235" s="25"/>
      <c r="R235" s="25"/>
      <c r="S235" s="37"/>
      <c r="T235" s="52"/>
      <c r="U235" s="126"/>
      <c r="V235" s="106"/>
      <c r="W235" s="54"/>
      <c r="X235" s="120"/>
      <c r="Y235" s="69"/>
      <c r="Z235" s="69"/>
      <c r="AA235" s="69"/>
      <c r="AB235" s="66"/>
      <c r="AC235" s="62"/>
      <c r="AD235" s="63"/>
      <c r="AE235" s="99"/>
      <c r="AF235" s="96"/>
      <c r="AG235" s="1"/>
      <c r="AI235" s="14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32"/>
      <c r="L236" s="24"/>
      <c r="M236" s="6"/>
      <c r="N236" s="7"/>
      <c r="O236" s="7"/>
      <c r="P236" s="7"/>
      <c r="Q236" s="25"/>
      <c r="R236" s="25"/>
      <c r="S236" s="37"/>
      <c r="T236" s="52"/>
      <c r="U236" s="126"/>
      <c r="V236" s="106"/>
      <c r="W236" s="54"/>
      <c r="X236" s="120"/>
      <c r="Y236" s="69"/>
      <c r="Z236" s="69"/>
      <c r="AA236" s="69"/>
      <c r="AB236" s="66"/>
      <c r="AC236" s="62"/>
      <c r="AD236" s="63"/>
      <c r="AE236" s="99"/>
      <c r="AF236" s="96"/>
      <c r="AG236" s="1"/>
      <c r="AI236" s="14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32"/>
      <c r="L237" s="24"/>
      <c r="M237" s="6"/>
      <c r="N237" s="7"/>
      <c r="O237" s="7"/>
      <c r="P237" s="7"/>
      <c r="Q237" s="25"/>
      <c r="R237" s="25"/>
      <c r="S237" s="37"/>
      <c r="T237" s="52"/>
      <c r="U237" s="126"/>
      <c r="V237" s="106"/>
      <c r="W237" s="54"/>
      <c r="X237" s="120"/>
      <c r="Y237" s="69"/>
      <c r="Z237" s="69"/>
      <c r="AA237" s="69"/>
      <c r="AB237" s="66"/>
      <c r="AC237" s="62"/>
      <c r="AD237" s="63"/>
      <c r="AE237" s="99"/>
      <c r="AF237" s="96"/>
      <c r="AG237" s="1"/>
      <c r="AI237" s="149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32"/>
      <c r="L238" s="24"/>
      <c r="M238" s="6"/>
      <c r="N238" s="7"/>
      <c r="O238" s="7"/>
      <c r="P238" s="7"/>
      <c r="Q238" s="25"/>
      <c r="R238" s="25"/>
      <c r="S238" s="37"/>
      <c r="T238" s="52"/>
      <c r="U238" s="126"/>
      <c r="V238" s="106"/>
      <c r="W238" s="54"/>
      <c r="X238" s="120"/>
      <c r="Y238" s="69"/>
      <c r="Z238" s="69"/>
      <c r="AA238" s="69"/>
      <c r="AB238" s="66"/>
      <c r="AC238" s="62"/>
      <c r="AD238" s="63"/>
      <c r="AE238" s="99"/>
      <c r="AF238" s="96"/>
      <c r="AG238" s="1"/>
      <c r="AI238" s="149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32"/>
      <c r="L239" s="24"/>
      <c r="M239" s="6"/>
      <c r="N239" s="7"/>
      <c r="O239" s="7"/>
      <c r="P239" s="7"/>
      <c r="Q239" s="25"/>
      <c r="R239" s="25"/>
      <c r="S239" s="37"/>
      <c r="T239" s="52"/>
      <c r="U239" s="126"/>
      <c r="V239" s="106"/>
      <c r="W239" s="54"/>
      <c r="X239" s="120"/>
      <c r="Y239" s="69"/>
      <c r="Z239" s="69"/>
      <c r="AA239" s="69"/>
      <c r="AB239" s="66"/>
      <c r="AC239" s="62"/>
      <c r="AD239" s="63"/>
      <c r="AE239" s="99"/>
      <c r="AF239" s="96"/>
      <c r="AG239" s="1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32"/>
      <c r="L240" s="24"/>
      <c r="M240" s="6"/>
      <c r="N240" s="7"/>
      <c r="O240" s="7"/>
      <c r="P240" s="7"/>
      <c r="Q240" s="25"/>
      <c r="R240" s="25"/>
      <c r="S240" s="37"/>
      <c r="T240" s="52"/>
      <c r="U240" s="126"/>
      <c r="V240" s="106"/>
      <c r="W240" s="54"/>
      <c r="X240" s="120"/>
      <c r="Y240" s="69"/>
      <c r="Z240" s="69"/>
      <c r="AA240" s="69"/>
      <c r="AB240" s="66"/>
      <c r="AC240" s="62"/>
      <c r="AD240" s="63"/>
      <c r="AE240" s="99"/>
      <c r="AF240" s="96"/>
      <c r="AG240" s="1"/>
    </row>
    <row r="241" spans="1:33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32"/>
      <c r="L241" s="24"/>
      <c r="M241" s="6"/>
      <c r="N241" s="7"/>
      <c r="O241" s="7"/>
      <c r="P241" s="7"/>
      <c r="Q241" s="25"/>
      <c r="R241" s="25"/>
      <c r="S241" s="37"/>
      <c r="T241" s="52"/>
      <c r="U241" s="126"/>
      <c r="V241" s="106"/>
      <c r="W241" s="54"/>
      <c r="X241" s="120"/>
      <c r="Y241" s="69"/>
      <c r="Z241" s="69"/>
      <c r="AA241" s="69"/>
      <c r="AB241" s="66"/>
      <c r="AC241" s="62"/>
      <c r="AD241" s="63"/>
      <c r="AE241" s="99"/>
      <c r="AF241" s="96"/>
      <c r="AG241" s="1"/>
    </row>
  </sheetData>
  <autoFilter ref="A12:AG241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41">
    <cfRule type="expression" dxfId="5" priority="235">
      <formula>$O13&gt;0</formula>
    </cfRule>
  </conditionalFormatting>
  <conditionalFormatting sqref="A13:S241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AK13:AK238</xm:sqref>
        </x14:dataValidation>
        <x14:dataValidation type="list" allowBlank="1" showInputMessage="1" showErrorMessage="1">
          <x14:formula1>
            <xm:f>'Redmine List Values'!$C$2:$C$13</xm:f>
          </x14:formula1>
          <xm:sqref>AL13:AL238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4"/>
  <sheetViews>
    <sheetView topLeftCell="A2" workbookViewId="0">
      <selection activeCell="M9" sqref="M9:N1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COUNTIF($M$7:$M$403,"=Y")</f>
        <v>0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COUNTA($M$7:$M$403)-M2</f>
        <v>36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4" t="str">
        <f>"Eagle P3 Braking Events - "&amp;TEXT(Variables!$A$2,"YYYY-mm-dd")</f>
        <v>Eagle P3 Braking Events - 2016-08-28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236</v>
      </c>
      <c r="X6" s="161" t="s">
        <v>237</v>
      </c>
      <c r="Y6" s="161" t="s">
        <v>209</v>
      </c>
      <c r="Z6" s="161" t="s">
        <v>238</v>
      </c>
    </row>
    <row r="7" spans="1:26" s="1" customFormat="1" x14ac:dyDescent="0.25">
      <c r="A7" s="38">
        <v>42610.245567129627</v>
      </c>
      <c r="B7" s="33" t="s">
        <v>112</v>
      </c>
      <c r="C7" s="33" t="s">
        <v>352</v>
      </c>
      <c r="D7" s="33" t="s">
        <v>49</v>
      </c>
      <c r="E7" s="33" t="s">
        <v>278</v>
      </c>
      <c r="F7" s="49">
        <v>0</v>
      </c>
      <c r="G7" s="49">
        <v>239</v>
      </c>
      <c r="H7" s="49">
        <v>33050</v>
      </c>
      <c r="I7" s="33" t="s">
        <v>277</v>
      </c>
      <c r="J7" s="49">
        <v>33137</v>
      </c>
      <c r="K7" s="33" t="s">
        <v>52</v>
      </c>
      <c r="L7" s="92" t="str">
        <f>VLOOKUP(C7,'Trips&amp;Operators'!$C$1:$E$9999,3,0)</f>
        <v>ACKERMAN</v>
      </c>
      <c r="M7" s="131" t="s">
        <v>86</v>
      </c>
      <c r="N7" s="10" t="s">
        <v>669</v>
      </c>
      <c r="O7" s="33"/>
      <c r="P7" s="108" t="str">
        <f>VLOOKUP(C7,'Train Runs'!$A$13:$AE$10016,31,0)</f>
        <v>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 &amp; 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</v>
      </c>
      <c r="Q7" s="111" t="str">
        <f>VLOOKUP(C7,'Train Runs'!$A$13:$AE$10016,22,0)</f>
        <v>https://search-rtdc-monitor-bjffxe2xuh6vdkpspy63sjmuny.us-east-1.es.amazonaws.com/_plugin/kibana/#/discover/Steve-Slow-Train-Analysis-(2080s-and-2083s)?_g=(refreshInterval:(display:Off,section:0,value:0),time:(from:'2016-08-28 04:34:11-0600',mode:absolute,to:'2016-08-28 07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7" s="113" t="str">
        <f t="shared" ref="R7:R42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/stypes="*4014*201608281*" /stext=" 11:.+((SYSTEM_STATE.+slice.+state.+changed )|(ment ac)|(system.+state.+changed )|(\|lc)|(penalty)|(\[timeout)|(PRM\|1\|D)|(kpr)|(kdp))" /e /r /s</v>
      </c>
      <c r="S7" s="9" t="str">
        <f t="shared" ref="S7:S42" si="1">MID(B7,13,4)</f>
        <v>4014</v>
      </c>
      <c r="T7" s="38">
        <f t="shared" ref="T7:T42" si="2">A7+6/24</f>
        <v>42610.495567129627</v>
      </c>
      <c r="U7" s="52" t="str">
        <f t="shared" ref="U7:U42" si="3">IF(VALUE(LEFT(IF(LEN(C7)=6,"0"&amp;C7,C7),2))&lt;=2,"EC",IF(OR(VALUE(LEFT(IF(LEN(C7)=6,"0"&amp;C7,C7),2))=8,VALUE(LEFT(IF(LEN(C7)=6,"0"&amp;C7,C7),2))=18),"NW","Other"))</f>
        <v>EC</v>
      </c>
      <c r="V7" s="52" t="str">
        <f t="shared" ref="V7:V42" si="4">IF(AND(E7="TRACK WARRANT AUTHORITY",G7&lt;10),"OMIT","KEEP")</f>
        <v>KEEP</v>
      </c>
      <c r="W7" s="149" t="str">
        <f t="shared" ref="W7:W42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arrival","project_id":79,"tracker_id":40,"status_id":1,"priority_id":2,"assigned_to_id":23,"start_date":"2016-08-28","description":"","custom_fields":[{"id":1,"name":"Subdivision","value":"EC"},{"id":4,"name":"Milepost","value":"3.3137"},{"id":17,"name":"Train ID","value":"117-28"},{"id":16,"name":"Locomotive ID","value":"4014"},{"id":130,"name":"Impact","value":""},{"id":150,"name":"Time of Event (Mountain Time)","value":"05:53:37"},{"id":151,"name":"Denver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42610.683344907404</v>
      </c>
      <c r="B8" s="33" t="s">
        <v>112</v>
      </c>
      <c r="C8" s="33" t="s">
        <v>368</v>
      </c>
      <c r="D8" s="33" t="s">
        <v>49</v>
      </c>
      <c r="E8" s="33" t="s">
        <v>278</v>
      </c>
      <c r="F8" s="49">
        <v>0</v>
      </c>
      <c r="G8" s="49">
        <v>331</v>
      </c>
      <c r="H8" s="49">
        <v>33101</v>
      </c>
      <c r="I8" s="33" t="s">
        <v>277</v>
      </c>
      <c r="J8" s="49">
        <v>33137</v>
      </c>
      <c r="K8" s="33" t="s">
        <v>52</v>
      </c>
      <c r="L8" s="92" t="str">
        <f>VLOOKUP(C8,'Trips&amp;Operators'!$C$1:$E$9999,3,0)</f>
        <v>STEWART</v>
      </c>
      <c r="M8" s="131" t="s">
        <v>86</v>
      </c>
      <c r="N8" s="10" t="s">
        <v>669</v>
      </c>
      <c r="O8" s="33"/>
      <c r="P8" s="108" t="str">
        <f>VLOOKUP(C8,'Train Runs'!$A$13:$AE$10016,31,0)</f>
        <v>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 &amp; 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</v>
      </c>
      <c r="Q8" s="111" t="str">
        <f>VLOOKUP(C8,'Train Runs'!$A$13:$AE$10016,22,0)</f>
        <v>https://search-rtdc-monitor-bjffxe2xuh6vdkpspy63sjmuny.us-east-1.es.amazonaws.com/_plugin/kibana/#/discover/Steve-Slow-Train-Analysis-(2080s-and-2083s)?_g=(refreshInterval:(display:Off,section:0,value:0),time:(from:'2016-08-28 15:09:40-0600',mode:absolute,to:'2016-08-28 17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8" s="113" t="str">
        <f t="shared" si="0"/>
        <v>"C:\Program Files (x86)\AstroGrep\AstroGrep.exe" /spath="%USERPROFILE%\AppData\Local\Temp\OnboardLogs" /stypes="*4014*201608282*" /stext=" 22:.+((SYSTEM_STATE.+slice.+state.+changed )|(ment ac)|(system.+state.+changed )|(\|lc)|(penalty)|(\[timeout)|(PRM\|1\|D)|(kpr)|(kdp))" /e /r /s</v>
      </c>
      <c r="S8" s="9" t="str">
        <f t="shared" si="1"/>
        <v>4014</v>
      </c>
      <c r="T8" s="38">
        <f t="shared" si="2"/>
        <v>42610.933344907404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{"issue":{"subject":"Early arrival","project_id":79,"tracker_id":40,"status_id":1,"priority_id":2,"assigned_to_id":23,"start_date":"2016-08-28","description":"","custom_fields":[{"id":1,"name":"Subdivision","value":"EC"},{"id":4,"name":"Milepost","value":"3.3137"},{"id":17,"name":"Train ID","value":"201-28"},{"id":16,"name":"Locomotive ID","value":"4014"},{"id":130,"name":"Impact","value":""},{"id":150,"name":"Time of Event (Mountain Time)","value":"16:24:01"},{"id":151,"name":"Denver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42610.796203703707</v>
      </c>
      <c r="B9" s="33" t="s">
        <v>265</v>
      </c>
      <c r="C9" s="33" t="s">
        <v>373</v>
      </c>
      <c r="D9" s="33" t="s">
        <v>111</v>
      </c>
      <c r="E9" s="33" t="s">
        <v>278</v>
      </c>
      <c r="F9" s="49">
        <v>0</v>
      </c>
      <c r="G9" s="49">
        <v>402</v>
      </c>
      <c r="H9" s="49">
        <v>58867</v>
      </c>
      <c r="I9" s="33" t="s">
        <v>277</v>
      </c>
      <c r="J9" s="49">
        <v>58904</v>
      </c>
      <c r="K9" s="33" t="s">
        <v>53</v>
      </c>
      <c r="L9" s="92" t="str">
        <f>VLOOKUP(C9,'Trips&amp;Operators'!$C$1:$E$9999,3,0)</f>
        <v>COOLAHAN</v>
      </c>
      <c r="M9" s="131" t="s">
        <v>86</v>
      </c>
      <c r="N9" s="10" t="s">
        <v>669</v>
      </c>
      <c r="O9" s="33"/>
      <c r="P9" s="108" t="str">
        <f>VLOOKUP(C9,'Train Runs'!$A$13:$AE$10016,31,0)</f>
        <v>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 &amp; 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</v>
      </c>
      <c r="Q9" s="111" t="str">
        <f>VLOOKUP(C9,'Train Runs'!$A$13:$AE$10016,22,0)</f>
        <v>https://search-rtdc-monitor-bjffxe2xuh6vdkpspy63sjmuny.us-east-1.es.amazonaws.com/_plugin/kibana/#/discover/Steve-Slow-Train-Analysis-(2080s-and-2083s)?_g=(refreshInterval:(display:Off,section:0,value:0),time:(from:'2016-08-28 17:35:30-0600',mode:absolute,to:'2016-08-28 20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9" s="113" t="str">
        <f t="shared" si="0"/>
        <v>"C:\Program Files (x86)\AstroGrep\AstroGrep.exe" /spath="%USERPROFILE%\AppData\Local\Temp\OnboardLogs" /stypes="*4039*201608290*" /stext=" 01:.+((SYSTEM_STATE.+slice.+state.+changed )|(ment ac)|(system.+state.+changed )|(\|lc)|(penalty)|(\[timeout)|(PRM\|1\|D)|(kpr)|(kdp))" /e /r /s</v>
      </c>
      <c r="S9" s="9" t="str">
        <f t="shared" si="1"/>
        <v>4039</v>
      </c>
      <c r="T9" s="38">
        <f t="shared" si="2"/>
        <v>42611.046203703707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{"issue":{"subject":"Early arrival","project_id":79,"tracker_id":40,"status_id":1,"priority_id":2,"assigned_to_id":23,"start_date":"2016-08-28","description":"","custom_fields":[{"id":1,"name":"Subdivision","value":"EC"},{"id":4,"name":"Milepost","value":"5.8904"},{"id":17,"name":"Train ID","value":"214-28"},{"id":16,"name":"Locomotive ID","value":"4039"},{"id":130,"name":"Impact","value":""},{"id":150,"name":"Time of Event (Mountain Time)","value":"19:06:32"},{"id":151,"name":"Denver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42610.748912037037</v>
      </c>
      <c r="B10" s="33" t="s">
        <v>261</v>
      </c>
      <c r="C10" s="33" t="s">
        <v>370</v>
      </c>
      <c r="D10" s="33" t="s">
        <v>49</v>
      </c>
      <c r="E10" s="33" t="s">
        <v>278</v>
      </c>
      <c r="F10" s="49">
        <v>0</v>
      </c>
      <c r="G10" s="49">
        <v>339</v>
      </c>
      <c r="H10" s="49">
        <v>62365</v>
      </c>
      <c r="I10" s="33" t="s">
        <v>277</v>
      </c>
      <c r="J10" s="49">
        <v>63069</v>
      </c>
      <c r="K10" s="33" t="s">
        <v>52</v>
      </c>
      <c r="L10" s="92" t="str">
        <f>VLOOKUP(C10,'Trips&amp;Operators'!$C$1:$E$9999,3,0)</f>
        <v>COOLAHAN</v>
      </c>
      <c r="M10" s="131" t="s">
        <v>86</v>
      </c>
      <c r="N10" s="10" t="s">
        <v>669</v>
      </c>
      <c r="O10" s="33"/>
      <c r="P10" s="108" t="str">
        <f>VLOOKUP(C10,'Train Runs'!$A$13:$AE$10016,31,0)</f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Q10" s="111" t="str">
        <f>VLOOKUP(C10,'Train Runs'!$A$13:$AE$10016,22,0)</f>
        <v>https://search-rtdc-monitor-bjffxe2xuh6vdkpspy63sjmuny.us-east-1.es.amazonaws.com/_plugin/kibana/#/discover/Steve-Slow-Train-Analysis-(2080s-and-2083s)?_g=(refreshInterval:(display:Off,section:0,value:0),time:(from:'2016-08-28 16:37:35-0600',mode:absolute,to:'2016-08-28 19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0" s="113" t="str">
        <f t="shared" si="0"/>
        <v>"C:\Program Files (x86)\AstroGrep\AstroGrep.exe" /spath="%USERPROFILE%\AppData\Local\Temp\OnboardLogs" /stypes="*4040*201608282*" /stext=" 23:.+((SYSTEM_STATE.+slice.+state.+changed )|(ment ac)|(system.+state.+changed )|(\|lc)|(penalty)|(\[timeout)|(PRM\|1\|D)|(kpr)|(kdp))" /e /r /s</v>
      </c>
      <c r="S10" s="9" t="str">
        <f t="shared" si="1"/>
        <v>4040</v>
      </c>
      <c r="T10" s="38">
        <f t="shared" si="2"/>
        <v>42610.998912037037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{"issue":{"subject":"Early arrival","project_id":79,"tracker_id":40,"status_id":1,"priority_id":2,"assigned_to_id":23,"start_date":"2016-08-28","description":"","custom_fields":[{"id":1,"name":"Subdivision","value":"EC"},{"id":4,"name":"Milepost","value":"6.3069"},{"id":17,"name":"Train ID","value":"213-28"},{"id":16,"name":"Locomotive ID","value":"4040"},{"id":130,"name":"Impact","value":""},{"id":150,"name":"Time of Event (Mountain Time)","value":"17:58:26"},{"id":151,"name":"Denver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42610.345486111109</v>
      </c>
      <c r="B11" s="33" t="s">
        <v>178</v>
      </c>
      <c r="C11" s="33" t="s">
        <v>356</v>
      </c>
      <c r="D11" s="33" t="s">
        <v>49</v>
      </c>
      <c r="E11" s="33" t="s">
        <v>56</v>
      </c>
      <c r="F11" s="49">
        <v>300</v>
      </c>
      <c r="G11" s="49">
        <v>351</v>
      </c>
      <c r="H11" s="49">
        <v>23064</v>
      </c>
      <c r="I11" s="33" t="s">
        <v>57</v>
      </c>
      <c r="J11" s="49">
        <v>21848</v>
      </c>
      <c r="K11" s="33" t="s">
        <v>53</v>
      </c>
      <c r="L11" s="92" t="str">
        <f>VLOOKUP(C11,'Trips&amp;Operators'!$C$1:$E$9999,3,0)</f>
        <v>STRICKLAND</v>
      </c>
      <c r="M11" s="131" t="s">
        <v>86</v>
      </c>
      <c r="N11" s="10"/>
      <c r="O11" s="33"/>
      <c r="P11" s="108" t="str">
        <f>VLOOKUP(C11,'Train Runs'!$A$13:$AE$10016,31,0)</f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Q11" s="111" t="str">
        <f>VLOOKUP(C11,'Train Runs'!$A$13:$AE$10016,22,0)</f>
        <v>https://search-rtdc-monitor-bjffxe2xuh6vdkpspy63sjmuny.us-east-1.es.amazonaws.com/_plugin/kibana/#/discover/Steve-Slow-Train-Analysis-(2080s-and-2083s)?_g=(refreshInterval:(display:Off,section:0,value:0),time:(from:'2016-08-28 06:33:30-0600',mode:absolute,to:'2016-08-28 09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1" s="113" t="str">
        <f t="shared" si="0"/>
        <v>"C:\Program Files (x86)\AstroGrep\AstroGrep.exe" /spath="%USERPROFILE%\AppData\Local\Temp\OnboardLogs" /stypes="*4001*201608281*" /stext=" 14:.+((SYSTEM_STATE.+slice.+state.+changed )|(ment ac)|(system.+state.+changed )|(\|lc)|(penalty)|(\[timeout)|(PRM\|1\|D)|(kpr)|(kdp))" /e /r /s</v>
      </c>
      <c r="S11" s="9" t="str">
        <f t="shared" si="1"/>
        <v>4001</v>
      </c>
      <c r="T11" s="38">
        <f t="shared" si="2"/>
        <v>42610.595486111109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{"issue":{"subject":"","project_id":79,"tracker_id":40,"status_id":1,"priority_id":2,"assigned_to_id":23,"start_date":"2016-08-28","description":"","custom_fields":[{"id":1,"name":"Subdivision","value":"EC"},{"id":4,"name":"Milepost","value":"2.1848"},{"id":17,"name":"Train ID","value":"126-28"},{"id":16,"name":"Locomotive ID","value":"4001"},{"id":130,"name":"Impact","value":""},{"id":150,"name":"Time of Event (Mountain Time)","value":"08:17:30"},{"id":151,"name":"Denver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42610.490694444445</v>
      </c>
      <c r="B12" s="33" t="s">
        <v>178</v>
      </c>
      <c r="C12" s="33" t="s">
        <v>364</v>
      </c>
      <c r="D12" s="33" t="s">
        <v>49</v>
      </c>
      <c r="E12" s="33" t="s">
        <v>56</v>
      </c>
      <c r="F12" s="49">
        <v>300</v>
      </c>
      <c r="G12" s="49">
        <v>407</v>
      </c>
      <c r="H12" s="49">
        <v>23218</v>
      </c>
      <c r="I12" s="33" t="s">
        <v>57</v>
      </c>
      <c r="J12" s="49">
        <v>21848</v>
      </c>
      <c r="K12" s="33" t="s">
        <v>53</v>
      </c>
      <c r="L12" s="92" t="str">
        <f>VLOOKUP(C12,'Trips&amp;Operators'!$C$1:$E$9999,3,0)</f>
        <v>STRICKLAND</v>
      </c>
      <c r="M12" s="131" t="s">
        <v>86</v>
      </c>
      <c r="N12" s="10"/>
      <c r="O12" s="33"/>
      <c r="P12" s="108" t="str">
        <f>VLOOKUP(C12,'Train Runs'!$A$13:$AE$10016,31,0)</f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Q12" s="111" t="str">
        <f>VLOOKUP(C12,'Train Runs'!$A$13:$AE$10016,22,0)</f>
        <v>https://search-rtdc-monitor-bjffxe2xuh6vdkpspy63sjmuny.us-east-1.es.amazonaws.com/_plugin/kibana/#/discover/Steve-Slow-Train-Analysis-(2080s-and-2083s)?_g=(refreshInterval:(display:Off,section:0,value:0),time:(from:'2016-08-28 10:04:13-0600',mode:absolute,to:'2016-08-28 12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2" s="113" t="str">
        <f t="shared" si="0"/>
        <v>"C:\Program Files (x86)\AstroGrep\AstroGrep.exe" /spath="%USERPROFILE%\AppData\Local\Temp\OnboardLogs" /stypes="*4001*201608281*" /stext=" 17:.+((SYSTEM_STATE.+slice.+state.+changed )|(ment ac)|(system.+state.+changed )|(\|lc)|(penalty)|(\[timeout)|(PRM\|1\|D)|(kpr)|(kdp))" /e /r /s</v>
      </c>
      <c r="S12" s="9" t="str">
        <f t="shared" si="1"/>
        <v>4001</v>
      </c>
      <c r="T12" s="38">
        <f t="shared" si="2"/>
        <v>42610.740694444445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{"issue":{"subject":"","project_id":79,"tracker_id":40,"status_id":1,"priority_id":2,"assigned_to_id":23,"start_date":"2016-08-28","description":"","custom_fields":[{"id":1,"name":"Subdivision","value":"EC"},{"id":4,"name":"Milepost","value":"2.1848"},{"id":17,"name":"Train ID","value":"154-28"},{"id":16,"name":"Locomotive ID","value":"4001"},{"id":130,"name":"Impact","value":""},{"id":150,"name":"Time of Event (Mountain Time)","value":"11:46:36"},{"id":151,"name":"Denver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42610.343506944446</v>
      </c>
      <c r="B13" s="33" t="s">
        <v>178</v>
      </c>
      <c r="C13" s="33" t="s">
        <v>356</v>
      </c>
      <c r="D13" s="33" t="s">
        <v>49</v>
      </c>
      <c r="E13" s="33" t="s">
        <v>56</v>
      </c>
      <c r="F13" s="49">
        <v>200</v>
      </c>
      <c r="G13" s="49">
        <v>253</v>
      </c>
      <c r="H13" s="49">
        <v>31287</v>
      </c>
      <c r="I13" s="33" t="s">
        <v>57</v>
      </c>
      <c r="J13" s="49">
        <v>30562</v>
      </c>
      <c r="K13" s="33" t="s">
        <v>53</v>
      </c>
      <c r="L13" s="92" t="str">
        <f>VLOOKUP(C13,'Trips&amp;Operators'!$C$1:$E$9999,3,0)</f>
        <v>STRICKLAND</v>
      </c>
      <c r="M13" s="131" t="s">
        <v>86</v>
      </c>
      <c r="N13" s="10"/>
      <c r="O13" s="33"/>
      <c r="P13" s="108" t="str">
        <f>VLOOKUP(C13,'Train Runs'!$A$13:$AE$10016,31,0)</f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Q13" s="111" t="str">
        <f>VLOOKUP(C13,'Train Runs'!$A$13:$AE$10016,22,0)</f>
        <v>https://search-rtdc-monitor-bjffxe2xuh6vdkpspy63sjmuny.us-east-1.es.amazonaws.com/_plugin/kibana/#/discover/Steve-Slow-Train-Analysis-(2080s-and-2083s)?_g=(refreshInterval:(display:Off,section:0,value:0),time:(from:'2016-08-28 06:33:30-0600',mode:absolute,to:'2016-08-28 09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3" s="113" t="str">
        <f t="shared" si="0"/>
        <v>"C:\Program Files (x86)\AstroGrep\AstroGrep.exe" /spath="%USERPROFILE%\AppData\Local\Temp\OnboardLogs" /stypes="*4001*201608281*" /stext=" 14:.+((SYSTEM_STATE.+slice.+state.+changed )|(ment ac)|(system.+state.+changed )|(\|lc)|(penalty)|(\[timeout)|(PRM\|1\|D)|(kpr)|(kdp))" /e /r /s</v>
      </c>
      <c r="S13" s="9" t="str">
        <f t="shared" si="1"/>
        <v>4001</v>
      </c>
      <c r="T13" s="38">
        <f t="shared" si="2"/>
        <v>42610.593506944446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{"issue":{"subject":"","project_id":79,"tracker_id":40,"status_id":1,"priority_id":2,"assigned_to_id":23,"start_date":"2016-08-28","description":"","custom_fields":[{"id":1,"name":"Subdivision","value":"EC"},{"id":4,"name":"Milepost","value":"3.0562"},{"id":17,"name":"Train ID","value":"126-28"},{"id":16,"name":"Locomotive ID","value":"4001"},{"id":130,"name":"Impact","value":""},{"id":150,"name":"Time of Event (Mountain Time)","value":"08:14:39"},{"id":151,"name":"Denver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42610.297129629631</v>
      </c>
      <c r="B14" s="33" t="s">
        <v>177</v>
      </c>
      <c r="C14" s="33" t="s">
        <v>355</v>
      </c>
      <c r="D14" s="33" t="s">
        <v>49</v>
      </c>
      <c r="E14" s="33" t="s">
        <v>56</v>
      </c>
      <c r="F14" s="49">
        <v>400</v>
      </c>
      <c r="G14" s="49">
        <v>465</v>
      </c>
      <c r="H14" s="49">
        <v>115710</v>
      </c>
      <c r="I14" s="33" t="s">
        <v>57</v>
      </c>
      <c r="J14" s="49">
        <v>116838</v>
      </c>
      <c r="K14" s="33" t="s">
        <v>52</v>
      </c>
      <c r="L14" s="92" t="str">
        <f>VLOOKUP(C14,'Trips&amp;Operators'!$C$1:$E$9999,3,0)</f>
        <v>STRICKLAND</v>
      </c>
      <c r="M14" s="131" t="s">
        <v>86</v>
      </c>
      <c r="N14" s="10"/>
      <c r="O14" s="33"/>
      <c r="P14" s="108" t="str">
        <f>VLOOKUP(C14,'Train Runs'!$A$13:$AE$10016,31,0)</f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Q14" s="111" t="str">
        <f>VLOOKUP(C14,'Train Runs'!$A$13:$AE$10016,22,0)</f>
        <v>https://search-rtdc-monitor-bjffxe2xuh6vdkpspy63sjmuny.us-east-1.es.amazonaws.com/_plugin/kibana/#/discover/Steve-Slow-Train-Analysis-(2080s-and-2083s)?_g=(refreshInterval:(display:Off,section:0,value:0),time:(from:'2016-08-28 05:41:58-0600',mode:absolute,to:'2016-08-28 08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4" s="113" t="str">
        <f t="shared" si="0"/>
        <v>"C:\Program Files (x86)\AstroGrep\AstroGrep.exe" /spath="%USERPROFILE%\AppData\Local\Temp\OnboardLogs" /stypes="*4002*201608281*" /stext=" 13:.+((SYSTEM_STATE.+slice.+state.+changed )|(ment ac)|(system.+state.+changed )|(\|lc)|(penalty)|(\[timeout)|(PRM\|1\|D)|(kpr)|(kdp))" /e /r /s</v>
      </c>
      <c r="S14" s="9" t="str">
        <f t="shared" si="1"/>
        <v>4002</v>
      </c>
      <c r="T14" s="38">
        <f t="shared" si="2"/>
        <v>42610.547129629631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{"issue":{"subject":"","project_id":79,"tracker_id":40,"status_id":1,"priority_id":2,"assigned_to_id":23,"start_date":"2016-08-28","description":"","custom_fields":[{"id":1,"name":"Subdivision","value":"EC"},{"id":4,"name":"Milepost","value":"11.6838"},{"id":17,"name":"Train ID","value":"125-28"},{"id":16,"name":"Locomotive ID","value":"4002"},{"id":130,"name":"Impact","value":""},{"id":150,"name":"Time of Event (Mountain Time)","value":"07:07:52"},{"id":151,"name":"Denver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42610.590231481481</v>
      </c>
      <c r="B15" s="33" t="s">
        <v>183</v>
      </c>
      <c r="C15" s="33" t="s">
        <v>367</v>
      </c>
      <c r="D15" s="33" t="s">
        <v>49</v>
      </c>
      <c r="E15" s="33" t="s">
        <v>56</v>
      </c>
      <c r="F15" s="49">
        <v>450</v>
      </c>
      <c r="G15" s="49">
        <v>559</v>
      </c>
      <c r="H15" s="49">
        <v>189562</v>
      </c>
      <c r="I15" s="33" t="s">
        <v>57</v>
      </c>
      <c r="J15" s="49">
        <v>190834</v>
      </c>
      <c r="K15" s="33" t="s">
        <v>52</v>
      </c>
      <c r="L15" s="92" t="str">
        <f>VLOOKUP(C15,'Trips&amp;Operators'!$C$1:$E$9999,3,0)</f>
        <v>MOSES</v>
      </c>
      <c r="M15" s="131" t="s">
        <v>86</v>
      </c>
      <c r="N15" s="10"/>
      <c r="O15" s="33"/>
      <c r="P15" s="108" t="str">
        <f>VLOOKUP(C15,'Train Runs'!$A$13:$AE$10016,31,0)</f>
        <v>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 &amp; 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</v>
      </c>
      <c r="Q15" s="111" t="str">
        <f>VLOOKUP(C15,'Train Runs'!$A$13:$AE$10016,22,0)</f>
        <v>https://search-rtdc-monitor-bjffxe2xuh6vdkpspy63sjmuny.us-east-1.es.amazonaws.com/_plugin/kibana/#/discover/Steve-Slow-Train-Analysis-(2080s-and-2083s)?_g=(refreshInterval:(display:Off,section:0,value:0),time:(from:'2016-08-28 12:25:34-0600',mode:absolute,to:'2016-08-28 15:16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" s="113" t="str">
        <f t="shared" si="0"/>
        <v>"C:\Program Files (x86)\AstroGrep\AstroGrep.exe" /spath="%USERPROFILE%\AppData\Local\Temp\OnboardLogs" /stypes="*4007*201608282*" /stext=" 20:.+((SYSTEM_STATE.+slice.+state.+changed )|(ment ac)|(system.+state.+changed )|(\|lc)|(penalty)|(\[timeout)|(PRM\|1\|D)|(kpr)|(kdp))" /e /r /s</v>
      </c>
      <c r="S15" s="9" t="str">
        <f t="shared" si="1"/>
        <v>4007</v>
      </c>
      <c r="T15" s="38">
        <f t="shared" si="2"/>
        <v>42610.840231481481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{"issue":{"subject":"","project_id":79,"tracker_id":40,"status_id":1,"priority_id":2,"assigned_to_id":23,"start_date":"2016-08-28","description":"","custom_fields":[{"id":1,"name":"Subdivision","value":"EC"},{"id":4,"name":"Milepost","value":"19.0834"},{"id":17,"name":"Train ID","value":"179-28"},{"id":16,"name":"Locomotive ID","value":"4007"},{"id":130,"name":"Impact","value":""},{"id":150,"name":"Time of Event (Mountain Time)","value":"14:09:56"},{"id":151,"name":"Denver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42610.468402777777</v>
      </c>
      <c r="B16" s="33" t="s">
        <v>178</v>
      </c>
      <c r="C16" s="33" t="s">
        <v>364</v>
      </c>
      <c r="D16" s="33" t="s">
        <v>111</v>
      </c>
      <c r="E16" s="33" t="s">
        <v>56</v>
      </c>
      <c r="F16" s="49">
        <v>350</v>
      </c>
      <c r="G16" s="49">
        <v>404</v>
      </c>
      <c r="H16" s="49">
        <v>225972</v>
      </c>
      <c r="I16" s="33" t="s">
        <v>57</v>
      </c>
      <c r="J16" s="49">
        <v>228668</v>
      </c>
      <c r="K16" s="33" t="s">
        <v>53</v>
      </c>
      <c r="L16" s="92" t="str">
        <f>VLOOKUP(C16,'Trips&amp;Operators'!$C$1:$E$9999,3,0)</f>
        <v>STRICKLAND</v>
      </c>
      <c r="M16" s="131" t="s">
        <v>86</v>
      </c>
      <c r="N16" s="10"/>
      <c r="O16" s="33"/>
      <c r="P16" s="108" t="str">
        <f>VLOOKUP(C16,'Train Runs'!$A$13:$AE$10016,31,0)</f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Q16" s="111" t="str">
        <f>VLOOKUP(C16,'Train Runs'!$A$13:$AE$10016,22,0)</f>
        <v>https://search-rtdc-monitor-bjffxe2xuh6vdkpspy63sjmuny.us-east-1.es.amazonaws.com/_plugin/kibana/#/discover/Steve-Slow-Train-Analysis-(2080s-and-2083s)?_g=(refreshInterval:(display:Off,section:0,value:0),time:(from:'2016-08-28 10:04:13-0600',mode:absolute,to:'2016-08-28 12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6" s="113" t="str">
        <f t="shared" si="0"/>
        <v>"C:\Program Files (x86)\AstroGrep\AstroGrep.exe" /spath="%USERPROFILE%\AppData\Local\Temp\OnboardLogs" /stypes="*4001*201608281*" /stext=" 17:.+((SYSTEM_STATE.+slice.+state.+changed )|(ment ac)|(system.+state.+changed )|(\|lc)|(penalty)|(\[timeout)|(PRM\|1\|D)|(kpr)|(kdp))" /e /r /s</v>
      </c>
      <c r="S16" s="9" t="str">
        <f t="shared" si="1"/>
        <v>4001</v>
      </c>
      <c r="T16" s="38">
        <f t="shared" si="2"/>
        <v>42610.718402777777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{"issue":{"subject":"","project_id":79,"tracker_id":40,"status_id":1,"priority_id":2,"assigned_to_id":23,"start_date":"2016-08-28","description":"","custom_fields":[{"id":1,"name":"Subdivision","value":"EC"},{"id":4,"name":"Milepost","value":"22.8668"},{"id":17,"name":"Train ID","value":"154-28"},{"id":16,"name":"Locomotive ID","value":"4001"},{"id":130,"name":"Impact","value":""},{"id":150,"name":"Time of Event (Mountain Time)","value":"11:14:30"},{"id":151,"name":"Denver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42610.234270833331</v>
      </c>
      <c r="B17" s="33" t="s">
        <v>177</v>
      </c>
      <c r="C17" s="33" t="s">
        <v>351</v>
      </c>
      <c r="D17" s="33" t="s">
        <v>49</v>
      </c>
      <c r="E17" s="33" t="s">
        <v>56</v>
      </c>
      <c r="F17" s="49">
        <v>150</v>
      </c>
      <c r="G17" s="49">
        <v>299</v>
      </c>
      <c r="H17" s="49">
        <v>228448</v>
      </c>
      <c r="I17" s="33" t="s">
        <v>57</v>
      </c>
      <c r="J17" s="49">
        <v>230436</v>
      </c>
      <c r="K17" s="33" t="s">
        <v>52</v>
      </c>
      <c r="L17" s="92" t="str">
        <f>VLOOKUP(C17,'Trips&amp;Operators'!$C$1:$E$9999,3,0)</f>
        <v>STRICKLAND</v>
      </c>
      <c r="M17" s="131" t="s">
        <v>86</v>
      </c>
      <c r="N17" s="10"/>
      <c r="O17" s="33"/>
      <c r="P17" s="108" t="str">
        <f>VLOOKUP(C17,'Train Runs'!$A$13:$AE$10016,31,0)</f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Q17" s="111" t="str">
        <f>VLOOKUP(C17,'Train Runs'!$A$13:$AE$10016,22,0)</f>
        <v>https://search-rtdc-monitor-bjffxe2xuh6vdkpspy63sjmuny.us-east-1.es.amazonaws.com/_plugin/kibana/#/discover/Steve-Slow-Train-Analysis-(2080s-and-2083s)?_g=(refreshInterval:(display:Off,section:0,value:0),time:(from:'2016-08-28 03:56:42-0600',mode:absolute,to:'2016-08-28 06:40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7" s="113" t="str">
        <f t="shared" si="0"/>
        <v>"C:\Program Files (x86)\AstroGrep\AstroGrep.exe" /spath="%USERPROFILE%\AppData\Local\Temp\OnboardLogs" /stypes="*4002*201608281*" /stext=" 11:.+((SYSTEM_STATE.+slice.+state.+changed )|(ment ac)|(system.+state.+changed )|(\|lc)|(penalty)|(\[timeout)|(PRM\|1\|D)|(kpr)|(kdp))" /e /r /s</v>
      </c>
      <c r="S17" s="9" t="str">
        <f t="shared" si="1"/>
        <v>4002</v>
      </c>
      <c r="T17" s="38">
        <f t="shared" si="2"/>
        <v>42610.484270833331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{"issue":{"subject":"","project_id":79,"tracker_id":40,"status_id":1,"priority_id":2,"assigned_to_id":23,"start_date":"2016-08-28","description":"","custom_fields":[{"id":1,"name":"Subdivision","value":"EC"},{"id":4,"name":"Milepost","value":"23.0436"},{"id":17,"name":"Train ID","value":"111-28"},{"id":16,"name":"Locomotive ID","value":"4002"},{"id":130,"name":"Impact","value":""},{"id":150,"name":"Time of Event (Mountain Time)","value":"05:37:21"},{"id":151,"name":"Denver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42610.774351851855</v>
      </c>
      <c r="B18" s="33" t="s">
        <v>112</v>
      </c>
      <c r="C18" s="33" t="s">
        <v>372</v>
      </c>
      <c r="D18" s="33" t="s">
        <v>49</v>
      </c>
      <c r="E18" s="33" t="s">
        <v>56</v>
      </c>
      <c r="F18" s="49">
        <v>150</v>
      </c>
      <c r="G18" s="49">
        <v>202</v>
      </c>
      <c r="H18" s="49">
        <v>229417</v>
      </c>
      <c r="I18" s="33" t="s">
        <v>57</v>
      </c>
      <c r="J18" s="49">
        <v>230436</v>
      </c>
      <c r="K18" s="33" t="s">
        <v>52</v>
      </c>
      <c r="L18" s="92" t="str">
        <f>VLOOKUP(C18,'Trips&amp;Operators'!$C$1:$E$9999,3,0)</f>
        <v>SHOOK</v>
      </c>
      <c r="M18" s="131" t="s">
        <v>86</v>
      </c>
      <c r="N18" s="10"/>
      <c r="O18" s="33"/>
      <c r="P18" s="108" t="str">
        <f>VLOOKUP(C18,'Train Runs'!$A$13:$AE$10016,31,0)</f>
        <v>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 &amp; 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</v>
      </c>
      <c r="Q18" s="111" t="str">
        <f>VLOOKUP(C18,'Train Runs'!$A$13:$AE$10016,22,0)</f>
        <v>https://search-rtdc-monitor-bjffxe2xuh6vdkpspy63sjmuny.us-east-1.es.amazonaws.com/_plugin/kibana/#/discover/Steve-Slow-Train-Analysis-(2080s-and-2083s)?_g=(refreshInterval:(display:Off,section:0,value:0),time:(from:'2016-08-28 16:52:39-0600',mode:absolute,to:'2016-08-28 19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8" s="113" t="str">
        <f t="shared" si="0"/>
        <v>"C:\Program Files (x86)\AstroGrep\AstroGrep.exe" /spath="%USERPROFILE%\AppData\Local\Temp\OnboardLogs" /stypes="*4014*201608290*" /stext=" 00:.+((SYSTEM_STATE.+slice.+state.+changed )|(ment ac)|(system.+state.+changed )|(\|lc)|(penalty)|(\[timeout)|(PRM\|1\|D)|(kpr)|(kdp))" /e /r /s</v>
      </c>
      <c r="S18" s="9" t="str">
        <f t="shared" si="1"/>
        <v>4014</v>
      </c>
      <c r="T18" s="38">
        <f t="shared" si="2"/>
        <v>42611.024351851855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{"issue":{"subject":"","project_id":79,"tracker_id":40,"status_id":1,"priority_id":2,"assigned_to_id":23,"start_date":"2016-08-28","description":"From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why?","custom_fields":[{"id":1,"name":"Subdivision","value":"EC"},{"id":4,"name":"Milepost","value":"23.0436"},{"id":17,"name":"Train ID","value":"215-28"},{"id":16,"name":"Locomotive ID","value":"4014"},{"id":130,"name":"Impact","value":"Enforcement"},{"id":150,"name":"Time of Event (Mountain Time)","value":"18:35:04"},{"id":151,"name":"Denver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18" s="55" t="s">
        <v>250</v>
      </c>
      <c r="Y18" s="55" t="s">
        <v>212</v>
      </c>
      <c r="Z18" s="55" t="s">
        <v>217</v>
      </c>
    </row>
    <row r="19" spans="1:26" s="1" customFormat="1" x14ac:dyDescent="0.25">
      <c r="A19" s="38">
        <v>42610.332349537035</v>
      </c>
      <c r="B19" s="33" t="s">
        <v>266</v>
      </c>
      <c r="C19" s="33" t="s">
        <v>357</v>
      </c>
      <c r="D19" s="33" t="s">
        <v>111</v>
      </c>
      <c r="E19" s="33" t="s">
        <v>56</v>
      </c>
      <c r="F19" s="49">
        <v>350</v>
      </c>
      <c r="G19" s="49">
        <v>408</v>
      </c>
      <c r="H19" s="49">
        <v>225299</v>
      </c>
      <c r="I19" s="33" t="s">
        <v>57</v>
      </c>
      <c r="J19" s="49">
        <v>232107</v>
      </c>
      <c r="K19" s="33" t="s">
        <v>53</v>
      </c>
      <c r="L19" s="92" t="str">
        <f>VLOOKUP(C19,'Trips&amp;Operators'!$C$1:$E$9999,3,0)</f>
        <v>KILLION</v>
      </c>
      <c r="M19" s="131" t="s">
        <v>86</v>
      </c>
      <c r="N19" s="10"/>
      <c r="O19" s="33"/>
      <c r="P19" s="108" t="str">
        <f>VLOOKUP(C19,'Train Runs'!$A$13:$AE$10016,31,0)</f>
        <v>aws s3 cp s3://rtdc.mdm.uploadarchive/RTDC4028/2016-08-28/ "%USERPROFILE%\AppData\Local\Temp\OnboardLogs"\RTDC4028\2016-08-28 --recursive &amp; "%USERPROFILE%\Documents\GitHub\mrs-test-scripts\Headless Mode &amp; Sideloading\WalkAndUnGZ.bat" "%USERPROFILE%\AppData\Local\Temp\OnboardLogs"\RTDC4028\2016-08-28 &amp; 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</v>
      </c>
      <c r="Q19" s="111" t="str">
        <f>VLOOKUP(C19,'Train Runs'!$A$13:$AE$10016,22,0)</f>
        <v>https://search-rtdc-monitor-bjffxe2xuh6vdkpspy63sjmuny.us-east-1.es.amazonaws.com/_plugin/kibana/#/discover/Steve-Slow-Train-Analysis-(2080s-and-2083s)?_g=(refreshInterval:(display:Off,section:0,value:0),time:(from:'2016-08-28 06:43:45-0600',mode:absolute,to:'2016-08-28 09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9" s="113" t="str">
        <f t="shared" si="0"/>
        <v>"C:\Program Files (x86)\AstroGrep\AstroGrep.exe" /spath="%USERPROFILE%\AppData\Local\Temp\OnboardLogs" /stypes="*4028*201608281*" /stext=" 13:.+((SYSTEM_STATE.+slice.+state.+changed )|(ment ac)|(system.+state.+changed )|(\|lc)|(penalty)|(\[timeout)|(PRM\|1\|D)|(kpr)|(kdp))" /e /r /s</v>
      </c>
      <c r="S19" s="9" t="str">
        <f t="shared" si="1"/>
        <v>4028</v>
      </c>
      <c r="T19" s="38">
        <f t="shared" si="2"/>
        <v>42610.582349537035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{"issue":{"subject":"","project_id":79,"tracker_id":40,"status_id":1,"priority_id":2,"assigned_to_id":23,"start_date":"2016-08-28","description":"","custom_fields":[{"id":1,"name":"Subdivision","value":"EC"},{"id":4,"name":"Milepost","value":"23.2107"},{"id":17,"name":"Train ID","value":"128-28"},{"id":16,"name":"Locomotive ID","value":"4028"},{"id":130,"name":"Impact","value":""},{"id":150,"name":"Time of Event (Mountain Time)","value":"07:58:35"},{"id":151,"name":"Denver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42610.331006944441</v>
      </c>
      <c r="B20" s="33" t="s">
        <v>178</v>
      </c>
      <c r="C20" s="33" t="s">
        <v>356</v>
      </c>
      <c r="D20" s="33" t="s">
        <v>49</v>
      </c>
      <c r="E20" s="33" t="s">
        <v>54</v>
      </c>
      <c r="F20" s="49">
        <v>0</v>
      </c>
      <c r="G20" s="49">
        <v>155</v>
      </c>
      <c r="H20" s="49">
        <v>128351</v>
      </c>
      <c r="I20" s="33" t="s">
        <v>55</v>
      </c>
      <c r="J20" s="49">
        <v>127587</v>
      </c>
      <c r="K20" s="33" t="s">
        <v>53</v>
      </c>
      <c r="L20" s="92" t="str">
        <f>VLOOKUP(C20,'Trips&amp;Operators'!$C$1:$E$9999,3,0)</f>
        <v>STRICKLAND</v>
      </c>
      <c r="M20" s="131" t="s">
        <v>86</v>
      </c>
      <c r="N20" s="10" t="s">
        <v>668</v>
      </c>
      <c r="O20" s="33"/>
      <c r="P20" s="108" t="str">
        <f>VLOOKUP(C20,'Train Runs'!$A$13:$AE$10016,31,0)</f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Q20" s="111" t="str">
        <f>VLOOKUP(C20,'Train Runs'!$A$13:$AE$10016,22,0)</f>
        <v>https://search-rtdc-monitor-bjffxe2xuh6vdkpspy63sjmuny.us-east-1.es.amazonaws.com/_plugin/kibana/#/discover/Steve-Slow-Train-Analysis-(2080s-and-2083s)?_g=(refreshInterval:(display:Off,section:0,value:0),time:(from:'2016-08-28 06:33:30-0600',mode:absolute,to:'2016-08-28 09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0" s="113" t="str">
        <f t="shared" si="0"/>
        <v>"C:\Program Files (x86)\AstroGrep\AstroGrep.exe" /spath="%USERPROFILE%\AppData\Local\Temp\OnboardLogs" /stypes="*4001*201608281*" /stext=" 13:.+((SYSTEM_STATE.+slice.+state.+changed )|(ment ac)|(system.+state.+changed )|(\|lc)|(penalty)|(\[timeout)|(PRM\|1\|D)|(kpr)|(kdp))" /e /r /s</v>
      </c>
      <c r="S20" s="9" t="str">
        <f t="shared" si="1"/>
        <v>4001</v>
      </c>
      <c r="T20" s="38">
        <f t="shared" si="2"/>
        <v>42610.581006944441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{"issue":{"subject":"40th 4S STOP, cleared shortly","project_id":79,"tracker_id":40,"status_id":1,"priority_id":2,"assigned_to_id":23,"start_date":"2016-08-28","description":"","custom_fields":[{"id":1,"name":"Subdivision","value":"EC"},{"id":4,"name":"Milepost","value":"12.7587"},{"id":17,"name":"Train ID","value":"126-28"},{"id":16,"name":"Locomotive ID","value":"4001"},{"id":130,"name":"Impact","value":""},{"id":150,"name":"Time of Event (Mountain Time)","value":"07:56:39"},{"id":151,"name":"Denver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42610.580347222225</v>
      </c>
      <c r="B21" s="33" t="s">
        <v>90</v>
      </c>
      <c r="C21" s="33" t="s">
        <v>366</v>
      </c>
      <c r="D21" s="33" t="s">
        <v>49</v>
      </c>
      <c r="E21" s="33" t="s">
        <v>54</v>
      </c>
      <c r="F21" s="49">
        <v>0</v>
      </c>
      <c r="G21" s="49">
        <v>138</v>
      </c>
      <c r="H21" s="49">
        <v>128034</v>
      </c>
      <c r="I21" s="33" t="s">
        <v>55</v>
      </c>
      <c r="J21" s="49">
        <v>127587</v>
      </c>
      <c r="K21" s="33" t="s">
        <v>53</v>
      </c>
      <c r="L21" s="92" t="str">
        <f>VLOOKUP(C21,'Trips&amp;Operators'!$C$1:$E$9999,3,0)</f>
        <v>STEWART</v>
      </c>
      <c r="M21" s="131" t="s">
        <v>86</v>
      </c>
      <c r="N21" s="10" t="s">
        <v>668</v>
      </c>
      <c r="O21" s="33"/>
      <c r="P21" s="108" t="str">
        <f>VLOOKUP(C21,'Train Runs'!$A$13:$AE$10016,31,0)</f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Q21" s="111" t="str">
        <f>VLOOKUP(C21,'Train Runs'!$A$13:$AE$10016,22,0)</f>
        <v>https://search-rtdc-monitor-bjffxe2xuh6vdkpspy63sjmuny.us-east-1.es.amazonaws.com/_plugin/kibana/#/discover/Steve-Slow-Train-Analysis-(2080s-and-2083s)?_g=(refreshInterval:(display:Off,section:0,value:0),time:(from:'2016-08-28 12:36:26-0600',mode:absolute,to:'2016-08-28 15:22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1" s="113" t="str">
        <f t="shared" si="0"/>
        <v>"C:\Program Files (x86)\AstroGrep\AstroGrep.exe" /spath="%USERPROFILE%\AppData\Local\Temp\OnboardLogs" /stypes="*4013*201608281*" /stext=" 19:.+((SYSTEM_STATE.+slice.+state.+changed )|(ment ac)|(system.+state.+changed )|(\|lc)|(penalty)|(\[timeout)|(PRM\|1\|D)|(kpr)|(kdp))" /e /r /s</v>
      </c>
      <c r="S21" s="9" t="str">
        <f t="shared" si="1"/>
        <v>4013</v>
      </c>
      <c r="T21" s="38">
        <f t="shared" si="2"/>
        <v>42610.830347222225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{"issue":{"subject":"40th 4S STOP, cleared shortly","project_id":79,"tracker_id":40,"status_id":1,"priority_id":2,"assigned_to_id":23,"start_date":"2016-08-28","description":"","custom_fields":[{"id":1,"name":"Subdivision","value":"EC"},{"id":4,"name":"Milepost","value":"12.7587"},{"id":17,"name":"Train ID","value":"174-28"},{"id":16,"name":"Locomotive ID","value":"4013"},{"id":130,"name":"Impact","value":""},{"id":150,"name":"Time of Event (Mountain Time)","value":"13:55:42"},{"id":151,"name":"Denver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42610.276122685187</v>
      </c>
      <c r="B22" s="33" t="s">
        <v>178</v>
      </c>
      <c r="C22" s="33" t="s">
        <v>353</v>
      </c>
      <c r="D22" s="33" t="s">
        <v>49</v>
      </c>
      <c r="E22" s="33" t="s">
        <v>50</v>
      </c>
      <c r="F22" s="49">
        <v>0</v>
      </c>
      <c r="G22" s="49">
        <v>71</v>
      </c>
      <c r="H22" s="49">
        <v>294</v>
      </c>
      <c r="I22" s="33" t="s">
        <v>51</v>
      </c>
      <c r="J22" s="49">
        <v>1</v>
      </c>
      <c r="K22" s="33" t="s">
        <v>53</v>
      </c>
      <c r="L22" s="92" t="str">
        <f>VLOOKUP(C22,'Trips&amp;Operators'!$C$1:$E$9999,3,0)</f>
        <v>STRICKLAND</v>
      </c>
      <c r="M22" s="131" t="s">
        <v>86</v>
      </c>
      <c r="N22" s="10"/>
      <c r="O22" s="33"/>
      <c r="P22" s="108" t="str">
        <f>VLOOKUP(C22,'Train Runs'!$A$13:$AE$10016,31,0)</f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Q22" s="111" t="str">
        <f>VLOOKUP(C22,'Train Runs'!$A$13:$AE$10016,22,0)</f>
        <v>https://search-rtdc-monitor-bjffxe2xuh6vdkpspy63sjmuny.us-east-1.es.amazonaws.com/_plugin/kibana/#/discover/Steve-Slow-Train-Analysis-(2080s-and-2083s)?_g=(refreshInterval:(display:Off,section:0,value:0),time:(from:'2016-08-28 04:51:57-0600',mode:absolute,to:'2016-08-28 07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2" s="113" t="str">
        <f t="shared" si="0"/>
        <v>"C:\Program Files (x86)\AstroGrep\AstroGrep.exe" /spath="%USERPROFILE%\AppData\Local\Temp\OnboardLogs" /stypes="*4001*201608281*" /stext=" 12:.+((SYSTEM_STATE.+slice.+state.+changed )|(ment ac)|(system.+state.+changed )|(\|lc)|(penalty)|(\[timeout)|(PRM\|1\|D)|(kpr)|(kdp))" /e /r /s</v>
      </c>
      <c r="S22" s="9" t="str">
        <f t="shared" si="1"/>
        <v>4001</v>
      </c>
      <c r="T22" s="38">
        <f t="shared" si="2"/>
        <v>42610.526122685187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{"issue":{"subject":"","project_id":79,"tracker_id":40,"status_id":1,"priority_id":2,"assigned_to_id":23,"start_date":"2016-08-28","description":"","custom_fields":[{"id":1,"name":"Subdivision","value":"EC"},{"id":4,"name":"Milepost","value":"0.0001"},{"id":17,"name":"Train ID","value":"112-28"},{"id":16,"name":"Locomotive ID","value":"4001"},{"id":130,"name":"Impact","value":""},{"id":150,"name":"Time of Event (Mountain Time)","value":"06:37:37"},{"id":151,"name":"Denver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42610.285416666666</v>
      </c>
      <c r="B23" s="33" t="s">
        <v>266</v>
      </c>
      <c r="C23" s="33" t="s">
        <v>354</v>
      </c>
      <c r="D23" s="33" t="s">
        <v>49</v>
      </c>
      <c r="E23" s="33" t="s">
        <v>50</v>
      </c>
      <c r="F23" s="49">
        <v>0</v>
      </c>
      <c r="G23" s="49">
        <v>60</v>
      </c>
      <c r="H23" s="49">
        <v>191</v>
      </c>
      <c r="I23" s="33" t="s">
        <v>51</v>
      </c>
      <c r="J23" s="49">
        <v>1</v>
      </c>
      <c r="K23" s="33" t="s">
        <v>53</v>
      </c>
      <c r="L23" s="92" t="str">
        <f>VLOOKUP(C23,'Trips&amp;Operators'!$C$1:$E$9999,3,0)</f>
        <v>KILLION</v>
      </c>
      <c r="M23" s="131" t="s">
        <v>86</v>
      </c>
      <c r="N23" s="10"/>
      <c r="O23" s="33"/>
      <c r="P23" s="108" t="str">
        <f>VLOOKUP(C23,'Train Runs'!$A$13:$AE$10016,31,0)</f>
        <v>aws s3 cp s3://rtdc.mdm.uploadarchive/RTDC4028/2016-08-28/ "%USERPROFILE%\AppData\Local\Temp\OnboardLogs"\RTDC4028\2016-08-28 --recursive &amp; "%USERPROFILE%\Documents\GitHub\mrs-test-scripts\Headless Mode &amp; Sideloading\WalkAndUnGZ.bat" "%USERPROFILE%\AppData\Local\Temp\OnboardLogs"\RTDC4028\2016-08-28 &amp; 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</v>
      </c>
      <c r="Q23" s="111" t="str">
        <f>VLOOKUP(C23,'Train Runs'!$A$13:$AE$10016,22,0)</f>
        <v>https://search-rtdc-monitor-bjffxe2xuh6vdkpspy63sjmuny.us-east-1.es.amazonaws.com/_plugin/kibana/#/discover/Steve-Slow-Train-Analysis-(2080s-and-2083s)?_g=(refreshInterval:(display:Off,section:0,value:0),time:(from:'2016-08-28 05:05:46-0600',mode:absolute,to:'2016-08-28 07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3" s="113" t="str">
        <f t="shared" si="0"/>
        <v>"C:\Program Files (x86)\AstroGrep\AstroGrep.exe" /spath="%USERPROFILE%\AppData\Local\Temp\OnboardLogs" /stypes="*4028*201608281*" /stext=" 12:.+((SYSTEM_STATE.+slice.+state.+changed )|(ment ac)|(system.+state.+changed )|(\|lc)|(penalty)|(\[timeout)|(PRM\|1\|D)|(kpr)|(kdp))" /e /r /s</v>
      </c>
      <c r="S23" s="9" t="str">
        <f t="shared" si="1"/>
        <v>4028</v>
      </c>
      <c r="T23" s="38">
        <f t="shared" si="2"/>
        <v>42610.535416666666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{"issue":{"subject":"","project_id":79,"tracker_id":40,"status_id":1,"priority_id":2,"assigned_to_id":23,"start_date":"2016-08-28","description":"","custom_fields":[{"id":1,"name":"Subdivision","value":"EC"},{"id":4,"name":"Milepost","value":"0.0001"},{"id":17,"name":"Train ID","value":"114-28"},{"id":16,"name":"Locomotive ID","value":"4028"},{"id":130,"name":"Impact","value":""},{"id":150,"name":"Time of Event (Mountain Time)","value":"06:51:00"},{"id":151,"name":"Denver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42610.337372685186</v>
      </c>
      <c r="B24" s="33" t="s">
        <v>168</v>
      </c>
      <c r="C24" s="33" t="s">
        <v>358</v>
      </c>
      <c r="D24" s="33" t="s">
        <v>49</v>
      </c>
      <c r="E24" s="33" t="s">
        <v>50</v>
      </c>
      <c r="F24" s="49">
        <v>0</v>
      </c>
      <c r="G24" s="49">
        <v>154</v>
      </c>
      <c r="H24" s="49">
        <v>644</v>
      </c>
      <c r="I24" s="33" t="s">
        <v>51</v>
      </c>
      <c r="J24" s="49">
        <v>1</v>
      </c>
      <c r="K24" s="33" t="s">
        <v>53</v>
      </c>
      <c r="L24" s="92" t="str">
        <f>VLOOKUP(C24,'Trips&amp;Operators'!$C$1:$E$9999,3,0)</f>
        <v>MALAVE</v>
      </c>
      <c r="M24" s="131" t="s">
        <v>86</v>
      </c>
      <c r="N24" s="10"/>
      <c r="O24" s="33"/>
      <c r="P24" s="108" t="str">
        <f>VLOOKUP(C24,'Train Runs'!$A$13:$AE$10016,31,0)</f>
        <v>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 &amp; 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</v>
      </c>
      <c r="Q24" s="111" t="str">
        <f>VLOOKUP(C24,'Train Runs'!$A$13:$AE$10016,22,0)</f>
        <v>https://search-rtdc-monitor-bjffxe2xuh6vdkpspy63sjmuny.us-east-1.es.amazonaws.com/_plugin/kibana/#/discover/Steve-Slow-Train-Analysis-(2080s-and-2083s)?_g=(refreshInterval:(display:Off,section:0,value:0),time:(from:'2016-08-28 06:23:50-0600',mode:absolute,to:'2016-08-28 09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24" s="113" t="str">
        <f t="shared" si="0"/>
        <v>"C:\Program Files (x86)\AstroGrep\AstroGrep.exe" /spath="%USERPROFILE%\AppData\Local\Temp\OnboardLogs" /stypes="*4008*201608281*" /stext=" 14:.+((SYSTEM_STATE.+slice.+state.+changed )|(ment ac)|(system.+state.+changed )|(\|lc)|(penalty)|(\[timeout)|(PRM\|1\|D)|(kpr)|(kdp))" /e /r /s</v>
      </c>
      <c r="S24" s="9" t="str">
        <f t="shared" si="1"/>
        <v>4008</v>
      </c>
      <c r="T24" s="38">
        <f t="shared" si="2"/>
        <v>42610.587372685186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{"issue":{"subject":"","project_id":79,"tracker_id":40,"status_id":1,"priority_id":2,"assigned_to_id":23,"start_date":"2016-08-28","description":"","custom_fields":[{"id":1,"name":"Subdivision","value":"EC"},{"id":4,"name":"Milepost","value":"0.0001"},{"id":17,"name":"Train ID","value":"124-28"},{"id":16,"name":"Locomotive ID","value":"4008"},{"id":130,"name":"Impact","value":""},{"id":150,"name":"Time of Event (Mountain Time)","value":"08:05:49"},{"id":151,"name":"Denver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42610.349803240744</v>
      </c>
      <c r="B25" s="33" t="s">
        <v>178</v>
      </c>
      <c r="C25" s="33" t="s">
        <v>356</v>
      </c>
      <c r="D25" s="33" t="s">
        <v>49</v>
      </c>
      <c r="E25" s="33" t="s">
        <v>50</v>
      </c>
      <c r="F25" s="49">
        <v>0</v>
      </c>
      <c r="G25" s="49">
        <v>154</v>
      </c>
      <c r="H25" s="49">
        <v>799</v>
      </c>
      <c r="I25" s="33" t="s">
        <v>51</v>
      </c>
      <c r="J25" s="49">
        <v>1</v>
      </c>
      <c r="K25" s="33" t="s">
        <v>53</v>
      </c>
      <c r="L25" s="92" t="str">
        <f>VLOOKUP(C25,'Trips&amp;Operators'!$C$1:$E$9999,3,0)</f>
        <v>STRICKLAND</v>
      </c>
      <c r="M25" s="131" t="s">
        <v>86</v>
      </c>
      <c r="N25" s="10"/>
      <c r="O25" s="33"/>
      <c r="P25" s="108" t="str">
        <f>VLOOKUP(C25,'Train Runs'!$A$13:$AE$10016,31,0)</f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Q25" s="111" t="str">
        <f>VLOOKUP(C25,'Train Runs'!$A$13:$AE$10016,22,0)</f>
        <v>https://search-rtdc-monitor-bjffxe2xuh6vdkpspy63sjmuny.us-east-1.es.amazonaws.com/_plugin/kibana/#/discover/Steve-Slow-Train-Analysis-(2080s-and-2083s)?_g=(refreshInterval:(display:Off,section:0,value:0),time:(from:'2016-08-28 06:33:30-0600',mode:absolute,to:'2016-08-28 09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5" s="113" t="str">
        <f t="shared" si="0"/>
        <v>"C:\Program Files (x86)\AstroGrep\AstroGrep.exe" /spath="%USERPROFILE%\AppData\Local\Temp\OnboardLogs" /stypes="*4001*201608281*" /stext=" 14:.+((SYSTEM_STATE.+slice.+state.+changed )|(ment ac)|(system.+state.+changed )|(\|lc)|(penalty)|(\[timeout)|(PRM\|1\|D)|(kpr)|(kdp))" /e /r /s</v>
      </c>
      <c r="S25" s="9" t="str">
        <f t="shared" si="1"/>
        <v>4001</v>
      </c>
      <c r="T25" s="38">
        <f t="shared" si="2"/>
        <v>42610.599803240744</v>
      </c>
      <c r="U25" s="52" t="str">
        <f t="shared" si="3"/>
        <v>EC</v>
      </c>
      <c r="V25" s="52" t="str">
        <f t="shared" si="4"/>
        <v>KEEP</v>
      </c>
      <c r="W25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{"issue":{"subject":"","project_id":79,"tracker_id":40,"status_id":1,"priority_id":2,"assigned_to_id":23,"start_date":"2016-08-28","description":"","custom_fields":[{"id":1,"name":"Subdivision","value":"EC"},{"id":4,"name":"Milepost","value":"0.0001"},{"id":17,"name":"Train ID","value":"126-28"},{"id":16,"name":"Locomotive ID","value":"4001"},{"id":130,"name":"Impact","value":""},{"id":150,"name":"Time of Event (Mountain Time)","value":"08:23:43"},{"id":151,"name":"Denver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42610.350231481483</v>
      </c>
      <c r="B26" s="33" t="s">
        <v>178</v>
      </c>
      <c r="C26" s="33" t="s">
        <v>356</v>
      </c>
      <c r="D26" s="33" t="s">
        <v>49</v>
      </c>
      <c r="E26" s="33" t="s">
        <v>50</v>
      </c>
      <c r="F26" s="49">
        <v>0</v>
      </c>
      <c r="G26" s="49">
        <v>80</v>
      </c>
      <c r="H26" s="49">
        <v>385</v>
      </c>
      <c r="I26" s="33" t="s">
        <v>51</v>
      </c>
      <c r="J26" s="49">
        <v>1</v>
      </c>
      <c r="K26" s="33" t="s">
        <v>53</v>
      </c>
      <c r="L26" s="92" t="str">
        <f>VLOOKUP(C26,'Trips&amp;Operators'!$C$1:$E$9999,3,0)</f>
        <v>STRICKLAND</v>
      </c>
      <c r="M26" s="131" t="s">
        <v>86</v>
      </c>
      <c r="N26" s="10"/>
      <c r="O26" s="33"/>
      <c r="P26" s="108" t="str">
        <f>VLOOKUP(C26,'Train Runs'!$A$13:$AE$10016,31,0)</f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Q26" s="111" t="str">
        <f>VLOOKUP(C26,'Train Runs'!$A$13:$AE$10016,22,0)</f>
        <v>https://search-rtdc-monitor-bjffxe2xuh6vdkpspy63sjmuny.us-east-1.es.amazonaws.com/_plugin/kibana/#/discover/Steve-Slow-Train-Analysis-(2080s-and-2083s)?_g=(refreshInterval:(display:Off,section:0,value:0),time:(from:'2016-08-28 06:33:30-0600',mode:absolute,to:'2016-08-28 09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6" s="113" t="str">
        <f t="shared" si="0"/>
        <v>"C:\Program Files (x86)\AstroGrep\AstroGrep.exe" /spath="%USERPROFILE%\AppData\Local\Temp\OnboardLogs" /stypes="*4001*201608281*" /stext=" 14:.+((SYSTEM_STATE.+slice.+state.+changed )|(ment ac)|(system.+state.+changed )|(\|lc)|(penalty)|(\[timeout)|(PRM\|1\|D)|(kpr)|(kdp))" /e /r /s</v>
      </c>
      <c r="S26" s="9" t="str">
        <f t="shared" si="1"/>
        <v>4001</v>
      </c>
      <c r="T26" s="38">
        <f t="shared" si="2"/>
        <v>42610.600231481483</v>
      </c>
      <c r="U26" s="52" t="str">
        <f t="shared" si="3"/>
        <v>EC</v>
      </c>
      <c r="V26" s="52" t="str">
        <f t="shared" si="4"/>
        <v>KEEP</v>
      </c>
      <c r="W26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{"issue":{"subject":"","project_id":79,"tracker_id":40,"status_id":1,"priority_id":2,"assigned_to_id":23,"start_date":"2016-08-28","description":"","custom_fields":[{"id":1,"name":"Subdivision","value":"EC"},{"id":4,"name":"Milepost","value":"0.0001"},{"id":17,"name":"Train ID","value":"126-28"},{"id":16,"name":"Locomotive ID","value":"4001"},{"id":130,"name":"Impact","value":""},{"id":150,"name":"Time of Event (Mountain Time)","value":"08:24:20"},{"id":151,"name":"Denver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42610.350682870368</v>
      </c>
      <c r="B27" s="33" t="s">
        <v>178</v>
      </c>
      <c r="C27" s="33" t="s">
        <v>356</v>
      </c>
      <c r="D27" s="33" t="s">
        <v>49</v>
      </c>
      <c r="E27" s="33" t="s">
        <v>50</v>
      </c>
      <c r="F27" s="49">
        <v>0</v>
      </c>
      <c r="G27" s="49">
        <v>41</v>
      </c>
      <c r="H27" s="49">
        <v>273</v>
      </c>
      <c r="I27" s="33" t="s">
        <v>51</v>
      </c>
      <c r="J27" s="49">
        <v>1</v>
      </c>
      <c r="K27" s="33" t="s">
        <v>53</v>
      </c>
      <c r="L27" s="92" t="str">
        <f>VLOOKUP(C27,'Trips&amp;Operators'!$C$1:$E$9999,3,0)</f>
        <v>STRICKLAND</v>
      </c>
      <c r="M27" s="131" t="s">
        <v>86</v>
      </c>
      <c r="N27" s="10"/>
      <c r="O27" s="33"/>
      <c r="P27" s="108" t="str">
        <f>VLOOKUP(C27,'Train Runs'!$A$13:$AE$10016,31,0)</f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Q27" s="111" t="str">
        <f>VLOOKUP(C27,'Train Runs'!$A$13:$AE$10016,22,0)</f>
        <v>https://search-rtdc-monitor-bjffxe2xuh6vdkpspy63sjmuny.us-east-1.es.amazonaws.com/_plugin/kibana/#/discover/Steve-Slow-Train-Analysis-(2080s-and-2083s)?_g=(refreshInterval:(display:Off,section:0,value:0),time:(from:'2016-08-28 06:33:30-0600',mode:absolute,to:'2016-08-28 09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7" s="113" t="str">
        <f t="shared" si="0"/>
        <v>"C:\Program Files (x86)\AstroGrep\AstroGrep.exe" /spath="%USERPROFILE%\AppData\Local\Temp\OnboardLogs" /stypes="*4001*201608281*" /stext=" 14:.+((SYSTEM_STATE.+slice.+state.+changed )|(ment ac)|(system.+state.+changed )|(\|lc)|(penalty)|(\[timeout)|(PRM\|1\|D)|(kpr)|(kdp))" /e /r /s</v>
      </c>
      <c r="S27" s="9" t="str">
        <f t="shared" si="1"/>
        <v>4001</v>
      </c>
      <c r="T27" s="38">
        <f t="shared" si="2"/>
        <v>42610.600682870368</v>
      </c>
      <c r="U27" s="52" t="str">
        <f t="shared" si="3"/>
        <v>EC</v>
      </c>
      <c r="V27" s="52" t="str">
        <f t="shared" si="4"/>
        <v>KEEP</v>
      </c>
      <c r="W27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{"issue":{"subject":"","project_id":79,"tracker_id":40,"status_id":1,"priority_id":2,"assigned_to_id":23,"start_date":"2016-08-28","description":"","custom_fields":[{"id":1,"name":"Subdivision","value":"EC"},{"id":4,"name":"Milepost","value":"0.0001"},{"id":17,"name":"Train ID","value":"126-28"},{"id":16,"name":"Locomotive ID","value":"4001"},{"id":130,"name":"Impact","value":""},{"id":150,"name":"Time of Event (Mountain Time)","value":"08:24:59"},{"id":151,"name":"Denver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42610.378379629627</v>
      </c>
      <c r="B28" s="33" t="s">
        <v>90</v>
      </c>
      <c r="C28" s="33" t="s">
        <v>359</v>
      </c>
      <c r="D28" s="33" t="s">
        <v>49</v>
      </c>
      <c r="E28" s="33" t="s">
        <v>50</v>
      </c>
      <c r="F28" s="49">
        <v>0</v>
      </c>
      <c r="G28" s="49">
        <v>42</v>
      </c>
      <c r="H28" s="49">
        <v>136</v>
      </c>
      <c r="I28" s="33" t="s">
        <v>51</v>
      </c>
      <c r="J28" s="49">
        <v>1</v>
      </c>
      <c r="K28" s="33" t="s">
        <v>53</v>
      </c>
      <c r="L28" s="92" t="str">
        <f>VLOOKUP(C28,'Trips&amp;Operators'!$C$1:$E$9999,3,0)</f>
        <v>ACKERMAN</v>
      </c>
      <c r="M28" s="131" t="s">
        <v>86</v>
      </c>
      <c r="N28" s="10"/>
      <c r="O28" s="33"/>
      <c r="P28" s="108" t="str">
        <f>VLOOKUP(C28,'Train Runs'!$A$13:$AE$10016,31,0)</f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Q28" s="111" t="str">
        <f>VLOOKUP(C28,'Train Runs'!$A$13:$AE$10016,22,0)</f>
        <v>https://search-rtdc-monitor-bjffxe2xuh6vdkpspy63sjmuny.us-east-1.es.amazonaws.com/_plugin/kibana/#/discover/Steve-Slow-Train-Analysis-(2080s-and-2083s)?_g=(refreshInterval:(display:Off,section:0,value:0),time:(from:'2016-08-28 07:16:53-0600',mode:absolute,to:'2016-08-28 10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8" s="113" t="str">
        <f t="shared" si="0"/>
        <v>"C:\Program Files (x86)\AstroGrep\AstroGrep.exe" /spath="%USERPROFILE%\AppData\Local\Temp\OnboardLogs" /stypes="*4013*201608281*" /stext=" 15:.+((SYSTEM_STATE.+slice.+state.+changed )|(ment ac)|(system.+state.+changed )|(\|lc)|(penalty)|(\[timeout)|(PRM\|1\|D)|(kpr)|(kdp))" /e /r /s</v>
      </c>
      <c r="S28" s="9" t="str">
        <f t="shared" si="1"/>
        <v>4013</v>
      </c>
      <c r="T28" s="38">
        <f t="shared" si="2"/>
        <v>42610.628379629627</v>
      </c>
      <c r="U28" s="52" t="str">
        <f t="shared" si="3"/>
        <v>EC</v>
      </c>
      <c r="V28" s="52" t="str">
        <f t="shared" si="4"/>
        <v>KEEP</v>
      </c>
      <c r="W28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{"issue":{"subject":"","project_id":79,"tracker_id":40,"status_id":1,"priority_id":2,"assigned_to_id":23,"start_date":"2016-08-28","description":"","custom_fields":[{"id":1,"name":"Subdivision","value":"EC"},{"id":4,"name":"Milepost","value":"0.0001"},{"id":17,"name":"Train ID","value":"132-28"},{"id":16,"name":"Locomotive ID","value":"4013"},{"id":130,"name":"Impact","value":""},{"id":150,"name":"Time of Event (Mountain Time)","value":"09:04:52"},{"id":151,"name":"Denver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42610.420671296299</v>
      </c>
      <c r="B29" s="33" t="s">
        <v>178</v>
      </c>
      <c r="C29" s="33" t="s">
        <v>360</v>
      </c>
      <c r="D29" s="33" t="s">
        <v>49</v>
      </c>
      <c r="E29" s="33" t="s">
        <v>50</v>
      </c>
      <c r="F29" s="49">
        <v>0</v>
      </c>
      <c r="G29" s="49">
        <v>61</v>
      </c>
      <c r="H29" s="49">
        <v>218</v>
      </c>
      <c r="I29" s="33" t="s">
        <v>51</v>
      </c>
      <c r="J29" s="49">
        <v>1</v>
      </c>
      <c r="K29" s="33" t="s">
        <v>53</v>
      </c>
      <c r="L29" s="92" t="str">
        <f>VLOOKUP(C29,'Trips&amp;Operators'!$C$1:$E$9999,3,0)</f>
        <v>STRICKLAND</v>
      </c>
      <c r="M29" s="131" t="s">
        <v>86</v>
      </c>
      <c r="N29" s="10"/>
      <c r="O29" s="33"/>
      <c r="P29" s="108" t="str">
        <f>VLOOKUP(C29,'Train Runs'!$A$13:$AE$10016,31,0)</f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Q29" s="111" t="str">
        <f>VLOOKUP(C29,'Train Runs'!$A$13:$AE$10016,22,0)</f>
        <v>https://search-rtdc-monitor-bjffxe2xuh6vdkpspy63sjmuny.us-east-1.es.amazonaws.com/_plugin/kibana/#/discover/Steve-Slow-Train-Analysis-(2080s-and-2083s)?_g=(refreshInterval:(display:Off,section:0,value:0),time:(from:'2016-08-28 08:16:52-0600',mode:absolute,to:'2016-08-28 11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9" s="113" t="str">
        <f t="shared" si="0"/>
        <v>"C:\Program Files (x86)\AstroGrep\AstroGrep.exe" /spath="%USERPROFILE%\AppData\Local\Temp\OnboardLogs" /stypes="*4001*201608281*" /stext=" 16:.+((SYSTEM_STATE.+slice.+state.+changed )|(ment ac)|(system.+state.+changed )|(\|lc)|(penalty)|(\[timeout)|(PRM\|1\|D)|(kpr)|(kdp))" /e /r /s</v>
      </c>
      <c r="S29" s="9" t="str">
        <f t="shared" si="1"/>
        <v>4001</v>
      </c>
      <c r="T29" s="38">
        <f t="shared" si="2"/>
        <v>42610.670671296299</v>
      </c>
      <c r="U29" s="52" t="str">
        <f t="shared" si="3"/>
        <v>EC</v>
      </c>
      <c r="V29" s="52" t="str">
        <f t="shared" si="4"/>
        <v>KEEP</v>
      </c>
      <c r="W29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{"issue":{"subject":"","project_id":79,"tracker_id":40,"status_id":1,"priority_id":2,"assigned_to_id":23,"start_date":"2016-08-28","description":"","custom_fields":[{"id":1,"name":"Subdivision","value":"EC"},{"id":4,"name":"Milepost","value":"0.0001"},{"id":17,"name":"Train ID","value":"140-28"},{"id":16,"name":"Locomotive ID","value":"4001"},{"id":130,"name":"Impact","value":""},{"id":150,"name":"Time of Event (Mountain Time)","value":"10:05:46"},{"id":151,"name":"Denver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42610.451817129629</v>
      </c>
      <c r="B30" s="33" t="s">
        <v>90</v>
      </c>
      <c r="C30" s="33" t="s">
        <v>363</v>
      </c>
      <c r="D30" s="33" t="s">
        <v>49</v>
      </c>
      <c r="E30" s="33" t="s">
        <v>50</v>
      </c>
      <c r="F30" s="49">
        <v>0</v>
      </c>
      <c r="G30" s="49">
        <v>52</v>
      </c>
      <c r="H30" s="49">
        <v>158</v>
      </c>
      <c r="I30" s="33" t="s">
        <v>51</v>
      </c>
      <c r="J30" s="49">
        <v>1</v>
      </c>
      <c r="K30" s="33" t="s">
        <v>53</v>
      </c>
      <c r="L30" s="92" t="str">
        <f>VLOOKUP(C30,'Trips&amp;Operators'!$C$1:$E$9999,3,0)</f>
        <v>ACKERMAN</v>
      </c>
      <c r="M30" s="131" t="s">
        <v>86</v>
      </c>
      <c r="N30" s="10"/>
      <c r="O30" s="33"/>
      <c r="P30" s="108" t="str">
        <f>VLOOKUP(C30,'Train Runs'!$A$13:$AE$10016,31,0)</f>
        <v>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 &amp; 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</v>
      </c>
      <c r="Q30" s="111" t="str">
        <f>VLOOKUP(C30,'Train Runs'!$A$13:$AE$10016,22,0)</f>
        <v>https://search-rtdc-monitor-bjffxe2xuh6vdkpspy63sjmuny.us-east-1.es.amazonaws.com/_plugin/kibana/#/discover/Steve-Slow-Train-Analysis-(2080s-and-2083s)?_g=(refreshInterval:(display:Off,section:0,value:0),time:(from:'2016-08-28 09:01:54-0600',mode:absolute,to:'2016-08-28 11:50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0" s="113" t="str">
        <f t="shared" si="0"/>
        <v>"C:\Program Files (x86)\AstroGrep\AstroGrep.exe" /spath="%USERPROFILE%\AppData\Local\Temp\OnboardLogs" /stypes="*4013*201608281*" /stext=" 16:.+((SYSTEM_STATE.+slice.+state.+changed )|(ment ac)|(system.+state.+changed )|(\|lc)|(penalty)|(\[timeout)|(PRM\|1\|D)|(kpr)|(kdp))" /e /r /s</v>
      </c>
      <c r="S30" s="9" t="str">
        <f t="shared" si="1"/>
        <v>4013</v>
      </c>
      <c r="T30" s="38">
        <f t="shared" si="2"/>
        <v>42610.701817129629</v>
      </c>
      <c r="U30" s="52" t="str">
        <f t="shared" si="3"/>
        <v>EC</v>
      </c>
      <c r="V30" s="52" t="str">
        <f t="shared" si="4"/>
        <v>KEEP</v>
      </c>
      <c r="W30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{"issue":{"subject":"","project_id":79,"tracker_id":40,"status_id":1,"priority_id":2,"assigned_to_id":23,"start_date":"2016-08-28","description":"","custom_fields":[{"id":1,"name":"Subdivision","value":"EC"},{"id":4,"name":"Milepost","value":"0.0001"},{"id":17,"name":"Train ID","value":"146-28"},{"id":16,"name":"Locomotive ID","value":"4013"},{"id":130,"name":"Impact","value":""},{"id":150,"name":"Time of Event (Mountain Time)","value":"10:50:37"},{"id":151,"name":"Denver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42610.495474537034</v>
      </c>
      <c r="B31" s="33" t="s">
        <v>178</v>
      </c>
      <c r="C31" s="33" t="s">
        <v>364</v>
      </c>
      <c r="D31" s="33" t="s">
        <v>49</v>
      </c>
      <c r="E31" s="33" t="s">
        <v>50</v>
      </c>
      <c r="F31" s="49">
        <v>0</v>
      </c>
      <c r="G31" s="49">
        <v>32</v>
      </c>
      <c r="H31" s="49">
        <v>141</v>
      </c>
      <c r="I31" s="33" t="s">
        <v>51</v>
      </c>
      <c r="J31" s="49">
        <v>1</v>
      </c>
      <c r="K31" s="33" t="s">
        <v>53</v>
      </c>
      <c r="L31" s="92" t="str">
        <f>VLOOKUP(C31,'Trips&amp;Operators'!$C$1:$E$9999,3,0)</f>
        <v>STRICKLAND</v>
      </c>
      <c r="M31" s="131" t="s">
        <v>86</v>
      </c>
      <c r="N31" s="10"/>
      <c r="O31" s="33"/>
      <c r="P31" s="108" t="str">
        <f>VLOOKUP(C31,'Train Runs'!$A$13:$AE$10016,31,0)</f>
        <v>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 &amp; aws s3 cp s3://rtdc.mdm.uploadarchive/RTDC4001/2016-08-29/ "%USERPROFILE%\AppData\Local\Temp\OnboardLogs"\RTDC4001\2016-08-29 --recursive &amp; "%USERPROFILE%\Documents\GitHub\mrs-test-scripts\Headless Mode &amp; Sideloading\WalkAndUnGZ.bat" "%USERPROFILE%\AppData\Local\Temp\OnboardLogs"\RTDC4001\2016-08-29</v>
      </c>
      <c r="Q31" s="111" t="str">
        <f>VLOOKUP(C31,'Train Runs'!$A$13:$AE$10016,22,0)</f>
        <v>https://search-rtdc-monitor-bjffxe2xuh6vdkpspy63sjmuny.us-east-1.es.amazonaws.com/_plugin/kibana/#/discover/Steve-Slow-Train-Analysis-(2080s-and-2083s)?_g=(refreshInterval:(display:Off,section:0,value:0),time:(from:'2016-08-28 10:04:13-0600',mode:absolute,to:'2016-08-28 12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31" s="113" t="str">
        <f t="shared" si="0"/>
        <v>"C:\Program Files (x86)\AstroGrep\AstroGrep.exe" /spath="%USERPROFILE%\AppData\Local\Temp\OnboardLogs" /stypes="*4001*201608281*" /stext=" 17:.+((SYSTEM_STATE.+slice.+state.+changed )|(ment ac)|(system.+state.+changed )|(\|lc)|(penalty)|(\[timeout)|(PRM\|1\|D)|(kpr)|(kdp))" /e /r /s</v>
      </c>
      <c r="S31" s="9" t="str">
        <f t="shared" si="1"/>
        <v>4001</v>
      </c>
      <c r="T31" s="38">
        <f t="shared" si="2"/>
        <v>42610.745474537034</v>
      </c>
      <c r="U31" s="52" t="str">
        <f t="shared" si="3"/>
        <v>EC</v>
      </c>
      <c r="V31" s="52" t="str">
        <f t="shared" si="4"/>
        <v>KEEP</v>
      </c>
      <c r="W31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{"issue":{"subject":"","project_id":79,"tracker_id":40,"status_id":1,"priority_id":2,"assigned_to_id":23,"start_date":"2016-08-28","description":"","custom_fields":[{"id":1,"name":"Subdivision","value":"EC"},{"id":4,"name":"Milepost","value":"0.0001"},{"id":17,"name":"Train ID","value":"154-28"},{"id":16,"name":"Locomotive ID","value":"4001"},{"id":130,"name":"Impact","value":""},{"id":150,"name":"Time of Event (Mountain Time)","value":"11:53:29"},{"id":151,"name":"Denver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42610.182129629633</v>
      </c>
      <c r="B32" s="33" t="s">
        <v>261</v>
      </c>
      <c r="C32" s="33" t="s">
        <v>350</v>
      </c>
      <c r="D32" s="33" t="s">
        <v>49</v>
      </c>
      <c r="E32" s="33" t="s">
        <v>50</v>
      </c>
      <c r="F32" s="49">
        <v>0</v>
      </c>
      <c r="G32" s="49">
        <v>37</v>
      </c>
      <c r="H32" s="49">
        <v>233385</v>
      </c>
      <c r="I32" s="33" t="s">
        <v>51</v>
      </c>
      <c r="J32" s="49">
        <v>233491</v>
      </c>
      <c r="K32" s="33" t="s">
        <v>52</v>
      </c>
      <c r="L32" s="92" t="str">
        <f>VLOOKUP(C32,'Trips&amp;Operators'!$C$1:$E$9999,3,0)</f>
        <v>ACKERMAN</v>
      </c>
      <c r="M32" s="131" t="s">
        <v>86</v>
      </c>
      <c r="N32" s="10"/>
      <c r="O32" s="33"/>
      <c r="P32" s="108" t="str">
        <f>VLOOKUP(C32,'Train Runs'!$A$13:$AE$10016,31,0)</f>
        <v>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 &amp; 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</v>
      </c>
      <c r="Q32" s="111" t="str">
        <f>VLOOKUP(C32,'Train Runs'!$A$13:$AE$10016,22,0)</f>
        <v>https://search-rtdc-monitor-bjffxe2xuh6vdkpspy63sjmuny.us-east-1.es.amazonaws.com/_plugin/kibana/#/discover/Steve-Slow-Train-Analysis-(2080s-and-2083s)?_g=(refreshInterval:(display:Off,section:0,value:0),time:(from:'2016-08-28 02:41:00-0600',mode:absolute,to:'2016-08-28 05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32" s="113" t="str">
        <f t="shared" si="0"/>
        <v>"C:\Program Files (x86)\AstroGrep\AstroGrep.exe" /spath="%USERPROFILE%\AppData\Local\Temp\OnboardLogs" /stypes="*4040*201608281*" /stext=" 10:.+((SYSTEM_STATE.+slice.+state.+changed )|(ment ac)|(system.+state.+changed )|(\|lc)|(penalty)|(\[timeout)|(PRM\|1\|D)|(kpr)|(kdp))" /e /r /s</v>
      </c>
      <c r="S32" s="9" t="str">
        <f t="shared" si="1"/>
        <v>4040</v>
      </c>
      <c r="T32" s="38">
        <f t="shared" si="2"/>
        <v>42610.432129629633</v>
      </c>
      <c r="U32" s="52" t="str">
        <f t="shared" si="3"/>
        <v>EC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{"issue":{"subject":"","project_id":79,"tracker_id":40,"status_id":1,"priority_id":2,"assigned_to_id":23,"start_date":"2016-08-28","description":"","custom_fields":[{"id":1,"name":"Subdivision","value":"EC"},{"id":4,"name":"Milepost","value":"23.3491"},{"id":17,"name":"Train ID","value":"103-28"},{"id":16,"name":"Locomotive ID","value":"4040"},{"id":130,"name":"Impact","value":""},{"id":150,"name":"Time of Event (Mountain Time)","value":"04:22:16"},{"id":151,"name":"Denver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42610.236562500002</v>
      </c>
      <c r="B33" s="33" t="s">
        <v>177</v>
      </c>
      <c r="C33" s="33" t="s">
        <v>351</v>
      </c>
      <c r="D33" s="33" t="s">
        <v>49</v>
      </c>
      <c r="E33" s="33" t="s">
        <v>50</v>
      </c>
      <c r="F33" s="49">
        <v>0</v>
      </c>
      <c r="G33" s="49">
        <v>32</v>
      </c>
      <c r="H33" s="49">
        <v>233306</v>
      </c>
      <c r="I33" s="33" t="s">
        <v>51</v>
      </c>
      <c r="J33" s="49">
        <v>233491</v>
      </c>
      <c r="K33" s="33" t="s">
        <v>52</v>
      </c>
      <c r="L33" s="92" t="str">
        <f>VLOOKUP(C33,'Trips&amp;Operators'!$C$1:$E$9999,3,0)</f>
        <v>STRICKLAND</v>
      </c>
      <c r="M33" s="131" t="s">
        <v>86</v>
      </c>
      <c r="N33" s="10"/>
      <c r="O33" s="33"/>
      <c r="P33" s="108" t="str">
        <f>VLOOKUP(C33,'Train Runs'!$A$13:$AE$10016,31,0)</f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Q33" s="111" t="str">
        <f>VLOOKUP(C33,'Train Runs'!$A$13:$AE$10016,22,0)</f>
        <v>https://search-rtdc-monitor-bjffxe2xuh6vdkpspy63sjmuny.us-east-1.es.amazonaws.com/_plugin/kibana/#/discover/Steve-Slow-Train-Analysis-(2080s-and-2083s)?_g=(refreshInterval:(display:Off,section:0,value:0),time:(from:'2016-08-28 03:56:42-0600',mode:absolute,to:'2016-08-28 06:40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33" s="113" t="str">
        <f t="shared" si="0"/>
        <v>"C:\Program Files (x86)\AstroGrep\AstroGrep.exe" /spath="%USERPROFILE%\AppData\Local\Temp\OnboardLogs" /stypes="*4002*201608281*" /stext=" 11:.+((SYSTEM_STATE.+slice.+state.+changed )|(ment ac)|(system.+state.+changed )|(\|lc)|(penalty)|(\[timeout)|(PRM\|1\|D)|(kpr)|(kdp))" /e /r /s</v>
      </c>
      <c r="S33" s="9" t="str">
        <f t="shared" si="1"/>
        <v>4002</v>
      </c>
      <c r="T33" s="38">
        <f t="shared" si="2"/>
        <v>42610.486562500002</v>
      </c>
      <c r="U33" s="52" t="str">
        <f t="shared" si="3"/>
        <v>EC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{"issue":{"subject":"","project_id":79,"tracker_id":40,"status_id":1,"priority_id":2,"assigned_to_id":23,"start_date":"2016-08-28","description":"","custom_fields":[{"id":1,"name":"Subdivision","value":"EC"},{"id":4,"name":"Milepost","value":"23.3491"},{"id":17,"name":"Train ID","value":"111-28"},{"id":16,"name":"Locomotive ID","value":"4002"},{"id":130,"name":"Impact","value":""},{"id":150,"name":"Time of Event (Mountain Time)","value":"05:40:39"},{"id":151,"name":"Denver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x14ac:dyDescent="0.25">
      <c r="A34" s="38">
        <v>42610.307812500003</v>
      </c>
      <c r="B34" s="33" t="s">
        <v>177</v>
      </c>
      <c r="C34" s="33" t="s">
        <v>355</v>
      </c>
      <c r="D34" s="33" t="s">
        <v>49</v>
      </c>
      <c r="E34" s="33" t="s">
        <v>50</v>
      </c>
      <c r="F34" s="49">
        <v>0</v>
      </c>
      <c r="G34" s="49">
        <v>132</v>
      </c>
      <c r="H34" s="49">
        <v>232919</v>
      </c>
      <c r="I34" s="33" t="s">
        <v>51</v>
      </c>
      <c r="J34" s="49">
        <v>233491</v>
      </c>
      <c r="K34" s="33" t="s">
        <v>52</v>
      </c>
      <c r="L34" s="92" t="str">
        <f>VLOOKUP(C34,'Trips&amp;Operators'!$C$1:$E$9999,3,0)</f>
        <v>STRICKLAND</v>
      </c>
      <c r="M34" s="131" t="s">
        <v>86</v>
      </c>
      <c r="N34" s="10"/>
      <c r="O34" s="33"/>
      <c r="P34" s="108" t="str">
        <f>VLOOKUP(C34,'Train Runs'!$A$13:$AE$10016,31,0)</f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Q34" s="111" t="str">
        <f>VLOOKUP(C34,'Train Runs'!$A$13:$AE$10016,22,0)</f>
        <v>https://search-rtdc-monitor-bjffxe2xuh6vdkpspy63sjmuny.us-east-1.es.amazonaws.com/_plugin/kibana/#/discover/Steve-Slow-Train-Analysis-(2080s-and-2083s)?_g=(refreshInterval:(display:Off,section:0,value:0),time:(from:'2016-08-28 05:41:58-0600',mode:absolute,to:'2016-08-28 08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34" s="113" t="str">
        <f t="shared" si="0"/>
        <v>"C:\Program Files (x86)\AstroGrep\AstroGrep.exe" /spath="%USERPROFILE%\AppData\Local\Temp\OnboardLogs" /stypes="*4002*201608281*" /stext=" 13:.+((SYSTEM_STATE.+slice.+state.+changed )|(ment ac)|(system.+state.+changed )|(\|lc)|(penalty)|(\[timeout)|(PRM\|1\|D)|(kpr)|(kdp))" /e /r /s</v>
      </c>
      <c r="S34" s="9" t="str">
        <f t="shared" si="1"/>
        <v>4002</v>
      </c>
      <c r="T34" s="38">
        <f t="shared" si="2"/>
        <v>42610.557812500003</v>
      </c>
      <c r="U34" s="52" t="str">
        <f t="shared" si="3"/>
        <v>EC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{"issue":{"subject":"","project_id":79,"tracker_id":40,"status_id":1,"priority_id":2,"assigned_to_id":23,"start_date":"2016-08-28","description":"","custom_fields":[{"id":1,"name":"Subdivision","value":"EC"},{"id":4,"name":"Milepost","value":"23.3491"},{"id":17,"name":"Train ID","value":"125-28"},{"id":16,"name":"Locomotive ID","value":"4002"},{"id":130,"name":"Impact","value":""},{"id":150,"name":"Time of Event (Mountain Time)","value":"07:23:15"},{"id":151,"name":"Denver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42610.308275462965</v>
      </c>
      <c r="B35" s="33" t="s">
        <v>177</v>
      </c>
      <c r="C35" s="33" t="s">
        <v>355</v>
      </c>
      <c r="D35" s="33" t="s">
        <v>49</v>
      </c>
      <c r="E35" s="33" t="s">
        <v>50</v>
      </c>
      <c r="F35" s="49">
        <v>0</v>
      </c>
      <c r="G35" s="49">
        <v>54</v>
      </c>
      <c r="H35" s="49">
        <v>233289</v>
      </c>
      <c r="I35" s="33" t="s">
        <v>51</v>
      </c>
      <c r="J35" s="49">
        <v>233491</v>
      </c>
      <c r="K35" s="33" t="s">
        <v>52</v>
      </c>
      <c r="L35" s="92" t="str">
        <f>VLOOKUP(C35,'Trips&amp;Operators'!$C$1:$E$9999,3,0)</f>
        <v>STRICKLAND</v>
      </c>
      <c r="M35" s="131" t="s">
        <v>86</v>
      </c>
      <c r="N35" s="10"/>
      <c r="O35" s="33"/>
      <c r="P35" s="108" t="str">
        <f>VLOOKUP(C35,'Train Runs'!$A$13:$AE$10016,31,0)</f>
        <v>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 &amp; aws s3 cp s3://rtdc.mdm.uploadarchive/RTDC4002/2016-08-29/ "%USERPROFILE%\AppData\Local\Temp\OnboardLogs"\RTDC4002\2016-08-29 --recursive &amp; "%USERPROFILE%\Documents\GitHub\mrs-test-scripts\Headless Mode &amp; Sideloading\WalkAndUnGZ.bat" "%USERPROFILE%\AppData\Local\Temp\OnboardLogs"\RTDC4002\2016-08-29</v>
      </c>
      <c r="Q35" s="111" t="str">
        <f>VLOOKUP(C35,'Train Runs'!$A$13:$AE$10016,22,0)</f>
        <v>https://search-rtdc-monitor-bjffxe2xuh6vdkpspy63sjmuny.us-east-1.es.amazonaws.com/_plugin/kibana/#/discover/Steve-Slow-Train-Analysis-(2080s-and-2083s)?_g=(refreshInterval:(display:Off,section:0,value:0),time:(from:'2016-08-28 05:41:58-0600',mode:absolute,to:'2016-08-28 08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35" s="113" t="str">
        <f t="shared" si="0"/>
        <v>"C:\Program Files (x86)\AstroGrep\AstroGrep.exe" /spath="%USERPROFILE%\AppData\Local\Temp\OnboardLogs" /stypes="*4002*201608281*" /stext=" 13:.+((SYSTEM_STATE.+slice.+state.+changed )|(ment ac)|(system.+state.+changed )|(\|lc)|(penalty)|(\[timeout)|(PRM\|1\|D)|(kpr)|(kdp))" /e /r /s</v>
      </c>
      <c r="S35" s="9" t="str">
        <f t="shared" si="1"/>
        <v>4002</v>
      </c>
      <c r="T35" s="38">
        <f t="shared" si="2"/>
        <v>42610.558275462965</v>
      </c>
      <c r="U35" s="52" t="str">
        <f t="shared" si="3"/>
        <v>EC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{"issue":{"subject":"","project_id":79,"tracker_id":40,"status_id":1,"priority_id":2,"assigned_to_id":23,"start_date":"2016-08-28","description":"","custom_fields":[{"id":1,"name":"Subdivision","value":"EC"},{"id":4,"name":"Milepost","value":"23.3491"},{"id":17,"name":"Train ID","value":"125-28"},{"id":16,"name":"Locomotive ID","value":"4002"},{"id":130,"name":"Impact","value":""},{"id":150,"name":"Time of Event (Mountain Time)","value":"07:23:55"},{"id":151,"name":"Denver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42610.442719907405</v>
      </c>
      <c r="B36" s="33" t="s">
        <v>183</v>
      </c>
      <c r="C36" s="33" t="s">
        <v>362</v>
      </c>
      <c r="D36" s="33" t="s">
        <v>49</v>
      </c>
      <c r="E36" s="33" t="s">
        <v>50</v>
      </c>
      <c r="F36" s="49">
        <v>0</v>
      </c>
      <c r="G36" s="49">
        <v>101</v>
      </c>
      <c r="H36" s="49">
        <v>232781</v>
      </c>
      <c r="I36" s="33" t="s">
        <v>51</v>
      </c>
      <c r="J36" s="49">
        <v>233491</v>
      </c>
      <c r="K36" s="33" t="s">
        <v>52</v>
      </c>
      <c r="L36" s="92" t="str">
        <f>VLOOKUP(C36,'Trips&amp;Operators'!$C$1:$E$9999,3,0)</f>
        <v>MALAVE</v>
      </c>
      <c r="M36" s="131" t="s">
        <v>86</v>
      </c>
      <c r="N36" s="10"/>
      <c r="O36" s="33"/>
      <c r="P36" s="108" t="str">
        <f>VLOOKUP(C36,'Train Runs'!$A$13:$AE$10016,31,0)</f>
        <v>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 &amp; 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</v>
      </c>
      <c r="Q36" s="111" t="str">
        <f>VLOOKUP(C36,'Train Runs'!$A$13:$AE$10016,22,0)</f>
        <v>https://search-rtdc-monitor-bjffxe2xuh6vdkpspy63sjmuny.us-east-1.es.amazonaws.com/_plugin/kibana/#/discover/Steve-Slow-Train-Analysis-(2080s-and-2083s)?_g=(refreshInterval:(display:Off,section:0,value:0),time:(from:'2016-08-28 08:57:45-0600',mode:absolute,to:'2016-08-28 11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36" s="113" t="str">
        <f t="shared" si="0"/>
        <v>"C:\Program Files (x86)\AstroGrep\AstroGrep.exe" /spath="%USERPROFILE%\AppData\Local\Temp\OnboardLogs" /stypes="*4007*201608281*" /stext=" 16:.+((SYSTEM_STATE.+slice.+state.+changed )|(ment ac)|(system.+state.+changed )|(\|lc)|(penalty)|(\[timeout)|(PRM\|1\|D)|(kpr)|(kdp))" /e /r /s</v>
      </c>
      <c r="S36" s="9" t="str">
        <f t="shared" si="1"/>
        <v>4007</v>
      </c>
      <c r="T36" s="38">
        <f t="shared" si="2"/>
        <v>42610.692719907405</v>
      </c>
      <c r="U36" s="52" t="str">
        <f t="shared" si="3"/>
        <v>EC</v>
      </c>
      <c r="V36" s="52" t="str">
        <f t="shared" si="4"/>
        <v>KEEP</v>
      </c>
      <c r="W36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{"issue":{"subject":"","project_id":79,"tracker_id":40,"status_id":1,"priority_id":2,"assigned_to_id":23,"start_date":"2016-08-28","description":"","custom_fields":[{"id":1,"name":"Subdivision","value":"EC"},{"id":4,"name":"Milepost","value":"23.3491"},{"id":17,"name":"Train ID","value":"151-28"},{"id":16,"name":"Locomotive ID","value":"4007"},{"id":130,"name":"Impact","value":""},{"id":150,"name":"Time of Event (Mountain Time)","value":"10:37:31"},{"id":151,"name":"Denver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5"/>
      <c r="Y36" s="55"/>
      <c r="Z36" s="55"/>
    </row>
    <row r="37" spans="1:26" x14ac:dyDescent="0.25">
      <c r="A37" s="38">
        <v>42610.688287037039</v>
      </c>
      <c r="B37" s="33" t="s">
        <v>172</v>
      </c>
      <c r="C37" s="33" t="s">
        <v>369</v>
      </c>
      <c r="D37" s="33" t="s">
        <v>111</v>
      </c>
      <c r="E37" s="33" t="s">
        <v>56</v>
      </c>
      <c r="F37" s="49">
        <v>400</v>
      </c>
      <c r="G37" s="49">
        <v>454</v>
      </c>
      <c r="H37" s="49">
        <v>43926</v>
      </c>
      <c r="I37" s="33" t="s">
        <v>57</v>
      </c>
      <c r="J37" s="49">
        <v>41797</v>
      </c>
      <c r="K37" s="33" t="s">
        <v>52</v>
      </c>
      <c r="L37" s="92" t="str">
        <f>VLOOKUP(C37,'Trips&amp;Operators'!$C$1:$E$9999,3,0)</f>
        <v>ISHMAEL</v>
      </c>
      <c r="M37" s="131" t="s">
        <v>86</v>
      </c>
      <c r="N37" s="10"/>
      <c r="O37" s="33"/>
      <c r="P37" s="108" t="str">
        <f>VLOOKUP(C37,'Train Runs'!$A$13:$AE$10016,31,0)</f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Q37" s="111" t="str">
        <f>VLOOKUP(C37,'Train Runs'!$A$13:$AE$10016,22,0)</f>
        <v>https://search-rtdc-monitor-bjffxe2xuh6vdkpspy63sjmuny.us-east-1.es.amazonaws.com/_plugin/kibana/#/discover/Steve-Slow-Train-Analysis-(2080s-and-2083s)?_g=(refreshInterval:(display:Off,section:0,value:0),time:(from:'2016-08-28 15:14:44-0600',mode:absolute,to:'2016-08-28 17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37" s="113" t="str">
        <f t="shared" si="0"/>
        <v>"C:\Program Files (x86)\AstroGrep\AstroGrep.exe" /spath="%USERPROFILE%\AppData\Local\Temp\OnboardLogs" /stypes="*4009*201608282*" /stext=" 22:.+((SYSTEM_STATE.+slice.+state.+changed )|(ment ac)|(system.+state.+changed )|(\|lc)|(penalty)|(\[timeout)|(PRM\|1\|D)|(kpr)|(kdp))" /e /r /s</v>
      </c>
      <c r="S37" s="9" t="str">
        <f t="shared" si="1"/>
        <v>4009</v>
      </c>
      <c r="T37" s="38">
        <f t="shared" si="2"/>
        <v>42610.938287037039</v>
      </c>
      <c r="U37" s="52" t="str">
        <f t="shared" si="3"/>
        <v>NW</v>
      </c>
      <c r="V37" s="52" t="str">
        <f t="shared" si="4"/>
        <v>KEEP</v>
      </c>
      <c r="W37" s="149" t="str">
        <f t="shared" si="5"/>
        <v>echo {"issue":{"subject":"","project_id":79,"tracker_id":40,"status_id":1,"priority_id":2,"assigned_to_id":23,"start_date":"2016-08-28","description":"","custom_fields":[{"id":1,"name":"Subdivision","value":"NW"},{"id":4,"name":"Milepost","value":"4.1797"},{"id":17,"name":"Train ID","value":"1821-28"},{"id":16,"name":"Locomotive ID","value":"4009"},{"id":130,"name":"Impact","value":""},{"id":150,"name":"Time of Event (Mountain Time)","value":"16:31:08"},{"id":151,"name":"Denver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x14ac:dyDescent="0.25">
      <c r="A38" s="38">
        <v>42610.434131944443</v>
      </c>
      <c r="B38" s="33" t="s">
        <v>172</v>
      </c>
      <c r="C38" s="33" t="s">
        <v>361</v>
      </c>
      <c r="D38" s="33" t="s">
        <v>49</v>
      </c>
      <c r="E38" s="33" t="s">
        <v>276</v>
      </c>
      <c r="F38" s="49">
        <v>100</v>
      </c>
      <c r="G38" s="49">
        <v>172</v>
      </c>
      <c r="H38" s="49">
        <v>10195</v>
      </c>
      <c r="I38" s="33" t="s">
        <v>277</v>
      </c>
      <c r="J38" s="49">
        <v>10701</v>
      </c>
      <c r="K38" s="33" t="s">
        <v>52</v>
      </c>
      <c r="L38" s="92" t="str">
        <f>VLOOKUP(C38,'Trips&amp;Operators'!$C$1:$E$9999,3,0)</f>
        <v>STARKS</v>
      </c>
      <c r="M38" s="131" t="s">
        <v>86</v>
      </c>
      <c r="N38" s="10"/>
      <c r="O38" s="33"/>
      <c r="P38" s="108" t="str">
        <f>VLOOKUP(C38,'Train Runs'!$A$13:$AE$10016,31,0)</f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Q38" s="111" t="str">
        <f>VLOOKUP(C38,'Train Runs'!$A$13:$AE$10016,22,0)</f>
        <v>https://search-rtdc-monitor-bjffxe2xuh6vdkpspy63sjmuny.us-east-1.es.amazonaws.com/_plugin/kibana/#/discover/Steve-Slow-Train-Analysis-(2080s-and-2083s)?_g=(refreshInterval:(display:Off,section:0,value:0),time:(from:'2016-08-28 09:18:23-0600',mode:absolute,to:'2016-08-28 11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38" s="113" t="str">
        <f t="shared" si="0"/>
        <v>"C:\Program Files (x86)\AstroGrep\AstroGrep.exe" /spath="%USERPROFILE%\AppData\Local\Temp\OnboardLogs" /stypes="*4009*201608281*" /stext=" 16:.+((SYSTEM_STATE.+slice.+state.+changed )|(ment ac)|(system.+state.+changed )|(\|lc)|(penalty)|(\[timeout)|(PRM\|1\|D)|(kpr)|(kdp))" /e /r /s</v>
      </c>
      <c r="S38" s="9" t="str">
        <f t="shared" si="1"/>
        <v>4009</v>
      </c>
      <c r="T38" s="38">
        <f t="shared" si="2"/>
        <v>42610.684131944443</v>
      </c>
      <c r="U38" s="52" t="str">
        <f t="shared" si="3"/>
        <v>NW</v>
      </c>
      <c r="V38" s="52" t="str">
        <f t="shared" si="4"/>
        <v>KEEP</v>
      </c>
      <c r="W38" s="149" t="str">
        <f t="shared" si="5"/>
        <v>echo {"issue":{"subject":"","project_id":79,"tracker_id":40,"status_id":1,"priority_id":2,"assigned_to_id":23,"start_date":"2016-08-28","description":"","custom_fields":[{"id":1,"name":"Subdivision","value":"NW"},{"id":4,"name":"Milepost","value":"1.0701"},{"id":17,"name":"Train ID","value":"1809-28"},{"id":16,"name":"Locomotive ID","value":"4009"},{"id":130,"name":"Impact","value":""},{"id":150,"name":"Time of Event (Mountain Time)","value":"10:25:09"},{"id":151,"name":"Denver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ht="15" customHeight="1" x14ac:dyDescent="0.25">
      <c r="A39" s="38">
        <v>42610.483472222222</v>
      </c>
      <c r="B39" s="33" t="s">
        <v>172</v>
      </c>
      <c r="C39" s="33" t="s">
        <v>365</v>
      </c>
      <c r="D39" s="33" t="s">
        <v>49</v>
      </c>
      <c r="E39" s="33" t="s">
        <v>50</v>
      </c>
      <c r="F39" s="49">
        <v>0</v>
      </c>
      <c r="G39" s="49">
        <v>54</v>
      </c>
      <c r="H39" s="49">
        <v>58858</v>
      </c>
      <c r="I39" s="33" t="s">
        <v>51</v>
      </c>
      <c r="J39" s="49">
        <v>59048</v>
      </c>
      <c r="K39" s="33" t="s">
        <v>52</v>
      </c>
      <c r="L39" s="92" t="str">
        <f>VLOOKUP(C39,'Trips&amp;Operators'!$C$1:$E$9999,3,0)</f>
        <v>STARKS</v>
      </c>
      <c r="M39" s="131" t="s">
        <v>86</v>
      </c>
      <c r="N39" s="10"/>
      <c r="O39" s="33"/>
      <c r="P39" s="108" t="str">
        <f>VLOOKUP(C39,'Train Runs'!$A$13:$AE$10016,31,0)</f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Q39" s="111" t="str">
        <f>VLOOKUP(C39,'Train Runs'!$A$13:$AE$10016,22,0)</f>
        <v>https://search-rtdc-monitor-bjffxe2xuh6vdkpspy63sjmuny.us-east-1.es.amazonaws.com/_plugin/kibana/#/discover/Steve-Slow-Train-Analysis-(2080s-and-2083s)?_g=(refreshInterval:(display:Off,section:0,value:0),time:(from:'2016-08-28 10:15:38-0600',mode:absolute,to:'2016-08-28 12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39" s="113" t="str">
        <f t="shared" si="0"/>
        <v>"C:\Program Files (x86)\AstroGrep\AstroGrep.exe" /spath="%USERPROFILE%\AppData\Local\Temp\OnboardLogs" /stypes="*4009*201608281*" /stext=" 17:.+((SYSTEM_STATE.+slice.+state.+changed )|(ment ac)|(system.+state.+changed )|(\|lc)|(penalty)|(\[timeout)|(PRM\|1\|D)|(kpr)|(kdp))" /e /r /s</v>
      </c>
      <c r="S39" s="9" t="str">
        <f t="shared" si="1"/>
        <v>4009</v>
      </c>
      <c r="T39" s="38">
        <f t="shared" si="2"/>
        <v>42610.733472222222</v>
      </c>
      <c r="U39" s="52" t="str">
        <f t="shared" si="3"/>
        <v>NW</v>
      </c>
      <c r="V39" s="52" t="str">
        <f t="shared" si="4"/>
        <v>KEEP</v>
      </c>
      <c r="W39" s="149" t="str">
        <f t="shared" si="5"/>
        <v>echo {"issue":{"subject":"","project_id":79,"tracker_id":40,"status_id":1,"priority_id":2,"assigned_to_id":23,"start_date":"2016-08-28","description":"","custom_fields":[{"id":1,"name":"Subdivision","value":"NW"},{"id":4,"name":"Milepost","value":"5.9048"},{"id":17,"name":"Train ID","value":"1811-28"},{"id":16,"name":"Locomotive ID","value":"4009"},{"id":130,"name":"Impact","value":""},{"id":150,"name":"Time of Event (Mountain Time)","value":"11:36:12"},{"id":151,"name":"Denver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42610.899328703701</v>
      </c>
      <c r="B40" s="33" t="s">
        <v>172</v>
      </c>
      <c r="C40" s="33" t="s">
        <v>374</v>
      </c>
      <c r="D40" s="33" t="s">
        <v>49</v>
      </c>
      <c r="E40" s="33" t="s">
        <v>50</v>
      </c>
      <c r="F40" s="49">
        <v>0</v>
      </c>
      <c r="G40" s="49">
        <v>28</v>
      </c>
      <c r="H40" s="49">
        <v>59020</v>
      </c>
      <c r="I40" s="33" t="s">
        <v>51</v>
      </c>
      <c r="J40" s="49">
        <v>59058</v>
      </c>
      <c r="K40" s="33" t="s">
        <v>52</v>
      </c>
      <c r="L40" s="92" t="str">
        <f>VLOOKUP(C40,'Trips&amp;Operators'!$C$1:$E$9999,3,0)</f>
        <v>ISHMAEL</v>
      </c>
      <c r="M40" s="131" t="s">
        <v>86</v>
      </c>
      <c r="N40" s="10"/>
      <c r="O40" s="33"/>
      <c r="P40" s="108" t="str">
        <f>VLOOKUP(C40,'Train Runs'!$A$13:$AE$10016,31,0)</f>
        <v>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 &amp; 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</v>
      </c>
      <c r="Q40" s="111" t="str">
        <f>VLOOKUP(C40,'Train Runs'!$A$13:$AE$10016,22,0)</f>
        <v>https://search-rtdc-monitor-bjffxe2xuh6vdkpspy63sjmuny.us-east-1.es.amazonaws.com/_plugin/kibana/#/discover/Steve-Slow-Train-Analysis-(2080s-and-2083s)?_g=(refreshInterval:(display:Off,section:0,value:0),time:(from:'2016-08-28 20:16:36-0600',mode:absolute,to:'2016-08-28 22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40" s="113" t="str">
        <f t="shared" si="0"/>
        <v>"C:\Program Files (x86)\AstroGrep\AstroGrep.exe" /spath="%USERPROFILE%\AppData\Local\Temp\OnboardLogs" /stypes="*4009*201608290*" /stext=" 03:.+((SYSTEM_STATE.+slice.+state.+changed )|(ment ac)|(system.+state.+changed )|(\|lc)|(penalty)|(\[timeout)|(PRM\|1\|D)|(kpr)|(kdp))" /e /r /s</v>
      </c>
      <c r="S40" s="9" t="str">
        <f t="shared" si="1"/>
        <v>4009</v>
      </c>
      <c r="T40" s="38">
        <f t="shared" si="2"/>
        <v>42611.149328703701</v>
      </c>
      <c r="U40" s="52" t="str">
        <f t="shared" si="3"/>
        <v>NW</v>
      </c>
      <c r="V40" s="52" t="str">
        <f t="shared" si="4"/>
        <v>KEEP</v>
      </c>
      <c r="W40" s="149" t="str">
        <f t="shared" si="5"/>
        <v>echo {"issue":{"subject":"","project_id":79,"tracker_id":40,"status_id":1,"priority_id":2,"assigned_to_id":23,"start_date":"2016-08-28","description":"","custom_fields":[{"id":1,"name":"Subdivision","value":"NW"},{"id":4,"name":"Milepost","value":"5.9058"},{"id":17,"name":"Train ID","value":"1831-28"},{"id":16,"name":"Locomotive ID","value":"4009"},{"id":130,"name":"Impact","value":""},{"id":150,"name":"Time of Event (Mountain Time)","value":"21:35:02"},{"id":151,"name":"Denver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5"/>
      <c r="Y40" s="55"/>
      <c r="Z40" s="55"/>
    </row>
    <row r="41" spans="1:26" x14ac:dyDescent="0.25">
      <c r="A41" s="38">
        <v>42610.757824074077</v>
      </c>
      <c r="B41" s="33" t="s">
        <v>256</v>
      </c>
      <c r="C41" s="33" t="s">
        <v>371</v>
      </c>
      <c r="D41" s="33" t="s">
        <v>49</v>
      </c>
      <c r="E41" s="33" t="s">
        <v>50</v>
      </c>
      <c r="F41" s="49">
        <v>0</v>
      </c>
      <c r="G41" s="49">
        <v>24</v>
      </c>
      <c r="H41" s="49">
        <v>884</v>
      </c>
      <c r="I41" s="33" t="s">
        <v>51</v>
      </c>
      <c r="J41" s="49">
        <v>839</v>
      </c>
      <c r="K41" s="33" t="s">
        <v>53</v>
      </c>
      <c r="L41" s="92" t="str">
        <f>VLOOKUP(C41,'Trips&amp;Operators'!$C$1:$E$9999,3,0)</f>
        <v>HAITHCOX</v>
      </c>
      <c r="M41" s="131" t="s">
        <v>86</v>
      </c>
      <c r="N41" s="10"/>
      <c r="O41" s="33"/>
      <c r="P41" s="108" t="e">
        <f>VLOOKUP(C41,'Train Runs'!$A$13:$AE$10016,31,0)</f>
        <v>#N/A</v>
      </c>
      <c r="Q41" s="111" t="e">
        <f>VLOOKUP(C41,'Train Runs'!$A$13:$AE$10016,22,0)</f>
        <v>#N/A</v>
      </c>
      <c r="R41" s="113" t="str">
        <f t="shared" si="0"/>
        <v>"C:\Program Files (x86)\AstroGrep\AstroGrep.exe" /spath="%USERPROFILE%\AppData\Local\Temp\OnboardLogs" /stypes="*4019*201608290*" /stext=" 00:.+((SYSTEM_STATE.+slice.+state.+changed )|(ment ac)|(system.+state.+changed )|(\|lc)|(penalty)|(\[timeout)|(PRM\|1\|D)|(kpr)|(kdp))" /e /r /s</v>
      </c>
      <c r="S41" s="9" t="str">
        <f t="shared" si="1"/>
        <v>4019</v>
      </c>
      <c r="T41" s="38">
        <f t="shared" si="2"/>
        <v>42611.007824074077</v>
      </c>
      <c r="U41" s="52" t="str">
        <f t="shared" si="3"/>
        <v>Other</v>
      </c>
      <c r="V41" s="52" t="str">
        <f t="shared" si="4"/>
        <v>KEEP</v>
      </c>
      <c r="W41" s="149" t="str">
        <f t="shared" si="5"/>
        <v>echo {"issue":{"subject":"","project_id":79,"tracker_id":40,"status_id":1,"priority_id":2,"assigned_to_id":23,"start_date":"2016-08-28","description":"","custom_fields":[{"id":1,"name":"Subdivision","value":"Other"},{"id":4,"name":"Milepost","value":"0.0839"},{"id":17,"name":"Train ID","value":"66-28"},{"id":16,"name":"Locomotive ID","value":"4019"},{"id":130,"name":"Impact","value":""},{"id":150,"name":"Time of Event (Mountain Time)","value":"18:11:16"},{"id":151,"name":"Denver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5"/>
      <c r="Y41" s="55"/>
      <c r="Z41" s="55"/>
    </row>
    <row r="42" spans="1:26" x14ac:dyDescent="0.25">
      <c r="A42" s="38">
        <v>42610.758368055554</v>
      </c>
      <c r="B42" s="33" t="s">
        <v>256</v>
      </c>
      <c r="C42" s="33" t="s">
        <v>371</v>
      </c>
      <c r="D42" s="33" t="s">
        <v>49</v>
      </c>
      <c r="E42" s="33" t="s">
        <v>50</v>
      </c>
      <c r="F42" s="49">
        <v>0</v>
      </c>
      <c r="G42" s="49">
        <v>14</v>
      </c>
      <c r="H42" s="49">
        <v>843</v>
      </c>
      <c r="I42" s="33" t="s">
        <v>51</v>
      </c>
      <c r="J42" s="49">
        <v>839</v>
      </c>
      <c r="K42" s="33" t="s">
        <v>53</v>
      </c>
      <c r="L42" s="92" t="str">
        <f>VLOOKUP(C42,'Trips&amp;Operators'!$C$1:$E$9999,3,0)</f>
        <v>HAITHCOX</v>
      </c>
      <c r="M42" s="131" t="s">
        <v>86</v>
      </c>
      <c r="N42" s="10"/>
      <c r="O42" s="33"/>
      <c r="P42" s="108" t="e">
        <f>VLOOKUP(C42,'Train Runs'!$A$13:$AE$10016,31,0)</f>
        <v>#N/A</v>
      </c>
      <c r="Q42" s="111" t="e">
        <f>VLOOKUP(C42,'Train Runs'!$A$13:$AE$10016,22,0)</f>
        <v>#N/A</v>
      </c>
      <c r="R42" s="113" t="str">
        <f t="shared" si="0"/>
        <v>"C:\Program Files (x86)\AstroGrep\AstroGrep.exe" /spath="%USERPROFILE%\AppData\Local\Temp\OnboardLogs" /stypes="*4019*201608290*" /stext=" 00:.+((SYSTEM_STATE.+slice.+state.+changed )|(ment ac)|(system.+state.+changed )|(\|lc)|(penalty)|(\[timeout)|(PRM\|1\|D)|(kpr)|(kdp))" /e /r /s</v>
      </c>
      <c r="S42" s="9" t="str">
        <f t="shared" si="1"/>
        <v>4019</v>
      </c>
      <c r="T42" s="38">
        <f t="shared" si="2"/>
        <v>42611.008368055554</v>
      </c>
      <c r="U42" s="52" t="str">
        <f t="shared" si="3"/>
        <v>Other</v>
      </c>
      <c r="V42" s="52" t="str">
        <f t="shared" si="4"/>
        <v>KEEP</v>
      </c>
      <c r="W42" s="149" t="str">
        <f t="shared" si="5"/>
        <v>echo {"issue":{"subject":"","project_id":79,"tracker_id":40,"status_id":1,"priority_id":2,"assigned_to_id":23,"start_date":"2016-08-28","description":"","custom_fields":[{"id":1,"name":"Subdivision","value":"Other"},{"id":4,"name":"Milepost","value":"0.0839"},{"id":17,"name":"Train ID","value":"66-28"},{"id":16,"name":"Locomotive ID","value":"4019"},{"id":130,"name":"Impact","value":""},{"id":150,"name":"Time of Event (Mountain Time)","value":"18:12:03"},{"id":151,"name":"Denver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/>
      <c r="B43" s="33"/>
      <c r="C43" s="33"/>
      <c r="D43" s="33"/>
      <c r="E43" s="33"/>
      <c r="F43" s="49"/>
      <c r="G43" s="49"/>
      <c r="H43" s="49"/>
      <c r="I43" s="33"/>
      <c r="J43" s="49"/>
      <c r="K43" s="33"/>
      <c r="L43" s="92"/>
      <c r="M43" s="131"/>
      <c r="N43" s="10"/>
      <c r="O43" s="33"/>
      <c r="P43" s="108"/>
      <c r="Q43" s="111"/>
      <c r="R43" s="113"/>
      <c r="S43" s="9"/>
      <c r="T43" s="38"/>
      <c r="U43" s="52"/>
      <c r="V43" s="52"/>
      <c r="W43" s="149"/>
      <c r="X43" s="55"/>
      <c r="Y43" s="55"/>
      <c r="Z43" s="55"/>
    </row>
    <row r="44" spans="1:26" x14ac:dyDescent="0.25">
      <c r="A44" s="38"/>
      <c r="B44" s="33"/>
      <c r="C44" s="33"/>
      <c r="D44" s="33"/>
      <c r="E44" s="33"/>
      <c r="F44" s="49"/>
      <c r="G44" s="49"/>
      <c r="H44" s="49"/>
      <c r="I44" s="33"/>
      <c r="J44" s="49"/>
      <c r="K44" s="33"/>
      <c r="L44" s="92"/>
      <c r="M44" s="131"/>
      <c r="N44" s="10"/>
      <c r="O44" s="33"/>
      <c r="P44" s="108"/>
      <c r="Q44" s="111"/>
      <c r="R44" s="113"/>
      <c r="S44" s="9"/>
      <c r="T44" s="38"/>
      <c r="U44" s="52"/>
      <c r="V44" s="52"/>
      <c r="W44" s="149"/>
      <c r="X44" s="55"/>
      <c r="Y44" s="55"/>
      <c r="Z44" s="55"/>
    </row>
    <row r="45" spans="1:26" x14ac:dyDescent="0.25">
      <c r="A45" s="38"/>
      <c r="B45" s="33"/>
      <c r="C45" s="33"/>
      <c r="D45" s="33"/>
      <c r="E45" s="33"/>
      <c r="F45" s="49"/>
      <c r="G45" s="49"/>
      <c r="H45" s="49"/>
      <c r="I45" s="33"/>
      <c r="J45" s="49"/>
      <c r="K45" s="33"/>
      <c r="L45" s="92"/>
      <c r="M45" s="131"/>
      <c r="N45" s="10"/>
      <c r="O45" s="33"/>
      <c r="P45" s="108"/>
      <c r="Q45" s="111"/>
      <c r="R45" s="113"/>
      <c r="S45" s="9"/>
      <c r="T45" s="38"/>
      <c r="U45" s="52"/>
      <c r="V45" s="52"/>
      <c r="W45" s="149"/>
      <c r="X45" s="55"/>
      <c r="Y45" s="55"/>
      <c r="Z45" s="55"/>
    </row>
    <row r="46" spans="1:26" x14ac:dyDescent="0.25">
      <c r="A46" s="38"/>
      <c r="B46" s="33"/>
      <c r="C46" s="33"/>
      <c r="D46" s="33"/>
      <c r="E46" s="33"/>
      <c r="F46" s="49"/>
      <c r="G46" s="49"/>
      <c r="H46" s="49"/>
      <c r="I46" s="33"/>
      <c r="J46" s="49"/>
      <c r="K46" s="33"/>
      <c r="L46" s="92"/>
      <c r="M46" s="131"/>
      <c r="N46" s="10"/>
      <c r="O46" s="33"/>
      <c r="P46" s="108"/>
      <c r="Q46" s="111"/>
      <c r="R46" s="113"/>
      <c r="S46" s="9"/>
      <c r="T46" s="38"/>
      <c r="U46" s="52"/>
      <c r="V46" s="52"/>
      <c r="W46" s="149"/>
      <c r="X46" s="55"/>
      <c r="Y46" s="55"/>
      <c r="Z46" s="55"/>
    </row>
    <row r="47" spans="1:26" x14ac:dyDescent="0.25">
      <c r="A47" s="38"/>
      <c r="B47" s="33"/>
      <c r="C47" s="33"/>
      <c r="D47" s="33"/>
      <c r="E47" s="33"/>
      <c r="F47" s="49"/>
      <c r="G47" s="49"/>
      <c r="H47" s="49"/>
      <c r="I47" s="33"/>
      <c r="J47" s="49"/>
      <c r="K47" s="33"/>
      <c r="L47" s="92"/>
      <c r="M47" s="131"/>
      <c r="N47" s="10"/>
      <c r="O47" s="33"/>
      <c r="P47" s="108"/>
      <c r="Q47" s="111"/>
      <c r="R47" s="113"/>
      <c r="S47" s="9"/>
      <c r="T47" s="38"/>
      <c r="U47" s="52"/>
      <c r="V47" s="52"/>
      <c r="W47" s="149"/>
      <c r="X47" s="55"/>
      <c r="Y47" s="55"/>
      <c r="Z47" s="55"/>
    </row>
    <row r="48" spans="1:26" x14ac:dyDescent="0.25">
      <c r="A48" s="38"/>
      <c r="B48" s="33"/>
      <c r="C48" s="33"/>
      <c r="D48" s="33"/>
      <c r="E48" s="33"/>
      <c r="F48" s="49"/>
      <c r="G48" s="49"/>
      <c r="H48" s="49"/>
      <c r="I48" s="33"/>
      <c r="J48" s="49"/>
      <c r="K48" s="33"/>
      <c r="L48" s="92"/>
      <c r="M48" s="131"/>
      <c r="N48" s="10"/>
      <c r="O48" s="33"/>
      <c r="P48" s="108"/>
      <c r="Q48" s="111"/>
      <c r="R48" s="113"/>
      <c r="S48" s="9"/>
      <c r="T48" s="38"/>
      <c r="U48" s="52"/>
      <c r="V48" s="52"/>
      <c r="W48" s="149"/>
      <c r="X48" s="55"/>
      <c r="Y48" s="55"/>
      <c r="Z48" s="55"/>
    </row>
    <row r="49" spans="1:26" x14ac:dyDescent="0.25">
      <c r="A49" s="38"/>
      <c r="B49" s="33"/>
      <c r="C49" s="33"/>
      <c r="D49" s="33"/>
      <c r="E49" s="33"/>
      <c r="F49" s="49"/>
      <c r="G49" s="49"/>
      <c r="H49" s="49"/>
      <c r="I49" s="33"/>
      <c r="J49" s="49"/>
      <c r="K49" s="33"/>
      <c r="L49" s="92"/>
      <c r="M49" s="131"/>
      <c r="N49" s="10"/>
      <c r="O49" s="33"/>
      <c r="P49" s="108"/>
      <c r="Q49" s="111"/>
      <c r="R49" s="113"/>
      <c r="S49" s="9"/>
      <c r="T49" s="38"/>
      <c r="U49" s="52"/>
      <c r="V49" s="52"/>
      <c r="W49" s="149"/>
      <c r="X49" s="55"/>
      <c r="Y49" s="55"/>
      <c r="Z49" s="55"/>
    </row>
    <row r="50" spans="1:26" x14ac:dyDescent="0.25">
      <c r="A50" s="38"/>
      <c r="B50" s="33"/>
      <c r="C50" s="33"/>
      <c r="D50" s="33"/>
      <c r="E50" s="33"/>
      <c r="F50" s="49"/>
      <c r="G50" s="49"/>
      <c r="H50" s="49"/>
      <c r="I50" s="33"/>
      <c r="J50" s="49"/>
      <c r="K50" s="33"/>
      <c r="L50" s="92"/>
      <c r="M50" s="131"/>
      <c r="N50" s="10"/>
      <c r="O50" s="33"/>
      <c r="P50" s="108"/>
      <c r="Q50" s="111"/>
      <c r="R50" s="113"/>
      <c r="S50" s="9"/>
      <c r="T50" s="38"/>
      <c r="U50" s="52"/>
      <c r="V50" s="52"/>
      <c r="W50" s="149"/>
      <c r="X50" s="55"/>
      <c r="Y50" s="55"/>
      <c r="Z50" s="55"/>
    </row>
    <row r="51" spans="1:26" x14ac:dyDescent="0.25">
      <c r="A51" s="38"/>
      <c r="B51" s="33"/>
      <c r="C51" s="33"/>
      <c r="D51" s="33"/>
      <c r="E51" s="33"/>
      <c r="F51" s="49"/>
      <c r="G51" s="49"/>
      <c r="H51" s="49"/>
      <c r="I51" s="33"/>
      <c r="J51" s="49"/>
      <c r="K51" s="33"/>
      <c r="L51" s="92"/>
      <c r="M51" s="131"/>
      <c r="N51" s="10"/>
      <c r="O51" s="33"/>
      <c r="P51" s="108"/>
      <c r="Q51" s="111"/>
      <c r="R51" s="113"/>
      <c r="S51" s="9"/>
      <c r="T51" s="38"/>
      <c r="U51" s="52"/>
      <c r="V51" s="52"/>
      <c r="W51" s="149"/>
      <c r="X51" s="55"/>
      <c r="Y51" s="55"/>
      <c r="Z51" s="55"/>
    </row>
    <row r="52" spans="1:26" x14ac:dyDescent="0.25">
      <c r="A52" s="38"/>
      <c r="B52" s="33"/>
      <c r="C52" s="33"/>
      <c r="D52" s="33"/>
      <c r="E52" s="33"/>
      <c r="F52" s="49"/>
      <c r="G52" s="49"/>
      <c r="H52" s="49"/>
      <c r="I52" s="33"/>
      <c r="J52" s="49"/>
      <c r="K52" s="33"/>
      <c r="L52" s="92"/>
      <c r="M52" s="131"/>
      <c r="N52" s="10"/>
      <c r="O52" s="33"/>
      <c r="P52" s="108"/>
      <c r="Q52" s="111"/>
      <c r="R52" s="113"/>
      <c r="S52" s="9"/>
      <c r="T52" s="38"/>
      <c r="U52" s="52"/>
      <c r="V52" s="52"/>
      <c r="W52" s="149"/>
      <c r="X52" s="55"/>
      <c r="Y52" s="55"/>
      <c r="Z52" s="55"/>
    </row>
    <row r="53" spans="1:26" x14ac:dyDescent="0.25">
      <c r="A53" s="38"/>
      <c r="B53" s="33"/>
      <c r="C53" s="33"/>
      <c r="D53" s="33"/>
      <c r="E53" s="33"/>
      <c r="F53" s="49"/>
      <c r="G53" s="49"/>
      <c r="H53" s="49"/>
      <c r="I53" s="33"/>
      <c r="J53" s="49"/>
      <c r="K53" s="33"/>
      <c r="L53" s="92"/>
      <c r="M53" s="131"/>
      <c r="N53" s="10"/>
      <c r="O53" s="33"/>
      <c r="P53" s="108"/>
      <c r="Q53" s="111"/>
      <c r="R53" s="113"/>
      <c r="S53" s="9"/>
      <c r="T53" s="38"/>
      <c r="U53" s="52"/>
      <c r="V53" s="52"/>
      <c r="W53" s="149"/>
      <c r="X53" s="55"/>
      <c r="Y53" s="55"/>
      <c r="Z53" s="55"/>
    </row>
    <row r="54" spans="1:26" x14ac:dyDescent="0.25">
      <c r="A54" s="38"/>
      <c r="B54" s="33"/>
      <c r="C54" s="33"/>
      <c r="D54" s="33"/>
      <c r="E54" s="33"/>
      <c r="F54" s="49"/>
      <c r="G54" s="49"/>
      <c r="H54" s="49"/>
      <c r="I54" s="33"/>
      <c r="J54" s="49"/>
      <c r="K54" s="33"/>
      <c r="L54" s="92"/>
      <c r="M54" s="131"/>
      <c r="N54" s="10"/>
      <c r="O54" s="33"/>
      <c r="P54" s="108"/>
      <c r="Q54" s="111"/>
      <c r="R54" s="113"/>
      <c r="S54" s="9"/>
      <c r="T54" s="38"/>
      <c r="U54" s="52"/>
      <c r="V54" s="52"/>
      <c r="W54" s="149"/>
      <c r="X54" s="55"/>
      <c r="Y54" s="55"/>
      <c r="Z54" s="55"/>
    </row>
    <row r="55" spans="1:26" x14ac:dyDescent="0.25">
      <c r="A55" s="38"/>
      <c r="B55" s="33"/>
      <c r="C55" s="33"/>
      <c r="D55" s="33"/>
      <c r="E55" s="33"/>
      <c r="F55" s="49"/>
      <c r="G55" s="49"/>
      <c r="H55" s="49"/>
      <c r="I55" s="33"/>
      <c r="J55" s="49"/>
      <c r="K55" s="33"/>
      <c r="L55" s="92"/>
      <c r="M55" s="131"/>
      <c r="N55" s="10"/>
      <c r="O55" s="33"/>
      <c r="P55" s="108"/>
      <c r="Q55" s="111"/>
      <c r="R55" s="113"/>
      <c r="S55" s="9"/>
      <c r="T55" s="38"/>
      <c r="U55" s="52"/>
      <c r="V55" s="52"/>
      <c r="W55" s="149"/>
      <c r="X55" s="55"/>
      <c r="Y55" s="55"/>
      <c r="Z55" s="55"/>
    </row>
    <row r="56" spans="1:26" x14ac:dyDescent="0.25">
      <c r="A56" s="38"/>
      <c r="B56" s="33"/>
      <c r="C56" s="33"/>
      <c r="D56" s="33"/>
      <c r="E56" s="33"/>
      <c r="F56" s="49"/>
      <c r="G56" s="49"/>
      <c r="H56" s="49"/>
      <c r="I56" s="33"/>
      <c r="J56" s="49"/>
      <c r="K56" s="33"/>
      <c r="L56" s="92"/>
      <c r="M56" s="131"/>
      <c r="N56" s="10"/>
      <c r="O56" s="33"/>
      <c r="P56" s="108"/>
      <c r="Q56" s="111"/>
      <c r="R56" s="113"/>
      <c r="S56" s="9"/>
      <c r="T56" s="38"/>
      <c r="U56" s="52"/>
      <c r="V56" s="52"/>
      <c r="W56" s="149"/>
      <c r="X56" s="55"/>
      <c r="Y56" s="55"/>
      <c r="Z56" s="55"/>
    </row>
    <row r="57" spans="1:26" x14ac:dyDescent="0.25">
      <c r="A57" s="38"/>
      <c r="B57" s="33"/>
      <c r="C57" s="33"/>
      <c r="D57" s="33"/>
      <c r="E57" s="33"/>
      <c r="F57" s="49"/>
      <c r="G57" s="49"/>
      <c r="H57" s="49"/>
      <c r="I57" s="33"/>
      <c r="J57" s="49"/>
      <c r="K57" s="33"/>
      <c r="L57" s="92"/>
      <c r="M57" s="131"/>
      <c r="N57" s="10"/>
      <c r="O57" s="33"/>
      <c r="P57" s="108"/>
      <c r="Q57" s="111"/>
      <c r="R57" s="113"/>
      <c r="S57" s="9"/>
      <c r="T57" s="38"/>
      <c r="U57" s="52"/>
      <c r="V57" s="52"/>
      <c r="W57" s="149"/>
      <c r="X57" s="55"/>
      <c r="Y57" s="55"/>
      <c r="Z57" s="55"/>
    </row>
    <row r="58" spans="1:26" x14ac:dyDescent="0.25">
      <c r="A58" s="38"/>
      <c r="B58" s="33"/>
      <c r="C58" s="33"/>
      <c r="D58" s="33"/>
      <c r="E58" s="33"/>
      <c r="F58" s="49"/>
      <c r="G58" s="49"/>
      <c r="H58" s="49"/>
      <c r="I58" s="33"/>
      <c r="J58" s="49"/>
      <c r="K58" s="33"/>
      <c r="L58" s="92"/>
      <c r="M58" s="131"/>
      <c r="N58" s="10"/>
      <c r="O58" s="33"/>
      <c r="P58" s="108"/>
      <c r="Q58" s="111"/>
      <c r="R58" s="113"/>
      <c r="S58" s="9"/>
      <c r="T58" s="38"/>
      <c r="U58" s="52"/>
      <c r="V58" s="52"/>
      <c r="W58" s="149"/>
      <c r="X58" s="55"/>
      <c r="Y58" s="55"/>
      <c r="Z58" s="55"/>
    </row>
    <row r="59" spans="1:26" x14ac:dyDescent="0.25">
      <c r="A59" s="38"/>
      <c r="B59" s="33"/>
      <c r="C59" s="33"/>
      <c r="D59" s="33"/>
      <c r="E59" s="33"/>
      <c r="F59" s="49"/>
      <c r="G59" s="49"/>
      <c r="H59" s="49"/>
      <c r="I59" s="33"/>
      <c r="J59" s="49"/>
      <c r="K59" s="33"/>
      <c r="L59" s="92"/>
      <c r="M59" s="131"/>
      <c r="N59" s="10"/>
      <c r="O59" s="33"/>
      <c r="P59" s="108"/>
      <c r="Q59" s="111"/>
      <c r="R59" s="113"/>
      <c r="S59" s="9"/>
      <c r="T59" s="38"/>
      <c r="U59" s="52"/>
      <c r="V59" s="52"/>
      <c r="W59" s="149"/>
      <c r="X59" s="55"/>
      <c r="Y59" s="55"/>
      <c r="Z59" s="55"/>
    </row>
    <row r="60" spans="1:26" x14ac:dyDescent="0.25">
      <c r="A60" s="38"/>
      <c r="B60" s="33"/>
      <c r="C60" s="33"/>
      <c r="D60" s="33"/>
      <c r="E60" s="33"/>
      <c r="F60" s="49"/>
      <c r="G60" s="49"/>
      <c r="H60" s="49"/>
      <c r="I60" s="33"/>
      <c r="J60" s="49"/>
      <c r="K60" s="33"/>
      <c r="L60" s="92"/>
      <c r="M60" s="131"/>
      <c r="N60" s="10"/>
      <c r="O60" s="33"/>
      <c r="P60" s="108"/>
      <c r="Q60" s="111"/>
      <c r="R60" s="113"/>
      <c r="S60" s="9"/>
      <c r="T60" s="38"/>
      <c r="U60" s="52"/>
      <c r="V60" s="52"/>
      <c r="W60" s="149"/>
      <c r="X60" s="55"/>
      <c r="Y60" s="55"/>
      <c r="Z60" s="55"/>
    </row>
    <row r="61" spans="1:26" x14ac:dyDescent="0.25">
      <c r="A61" s="38"/>
      <c r="B61" s="33"/>
      <c r="C61" s="33"/>
      <c r="D61" s="33"/>
      <c r="E61" s="33"/>
      <c r="F61" s="49"/>
      <c r="G61" s="49"/>
      <c r="H61" s="49"/>
      <c r="I61" s="33"/>
      <c r="J61" s="49"/>
      <c r="K61" s="33"/>
      <c r="L61" s="92"/>
      <c r="M61" s="131"/>
      <c r="N61" s="10"/>
      <c r="O61" s="33"/>
      <c r="P61" s="108"/>
      <c r="Q61" s="111"/>
      <c r="R61" s="113"/>
      <c r="S61" s="9"/>
      <c r="T61" s="38"/>
      <c r="U61" s="52"/>
      <c r="V61" s="52"/>
      <c r="W61" s="149"/>
      <c r="X61" s="55"/>
      <c r="Y61" s="55"/>
      <c r="Z61" s="55"/>
    </row>
    <row r="62" spans="1:26" x14ac:dyDescent="0.25">
      <c r="A62" s="38"/>
      <c r="B62" s="33"/>
      <c r="C62" s="33"/>
      <c r="D62" s="33"/>
      <c r="E62" s="33"/>
      <c r="F62" s="49"/>
      <c r="G62" s="49"/>
      <c r="H62" s="49"/>
      <c r="I62" s="33"/>
      <c r="J62" s="49"/>
      <c r="K62" s="33"/>
      <c r="L62" s="92"/>
      <c r="M62" s="131"/>
      <c r="N62" s="10"/>
      <c r="O62" s="33"/>
      <c r="P62" s="108"/>
      <c r="Q62" s="111"/>
      <c r="R62" s="113"/>
      <c r="S62" s="9"/>
      <c r="T62" s="38"/>
      <c r="U62" s="52"/>
      <c r="V62" s="52"/>
      <c r="W62" s="149"/>
      <c r="X62" s="55"/>
      <c r="Y62" s="55"/>
      <c r="Z62" s="55"/>
    </row>
    <row r="63" spans="1:26" x14ac:dyDescent="0.25">
      <c r="A63" s="38"/>
      <c r="B63" s="33"/>
      <c r="C63" s="33"/>
      <c r="D63" s="33"/>
      <c r="E63" s="33"/>
      <c r="F63" s="49"/>
      <c r="G63" s="49"/>
      <c r="H63" s="49"/>
      <c r="I63" s="33"/>
      <c r="J63" s="49"/>
      <c r="K63" s="33"/>
      <c r="L63" s="92"/>
      <c r="M63" s="131"/>
      <c r="N63" s="10"/>
      <c r="O63" s="33"/>
      <c r="P63" s="108"/>
      <c r="Q63" s="111"/>
      <c r="R63" s="113"/>
      <c r="S63" s="9"/>
      <c r="T63" s="38"/>
      <c r="U63" s="52"/>
      <c r="V63" s="52"/>
      <c r="W63" s="149"/>
      <c r="X63" s="55"/>
      <c r="Y63" s="55"/>
      <c r="Z63" s="55"/>
    </row>
    <row r="64" spans="1:26" x14ac:dyDescent="0.25">
      <c r="A64" s="38"/>
      <c r="B64" s="33"/>
      <c r="C64" s="33"/>
      <c r="D64" s="33"/>
      <c r="E64" s="33"/>
      <c r="F64" s="49"/>
      <c r="G64" s="49"/>
      <c r="H64" s="49"/>
      <c r="I64" s="33"/>
      <c r="J64" s="49"/>
      <c r="K64" s="33"/>
      <c r="L64" s="92"/>
      <c r="M64" s="131"/>
      <c r="N64" s="10"/>
      <c r="O64" s="33"/>
      <c r="P64" s="108"/>
      <c r="Q64" s="111"/>
      <c r="R64" s="113"/>
      <c r="S64" s="9"/>
      <c r="T64" s="38"/>
      <c r="U64" s="52"/>
      <c r="V64" s="52"/>
      <c r="W64" s="149"/>
      <c r="X64" s="55"/>
      <c r="Y64" s="55"/>
      <c r="Z64" s="55"/>
    </row>
    <row r="65" spans="1:26" x14ac:dyDescent="0.25">
      <c r="A65" s="38"/>
      <c r="B65" s="33"/>
      <c r="C65" s="33"/>
      <c r="D65" s="33"/>
      <c r="E65" s="33"/>
      <c r="F65" s="49"/>
      <c r="G65" s="49"/>
      <c r="H65" s="49"/>
      <c r="I65" s="33"/>
      <c r="J65" s="49"/>
      <c r="K65" s="33"/>
      <c r="L65" s="92"/>
      <c r="M65" s="131"/>
      <c r="N65" s="10"/>
      <c r="O65" s="33"/>
      <c r="P65" s="108"/>
      <c r="Q65" s="111"/>
      <c r="R65" s="113"/>
      <c r="S65" s="9"/>
      <c r="T65" s="38"/>
      <c r="U65" s="52"/>
      <c r="V65" s="52"/>
      <c r="W65" s="149"/>
      <c r="X65" s="55"/>
      <c r="Y65" s="55"/>
      <c r="Z65" s="55"/>
    </row>
    <row r="66" spans="1:26" x14ac:dyDescent="0.25">
      <c r="A66" s="38"/>
      <c r="B66" s="33"/>
      <c r="C66" s="33"/>
      <c r="D66" s="33"/>
      <c r="E66" s="33"/>
      <c r="F66" s="49"/>
      <c r="G66" s="49"/>
      <c r="H66" s="49"/>
      <c r="I66" s="33"/>
      <c r="J66" s="49"/>
      <c r="K66" s="33"/>
      <c r="L66" s="92"/>
      <c r="M66" s="131"/>
      <c r="N66" s="10"/>
      <c r="O66" s="33"/>
      <c r="P66" s="108"/>
      <c r="Q66" s="111"/>
      <c r="R66" s="113"/>
      <c r="S66" s="9"/>
      <c r="T66" s="38"/>
      <c r="U66" s="52"/>
      <c r="V66" s="52"/>
      <c r="W66" s="149"/>
      <c r="X66" s="55"/>
      <c r="Y66" s="55"/>
      <c r="Z66" s="55"/>
    </row>
    <row r="67" spans="1:26" x14ac:dyDescent="0.25">
      <c r="A67" s="38"/>
      <c r="B67" s="33"/>
      <c r="C67" s="33"/>
      <c r="D67" s="33"/>
      <c r="E67" s="33"/>
      <c r="F67" s="49"/>
      <c r="G67" s="49"/>
      <c r="H67" s="49"/>
      <c r="I67" s="33"/>
      <c r="J67" s="49"/>
      <c r="K67" s="33"/>
      <c r="L67" s="92"/>
      <c r="M67" s="131"/>
      <c r="N67" s="10"/>
      <c r="O67" s="33"/>
      <c r="P67" s="108"/>
      <c r="Q67" s="111"/>
      <c r="R67" s="113"/>
      <c r="S67" s="9"/>
      <c r="T67" s="38"/>
      <c r="U67" s="52"/>
      <c r="V67" s="52"/>
      <c r="W67" s="149"/>
      <c r="X67" s="55"/>
      <c r="Y67" s="55"/>
      <c r="Z67" s="55"/>
    </row>
    <row r="68" spans="1:26" x14ac:dyDescent="0.25">
      <c r="A68" s="38"/>
      <c r="B68" s="33"/>
      <c r="C68" s="33"/>
      <c r="D68" s="33"/>
      <c r="E68" s="33"/>
      <c r="F68" s="49"/>
      <c r="G68" s="49"/>
      <c r="H68" s="49"/>
      <c r="I68" s="33"/>
      <c r="J68" s="49"/>
      <c r="K68" s="33"/>
      <c r="L68" s="92"/>
      <c r="M68" s="131"/>
      <c r="N68" s="10"/>
      <c r="O68" s="33"/>
      <c r="P68" s="108"/>
      <c r="Q68" s="111"/>
      <c r="R68" s="113"/>
      <c r="S68" s="9"/>
      <c r="T68" s="38"/>
      <c r="U68" s="52"/>
      <c r="V68" s="52"/>
      <c r="W68" s="149"/>
      <c r="X68" s="55"/>
      <c r="Y68" s="55"/>
      <c r="Z68" s="55"/>
    </row>
    <row r="69" spans="1:26" x14ac:dyDescent="0.25">
      <c r="A69" s="38"/>
      <c r="B69" s="33"/>
      <c r="C69" s="33"/>
      <c r="D69" s="33"/>
      <c r="E69" s="33"/>
      <c r="F69" s="49"/>
      <c r="G69" s="49"/>
      <c r="H69" s="49"/>
      <c r="I69" s="33"/>
      <c r="J69" s="49"/>
      <c r="K69" s="33"/>
      <c r="L69" s="92"/>
      <c r="M69" s="131"/>
      <c r="N69" s="10"/>
      <c r="O69" s="33"/>
      <c r="P69" s="108"/>
      <c r="Q69" s="111"/>
      <c r="R69" s="113"/>
      <c r="S69" s="9"/>
      <c r="T69" s="38"/>
      <c r="U69" s="52"/>
      <c r="V69" s="52"/>
      <c r="W69" s="149"/>
      <c r="X69" s="55"/>
      <c r="Y69" s="55"/>
      <c r="Z69" s="55"/>
    </row>
    <row r="70" spans="1:26" x14ac:dyDescent="0.25">
      <c r="A70" s="38"/>
      <c r="B70" s="33"/>
      <c r="C70" s="33"/>
      <c r="D70" s="33"/>
      <c r="E70" s="33"/>
      <c r="F70" s="49"/>
      <c r="G70" s="49"/>
      <c r="H70" s="49"/>
      <c r="I70" s="33"/>
      <c r="J70" s="49"/>
      <c r="K70" s="33"/>
      <c r="L70" s="92"/>
      <c r="M70" s="131"/>
      <c r="N70" s="10"/>
      <c r="O70" s="33"/>
      <c r="P70" s="108"/>
      <c r="Q70" s="111"/>
      <c r="R70" s="113"/>
      <c r="S70" s="9"/>
      <c r="T70" s="38"/>
      <c r="U70" s="52"/>
      <c r="V70" s="52"/>
      <c r="W70" s="149"/>
      <c r="X70" s="55"/>
      <c r="Y70" s="55"/>
      <c r="Z70" s="55"/>
    </row>
    <row r="71" spans="1:26" x14ac:dyDescent="0.25">
      <c r="A71" s="38"/>
      <c r="B71" s="33"/>
      <c r="C71" s="33"/>
      <c r="D71" s="33"/>
      <c r="E71" s="33"/>
      <c r="F71" s="49"/>
      <c r="G71" s="49"/>
      <c r="H71" s="49"/>
      <c r="I71" s="33"/>
      <c r="J71" s="49"/>
      <c r="K71" s="33"/>
      <c r="L71" s="92"/>
      <c r="M71" s="131"/>
      <c r="N71" s="10"/>
      <c r="O71" s="33"/>
      <c r="P71" s="108"/>
      <c r="Q71" s="111"/>
      <c r="R71" s="113"/>
      <c r="S71" s="9"/>
      <c r="T71" s="38"/>
      <c r="U71" s="52"/>
      <c r="V71" s="52"/>
      <c r="W71" s="149"/>
      <c r="X71" s="55"/>
      <c r="Y71" s="55"/>
      <c r="Z71" s="55"/>
    </row>
    <row r="72" spans="1:26" x14ac:dyDescent="0.25">
      <c r="A72" s="38"/>
      <c r="B72" s="33"/>
      <c r="C72" s="33"/>
      <c r="D72" s="33"/>
      <c r="E72" s="33"/>
      <c r="F72" s="49"/>
      <c r="G72" s="49"/>
      <c r="H72" s="49"/>
      <c r="I72" s="33"/>
      <c r="J72" s="49"/>
      <c r="K72" s="33"/>
      <c r="L72" s="92"/>
      <c r="M72" s="131"/>
      <c r="N72" s="10"/>
      <c r="O72" s="33"/>
      <c r="P72" s="108"/>
      <c r="Q72" s="111"/>
      <c r="R72" s="113"/>
      <c r="S72" s="9"/>
      <c r="T72" s="38"/>
      <c r="U72" s="52"/>
      <c r="V72" s="52"/>
      <c r="W72" s="149"/>
      <c r="X72" s="55"/>
      <c r="Y72" s="55"/>
      <c r="Z72" s="55"/>
    </row>
    <row r="73" spans="1:26" x14ac:dyDescent="0.25">
      <c r="A73" s="38"/>
      <c r="B73" s="33"/>
      <c r="C73" s="33"/>
      <c r="D73" s="33"/>
      <c r="E73" s="33"/>
      <c r="F73" s="49"/>
      <c r="G73" s="49"/>
      <c r="H73" s="49"/>
      <c r="I73" s="33"/>
      <c r="J73" s="49"/>
      <c r="K73" s="33"/>
      <c r="L73" s="92"/>
      <c r="M73" s="131"/>
      <c r="N73" s="10"/>
      <c r="O73" s="33"/>
      <c r="P73" s="108"/>
      <c r="Q73" s="111"/>
      <c r="R73" s="113"/>
      <c r="S73" s="9"/>
      <c r="T73" s="38"/>
      <c r="U73" s="52"/>
      <c r="V73" s="52"/>
      <c r="W73" s="149"/>
      <c r="X73" s="55"/>
      <c r="Y73" s="55"/>
      <c r="Z73" s="55"/>
    </row>
    <row r="74" spans="1:26" x14ac:dyDescent="0.25">
      <c r="B74" s="23"/>
      <c r="C74" s="23"/>
      <c r="D74" s="23"/>
      <c r="E74" s="23"/>
      <c r="I74" s="23"/>
      <c r="K74" s="23"/>
    </row>
  </sheetData>
  <autoFilter ref="A6:Z61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3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6"/>
  <sheetViews>
    <sheetView workbookViewId="0">
      <selection activeCell="I6" sqref="I6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65" t="str">
        <f>"Trips that did not appear in PTC Data "&amp;TEXT(Variables!$A$2,"YYYY-mm-dd")</f>
        <v>Trips that did not appear in PTC Data 2016-08-28</v>
      </c>
      <c r="C1" s="165"/>
      <c r="D1" s="165"/>
      <c r="E1" s="165"/>
      <c r="F1" s="165"/>
    </row>
    <row r="2" spans="1:11" s="26" customFormat="1" ht="45" x14ac:dyDescent="0.25">
      <c r="A2" s="163" t="s">
        <v>664</v>
      </c>
      <c r="B2" s="140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121</v>
      </c>
    </row>
    <row r="3" spans="1:11" x14ac:dyDescent="0.25">
      <c r="A3" s="114">
        <v>170</v>
      </c>
      <c r="B3" s="2" t="str">
        <f>A3&amp;"-"&amp;DAY(Variables!$A$2)</f>
        <v>170-28</v>
      </c>
      <c r="C3" s="129"/>
      <c r="D3" s="129"/>
      <c r="E3" s="33"/>
      <c r="F3" s="24" t="str">
        <f>VLOOKUP(B3,'Trips&amp;Operators'!$C$2:$E$10000,3,FALSE)</f>
        <v>CLARK</v>
      </c>
      <c r="G3" s="24" t="str">
        <f>VLOOKUP(B3,'Trips&amp;Operators'!$C$1:$F$10000,4,FALSE)</f>
        <v>rtdc.l.rtdc.4028:itc</v>
      </c>
      <c r="H3" s="32">
        <f>VLOOKUP(B3,'Trips&amp;Operators'!$C$1:$H$10000,5,FALSE)</f>
        <v>42610.546747685185</v>
      </c>
      <c r="I3" s="52" t="str">
        <f t="shared" ref="I3:I9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22170-28%22)),sort:!(Time,asc))</v>
      </c>
      <c r="J3" s="23"/>
      <c r="K3" s="23"/>
    </row>
    <row r="4" spans="1:11" x14ac:dyDescent="0.25">
      <c r="A4" s="114">
        <v>183</v>
      </c>
      <c r="B4" s="2" t="str">
        <f>A4&amp;"-"&amp;DAY(Variables!$A$2)</f>
        <v>183-28</v>
      </c>
      <c r="C4" s="129"/>
      <c r="D4" s="129"/>
      <c r="E4" s="33"/>
      <c r="F4" s="24" t="str">
        <f>VLOOKUP(B4,'Trips&amp;Operators'!$C$2:$E$10000,3,FALSE)</f>
        <v>CLARK</v>
      </c>
      <c r="G4" s="24" t="str">
        <f>VLOOKUP(B4,'Trips&amp;Operators'!$C$1:$F$10000,4,FALSE)</f>
        <v>rtdc.l.rtdc.4027:itc</v>
      </c>
      <c r="H4" s="32">
        <f>VLOOKUP(B4,'Trips&amp;Operators'!$C$1:$H$10000,5,FALSE)</f>
        <v>42610.582245370373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22183-28%22)),sort:!(Time,asc))</v>
      </c>
      <c r="J4" s="23"/>
      <c r="K4" s="23"/>
    </row>
    <row r="5" spans="1:11" x14ac:dyDescent="0.25">
      <c r="A5" s="114">
        <v>184</v>
      </c>
      <c r="B5" s="2" t="str">
        <f>A5&amp;"-"&amp;DAY(Variables!$A$2)</f>
        <v>184-28</v>
      </c>
      <c r="C5" s="129"/>
      <c r="D5" s="12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22184-28%22)),sort:!(Time,asc))</v>
      </c>
      <c r="J5" s="23"/>
      <c r="K5" s="23"/>
    </row>
    <row r="6" spans="1:11" x14ac:dyDescent="0.25">
      <c r="A6" s="114">
        <v>245</v>
      </c>
      <c r="B6" s="2" t="str">
        <f>A6&amp;"-"&amp;DAY(Variables!$A$2)</f>
        <v>245-28</v>
      </c>
      <c r="C6" s="129"/>
      <c r="D6" s="12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22245-28%22)),sort:!(Time,asc))</v>
      </c>
      <c r="J6" s="23"/>
      <c r="K6" s="23"/>
    </row>
    <row r="7" spans="1:11" x14ac:dyDescent="0.25">
      <c r="B7" s="2" t="str">
        <f>A7&amp;"-"&amp;DAY(Variables!$A$2)</f>
        <v>-28</v>
      </c>
      <c r="C7" s="129"/>
      <c r="D7" s="12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7" s="23"/>
      <c r="K7" s="23"/>
    </row>
    <row r="8" spans="1:11" x14ac:dyDescent="0.25">
      <c r="B8" s="2" t="str">
        <f>A8&amp;"-"&amp;DAY(Variables!$A$2)</f>
        <v>-28</v>
      </c>
      <c r="C8" s="129"/>
      <c r="D8" s="12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8" s="23"/>
      <c r="K8" s="23"/>
    </row>
    <row r="9" spans="1:11" x14ac:dyDescent="0.25">
      <c r="B9" s="2" t="str">
        <f>A9&amp;"-"&amp;DAY(Variables!$A$2)</f>
        <v>-28</v>
      </c>
      <c r="C9" s="129"/>
      <c r="D9" s="12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C69" s="114"/>
      <c r="D69" s="114"/>
      <c r="I69" s="23"/>
      <c r="J69" s="23"/>
      <c r="K69" s="23"/>
    </row>
    <row r="70" spans="3:11" x14ac:dyDescent="0.25">
      <c r="C70" s="114"/>
      <c r="D70" s="114"/>
      <c r="I70" s="23"/>
      <c r="J70" s="23"/>
      <c r="K70" s="23"/>
    </row>
    <row r="71" spans="3:11" x14ac:dyDescent="0.25">
      <c r="C71" s="114"/>
      <c r="D71" s="114"/>
      <c r="I71" s="23"/>
      <c r="J71" s="23"/>
      <c r="K71" s="23"/>
    </row>
    <row r="72" spans="3:11" x14ac:dyDescent="0.25">
      <c r="C72" s="114"/>
      <c r="D72" s="114"/>
      <c r="I72" s="23"/>
      <c r="J72" s="23"/>
      <c r="K72" s="23"/>
    </row>
    <row r="73" spans="3:11" x14ac:dyDescent="0.25">
      <c r="C73" s="114"/>
      <c r="D73" s="114"/>
      <c r="I73" s="23"/>
      <c r="J73" s="23"/>
      <c r="K73" s="23"/>
    </row>
    <row r="74" spans="3:11" x14ac:dyDescent="0.25">
      <c r="C74" s="114"/>
      <c r="D74" s="114"/>
      <c r="I74" s="23"/>
      <c r="J74" s="23"/>
      <c r="K74" s="23"/>
    </row>
    <row r="75" spans="3:11" x14ac:dyDescent="0.25">
      <c r="C75" s="114"/>
      <c r="D75" s="114"/>
      <c r="I75" s="23"/>
      <c r="J75" s="23"/>
      <c r="K75" s="23"/>
    </row>
    <row r="76" spans="3:11" x14ac:dyDescent="0.25">
      <c r="I76" s="23"/>
      <c r="J76" s="23"/>
      <c r="K76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42610.038726851853</v>
      </c>
      <c r="B1" s="23" t="s">
        <v>256</v>
      </c>
      <c r="C1" s="23" t="s">
        <v>328</v>
      </c>
      <c r="D1" s="23">
        <v>1800000</v>
      </c>
      <c r="E1" s="23" t="s">
        <v>175</v>
      </c>
      <c r="F1" s="23" t="str">
        <f>B1</f>
        <v>rtdc.l.rtdc.4019:itc</v>
      </c>
      <c r="G1" s="8">
        <f>A1</f>
        <v>42610.038726851853</v>
      </c>
    </row>
    <row r="2" spans="1:7" x14ac:dyDescent="0.25">
      <c r="A2" s="8">
        <v>42610.053599537037</v>
      </c>
      <c r="B2" s="23" t="s">
        <v>115</v>
      </c>
      <c r="C2" s="23" t="s">
        <v>331</v>
      </c>
      <c r="D2" s="23">
        <v>1480000</v>
      </c>
      <c r="E2" s="23" t="s">
        <v>242</v>
      </c>
      <c r="F2" s="23" t="str">
        <f t="shared" ref="F2:F65" si="0">B2</f>
        <v>rtdc.l.rtdc.4032:itc</v>
      </c>
      <c r="G2" s="8">
        <f t="shared" ref="G2:G65" si="1">A2</f>
        <v>42610.053599537037</v>
      </c>
    </row>
    <row r="3" spans="1:7" x14ac:dyDescent="0.25">
      <c r="A3" s="8">
        <v>42610.054131944446</v>
      </c>
      <c r="B3" s="23" t="s">
        <v>239</v>
      </c>
      <c r="C3" s="23" t="s">
        <v>338</v>
      </c>
      <c r="D3" s="23">
        <v>1410000</v>
      </c>
      <c r="E3" s="23" t="s">
        <v>348</v>
      </c>
      <c r="F3" s="23" t="str">
        <f t="shared" si="0"/>
        <v>rtdc.l.rtdc.4025:itc</v>
      </c>
      <c r="G3" s="8">
        <f t="shared" si="1"/>
        <v>42610.054131944446</v>
      </c>
    </row>
    <row r="4" spans="1:7" x14ac:dyDescent="0.25">
      <c r="A4" s="8">
        <v>42610.072962962964</v>
      </c>
      <c r="B4" s="23" t="s">
        <v>257</v>
      </c>
      <c r="C4" s="23" t="s">
        <v>335</v>
      </c>
      <c r="D4" s="23">
        <v>1800000</v>
      </c>
      <c r="E4" s="23" t="s">
        <v>175</v>
      </c>
      <c r="F4" s="23" t="str">
        <f t="shared" si="0"/>
        <v>rtdc.l.rtdc.4020:itc</v>
      </c>
      <c r="G4" s="8">
        <f t="shared" si="1"/>
        <v>42610.072962962964</v>
      </c>
    </row>
    <row r="5" spans="1:7" x14ac:dyDescent="0.25">
      <c r="A5" s="8">
        <v>42610.075509259259</v>
      </c>
      <c r="B5" s="23" t="s">
        <v>92</v>
      </c>
      <c r="C5" s="23" t="s">
        <v>333</v>
      </c>
      <c r="D5" s="23">
        <v>2000000</v>
      </c>
      <c r="E5" s="23" t="s">
        <v>142</v>
      </c>
      <c r="F5" s="23" t="str">
        <f t="shared" si="0"/>
        <v>rtdc.l.rtdc.4030:itc</v>
      </c>
      <c r="G5" s="8">
        <f t="shared" si="1"/>
        <v>42610.075509259259</v>
      </c>
    </row>
    <row r="6" spans="1:7" x14ac:dyDescent="0.25">
      <c r="A6" s="8">
        <v>42610.088275462964</v>
      </c>
      <c r="B6" s="23" t="s">
        <v>240</v>
      </c>
      <c r="C6" s="23" t="s">
        <v>340</v>
      </c>
      <c r="D6" s="23">
        <v>1410000</v>
      </c>
      <c r="E6" s="23" t="s">
        <v>348</v>
      </c>
      <c r="F6" s="23" t="str">
        <f t="shared" si="0"/>
        <v>rtdc.l.rtdc.4026:itc</v>
      </c>
      <c r="G6" s="8">
        <f t="shared" si="1"/>
        <v>42610.088275462964</v>
      </c>
    </row>
    <row r="7" spans="1:7" x14ac:dyDescent="0.25">
      <c r="A7" s="8">
        <v>42610.096782407411</v>
      </c>
      <c r="B7" s="23" t="s">
        <v>114</v>
      </c>
      <c r="C7" s="23" t="s">
        <v>336</v>
      </c>
      <c r="D7" s="23">
        <v>1480000</v>
      </c>
      <c r="E7" s="23" t="s">
        <v>242</v>
      </c>
      <c r="F7" s="23" t="str">
        <f t="shared" si="0"/>
        <v>rtdc.l.rtdc.4031:itc</v>
      </c>
      <c r="G7" s="8">
        <f t="shared" si="1"/>
        <v>42610.096782407411</v>
      </c>
    </row>
    <row r="8" spans="1:7" x14ac:dyDescent="0.25">
      <c r="A8" s="8">
        <v>42610.108541666668</v>
      </c>
      <c r="B8" s="23" t="s">
        <v>91</v>
      </c>
      <c r="C8" s="23" t="s">
        <v>349</v>
      </c>
      <c r="D8" s="23">
        <v>2000000</v>
      </c>
      <c r="E8" s="23" t="s">
        <v>142</v>
      </c>
      <c r="F8" s="23" t="str">
        <f t="shared" si="0"/>
        <v>rtdc.l.rtdc.4029:itc</v>
      </c>
      <c r="G8" s="8">
        <f t="shared" si="1"/>
        <v>42610.108541666668</v>
      </c>
    </row>
    <row r="9" spans="1:7" ht="15.75" thickBot="1" x14ac:dyDescent="0.3">
      <c r="A9" s="27">
        <v>42610.123206018521</v>
      </c>
      <c r="B9" s="23" t="s">
        <v>239</v>
      </c>
      <c r="C9" s="23" t="s">
        <v>375</v>
      </c>
      <c r="D9" s="23">
        <v>1410000</v>
      </c>
      <c r="E9" s="23" t="s">
        <v>348</v>
      </c>
      <c r="F9" s="23" t="str">
        <f t="shared" si="0"/>
        <v>rtdc.l.rtdc.4025:itc</v>
      </c>
      <c r="G9" s="8">
        <f t="shared" si="1"/>
        <v>42610.123206018521</v>
      </c>
    </row>
    <row r="10" spans="1:7" x14ac:dyDescent="0.25">
      <c r="A10" s="8">
        <v>42610.129502314812</v>
      </c>
      <c r="B10" s="23" t="s">
        <v>177</v>
      </c>
      <c r="C10" s="23" t="s">
        <v>376</v>
      </c>
      <c r="D10" s="23">
        <v>2030000</v>
      </c>
      <c r="E10" s="23" t="s">
        <v>343</v>
      </c>
      <c r="F10" s="23" t="str">
        <f t="shared" si="0"/>
        <v>rtdc.l.rtdc.4002:itc</v>
      </c>
      <c r="G10" s="8">
        <f t="shared" si="1"/>
        <v>42610.129502314812</v>
      </c>
    </row>
    <row r="11" spans="1:7" x14ac:dyDescent="0.25">
      <c r="A11" s="8">
        <v>42610.154062499998</v>
      </c>
      <c r="B11" s="23" t="s">
        <v>261</v>
      </c>
      <c r="C11" s="23" t="s">
        <v>350</v>
      </c>
      <c r="D11" s="23">
        <v>1260000</v>
      </c>
      <c r="E11" s="23" t="s">
        <v>342</v>
      </c>
      <c r="F11" s="23" t="str">
        <f t="shared" si="0"/>
        <v>rtdc.l.rtdc.4040:itc</v>
      </c>
      <c r="G11" s="8">
        <f t="shared" si="1"/>
        <v>42610.154062499998</v>
      </c>
    </row>
    <row r="12" spans="1:7" x14ac:dyDescent="0.25">
      <c r="A12" s="8">
        <v>42610.167858796296</v>
      </c>
      <c r="B12" s="23" t="s">
        <v>266</v>
      </c>
      <c r="C12" s="23" t="s">
        <v>377</v>
      </c>
      <c r="D12" s="23">
        <v>2030000</v>
      </c>
      <c r="E12" s="23" t="s">
        <v>343</v>
      </c>
      <c r="F12" s="23" t="str">
        <f t="shared" si="0"/>
        <v>rtdc.l.rtdc.4028:itc</v>
      </c>
      <c r="G12" s="8">
        <f t="shared" si="1"/>
        <v>42610.167858796296</v>
      </c>
    </row>
    <row r="13" spans="1:7" x14ac:dyDescent="0.25">
      <c r="A13" s="8">
        <v>42610.171099537038</v>
      </c>
      <c r="B13" s="23" t="s">
        <v>149</v>
      </c>
      <c r="C13" s="23" t="s">
        <v>378</v>
      </c>
      <c r="D13" s="23">
        <v>2150000</v>
      </c>
      <c r="E13" s="23" t="s">
        <v>379</v>
      </c>
      <c r="F13" s="23" t="str">
        <f t="shared" si="0"/>
        <v>rtdc.l.rtdc.4042:itc</v>
      </c>
      <c r="G13" s="8">
        <f t="shared" si="1"/>
        <v>42610.171099537038</v>
      </c>
    </row>
    <row r="14" spans="1:7" x14ac:dyDescent="0.25">
      <c r="A14" s="8">
        <v>42610.186064814814</v>
      </c>
      <c r="B14" s="23" t="s">
        <v>150</v>
      </c>
      <c r="C14" s="23" t="s">
        <v>380</v>
      </c>
      <c r="D14" s="23">
        <v>1990000</v>
      </c>
      <c r="E14" s="23" t="s">
        <v>262</v>
      </c>
      <c r="F14" s="23" t="str">
        <f t="shared" si="0"/>
        <v>rtdc.l.rtdc.4038:itc</v>
      </c>
      <c r="G14" s="8">
        <f t="shared" si="1"/>
        <v>42610.186064814814</v>
      </c>
    </row>
    <row r="15" spans="1:7" x14ac:dyDescent="0.25">
      <c r="A15" s="8">
        <v>42610.188900462963</v>
      </c>
      <c r="B15" s="23" t="s">
        <v>90</v>
      </c>
      <c r="C15" s="23" t="s">
        <v>381</v>
      </c>
      <c r="D15" s="23">
        <v>1260000</v>
      </c>
      <c r="E15" s="23" t="s">
        <v>342</v>
      </c>
      <c r="F15" s="23" t="str">
        <f t="shared" si="0"/>
        <v>rtdc.l.rtdc.4013:itc</v>
      </c>
      <c r="G15" s="8">
        <f t="shared" si="1"/>
        <v>42610.188900462963</v>
      </c>
    </row>
    <row r="16" spans="1:7" x14ac:dyDescent="0.25">
      <c r="A16" s="8">
        <v>42610.196053240739</v>
      </c>
      <c r="B16" s="23" t="s">
        <v>183</v>
      </c>
      <c r="C16" s="23" t="s">
        <v>382</v>
      </c>
      <c r="D16" s="23">
        <v>1310000</v>
      </c>
      <c r="E16" s="23" t="s">
        <v>263</v>
      </c>
      <c r="F16" s="23" t="str">
        <f t="shared" si="0"/>
        <v>rtdc.l.rtdc.4007:itc</v>
      </c>
      <c r="G16" s="8">
        <f t="shared" si="1"/>
        <v>42610.196053240739</v>
      </c>
    </row>
    <row r="17" spans="1:7" x14ac:dyDescent="0.25">
      <c r="A17" s="8">
        <v>42610.204895833333</v>
      </c>
      <c r="B17" s="23" t="s">
        <v>177</v>
      </c>
      <c r="C17" s="23" t="s">
        <v>351</v>
      </c>
      <c r="D17" s="23">
        <v>1760000</v>
      </c>
      <c r="E17" s="23" t="s">
        <v>264</v>
      </c>
      <c r="F17" s="23" t="str">
        <f t="shared" si="0"/>
        <v>rtdc.l.rtdc.4002:itc</v>
      </c>
      <c r="G17" s="8">
        <f t="shared" si="1"/>
        <v>42610.204895833333</v>
      </c>
    </row>
    <row r="18" spans="1:7" x14ac:dyDescent="0.25">
      <c r="A18" s="8">
        <v>42610.206423611111</v>
      </c>
      <c r="B18" s="23" t="s">
        <v>177</v>
      </c>
      <c r="C18" s="23" t="s">
        <v>351</v>
      </c>
      <c r="D18" s="23">
        <v>1760000</v>
      </c>
      <c r="E18" s="23" t="s">
        <v>264</v>
      </c>
      <c r="F18" s="23" t="str">
        <f t="shared" si="0"/>
        <v>rtdc.l.rtdc.4002:itc</v>
      </c>
      <c r="G18" s="8">
        <f t="shared" si="1"/>
        <v>42610.206423611111</v>
      </c>
    </row>
    <row r="19" spans="1:7" x14ac:dyDescent="0.25">
      <c r="A19" s="8">
        <v>42610.206736111111</v>
      </c>
      <c r="B19" s="23" t="s">
        <v>93</v>
      </c>
      <c r="C19" s="23" t="s">
        <v>383</v>
      </c>
      <c r="D19" s="23">
        <v>2030000</v>
      </c>
      <c r="E19" s="23" t="s">
        <v>343</v>
      </c>
      <c r="F19" s="23" t="str">
        <f t="shared" si="0"/>
        <v>rtdc.l.rtdc.4027:itc</v>
      </c>
      <c r="G19" s="8">
        <f t="shared" si="1"/>
        <v>42610.206736111111</v>
      </c>
    </row>
    <row r="20" spans="1:7" x14ac:dyDescent="0.25">
      <c r="A20" s="8">
        <v>42610.208194444444</v>
      </c>
      <c r="B20" s="23" t="s">
        <v>203</v>
      </c>
      <c r="C20" s="23" t="s">
        <v>384</v>
      </c>
      <c r="D20" s="23">
        <v>2150000</v>
      </c>
      <c r="E20" s="23" t="s">
        <v>379</v>
      </c>
      <c r="F20" s="23" t="str">
        <f t="shared" si="0"/>
        <v>rtdc.l.rtdc.4004:itc</v>
      </c>
      <c r="G20" s="8">
        <f t="shared" si="1"/>
        <v>42610.208194444444</v>
      </c>
    </row>
    <row r="21" spans="1:7" x14ac:dyDescent="0.25">
      <c r="A21" s="8">
        <v>42610.221782407411</v>
      </c>
      <c r="B21" s="23" t="s">
        <v>143</v>
      </c>
      <c r="C21" s="23" t="s">
        <v>385</v>
      </c>
      <c r="D21" s="23">
        <v>1990000</v>
      </c>
      <c r="E21" s="23" t="s">
        <v>262</v>
      </c>
      <c r="F21" s="23" t="str">
        <f t="shared" si="0"/>
        <v>rtdc.l.rtdc.4037:itc</v>
      </c>
      <c r="G21" s="8">
        <f t="shared" si="1"/>
        <v>42610.221782407411</v>
      </c>
    </row>
    <row r="22" spans="1:7" x14ac:dyDescent="0.25">
      <c r="A22" s="29">
        <v>42610.225752314815</v>
      </c>
      <c r="B22" s="23" t="s">
        <v>261</v>
      </c>
      <c r="C22" s="23" t="s">
        <v>386</v>
      </c>
      <c r="D22" s="23">
        <v>1830000</v>
      </c>
      <c r="E22" s="23" t="s">
        <v>344</v>
      </c>
      <c r="F22" s="23" t="str">
        <f t="shared" si="0"/>
        <v>rtdc.l.rtdc.4040:itc</v>
      </c>
      <c r="G22" s="8">
        <f t="shared" si="1"/>
        <v>42610.225752314815</v>
      </c>
    </row>
    <row r="23" spans="1:7" x14ac:dyDescent="0.25">
      <c r="A23" s="8">
        <v>42610.232673611114</v>
      </c>
      <c r="B23" s="23" t="s">
        <v>112</v>
      </c>
      <c r="C23" s="23" t="s">
        <v>352</v>
      </c>
      <c r="D23" s="23">
        <v>1260000</v>
      </c>
      <c r="E23" s="23" t="s">
        <v>342</v>
      </c>
      <c r="F23" s="23" t="str">
        <f t="shared" si="0"/>
        <v>rtdc.l.rtdc.4014:itc</v>
      </c>
      <c r="G23" s="8">
        <f t="shared" si="1"/>
        <v>42610.232673611114</v>
      </c>
    </row>
    <row r="24" spans="1:7" x14ac:dyDescent="0.25">
      <c r="A24" s="8">
        <v>42610.234826388885</v>
      </c>
      <c r="B24" s="23" t="s">
        <v>173</v>
      </c>
      <c r="C24" s="23" t="s">
        <v>387</v>
      </c>
      <c r="D24" s="23">
        <v>1110000</v>
      </c>
      <c r="E24" s="23" t="s">
        <v>388</v>
      </c>
      <c r="F24" s="23" t="str">
        <f t="shared" si="0"/>
        <v>rtdc.l.rtdc.4010:itc</v>
      </c>
      <c r="G24" s="8">
        <f t="shared" si="1"/>
        <v>42610.234826388885</v>
      </c>
    </row>
    <row r="25" spans="1:7" x14ac:dyDescent="0.25">
      <c r="A25" s="8">
        <v>42610.236354166664</v>
      </c>
      <c r="B25" s="23" t="s">
        <v>168</v>
      </c>
      <c r="C25" s="23" t="s">
        <v>389</v>
      </c>
      <c r="D25" s="23">
        <v>1310000</v>
      </c>
      <c r="E25" s="23" t="s">
        <v>263</v>
      </c>
      <c r="F25" s="23" t="str">
        <f t="shared" si="0"/>
        <v>rtdc.l.rtdc.4008:itc</v>
      </c>
      <c r="G25" s="8">
        <f t="shared" si="1"/>
        <v>42610.236354166664</v>
      </c>
    </row>
    <row r="26" spans="1:7" x14ac:dyDescent="0.25">
      <c r="A26" s="8">
        <v>42610.243344907409</v>
      </c>
      <c r="B26" s="23" t="s">
        <v>178</v>
      </c>
      <c r="C26" s="23" t="s">
        <v>353</v>
      </c>
      <c r="D26" s="23">
        <v>1760000</v>
      </c>
      <c r="E26" s="23" t="s">
        <v>264</v>
      </c>
      <c r="F26" s="23" t="str">
        <f t="shared" si="0"/>
        <v>rtdc.l.rtdc.4001:itc</v>
      </c>
      <c r="G26" s="8">
        <f t="shared" si="1"/>
        <v>42610.243344907409</v>
      </c>
    </row>
    <row r="27" spans="1:7" x14ac:dyDescent="0.25">
      <c r="A27" s="8">
        <v>42610.245057870372</v>
      </c>
      <c r="B27" s="23" t="s">
        <v>178</v>
      </c>
      <c r="C27" s="23" t="s">
        <v>353</v>
      </c>
      <c r="D27" s="23">
        <v>1760000</v>
      </c>
      <c r="E27" s="23" t="s">
        <v>264</v>
      </c>
      <c r="F27" s="23" t="str">
        <f t="shared" si="0"/>
        <v>rtdc.l.rtdc.4001:itc</v>
      </c>
      <c r="G27" s="8">
        <f t="shared" si="1"/>
        <v>42610.245057870372</v>
      </c>
    </row>
    <row r="28" spans="1:7" x14ac:dyDescent="0.25">
      <c r="A28" s="8">
        <v>42610.25072916667</v>
      </c>
      <c r="B28" s="23" t="s">
        <v>149</v>
      </c>
      <c r="C28" s="23" t="s">
        <v>390</v>
      </c>
      <c r="D28" s="23">
        <v>2150000</v>
      </c>
      <c r="E28" s="23" t="s">
        <v>379</v>
      </c>
      <c r="F28" s="23" t="str">
        <f t="shared" si="0"/>
        <v>rtdc.l.rtdc.4042:itc</v>
      </c>
      <c r="G28" s="8">
        <f t="shared" si="1"/>
        <v>42610.25072916667</v>
      </c>
    </row>
    <row r="29" spans="1:7" x14ac:dyDescent="0.25">
      <c r="A29" s="8">
        <v>42610.254386574074</v>
      </c>
      <c r="B29" s="23" t="s">
        <v>266</v>
      </c>
      <c r="C29" s="23" t="s">
        <v>354</v>
      </c>
      <c r="D29" s="23">
        <v>2030000</v>
      </c>
      <c r="E29" s="23" t="s">
        <v>343</v>
      </c>
      <c r="F29" s="23" t="str">
        <f t="shared" si="0"/>
        <v>rtdc.l.rtdc.4028:itc</v>
      </c>
      <c r="G29" s="8">
        <f t="shared" si="1"/>
        <v>42610.254386574074</v>
      </c>
    </row>
    <row r="30" spans="1:7" x14ac:dyDescent="0.25">
      <c r="A30" s="8">
        <v>42610.255057870374</v>
      </c>
      <c r="B30" s="23" t="s">
        <v>265</v>
      </c>
      <c r="C30" s="23" t="s">
        <v>391</v>
      </c>
      <c r="D30" s="23">
        <v>1830000</v>
      </c>
      <c r="E30" s="23" t="s">
        <v>344</v>
      </c>
      <c r="F30" s="23" t="str">
        <f t="shared" si="0"/>
        <v>rtdc.l.rtdc.4039:itc</v>
      </c>
      <c r="G30" s="8">
        <f t="shared" si="1"/>
        <v>42610.255057870374</v>
      </c>
    </row>
    <row r="31" spans="1:7" x14ac:dyDescent="0.25">
      <c r="A31" s="8">
        <v>42610.257372685184</v>
      </c>
      <c r="B31" s="23" t="s">
        <v>150</v>
      </c>
      <c r="C31" s="23" t="s">
        <v>392</v>
      </c>
      <c r="D31" s="23">
        <v>1990000</v>
      </c>
      <c r="E31" s="23" t="s">
        <v>262</v>
      </c>
      <c r="F31" s="23" t="str">
        <f t="shared" si="0"/>
        <v>rtdc.l.rtdc.4038:itc</v>
      </c>
      <c r="G31" s="8">
        <f t="shared" si="1"/>
        <v>42610.257372685184</v>
      </c>
    </row>
    <row r="32" spans="1:7" x14ac:dyDescent="0.25">
      <c r="A32" s="8">
        <v>42610.263194444444</v>
      </c>
      <c r="B32" s="23" t="s">
        <v>172</v>
      </c>
      <c r="C32" s="23" t="s">
        <v>393</v>
      </c>
      <c r="D32" s="23">
        <v>1110000</v>
      </c>
      <c r="E32" s="23" t="s">
        <v>388</v>
      </c>
      <c r="F32" s="23" t="str">
        <f t="shared" si="0"/>
        <v>rtdc.l.rtdc.4009:itc</v>
      </c>
      <c r="G32" s="8">
        <f t="shared" si="1"/>
        <v>42610.263194444444</v>
      </c>
    </row>
    <row r="33" spans="1:7" x14ac:dyDescent="0.25">
      <c r="A33" s="8">
        <v>42610.270138888889</v>
      </c>
      <c r="B33" s="23" t="s">
        <v>183</v>
      </c>
      <c r="C33" s="23" t="s">
        <v>394</v>
      </c>
      <c r="D33" s="23">
        <v>1310000</v>
      </c>
      <c r="E33" s="23" t="s">
        <v>263</v>
      </c>
      <c r="F33" s="23" t="str">
        <f t="shared" si="0"/>
        <v>rtdc.l.rtdc.4007:itc</v>
      </c>
      <c r="G33" s="8">
        <f t="shared" si="1"/>
        <v>42610.270138888889</v>
      </c>
    </row>
    <row r="34" spans="1:7" x14ac:dyDescent="0.25">
      <c r="A34" s="8">
        <v>42610.273032407407</v>
      </c>
      <c r="B34" s="23" t="s">
        <v>90</v>
      </c>
      <c r="C34" s="23" t="s">
        <v>395</v>
      </c>
      <c r="D34" s="23">
        <v>1260000</v>
      </c>
      <c r="E34" s="23" t="s">
        <v>342</v>
      </c>
      <c r="F34" s="23" t="str">
        <f t="shared" si="0"/>
        <v>rtdc.l.rtdc.4013:itc</v>
      </c>
      <c r="G34" s="8">
        <f t="shared" si="1"/>
        <v>42610.273032407407</v>
      </c>
    </row>
    <row r="35" spans="1:7" x14ac:dyDescent="0.25">
      <c r="A35" s="8">
        <v>42610.276759259257</v>
      </c>
      <c r="B35" s="23" t="s">
        <v>173</v>
      </c>
      <c r="C35" s="23" t="s">
        <v>396</v>
      </c>
      <c r="D35" s="23">
        <v>1110000</v>
      </c>
      <c r="E35" s="23" t="s">
        <v>388</v>
      </c>
      <c r="F35" s="23" t="str">
        <f t="shared" si="0"/>
        <v>rtdc.l.rtdc.4010:itc</v>
      </c>
      <c r="G35" s="8">
        <f t="shared" si="1"/>
        <v>42610.276759259257</v>
      </c>
    </row>
    <row r="36" spans="1:7" x14ac:dyDescent="0.25">
      <c r="A36" s="8">
        <v>42610.278252314813</v>
      </c>
      <c r="B36" s="23" t="s">
        <v>177</v>
      </c>
      <c r="C36" s="23" t="s">
        <v>355</v>
      </c>
      <c r="D36" s="23">
        <v>1760000</v>
      </c>
      <c r="E36" s="23" t="s">
        <v>264</v>
      </c>
      <c r="F36" s="23" t="str">
        <f t="shared" si="0"/>
        <v>rtdc.l.rtdc.4002:itc</v>
      </c>
      <c r="G36" s="8">
        <f t="shared" si="1"/>
        <v>42610.278252314813</v>
      </c>
    </row>
    <row r="37" spans="1:7" x14ac:dyDescent="0.25">
      <c r="A37" s="8">
        <v>42610.279502314814</v>
      </c>
      <c r="B37" s="23" t="s">
        <v>177</v>
      </c>
      <c r="C37" s="23" t="s">
        <v>355</v>
      </c>
      <c r="D37" s="23">
        <v>1760000</v>
      </c>
      <c r="E37" s="23" t="s">
        <v>264</v>
      </c>
      <c r="F37" s="23" t="str">
        <f t="shared" si="0"/>
        <v>rtdc.l.rtdc.4002:itc</v>
      </c>
      <c r="G37" s="8">
        <f t="shared" si="1"/>
        <v>42610.279502314814</v>
      </c>
    </row>
    <row r="38" spans="1:7" x14ac:dyDescent="0.25">
      <c r="A38" s="8">
        <v>42610.283495370371</v>
      </c>
      <c r="B38" s="23" t="s">
        <v>182</v>
      </c>
      <c r="C38" s="23" t="s">
        <v>397</v>
      </c>
      <c r="D38" s="23">
        <v>2150000</v>
      </c>
      <c r="E38" s="23" t="s">
        <v>379</v>
      </c>
      <c r="F38" s="23" t="str">
        <f t="shared" si="0"/>
        <v>rtdc.l.rtdc.4041:itc</v>
      </c>
      <c r="G38" s="8">
        <f t="shared" si="1"/>
        <v>42610.283495370371</v>
      </c>
    </row>
    <row r="39" spans="1:7" x14ac:dyDescent="0.25">
      <c r="A39" s="8">
        <v>42610.288217592592</v>
      </c>
      <c r="B39" s="23" t="s">
        <v>93</v>
      </c>
      <c r="C39" s="23" t="s">
        <v>398</v>
      </c>
      <c r="D39" s="23">
        <v>2030000</v>
      </c>
      <c r="E39" s="23" t="s">
        <v>343</v>
      </c>
      <c r="F39" s="23" t="str">
        <f t="shared" si="0"/>
        <v>rtdc.l.rtdc.4027:itc</v>
      </c>
      <c r="G39" s="8">
        <f t="shared" si="1"/>
        <v>42610.288217592592</v>
      </c>
    </row>
    <row r="40" spans="1:7" x14ac:dyDescent="0.25">
      <c r="A40" s="8">
        <v>42610.295925925922</v>
      </c>
      <c r="B40" s="28" t="s">
        <v>143</v>
      </c>
      <c r="C40" s="23" t="s">
        <v>399</v>
      </c>
      <c r="D40" s="23">
        <v>1990000</v>
      </c>
      <c r="E40" s="23" t="s">
        <v>262</v>
      </c>
      <c r="F40" s="23" t="str">
        <f t="shared" si="0"/>
        <v>rtdc.l.rtdc.4037:itc</v>
      </c>
      <c r="G40" s="8">
        <f t="shared" si="1"/>
        <v>42610.295925925922</v>
      </c>
    </row>
    <row r="41" spans="1:7" x14ac:dyDescent="0.25">
      <c r="A41" s="8">
        <v>42610.296319444446</v>
      </c>
      <c r="B41" s="23" t="s">
        <v>261</v>
      </c>
      <c r="C41" s="23" t="s">
        <v>400</v>
      </c>
      <c r="D41" s="23">
        <v>1830000</v>
      </c>
      <c r="E41" s="23" t="s">
        <v>344</v>
      </c>
      <c r="F41" s="23" t="str">
        <f t="shared" si="0"/>
        <v>rtdc.l.rtdc.4040:itc</v>
      </c>
      <c r="G41" s="8">
        <f t="shared" si="1"/>
        <v>42610.296319444446</v>
      </c>
    </row>
    <row r="42" spans="1:7" x14ac:dyDescent="0.25">
      <c r="A42" s="8">
        <v>42610.304826388892</v>
      </c>
      <c r="B42" s="23" t="s">
        <v>172</v>
      </c>
      <c r="C42" s="23" t="s">
        <v>401</v>
      </c>
      <c r="D42" s="23">
        <v>1110000</v>
      </c>
      <c r="E42" s="23" t="s">
        <v>388</v>
      </c>
      <c r="F42" s="23" t="str">
        <f t="shared" si="0"/>
        <v>rtdc.l.rtdc.4009:itc</v>
      </c>
      <c r="G42" s="8">
        <f t="shared" si="1"/>
        <v>42610.304826388892</v>
      </c>
    </row>
    <row r="43" spans="1:7" x14ac:dyDescent="0.25">
      <c r="A43" s="8">
        <v>42610.308634259258</v>
      </c>
      <c r="B43" s="23" t="s">
        <v>168</v>
      </c>
      <c r="C43" s="23" t="s">
        <v>358</v>
      </c>
      <c r="D43" s="23">
        <v>1310000</v>
      </c>
      <c r="E43" s="23" t="s">
        <v>263</v>
      </c>
      <c r="F43" s="23" t="str">
        <f t="shared" si="0"/>
        <v>rtdc.l.rtdc.4008:itc</v>
      </c>
      <c r="G43" s="8">
        <f t="shared" si="1"/>
        <v>42610.308634259258</v>
      </c>
    </row>
    <row r="44" spans="1:7" x14ac:dyDescent="0.25">
      <c r="A44" s="8">
        <v>42610.308715277781</v>
      </c>
      <c r="B44" s="23" t="s">
        <v>112</v>
      </c>
      <c r="C44" s="23" t="s">
        <v>402</v>
      </c>
      <c r="D44" s="23">
        <v>1260000</v>
      </c>
      <c r="E44" s="23" t="s">
        <v>342</v>
      </c>
      <c r="F44" s="23" t="str">
        <f t="shared" si="0"/>
        <v>rtdc.l.rtdc.4014:itc</v>
      </c>
      <c r="G44" s="8">
        <f t="shared" si="1"/>
        <v>42610.308715277781</v>
      </c>
    </row>
    <row r="45" spans="1:7" x14ac:dyDescent="0.25">
      <c r="A45" s="8">
        <v>42610.315671296295</v>
      </c>
      <c r="B45" s="23" t="s">
        <v>178</v>
      </c>
      <c r="C45" s="23" t="s">
        <v>356</v>
      </c>
      <c r="D45" s="23">
        <v>1760000</v>
      </c>
      <c r="E45" s="23" t="s">
        <v>264</v>
      </c>
      <c r="F45" s="23" t="str">
        <f t="shared" si="0"/>
        <v>rtdc.l.rtdc.4001:itc</v>
      </c>
      <c r="G45" s="8">
        <f t="shared" si="1"/>
        <v>42610.315671296295</v>
      </c>
    </row>
    <row r="46" spans="1:7" x14ac:dyDescent="0.25">
      <c r="A46" s="8">
        <v>42610.317673611113</v>
      </c>
      <c r="B46" s="23" t="s">
        <v>173</v>
      </c>
      <c r="C46" s="23" t="s">
        <v>401</v>
      </c>
      <c r="D46" s="23">
        <v>1110000</v>
      </c>
      <c r="E46" s="23" t="s">
        <v>388</v>
      </c>
      <c r="F46" s="23" t="str">
        <f t="shared" si="0"/>
        <v>rtdc.l.rtdc.4010:itc</v>
      </c>
      <c r="G46" s="8">
        <f t="shared" si="1"/>
        <v>42610.317673611113</v>
      </c>
    </row>
    <row r="47" spans="1:7" x14ac:dyDescent="0.25">
      <c r="A47" s="8">
        <v>42610.318645833337</v>
      </c>
      <c r="B47" s="23" t="s">
        <v>173</v>
      </c>
      <c r="C47" s="23" t="s">
        <v>403</v>
      </c>
      <c r="D47" s="23">
        <v>1110000</v>
      </c>
      <c r="E47" s="23" t="s">
        <v>388</v>
      </c>
      <c r="F47" s="23" t="str">
        <f t="shared" si="0"/>
        <v>rtdc.l.rtdc.4010:itc</v>
      </c>
      <c r="G47" s="8">
        <f t="shared" si="1"/>
        <v>42610.318645833337</v>
      </c>
    </row>
    <row r="48" spans="1:7" x14ac:dyDescent="0.25">
      <c r="A48" s="8">
        <v>42610.320775462962</v>
      </c>
      <c r="B48" s="23" t="s">
        <v>149</v>
      </c>
      <c r="C48" s="23" t="s">
        <v>404</v>
      </c>
      <c r="D48" s="23">
        <v>2150000</v>
      </c>
      <c r="E48" s="23" t="s">
        <v>379</v>
      </c>
      <c r="F48" s="23" t="str">
        <f t="shared" si="0"/>
        <v>rtdc.l.rtdc.4042:itc</v>
      </c>
      <c r="G48" s="8">
        <f t="shared" si="1"/>
        <v>42610.320775462962</v>
      </c>
    </row>
    <row r="49" spans="1:7" x14ac:dyDescent="0.25">
      <c r="A49" s="8">
        <v>42610.322488425925</v>
      </c>
      <c r="B49" s="23" t="s">
        <v>266</v>
      </c>
      <c r="C49" s="23" t="s">
        <v>357</v>
      </c>
      <c r="D49" s="23">
        <v>2030000</v>
      </c>
      <c r="E49" s="23" t="s">
        <v>343</v>
      </c>
      <c r="F49" s="23" t="str">
        <f t="shared" si="0"/>
        <v>rtdc.l.rtdc.4028:itc</v>
      </c>
      <c r="G49" s="8">
        <f t="shared" si="1"/>
        <v>42610.322488425925</v>
      </c>
    </row>
    <row r="50" spans="1:7" x14ac:dyDescent="0.25">
      <c r="A50" s="8">
        <v>42610.32739583333</v>
      </c>
      <c r="B50" s="23" t="s">
        <v>265</v>
      </c>
      <c r="C50" s="23" t="s">
        <v>405</v>
      </c>
      <c r="D50" s="23">
        <v>1830000</v>
      </c>
      <c r="E50" s="23" t="s">
        <v>344</v>
      </c>
      <c r="F50" s="23" t="str">
        <f t="shared" si="0"/>
        <v>rtdc.l.rtdc.4039:itc</v>
      </c>
      <c r="G50" s="8">
        <f t="shared" si="1"/>
        <v>42610.32739583333</v>
      </c>
    </row>
    <row r="51" spans="1:7" x14ac:dyDescent="0.25">
      <c r="A51" s="8">
        <v>42610.329618055555</v>
      </c>
      <c r="B51" s="23" t="s">
        <v>150</v>
      </c>
      <c r="C51" s="23" t="s">
        <v>406</v>
      </c>
      <c r="D51" s="23">
        <v>1990000</v>
      </c>
      <c r="E51" s="23" t="s">
        <v>262</v>
      </c>
      <c r="F51" s="23" t="str">
        <f t="shared" si="0"/>
        <v>rtdc.l.rtdc.4038:itc</v>
      </c>
      <c r="G51" s="8">
        <f t="shared" si="1"/>
        <v>42610.329618055555</v>
      </c>
    </row>
    <row r="52" spans="1:7" x14ac:dyDescent="0.25">
      <c r="A52" s="8">
        <v>42610.342835648145</v>
      </c>
      <c r="B52" s="23" t="s">
        <v>183</v>
      </c>
      <c r="C52" s="23" t="s">
        <v>407</v>
      </c>
      <c r="D52" s="23">
        <v>1310000</v>
      </c>
      <c r="E52" s="23" t="s">
        <v>263</v>
      </c>
      <c r="F52" s="23" t="str">
        <f t="shared" si="0"/>
        <v>rtdc.l.rtdc.4007:itc</v>
      </c>
      <c r="G52" s="8">
        <f t="shared" si="1"/>
        <v>42610.342835648145</v>
      </c>
    </row>
    <row r="53" spans="1:7" x14ac:dyDescent="0.25">
      <c r="A53" s="8">
        <v>42610.345486111109</v>
      </c>
      <c r="B53" s="23" t="s">
        <v>90</v>
      </c>
      <c r="C53" s="23" t="s">
        <v>359</v>
      </c>
      <c r="D53" s="23">
        <v>1260000</v>
      </c>
      <c r="E53" s="23" t="s">
        <v>342</v>
      </c>
      <c r="F53" s="23" t="str">
        <f t="shared" si="0"/>
        <v>rtdc.l.rtdc.4013:itc</v>
      </c>
      <c r="G53" s="8">
        <f t="shared" si="1"/>
        <v>42610.345486111109</v>
      </c>
    </row>
    <row r="54" spans="1:7" x14ac:dyDescent="0.25">
      <c r="A54" s="8">
        <v>42610.345821759256</v>
      </c>
      <c r="B54" s="23" t="s">
        <v>172</v>
      </c>
      <c r="C54" s="23" t="s">
        <v>408</v>
      </c>
      <c r="D54" s="23">
        <v>1110000</v>
      </c>
      <c r="E54" s="23" t="s">
        <v>388</v>
      </c>
      <c r="F54" s="23" t="str">
        <f t="shared" si="0"/>
        <v>rtdc.l.rtdc.4009:itc</v>
      </c>
      <c r="G54" s="8">
        <f t="shared" si="1"/>
        <v>42610.345821759256</v>
      </c>
    </row>
    <row r="55" spans="1:7" x14ac:dyDescent="0.25">
      <c r="A55" s="8">
        <v>42610.353645833333</v>
      </c>
      <c r="B55" s="23" t="s">
        <v>177</v>
      </c>
      <c r="C55" s="23" t="s">
        <v>409</v>
      </c>
      <c r="D55" s="23">
        <v>1760000</v>
      </c>
      <c r="E55" s="23" t="s">
        <v>264</v>
      </c>
      <c r="F55" s="23" t="str">
        <f t="shared" si="0"/>
        <v>rtdc.l.rtdc.4002:itc</v>
      </c>
      <c r="G55" s="8">
        <f t="shared" si="1"/>
        <v>42610.353645833333</v>
      </c>
    </row>
    <row r="56" spans="1:7" x14ac:dyDescent="0.25">
      <c r="A56" s="8">
        <v>42610.355914351851</v>
      </c>
      <c r="B56" s="23" t="s">
        <v>182</v>
      </c>
      <c r="C56" s="23" t="s">
        <v>410</v>
      </c>
      <c r="D56" s="23">
        <v>2150000</v>
      </c>
      <c r="E56" s="23" t="s">
        <v>379</v>
      </c>
      <c r="F56" s="23" t="str">
        <f t="shared" si="0"/>
        <v>rtdc.l.rtdc.4041:itc</v>
      </c>
      <c r="G56" s="8">
        <f t="shared" si="1"/>
        <v>42610.355914351851</v>
      </c>
    </row>
    <row r="57" spans="1:7" x14ac:dyDescent="0.25">
      <c r="A57" s="8">
        <v>42610.359756944446</v>
      </c>
      <c r="B57" s="23" t="s">
        <v>173</v>
      </c>
      <c r="C57" s="23" t="s">
        <v>411</v>
      </c>
      <c r="D57" s="23">
        <v>1110000</v>
      </c>
      <c r="E57" s="23" t="s">
        <v>388</v>
      </c>
      <c r="F57" s="23" t="str">
        <f t="shared" si="0"/>
        <v>rtdc.l.rtdc.4010:itc</v>
      </c>
      <c r="G57" s="8">
        <f t="shared" si="1"/>
        <v>42610.359756944446</v>
      </c>
    </row>
    <row r="58" spans="1:7" x14ac:dyDescent="0.25">
      <c r="A58" s="8">
        <v>42610.362326388888</v>
      </c>
      <c r="B58" s="23" t="s">
        <v>93</v>
      </c>
      <c r="C58" s="23" t="s">
        <v>412</v>
      </c>
      <c r="D58" s="23">
        <v>2030000</v>
      </c>
      <c r="E58" s="23" t="s">
        <v>343</v>
      </c>
      <c r="F58" s="23" t="str">
        <f t="shared" si="0"/>
        <v>rtdc.l.rtdc.4027:itc</v>
      </c>
      <c r="G58" s="8">
        <f t="shared" si="1"/>
        <v>42610.362326388888</v>
      </c>
    </row>
    <row r="59" spans="1:7" x14ac:dyDescent="0.25">
      <c r="A59" s="8">
        <v>42610.367997685185</v>
      </c>
      <c r="B59" s="23" t="s">
        <v>261</v>
      </c>
      <c r="C59" s="23" t="s">
        <v>413</v>
      </c>
      <c r="D59" s="23">
        <v>1830000</v>
      </c>
      <c r="E59" s="23" t="s">
        <v>344</v>
      </c>
      <c r="F59" s="23" t="str">
        <f t="shared" si="0"/>
        <v>rtdc.l.rtdc.4040:itc</v>
      </c>
      <c r="G59" s="8">
        <f t="shared" si="1"/>
        <v>42610.367997685185</v>
      </c>
    </row>
    <row r="60" spans="1:7" x14ac:dyDescent="0.25">
      <c r="A60" s="8">
        <v>42610.369027777779</v>
      </c>
      <c r="B60" s="23" t="s">
        <v>143</v>
      </c>
      <c r="C60" s="23" t="s">
        <v>414</v>
      </c>
      <c r="D60" s="23">
        <v>1990000</v>
      </c>
      <c r="E60" s="23" t="s">
        <v>262</v>
      </c>
      <c r="F60" s="23" t="str">
        <f t="shared" si="0"/>
        <v>rtdc.l.rtdc.4037:itc</v>
      </c>
      <c r="G60" s="8">
        <f t="shared" si="1"/>
        <v>42610.369027777779</v>
      </c>
    </row>
    <row r="61" spans="1:7" x14ac:dyDescent="0.25">
      <c r="A61" s="8">
        <v>42610.381006944444</v>
      </c>
      <c r="B61" s="23" t="s">
        <v>168</v>
      </c>
      <c r="C61" s="23" t="s">
        <v>415</v>
      </c>
      <c r="D61" s="23">
        <v>1310000</v>
      </c>
      <c r="E61" s="23" t="s">
        <v>263</v>
      </c>
      <c r="F61" s="23" t="str">
        <f t="shared" si="0"/>
        <v>rtdc.l.rtdc.4008:itc</v>
      </c>
      <c r="G61" s="8">
        <f t="shared" si="1"/>
        <v>42610.381006944444</v>
      </c>
    </row>
    <row r="62" spans="1:7" x14ac:dyDescent="0.25">
      <c r="A62" s="8">
        <v>42610.381122685183</v>
      </c>
      <c r="B62" s="23" t="s">
        <v>112</v>
      </c>
      <c r="C62" s="23" t="s">
        <v>416</v>
      </c>
      <c r="D62" s="23">
        <v>1260000</v>
      </c>
      <c r="E62" s="23" t="s">
        <v>342</v>
      </c>
      <c r="F62" s="23" t="str">
        <f t="shared" si="0"/>
        <v>rtdc.l.rtdc.4014:itc</v>
      </c>
      <c r="G62" s="8">
        <f t="shared" si="1"/>
        <v>42610.381122685183</v>
      </c>
    </row>
    <row r="63" spans="1:7" x14ac:dyDescent="0.25">
      <c r="A63" s="8">
        <v>42610.386863425927</v>
      </c>
      <c r="B63" s="23" t="s">
        <v>172</v>
      </c>
      <c r="C63" s="23" t="s">
        <v>417</v>
      </c>
      <c r="D63" s="23">
        <v>1110000</v>
      </c>
      <c r="E63" s="23" t="s">
        <v>388</v>
      </c>
      <c r="F63" s="23" t="str">
        <f t="shared" si="0"/>
        <v>rtdc.l.rtdc.4009:itc</v>
      </c>
      <c r="G63" s="8">
        <f t="shared" si="1"/>
        <v>42610.386863425927</v>
      </c>
    </row>
    <row r="64" spans="1:7" x14ac:dyDescent="0.25">
      <c r="A64" s="29">
        <v>42610.387557870374</v>
      </c>
      <c r="B64" s="23" t="s">
        <v>178</v>
      </c>
      <c r="C64" s="23" t="s">
        <v>360</v>
      </c>
      <c r="D64" s="23">
        <v>1760000</v>
      </c>
      <c r="E64" s="23" t="s">
        <v>264</v>
      </c>
      <c r="F64" s="23" t="str">
        <f t="shared" si="0"/>
        <v>rtdc.l.rtdc.4001:itc</v>
      </c>
      <c r="G64" s="8">
        <f t="shared" si="1"/>
        <v>42610.387557870374</v>
      </c>
    </row>
    <row r="65" spans="1:7" x14ac:dyDescent="0.25">
      <c r="A65" s="8">
        <v>42610.393333333333</v>
      </c>
      <c r="B65" s="23" t="s">
        <v>149</v>
      </c>
      <c r="C65" s="23" t="s">
        <v>418</v>
      </c>
      <c r="D65" s="23">
        <v>2150000</v>
      </c>
      <c r="E65" s="23" t="s">
        <v>379</v>
      </c>
      <c r="F65" s="23" t="str">
        <f t="shared" si="0"/>
        <v>rtdc.l.rtdc.4042:itc</v>
      </c>
      <c r="G65" s="8">
        <f t="shared" si="1"/>
        <v>42610.393333333333</v>
      </c>
    </row>
    <row r="66" spans="1:7" x14ac:dyDescent="0.25">
      <c r="A66" s="8">
        <v>42610.397002314814</v>
      </c>
      <c r="B66" s="23" t="s">
        <v>266</v>
      </c>
      <c r="C66" s="23" t="s">
        <v>419</v>
      </c>
      <c r="D66" s="23">
        <v>2030000</v>
      </c>
      <c r="E66" s="23" t="s">
        <v>343</v>
      </c>
      <c r="F66" s="23" t="str">
        <f t="shared" ref="F66:F129" si="2">B66</f>
        <v>rtdc.l.rtdc.4028:itc</v>
      </c>
      <c r="G66" s="8">
        <f t="shared" ref="G66:G129" si="3">A66</f>
        <v>42610.397002314814</v>
      </c>
    </row>
    <row r="67" spans="1:7" x14ac:dyDescent="0.25">
      <c r="A67" s="8">
        <v>42610.401018518518</v>
      </c>
      <c r="B67" s="23" t="s">
        <v>265</v>
      </c>
      <c r="C67" s="23" t="s">
        <v>420</v>
      </c>
      <c r="D67" s="23">
        <v>1830000</v>
      </c>
      <c r="E67" s="23" t="s">
        <v>344</v>
      </c>
      <c r="F67" s="23" t="str">
        <f t="shared" si="2"/>
        <v>rtdc.l.rtdc.4039:itc</v>
      </c>
      <c r="G67" s="8">
        <f t="shared" si="3"/>
        <v>42610.401018518518</v>
      </c>
    </row>
    <row r="68" spans="1:7" x14ac:dyDescent="0.25">
      <c r="A68" s="8">
        <v>42610.401643518519</v>
      </c>
      <c r="B68" s="23" t="s">
        <v>173</v>
      </c>
      <c r="C68" s="23" t="s">
        <v>421</v>
      </c>
      <c r="D68" s="23">
        <v>1110000</v>
      </c>
      <c r="E68" s="23" t="s">
        <v>388</v>
      </c>
      <c r="F68" s="23" t="str">
        <f t="shared" si="2"/>
        <v>rtdc.l.rtdc.4010:itc</v>
      </c>
      <c r="G68" s="8">
        <f t="shared" si="3"/>
        <v>42610.401643518519</v>
      </c>
    </row>
    <row r="69" spans="1:7" x14ac:dyDescent="0.25">
      <c r="A69" s="8">
        <v>42610.402337962965</v>
      </c>
      <c r="B69" s="23" t="s">
        <v>150</v>
      </c>
      <c r="C69" s="23" t="s">
        <v>422</v>
      </c>
      <c r="D69" s="23">
        <v>1990000</v>
      </c>
      <c r="E69" s="23" t="s">
        <v>262</v>
      </c>
      <c r="F69" s="23" t="str">
        <f t="shared" si="2"/>
        <v>rtdc.l.rtdc.4038:itc</v>
      </c>
      <c r="G69" s="8">
        <f t="shared" si="3"/>
        <v>42610.402337962965</v>
      </c>
    </row>
    <row r="70" spans="1:7" x14ac:dyDescent="0.25">
      <c r="A70" s="8">
        <v>42610.41542824074</v>
      </c>
      <c r="B70" s="23" t="s">
        <v>183</v>
      </c>
      <c r="C70" s="23" t="s">
        <v>362</v>
      </c>
      <c r="D70" s="23">
        <v>1310000</v>
      </c>
      <c r="E70" s="23" t="s">
        <v>263</v>
      </c>
      <c r="F70" s="23" t="str">
        <f t="shared" si="2"/>
        <v>rtdc.l.rtdc.4007:itc</v>
      </c>
      <c r="G70" s="8">
        <f t="shared" si="3"/>
        <v>42610.41542824074</v>
      </c>
    </row>
    <row r="71" spans="1:7" x14ac:dyDescent="0.25">
      <c r="A71" s="8">
        <v>42610.418553240743</v>
      </c>
      <c r="B71" s="23" t="s">
        <v>90</v>
      </c>
      <c r="C71" s="23" t="s">
        <v>363</v>
      </c>
      <c r="D71" s="23">
        <v>1260000</v>
      </c>
      <c r="E71" s="23" t="s">
        <v>342</v>
      </c>
      <c r="F71" s="23" t="str">
        <f t="shared" si="2"/>
        <v>rtdc.l.rtdc.4013:itc</v>
      </c>
      <c r="G71" s="8">
        <f t="shared" si="3"/>
        <v>42610.418553240743</v>
      </c>
    </row>
    <row r="72" spans="1:7" x14ac:dyDescent="0.25">
      <c r="A72" s="8">
        <v>42610.423113425924</v>
      </c>
      <c r="B72" s="23" t="s">
        <v>177</v>
      </c>
      <c r="C72" s="23" t="s">
        <v>423</v>
      </c>
      <c r="D72" s="23">
        <v>1760000</v>
      </c>
      <c r="E72" s="23" t="s">
        <v>264</v>
      </c>
      <c r="F72" s="23" t="str">
        <f t="shared" si="2"/>
        <v>rtdc.l.rtdc.4002:itc</v>
      </c>
      <c r="G72" s="8">
        <f t="shared" si="3"/>
        <v>42610.423113425924</v>
      </c>
    </row>
    <row r="73" spans="1:7" x14ac:dyDescent="0.25">
      <c r="A73" s="8">
        <v>42610.425925925927</v>
      </c>
      <c r="B73" s="23" t="s">
        <v>182</v>
      </c>
      <c r="C73" s="23" t="s">
        <v>424</v>
      </c>
      <c r="D73" s="23">
        <v>2150000</v>
      </c>
      <c r="E73" s="23" t="s">
        <v>379</v>
      </c>
      <c r="F73" s="23" t="str">
        <f t="shared" si="2"/>
        <v>rtdc.l.rtdc.4041:itc</v>
      </c>
      <c r="G73" s="8">
        <f t="shared" si="3"/>
        <v>42610.425925925927</v>
      </c>
    </row>
    <row r="74" spans="1:7" x14ac:dyDescent="0.25">
      <c r="A74" s="8">
        <v>42610.43005787037</v>
      </c>
      <c r="B74" s="23" t="s">
        <v>172</v>
      </c>
      <c r="C74" s="23" t="s">
        <v>361</v>
      </c>
      <c r="D74" s="23">
        <v>1110000</v>
      </c>
      <c r="E74" s="23" t="s">
        <v>388</v>
      </c>
      <c r="F74" s="23" t="str">
        <f t="shared" si="2"/>
        <v>rtdc.l.rtdc.4009:itc</v>
      </c>
      <c r="G74" s="8">
        <f t="shared" si="3"/>
        <v>42610.43005787037</v>
      </c>
    </row>
    <row r="75" spans="1:7" x14ac:dyDescent="0.25">
      <c r="A75" s="8">
        <v>42610.433564814812</v>
      </c>
      <c r="B75" s="23" t="s">
        <v>93</v>
      </c>
      <c r="C75" s="23" t="s">
        <v>425</v>
      </c>
      <c r="D75" s="23">
        <v>930000</v>
      </c>
      <c r="E75" s="23" t="s">
        <v>426</v>
      </c>
      <c r="F75" s="23" t="str">
        <f t="shared" si="2"/>
        <v>rtdc.l.rtdc.4027:itc</v>
      </c>
      <c r="G75" s="8">
        <f t="shared" si="3"/>
        <v>42610.433564814812</v>
      </c>
    </row>
    <row r="76" spans="1:7" x14ac:dyDescent="0.25">
      <c r="A76" s="8">
        <v>42610.438078703701</v>
      </c>
      <c r="B76" s="23" t="s">
        <v>143</v>
      </c>
      <c r="C76" s="23" t="s">
        <v>427</v>
      </c>
      <c r="D76" s="23">
        <v>1990000</v>
      </c>
      <c r="E76" s="23" t="s">
        <v>262</v>
      </c>
      <c r="F76" s="23" t="str">
        <f t="shared" si="2"/>
        <v>rtdc.l.rtdc.4037:itc</v>
      </c>
      <c r="G76" s="8">
        <f t="shared" si="3"/>
        <v>42610.438078703701</v>
      </c>
    </row>
    <row r="77" spans="1:7" x14ac:dyDescent="0.25">
      <c r="A77" s="8">
        <v>42610.441261574073</v>
      </c>
      <c r="B77" s="23" t="s">
        <v>261</v>
      </c>
      <c r="C77" s="23" t="s">
        <v>428</v>
      </c>
      <c r="D77" s="23">
        <v>1830000</v>
      </c>
      <c r="E77" s="23" t="s">
        <v>344</v>
      </c>
      <c r="F77" s="23" t="str">
        <f t="shared" si="2"/>
        <v>rtdc.l.rtdc.4040:itc</v>
      </c>
      <c r="G77" s="8">
        <f t="shared" si="3"/>
        <v>42610.441261574073</v>
      </c>
    </row>
    <row r="78" spans="1:7" x14ac:dyDescent="0.25">
      <c r="A78" s="8">
        <v>42610.443391203706</v>
      </c>
      <c r="B78" s="23" t="s">
        <v>173</v>
      </c>
      <c r="C78" s="23" t="s">
        <v>429</v>
      </c>
      <c r="D78" s="23">
        <v>1110000</v>
      </c>
      <c r="E78" s="23" t="s">
        <v>388</v>
      </c>
      <c r="F78" s="23" t="str">
        <f t="shared" si="2"/>
        <v>rtdc.l.rtdc.4010:itc</v>
      </c>
      <c r="G78" s="8">
        <f t="shared" si="3"/>
        <v>42610.443391203706</v>
      </c>
    </row>
    <row r="79" spans="1:7" x14ac:dyDescent="0.25">
      <c r="A79" s="8">
        <v>42610.453946759262</v>
      </c>
      <c r="B79" s="23" t="s">
        <v>168</v>
      </c>
      <c r="C79" s="23" t="s">
        <v>430</v>
      </c>
      <c r="D79" s="23">
        <v>1310000</v>
      </c>
      <c r="E79" s="23" t="s">
        <v>263</v>
      </c>
      <c r="F79" s="23" t="str">
        <f t="shared" si="2"/>
        <v>rtdc.l.rtdc.4008:itc</v>
      </c>
      <c r="G79" s="8">
        <f t="shared" si="3"/>
        <v>42610.453946759262</v>
      </c>
    </row>
    <row r="80" spans="1:7" x14ac:dyDescent="0.25">
      <c r="A80" s="8">
        <v>42610.454780092594</v>
      </c>
      <c r="B80" s="23" t="s">
        <v>112</v>
      </c>
      <c r="C80" s="23" t="s">
        <v>431</v>
      </c>
      <c r="D80" s="23">
        <v>880000</v>
      </c>
      <c r="E80" s="23" t="s">
        <v>267</v>
      </c>
      <c r="F80" s="23" t="str">
        <f t="shared" si="2"/>
        <v>rtdc.l.rtdc.4014:itc</v>
      </c>
      <c r="G80" s="8">
        <f t="shared" si="3"/>
        <v>42610.454780092594</v>
      </c>
    </row>
    <row r="81" spans="1:7" x14ac:dyDescent="0.25">
      <c r="A81" s="8">
        <v>42610.462418981479</v>
      </c>
      <c r="B81" s="23" t="s">
        <v>178</v>
      </c>
      <c r="C81" s="23" t="s">
        <v>364</v>
      </c>
      <c r="D81" s="23">
        <v>1760000</v>
      </c>
      <c r="E81" s="23" t="s">
        <v>264</v>
      </c>
      <c r="F81" s="23" t="str">
        <f t="shared" si="2"/>
        <v>rtdc.l.rtdc.4001:itc</v>
      </c>
      <c r="G81" s="8">
        <f t="shared" si="3"/>
        <v>42610.462418981479</v>
      </c>
    </row>
    <row r="82" spans="1:7" x14ac:dyDescent="0.25">
      <c r="A82" s="8">
        <v>42610.465995370374</v>
      </c>
      <c r="B82" s="23" t="s">
        <v>149</v>
      </c>
      <c r="C82" s="23" t="s">
        <v>432</v>
      </c>
      <c r="D82" s="23">
        <v>1280000</v>
      </c>
      <c r="E82" s="23" t="s">
        <v>345</v>
      </c>
      <c r="F82" s="23" t="str">
        <f t="shared" si="2"/>
        <v>rtdc.l.rtdc.4042:itc</v>
      </c>
      <c r="G82" s="8">
        <f t="shared" si="3"/>
        <v>42610.465995370374</v>
      </c>
    </row>
    <row r="83" spans="1:7" x14ac:dyDescent="0.25">
      <c r="A83" s="8">
        <v>42610.466944444444</v>
      </c>
      <c r="B83" s="23" t="s">
        <v>266</v>
      </c>
      <c r="C83" s="23" t="s">
        <v>433</v>
      </c>
      <c r="D83" s="23">
        <v>930000</v>
      </c>
      <c r="E83" s="23" t="s">
        <v>426</v>
      </c>
      <c r="F83" s="23" t="str">
        <f t="shared" si="2"/>
        <v>rtdc.l.rtdc.4028:itc</v>
      </c>
      <c r="G83" s="8">
        <f t="shared" si="3"/>
        <v>42610.466944444444</v>
      </c>
    </row>
    <row r="84" spans="1:7" x14ac:dyDescent="0.25">
      <c r="A84" s="8">
        <v>42610.469618055555</v>
      </c>
      <c r="B84" s="23" t="s">
        <v>172</v>
      </c>
      <c r="C84" s="23" t="s">
        <v>365</v>
      </c>
      <c r="D84" s="23">
        <v>1110000</v>
      </c>
      <c r="E84" s="23" t="s">
        <v>388</v>
      </c>
      <c r="F84" s="23" t="str">
        <f t="shared" si="2"/>
        <v>rtdc.l.rtdc.4009:itc</v>
      </c>
      <c r="G84" s="8">
        <f t="shared" si="3"/>
        <v>42610.469618055555</v>
      </c>
    </row>
    <row r="85" spans="1:7" x14ac:dyDescent="0.25">
      <c r="A85" s="8">
        <v>42610.473796296297</v>
      </c>
      <c r="B85" s="23" t="s">
        <v>265</v>
      </c>
      <c r="C85" s="23" t="s">
        <v>434</v>
      </c>
      <c r="D85" s="23">
        <v>1830000</v>
      </c>
      <c r="E85" s="23" t="s">
        <v>344</v>
      </c>
      <c r="F85" s="23" t="str">
        <f t="shared" si="2"/>
        <v>rtdc.l.rtdc.4039:itc</v>
      </c>
      <c r="G85" s="8">
        <f t="shared" si="3"/>
        <v>42610.473796296297</v>
      </c>
    </row>
    <row r="86" spans="1:7" x14ac:dyDescent="0.25">
      <c r="A86" s="8">
        <v>42610.477037037039</v>
      </c>
      <c r="B86" s="23" t="s">
        <v>150</v>
      </c>
      <c r="C86" s="23" t="s">
        <v>435</v>
      </c>
      <c r="D86" s="23">
        <v>1770000</v>
      </c>
      <c r="E86" s="23" t="s">
        <v>436</v>
      </c>
      <c r="F86" s="23" t="str">
        <f t="shared" si="2"/>
        <v>rtdc.l.rtdc.4038:itc</v>
      </c>
      <c r="G86" s="8">
        <f t="shared" si="3"/>
        <v>42610.477037037039</v>
      </c>
    </row>
    <row r="87" spans="1:7" x14ac:dyDescent="0.25">
      <c r="A87" s="8">
        <v>42610.485381944447</v>
      </c>
      <c r="B87" s="23" t="s">
        <v>173</v>
      </c>
      <c r="C87" s="23" t="s">
        <v>437</v>
      </c>
      <c r="D87" s="23">
        <v>1110000</v>
      </c>
      <c r="E87" s="23" t="s">
        <v>388</v>
      </c>
      <c r="F87" s="23" t="str">
        <f t="shared" si="2"/>
        <v>rtdc.l.rtdc.4010:itc</v>
      </c>
      <c r="G87" s="8">
        <f t="shared" si="3"/>
        <v>42610.485381944447</v>
      </c>
    </row>
    <row r="88" spans="1:7" x14ac:dyDescent="0.25">
      <c r="A88" s="8">
        <v>42610.488356481481</v>
      </c>
      <c r="B88" s="23" t="s">
        <v>183</v>
      </c>
      <c r="C88" s="23" t="s">
        <v>438</v>
      </c>
      <c r="D88" s="23">
        <v>2040000</v>
      </c>
      <c r="E88" s="23" t="s">
        <v>241</v>
      </c>
      <c r="F88" s="23" t="str">
        <f t="shared" si="2"/>
        <v>rtdc.l.rtdc.4007:itc</v>
      </c>
      <c r="G88" s="8">
        <f t="shared" si="3"/>
        <v>42610.488356481481</v>
      </c>
    </row>
    <row r="89" spans="1:7" x14ac:dyDescent="0.25">
      <c r="A89" s="8">
        <v>42610.493796296294</v>
      </c>
      <c r="B89" s="23" t="s">
        <v>90</v>
      </c>
      <c r="C89" s="23" t="s">
        <v>439</v>
      </c>
      <c r="D89" s="23">
        <v>880000</v>
      </c>
      <c r="E89" s="23" t="s">
        <v>267</v>
      </c>
      <c r="F89" s="23" t="str">
        <f t="shared" si="2"/>
        <v>rtdc.l.rtdc.4013:itc</v>
      </c>
      <c r="G89" s="8">
        <f t="shared" si="3"/>
        <v>42610.493796296294</v>
      </c>
    </row>
    <row r="90" spans="1:7" x14ac:dyDescent="0.25">
      <c r="A90" s="8">
        <v>42610.497152777774</v>
      </c>
      <c r="B90" s="23" t="s">
        <v>182</v>
      </c>
      <c r="C90" s="23" t="s">
        <v>440</v>
      </c>
      <c r="D90" s="23">
        <v>1280000</v>
      </c>
      <c r="E90" s="23" t="s">
        <v>345</v>
      </c>
      <c r="F90" s="23" t="str">
        <f t="shared" si="2"/>
        <v>rtdc.l.rtdc.4041:itc</v>
      </c>
      <c r="G90" s="8">
        <f t="shared" si="3"/>
        <v>42610.497152777774</v>
      </c>
    </row>
    <row r="91" spans="1:7" x14ac:dyDescent="0.25">
      <c r="A91" s="8">
        <v>42610.498749999999</v>
      </c>
      <c r="B91" s="23" t="s">
        <v>177</v>
      </c>
      <c r="C91" s="23" t="s">
        <v>441</v>
      </c>
      <c r="D91" s="23">
        <v>1140000</v>
      </c>
      <c r="E91" s="23" t="s">
        <v>442</v>
      </c>
      <c r="F91" s="23" t="str">
        <f t="shared" si="2"/>
        <v>rtdc.l.rtdc.4002:itc</v>
      </c>
      <c r="G91" s="8">
        <f t="shared" si="3"/>
        <v>42610.498749999999</v>
      </c>
    </row>
    <row r="92" spans="1:7" x14ac:dyDescent="0.25">
      <c r="A92" s="8">
        <v>42610.510439814818</v>
      </c>
      <c r="B92" s="23" t="s">
        <v>93</v>
      </c>
      <c r="C92" s="23" t="s">
        <v>443</v>
      </c>
      <c r="D92" s="23">
        <v>930000</v>
      </c>
      <c r="E92" s="23" t="s">
        <v>426</v>
      </c>
      <c r="F92" s="23" t="str">
        <f t="shared" si="2"/>
        <v>rtdc.l.rtdc.4027:itc</v>
      </c>
      <c r="G92" s="8">
        <f t="shared" si="3"/>
        <v>42610.510439814818</v>
      </c>
    </row>
    <row r="93" spans="1:7" x14ac:dyDescent="0.25">
      <c r="A93" s="8">
        <v>42610.510497685187</v>
      </c>
      <c r="B93" s="23" t="s">
        <v>172</v>
      </c>
      <c r="C93" s="23" t="s">
        <v>444</v>
      </c>
      <c r="D93" s="23">
        <v>1110000</v>
      </c>
      <c r="E93" s="23" t="s">
        <v>388</v>
      </c>
      <c r="F93" s="23" t="str">
        <f t="shared" si="2"/>
        <v>rtdc.l.rtdc.4009:itc</v>
      </c>
      <c r="G93" s="8">
        <f t="shared" si="3"/>
        <v>42610.510497685187</v>
      </c>
    </row>
    <row r="94" spans="1:7" x14ac:dyDescent="0.25">
      <c r="A94" s="8">
        <v>42610.513229166667</v>
      </c>
      <c r="B94" s="23" t="s">
        <v>143</v>
      </c>
      <c r="C94" s="23" t="s">
        <v>445</v>
      </c>
      <c r="D94" s="23">
        <v>1770000</v>
      </c>
      <c r="E94" s="23" t="s">
        <v>436</v>
      </c>
      <c r="F94" s="23" t="str">
        <f t="shared" si="2"/>
        <v>rtdc.l.rtdc.4037:itc</v>
      </c>
      <c r="G94" s="8">
        <f t="shared" si="3"/>
        <v>42610.513229166667</v>
      </c>
    </row>
    <row r="95" spans="1:7" x14ac:dyDescent="0.25">
      <c r="A95" s="8">
        <v>42610.516875000001</v>
      </c>
      <c r="B95" s="23" t="s">
        <v>261</v>
      </c>
      <c r="C95" s="23" t="s">
        <v>446</v>
      </c>
      <c r="D95" s="23">
        <v>2020000</v>
      </c>
      <c r="E95" s="23" t="s">
        <v>258</v>
      </c>
      <c r="F95" s="23" t="str">
        <f t="shared" si="2"/>
        <v>rtdc.l.rtdc.4040:itc</v>
      </c>
      <c r="G95" s="8">
        <f t="shared" si="3"/>
        <v>42610.516875000001</v>
      </c>
    </row>
    <row r="96" spans="1:7" x14ac:dyDescent="0.25">
      <c r="A96" s="8">
        <v>42610.526469907411</v>
      </c>
      <c r="B96" s="23" t="s">
        <v>173</v>
      </c>
      <c r="C96" s="23" t="s">
        <v>447</v>
      </c>
      <c r="D96" s="23">
        <v>1110000</v>
      </c>
      <c r="E96" s="23" t="s">
        <v>388</v>
      </c>
      <c r="F96" s="23" t="str">
        <f t="shared" si="2"/>
        <v>rtdc.l.rtdc.4010:itc</v>
      </c>
      <c r="G96" s="8">
        <f t="shared" si="3"/>
        <v>42610.526469907411</v>
      </c>
    </row>
    <row r="97" spans="1:7" x14ac:dyDescent="0.25">
      <c r="A97" s="8">
        <v>42610.527013888888</v>
      </c>
      <c r="B97" s="23" t="s">
        <v>173</v>
      </c>
      <c r="C97" s="23" t="s">
        <v>448</v>
      </c>
      <c r="D97" s="23">
        <v>1110000</v>
      </c>
      <c r="E97" s="23" t="s">
        <v>388</v>
      </c>
      <c r="F97" s="23" t="str">
        <f t="shared" si="2"/>
        <v>rtdc.l.rtdc.4010:itc</v>
      </c>
      <c r="G97" s="8">
        <f t="shared" si="3"/>
        <v>42610.527013888888</v>
      </c>
    </row>
    <row r="98" spans="1:7" x14ac:dyDescent="0.25">
      <c r="A98" s="8">
        <v>42610.527766203704</v>
      </c>
      <c r="B98" s="23" t="s">
        <v>173</v>
      </c>
      <c r="C98" s="23" t="s">
        <v>448</v>
      </c>
      <c r="D98" s="23">
        <v>1110000</v>
      </c>
      <c r="E98" s="23" t="s">
        <v>388</v>
      </c>
      <c r="F98" s="23" t="str">
        <f t="shared" si="2"/>
        <v>rtdc.l.rtdc.4010:itc</v>
      </c>
      <c r="G98" s="8">
        <f t="shared" si="3"/>
        <v>42610.527766203704</v>
      </c>
    </row>
    <row r="99" spans="1:7" x14ac:dyDescent="0.25">
      <c r="A99" s="8">
        <v>42610.527812499997</v>
      </c>
      <c r="B99" s="23" t="s">
        <v>168</v>
      </c>
      <c r="C99" s="23" t="s">
        <v>449</v>
      </c>
      <c r="D99" s="23">
        <v>2040000</v>
      </c>
      <c r="E99" s="23" t="s">
        <v>241</v>
      </c>
      <c r="F99" s="23" t="str">
        <f t="shared" si="2"/>
        <v>rtdc.l.rtdc.4008:itc</v>
      </c>
      <c r="G99" s="8">
        <f t="shared" si="3"/>
        <v>42610.527812499997</v>
      </c>
    </row>
    <row r="100" spans="1:7" x14ac:dyDescent="0.25">
      <c r="A100" s="8">
        <v>42610.528634259259</v>
      </c>
      <c r="B100" s="23" t="s">
        <v>112</v>
      </c>
      <c r="C100" s="23" t="s">
        <v>450</v>
      </c>
      <c r="D100" s="23">
        <v>880000</v>
      </c>
      <c r="E100" s="23" t="s">
        <v>267</v>
      </c>
      <c r="F100" s="23" t="str">
        <f t="shared" si="2"/>
        <v>rtdc.l.rtdc.4014:itc</v>
      </c>
      <c r="G100" s="8">
        <f t="shared" si="3"/>
        <v>42610.528634259259</v>
      </c>
    </row>
    <row r="101" spans="1:7" x14ac:dyDescent="0.25">
      <c r="A101" s="8">
        <v>42610.537106481483</v>
      </c>
      <c r="B101" s="23" t="s">
        <v>178</v>
      </c>
      <c r="C101" s="23" t="s">
        <v>451</v>
      </c>
      <c r="D101" s="23">
        <v>1140000</v>
      </c>
      <c r="E101" s="23" t="s">
        <v>442</v>
      </c>
      <c r="F101" s="23" t="str">
        <f t="shared" si="2"/>
        <v>rtdc.l.rtdc.4001:itc</v>
      </c>
      <c r="G101" s="8">
        <f t="shared" si="3"/>
        <v>42610.537106481483</v>
      </c>
    </row>
    <row r="102" spans="1:7" x14ac:dyDescent="0.25">
      <c r="A102" s="8">
        <v>42610.538229166668</v>
      </c>
      <c r="B102" s="23" t="s">
        <v>149</v>
      </c>
      <c r="C102" s="23" t="s">
        <v>452</v>
      </c>
      <c r="D102" s="23">
        <v>1280000</v>
      </c>
      <c r="E102" s="23" t="s">
        <v>345</v>
      </c>
      <c r="F102" s="23" t="str">
        <f t="shared" si="2"/>
        <v>rtdc.l.rtdc.4042:itc</v>
      </c>
      <c r="G102" s="8">
        <f t="shared" si="3"/>
        <v>42610.538229166668</v>
      </c>
    </row>
    <row r="103" spans="1:7" x14ac:dyDescent="0.25">
      <c r="A103" s="8">
        <v>42610.546747685185</v>
      </c>
      <c r="B103" s="23" t="s">
        <v>266</v>
      </c>
      <c r="C103" s="23" t="s">
        <v>453</v>
      </c>
      <c r="D103" s="23">
        <v>930000</v>
      </c>
      <c r="E103" s="23" t="s">
        <v>426</v>
      </c>
      <c r="F103" s="23" t="str">
        <f t="shared" si="2"/>
        <v>rtdc.l.rtdc.4028:itc</v>
      </c>
      <c r="G103" s="8">
        <f t="shared" si="3"/>
        <v>42610.546747685185</v>
      </c>
    </row>
    <row r="104" spans="1:7" x14ac:dyDescent="0.25">
      <c r="A104" s="8">
        <v>42610.547303240739</v>
      </c>
      <c r="B104" s="23" t="s">
        <v>150</v>
      </c>
      <c r="C104" s="23" t="s">
        <v>454</v>
      </c>
      <c r="D104" s="23">
        <v>1770000</v>
      </c>
      <c r="E104" s="23" t="s">
        <v>436</v>
      </c>
      <c r="F104" s="23" t="str">
        <f t="shared" si="2"/>
        <v>rtdc.l.rtdc.4038:itc</v>
      </c>
      <c r="G104" s="8">
        <f t="shared" si="3"/>
        <v>42610.547303240739</v>
      </c>
    </row>
    <row r="105" spans="1:7" x14ac:dyDescent="0.25">
      <c r="A105" s="8">
        <v>42610.553159722222</v>
      </c>
      <c r="B105" s="23" t="s">
        <v>172</v>
      </c>
      <c r="C105" s="23" t="s">
        <v>447</v>
      </c>
      <c r="D105" s="23">
        <v>1110000</v>
      </c>
      <c r="E105" s="23" t="s">
        <v>388</v>
      </c>
      <c r="F105" s="23" t="str">
        <f t="shared" si="2"/>
        <v>rtdc.l.rtdc.4009:itc</v>
      </c>
      <c r="G105" s="8">
        <f t="shared" si="3"/>
        <v>42610.553159722222</v>
      </c>
    </row>
    <row r="106" spans="1:7" x14ac:dyDescent="0.25">
      <c r="A106" s="8">
        <v>42610.554826388892</v>
      </c>
      <c r="B106" s="23" t="s">
        <v>265</v>
      </c>
      <c r="C106" s="23" t="s">
        <v>455</v>
      </c>
      <c r="D106" s="23">
        <v>2020000</v>
      </c>
      <c r="E106" s="23" t="s">
        <v>258</v>
      </c>
      <c r="F106" s="23" t="str">
        <f t="shared" si="2"/>
        <v>rtdc.l.rtdc.4039:itc</v>
      </c>
      <c r="G106" s="8">
        <f t="shared" si="3"/>
        <v>42610.554826388892</v>
      </c>
    </row>
    <row r="107" spans="1:7" x14ac:dyDescent="0.25">
      <c r="A107" s="8">
        <v>42610.560104166667</v>
      </c>
      <c r="B107" s="23" t="s">
        <v>183</v>
      </c>
      <c r="C107" s="23" t="s">
        <v>367</v>
      </c>
      <c r="D107" s="23">
        <v>2040000</v>
      </c>
      <c r="E107" s="23" t="s">
        <v>241</v>
      </c>
      <c r="F107" s="23" t="str">
        <f t="shared" si="2"/>
        <v>rtdc.l.rtdc.4007:itc</v>
      </c>
      <c r="G107" s="8">
        <f t="shared" si="3"/>
        <v>42610.560104166667</v>
      </c>
    </row>
    <row r="108" spans="1:7" x14ac:dyDescent="0.25">
      <c r="A108" s="8">
        <v>42610.567939814813</v>
      </c>
      <c r="B108" s="23" t="s">
        <v>90</v>
      </c>
      <c r="C108" s="23" t="s">
        <v>366</v>
      </c>
      <c r="D108" s="23">
        <v>880000</v>
      </c>
      <c r="E108" s="23" t="s">
        <v>267</v>
      </c>
      <c r="F108" s="23" t="str">
        <f t="shared" si="2"/>
        <v>rtdc.l.rtdc.4013:itc</v>
      </c>
      <c r="G108" s="8">
        <f t="shared" si="3"/>
        <v>42610.567939814813</v>
      </c>
    </row>
    <row r="109" spans="1:7" x14ac:dyDescent="0.25">
      <c r="A109" s="8">
        <v>42610.568055555559</v>
      </c>
      <c r="B109" s="23" t="s">
        <v>173</v>
      </c>
      <c r="C109" s="23" t="s">
        <v>456</v>
      </c>
      <c r="D109" s="23">
        <v>1110000</v>
      </c>
      <c r="E109" s="23" t="s">
        <v>388</v>
      </c>
      <c r="F109" s="23" t="str">
        <f t="shared" si="2"/>
        <v>rtdc.l.rtdc.4010:itc</v>
      </c>
      <c r="G109" s="8">
        <f t="shared" si="3"/>
        <v>42610.568055555559</v>
      </c>
    </row>
    <row r="110" spans="1:7" x14ac:dyDescent="0.25">
      <c r="A110" s="8">
        <v>42610.56931712963</v>
      </c>
      <c r="B110" s="23" t="s">
        <v>182</v>
      </c>
      <c r="C110" s="23" t="s">
        <v>457</v>
      </c>
      <c r="D110" s="23">
        <v>1280000</v>
      </c>
      <c r="E110" s="23" t="s">
        <v>345</v>
      </c>
      <c r="F110" s="23" t="str">
        <f t="shared" si="2"/>
        <v>rtdc.l.rtdc.4041:itc</v>
      </c>
      <c r="G110" s="8">
        <f t="shared" si="3"/>
        <v>42610.56931712963</v>
      </c>
    </row>
    <row r="111" spans="1:7" x14ac:dyDescent="0.25">
      <c r="A111" s="8">
        <v>42610.571203703701</v>
      </c>
      <c r="B111" s="23" t="s">
        <v>177</v>
      </c>
      <c r="C111" s="23" t="s">
        <v>458</v>
      </c>
      <c r="D111" s="23">
        <v>1140000</v>
      </c>
      <c r="E111" s="23" t="s">
        <v>442</v>
      </c>
      <c r="F111" s="23" t="str">
        <f t="shared" si="2"/>
        <v>rtdc.l.rtdc.4002:itc</v>
      </c>
      <c r="G111" s="8">
        <f t="shared" si="3"/>
        <v>42610.571203703701</v>
      </c>
    </row>
    <row r="112" spans="1:7" x14ac:dyDescent="0.25">
      <c r="A112" s="8">
        <v>42610.582245370373</v>
      </c>
      <c r="B112" s="23" t="s">
        <v>93</v>
      </c>
      <c r="C112" s="23" t="s">
        <v>459</v>
      </c>
      <c r="D112" s="23">
        <v>930000</v>
      </c>
      <c r="E112" s="23" t="s">
        <v>426</v>
      </c>
      <c r="F112" s="23" t="str">
        <f t="shared" si="2"/>
        <v>rtdc.l.rtdc.4027:itc</v>
      </c>
      <c r="G112" s="8">
        <f t="shared" si="3"/>
        <v>42610.582245370373</v>
      </c>
    </row>
    <row r="113" spans="1:7" x14ac:dyDescent="0.25">
      <c r="A113" s="8">
        <v>42610.586030092592</v>
      </c>
      <c r="B113" s="23" t="s">
        <v>143</v>
      </c>
      <c r="C113" s="23" t="s">
        <v>460</v>
      </c>
      <c r="D113" s="23">
        <v>1770000</v>
      </c>
      <c r="E113" s="23" t="s">
        <v>436</v>
      </c>
      <c r="F113" s="23" t="str">
        <f t="shared" si="2"/>
        <v>rtdc.l.rtdc.4037:itc</v>
      </c>
      <c r="G113" s="8">
        <f t="shared" si="3"/>
        <v>42610.586030092592</v>
      </c>
    </row>
    <row r="114" spans="1:7" x14ac:dyDescent="0.25">
      <c r="A114" s="8">
        <v>42610.586689814816</v>
      </c>
      <c r="B114" s="23" t="s">
        <v>172</v>
      </c>
      <c r="C114" s="23" t="s">
        <v>461</v>
      </c>
      <c r="D114" s="23">
        <v>2100000</v>
      </c>
      <c r="E114" s="23" t="s">
        <v>137</v>
      </c>
      <c r="F114" s="23" t="str">
        <f t="shared" si="2"/>
        <v>rtdc.l.rtdc.4009:itc</v>
      </c>
      <c r="G114" s="8">
        <f t="shared" si="3"/>
        <v>42610.586689814816</v>
      </c>
    </row>
    <row r="115" spans="1:7" x14ac:dyDescent="0.25">
      <c r="A115" s="8">
        <v>42610.588865740741</v>
      </c>
      <c r="B115" s="23" t="s">
        <v>93</v>
      </c>
      <c r="C115" s="23" t="s">
        <v>459</v>
      </c>
      <c r="D115" s="23">
        <v>930000</v>
      </c>
      <c r="E115" s="23" t="s">
        <v>426</v>
      </c>
      <c r="F115" s="23" t="str">
        <f t="shared" si="2"/>
        <v>rtdc.l.rtdc.4027:itc</v>
      </c>
      <c r="G115" s="8">
        <f t="shared" si="3"/>
        <v>42610.588865740741</v>
      </c>
    </row>
    <row r="116" spans="1:7" x14ac:dyDescent="0.25">
      <c r="A116" s="8">
        <v>42610.588993055557</v>
      </c>
      <c r="B116" s="23" t="s">
        <v>261</v>
      </c>
      <c r="C116" s="23" t="s">
        <v>462</v>
      </c>
      <c r="D116" s="23">
        <v>2020000</v>
      </c>
      <c r="E116" s="23" t="s">
        <v>258</v>
      </c>
      <c r="F116" s="23" t="str">
        <f t="shared" si="2"/>
        <v>rtdc.l.rtdc.4040:itc</v>
      </c>
      <c r="G116" s="8">
        <f t="shared" si="3"/>
        <v>42610.588993055557</v>
      </c>
    </row>
    <row r="117" spans="1:7" x14ac:dyDescent="0.25">
      <c r="A117" s="8">
        <v>42610.596412037034</v>
      </c>
      <c r="B117" s="23" t="s">
        <v>93</v>
      </c>
      <c r="C117" s="23" t="s">
        <v>459</v>
      </c>
      <c r="D117" s="23">
        <v>930000</v>
      </c>
      <c r="E117" s="23" t="s">
        <v>426</v>
      </c>
      <c r="F117" s="23" t="str">
        <f t="shared" si="2"/>
        <v>rtdc.l.rtdc.4027:itc</v>
      </c>
      <c r="G117" s="8">
        <f t="shared" si="3"/>
        <v>42610.596412037034</v>
      </c>
    </row>
    <row r="118" spans="1:7" x14ac:dyDescent="0.25">
      <c r="A118" s="8">
        <v>42610.599212962959</v>
      </c>
      <c r="B118" s="23" t="s">
        <v>168</v>
      </c>
      <c r="C118" s="23" t="s">
        <v>463</v>
      </c>
      <c r="D118" s="23">
        <v>2040000</v>
      </c>
      <c r="E118" s="23" t="s">
        <v>241</v>
      </c>
      <c r="F118" s="23" t="str">
        <f t="shared" si="2"/>
        <v>rtdc.l.rtdc.4008:itc</v>
      </c>
      <c r="G118" s="8">
        <f t="shared" si="3"/>
        <v>42610.599212962959</v>
      </c>
    </row>
    <row r="119" spans="1:7" x14ac:dyDescent="0.25">
      <c r="A119" s="8">
        <v>42610.602395833332</v>
      </c>
      <c r="B119" s="23" t="s">
        <v>112</v>
      </c>
      <c r="C119" s="23" t="s">
        <v>464</v>
      </c>
      <c r="D119" s="23">
        <v>880000</v>
      </c>
      <c r="E119" s="23" t="s">
        <v>267</v>
      </c>
      <c r="F119" s="23" t="str">
        <f t="shared" si="2"/>
        <v>rtdc.l.rtdc.4014:itc</v>
      </c>
      <c r="G119" s="8">
        <f t="shared" si="3"/>
        <v>42610.602395833332</v>
      </c>
    </row>
    <row r="120" spans="1:7" x14ac:dyDescent="0.25">
      <c r="A120" s="8">
        <v>42610.610034722224</v>
      </c>
      <c r="B120" s="23" t="s">
        <v>173</v>
      </c>
      <c r="C120" s="23" t="s">
        <v>465</v>
      </c>
      <c r="D120" s="23">
        <v>2100000</v>
      </c>
      <c r="E120" s="23" t="s">
        <v>137</v>
      </c>
      <c r="F120" s="23" t="str">
        <f t="shared" si="2"/>
        <v>rtdc.l.rtdc.4010:itc</v>
      </c>
      <c r="G120" s="8">
        <f t="shared" si="3"/>
        <v>42610.610034722224</v>
      </c>
    </row>
    <row r="121" spans="1:7" x14ac:dyDescent="0.25">
      <c r="A121" s="8">
        <v>42610.610532407409</v>
      </c>
      <c r="B121" s="23" t="s">
        <v>149</v>
      </c>
      <c r="C121" s="23" t="s">
        <v>466</v>
      </c>
      <c r="D121" s="23">
        <v>1280000</v>
      </c>
      <c r="E121" s="23" t="s">
        <v>345</v>
      </c>
      <c r="F121" s="23" t="str">
        <f t="shared" si="2"/>
        <v>rtdc.l.rtdc.4042:itc</v>
      </c>
      <c r="G121" s="8">
        <f t="shared" si="3"/>
        <v>42610.610532407409</v>
      </c>
    </row>
    <row r="122" spans="1:7" x14ac:dyDescent="0.25">
      <c r="A122" s="8">
        <v>42610.610937500001</v>
      </c>
      <c r="B122" s="28" t="s">
        <v>178</v>
      </c>
      <c r="C122" s="23" t="s">
        <v>467</v>
      </c>
      <c r="D122" s="23">
        <v>1140000</v>
      </c>
      <c r="E122" s="23" t="s">
        <v>442</v>
      </c>
      <c r="F122" s="23" t="str">
        <f t="shared" si="2"/>
        <v>rtdc.l.rtdc.4001:itc</v>
      </c>
      <c r="G122" s="8">
        <f t="shared" si="3"/>
        <v>42610.610937500001</v>
      </c>
    </row>
    <row r="123" spans="1:7" x14ac:dyDescent="0.25">
      <c r="A123" s="8">
        <v>42610.619293981479</v>
      </c>
      <c r="B123" s="23" t="s">
        <v>150</v>
      </c>
      <c r="C123" s="23" t="s">
        <v>468</v>
      </c>
      <c r="D123" s="23">
        <v>1770000</v>
      </c>
      <c r="E123" s="23" t="s">
        <v>436</v>
      </c>
      <c r="F123" s="23" t="str">
        <f t="shared" si="2"/>
        <v>rtdc.l.rtdc.4038:itc</v>
      </c>
      <c r="G123" s="8">
        <f t="shared" si="3"/>
        <v>42610.619293981479</v>
      </c>
    </row>
    <row r="124" spans="1:7" x14ac:dyDescent="0.25">
      <c r="A124" s="8">
        <v>42610.629953703705</v>
      </c>
      <c r="B124" s="23" t="s">
        <v>265</v>
      </c>
      <c r="C124" s="23" t="s">
        <v>469</v>
      </c>
      <c r="D124" s="23">
        <v>2020000</v>
      </c>
      <c r="E124" s="23" t="s">
        <v>258</v>
      </c>
      <c r="F124" s="23" t="str">
        <f t="shared" si="2"/>
        <v>rtdc.l.rtdc.4039:itc</v>
      </c>
      <c r="G124" s="8">
        <f t="shared" si="3"/>
        <v>42610.629953703705</v>
      </c>
    </row>
    <row r="125" spans="1:7" x14ac:dyDescent="0.25">
      <c r="A125" s="8">
        <v>42610.632604166669</v>
      </c>
      <c r="B125" s="23" t="s">
        <v>172</v>
      </c>
      <c r="C125" s="23" t="s">
        <v>470</v>
      </c>
      <c r="D125" s="23">
        <v>2100000</v>
      </c>
      <c r="E125" s="23" t="s">
        <v>137</v>
      </c>
      <c r="F125" s="23" t="str">
        <f t="shared" si="2"/>
        <v>rtdc.l.rtdc.4009:itc</v>
      </c>
      <c r="G125" s="8">
        <f t="shared" si="3"/>
        <v>42610.632604166669</v>
      </c>
    </row>
    <row r="126" spans="1:7" x14ac:dyDescent="0.25">
      <c r="A126" s="8">
        <v>42610.634027777778</v>
      </c>
      <c r="B126" s="23" t="s">
        <v>183</v>
      </c>
      <c r="C126" s="23" t="s">
        <v>471</v>
      </c>
      <c r="D126" s="23">
        <v>2040000</v>
      </c>
      <c r="E126" s="23" t="s">
        <v>241</v>
      </c>
      <c r="F126" s="23" t="str">
        <f t="shared" si="2"/>
        <v>rtdc.l.rtdc.4007:itc</v>
      </c>
      <c r="G126" s="8">
        <f t="shared" si="3"/>
        <v>42610.634027777778</v>
      </c>
    </row>
    <row r="127" spans="1:7" x14ac:dyDescent="0.25">
      <c r="A127" s="8">
        <v>42610.640543981484</v>
      </c>
      <c r="B127" s="23" t="s">
        <v>90</v>
      </c>
      <c r="C127" s="23" t="s">
        <v>472</v>
      </c>
      <c r="D127" s="23">
        <v>880000</v>
      </c>
      <c r="E127" s="23" t="s">
        <v>267</v>
      </c>
      <c r="F127" s="23" t="str">
        <f t="shared" si="2"/>
        <v>rtdc.l.rtdc.4013:itc</v>
      </c>
      <c r="G127" s="8">
        <f t="shared" si="3"/>
        <v>42610.640543981484</v>
      </c>
    </row>
    <row r="128" spans="1:7" x14ac:dyDescent="0.25">
      <c r="A128" s="8">
        <v>42610.643912037034</v>
      </c>
      <c r="B128" s="23" t="s">
        <v>182</v>
      </c>
      <c r="C128" s="23" t="s">
        <v>473</v>
      </c>
      <c r="D128" s="23">
        <v>1280000</v>
      </c>
      <c r="E128" s="23" t="s">
        <v>345</v>
      </c>
      <c r="F128" s="23" t="str">
        <f t="shared" si="2"/>
        <v>rtdc.l.rtdc.4041:itc</v>
      </c>
      <c r="G128" s="8">
        <f t="shared" si="3"/>
        <v>42610.643912037034</v>
      </c>
    </row>
    <row r="129" spans="1:7" x14ac:dyDescent="0.25">
      <c r="A129" s="8">
        <v>42610.646886574075</v>
      </c>
      <c r="B129" s="23" t="s">
        <v>177</v>
      </c>
      <c r="C129" s="23" t="s">
        <v>474</v>
      </c>
      <c r="D129" s="23">
        <v>1140000</v>
      </c>
      <c r="E129" s="23" t="s">
        <v>442</v>
      </c>
      <c r="F129" s="23" t="str">
        <f t="shared" si="2"/>
        <v>rtdc.l.rtdc.4002:itc</v>
      </c>
      <c r="G129" s="8">
        <f t="shared" si="3"/>
        <v>42610.646886574075</v>
      </c>
    </row>
    <row r="130" spans="1:7" x14ac:dyDescent="0.25">
      <c r="A130" s="8">
        <v>42610.651226851849</v>
      </c>
      <c r="B130" s="23" t="s">
        <v>173</v>
      </c>
      <c r="C130" s="23" t="s">
        <v>475</v>
      </c>
      <c r="D130" s="23">
        <v>2100000</v>
      </c>
      <c r="E130" s="23" t="s">
        <v>137</v>
      </c>
      <c r="F130" s="23" t="str">
        <f t="shared" ref="F130:F193" si="4">B130</f>
        <v>rtdc.l.rtdc.4010:itc</v>
      </c>
      <c r="G130" s="8">
        <f t="shared" ref="G130:G193" si="5">A130</f>
        <v>42610.651226851849</v>
      </c>
    </row>
    <row r="131" spans="1:7" x14ac:dyDescent="0.25">
      <c r="A131" s="8">
        <v>42610.658564814818</v>
      </c>
      <c r="B131" s="23" t="s">
        <v>143</v>
      </c>
      <c r="C131" s="23" t="s">
        <v>476</v>
      </c>
      <c r="D131" s="23">
        <v>1770000</v>
      </c>
      <c r="E131" s="23" t="s">
        <v>436</v>
      </c>
      <c r="F131" s="23" t="str">
        <f t="shared" si="4"/>
        <v>rtdc.l.rtdc.4037:itc</v>
      </c>
      <c r="G131" s="8">
        <f t="shared" si="5"/>
        <v>42610.658564814818</v>
      </c>
    </row>
    <row r="132" spans="1:7" x14ac:dyDescent="0.25">
      <c r="A132" s="8">
        <v>42610.658622685187</v>
      </c>
      <c r="B132" s="23" t="s">
        <v>186</v>
      </c>
      <c r="C132" s="23" t="s">
        <v>477</v>
      </c>
      <c r="D132" s="23">
        <v>1780000</v>
      </c>
      <c r="E132" s="23" t="s">
        <v>346</v>
      </c>
      <c r="F132" s="23" t="str">
        <f t="shared" si="4"/>
        <v>rtdc.l.rtdc.4003:itc</v>
      </c>
      <c r="G132" s="8">
        <f t="shared" si="5"/>
        <v>42610.658622685187</v>
      </c>
    </row>
    <row r="133" spans="1:7" x14ac:dyDescent="0.25">
      <c r="A133" s="8">
        <v>42610.663611111115</v>
      </c>
      <c r="B133" s="23" t="s">
        <v>261</v>
      </c>
      <c r="C133" s="23" t="s">
        <v>478</v>
      </c>
      <c r="D133" s="23">
        <v>2020000</v>
      </c>
      <c r="E133" s="23" t="s">
        <v>258</v>
      </c>
      <c r="F133" s="23" t="str">
        <f t="shared" si="4"/>
        <v>rtdc.l.rtdc.4040:itc</v>
      </c>
      <c r="G133" s="8">
        <f t="shared" si="5"/>
        <v>42610.663611111115</v>
      </c>
    </row>
    <row r="134" spans="1:7" x14ac:dyDescent="0.25">
      <c r="A134" s="8">
        <v>42610.66951388889</v>
      </c>
      <c r="B134" s="23" t="s">
        <v>168</v>
      </c>
      <c r="C134" s="23" t="s">
        <v>479</v>
      </c>
      <c r="D134" s="23">
        <v>2040000</v>
      </c>
      <c r="E134" s="23" t="s">
        <v>241</v>
      </c>
      <c r="F134" s="23" t="str">
        <f t="shared" si="4"/>
        <v>rtdc.l.rtdc.4008:itc</v>
      </c>
      <c r="G134" s="8">
        <f t="shared" si="5"/>
        <v>42610.66951388889</v>
      </c>
    </row>
    <row r="135" spans="1:7" x14ac:dyDescent="0.25">
      <c r="A135" s="8">
        <v>42610.674085648148</v>
      </c>
      <c r="B135" s="23" t="s">
        <v>112</v>
      </c>
      <c r="C135" s="23" t="s">
        <v>368</v>
      </c>
      <c r="D135" s="23">
        <v>880000</v>
      </c>
      <c r="E135" s="23" t="s">
        <v>267</v>
      </c>
      <c r="F135" s="23" t="str">
        <f t="shared" si="4"/>
        <v>rtdc.l.rtdc.4014:itc</v>
      </c>
      <c r="G135" s="8">
        <f t="shared" si="5"/>
        <v>42610.674085648148</v>
      </c>
    </row>
    <row r="136" spans="1:7" x14ac:dyDescent="0.25">
      <c r="A136" s="8">
        <v>42610.677245370367</v>
      </c>
      <c r="B136" s="23" t="s">
        <v>172</v>
      </c>
      <c r="C136" s="23" t="s">
        <v>369</v>
      </c>
      <c r="D136" s="23">
        <v>2100000</v>
      </c>
      <c r="E136" s="23" t="s">
        <v>137</v>
      </c>
      <c r="F136" s="23" t="str">
        <f t="shared" si="4"/>
        <v>rtdc.l.rtdc.4009:itc</v>
      </c>
      <c r="G136" s="8">
        <f t="shared" si="5"/>
        <v>42610.677245370367</v>
      </c>
    </row>
    <row r="137" spans="1:7" x14ac:dyDescent="0.25">
      <c r="A137" s="8">
        <v>42610.678483796299</v>
      </c>
      <c r="B137" s="23" t="s">
        <v>266</v>
      </c>
      <c r="C137" s="23" t="s">
        <v>480</v>
      </c>
      <c r="D137" s="23">
        <v>930000</v>
      </c>
      <c r="E137" s="23" t="s">
        <v>426</v>
      </c>
      <c r="F137" s="23" t="str">
        <f t="shared" si="4"/>
        <v>rtdc.l.rtdc.4028:itc</v>
      </c>
      <c r="G137" s="8">
        <f t="shared" si="5"/>
        <v>42610.678483796299</v>
      </c>
    </row>
    <row r="138" spans="1:7" x14ac:dyDescent="0.25">
      <c r="A138" s="8">
        <v>42610.679247685184</v>
      </c>
      <c r="B138" s="23" t="s">
        <v>178</v>
      </c>
      <c r="C138" s="23" t="s">
        <v>481</v>
      </c>
      <c r="D138" s="23">
        <v>1140000</v>
      </c>
      <c r="E138" s="23" t="s">
        <v>442</v>
      </c>
      <c r="F138" s="23" t="str">
        <f t="shared" si="4"/>
        <v>rtdc.l.rtdc.4001:itc</v>
      </c>
      <c r="G138" s="8">
        <f t="shared" si="5"/>
        <v>42610.679247685184</v>
      </c>
    </row>
    <row r="139" spans="1:7" x14ac:dyDescent="0.25">
      <c r="A139" s="8">
        <v>42610.679791666669</v>
      </c>
      <c r="B139" s="23" t="s">
        <v>266</v>
      </c>
      <c r="C139" s="23" t="s">
        <v>480</v>
      </c>
      <c r="D139" s="23">
        <v>930000</v>
      </c>
      <c r="E139" s="23" t="s">
        <v>426</v>
      </c>
      <c r="F139" s="23" t="str">
        <f t="shared" si="4"/>
        <v>rtdc.l.rtdc.4028:itc</v>
      </c>
      <c r="G139" s="8">
        <f t="shared" si="5"/>
        <v>42610.679791666669</v>
      </c>
    </row>
    <row r="140" spans="1:7" x14ac:dyDescent="0.25">
      <c r="A140" s="8">
        <v>42610.68109953704</v>
      </c>
      <c r="B140" s="23" t="s">
        <v>266</v>
      </c>
      <c r="C140" s="23" t="s">
        <v>480</v>
      </c>
      <c r="D140" s="23">
        <v>930000</v>
      </c>
      <c r="E140" s="23" t="s">
        <v>426</v>
      </c>
      <c r="F140" s="23" t="str">
        <f t="shared" si="4"/>
        <v>rtdc.l.rtdc.4028:itc</v>
      </c>
      <c r="G140" s="8">
        <f t="shared" si="5"/>
        <v>42610.68109953704</v>
      </c>
    </row>
    <row r="141" spans="1:7" x14ac:dyDescent="0.25">
      <c r="A141" s="8">
        <v>42610.682071759256</v>
      </c>
      <c r="B141" s="23" t="s">
        <v>266</v>
      </c>
      <c r="C141" s="23" t="s">
        <v>480</v>
      </c>
      <c r="D141" s="23">
        <v>930000</v>
      </c>
      <c r="E141" s="23" t="s">
        <v>426</v>
      </c>
      <c r="F141" s="23" t="str">
        <f t="shared" si="4"/>
        <v>rtdc.l.rtdc.4028:itc</v>
      </c>
      <c r="G141" s="8">
        <f t="shared" si="5"/>
        <v>42610.682071759256</v>
      </c>
    </row>
    <row r="142" spans="1:7" x14ac:dyDescent="0.25">
      <c r="A142" s="8">
        <v>42610.685289351852</v>
      </c>
      <c r="B142" s="23" t="s">
        <v>149</v>
      </c>
      <c r="C142" s="23" t="s">
        <v>482</v>
      </c>
      <c r="D142" s="23">
        <v>1280000</v>
      </c>
      <c r="E142" s="23" t="s">
        <v>345</v>
      </c>
      <c r="F142" s="23" t="str">
        <f t="shared" si="4"/>
        <v>rtdc.l.rtdc.4042:itc</v>
      </c>
      <c r="G142" s="8">
        <f t="shared" si="5"/>
        <v>42610.685289351852</v>
      </c>
    </row>
    <row r="143" spans="1:7" x14ac:dyDescent="0.25">
      <c r="A143" s="8">
        <v>42610.685381944444</v>
      </c>
      <c r="B143" s="23" t="s">
        <v>266</v>
      </c>
      <c r="C143" s="23" t="s">
        <v>453</v>
      </c>
      <c r="D143" s="23">
        <v>930000</v>
      </c>
      <c r="E143" s="23" t="s">
        <v>426</v>
      </c>
      <c r="F143" s="23" t="str">
        <f t="shared" si="4"/>
        <v>rtdc.l.rtdc.4028:itc</v>
      </c>
      <c r="G143" s="8">
        <f t="shared" si="5"/>
        <v>42610.685381944444</v>
      </c>
    </row>
    <row r="144" spans="1:7" x14ac:dyDescent="0.25">
      <c r="A144" s="8">
        <v>42610.691886574074</v>
      </c>
      <c r="B144" s="23" t="s">
        <v>203</v>
      </c>
      <c r="C144" s="23" t="s">
        <v>483</v>
      </c>
      <c r="D144" s="23">
        <v>1780000</v>
      </c>
      <c r="E144" s="23" t="s">
        <v>346</v>
      </c>
      <c r="F144" s="23" t="str">
        <f t="shared" si="4"/>
        <v>rtdc.l.rtdc.4004:itc</v>
      </c>
      <c r="G144" s="8">
        <f t="shared" si="5"/>
        <v>42610.691886574074</v>
      </c>
    </row>
    <row r="145" spans="1:7" x14ac:dyDescent="0.25">
      <c r="A145" s="8">
        <v>42610.693356481483</v>
      </c>
      <c r="B145" s="23" t="s">
        <v>203</v>
      </c>
      <c r="C145" s="23" t="s">
        <v>483</v>
      </c>
      <c r="D145" s="23">
        <v>1780000</v>
      </c>
      <c r="E145" s="23" t="s">
        <v>346</v>
      </c>
      <c r="F145" s="23" t="str">
        <f t="shared" si="4"/>
        <v>rtdc.l.rtdc.4004:itc</v>
      </c>
      <c r="G145" s="8">
        <f t="shared" si="5"/>
        <v>42610.693356481483</v>
      </c>
    </row>
    <row r="146" spans="1:7" x14ac:dyDescent="0.25">
      <c r="A146" s="8">
        <v>42610.693356481483</v>
      </c>
      <c r="B146" s="23" t="s">
        <v>173</v>
      </c>
      <c r="C146" s="23" t="s">
        <v>484</v>
      </c>
      <c r="D146" s="23">
        <v>2100000</v>
      </c>
      <c r="E146" s="23" t="s">
        <v>137</v>
      </c>
      <c r="F146" s="23" t="str">
        <f t="shared" si="4"/>
        <v>rtdc.l.rtdc.4010:itc</v>
      </c>
      <c r="G146" s="8">
        <f t="shared" si="5"/>
        <v>42610.693356481483</v>
      </c>
    </row>
    <row r="147" spans="1:7" x14ac:dyDescent="0.25">
      <c r="A147" s="8">
        <v>42610.694710648146</v>
      </c>
      <c r="B147" s="23" t="s">
        <v>150</v>
      </c>
      <c r="C147" s="23" t="s">
        <v>485</v>
      </c>
      <c r="D147" s="23">
        <v>1770000</v>
      </c>
      <c r="E147" s="23" t="s">
        <v>436</v>
      </c>
      <c r="F147" s="23" t="str">
        <f t="shared" si="4"/>
        <v>rtdc.l.rtdc.4038:itc</v>
      </c>
      <c r="G147" s="8">
        <f t="shared" si="5"/>
        <v>42610.694710648146</v>
      </c>
    </row>
    <row r="148" spans="1:7" x14ac:dyDescent="0.25">
      <c r="A148" s="8">
        <v>42610.69976851852</v>
      </c>
      <c r="B148" s="23" t="s">
        <v>266</v>
      </c>
      <c r="C148" s="23" t="s">
        <v>486</v>
      </c>
      <c r="D148" s="23">
        <v>930000</v>
      </c>
      <c r="E148" s="23" t="s">
        <v>426</v>
      </c>
      <c r="F148" s="23" t="str">
        <f t="shared" si="4"/>
        <v>rtdc.l.rtdc.4028:itc</v>
      </c>
      <c r="G148" s="8">
        <f t="shared" si="5"/>
        <v>42610.69976851852</v>
      </c>
    </row>
    <row r="149" spans="1:7" x14ac:dyDescent="0.25">
      <c r="A149" s="8">
        <v>42610.700162037036</v>
      </c>
      <c r="B149" s="23" t="s">
        <v>265</v>
      </c>
      <c r="C149" s="23" t="s">
        <v>487</v>
      </c>
      <c r="D149" s="23">
        <v>2020000</v>
      </c>
      <c r="E149" s="23" t="s">
        <v>258</v>
      </c>
      <c r="F149" s="23" t="str">
        <f t="shared" si="4"/>
        <v>rtdc.l.rtdc.4039:itc</v>
      </c>
      <c r="G149" s="8">
        <f t="shared" si="5"/>
        <v>42610.700162037036</v>
      </c>
    </row>
    <row r="150" spans="1:7" x14ac:dyDescent="0.25">
      <c r="A150" s="8">
        <v>42610.701273148145</v>
      </c>
      <c r="B150" s="23" t="s">
        <v>93</v>
      </c>
      <c r="C150" s="23" t="s">
        <v>486</v>
      </c>
      <c r="D150" s="23">
        <v>930000</v>
      </c>
      <c r="E150" s="23" t="s">
        <v>426</v>
      </c>
      <c r="F150" s="23" t="str">
        <f t="shared" si="4"/>
        <v>rtdc.l.rtdc.4027:itc</v>
      </c>
      <c r="G150" s="8">
        <f t="shared" si="5"/>
        <v>42610.701273148145</v>
      </c>
    </row>
    <row r="151" spans="1:7" x14ac:dyDescent="0.25">
      <c r="A151" s="8">
        <v>42610.704305555555</v>
      </c>
      <c r="B151" s="23" t="s">
        <v>266</v>
      </c>
      <c r="C151" s="23" t="s">
        <v>486</v>
      </c>
      <c r="D151" s="23">
        <v>930000</v>
      </c>
      <c r="E151" s="23" t="s">
        <v>426</v>
      </c>
      <c r="F151" s="23" t="str">
        <f t="shared" si="4"/>
        <v>rtdc.l.rtdc.4028:itc</v>
      </c>
      <c r="G151" s="8">
        <f t="shared" si="5"/>
        <v>42610.704305555555</v>
      </c>
    </row>
    <row r="152" spans="1:7" x14ac:dyDescent="0.25">
      <c r="A152" s="8">
        <v>42610.707743055558</v>
      </c>
      <c r="B152" s="23" t="s">
        <v>183</v>
      </c>
      <c r="C152" s="23" t="s">
        <v>488</v>
      </c>
      <c r="D152" s="23">
        <v>2040000</v>
      </c>
      <c r="E152" s="23" t="s">
        <v>241</v>
      </c>
      <c r="F152" s="23" t="str">
        <f t="shared" si="4"/>
        <v>rtdc.l.rtdc.4007:itc</v>
      </c>
      <c r="G152" s="8">
        <f t="shared" si="5"/>
        <v>42610.707743055558</v>
      </c>
    </row>
    <row r="153" spans="1:7" x14ac:dyDescent="0.25">
      <c r="A153" s="8">
        <v>42610.715405092589</v>
      </c>
      <c r="B153" s="23" t="s">
        <v>90</v>
      </c>
      <c r="C153" s="23" t="s">
        <v>489</v>
      </c>
      <c r="D153" s="23">
        <v>880000</v>
      </c>
      <c r="E153" s="23" t="s">
        <v>267</v>
      </c>
      <c r="F153" s="23" t="str">
        <f t="shared" si="4"/>
        <v>rtdc.l.rtdc.4013:itc</v>
      </c>
      <c r="G153" s="8">
        <f t="shared" si="5"/>
        <v>42610.715405092589</v>
      </c>
    </row>
    <row r="154" spans="1:7" x14ac:dyDescent="0.25">
      <c r="A154" s="8">
        <v>42610.71607638889</v>
      </c>
      <c r="B154" s="23" t="s">
        <v>182</v>
      </c>
      <c r="C154" s="23" t="s">
        <v>490</v>
      </c>
      <c r="D154" s="23">
        <v>1280000</v>
      </c>
      <c r="E154" s="23" t="s">
        <v>345</v>
      </c>
      <c r="F154" s="23" t="str">
        <f t="shared" si="4"/>
        <v>rtdc.l.rtdc.4041:itc</v>
      </c>
      <c r="G154" s="8">
        <f t="shared" si="5"/>
        <v>42610.71607638889</v>
      </c>
    </row>
    <row r="155" spans="1:7" x14ac:dyDescent="0.25">
      <c r="A155" s="8">
        <v>42610.717094907406</v>
      </c>
      <c r="B155" s="23" t="s">
        <v>177</v>
      </c>
      <c r="C155" s="23" t="s">
        <v>491</v>
      </c>
      <c r="D155" s="23">
        <v>1180000</v>
      </c>
      <c r="E155" s="23" t="s">
        <v>492</v>
      </c>
      <c r="F155" s="23" t="str">
        <f t="shared" si="4"/>
        <v>rtdc.l.rtdc.4002:itc</v>
      </c>
      <c r="G155" s="8">
        <f t="shared" si="5"/>
        <v>42610.717094907406</v>
      </c>
    </row>
    <row r="156" spans="1:7" x14ac:dyDescent="0.25">
      <c r="A156" s="8">
        <v>42610.719768518517</v>
      </c>
      <c r="B156" s="23" t="s">
        <v>172</v>
      </c>
      <c r="C156" s="23" t="s">
        <v>493</v>
      </c>
      <c r="D156" s="23">
        <v>2100000</v>
      </c>
      <c r="E156" s="23" t="s">
        <v>137</v>
      </c>
      <c r="F156" s="23" t="str">
        <f t="shared" si="4"/>
        <v>rtdc.l.rtdc.4009:itc</v>
      </c>
      <c r="G156" s="8">
        <f t="shared" si="5"/>
        <v>42610.719768518517</v>
      </c>
    </row>
    <row r="157" spans="1:7" x14ac:dyDescent="0.25">
      <c r="A157" s="8">
        <v>42610.725162037037</v>
      </c>
      <c r="B157" s="23" t="s">
        <v>186</v>
      </c>
      <c r="C157" s="23" t="s">
        <v>494</v>
      </c>
      <c r="D157" s="23">
        <v>1140000</v>
      </c>
      <c r="E157" s="23" t="s">
        <v>442</v>
      </c>
      <c r="F157" s="23" t="str">
        <f t="shared" si="4"/>
        <v>rtdc.l.rtdc.4003:itc</v>
      </c>
      <c r="G157" s="8">
        <f t="shared" si="5"/>
        <v>42610.725162037037</v>
      </c>
    </row>
    <row r="158" spans="1:7" x14ac:dyDescent="0.25">
      <c r="A158" s="8">
        <v>42610.731180555558</v>
      </c>
      <c r="B158" s="23" t="s">
        <v>93</v>
      </c>
      <c r="C158" s="23" t="s">
        <v>495</v>
      </c>
      <c r="D158" s="23">
        <v>1780000</v>
      </c>
      <c r="E158" s="23" t="s">
        <v>346</v>
      </c>
      <c r="F158" s="23" t="str">
        <f t="shared" si="4"/>
        <v>rtdc.l.rtdc.4027:itc</v>
      </c>
      <c r="G158" s="8">
        <f t="shared" si="5"/>
        <v>42610.731180555558</v>
      </c>
    </row>
    <row r="159" spans="1:7" x14ac:dyDescent="0.25">
      <c r="A159" s="8">
        <v>42610.731909722221</v>
      </c>
      <c r="B159" s="23" t="s">
        <v>143</v>
      </c>
      <c r="C159" s="23" t="s">
        <v>496</v>
      </c>
      <c r="D159" s="23">
        <v>1770000</v>
      </c>
      <c r="E159" s="23" t="s">
        <v>436</v>
      </c>
      <c r="F159" s="23" t="str">
        <f t="shared" si="4"/>
        <v>rtdc.l.rtdc.4037:itc</v>
      </c>
      <c r="G159" s="8">
        <f t="shared" si="5"/>
        <v>42610.731909722221</v>
      </c>
    </row>
    <row r="160" spans="1:7" x14ac:dyDescent="0.25">
      <c r="A160" s="8">
        <v>42610.734270833331</v>
      </c>
      <c r="B160" s="23" t="s">
        <v>256</v>
      </c>
      <c r="C160" s="23" t="s">
        <v>371</v>
      </c>
      <c r="D160" s="23">
        <v>2090000</v>
      </c>
      <c r="E160" s="23" t="s">
        <v>196</v>
      </c>
      <c r="F160" s="23" t="str">
        <f t="shared" si="4"/>
        <v>rtdc.l.rtdc.4019:itc</v>
      </c>
      <c r="G160" s="8">
        <f t="shared" si="5"/>
        <v>42610.734270833331</v>
      </c>
    </row>
    <row r="161" spans="1:7" x14ac:dyDescent="0.25">
      <c r="A161" s="8">
        <v>42610.734502314815</v>
      </c>
      <c r="B161" s="23" t="s">
        <v>173</v>
      </c>
      <c r="C161" s="23" t="s">
        <v>497</v>
      </c>
      <c r="D161" s="23">
        <v>2100000</v>
      </c>
      <c r="E161" s="23" t="s">
        <v>137</v>
      </c>
      <c r="F161" s="23" t="str">
        <f t="shared" si="4"/>
        <v>rtdc.l.rtdc.4010:itc</v>
      </c>
      <c r="G161" s="8">
        <f t="shared" si="5"/>
        <v>42610.734502314815</v>
      </c>
    </row>
    <row r="162" spans="1:7" x14ac:dyDescent="0.25">
      <c r="A162" s="8">
        <v>42610.734965277778</v>
      </c>
      <c r="B162" s="23" t="s">
        <v>261</v>
      </c>
      <c r="C162" s="23" t="s">
        <v>370</v>
      </c>
      <c r="D162" s="23">
        <v>1290000</v>
      </c>
      <c r="E162" s="23" t="s">
        <v>498</v>
      </c>
      <c r="F162" s="23" t="str">
        <f t="shared" si="4"/>
        <v>rtdc.l.rtdc.4040:itc</v>
      </c>
      <c r="G162" s="8">
        <f t="shared" si="5"/>
        <v>42610.734965277778</v>
      </c>
    </row>
    <row r="163" spans="1:7" x14ac:dyDescent="0.25">
      <c r="A163" s="8">
        <v>42610.745196759257</v>
      </c>
      <c r="B163" s="23" t="s">
        <v>168</v>
      </c>
      <c r="C163" s="23" t="s">
        <v>499</v>
      </c>
      <c r="D163" s="23">
        <v>2040000</v>
      </c>
      <c r="E163" s="23" t="s">
        <v>241</v>
      </c>
      <c r="F163" s="23" t="str">
        <f t="shared" si="4"/>
        <v>rtdc.l.rtdc.4008:itc</v>
      </c>
      <c r="G163" s="8">
        <f t="shared" si="5"/>
        <v>42610.745196759257</v>
      </c>
    </row>
    <row r="164" spans="1:7" x14ac:dyDescent="0.25">
      <c r="A164" s="8">
        <v>42610.745567129627</v>
      </c>
      <c r="B164" s="23" t="s">
        <v>112</v>
      </c>
      <c r="C164" s="23" t="s">
        <v>372</v>
      </c>
      <c r="D164" s="23">
        <v>2020000</v>
      </c>
      <c r="E164" s="23" t="s">
        <v>258</v>
      </c>
      <c r="F164" s="23" t="str">
        <f t="shared" si="4"/>
        <v>rtdc.l.rtdc.4014:itc</v>
      </c>
      <c r="G164" s="8">
        <f t="shared" si="5"/>
        <v>42610.745567129627</v>
      </c>
    </row>
    <row r="165" spans="1:7" x14ac:dyDescent="0.25">
      <c r="A165" s="8">
        <v>42610.753703703704</v>
      </c>
      <c r="B165" s="23" t="s">
        <v>178</v>
      </c>
      <c r="C165" s="23" t="s">
        <v>500</v>
      </c>
      <c r="D165" s="23">
        <v>1180000</v>
      </c>
      <c r="E165" s="23" t="s">
        <v>492</v>
      </c>
      <c r="F165" s="23" t="str">
        <f t="shared" si="4"/>
        <v>rtdc.l.rtdc.4001:itc</v>
      </c>
      <c r="G165" s="8">
        <f t="shared" si="5"/>
        <v>42610.753703703704</v>
      </c>
    </row>
    <row r="166" spans="1:7" x14ac:dyDescent="0.25">
      <c r="A166" s="8">
        <v>42610.756979166668</v>
      </c>
      <c r="B166" s="23" t="s">
        <v>149</v>
      </c>
      <c r="C166" s="23" t="s">
        <v>501</v>
      </c>
      <c r="D166" s="23">
        <v>1810000</v>
      </c>
      <c r="E166" s="23" t="s">
        <v>502</v>
      </c>
      <c r="F166" s="23" t="str">
        <f t="shared" si="4"/>
        <v>rtdc.l.rtdc.4042:itc</v>
      </c>
      <c r="G166" s="8">
        <f t="shared" si="5"/>
        <v>42610.756979166668</v>
      </c>
    </row>
    <row r="167" spans="1:7" x14ac:dyDescent="0.25">
      <c r="A167" s="8">
        <v>42610.761400462965</v>
      </c>
      <c r="B167" s="23" t="s">
        <v>172</v>
      </c>
      <c r="C167" s="23" t="s">
        <v>503</v>
      </c>
      <c r="D167" s="23">
        <v>2100000</v>
      </c>
      <c r="E167" s="23" t="s">
        <v>137</v>
      </c>
      <c r="F167" s="23" t="str">
        <f t="shared" si="4"/>
        <v>rtdc.l.rtdc.4009:itc</v>
      </c>
      <c r="G167" s="8">
        <f t="shared" si="5"/>
        <v>42610.761400462965</v>
      </c>
    </row>
    <row r="168" spans="1:7" x14ac:dyDescent="0.25">
      <c r="A168" s="8">
        <v>42610.762025462966</v>
      </c>
      <c r="B168" s="23" t="s">
        <v>203</v>
      </c>
      <c r="C168" s="23" t="s">
        <v>504</v>
      </c>
      <c r="D168" s="23">
        <v>1140000</v>
      </c>
      <c r="E168" s="23" t="s">
        <v>442</v>
      </c>
      <c r="F168" s="23" t="str">
        <f t="shared" si="4"/>
        <v>rtdc.l.rtdc.4004:itc</v>
      </c>
      <c r="G168" s="8">
        <f t="shared" si="5"/>
        <v>42610.762025462966</v>
      </c>
    </row>
    <row r="169" spans="1:7" x14ac:dyDescent="0.25">
      <c r="A169" s="8">
        <v>42610.76935185185</v>
      </c>
      <c r="B169" s="23" t="s">
        <v>150</v>
      </c>
      <c r="C169" s="23" t="s">
        <v>505</v>
      </c>
      <c r="D169" s="23">
        <v>1800000</v>
      </c>
      <c r="E169" s="23" t="s">
        <v>175</v>
      </c>
      <c r="F169" s="23" t="str">
        <f t="shared" si="4"/>
        <v>rtdc.l.rtdc.4038:itc</v>
      </c>
      <c r="G169" s="8">
        <f t="shared" si="5"/>
        <v>42610.76935185185</v>
      </c>
    </row>
    <row r="170" spans="1:7" x14ac:dyDescent="0.25">
      <c r="A170" s="8">
        <v>42610.775543981479</v>
      </c>
      <c r="B170" s="23" t="s">
        <v>265</v>
      </c>
      <c r="C170" s="23" t="s">
        <v>373</v>
      </c>
      <c r="D170" s="23">
        <v>1290000</v>
      </c>
      <c r="E170" s="23" t="s">
        <v>498</v>
      </c>
      <c r="F170" s="23" t="str">
        <f t="shared" si="4"/>
        <v>rtdc.l.rtdc.4039:itc</v>
      </c>
      <c r="G170" s="8">
        <f t="shared" si="5"/>
        <v>42610.775543981479</v>
      </c>
    </row>
    <row r="171" spans="1:7" x14ac:dyDescent="0.25">
      <c r="A171" s="8">
        <v>42610.776180555556</v>
      </c>
      <c r="B171" s="23" t="s">
        <v>173</v>
      </c>
      <c r="C171" s="23" t="s">
        <v>506</v>
      </c>
      <c r="D171" s="23">
        <v>2100000</v>
      </c>
      <c r="E171" s="23" t="s">
        <v>137</v>
      </c>
      <c r="F171" s="23" t="str">
        <f t="shared" si="4"/>
        <v>rtdc.l.rtdc.4010:itc</v>
      </c>
      <c r="G171" s="8">
        <f t="shared" si="5"/>
        <v>42610.776180555556</v>
      </c>
    </row>
    <row r="172" spans="1:7" x14ac:dyDescent="0.25">
      <c r="A172" s="8">
        <v>42610.777812499997</v>
      </c>
      <c r="B172" s="23" t="s">
        <v>183</v>
      </c>
      <c r="C172" s="23" t="s">
        <v>507</v>
      </c>
      <c r="D172" s="23">
        <v>2040000</v>
      </c>
      <c r="E172" s="23" t="s">
        <v>241</v>
      </c>
      <c r="F172" s="23" t="str">
        <f t="shared" si="4"/>
        <v>rtdc.l.rtdc.4007:itc</v>
      </c>
      <c r="G172" s="8">
        <f t="shared" si="5"/>
        <v>42610.777812499997</v>
      </c>
    </row>
    <row r="173" spans="1:7" x14ac:dyDescent="0.25">
      <c r="A173" s="8">
        <v>42610.785277777781</v>
      </c>
      <c r="B173" s="23" t="s">
        <v>90</v>
      </c>
      <c r="C173" s="23" t="s">
        <v>508</v>
      </c>
      <c r="D173" s="23">
        <v>2020000</v>
      </c>
      <c r="E173" s="23" t="s">
        <v>258</v>
      </c>
      <c r="F173" s="23" t="str">
        <f t="shared" si="4"/>
        <v>rtdc.l.rtdc.4013:itc</v>
      </c>
      <c r="G173" s="8">
        <f t="shared" si="5"/>
        <v>42610.785277777781</v>
      </c>
    </row>
    <row r="174" spans="1:7" x14ac:dyDescent="0.25">
      <c r="A174" s="8">
        <v>42610.786874999998</v>
      </c>
      <c r="B174" s="23" t="s">
        <v>177</v>
      </c>
      <c r="C174" s="23" t="s">
        <v>509</v>
      </c>
      <c r="D174" s="23">
        <v>1180000</v>
      </c>
      <c r="E174" s="23" t="s">
        <v>492</v>
      </c>
      <c r="F174" s="23" t="str">
        <f t="shared" si="4"/>
        <v>rtdc.l.rtdc.4002:itc</v>
      </c>
      <c r="G174" s="8">
        <f t="shared" si="5"/>
        <v>42610.786874999998</v>
      </c>
    </row>
    <row r="175" spans="1:7" x14ac:dyDescent="0.25">
      <c r="A175" s="8">
        <v>42610.788043981483</v>
      </c>
      <c r="B175" s="23" t="s">
        <v>182</v>
      </c>
      <c r="C175" s="23" t="s">
        <v>510</v>
      </c>
      <c r="D175" s="23">
        <v>1810000</v>
      </c>
      <c r="E175" s="23" t="s">
        <v>502</v>
      </c>
      <c r="F175" s="23" t="str">
        <f t="shared" si="4"/>
        <v>rtdc.l.rtdc.4041:itc</v>
      </c>
      <c r="G175" s="8">
        <f t="shared" si="5"/>
        <v>42610.788043981483</v>
      </c>
    </row>
    <row r="176" spans="1:7" x14ac:dyDescent="0.25">
      <c r="A176" s="8">
        <v>42610.801759259259</v>
      </c>
      <c r="B176" s="23" t="s">
        <v>172</v>
      </c>
      <c r="C176" s="23" t="s">
        <v>511</v>
      </c>
      <c r="D176" s="23">
        <v>2100000</v>
      </c>
      <c r="E176" s="23" t="s">
        <v>137</v>
      </c>
      <c r="F176" s="23" t="str">
        <f t="shared" si="4"/>
        <v>rtdc.l.rtdc.4009:itc</v>
      </c>
      <c r="G176" s="8">
        <f t="shared" si="5"/>
        <v>42610.801759259259</v>
      </c>
    </row>
    <row r="177" spans="1:7" x14ac:dyDescent="0.25">
      <c r="A177" s="8">
        <v>42610.809490740743</v>
      </c>
      <c r="B177" s="23" t="s">
        <v>143</v>
      </c>
      <c r="C177" s="23" t="s">
        <v>512</v>
      </c>
      <c r="D177" s="23">
        <v>1800000</v>
      </c>
      <c r="E177" s="23" t="s">
        <v>175</v>
      </c>
      <c r="F177" s="23" t="str">
        <f t="shared" si="4"/>
        <v>rtdc.l.rtdc.4037:itc</v>
      </c>
      <c r="G177" s="8">
        <f t="shared" si="5"/>
        <v>42610.809490740743</v>
      </c>
    </row>
    <row r="178" spans="1:7" x14ac:dyDescent="0.25">
      <c r="A178" s="8">
        <v>42610.810127314813</v>
      </c>
      <c r="B178" s="23" t="s">
        <v>261</v>
      </c>
      <c r="C178" s="23" t="s">
        <v>513</v>
      </c>
      <c r="D178" s="23">
        <v>1290000</v>
      </c>
      <c r="E178" s="23" t="s">
        <v>498</v>
      </c>
      <c r="F178" s="23" t="str">
        <f t="shared" si="4"/>
        <v>rtdc.l.rtdc.4040:itc</v>
      </c>
      <c r="G178" s="8">
        <f t="shared" si="5"/>
        <v>42610.810127314813</v>
      </c>
    </row>
    <row r="179" spans="1:7" x14ac:dyDescent="0.25">
      <c r="A179" s="8">
        <v>42610.817523148151</v>
      </c>
      <c r="B179" s="23" t="s">
        <v>112</v>
      </c>
      <c r="C179" s="23" t="s">
        <v>514</v>
      </c>
      <c r="D179" s="23">
        <v>2020000</v>
      </c>
      <c r="E179" s="23" t="s">
        <v>258</v>
      </c>
      <c r="F179" s="23" t="str">
        <f t="shared" si="4"/>
        <v>rtdc.l.rtdc.4014:itc</v>
      </c>
      <c r="G179" s="8">
        <f t="shared" si="5"/>
        <v>42610.817523148151</v>
      </c>
    </row>
    <row r="180" spans="1:7" x14ac:dyDescent="0.25">
      <c r="A180" s="8">
        <v>42610.818124999998</v>
      </c>
      <c r="B180" s="23" t="s">
        <v>173</v>
      </c>
      <c r="C180" s="23" t="s">
        <v>515</v>
      </c>
      <c r="D180" s="23">
        <v>2100000</v>
      </c>
      <c r="E180" s="23" t="s">
        <v>137</v>
      </c>
      <c r="F180" s="23" t="str">
        <f t="shared" si="4"/>
        <v>rtdc.l.rtdc.4010:itc</v>
      </c>
      <c r="G180" s="8">
        <f t="shared" si="5"/>
        <v>42610.818124999998</v>
      </c>
    </row>
    <row r="181" spans="1:7" x14ac:dyDescent="0.25">
      <c r="A181" s="8">
        <v>42610.819247685184</v>
      </c>
      <c r="B181" s="23" t="s">
        <v>173</v>
      </c>
      <c r="C181" s="23" t="s">
        <v>516</v>
      </c>
      <c r="D181" s="23">
        <v>2100000</v>
      </c>
      <c r="E181" s="23" t="s">
        <v>137</v>
      </c>
      <c r="F181" s="23" t="str">
        <f t="shared" si="4"/>
        <v>rtdc.l.rtdc.4010:itc</v>
      </c>
      <c r="G181" s="8">
        <f t="shared" si="5"/>
        <v>42610.819247685184</v>
      </c>
    </row>
    <row r="182" spans="1:7" x14ac:dyDescent="0.25">
      <c r="A182" s="8">
        <v>42610.825474537036</v>
      </c>
      <c r="B182" s="23" t="s">
        <v>178</v>
      </c>
      <c r="C182" s="23" t="s">
        <v>517</v>
      </c>
      <c r="D182" s="23">
        <v>1180000</v>
      </c>
      <c r="E182" s="23" t="s">
        <v>492</v>
      </c>
      <c r="F182" s="23" t="str">
        <f t="shared" si="4"/>
        <v>rtdc.l.rtdc.4001:itc</v>
      </c>
      <c r="G182" s="8">
        <f t="shared" si="5"/>
        <v>42610.825474537036</v>
      </c>
    </row>
    <row r="183" spans="1:7" x14ac:dyDescent="0.25">
      <c r="A183" s="8">
        <v>42610.828206018516</v>
      </c>
      <c r="B183" s="23" t="s">
        <v>149</v>
      </c>
      <c r="C183" s="23" t="s">
        <v>518</v>
      </c>
      <c r="D183" s="23">
        <v>1810000</v>
      </c>
      <c r="E183" s="23" t="s">
        <v>502</v>
      </c>
      <c r="F183" s="23" t="str">
        <f t="shared" si="4"/>
        <v>rtdc.l.rtdc.4042:itc</v>
      </c>
      <c r="G183" s="8">
        <f t="shared" si="5"/>
        <v>42610.828206018516</v>
      </c>
    </row>
    <row r="184" spans="1:7" x14ac:dyDescent="0.25">
      <c r="A184" s="8">
        <v>42610.842557870368</v>
      </c>
      <c r="B184" s="23" t="s">
        <v>172</v>
      </c>
      <c r="C184" s="23" t="s">
        <v>515</v>
      </c>
      <c r="D184" s="23">
        <v>2100000</v>
      </c>
      <c r="E184" s="23" t="s">
        <v>137</v>
      </c>
      <c r="F184" s="23" t="str">
        <f t="shared" si="4"/>
        <v>rtdc.l.rtdc.4009:itc</v>
      </c>
      <c r="G184" s="8">
        <f t="shared" si="5"/>
        <v>42610.842557870368</v>
      </c>
    </row>
    <row r="185" spans="1:7" x14ac:dyDescent="0.25">
      <c r="A185" s="8">
        <v>42610.846400462964</v>
      </c>
      <c r="B185" s="23" t="s">
        <v>265</v>
      </c>
      <c r="C185" s="23" t="s">
        <v>519</v>
      </c>
      <c r="D185" s="23">
        <v>1290000</v>
      </c>
      <c r="E185" s="23" t="s">
        <v>498</v>
      </c>
      <c r="F185" s="23" t="str">
        <f t="shared" si="4"/>
        <v>rtdc.l.rtdc.4039:itc</v>
      </c>
      <c r="G185" s="8">
        <f t="shared" si="5"/>
        <v>42610.846400462964</v>
      </c>
    </row>
    <row r="186" spans="1:7" x14ac:dyDescent="0.25">
      <c r="A186" s="8">
        <v>42610.852407407408</v>
      </c>
      <c r="B186" s="23" t="s">
        <v>150</v>
      </c>
      <c r="C186" s="23" t="s">
        <v>520</v>
      </c>
      <c r="D186" s="23">
        <v>1800000</v>
      </c>
      <c r="E186" s="23" t="s">
        <v>175</v>
      </c>
      <c r="F186" s="23" t="str">
        <f t="shared" si="4"/>
        <v>rtdc.l.rtdc.4038:itc</v>
      </c>
      <c r="G186" s="8">
        <f t="shared" si="5"/>
        <v>42610.852407407408</v>
      </c>
    </row>
    <row r="187" spans="1:7" x14ac:dyDescent="0.25">
      <c r="A187" s="8">
        <v>42610.859942129631</v>
      </c>
      <c r="B187" s="23" t="s">
        <v>182</v>
      </c>
      <c r="C187" s="23" t="s">
        <v>521</v>
      </c>
      <c r="D187" s="23">
        <v>1810000</v>
      </c>
      <c r="E187" s="23" t="s">
        <v>502</v>
      </c>
      <c r="F187" s="23" t="str">
        <f t="shared" si="4"/>
        <v>rtdc.l.rtdc.4041:itc</v>
      </c>
      <c r="G187" s="8">
        <f t="shared" si="5"/>
        <v>42610.859942129631</v>
      </c>
    </row>
    <row r="188" spans="1:7" x14ac:dyDescent="0.25">
      <c r="A188" s="8">
        <v>42610.860601851855</v>
      </c>
      <c r="B188" s="23" t="s">
        <v>173</v>
      </c>
      <c r="C188" s="23" t="s">
        <v>522</v>
      </c>
      <c r="D188" s="23">
        <v>2100000</v>
      </c>
      <c r="E188" s="23" t="s">
        <v>137</v>
      </c>
      <c r="F188" s="23" t="str">
        <f t="shared" si="4"/>
        <v>rtdc.l.rtdc.4010:itc</v>
      </c>
      <c r="G188" s="8">
        <f t="shared" si="5"/>
        <v>42610.860601851855</v>
      </c>
    </row>
    <row r="189" spans="1:7" x14ac:dyDescent="0.25">
      <c r="A189" s="8">
        <v>42610.86755787037</v>
      </c>
      <c r="B189" s="23" t="s">
        <v>177</v>
      </c>
      <c r="C189" s="23" t="s">
        <v>523</v>
      </c>
      <c r="D189" s="23">
        <v>1180000</v>
      </c>
      <c r="E189" s="23" t="s">
        <v>492</v>
      </c>
      <c r="F189" s="23" t="str">
        <f t="shared" si="4"/>
        <v>rtdc.l.rtdc.4002:itc</v>
      </c>
      <c r="G189" s="8">
        <f t="shared" si="5"/>
        <v>42610.86755787037</v>
      </c>
    </row>
    <row r="190" spans="1:7" x14ac:dyDescent="0.25">
      <c r="A190" s="8">
        <v>42610.886932870373</v>
      </c>
      <c r="B190" s="23" t="s">
        <v>172</v>
      </c>
      <c r="C190" s="23" t="s">
        <v>374</v>
      </c>
      <c r="D190" s="23">
        <v>2100000</v>
      </c>
      <c r="E190" s="23" t="s">
        <v>137</v>
      </c>
      <c r="F190" s="23" t="str">
        <f t="shared" si="4"/>
        <v>rtdc.l.rtdc.4009:itc</v>
      </c>
      <c r="G190" s="8">
        <f t="shared" si="5"/>
        <v>42610.886932870373</v>
      </c>
    </row>
    <row r="191" spans="1:7" x14ac:dyDescent="0.25">
      <c r="A191" s="8">
        <v>42610.892094907409</v>
      </c>
      <c r="B191" s="23" t="s">
        <v>143</v>
      </c>
      <c r="C191" s="23" t="s">
        <v>524</v>
      </c>
      <c r="D191" s="23">
        <v>1800000</v>
      </c>
      <c r="E191" s="23" t="s">
        <v>175</v>
      </c>
      <c r="F191" s="23" t="str">
        <f t="shared" si="4"/>
        <v>rtdc.l.rtdc.4037:itc</v>
      </c>
      <c r="G191" s="8">
        <f t="shared" si="5"/>
        <v>42610.892094907409</v>
      </c>
    </row>
    <row r="192" spans="1:7" x14ac:dyDescent="0.25">
      <c r="A192" s="8">
        <v>42610.894305555557</v>
      </c>
      <c r="B192" s="23" t="s">
        <v>261</v>
      </c>
      <c r="C192" s="23" t="s">
        <v>525</v>
      </c>
      <c r="D192" s="23">
        <v>1290000</v>
      </c>
      <c r="E192" s="23" t="s">
        <v>498</v>
      </c>
      <c r="F192" s="23" t="str">
        <f t="shared" si="4"/>
        <v>rtdc.l.rtdc.4040:itc</v>
      </c>
      <c r="G192" s="8">
        <f t="shared" si="5"/>
        <v>42610.894305555557</v>
      </c>
    </row>
    <row r="193" spans="1:7" x14ac:dyDescent="0.25">
      <c r="A193" s="8">
        <v>42610.900648148148</v>
      </c>
      <c r="B193" s="23" t="s">
        <v>173</v>
      </c>
      <c r="C193" s="23" t="s">
        <v>526</v>
      </c>
      <c r="D193" s="23">
        <v>2100000</v>
      </c>
      <c r="E193" s="23" t="s">
        <v>137</v>
      </c>
      <c r="F193" s="23" t="str">
        <f t="shared" si="4"/>
        <v>rtdc.l.rtdc.4010:itc</v>
      </c>
      <c r="G193" s="8">
        <f t="shared" si="5"/>
        <v>42610.900648148148</v>
      </c>
    </row>
    <row r="194" spans="1:7" x14ac:dyDescent="0.25">
      <c r="A194" s="8">
        <v>42610.904444444444</v>
      </c>
      <c r="B194" s="23" t="s">
        <v>149</v>
      </c>
      <c r="C194" s="23" t="s">
        <v>527</v>
      </c>
      <c r="D194" s="23">
        <v>1810000</v>
      </c>
      <c r="E194" s="23" t="s">
        <v>502</v>
      </c>
      <c r="F194" s="23" t="str">
        <f t="shared" ref="F194:F235" si="6">B194</f>
        <v>rtdc.l.rtdc.4042:itc</v>
      </c>
      <c r="G194" s="8">
        <f t="shared" ref="G194:G235" si="7">A194</f>
        <v>42610.904444444444</v>
      </c>
    </row>
    <row r="195" spans="1:7" x14ac:dyDescent="0.25">
      <c r="A195" s="8">
        <v>42610.90861111111</v>
      </c>
      <c r="B195" s="23" t="s">
        <v>178</v>
      </c>
      <c r="C195" s="23" t="s">
        <v>528</v>
      </c>
      <c r="D195" s="23">
        <v>1180000</v>
      </c>
      <c r="E195" s="23" t="s">
        <v>492</v>
      </c>
      <c r="F195" s="23" t="str">
        <f t="shared" si="6"/>
        <v>rtdc.l.rtdc.4001:itc</v>
      </c>
      <c r="G195" s="8">
        <f t="shared" si="7"/>
        <v>42610.90861111111</v>
      </c>
    </row>
    <row r="196" spans="1:7" x14ac:dyDescent="0.25">
      <c r="A196" s="8">
        <v>42610.928483796299</v>
      </c>
      <c r="B196" s="23" t="s">
        <v>172</v>
      </c>
      <c r="C196" s="23" t="s">
        <v>529</v>
      </c>
      <c r="D196" s="23">
        <v>2100000</v>
      </c>
      <c r="E196" s="23" t="s">
        <v>137</v>
      </c>
      <c r="F196" s="23" t="str">
        <f t="shared" si="6"/>
        <v>rtdc.l.rtdc.4009:itc</v>
      </c>
      <c r="G196" s="8">
        <f t="shared" si="7"/>
        <v>42610.928483796299</v>
      </c>
    </row>
    <row r="197" spans="1:7" x14ac:dyDescent="0.25">
      <c r="A197" s="8">
        <v>42610.930960648147</v>
      </c>
      <c r="B197" s="23" t="s">
        <v>265</v>
      </c>
      <c r="C197" s="23" t="s">
        <v>530</v>
      </c>
      <c r="D197" s="23">
        <v>1290000</v>
      </c>
      <c r="E197" s="23" t="s">
        <v>498</v>
      </c>
      <c r="F197" s="23" t="str">
        <f t="shared" si="6"/>
        <v>rtdc.l.rtdc.4039:itc</v>
      </c>
      <c r="G197" s="8">
        <f t="shared" si="7"/>
        <v>42610.930960648147</v>
      </c>
    </row>
    <row r="198" spans="1:7" x14ac:dyDescent="0.25">
      <c r="A198" s="8">
        <v>42610.936481481483</v>
      </c>
      <c r="B198" s="23" t="s">
        <v>150</v>
      </c>
      <c r="C198" s="23" t="s">
        <v>531</v>
      </c>
      <c r="D198" s="23">
        <v>1800000</v>
      </c>
      <c r="E198" s="23" t="s">
        <v>175</v>
      </c>
      <c r="F198" s="23" t="str">
        <f t="shared" si="6"/>
        <v>rtdc.l.rtdc.4038:itc</v>
      </c>
      <c r="G198" s="8">
        <f t="shared" si="7"/>
        <v>42610.936481481483</v>
      </c>
    </row>
    <row r="199" spans="1:7" x14ac:dyDescent="0.25">
      <c r="A199" s="8">
        <v>42610.943101851852</v>
      </c>
      <c r="B199" s="23" t="s">
        <v>173</v>
      </c>
      <c r="C199" s="23" t="s">
        <v>532</v>
      </c>
      <c r="D199" s="23">
        <v>2100000</v>
      </c>
      <c r="E199" s="23" t="s">
        <v>137</v>
      </c>
      <c r="F199" s="23" t="str">
        <f t="shared" si="6"/>
        <v>rtdc.l.rtdc.4010:itc</v>
      </c>
      <c r="G199" s="8">
        <f t="shared" si="7"/>
        <v>42610.943101851852</v>
      </c>
    </row>
    <row r="200" spans="1:7" x14ac:dyDescent="0.25">
      <c r="A200" s="8">
        <v>42610.952060185184</v>
      </c>
      <c r="B200" s="23" t="s">
        <v>182</v>
      </c>
      <c r="C200" s="23" t="s">
        <v>533</v>
      </c>
      <c r="D200" s="23">
        <v>1810000</v>
      </c>
      <c r="E200" s="23" t="s">
        <v>502</v>
      </c>
      <c r="F200" s="23" t="str">
        <f t="shared" si="6"/>
        <v>rtdc.l.rtdc.4041:itc</v>
      </c>
      <c r="G200" s="8">
        <f t="shared" si="7"/>
        <v>42610.952060185184</v>
      </c>
    </row>
    <row r="201" spans="1:7" x14ac:dyDescent="0.25">
      <c r="A201" s="8">
        <v>42610.956041666665</v>
      </c>
      <c r="B201" s="23" t="s">
        <v>177</v>
      </c>
      <c r="C201" s="23" t="s">
        <v>534</v>
      </c>
      <c r="D201" s="23">
        <v>1180000</v>
      </c>
      <c r="E201" s="23" t="s">
        <v>492</v>
      </c>
      <c r="F201" s="23" t="str">
        <f t="shared" si="6"/>
        <v>rtdc.l.rtdc.4002:itc</v>
      </c>
      <c r="G201" s="8">
        <f t="shared" si="7"/>
        <v>42610.956041666665</v>
      </c>
    </row>
    <row r="202" spans="1:7" x14ac:dyDescent="0.25">
      <c r="A202" s="29">
        <v>42610.975937499999</v>
      </c>
      <c r="B202" s="23" t="s">
        <v>143</v>
      </c>
      <c r="C202" s="23" t="s">
        <v>535</v>
      </c>
      <c r="D202" s="23">
        <v>1800000</v>
      </c>
      <c r="E202" s="23" t="s">
        <v>175</v>
      </c>
      <c r="F202" s="23" t="str">
        <f t="shared" si="6"/>
        <v>rtdc.l.rtdc.4037:itc</v>
      </c>
      <c r="G202" s="8">
        <f t="shared" si="7"/>
        <v>42610.975937499999</v>
      </c>
    </row>
    <row r="203" spans="1:7" x14ac:dyDescent="0.25">
      <c r="A203" s="8">
        <v>42610.976747685185</v>
      </c>
      <c r="B203" s="23" t="s">
        <v>261</v>
      </c>
      <c r="C203" s="23" t="s">
        <v>536</v>
      </c>
      <c r="D203" s="23">
        <v>1290000</v>
      </c>
      <c r="E203" s="23" t="s">
        <v>498</v>
      </c>
      <c r="F203" s="23" t="str">
        <f t="shared" si="6"/>
        <v>rtdc.l.rtdc.4040:itc</v>
      </c>
      <c r="G203" s="8">
        <f t="shared" si="7"/>
        <v>42610.976747685185</v>
      </c>
    </row>
    <row r="204" spans="1:7" x14ac:dyDescent="0.25">
      <c r="A204" s="8">
        <v>42610.984317129631</v>
      </c>
      <c r="B204" s="23" t="s">
        <v>149</v>
      </c>
      <c r="C204" s="23" t="s">
        <v>537</v>
      </c>
      <c r="D204" s="23">
        <v>1810000</v>
      </c>
      <c r="E204" s="23" t="s">
        <v>502</v>
      </c>
      <c r="F204" s="23" t="str">
        <f t="shared" si="6"/>
        <v>rtdc.l.rtdc.4042:itc</v>
      </c>
      <c r="G204" s="8">
        <f t="shared" si="7"/>
        <v>42610.984317129631</v>
      </c>
    </row>
    <row r="205" spans="1:7" x14ac:dyDescent="0.25">
      <c r="A205" s="8">
        <v>42610.991724537038</v>
      </c>
      <c r="B205" s="23" t="s">
        <v>178</v>
      </c>
      <c r="C205" s="23" t="s">
        <v>538</v>
      </c>
      <c r="D205" s="23">
        <v>1180000</v>
      </c>
      <c r="E205" s="23" t="s">
        <v>492</v>
      </c>
      <c r="F205" s="23" t="str">
        <f t="shared" si="6"/>
        <v>rtdc.l.rtdc.4001:itc</v>
      </c>
      <c r="G205" s="8">
        <f t="shared" si="7"/>
        <v>42610.991724537038</v>
      </c>
    </row>
    <row r="206" spans="1:7" x14ac:dyDescent="0.25">
      <c r="A206" s="8">
        <v>42611.014085648145</v>
      </c>
      <c r="B206" s="23" t="s">
        <v>265</v>
      </c>
      <c r="C206" s="23" t="s">
        <v>539</v>
      </c>
      <c r="D206" s="23">
        <v>1290000</v>
      </c>
      <c r="E206" s="23" t="s">
        <v>498</v>
      </c>
      <c r="F206" s="23" t="str">
        <f t="shared" si="6"/>
        <v>rtdc.l.rtdc.4039:itc</v>
      </c>
      <c r="G206" s="8">
        <f t="shared" si="7"/>
        <v>42611.014085648145</v>
      </c>
    </row>
    <row r="207" spans="1:7" x14ac:dyDescent="0.25">
      <c r="A207" s="8">
        <v>42611.017627314817</v>
      </c>
      <c r="B207" s="23" t="s">
        <v>150</v>
      </c>
      <c r="C207" s="23" t="s">
        <v>540</v>
      </c>
      <c r="D207" s="23">
        <v>1800000</v>
      </c>
      <c r="E207" s="23" t="s">
        <v>175</v>
      </c>
      <c r="F207" s="23" t="str">
        <f t="shared" si="6"/>
        <v>rtdc.l.rtdc.4038:itc</v>
      </c>
      <c r="G207" s="8">
        <f t="shared" si="7"/>
        <v>42611.017627314817</v>
      </c>
    </row>
    <row r="208" spans="1:7" x14ac:dyDescent="0.25">
      <c r="A208" s="8">
        <v>42611.037060185183</v>
      </c>
      <c r="B208" s="23" t="s">
        <v>182</v>
      </c>
      <c r="C208" s="23" t="s">
        <v>541</v>
      </c>
      <c r="D208" s="23">
        <v>1810000</v>
      </c>
      <c r="E208" s="23" t="s">
        <v>502</v>
      </c>
      <c r="F208" s="23" t="str">
        <f t="shared" si="6"/>
        <v>rtdc.l.rtdc.4041:itc</v>
      </c>
      <c r="G208" s="8">
        <f t="shared" si="7"/>
        <v>42611.037060185183</v>
      </c>
    </row>
    <row r="209" spans="1:7" x14ac:dyDescent="0.25">
      <c r="A209" s="8">
        <v>42611.046979166669</v>
      </c>
      <c r="B209" s="23" t="s">
        <v>261</v>
      </c>
      <c r="C209" s="23" t="s">
        <v>542</v>
      </c>
      <c r="D209" s="23">
        <v>1290000</v>
      </c>
      <c r="E209" s="23" t="s">
        <v>498</v>
      </c>
      <c r="F209" s="23" t="str">
        <f t="shared" si="6"/>
        <v>rtdc.l.rtdc.4040:itc</v>
      </c>
      <c r="G209" s="8">
        <f t="shared" si="7"/>
        <v>42611.046979166669</v>
      </c>
    </row>
    <row r="210" spans="1:7" x14ac:dyDescent="0.25">
      <c r="A210" s="8">
        <v>42611.060243055559</v>
      </c>
      <c r="B210" s="23" t="s">
        <v>143</v>
      </c>
      <c r="C210" s="23" t="s">
        <v>543</v>
      </c>
      <c r="D210" s="23">
        <v>1800000</v>
      </c>
      <c r="E210" s="23" t="s">
        <v>175</v>
      </c>
      <c r="F210" s="23" t="str">
        <f t="shared" si="6"/>
        <v>rtdc.l.rtdc.4037:itc</v>
      </c>
      <c r="G210" s="8">
        <f t="shared" si="7"/>
        <v>42611.060243055559</v>
      </c>
    </row>
    <row r="211" spans="1:7" x14ac:dyDescent="0.25">
      <c r="A211" s="8">
        <v>42611.06763888889</v>
      </c>
      <c r="B211" s="23" t="s">
        <v>149</v>
      </c>
      <c r="C211" s="23" t="s">
        <v>544</v>
      </c>
      <c r="D211" s="23">
        <v>1810000</v>
      </c>
      <c r="E211" s="23" t="s">
        <v>502</v>
      </c>
      <c r="F211" s="23" t="str">
        <f t="shared" si="6"/>
        <v>rtdc.l.rtdc.4042:itc</v>
      </c>
      <c r="G211" s="8">
        <f t="shared" si="7"/>
        <v>42611.06763888889</v>
      </c>
    </row>
    <row r="212" spans="1:7" x14ac:dyDescent="0.25">
      <c r="A212" s="8">
        <v>42611.094814814816</v>
      </c>
      <c r="B212" s="23" t="s">
        <v>150</v>
      </c>
      <c r="C212" s="23" t="s">
        <v>545</v>
      </c>
      <c r="D212" s="23">
        <v>1800000</v>
      </c>
      <c r="E212" s="23" t="s">
        <v>175</v>
      </c>
      <c r="F212" s="23" t="str">
        <f t="shared" si="6"/>
        <v>rtdc.l.rtdc.4038:itc</v>
      </c>
      <c r="G212" s="8">
        <f t="shared" si="7"/>
        <v>42611.094814814816</v>
      </c>
    </row>
    <row r="213" spans="1:7" x14ac:dyDescent="0.25">
      <c r="B213" s="23"/>
      <c r="C213" s="23"/>
      <c r="D213" s="23"/>
      <c r="E213" s="23"/>
      <c r="F213" s="23">
        <f t="shared" si="6"/>
        <v>0</v>
      </c>
      <c r="G213" s="8">
        <f t="shared" si="7"/>
        <v>0</v>
      </c>
    </row>
    <row r="214" spans="1:7" x14ac:dyDescent="0.25">
      <c r="A214" s="8">
        <v>42609.996388888889</v>
      </c>
      <c r="B214" s="23" t="s">
        <v>257</v>
      </c>
      <c r="C214" s="23" t="s">
        <v>327</v>
      </c>
      <c r="D214" s="23">
        <v>1800000</v>
      </c>
      <c r="E214" s="23" t="s">
        <v>175</v>
      </c>
      <c r="F214" s="23" t="str">
        <f t="shared" si="6"/>
        <v>rtdc.l.rtdc.4020:itc</v>
      </c>
      <c r="G214" s="8">
        <f t="shared" si="7"/>
        <v>42609.996388888889</v>
      </c>
    </row>
    <row r="215" spans="1:7" x14ac:dyDescent="0.25">
      <c r="A215" s="8">
        <v>42609.998414351852</v>
      </c>
      <c r="B215" s="23" t="s">
        <v>92</v>
      </c>
      <c r="C215" s="23" t="s">
        <v>325</v>
      </c>
      <c r="D215" s="23">
        <v>2000000</v>
      </c>
      <c r="E215" s="23" t="s">
        <v>142</v>
      </c>
      <c r="F215" s="23" t="str">
        <f t="shared" si="6"/>
        <v>rtdc.l.rtdc.4030:itc</v>
      </c>
      <c r="G215" s="8">
        <f t="shared" si="7"/>
        <v>42609.998414351852</v>
      </c>
    </row>
    <row r="216" spans="1:7" x14ac:dyDescent="0.25">
      <c r="A216" s="8">
        <v>42610.008333333331</v>
      </c>
      <c r="B216" s="23" t="s">
        <v>240</v>
      </c>
      <c r="C216" s="23" t="s">
        <v>326</v>
      </c>
      <c r="D216" s="23">
        <v>2220000</v>
      </c>
      <c r="E216" s="23" t="s">
        <v>347</v>
      </c>
      <c r="F216" s="23" t="str">
        <f t="shared" si="6"/>
        <v>rtdc.l.rtdc.4026:itc</v>
      </c>
      <c r="G216" s="8">
        <f t="shared" si="7"/>
        <v>42610.008333333331</v>
      </c>
    </row>
    <row r="217" spans="1:7" x14ac:dyDescent="0.25">
      <c r="A217" s="8">
        <v>42610.014363425929</v>
      </c>
      <c r="B217" s="23" t="s">
        <v>114</v>
      </c>
      <c r="C217" s="23" t="s">
        <v>329</v>
      </c>
      <c r="D217" s="23">
        <v>1480000</v>
      </c>
      <c r="E217" s="23" t="s">
        <v>242</v>
      </c>
      <c r="F217" s="23" t="str">
        <f t="shared" si="6"/>
        <v>rtdc.l.rtdc.4031:itc</v>
      </c>
      <c r="G217" s="8">
        <f t="shared" si="7"/>
        <v>42610.014363425929</v>
      </c>
    </row>
    <row r="218" spans="1:7" x14ac:dyDescent="0.25">
      <c r="A218" s="8">
        <v>42610.027083333334</v>
      </c>
      <c r="B218" s="23" t="s">
        <v>91</v>
      </c>
      <c r="C218" s="23" t="s">
        <v>332</v>
      </c>
      <c r="D218" s="23">
        <v>2000000</v>
      </c>
      <c r="E218" s="23" t="s">
        <v>142</v>
      </c>
      <c r="F218" s="23" t="str">
        <f t="shared" si="6"/>
        <v>rtdc.l.rtdc.4029:itc</v>
      </c>
      <c r="G218" s="8">
        <f t="shared" si="7"/>
        <v>42610.027083333334</v>
      </c>
    </row>
    <row r="219" spans="1:7" x14ac:dyDescent="0.25">
      <c r="A219" s="8">
        <v>42610.038726851853</v>
      </c>
      <c r="B219" s="23" t="s">
        <v>256</v>
      </c>
      <c r="C219" s="23" t="s">
        <v>328</v>
      </c>
      <c r="D219" s="23">
        <v>1800000</v>
      </c>
      <c r="E219" s="23" t="s">
        <v>175</v>
      </c>
      <c r="F219" s="23" t="str">
        <f t="shared" si="6"/>
        <v>rtdc.l.rtdc.4019:itc</v>
      </c>
      <c r="G219" s="8">
        <f t="shared" si="7"/>
        <v>42610.038726851853</v>
      </c>
    </row>
    <row r="220" spans="1:7" x14ac:dyDescent="0.25">
      <c r="A220" s="8">
        <v>42610.053599537037</v>
      </c>
      <c r="B220" s="23" t="s">
        <v>115</v>
      </c>
      <c r="C220" s="23" t="s">
        <v>331</v>
      </c>
      <c r="D220" s="23">
        <v>1480000</v>
      </c>
      <c r="E220" s="23" t="s">
        <v>242</v>
      </c>
      <c r="F220" s="23" t="str">
        <f t="shared" si="6"/>
        <v>rtdc.l.rtdc.4032:itc</v>
      </c>
      <c r="G220" s="8">
        <f t="shared" si="7"/>
        <v>42610.053599537037</v>
      </c>
    </row>
    <row r="221" spans="1:7" x14ac:dyDescent="0.25">
      <c r="A221" s="8">
        <v>42610.054131944446</v>
      </c>
      <c r="B221" s="23" t="s">
        <v>239</v>
      </c>
      <c r="C221" s="23" t="s">
        <v>338</v>
      </c>
      <c r="D221" s="23">
        <v>1410000</v>
      </c>
      <c r="E221" s="23" t="s">
        <v>348</v>
      </c>
      <c r="F221" s="23" t="str">
        <f t="shared" si="6"/>
        <v>rtdc.l.rtdc.4025:itc</v>
      </c>
      <c r="G221" s="8">
        <f t="shared" si="7"/>
        <v>42610.054131944446</v>
      </c>
    </row>
    <row r="222" spans="1:7" x14ac:dyDescent="0.25">
      <c r="A222" s="8">
        <v>42610.072962962964</v>
      </c>
      <c r="B222" s="23" t="s">
        <v>257</v>
      </c>
      <c r="C222" s="23" t="s">
        <v>335</v>
      </c>
      <c r="D222" s="23">
        <v>1800000</v>
      </c>
      <c r="E222" s="23" t="s">
        <v>175</v>
      </c>
      <c r="F222" s="23" t="str">
        <f t="shared" si="6"/>
        <v>rtdc.l.rtdc.4020:itc</v>
      </c>
      <c r="G222" s="8">
        <f t="shared" si="7"/>
        <v>42610.072962962964</v>
      </c>
    </row>
    <row r="223" spans="1:7" x14ac:dyDescent="0.25">
      <c r="A223" s="8">
        <v>42610.075509259259</v>
      </c>
      <c r="B223" s="23" t="s">
        <v>92</v>
      </c>
      <c r="C223" s="23" t="s">
        <v>333</v>
      </c>
      <c r="D223" s="23">
        <v>2000000</v>
      </c>
      <c r="E223" s="23" t="s">
        <v>142</v>
      </c>
      <c r="F223" s="23" t="str">
        <f t="shared" si="6"/>
        <v>rtdc.l.rtdc.4030:itc</v>
      </c>
      <c r="G223" s="8">
        <f t="shared" si="7"/>
        <v>42610.075509259259</v>
      </c>
    </row>
    <row r="224" spans="1:7" x14ac:dyDescent="0.25">
      <c r="A224" s="8">
        <v>42610.088275462964</v>
      </c>
      <c r="B224" t="s">
        <v>240</v>
      </c>
      <c r="C224" t="s">
        <v>340</v>
      </c>
      <c r="D224">
        <v>1410000</v>
      </c>
      <c r="E224" t="s">
        <v>348</v>
      </c>
      <c r="F224" s="23" t="str">
        <f t="shared" si="6"/>
        <v>rtdc.l.rtdc.4026:itc</v>
      </c>
      <c r="G224" s="8">
        <f t="shared" si="7"/>
        <v>42610.088275462964</v>
      </c>
    </row>
    <row r="225" spans="1:7" x14ac:dyDescent="0.25">
      <c r="A225" s="8">
        <v>42610.096782407411</v>
      </c>
      <c r="B225" t="s">
        <v>114</v>
      </c>
      <c r="C225" t="s">
        <v>336</v>
      </c>
      <c r="D225">
        <v>1480000</v>
      </c>
      <c r="E225" t="s">
        <v>242</v>
      </c>
      <c r="F225" s="23" t="str">
        <f t="shared" si="6"/>
        <v>rtdc.l.rtdc.4031:itc</v>
      </c>
      <c r="G225" s="8">
        <f t="shared" si="7"/>
        <v>42610.096782407411</v>
      </c>
    </row>
    <row r="226" spans="1:7" x14ac:dyDescent="0.25">
      <c r="A226" s="8">
        <v>42610.108541666668</v>
      </c>
      <c r="B226" t="s">
        <v>91</v>
      </c>
      <c r="C226" t="s">
        <v>349</v>
      </c>
      <c r="D226">
        <v>2000000</v>
      </c>
      <c r="E226" t="s">
        <v>142</v>
      </c>
      <c r="F226" s="23" t="str">
        <f t="shared" si="6"/>
        <v>rtdc.l.rtdc.4029:itc</v>
      </c>
      <c r="G226" s="8">
        <f t="shared" si="7"/>
        <v>42610.108541666668</v>
      </c>
    </row>
    <row r="227" spans="1:7" x14ac:dyDescent="0.25">
      <c r="F227" s="23">
        <f t="shared" si="6"/>
        <v>0</v>
      </c>
      <c r="G227" s="8">
        <f t="shared" si="7"/>
        <v>0</v>
      </c>
    </row>
    <row r="228" spans="1:7" x14ac:dyDescent="0.25">
      <c r="F228" s="23">
        <f t="shared" si="6"/>
        <v>0</v>
      </c>
      <c r="G228" s="8">
        <f t="shared" si="7"/>
        <v>0</v>
      </c>
    </row>
    <row r="229" spans="1:7" x14ac:dyDescent="0.25">
      <c r="A229" s="8">
        <v>42609.014421296299</v>
      </c>
      <c r="B229" t="s">
        <v>178</v>
      </c>
      <c r="C229" t="s">
        <v>268</v>
      </c>
      <c r="D229">
        <v>1230000</v>
      </c>
      <c r="E229" t="s">
        <v>169</v>
      </c>
      <c r="F229" s="23" t="str">
        <f t="shared" si="6"/>
        <v>rtdc.l.rtdc.4001:itc</v>
      </c>
      <c r="G229" s="8">
        <f t="shared" si="7"/>
        <v>42609.014421296299</v>
      </c>
    </row>
    <row r="230" spans="1:7" x14ac:dyDescent="0.25">
      <c r="A230" s="8">
        <v>42609.025173611109</v>
      </c>
      <c r="B230" t="s">
        <v>186</v>
      </c>
      <c r="C230" t="s">
        <v>269</v>
      </c>
      <c r="D230">
        <v>2090000</v>
      </c>
      <c r="E230" t="s">
        <v>196</v>
      </c>
      <c r="F230" s="23" t="str">
        <f t="shared" si="6"/>
        <v>rtdc.l.rtdc.4003:itc</v>
      </c>
      <c r="G230" s="8">
        <f t="shared" si="7"/>
        <v>42609.025173611109</v>
      </c>
    </row>
    <row r="231" spans="1:7" x14ac:dyDescent="0.25">
      <c r="A231" s="8">
        <v>42609.036296296297</v>
      </c>
      <c r="B231" t="s">
        <v>265</v>
      </c>
      <c r="C231" t="s">
        <v>270</v>
      </c>
      <c r="D231">
        <v>1800000</v>
      </c>
      <c r="E231" t="s">
        <v>175</v>
      </c>
      <c r="F231" s="23" t="str">
        <f t="shared" si="6"/>
        <v>rtdc.l.rtdc.4039:itc</v>
      </c>
      <c r="G231" s="8">
        <f t="shared" si="7"/>
        <v>42609.036296296297</v>
      </c>
    </row>
    <row r="232" spans="1:7" x14ac:dyDescent="0.25">
      <c r="A232" s="8">
        <v>42609.039699074077</v>
      </c>
      <c r="B232" t="s">
        <v>186</v>
      </c>
      <c r="C232" t="s">
        <v>269</v>
      </c>
      <c r="D232">
        <v>2090000</v>
      </c>
      <c r="E232" t="s">
        <v>196</v>
      </c>
      <c r="F232" s="23" t="str">
        <f t="shared" si="6"/>
        <v>rtdc.l.rtdc.4003:itc</v>
      </c>
      <c r="G232" s="8">
        <f t="shared" si="7"/>
        <v>42609.039699074077</v>
      </c>
    </row>
    <row r="233" spans="1:7" x14ac:dyDescent="0.25">
      <c r="A233" s="8">
        <v>42609.050162037034</v>
      </c>
      <c r="B233" t="s">
        <v>177</v>
      </c>
      <c r="C233" t="s">
        <v>271</v>
      </c>
      <c r="D233">
        <v>1230000</v>
      </c>
      <c r="E233" t="s">
        <v>169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266</v>
      </c>
      <c r="C234" t="s">
        <v>272</v>
      </c>
      <c r="D234">
        <v>2260000</v>
      </c>
      <c r="E234" t="s">
        <v>204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261</v>
      </c>
      <c r="C235" t="s">
        <v>273</v>
      </c>
      <c r="D235">
        <v>1800000</v>
      </c>
      <c r="E235" t="s">
        <v>175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203</v>
      </c>
      <c r="C236" t="s">
        <v>274</v>
      </c>
      <c r="D236">
        <v>2090000</v>
      </c>
      <c r="E236" t="s">
        <v>196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275</v>
      </c>
      <c r="D237">
        <v>2260000</v>
      </c>
      <c r="E237" t="s">
        <v>204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156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143</v>
      </c>
      <c r="C240" t="s">
        <v>157</v>
      </c>
      <c r="D240">
        <v>1300000</v>
      </c>
      <c r="E240" t="s">
        <v>140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159</v>
      </c>
      <c r="D241">
        <v>2000000</v>
      </c>
      <c r="E241" t="s">
        <v>142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158</v>
      </c>
      <c r="D242">
        <v>1230000</v>
      </c>
      <c r="E242" t="s">
        <v>169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161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150</v>
      </c>
      <c r="C244" t="s">
        <v>163</v>
      </c>
      <c r="D244">
        <v>1300000</v>
      </c>
      <c r="E244" t="s">
        <v>140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160</v>
      </c>
      <c r="D245">
        <v>2000000</v>
      </c>
      <c r="E245" t="s">
        <v>142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165</v>
      </c>
      <c r="D246">
        <v>1230000</v>
      </c>
      <c r="E246" t="s">
        <v>169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162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166</v>
      </c>
      <c r="D248">
        <v>2000000</v>
      </c>
      <c r="E248" t="s">
        <v>142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143</v>
      </c>
      <c r="C249" t="s">
        <v>164</v>
      </c>
      <c r="D249">
        <v>1300000</v>
      </c>
      <c r="E249" t="s">
        <v>140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170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150</v>
      </c>
      <c r="C251" t="s">
        <v>167</v>
      </c>
      <c r="D251">
        <v>1300000</v>
      </c>
      <c r="E251" t="s">
        <v>140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42610</v>
      </c>
      <c r="B2" s="4"/>
      <c r="C2" s="75">
        <v>50</v>
      </c>
      <c r="D2" s="76">
        <v>25</v>
      </c>
      <c r="F2" t="s">
        <v>144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70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70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70">
        <f t="shared" si="0"/>
        <v>3.3196500000000002</v>
      </c>
    </row>
    <row r="6" spans="1:16" x14ac:dyDescent="0.25">
      <c r="F6" t="s">
        <v>145</v>
      </c>
      <c r="J6" s="35" t="s">
        <v>77</v>
      </c>
      <c r="K6" s="36">
        <v>4.2778999999999998</v>
      </c>
      <c r="L6" s="36">
        <v>4.2961</v>
      </c>
      <c r="M6" s="70">
        <f t="shared" si="0"/>
        <v>4.2869999999999999</v>
      </c>
    </row>
    <row r="7" spans="1:16" x14ac:dyDescent="0.25">
      <c r="F7" t="s">
        <v>146</v>
      </c>
      <c r="J7" s="35" t="s">
        <v>78</v>
      </c>
      <c r="K7" s="36">
        <v>4.7865000000000002</v>
      </c>
      <c r="L7" s="36">
        <v>4.8048000000000002</v>
      </c>
      <c r="M7" s="70">
        <f t="shared" si="0"/>
        <v>4.7956500000000002</v>
      </c>
    </row>
    <row r="8" spans="1:16" x14ac:dyDescent="0.25">
      <c r="F8" t="s">
        <v>147</v>
      </c>
      <c r="J8" s="35" t="s">
        <v>79</v>
      </c>
      <c r="K8" s="36">
        <v>5.3155000000000001</v>
      </c>
      <c r="L8" s="36">
        <v>5.3277000000000001</v>
      </c>
      <c r="M8" s="7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7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7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7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7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7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7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179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259</v>
      </c>
      <c r="M25" s="70" t="b">
        <v>1</v>
      </c>
    </row>
    <row r="26" spans="10:13" x14ac:dyDescent="0.25">
      <c r="J26" t="s">
        <v>260</v>
      </c>
      <c r="M26" s="70" t="str">
        <f>"C:\Users\stu\Documents\GitHub\eaglep3-reporting\EC\"&amp;TEXT(A2,"yyyy-mm-dd")&amp;"-refined-times.txt"</f>
        <v>C:\Users\stu\Documents\GitHub\eaglep3-reporting\EC\2016-08-28-refined-times.txt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209</v>
      </c>
      <c r="B1" s="142" t="s">
        <v>210</v>
      </c>
      <c r="C1" s="143" t="s">
        <v>211</v>
      </c>
      <c r="H1" t="s">
        <v>205</v>
      </c>
      <c r="I1" s="144" t="s">
        <v>207</v>
      </c>
      <c r="J1"/>
    </row>
    <row r="2" spans="1:11" x14ac:dyDescent="0.25">
      <c r="A2" s="143" t="s">
        <v>212</v>
      </c>
      <c r="B2" s="143" t="s">
        <v>213</v>
      </c>
      <c r="C2" s="143" t="s">
        <v>214</v>
      </c>
      <c r="H2" t="s">
        <v>206</v>
      </c>
      <c r="I2" s="114" t="s">
        <v>208</v>
      </c>
      <c r="J2"/>
    </row>
    <row r="3" spans="1:11" x14ac:dyDescent="0.25">
      <c r="A3" s="143" t="s">
        <v>215</v>
      </c>
      <c r="B3" s="143" t="s">
        <v>216</v>
      </c>
      <c r="C3" s="143" t="s">
        <v>217</v>
      </c>
      <c r="H3" t="s">
        <v>232</v>
      </c>
      <c r="I3" s="114">
        <v>1</v>
      </c>
      <c r="J3"/>
      <c r="K3" s="70"/>
    </row>
    <row r="4" spans="1:11" x14ac:dyDescent="0.25">
      <c r="A4" s="143" t="s">
        <v>218</v>
      </c>
      <c r="C4" s="143" t="s">
        <v>219</v>
      </c>
      <c r="H4" t="s">
        <v>233</v>
      </c>
      <c r="I4" s="114">
        <v>2</v>
      </c>
      <c r="J4"/>
      <c r="K4" s="70"/>
    </row>
    <row r="5" spans="1:11" x14ac:dyDescent="0.25">
      <c r="A5" s="143" t="s">
        <v>220</v>
      </c>
      <c r="C5" s="143" t="s">
        <v>221</v>
      </c>
      <c r="H5" t="s">
        <v>234</v>
      </c>
      <c r="I5" s="114">
        <v>23</v>
      </c>
      <c r="J5"/>
      <c r="K5" s="70"/>
    </row>
    <row r="6" spans="1:11" x14ac:dyDescent="0.25">
      <c r="A6" s="143" t="s">
        <v>222</v>
      </c>
      <c r="C6" s="143" t="s">
        <v>223</v>
      </c>
      <c r="H6" s="146" t="s">
        <v>235</v>
      </c>
      <c r="I6" s="147" t="s">
        <v>213</v>
      </c>
    </row>
    <row r="7" spans="1:11" x14ac:dyDescent="0.25">
      <c r="A7" s="143" t="s">
        <v>224</v>
      </c>
      <c r="C7" s="143" t="s">
        <v>225</v>
      </c>
    </row>
    <row r="8" spans="1:11" x14ac:dyDescent="0.25">
      <c r="C8" s="143" t="s">
        <v>226</v>
      </c>
    </row>
    <row r="9" spans="1:11" x14ac:dyDescent="0.25">
      <c r="C9" s="143" t="s">
        <v>227</v>
      </c>
    </row>
    <row r="10" spans="1:11" x14ac:dyDescent="0.25">
      <c r="C10" s="143" t="s">
        <v>228</v>
      </c>
    </row>
    <row r="11" spans="1:11" x14ac:dyDescent="0.25">
      <c r="C11" s="143" t="s">
        <v>229</v>
      </c>
    </row>
    <row r="12" spans="1:11" x14ac:dyDescent="0.25">
      <c r="C12" s="143" t="s">
        <v>230</v>
      </c>
    </row>
    <row r="13" spans="1:11" x14ac:dyDescent="0.25">
      <c r="C13" s="143" t="s">
        <v>231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2016-08-30T15:23:45Z</dcterms:modified>
</cp:coreProperties>
</file>